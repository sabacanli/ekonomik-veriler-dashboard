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İşlemleri'!$A$1:$O$1944</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10">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0006"/>
      <sz val="10"/>
    </font>
    <font>
      <name val="Calibri"/>
      <b val="1"/>
      <color rgb="009C6500"/>
      <sz val="10"/>
    </font>
  </fonts>
  <fills count="7">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C7CE"/>
        <bgColor rgb="00FFC7CE"/>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4">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9" fillId="6" borderId="1" applyAlignment="1" pivotButton="0" quotePrefix="0" xfId="0">
      <alignment vertical="center"/>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İşlemleri'!$B$2:$B$1944)</f>
        <v/>
      </c>
      <c r="C3" s="4" t="n"/>
      <c r="D3" s="5" t="n"/>
    </row>
    <row r="5">
      <c r="A5" s="6" t="inlineStr">
        <is>
          <t>MEVCUT PORTFÖY (Vadesi Gelmemiş Kağıtlar)</t>
        </is>
      </c>
      <c r="B5" s="4" t="n"/>
      <c r="C5" s="4" t="n"/>
      <c r="D5" s="5" t="n"/>
    </row>
    <row r="7">
      <c r="A7" s="7" t="inlineStr">
        <is>
          <t>Toplam Stok (Nominal, Bin TL)</t>
        </is>
      </c>
      <c r="B7" s="8">
        <f>SUMPRODUCT(('Doğrudan Alım İşlemleri'!$E$2:$E$1944&gt;B$3)*('Doğrudan Alım İşlemleri'!$H$2:$H$1944&lt;&gt;"")*'Doğrudan Alım İşlemleri'!$H$2:$H$1944)</f>
        <v/>
      </c>
      <c r="C7" s="9" t="n"/>
      <c r="D7" s="10" t="n"/>
    </row>
    <row r="8">
      <c r="A8" s="2" t="inlineStr">
        <is>
          <t>Toplam Stok (Net, Bin TL)</t>
        </is>
      </c>
      <c r="B8" s="11">
        <f>SUMPRODUCT(('Doğrudan Alım İşlemleri'!$E$2:$E$1944&gt;B$3)*('Doğrudan Alım İşlemleri'!$I$2:$I$1944&lt;&gt;"")*'Doğrudan Alım İşlemleri'!$I$2:$I$1944)</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İşlemleri'!$E$2:$E$1944&gt;B$3)*ISNUMBER('Doğrudan Alım İşlemleri'!$N$2:$N$1944)*'Doğrudan Alım İşlemleri'!$N$2:$N$1944*('Doğrudan Alım İşlemleri'!$H$2:$H$1944&lt;&gt;"")*'Doğrudan Alım İşlemleri'!$H$2:$H$1944)/SUMPRODUCT(('Doğrudan Alım İşlemleri'!$E$2:$E$1944&gt;B$3)*ISNUMBER('Doğrudan Alım İşlemleri'!$N$2:$N$1944)*('Doğrudan Alım İşlemleri'!$H$2:$H$1944&lt;&gt;"")*'Doğrudan Alım İşlemleri'!$H$2:$H$1944),"")</f>
        <v/>
      </c>
      <c r="C10" s="4" t="n"/>
      <c r="D10" s="5" t="n"/>
    </row>
    <row r="11">
      <c r="A11" s="7" t="inlineStr">
        <is>
          <t>Portföydeki İhale Sayısı</t>
        </is>
      </c>
      <c r="B11" s="8">
        <f>SUMPRODUCT(('Doğrudan Alım İşlemleri'!$E$2:$E$1944&gt;B$3)*1)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İşlemleri'!$B$2:$B$1944)=$A$16)*('Doğrudan Alım İşlemleri'!$H$2:$H$1944&lt;&gt;"")*'Doğrudan Alım İşlemleri'!$H$2:$H$1944)/1000000,0)</f>
        <v/>
      </c>
      <c r="C16" s="12">
        <f>IFERROR(SUMPRODUCT((YEAR('Doğrudan Alım İşlemleri'!$E$2:$E$1944)=$A$16)*('Doğrudan Alım İşlemleri'!$H$2:$H$1944&lt;&gt;"")*'Doğrudan Alım İşlemleri'!$H$2:$H$1944)/1000000,0)</f>
        <v/>
      </c>
      <c r="D16" s="12">
        <f>B16-C16</f>
        <v/>
      </c>
    </row>
    <row r="17">
      <c r="A17" s="16" t="n">
        <v>2025</v>
      </c>
      <c r="B17" s="17">
        <f>IFERROR(SUMPRODUCT((YEAR('Doğrudan Alım İşlemleri'!$B$2:$B$1944)=$A$17)*('Doğrudan Alım İşlemleri'!$H$2:$H$1944&lt;&gt;"")*'Doğrudan Alım İşlemleri'!$H$2:$H$1944)/1000000,0)</f>
        <v/>
      </c>
      <c r="C17" s="17">
        <f>IFERROR(SUMPRODUCT((YEAR('Doğrudan Alım İşlemleri'!$E$2:$E$1944)=$A$17)*('Doğrudan Alım İşlemleri'!$H$2:$H$1944&lt;&gt;"")*'Doğrudan Alım İşlemleri'!$H$2:$H$1944)/1000000,0)</f>
        <v/>
      </c>
      <c r="D17" s="17">
        <f>B17-C17</f>
        <v/>
      </c>
    </row>
    <row r="18">
      <c r="A18" s="15" t="n">
        <v>2026</v>
      </c>
      <c r="B18" s="12">
        <f>IFERROR(SUMPRODUCT((YEAR('Doğrudan Alım İşlemleri'!$B$2:$B$1944)=$A$18)*('Doğrudan Alım İşlemleri'!$H$2:$H$1944&lt;&gt;"")*'Doğrudan Alım İşlemleri'!$H$2:$H$1944)/1000000,0)</f>
        <v/>
      </c>
      <c r="C18" s="12">
        <f>IFERROR(SUMPRODUCT((YEAR('Doğrudan Alım İşlemleri'!$E$2:$E$1944)=$A$18)*('Doğrudan Alım İşlemleri'!$H$2:$H$1944&lt;&gt;"")*'Doğrudan Alım İşlemleri'!$H$2:$H$1944)/1000000,0)</f>
        <v/>
      </c>
      <c r="D18" s="12">
        <f>B18-C18</f>
        <v/>
      </c>
    </row>
    <row r="20">
      <c r="A20" s="6" t="inlineStr">
        <is>
          <t>ÖZET</t>
        </is>
      </c>
      <c r="B20" s="4" t="n"/>
      <c r="C20" s="4" t="n"/>
      <c r="D20" s="5" t="n"/>
    </row>
    <row r="21" ht="80" customHeight="1">
      <c r="A21" s="18" t="inlineStr">
        <is>
          <t>TCMB'nin toplam menkul kıymet stoğu 03.04.2026 tarihi itibarıyla 442,7 milyar TL (nominal)'dir, portföy getirisi ise %33,43'dir. 2026 yılında 03.04.2026 tarihine kadar 222,4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-5.6 puan</t>
        </is>
      </c>
      <c r="B26" s="4" t="n"/>
      <c r="C26" s="4" t="n"/>
      <c r="D26" s="5" t="n"/>
    </row>
    <row r="27" ht="35" customHeight="1">
      <c r="A27" s="20" t="inlineStr">
        <is>
          <t>Son 3 ay ağırlıklı ort. bileşik faiz: %38,02, önceki 3 ay: %43,64. 5.6 puanlık düşüş.</t>
        </is>
      </c>
      <c r="B27" s="4" t="n"/>
      <c r="C27" s="4" t="n"/>
      <c r="D27" s="5" t="n"/>
    </row>
    <row r="28">
      <c r="A28" s="21" t="inlineStr">
        <is>
          <t>▲ İhale sıklığı artışı: 8.0 ihale/gün</t>
        </is>
      </c>
      <c r="B28" s="4" t="n"/>
      <c r="C28" s="4" t="n"/>
      <c r="D28" s="5" t="n"/>
    </row>
    <row r="29" ht="35" customHeight="1">
      <c r="A29" s="20" t="inlineStr">
        <is>
          <t>2026-03 ayında günde ortalama 8.0 ihale yapıldı. Tarihsel ortalama: 1.9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44"/>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2" t="inlineStr"/>
      <c r="B2" s="23" t="n">
        <v>40170</v>
      </c>
      <c r="C2" s="22" t="inlineStr">
        <is>
          <t>GELENEKSEL</t>
        </is>
      </c>
      <c r="D2" s="23" t="n">
        <v>40171</v>
      </c>
      <c r="E2" s="23" t="n">
        <v>40758</v>
      </c>
      <c r="F2" s="22" t="inlineStr">
        <is>
          <t>TRT030811T14</t>
        </is>
      </c>
      <c r="G2" s="8" t="n">
        <v>558000</v>
      </c>
      <c r="H2" s="8" t="n">
        <v>100000</v>
      </c>
      <c r="I2" s="24" t="n">
        <v>86471.88</v>
      </c>
      <c r="J2" s="24" t="n">
        <v>9.720000000000001</v>
      </c>
      <c r="K2" s="24" t="n">
        <v>9.73</v>
      </c>
      <c r="L2" s="24" t="n">
        <v>9.74</v>
      </c>
      <c r="M2" s="24" t="n">
        <v>9.449999999999999</v>
      </c>
      <c r="N2" s="24" t="n">
        <v>9.460000000000001</v>
      </c>
      <c r="O2" s="24" t="n">
        <v>9.470000000000001</v>
      </c>
    </row>
    <row r="3">
      <c r="A3" s="25" t="inlineStr"/>
      <c r="B3" s="3" t="n">
        <v>40172</v>
      </c>
      <c r="C3" s="25" t="inlineStr">
        <is>
          <t>GELENEKSEL</t>
        </is>
      </c>
      <c r="D3" s="3" t="n">
        <v>40175</v>
      </c>
      <c r="E3" s="3" t="n">
        <v>40674</v>
      </c>
      <c r="F3" s="25"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2" t="inlineStr"/>
      <c r="B4" s="23" t="n">
        <v>40177</v>
      </c>
      <c r="C4" s="22" t="inlineStr">
        <is>
          <t>GELENEKSEL</t>
        </is>
      </c>
      <c r="D4" s="23" t="n">
        <v>40178</v>
      </c>
      <c r="E4" s="23" t="n">
        <v>40674</v>
      </c>
      <c r="F4" s="22" t="inlineStr">
        <is>
          <t>TRT110511T17</t>
        </is>
      </c>
      <c r="G4" s="8" t="n">
        <v>329000</v>
      </c>
      <c r="H4" s="8" t="n">
        <v>100000</v>
      </c>
      <c r="I4" s="24" t="n">
        <v>88562.49000000001</v>
      </c>
      <c r="J4" s="24" t="n">
        <v>9.48</v>
      </c>
      <c r="K4" s="24" t="n">
        <v>9.5</v>
      </c>
      <c r="L4" s="24" t="n">
        <v>9.59</v>
      </c>
      <c r="M4" s="24" t="n">
        <v>9.33</v>
      </c>
      <c r="N4" s="24" t="n">
        <v>9.35</v>
      </c>
      <c r="O4" s="24" t="n">
        <v>9.44</v>
      </c>
    </row>
    <row r="5">
      <c r="A5" s="25" t="inlineStr"/>
      <c r="B5" s="3" t="n">
        <v>40184</v>
      </c>
      <c r="C5" s="25" t="inlineStr">
        <is>
          <t>GELENEKSEL</t>
        </is>
      </c>
      <c r="D5" s="3" t="n">
        <v>40185</v>
      </c>
      <c r="E5" s="3" t="n">
        <v>40758</v>
      </c>
      <c r="F5" s="25" t="inlineStr">
        <is>
          <t>TRT030811T14</t>
        </is>
      </c>
      <c r="G5" s="11" t="n">
        <v>185000</v>
      </c>
      <c r="H5" s="11" t="n">
        <v>100000</v>
      </c>
      <c r="I5" s="13" t="n">
        <v>87425</v>
      </c>
      <c r="J5" s="13" t="n">
        <v>9.15</v>
      </c>
      <c r="K5" s="13" t="n">
        <v>9.16</v>
      </c>
      <c r="L5" s="13" t="n">
        <v>9.18</v>
      </c>
      <c r="M5" s="13" t="n">
        <v>8.93</v>
      </c>
      <c r="N5" s="13" t="n">
        <v>8.94</v>
      </c>
      <c r="O5" s="13" t="n">
        <v>8.949999999999999</v>
      </c>
    </row>
    <row r="6">
      <c r="A6" s="22" t="inlineStr"/>
      <c r="B6" s="23" t="n">
        <v>40186</v>
      </c>
      <c r="C6" s="22" t="inlineStr">
        <is>
          <t>GELENEKSEL</t>
        </is>
      </c>
      <c r="D6" s="23" t="n">
        <v>40189</v>
      </c>
      <c r="E6" s="23" t="n">
        <v>40674</v>
      </c>
      <c r="F6" s="22" t="inlineStr">
        <is>
          <t>TRT110511T17</t>
        </is>
      </c>
      <c r="G6" s="8" t="n">
        <v>473000</v>
      </c>
      <c r="H6" s="8" t="n">
        <v>100000</v>
      </c>
      <c r="I6" s="24" t="n">
        <v>89614.8</v>
      </c>
      <c r="J6" s="24" t="n">
        <v>8.710000000000001</v>
      </c>
      <c r="K6" s="24" t="n">
        <v>8.720000000000001</v>
      </c>
      <c r="L6" s="24" t="n">
        <v>8.73</v>
      </c>
      <c r="M6" s="24" t="n">
        <v>8.59</v>
      </c>
      <c r="N6" s="24" t="n">
        <v>8.6</v>
      </c>
      <c r="O6" s="24" t="n">
        <v>8.609999999999999</v>
      </c>
    </row>
    <row r="7">
      <c r="A7" s="25" t="inlineStr"/>
      <c r="B7" s="3" t="n">
        <v>40191</v>
      </c>
      <c r="C7" s="25" t="inlineStr">
        <is>
          <t>GELENEKSEL</t>
        </is>
      </c>
      <c r="D7" s="3" t="n">
        <v>40192</v>
      </c>
      <c r="E7" s="3" t="n">
        <v>40975</v>
      </c>
      <c r="F7" s="25" t="inlineStr">
        <is>
          <t>TRT070312T14</t>
        </is>
      </c>
      <c r="G7" s="11" t="n">
        <v>242000</v>
      </c>
      <c r="H7" s="11" t="n">
        <v>100000</v>
      </c>
      <c r="I7" s="13" t="n">
        <v>119683</v>
      </c>
      <c r="J7" s="13" t="n">
        <v>8.66</v>
      </c>
      <c r="K7" s="13" t="n">
        <v>8.66</v>
      </c>
      <c r="L7" s="13" t="n">
        <v>8.66</v>
      </c>
      <c r="M7" s="13" t="n">
        <v>8.84</v>
      </c>
      <c r="N7" s="13" t="n">
        <v>8.84</v>
      </c>
      <c r="O7" s="13" t="n">
        <v>8.84</v>
      </c>
    </row>
    <row r="8">
      <c r="A8" s="22" t="inlineStr"/>
      <c r="B8" s="23" t="n">
        <v>40193</v>
      </c>
      <c r="C8" s="22" t="inlineStr">
        <is>
          <t>GELENEKSEL</t>
        </is>
      </c>
      <c r="D8" s="23" t="n">
        <v>40196</v>
      </c>
      <c r="E8" s="23" t="n">
        <v>40674</v>
      </c>
      <c r="F8" s="22" t="inlineStr">
        <is>
          <t>TRT110511T17</t>
        </is>
      </c>
      <c r="G8" s="8" t="n">
        <v>242000</v>
      </c>
      <c r="H8" s="8" t="n">
        <v>100000</v>
      </c>
      <c r="I8" s="24" t="n">
        <v>89952.85000000001</v>
      </c>
      <c r="J8" s="24" t="n">
        <v>8.5</v>
      </c>
      <c r="K8" s="24" t="n">
        <v>8.529999999999999</v>
      </c>
      <c r="L8" s="24" t="n">
        <v>8.550000000000001</v>
      </c>
      <c r="M8" s="24" t="n">
        <v>8.390000000000001</v>
      </c>
      <c r="N8" s="24" t="n">
        <v>8.42</v>
      </c>
      <c r="O8" s="24" t="n">
        <v>8.44</v>
      </c>
    </row>
    <row r="9">
      <c r="A9" s="25" t="inlineStr"/>
      <c r="B9" s="3" t="n">
        <v>40198</v>
      </c>
      <c r="C9" s="25" t="inlineStr">
        <is>
          <t>GELENEKSEL</t>
        </is>
      </c>
      <c r="D9" s="3" t="n">
        <v>40199</v>
      </c>
      <c r="E9" s="3" t="n">
        <v>40758</v>
      </c>
      <c r="F9" s="25"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2" t="inlineStr"/>
      <c r="B10" s="23" t="n">
        <v>40200</v>
      </c>
      <c r="C10" s="22" t="inlineStr">
        <is>
          <t>GELENEKSEL</t>
        </is>
      </c>
      <c r="D10" s="23" t="n">
        <v>40203</v>
      </c>
      <c r="E10" s="23" t="n">
        <v>40674</v>
      </c>
      <c r="F10" s="22" t="inlineStr">
        <is>
          <t>TRT110511T17</t>
        </is>
      </c>
      <c r="G10" s="8" t="n">
        <v>375000</v>
      </c>
      <c r="H10" s="8" t="n">
        <v>100000</v>
      </c>
      <c r="I10" s="24" t="n">
        <v>90050.05</v>
      </c>
      <c r="J10" s="24" t="n">
        <v>8.539999999999999</v>
      </c>
      <c r="K10" s="24" t="n">
        <v>8.56</v>
      </c>
      <c r="L10" s="24" t="n">
        <v>8.6</v>
      </c>
      <c r="M10" s="24" t="n">
        <v>8.44</v>
      </c>
      <c r="N10" s="24" t="n">
        <v>8.460000000000001</v>
      </c>
      <c r="O10" s="24" t="n">
        <v>8.49</v>
      </c>
    </row>
    <row r="11">
      <c r="A11" s="25" t="inlineStr"/>
      <c r="B11" s="3" t="n">
        <v>40205</v>
      </c>
      <c r="C11" s="25" t="inlineStr">
        <is>
          <t>GELENEKSEL</t>
        </is>
      </c>
      <c r="D11" s="3" t="n">
        <v>40206</v>
      </c>
      <c r="E11" s="3" t="n">
        <v>40975</v>
      </c>
      <c r="F11" s="25"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2" t="inlineStr"/>
      <c r="B12" s="23" t="n">
        <v>40207</v>
      </c>
      <c r="C12" s="22" t="inlineStr">
        <is>
          <t>GELENEKSEL</t>
        </is>
      </c>
      <c r="D12" s="23" t="n">
        <v>40210</v>
      </c>
      <c r="E12" s="23" t="n">
        <v>40758</v>
      </c>
      <c r="F12" s="22" t="inlineStr">
        <is>
          <t>TRT030811T14</t>
        </is>
      </c>
      <c r="G12" s="8" t="n">
        <v>358000</v>
      </c>
      <c r="H12" s="8" t="n">
        <v>100000</v>
      </c>
      <c r="I12" s="24" t="n">
        <v>88324.57000000001</v>
      </c>
      <c r="J12" s="24" t="n">
        <v>8.789999999999999</v>
      </c>
      <c r="K12" s="24" t="n">
        <v>8.800000000000001</v>
      </c>
      <c r="L12" s="24" t="n">
        <v>8.82</v>
      </c>
      <c r="M12" s="24" t="n">
        <v>8.609999999999999</v>
      </c>
      <c r="N12" s="24" t="n">
        <v>8.619999999999999</v>
      </c>
      <c r="O12" s="24" t="n">
        <v>8.640000000000001</v>
      </c>
    </row>
    <row r="13">
      <c r="A13" s="25" t="inlineStr"/>
      <c r="B13" s="3" t="n">
        <v>40212</v>
      </c>
      <c r="C13" s="25" t="inlineStr">
        <is>
          <t>GELENEKSEL</t>
        </is>
      </c>
      <c r="D13" s="3" t="n">
        <v>40213</v>
      </c>
      <c r="E13" s="3" t="n">
        <v>40975</v>
      </c>
      <c r="F13" s="25"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2" t="inlineStr"/>
      <c r="B14" s="23" t="n">
        <v>40214</v>
      </c>
      <c r="C14" s="22" t="inlineStr">
        <is>
          <t>GELENEKSEL</t>
        </is>
      </c>
      <c r="D14" s="23" t="n">
        <v>40217</v>
      </c>
      <c r="E14" s="23" t="n">
        <v>40674</v>
      </c>
      <c r="F14" s="22" t="inlineStr">
        <is>
          <t>TRT110511T17</t>
        </is>
      </c>
      <c r="G14" s="8" t="n">
        <v>279000</v>
      </c>
      <c r="H14" s="8" t="n">
        <v>100000</v>
      </c>
      <c r="I14" s="24" t="n">
        <v>90608.31</v>
      </c>
      <c r="J14" s="24" t="n">
        <v>8.26</v>
      </c>
      <c r="K14" s="24" t="n">
        <v>8.279999999999999</v>
      </c>
      <c r="L14" s="24" t="n">
        <v>8.289999999999999</v>
      </c>
      <c r="M14" s="24" t="n">
        <v>8.18</v>
      </c>
      <c r="N14" s="24" t="n">
        <v>8.199999999999999</v>
      </c>
      <c r="O14" s="24" t="n">
        <v>8.210000000000001</v>
      </c>
    </row>
    <row r="15">
      <c r="A15" s="25" t="inlineStr"/>
      <c r="B15" s="3" t="n">
        <v>40219</v>
      </c>
      <c r="C15" s="25" t="inlineStr">
        <is>
          <t>GELENEKSEL</t>
        </is>
      </c>
      <c r="D15" s="3" t="n">
        <v>40220</v>
      </c>
      <c r="E15" s="3" t="n">
        <v>40758</v>
      </c>
      <c r="F15" s="25"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2" t="inlineStr"/>
      <c r="B16" s="23" t="n">
        <v>40221</v>
      </c>
      <c r="C16" s="22" t="inlineStr">
        <is>
          <t>GELENEKSEL</t>
        </is>
      </c>
      <c r="D16" s="23" t="n">
        <v>40224</v>
      </c>
      <c r="E16" s="23" t="n">
        <v>40674</v>
      </c>
      <c r="F16" s="22" t="inlineStr">
        <is>
          <t>TRT110511T17</t>
        </is>
      </c>
      <c r="G16" s="8" t="n">
        <v>420000</v>
      </c>
      <c r="H16" s="8" t="n">
        <v>100000</v>
      </c>
      <c r="I16" s="24" t="n">
        <v>90999</v>
      </c>
      <c r="J16" s="24" t="n">
        <v>8.02</v>
      </c>
      <c r="K16" s="24" t="n">
        <v>8.02</v>
      </c>
      <c r="L16" s="24" t="n">
        <v>8.02</v>
      </c>
      <c r="M16" s="24" t="n">
        <v>7.95</v>
      </c>
      <c r="N16" s="24" t="n">
        <v>7.95</v>
      </c>
      <c r="O16" s="24" t="n">
        <v>7.95</v>
      </c>
    </row>
    <row r="17">
      <c r="A17" s="25" t="inlineStr"/>
      <c r="B17" s="3" t="n">
        <v>40226</v>
      </c>
      <c r="C17" s="25" t="inlineStr">
        <is>
          <t>GELENEKSEL</t>
        </is>
      </c>
      <c r="D17" s="3" t="n">
        <v>40227</v>
      </c>
      <c r="E17" s="3" t="n">
        <v>40975</v>
      </c>
      <c r="F17" s="25" t="inlineStr">
        <is>
          <t>TRT070312T14</t>
        </is>
      </c>
      <c r="G17" s="11" t="n">
        <v>410000</v>
      </c>
      <c r="H17" s="11" t="n">
        <v>100000</v>
      </c>
      <c r="I17" s="13" t="n">
        <v>120671</v>
      </c>
      <c r="J17" s="13" t="n">
        <v>8.640000000000001</v>
      </c>
      <c r="K17" s="13" t="n">
        <v>8.66</v>
      </c>
      <c r="L17" s="13" t="n">
        <v>8.66</v>
      </c>
      <c r="M17" s="13" t="n">
        <v>8.83</v>
      </c>
      <c r="N17" s="13" t="n">
        <v>8.84</v>
      </c>
      <c r="O17" s="13" t="n">
        <v>8.84</v>
      </c>
    </row>
    <row r="18">
      <c r="A18" s="22" t="inlineStr"/>
      <c r="B18" s="23" t="n">
        <v>40228</v>
      </c>
      <c r="C18" s="22" t="inlineStr">
        <is>
          <t>GELENEKSEL</t>
        </is>
      </c>
      <c r="D18" s="23" t="n">
        <v>40231</v>
      </c>
      <c r="E18" s="23" t="n">
        <v>40674</v>
      </c>
      <c r="F18" s="22" t="inlineStr">
        <is>
          <t>TRT110511T17</t>
        </is>
      </c>
      <c r="G18" s="8" t="n">
        <v>312000</v>
      </c>
      <c r="H18" s="8" t="n">
        <v>100000</v>
      </c>
      <c r="I18" s="24" t="n">
        <v>91023.74000000001</v>
      </c>
      <c r="J18" s="24" t="n">
        <v>8.109999999999999</v>
      </c>
      <c r="K18" s="24" t="n">
        <v>8.130000000000001</v>
      </c>
      <c r="L18" s="24" t="n">
        <v>8.15</v>
      </c>
      <c r="M18" s="24" t="n">
        <v>8.050000000000001</v>
      </c>
      <c r="N18" s="24" t="n">
        <v>8.06</v>
      </c>
      <c r="O18" s="24" t="n">
        <v>8.08</v>
      </c>
    </row>
    <row r="19">
      <c r="A19" s="25" t="inlineStr"/>
      <c r="B19" s="3" t="n">
        <v>40233</v>
      </c>
      <c r="C19" s="25" t="inlineStr">
        <is>
          <t>GELENEKSEL</t>
        </is>
      </c>
      <c r="D19" s="3" t="n">
        <v>40234</v>
      </c>
      <c r="E19" s="3" t="n">
        <v>40975</v>
      </c>
      <c r="F19" s="25"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2" t="inlineStr"/>
      <c r="B20" s="23" t="n">
        <v>40235</v>
      </c>
      <c r="C20" s="22" t="inlineStr">
        <is>
          <t>GELENEKSEL</t>
        </is>
      </c>
      <c r="D20" s="23" t="n">
        <v>40238</v>
      </c>
      <c r="E20" s="23" t="n">
        <v>40758</v>
      </c>
      <c r="F20" s="22" t="inlineStr">
        <is>
          <t>TRT030811T14</t>
        </is>
      </c>
      <c r="G20" s="8" t="n">
        <v>194000</v>
      </c>
      <c r="H20" s="8" t="n">
        <v>100000</v>
      </c>
      <c r="I20" s="24" t="n">
        <v>89026.14</v>
      </c>
      <c r="J20" s="24" t="n">
        <v>8.640000000000001</v>
      </c>
      <c r="K20" s="24" t="n">
        <v>8.65</v>
      </c>
      <c r="L20" s="24" t="n">
        <v>8.65</v>
      </c>
      <c r="M20" s="24" t="n">
        <v>8.49</v>
      </c>
      <c r="N20" s="24" t="n">
        <v>8.5</v>
      </c>
      <c r="O20" s="24" t="n">
        <v>8.5</v>
      </c>
    </row>
    <row r="21">
      <c r="A21" s="25" t="inlineStr"/>
      <c r="B21" s="3" t="n">
        <v>40240</v>
      </c>
      <c r="C21" s="25" t="inlineStr">
        <is>
          <t>GELENEKSEL</t>
        </is>
      </c>
      <c r="D21" s="3" t="n">
        <v>40241</v>
      </c>
      <c r="E21" s="3" t="n">
        <v>40758</v>
      </c>
      <c r="F21" s="25"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2" t="inlineStr"/>
      <c r="B22" s="23" t="n">
        <v>40242</v>
      </c>
      <c r="C22" s="22" t="inlineStr">
        <is>
          <t>GELENEKSEL</t>
        </is>
      </c>
      <c r="D22" s="23" t="n">
        <v>40245</v>
      </c>
      <c r="E22" s="23" t="n">
        <v>40975</v>
      </c>
      <c r="F22" s="22" t="inlineStr">
        <is>
          <t>TRT070312T14</t>
        </is>
      </c>
      <c r="G22" s="8" t="n">
        <v>337000</v>
      </c>
      <c r="H22" s="8" t="n">
        <v>100000</v>
      </c>
      <c r="I22" s="24" t="n">
        <v>120606.06</v>
      </c>
      <c r="J22" s="24" t="n">
        <v>8.94</v>
      </c>
      <c r="K22" s="24" t="n">
        <v>8.94</v>
      </c>
      <c r="L22" s="24" t="n">
        <v>8.94</v>
      </c>
      <c r="M22" s="24" t="n">
        <v>9.140000000000001</v>
      </c>
      <c r="N22" s="24" t="n">
        <v>9.140000000000001</v>
      </c>
      <c r="O22" s="24" t="n">
        <v>9.140000000000001</v>
      </c>
    </row>
    <row r="23">
      <c r="A23" s="25" t="inlineStr"/>
      <c r="B23" s="3" t="n">
        <v>40247</v>
      </c>
      <c r="C23" s="25" t="inlineStr">
        <is>
          <t>GELENEKSEL</t>
        </is>
      </c>
      <c r="D23" s="3" t="n">
        <v>40248</v>
      </c>
      <c r="E23" s="3" t="n">
        <v>40863</v>
      </c>
      <c r="F23" s="25"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2" t="inlineStr"/>
      <c r="B24" s="23" t="n">
        <v>40249</v>
      </c>
      <c r="C24" s="22" t="inlineStr">
        <is>
          <t>GELENEKSEL</t>
        </is>
      </c>
      <c r="D24" s="23" t="n">
        <v>40252</v>
      </c>
      <c r="E24" s="23" t="n">
        <v>41283</v>
      </c>
      <c r="F24" s="22" t="inlineStr">
        <is>
          <t>TRT090113T13</t>
        </is>
      </c>
      <c r="G24" s="8" t="n">
        <v>310000</v>
      </c>
      <c r="H24" s="8" t="n">
        <v>100000</v>
      </c>
      <c r="I24" s="24" t="n">
        <v>102665</v>
      </c>
      <c r="J24" s="24" t="n">
        <v>9.59</v>
      </c>
      <c r="K24" s="24" t="n">
        <v>9.59</v>
      </c>
      <c r="L24" s="24" t="n">
        <v>9.59</v>
      </c>
      <c r="M24" s="24" t="n">
        <v>9.94</v>
      </c>
      <c r="N24" s="24" t="n">
        <v>9.94</v>
      </c>
      <c r="O24" s="24" t="n">
        <v>9.94</v>
      </c>
    </row>
    <row r="25">
      <c r="A25" s="25" t="inlineStr"/>
      <c r="B25" s="3" t="n">
        <v>40254</v>
      </c>
      <c r="C25" s="25" t="inlineStr">
        <is>
          <t>GELENEKSEL</t>
        </is>
      </c>
      <c r="D25" s="3" t="n">
        <v>40255</v>
      </c>
      <c r="E25" s="3" t="n">
        <v>40863</v>
      </c>
      <c r="F25" s="25"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2" t="inlineStr"/>
      <c r="B26" s="23" t="n">
        <v>40256</v>
      </c>
      <c r="C26" s="22" t="inlineStr">
        <is>
          <t>GELENEKSEL</t>
        </is>
      </c>
      <c r="D26" s="23" t="n">
        <v>40259</v>
      </c>
      <c r="E26" s="23" t="n">
        <v>40975</v>
      </c>
      <c r="F26" s="22" t="inlineStr">
        <is>
          <t>TRT070312T14</t>
        </is>
      </c>
      <c r="G26" s="8" t="n">
        <v>297000</v>
      </c>
      <c r="H26" s="8" t="n">
        <v>100000</v>
      </c>
      <c r="I26" s="24" t="n">
        <v>112916.76</v>
      </c>
      <c r="J26" s="24" t="n">
        <v>8.98</v>
      </c>
      <c r="K26" s="24" t="n">
        <v>8.98</v>
      </c>
      <c r="L26" s="24" t="n">
        <v>8.98</v>
      </c>
      <c r="M26" s="24" t="n">
        <v>9.19</v>
      </c>
      <c r="N26" s="24" t="n">
        <v>9.19</v>
      </c>
      <c r="O26" s="24" t="n">
        <v>9.19</v>
      </c>
    </row>
    <row r="27">
      <c r="A27" s="25" t="inlineStr"/>
      <c r="B27" s="3" t="n">
        <v>40261</v>
      </c>
      <c r="C27" s="25" t="inlineStr">
        <is>
          <t>GELENEKSEL</t>
        </is>
      </c>
      <c r="D27" s="3" t="n">
        <v>40262</v>
      </c>
      <c r="E27" s="3" t="n">
        <v>40863</v>
      </c>
      <c r="F27" s="25" t="inlineStr">
        <is>
          <t>TRT161111T14</t>
        </is>
      </c>
      <c r="G27" s="11" t="n">
        <v>440000</v>
      </c>
      <c r="H27" s="11" t="n">
        <v>100000</v>
      </c>
      <c r="I27" s="13" t="n">
        <v>86790</v>
      </c>
      <c r="J27" s="13" t="n">
        <v>9.24</v>
      </c>
      <c r="K27" s="13" t="n">
        <v>9.24</v>
      </c>
      <c r="L27" s="13" t="n">
        <v>9.24</v>
      </c>
      <c r="M27" s="13" t="n">
        <v>8.99</v>
      </c>
      <c r="N27" s="13" t="n">
        <v>8.99</v>
      </c>
      <c r="O27" s="13" t="n">
        <v>8.99</v>
      </c>
    </row>
    <row r="28">
      <c r="A28" s="22" t="inlineStr"/>
      <c r="B28" s="23" t="n">
        <v>40263</v>
      </c>
      <c r="C28" s="22" t="inlineStr">
        <is>
          <t>GELENEKSEL</t>
        </is>
      </c>
      <c r="D28" s="23" t="n">
        <v>40266</v>
      </c>
      <c r="E28" s="23" t="n">
        <v>41283</v>
      </c>
      <c r="F28" s="22" t="inlineStr">
        <is>
          <t>TRT090113T13</t>
        </is>
      </c>
      <c r="G28" s="8" t="n">
        <v>203000</v>
      </c>
      <c r="H28" s="8" t="n">
        <v>100000</v>
      </c>
      <c r="I28" s="24" t="n">
        <v>103505.85</v>
      </c>
      <c r="J28" s="24" t="n">
        <v>9.369999999999999</v>
      </c>
      <c r="K28" s="24" t="n">
        <v>9.41</v>
      </c>
      <c r="L28" s="24" t="n">
        <v>9.44</v>
      </c>
      <c r="M28" s="24" t="n">
        <v>9.710000000000001</v>
      </c>
      <c r="N28" s="24" t="n">
        <v>9.74</v>
      </c>
      <c r="O28" s="24" t="n">
        <v>9.779999999999999</v>
      </c>
    </row>
    <row r="29">
      <c r="A29" s="25" t="inlineStr"/>
      <c r="B29" s="3" t="n">
        <v>40268</v>
      </c>
      <c r="C29" s="25" t="inlineStr">
        <is>
          <t>GELENEKSEL</t>
        </is>
      </c>
      <c r="D29" s="3" t="n">
        <v>40269</v>
      </c>
      <c r="E29" s="3" t="n">
        <v>40863</v>
      </c>
      <c r="F29" s="25" t="inlineStr">
        <is>
          <t>TRT161111T14</t>
        </is>
      </c>
      <c r="G29" s="11" t="n">
        <v>535000</v>
      </c>
      <c r="H29" s="11" t="n">
        <v>100000</v>
      </c>
      <c r="I29" s="13" t="n">
        <v>87132.64999999999</v>
      </c>
      <c r="J29" s="13" t="n">
        <v>9.07</v>
      </c>
      <c r="K29" s="13" t="n">
        <v>9.07</v>
      </c>
      <c r="L29" s="13" t="n">
        <v>9.08</v>
      </c>
      <c r="M29" s="13" t="n">
        <v>8.83</v>
      </c>
      <c r="N29" s="13" t="n">
        <v>8.83</v>
      </c>
      <c r="O29" s="13" t="n">
        <v>8.84</v>
      </c>
    </row>
    <row r="30">
      <c r="A30" s="22" t="inlineStr"/>
      <c r="B30" s="23" t="n">
        <v>40270</v>
      </c>
      <c r="C30" s="22" t="inlineStr">
        <is>
          <t>GELENEKSEL</t>
        </is>
      </c>
      <c r="D30" s="23" t="n">
        <v>40273</v>
      </c>
      <c r="E30" s="23" t="n">
        <v>40975</v>
      </c>
      <c r="F30" s="22" t="inlineStr">
        <is>
          <t>TRT070312T14</t>
        </is>
      </c>
      <c r="G30" s="8" t="n">
        <v>190000</v>
      </c>
      <c r="H30" s="8" t="n">
        <v>100000</v>
      </c>
      <c r="I30" s="24" t="n">
        <v>113795.78</v>
      </c>
      <c r="J30" s="24" t="n">
        <v>8.69</v>
      </c>
      <c r="K30" s="24" t="n">
        <v>8.720000000000001</v>
      </c>
      <c r="L30" s="24" t="n">
        <v>8.75</v>
      </c>
      <c r="M30" s="24" t="n">
        <v>8.880000000000001</v>
      </c>
      <c r="N30" s="24" t="n">
        <v>8.91</v>
      </c>
      <c r="O30" s="24" t="n">
        <v>8.94</v>
      </c>
    </row>
    <row r="31">
      <c r="A31" s="25" t="inlineStr"/>
      <c r="B31" s="3" t="n">
        <v>40275</v>
      </c>
      <c r="C31" s="25" t="inlineStr">
        <is>
          <t>GELENEKSEL</t>
        </is>
      </c>
      <c r="D31" s="3" t="n">
        <v>40276</v>
      </c>
      <c r="E31" s="3" t="n">
        <v>40863</v>
      </c>
      <c r="F31" s="25"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2" t="inlineStr"/>
      <c r="B32" s="23" t="n">
        <v>40277</v>
      </c>
      <c r="C32" s="22" t="inlineStr">
        <is>
          <t>GELENEKSEL</t>
        </is>
      </c>
      <c r="D32" s="23" t="n">
        <v>40280</v>
      </c>
      <c r="E32" s="23" t="n">
        <v>41283</v>
      </c>
      <c r="F32" s="22" t="inlineStr">
        <is>
          <t>TRT090113T13</t>
        </is>
      </c>
      <c r="G32" s="8" t="n">
        <v>228000</v>
      </c>
      <c r="H32" s="8" t="n">
        <v>100000</v>
      </c>
      <c r="I32" s="24" t="n">
        <v>104393.1</v>
      </c>
      <c r="J32" s="24" t="n">
        <v>9.19</v>
      </c>
      <c r="K32" s="24" t="n">
        <v>9.19</v>
      </c>
      <c r="L32" s="24" t="n">
        <v>9.19</v>
      </c>
      <c r="M32" s="24" t="n">
        <v>9.51</v>
      </c>
      <c r="N32" s="24" t="n">
        <v>9.51</v>
      </c>
      <c r="O32" s="24" t="n">
        <v>9.51</v>
      </c>
    </row>
    <row r="33">
      <c r="A33" s="25" t="inlineStr"/>
      <c r="B33" s="3" t="n">
        <v>40282</v>
      </c>
      <c r="C33" s="25" t="inlineStr">
        <is>
          <t>GELENEKSEL</t>
        </is>
      </c>
      <c r="D33" s="3" t="n">
        <v>40283</v>
      </c>
      <c r="E33" s="3" t="n">
        <v>40863</v>
      </c>
      <c r="F33" s="25" t="inlineStr">
        <is>
          <t>TRT161111T14</t>
        </is>
      </c>
      <c r="G33" s="11" t="n">
        <v>248000</v>
      </c>
      <c r="H33" s="11" t="n">
        <v>100000</v>
      </c>
      <c r="I33" s="13" t="n">
        <v>87413.86</v>
      </c>
      <c r="J33" s="13" t="n">
        <v>9.039999999999999</v>
      </c>
      <c r="K33" s="13" t="n">
        <v>9.06</v>
      </c>
      <c r="L33" s="13" t="n">
        <v>9.07</v>
      </c>
      <c r="M33" s="13" t="n">
        <v>8.81</v>
      </c>
      <c r="N33" s="13" t="n">
        <v>8.83</v>
      </c>
      <c r="O33" s="13" t="n">
        <v>8.84</v>
      </c>
    </row>
    <row r="34">
      <c r="A34" s="22" t="inlineStr"/>
      <c r="B34" s="23" t="n">
        <v>40284</v>
      </c>
      <c r="C34" s="22" t="inlineStr">
        <is>
          <t>GELENEKSEL</t>
        </is>
      </c>
      <c r="D34" s="23" t="n">
        <v>40287</v>
      </c>
      <c r="E34" s="23" t="n">
        <v>40975</v>
      </c>
      <c r="F34" s="22" t="inlineStr">
        <is>
          <t>TRT070312T14</t>
        </is>
      </c>
      <c r="G34" s="8" t="n">
        <v>111000</v>
      </c>
      <c r="H34" s="8" t="n">
        <v>100000</v>
      </c>
      <c r="I34" s="24" t="n">
        <v>114256.24</v>
      </c>
      <c r="J34" s="24" t="n">
        <v>8.59</v>
      </c>
      <c r="K34" s="24" t="n">
        <v>8.67</v>
      </c>
      <c r="L34" s="24" t="n">
        <v>8.720000000000001</v>
      </c>
      <c r="M34" s="24" t="n">
        <v>8.779999999999999</v>
      </c>
      <c r="N34" s="24" t="n">
        <v>8.859999999999999</v>
      </c>
      <c r="O34" s="24" t="n">
        <v>8.91</v>
      </c>
    </row>
    <row r="35">
      <c r="A35" s="25" t="inlineStr"/>
      <c r="B35" s="3" t="n">
        <v>40289</v>
      </c>
      <c r="C35" s="25" t="inlineStr">
        <is>
          <t>GELENEKSEL</t>
        </is>
      </c>
      <c r="D35" s="3" t="n">
        <v>40290</v>
      </c>
      <c r="E35" s="3" t="n">
        <v>40863</v>
      </c>
      <c r="F35" s="25"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2" t="inlineStr"/>
      <c r="B36" s="23" t="n">
        <v>40296</v>
      </c>
      <c r="C36" s="22" t="inlineStr">
        <is>
          <t>GELENEKSEL</t>
        </is>
      </c>
      <c r="D36" s="23" t="n">
        <v>40297</v>
      </c>
      <c r="E36" s="23" t="n">
        <v>41283</v>
      </c>
      <c r="F36" s="22" t="inlineStr">
        <is>
          <t>TRT090113T13</t>
        </is>
      </c>
      <c r="G36" s="8" t="n">
        <v>521000</v>
      </c>
      <c r="H36" s="8" t="n">
        <v>100000</v>
      </c>
      <c r="I36" s="24" t="n">
        <v>101446.05</v>
      </c>
      <c r="J36" s="24" t="n">
        <v>9.5</v>
      </c>
      <c r="K36" s="24" t="n">
        <v>9.56</v>
      </c>
      <c r="L36" s="24" t="n">
        <v>9.640000000000001</v>
      </c>
      <c r="M36" s="24" t="n">
        <v>9.84</v>
      </c>
      <c r="N36" s="24" t="n">
        <v>9.91</v>
      </c>
      <c r="O36" s="24" t="n">
        <v>9.99</v>
      </c>
    </row>
    <row r="37">
      <c r="A37" s="25" t="inlineStr"/>
      <c r="B37" s="3" t="n">
        <v>40298</v>
      </c>
      <c r="C37" s="25" t="inlineStr">
        <is>
          <t>GELENEKSEL</t>
        </is>
      </c>
      <c r="D37" s="3" t="n">
        <v>40301</v>
      </c>
      <c r="E37" s="3" t="n">
        <v>41283</v>
      </c>
      <c r="F37" s="25"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2" t="inlineStr"/>
      <c r="B38" s="23" t="n">
        <v>40303</v>
      </c>
      <c r="C38" s="22" t="inlineStr">
        <is>
          <t>GELENEKSEL</t>
        </is>
      </c>
      <c r="D38" s="23" t="n">
        <v>40304</v>
      </c>
      <c r="E38" s="23" t="n">
        <v>40863</v>
      </c>
      <c r="F38" s="22" t="inlineStr">
        <is>
          <t>TRT161111T14</t>
        </is>
      </c>
      <c r="G38" s="8" t="n">
        <v>269000</v>
      </c>
      <c r="H38" s="8" t="n">
        <v>100000</v>
      </c>
      <c r="I38" s="24" t="n">
        <v>87043</v>
      </c>
      <c r="J38" s="24" t="n">
        <v>9.720000000000001</v>
      </c>
      <c r="K38" s="24" t="n">
        <v>9.720000000000001</v>
      </c>
      <c r="L38" s="24" t="n">
        <v>9.720000000000001</v>
      </c>
      <c r="M38" s="24" t="n">
        <v>9.48</v>
      </c>
      <c r="N38" s="24" t="n">
        <v>9.48</v>
      </c>
      <c r="O38" s="24" t="n">
        <v>9.48</v>
      </c>
    </row>
    <row r="39">
      <c r="A39" s="25" t="inlineStr"/>
      <c r="B39" s="3" t="n">
        <v>40305</v>
      </c>
      <c r="C39" s="25" t="inlineStr">
        <is>
          <t>GELENEKSEL</t>
        </is>
      </c>
      <c r="D39" s="3" t="n">
        <v>40308</v>
      </c>
      <c r="E39" s="3" t="n">
        <v>40933</v>
      </c>
      <c r="F39" s="25"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2" t="inlineStr"/>
      <c r="B40" s="23" t="n">
        <v>40310</v>
      </c>
      <c r="C40" s="22" t="inlineStr">
        <is>
          <t>GELENEKSEL</t>
        </is>
      </c>
      <c r="D40" s="23" t="n">
        <v>40311</v>
      </c>
      <c r="E40" s="23" t="n">
        <v>40863</v>
      </c>
      <c r="F40" s="22" t="inlineStr">
        <is>
          <t>TRT161111T14</t>
        </is>
      </c>
      <c r="G40" s="8" t="n">
        <v>276000</v>
      </c>
      <c r="H40" s="8" t="n">
        <v>100000</v>
      </c>
      <c r="I40" s="24" t="n">
        <v>87597.39999999999</v>
      </c>
      <c r="J40" s="24" t="n">
        <v>9.35</v>
      </c>
      <c r="K40" s="24" t="n">
        <v>9.359999999999999</v>
      </c>
      <c r="L40" s="24" t="n">
        <v>9.369999999999999</v>
      </c>
      <c r="M40" s="24" t="n">
        <v>9.140000000000001</v>
      </c>
      <c r="N40" s="24" t="n">
        <v>9.15</v>
      </c>
      <c r="O40" s="24" t="n">
        <v>9.16</v>
      </c>
    </row>
    <row r="41">
      <c r="A41" s="25" t="inlineStr"/>
      <c r="B41" s="3" t="n">
        <v>40312</v>
      </c>
      <c r="C41" s="25" t="inlineStr">
        <is>
          <t>GELENEKSEL</t>
        </is>
      </c>
      <c r="D41" s="3" t="n">
        <v>40315</v>
      </c>
      <c r="E41" s="3" t="n">
        <v>41283</v>
      </c>
      <c r="F41" s="25"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2" t="inlineStr"/>
      <c r="B42" s="23" t="n">
        <v>40319</v>
      </c>
      <c r="C42" s="22" t="inlineStr">
        <is>
          <t>GELENEKSEL</t>
        </is>
      </c>
      <c r="D42" s="23" t="n">
        <v>40322</v>
      </c>
      <c r="E42" s="23" t="n">
        <v>40863</v>
      </c>
      <c r="F42" s="22" t="inlineStr">
        <is>
          <t>TRT161111T14</t>
        </is>
      </c>
      <c r="G42" s="8" t="n">
        <v>240000</v>
      </c>
      <c r="H42" s="8" t="n">
        <v>100000</v>
      </c>
      <c r="I42" s="24" t="n">
        <v>87883.75</v>
      </c>
      <c r="J42" s="24" t="n">
        <v>9.289999999999999</v>
      </c>
      <c r="K42" s="24" t="n">
        <v>9.300000000000001</v>
      </c>
      <c r="L42" s="24" t="n">
        <v>9.31</v>
      </c>
      <c r="M42" s="24" t="n">
        <v>9.09</v>
      </c>
      <c r="N42" s="24" t="n">
        <v>9.1</v>
      </c>
      <c r="O42" s="24" t="n">
        <v>9.109999999999999</v>
      </c>
    </row>
    <row r="43">
      <c r="A43" s="25" t="inlineStr"/>
      <c r="B43" s="3" t="n">
        <v>40324</v>
      </c>
      <c r="C43" s="25" t="inlineStr">
        <is>
          <t>GELENEKSEL</t>
        </is>
      </c>
      <c r="D43" s="3" t="n">
        <v>40325</v>
      </c>
      <c r="E43" s="3" t="n">
        <v>40933</v>
      </c>
      <c r="F43" s="25"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2" t="inlineStr"/>
      <c r="B44" s="23" t="n">
        <v>40326</v>
      </c>
      <c r="C44" s="22" t="inlineStr">
        <is>
          <t>GELENEKSEL</t>
        </is>
      </c>
      <c r="D44" s="23" t="n">
        <v>40329</v>
      </c>
      <c r="E44" s="23" t="n">
        <v>41283</v>
      </c>
      <c r="F44" s="22" t="inlineStr">
        <is>
          <t>TRT090113T13</t>
        </is>
      </c>
      <c r="G44" s="8" t="n">
        <v>126000</v>
      </c>
      <c r="H44" s="8" t="n">
        <v>100000</v>
      </c>
      <c r="I44" s="24" t="n">
        <v>103058</v>
      </c>
      <c r="J44" s="24" t="n">
        <v>9.220000000000001</v>
      </c>
      <c r="K44" s="24" t="n">
        <v>9.23</v>
      </c>
      <c r="L44" s="24" t="n">
        <v>9.23</v>
      </c>
      <c r="M44" s="24" t="n">
        <v>9.539999999999999</v>
      </c>
      <c r="N44" s="24" t="n">
        <v>9.56</v>
      </c>
      <c r="O44" s="24" t="n">
        <v>9.56</v>
      </c>
    </row>
    <row r="45">
      <c r="A45" s="25" t="inlineStr"/>
      <c r="B45" s="3" t="n">
        <v>40331</v>
      </c>
      <c r="C45" s="25" t="inlineStr">
        <is>
          <t>GELENEKSEL</t>
        </is>
      </c>
      <c r="D45" s="3" t="n">
        <v>40332</v>
      </c>
      <c r="E45" s="3" t="n">
        <v>40933</v>
      </c>
      <c r="F45" s="25"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2" t="inlineStr"/>
      <c r="B46" s="23" t="n">
        <v>40333</v>
      </c>
      <c r="C46" s="22" t="inlineStr">
        <is>
          <t>GELENEKSEL</t>
        </is>
      </c>
      <c r="D46" s="23" t="n">
        <v>40336</v>
      </c>
      <c r="E46" s="23" t="n">
        <v>41283</v>
      </c>
      <c r="F46" s="22" t="inlineStr">
        <is>
          <t>TRT090113T13</t>
        </is>
      </c>
      <c r="G46" s="8" t="n">
        <v>187000</v>
      </c>
      <c r="H46" s="8" t="n">
        <v>100000</v>
      </c>
      <c r="I46" s="24" t="n">
        <v>103927.63</v>
      </c>
      <c r="J46" s="24" t="n">
        <v>8.869999999999999</v>
      </c>
      <c r="K46" s="24" t="n">
        <v>8.94</v>
      </c>
      <c r="L46" s="24" t="n">
        <v>8.970000000000001</v>
      </c>
      <c r="M46" s="24" t="n">
        <v>9.17</v>
      </c>
      <c r="N46" s="24" t="n">
        <v>9.24</v>
      </c>
      <c r="O46" s="24" t="n">
        <v>9.27</v>
      </c>
    </row>
    <row r="47">
      <c r="A47" s="25" t="inlineStr"/>
      <c r="B47" s="3" t="n">
        <v>40338</v>
      </c>
      <c r="C47" s="25" t="inlineStr">
        <is>
          <t>GELENEKSEL</t>
        </is>
      </c>
      <c r="D47" s="3" t="n">
        <v>40339</v>
      </c>
      <c r="E47" s="3" t="n">
        <v>40933</v>
      </c>
      <c r="F47" s="25"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2" t="inlineStr"/>
      <c r="B48" s="23" t="n">
        <v>40340</v>
      </c>
      <c r="C48" s="22" t="inlineStr">
        <is>
          <t>GELENEKSEL</t>
        </is>
      </c>
      <c r="D48" s="23" t="n">
        <v>40343</v>
      </c>
      <c r="E48" s="23" t="n">
        <v>40975</v>
      </c>
      <c r="F48" s="22" t="inlineStr">
        <is>
          <t>TRT070312T14</t>
        </is>
      </c>
      <c r="G48" s="8" t="n">
        <v>261000</v>
      </c>
      <c r="H48" s="8" t="n">
        <v>100000</v>
      </c>
      <c r="I48" s="24" t="n">
        <v>115901.45</v>
      </c>
      <c r="J48" s="24" t="n">
        <v>8.56</v>
      </c>
      <c r="K48" s="24" t="n">
        <v>8.59</v>
      </c>
      <c r="L48" s="24" t="n">
        <v>8.66</v>
      </c>
      <c r="M48" s="24" t="n">
        <v>8.75</v>
      </c>
      <c r="N48" s="24" t="n">
        <v>8.779999999999999</v>
      </c>
      <c r="O48" s="24" t="n">
        <v>8.84</v>
      </c>
    </row>
    <row r="49">
      <c r="A49" s="25" t="inlineStr"/>
      <c r="B49" s="3" t="n">
        <v>40345</v>
      </c>
      <c r="C49" s="25" t="inlineStr">
        <is>
          <t>GELENEKSEL</t>
        </is>
      </c>
      <c r="D49" s="3" t="n">
        <v>40346</v>
      </c>
      <c r="E49" s="3" t="n">
        <v>40933</v>
      </c>
      <c r="F49" s="25" t="inlineStr">
        <is>
          <t>TRT250112T14</t>
        </is>
      </c>
      <c r="G49" s="11" t="n">
        <v>430000</v>
      </c>
      <c r="H49" s="11" t="n">
        <v>100000</v>
      </c>
      <c r="I49" s="13" t="n">
        <v>87275.7</v>
      </c>
      <c r="J49" s="13" t="n">
        <v>9.06</v>
      </c>
      <c r="K49" s="13" t="n">
        <v>9.07</v>
      </c>
      <c r="L49" s="13" t="n">
        <v>9.07</v>
      </c>
      <c r="M49" s="13" t="n">
        <v>8.83</v>
      </c>
      <c r="N49" s="13" t="n">
        <v>8.83</v>
      </c>
      <c r="O49" s="13" t="n">
        <v>8.84</v>
      </c>
    </row>
    <row r="50">
      <c r="A50" s="22" t="inlineStr"/>
      <c r="B50" s="23" t="n">
        <v>40347</v>
      </c>
      <c r="C50" s="22" t="inlineStr">
        <is>
          <t>GELENEKSEL</t>
        </is>
      </c>
      <c r="D50" s="23" t="n">
        <v>40350</v>
      </c>
      <c r="E50" s="23" t="n">
        <v>41283</v>
      </c>
      <c r="F50" s="22" t="inlineStr">
        <is>
          <t>TRT090113T13</t>
        </is>
      </c>
      <c r="G50" s="8" t="n">
        <v>146000</v>
      </c>
      <c r="H50" s="8" t="n">
        <v>100000</v>
      </c>
      <c r="I50" s="24" t="n">
        <v>104318.66</v>
      </c>
      <c r="J50" s="24" t="n">
        <v>8.91</v>
      </c>
      <c r="K50" s="24" t="n">
        <v>8.92</v>
      </c>
      <c r="L50" s="24" t="n">
        <v>8.94</v>
      </c>
      <c r="M50" s="24" t="n">
        <v>9.210000000000001</v>
      </c>
      <c r="N50" s="24" t="n">
        <v>9.220000000000001</v>
      </c>
      <c r="O50" s="24" t="n">
        <v>9.24</v>
      </c>
    </row>
    <row r="51">
      <c r="A51" s="25" t="inlineStr"/>
      <c r="B51" s="3" t="n">
        <v>40352</v>
      </c>
      <c r="C51" s="25" t="inlineStr">
        <is>
          <t>GELENEKSEL</t>
        </is>
      </c>
      <c r="D51" s="3" t="n">
        <v>40353</v>
      </c>
      <c r="E51" s="3" t="n">
        <v>40933</v>
      </c>
      <c r="F51" s="25" t="inlineStr">
        <is>
          <t>TRT250112T14</t>
        </is>
      </c>
      <c r="G51" s="11" t="n">
        <v>615000</v>
      </c>
      <c r="H51" s="11" t="n">
        <v>100000</v>
      </c>
      <c r="I51" s="13" t="n">
        <v>87508.14999999999</v>
      </c>
      <c r="J51" s="13" t="n">
        <v>8.98</v>
      </c>
      <c r="K51" s="13" t="n">
        <v>8.98</v>
      </c>
      <c r="L51" s="13" t="n">
        <v>8.99</v>
      </c>
      <c r="M51" s="13" t="n">
        <v>8.76</v>
      </c>
      <c r="N51" s="13" t="n">
        <v>8.76</v>
      </c>
      <c r="O51" s="13" t="n">
        <v>8.76</v>
      </c>
    </row>
    <row r="52">
      <c r="A52" s="22" t="inlineStr"/>
      <c r="B52" s="23" t="n">
        <v>40354</v>
      </c>
      <c r="C52" s="22" t="inlineStr">
        <is>
          <t>GELENEKSEL</t>
        </is>
      </c>
      <c r="D52" s="23" t="n">
        <v>40357</v>
      </c>
      <c r="E52" s="23" t="n">
        <v>40933</v>
      </c>
      <c r="F52" s="22" t="inlineStr">
        <is>
          <t>TRT250112T14</t>
        </is>
      </c>
      <c r="G52" s="8" t="n">
        <v>605000</v>
      </c>
      <c r="H52" s="8" t="n">
        <v>100000</v>
      </c>
      <c r="I52" s="24" t="n">
        <v>87471.95</v>
      </c>
      <c r="J52" s="24" t="n">
        <v>9.07</v>
      </c>
      <c r="K52" s="24" t="n">
        <v>9.08</v>
      </c>
      <c r="L52" s="24" t="n">
        <v>9.08</v>
      </c>
      <c r="M52" s="24" t="n">
        <v>8.85</v>
      </c>
      <c r="N52" s="24" t="n">
        <v>8.85</v>
      </c>
      <c r="O52" s="24" t="n">
        <v>8.859999999999999</v>
      </c>
    </row>
    <row r="53">
      <c r="A53" s="25" t="inlineStr"/>
      <c r="B53" s="3" t="n">
        <v>40359</v>
      </c>
      <c r="C53" s="25" t="inlineStr">
        <is>
          <t>GELENEKSEL</t>
        </is>
      </c>
      <c r="D53" s="3" t="n">
        <v>40360</v>
      </c>
      <c r="E53" s="3" t="n">
        <v>40933</v>
      </c>
      <c r="F53" s="25"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2" t="inlineStr"/>
      <c r="B54" s="23" t="n">
        <v>40361</v>
      </c>
      <c r="C54" s="22" t="inlineStr">
        <is>
          <t>GELENEKSEL</t>
        </is>
      </c>
      <c r="D54" s="23" t="n">
        <v>40364</v>
      </c>
      <c r="E54" s="23" t="n">
        <v>41283</v>
      </c>
      <c r="F54" s="22" t="inlineStr">
        <is>
          <t>TRT090113T13</t>
        </is>
      </c>
      <c r="G54" s="8" t="n">
        <v>146000</v>
      </c>
      <c r="H54" s="8" t="n">
        <v>100000</v>
      </c>
      <c r="I54" s="24" t="n">
        <v>104988.8</v>
      </c>
      <c r="J54" s="24" t="n">
        <v>8.75</v>
      </c>
      <c r="K54" s="24" t="n">
        <v>8.779999999999999</v>
      </c>
      <c r="L54" s="24" t="n">
        <v>8.81</v>
      </c>
      <c r="M54" s="24" t="n">
        <v>9.039999999999999</v>
      </c>
      <c r="N54" s="24" t="n">
        <v>9.07</v>
      </c>
      <c r="O54" s="24" t="n">
        <v>9.109999999999999</v>
      </c>
    </row>
    <row r="55">
      <c r="A55" s="25" t="inlineStr"/>
      <c r="B55" s="3" t="n">
        <v>40366</v>
      </c>
      <c r="C55" s="25" t="inlineStr">
        <is>
          <t>GELENEKSEL</t>
        </is>
      </c>
      <c r="D55" s="3" t="n">
        <v>40367</v>
      </c>
      <c r="E55" s="3" t="n">
        <v>40933</v>
      </c>
      <c r="F55" s="25"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2" t="inlineStr"/>
      <c r="B56" s="23" t="n">
        <v>40368</v>
      </c>
      <c r="C56" s="22" t="inlineStr">
        <is>
          <t>GELENEKSEL</t>
        </is>
      </c>
      <c r="D56" s="23" t="n">
        <v>40371</v>
      </c>
      <c r="E56" s="23" t="n">
        <v>40975</v>
      </c>
      <c r="F56" s="22" t="inlineStr">
        <is>
          <t>TRT070312T14</t>
        </is>
      </c>
      <c r="G56" s="8" t="n">
        <v>196000</v>
      </c>
      <c r="H56" s="8" t="n">
        <v>100000</v>
      </c>
      <c r="I56" s="24" t="n">
        <v>117292.5</v>
      </c>
      <c r="J56" s="24" t="n">
        <v>8.19</v>
      </c>
      <c r="K56" s="24" t="n">
        <v>8.19</v>
      </c>
      <c r="L56" s="24" t="n">
        <v>8.220000000000001</v>
      </c>
      <c r="M56" s="24" t="n">
        <v>8.359999999999999</v>
      </c>
      <c r="N56" s="24" t="n">
        <v>8.359999999999999</v>
      </c>
      <c r="O56" s="24" t="n">
        <v>8.390000000000001</v>
      </c>
    </row>
    <row r="57">
      <c r="A57" s="25" t="inlineStr"/>
      <c r="B57" s="3" t="n">
        <v>40373</v>
      </c>
      <c r="C57" s="25" t="inlineStr">
        <is>
          <t>GELENEKSEL</t>
        </is>
      </c>
      <c r="D57" s="3" t="n">
        <v>40374</v>
      </c>
      <c r="E57" s="3" t="n">
        <v>40933</v>
      </c>
      <c r="F57" s="25"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2" t="inlineStr"/>
      <c r="B58" s="23" t="n">
        <v>40375</v>
      </c>
      <c r="C58" s="22" t="inlineStr">
        <is>
          <t>GELENEKSEL</t>
        </is>
      </c>
      <c r="D58" s="23" t="n">
        <v>40378</v>
      </c>
      <c r="E58" s="23" t="n">
        <v>41283</v>
      </c>
      <c r="F58" s="22" t="inlineStr">
        <is>
          <t>TRT090113T13</t>
        </is>
      </c>
      <c r="G58" s="8" t="n">
        <v>193000</v>
      </c>
      <c r="H58" s="8" t="n">
        <v>100000</v>
      </c>
      <c r="I58" s="24" t="n">
        <v>103563.05</v>
      </c>
      <c r="J58" s="24" t="n">
        <v>8.44</v>
      </c>
      <c r="K58" s="24" t="n">
        <v>8.449999999999999</v>
      </c>
      <c r="L58" s="24" t="n">
        <v>8.470000000000001</v>
      </c>
      <c r="M58" s="24" t="n">
        <v>8.710000000000001</v>
      </c>
      <c r="N58" s="24" t="n">
        <v>8.720000000000001</v>
      </c>
      <c r="O58" s="24" t="n">
        <v>8.74</v>
      </c>
    </row>
    <row r="59">
      <c r="A59" s="25" t="inlineStr"/>
      <c r="B59" s="3" t="n">
        <v>40380</v>
      </c>
      <c r="C59" s="25" t="inlineStr">
        <is>
          <t>GELENEKSEL</t>
        </is>
      </c>
      <c r="D59" s="3" t="n">
        <v>40381</v>
      </c>
      <c r="E59" s="3" t="n">
        <v>40933</v>
      </c>
      <c r="F59" s="25"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2" t="inlineStr"/>
      <c r="B60" s="23" t="n">
        <v>40382</v>
      </c>
      <c r="C60" s="22" t="inlineStr">
        <is>
          <t>GELENEKSEL</t>
        </is>
      </c>
      <c r="D60" s="23" t="n">
        <v>40385</v>
      </c>
      <c r="E60" s="23" t="n">
        <v>40975</v>
      </c>
      <c r="F60" s="22" t="inlineStr">
        <is>
          <t>TRT070312T14</t>
        </is>
      </c>
      <c r="G60" s="8" t="n">
        <v>171000</v>
      </c>
      <c r="H60" s="8" t="n">
        <v>100000</v>
      </c>
      <c r="I60" s="24" t="n">
        <v>118013.75</v>
      </c>
      <c r="J60" s="24" t="n">
        <v>7.97</v>
      </c>
      <c r="K60" s="24" t="n">
        <v>7.97</v>
      </c>
      <c r="L60" s="24" t="n">
        <v>8</v>
      </c>
      <c r="M60" s="24" t="n">
        <v>8.130000000000001</v>
      </c>
      <c r="N60" s="24" t="n">
        <v>8.130000000000001</v>
      </c>
      <c r="O60" s="24" t="n">
        <v>8.16</v>
      </c>
    </row>
    <row r="61">
      <c r="A61" s="25" t="inlineStr"/>
      <c r="B61" s="3" t="n">
        <v>40387</v>
      </c>
      <c r="C61" s="25" t="inlineStr">
        <is>
          <t>GELENEKSEL</t>
        </is>
      </c>
      <c r="D61" s="3" t="n">
        <v>40388</v>
      </c>
      <c r="E61" s="3" t="n">
        <v>40933</v>
      </c>
      <c r="F61" s="25" t="inlineStr">
        <is>
          <t>TRT250112T14</t>
        </is>
      </c>
      <c r="G61" s="11" t="n">
        <v>599000</v>
      </c>
      <c r="H61" s="11" t="n">
        <v>100000</v>
      </c>
      <c r="I61" s="13" t="n">
        <v>88914</v>
      </c>
      <c r="J61" s="13" t="n">
        <v>8.35</v>
      </c>
      <c r="K61" s="13" t="n">
        <v>8.35</v>
      </c>
      <c r="L61" s="13" t="n">
        <v>8.35</v>
      </c>
      <c r="M61" s="13" t="n">
        <v>8.19</v>
      </c>
      <c r="N61" s="13" t="n">
        <v>8.19</v>
      </c>
      <c r="O61" s="13" t="n">
        <v>8.19</v>
      </c>
    </row>
    <row r="62">
      <c r="A62" s="22" t="inlineStr"/>
      <c r="B62" s="23" t="n">
        <v>40389</v>
      </c>
      <c r="C62" s="22" t="inlineStr">
        <is>
          <t>GELENEKSEL</t>
        </is>
      </c>
      <c r="D62" s="23" t="n">
        <v>40392</v>
      </c>
      <c r="E62" s="23" t="n">
        <v>41283</v>
      </c>
      <c r="F62" s="22" t="inlineStr">
        <is>
          <t>TRT090113T13</t>
        </is>
      </c>
      <c r="G62" s="8" t="n">
        <v>312000</v>
      </c>
      <c r="H62" s="8" t="n">
        <v>100000</v>
      </c>
      <c r="I62" s="24" t="n">
        <v>104262</v>
      </c>
      <c r="J62" s="24" t="n">
        <v>8.300000000000001</v>
      </c>
      <c r="K62" s="24" t="n">
        <v>8.300000000000001</v>
      </c>
      <c r="L62" s="24" t="n">
        <v>8.300000000000001</v>
      </c>
      <c r="M62" s="24" t="n">
        <v>8.56</v>
      </c>
      <c r="N62" s="24" t="n">
        <v>8.56</v>
      </c>
      <c r="O62" s="24" t="n">
        <v>8.56</v>
      </c>
    </row>
    <row r="63">
      <c r="A63" s="25" t="inlineStr"/>
      <c r="B63" s="3" t="n">
        <v>40394</v>
      </c>
      <c r="C63" s="25" t="inlineStr">
        <is>
          <t>GELENEKSEL</t>
        </is>
      </c>
      <c r="D63" s="3" t="n">
        <v>40395</v>
      </c>
      <c r="E63" s="3" t="n">
        <v>41024</v>
      </c>
      <c r="F63" s="25" t="inlineStr">
        <is>
          <t>TRT250412T11</t>
        </is>
      </c>
      <c r="G63" s="11" t="n">
        <v>492000</v>
      </c>
      <c r="H63" s="11" t="n">
        <v>100000</v>
      </c>
      <c r="I63" s="13" t="n">
        <v>87098</v>
      </c>
      <c r="J63" s="13" t="n">
        <v>8.6</v>
      </c>
      <c r="K63" s="13" t="n">
        <v>8.6</v>
      </c>
      <c r="L63" s="13" t="n">
        <v>8.6</v>
      </c>
      <c r="M63" s="13" t="n">
        <v>8.35</v>
      </c>
      <c r="N63" s="13" t="n">
        <v>8.35</v>
      </c>
      <c r="O63" s="13" t="n">
        <v>8.35</v>
      </c>
    </row>
    <row r="64">
      <c r="A64" s="22" t="inlineStr"/>
      <c r="B64" s="23" t="n">
        <v>40401</v>
      </c>
      <c r="C64" s="22" t="inlineStr">
        <is>
          <t>GELENEKSEL</t>
        </is>
      </c>
      <c r="D64" s="23" t="n">
        <v>40402</v>
      </c>
      <c r="E64" s="23" t="n">
        <v>41024</v>
      </c>
      <c r="F64" s="22" t="inlineStr">
        <is>
          <t>TRT250412T11</t>
        </is>
      </c>
      <c r="G64" s="8" t="n">
        <v>577000</v>
      </c>
      <c r="H64" s="8" t="n">
        <v>100000</v>
      </c>
      <c r="I64" s="24" t="n">
        <v>87045</v>
      </c>
      <c r="J64" s="24" t="n">
        <v>8.73</v>
      </c>
      <c r="K64" s="24" t="n">
        <v>8.73</v>
      </c>
      <c r="L64" s="24" t="n">
        <v>8.73</v>
      </c>
      <c r="M64" s="24" t="n">
        <v>8.48</v>
      </c>
      <c r="N64" s="24" t="n">
        <v>8.48</v>
      </c>
      <c r="O64" s="24" t="n">
        <v>8.48</v>
      </c>
    </row>
    <row r="65">
      <c r="A65" s="25" t="inlineStr"/>
      <c r="B65" s="3" t="n">
        <v>40408</v>
      </c>
      <c r="C65" s="25" t="inlineStr">
        <is>
          <t>GELENEKSEL</t>
        </is>
      </c>
      <c r="D65" s="3" t="n">
        <v>40409</v>
      </c>
      <c r="E65" s="3" t="n">
        <v>41374</v>
      </c>
      <c r="F65" s="25" t="inlineStr">
        <is>
          <t>TRT100413T17</t>
        </is>
      </c>
      <c r="G65" s="11" t="n">
        <v>510000</v>
      </c>
      <c r="H65" s="11" t="n">
        <v>100000</v>
      </c>
      <c r="I65" s="13" t="n">
        <v>104485.1</v>
      </c>
      <c r="J65" s="13" t="n">
        <v>8.5</v>
      </c>
      <c r="K65" s="13" t="n">
        <v>8.5</v>
      </c>
      <c r="L65" s="13" t="n">
        <v>8.52</v>
      </c>
      <c r="M65" s="13" t="n">
        <v>8.77</v>
      </c>
      <c r="N65" s="13" t="n">
        <v>8.77</v>
      </c>
      <c r="O65" s="13" t="n">
        <v>8.789999999999999</v>
      </c>
    </row>
    <row r="66">
      <c r="A66" s="22" t="inlineStr"/>
      <c r="B66" s="23" t="n">
        <v>40415</v>
      </c>
      <c r="C66" s="22" t="inlineStr">
        <is>
          <t>GELENEKSEL</t>
        </is>
      </c>
      <c r="D66" s="23" t="n">
        <v>40416</v>
      </c>
      <c r="E66" s="23" t="n">
        <v>41374</v>
      </c>
      <c r="F66" s="22" t="inlineStr">
        <is>
          <t>TRT100413T17</t>
        </is>
      </c>
      <c r="G66" s="8" t="n">
        <v>400000</v>
      </c>
      <c r="H66" s="8" t="n">
        <v>100000</v>
      </c>
      <c r="I66" s="24" t="n">
        <v>105000</v>
      </c>
      <c r="J66" s="24" t="n">
        <v>8.359999999999999</v>
      </c>
      <c r="K66" s="24" t="n">
        <v>8.369999999999999</v>
      </c>
      <c r="L66" s="24" t="n">
        <v>8.369999999999999</v>
      </c>
      <c r="M66" s="24" t="n">
        <v>8.630000000000001</v>
      </c>
      <c r="N66" s="24" t="n">
        <v>8.640000000000001</v>
      </c>
      <c r="O66" s="24" t="n">
        <v>8.640000000000001</v>
      </c>
    </row>
    <row r="67">
      <c r="A67" s="25" t="inlineStr"/>
      <c r="B67" s="3" t="n">
        <v>40422</v>
      </c>
      <c r="C67" s="25" t="inlineStr">
        <is>
          <t>GELENEKSEL</t>
        </is>
      </c>
      <c r="D67" s="3" t="n">
        <v>40423</v>
      </c>
      <c r="E67" s="3" t="n">
        <v>41024</v>
      </c>
      <c r="F67" s="25"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2" t="inlineStr"/>
      <c r="B68" s="23" t="n">
        <v>40436</v>
      </c>
      <c r="C68" s="22" t="inlineStr">
        <is>
          <t>GELENEKSEL</t>
        </is>
      </c>
      <c r="D68" s="23" t="n">
        <v>40437</v>
      </c>
      <c r="E68" s="23" t="n">
        <v>41024</v>
      </c>
      <c r="F68" s="22" t="inlineStr">
        <is>
          <t>TRT250412T11</t>
        </is>
      </c>
      <c r="G68" s="8" t="n">
        <v>670000</v>
      </c>
      <c r="H68" s="8" t="n">
        <v>100000</v>
      </c>
      <c r="I68" s="24" t="n">
        <v>88227.60000000001</v>
      </c>
      <c r="J68" s="24" t="n">
        <v>8.289999999999999</v>
      </c>
      <c r="K68" s="24" t="n">
        <v>8.300000000000001</v>
      </c>
      <c r="L68" s="24" t="n">
        <v>8.300000000000001</v>
      </c>
      <c r="M68" s="24" t="n">
        <v>8.1</v>
      </c>
      <c r="N68" s="24" t="n">
        <v>8.1</v>
      </c>
      <c r="O68" s="24" t="n">
        <v>8.1</v>
      </c>
    </row>
    <row r="69">
      <c r="A69" s="25" t="inlineStr"/>
      <c r="B69" s="3" t="n">
        <v>40443</v>
      </c>
      <c r="C69" s="25" t="inlineStr">
        <is>
          <t>GELENEKSEL</t>
        </is>
      </c>
      <c r="D69" s="3" t="n">
        <v>40444</v>
      </c>
      <c r="E69" s="3" t="n">
        <v>41374</v>
      </c>
      <c r="F69" s="25"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2" t="inlineStr"/>
      <c r="B70" s="23" t="n">
        <v>40450</v>
      </c>
      <c r="C70" s="22" t="inlineStr">
        <is>
          <t>GELENEKSEL</t>
        </is>
      </c>
      <c r="D70" s="23" t="n">
        <v>40451</v>
      </c>
      <c r="E70" s="23" t="n">
        <v>41374</v>
      </c>
      <c r="F70" s="22" t="inlineStr">
        <is>
          <t>TRT100413T17</t>
        </is>
      </c>
      <c r="G70" s="8" t="n">
        <v>217000</v>
      </c>
      <c r="H70" s="8" t="n">
        <v>100000</v>
      </c>
      <c r="I70" s="24" t="n">
        <v>106362.12</v>
      </c>
      <c r="J70" s="24" t="n">
        <v>8.119999999999999</v>
      </c>
      <c r="K70" s="24" t="n">
        <v>8.140000000000001</v>
      </c>
      <c r="L70" s="24" t="n">
        <v>8.17</v>
      </c>
      <c r="M70" s="24" t="n">
        <v>8.380000000000001</v>
      </c>
      <c r="N70" s="24" t="n">
        <v>8.390000000000001</v>
      </c>
      <c r="O70" s="24" t="n">
        <v>8.43</v>
      </c>
    </row>
    <row r="71">
      <c r="A71" s="25" t="inlineStr"/>
      <c r="B71" s="3" t="n">
        <v>40457</v>
      </c>
      <c r="C71" s="25" t="inlineStr">
        <is>
          <t>GELENEKSEL</t>
        </is>
      </c>
      <c r="D71" s="3" t="n">
        <v>40458</v>
      </c>
      <c r="E71" s="3" t="n">
        <v>41024</v>
      </c>
      <c r="F71" s="25"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2" t="inlineStr"/>
      <c r="B72" s="23" t="n">
        <v>40464</v>
      </c>
      <c r="C72" s="22" t="inlineStr">
        <is>
          <t>GELENEKSEL</t>
        </is>
      </c>
      <c r="D72" s="23" t="n">
        <v>40465</v>
      </c>
      <c r="E72" s="23" t="n">
        <v>41024</v>
      </c>
      <c r="F72" s="22" t="inlineStr">
        <is>
          <t>TRT250412T11</t>
        </is>
      </c>
      <c r="G72" s="8" t="n">
        <v>427000</v>
      </c>
      <c r="H72" s="8" t="n">
        <v>100000</v>
      </c>
      <c r="I72" s="24" t="n">
        <v>89260.5</v>
      </c>
      <c r="J72" s="24" t="n">
        <v>7.85</v>
      </c>
      <c r="K72" s="24" t="n">
        <v>7.86</v>
      </c>
      <c r="L72" s="24" t="n">
        <v>7.86</v>
      </c>
      <c r="M72" s="24" t="n">
        <v>7.7</v>
      </c>
      <c r="N72" s="24" t="n">
        <v>7.7</v>
      </c>
      <c r="O72" s="24" t="n">
        <v>7.7</v>
      </c>
    </row>
    <row r="73">
      <c r="A73" s="25" t="inlineStr"/>
      <c r="B73" s="3" t="n">
        <v>40471</v>
      </c>
      <c r="C73" s="25" t="inlineStr">
        <is>
          <t>GELENEKSEL</t>
        </is>
      </c>
      <c r="D73" s="3" t="n">
        <v>40472</v>
      </c>
      <c r="E73" s="3" t="n">
        <v>41374</v>
      </c>
      <c r="F73" s="25" t="inlineStr">
        <is>
          <t>TRT100413T17</t>
        </is>
      </c>
      <c r="G73" s="11" t="n">
        <v>315000</v>
      </c>
      <c r="H73" s="11" t="n">
        <v>100000</v>
      </c>
      <c r="I73" s="13" t="n">
        <v>105706</v>
      </c>
      <c r="J73" s="13" t="n">
        <v>7.55</v>
      </c>
      <c r="K73" s="13" t="n">
        <v>7.55</v>
      </c>
      <c r="L73" s="13" t="n">
        <v>7.56</v>
      </c>
      <c r="M73" s="13" t="n">
        <v>7.76</v>
      </c>
      <c r="N73" s="13" t="n">
        <v>7.76</v>
      </c>
      <c r="O73" s="13" t="n">
        <v>7.78</v>
      </c>
    </row>
    <row r="74">
      <c r="A74" s="22" t="inlineStr"/>
      <c r="B74" s="23" t="n">
        <v>40478</v>
      </c>
      <c r="C74" s="22" t="inlineStr">
        <is>
          <t>GELENEKSEL</t>
        </is>
      </c>
      <c r="D74" s="23" t="n">
        <v>40479</v>
      </c>
      <c r="E74" s="23" t="n">
        <v>41374</v>
      </c>
      <c r="F74" s="22" t="inlineStr">
        <is>
          <t>TRT100413T17</t>
        </is>
      </c>
      <c r="G74" s="8" t="n">
        <v>255000</v>
      </c>
      <c r="H74" s="8" t="n">
        <v>100000</v>
      </c>
      <c r="I74" s="24" t="n">
        <v>105806</v>
      </c>
      <c r="J74" s="24" t="n">
        <v>7.56</v>
      </c>
      <c r="K74" s="24" t="n">
        <v>7.58</v>
      </c>
      <c r="L74" s="24" t="n">
        <v>7.58</v>
      </c>
      <c r="M74" s="24" t="n">
        <v>7.78</v>
      </c>
      <c r="N74" s="24" t="n">
        <v>7.8</v>
      </c>
      <c r="O74" s="24" t="n">
        <v>7.8</v>
      </c>
    </row>
    <row r="75">
      <c r="A75" s="25" t="inlineStr"/>
      <c r="B75" s="3" t="n">
        <v>40485</v>
      </c>
      <c r="C75" s="25" t="inlineStr">
        <is>
          <t>GELENEKSEL</t>
        </is>
      </c>
      <c r="D75" s="3" t="n">
        <v>40486</v>
      </c>
      <c r="E75" s="3" t="n">
        <v>41024</v>
      </c>
      <c r="F75" s="25" t="inlineStr">
        <is>
          <t>TRT250412T11</t>
        </is>
      </c>
      <c r="G75" s="11" t="n">
        <v>261000</v>
      </c>
      <c r="H75" s="11" t="n">
        <v>100000</v>
      </c>
      <c r="I75" s="13" t="n">
        <v>89738.25999999999</v>
      </c>
      <c r="J75" s="13" t="n">
        <v>7.75</v>
      </c>
      <c r="K75" s="13" t="n">
        <v>7.76</v>
      </c>
      <c r="L75" s="13" t="n">
        <v>7.77</v>
      </c>
      <c r="M75" s="13" t="n">
        <v>7.61</v>
      </c>
      <c r="N75" s="13" t="n">
        <v>7.62</v>
      </c>
      <c r="O75" s="13" t="n">
        <v>7.64</v>
      </c>
    </row>
    <row r="76">
      <c r="A76" s="22" t="inlineStr"/>
      <c r="B76" s="23" t="n">
        <v>40492</v>
      </c>
      <c r="C76" s="22" t="inlineStr">
        <is>
          <t>GELENEKSEL</t>
        </is>
      </c>
      <c r="D76" s="23" t="n">
        <v>40493</v>
      </c>
      <c r="E76" s="23" t="n">
        <v>41129</v>
      </c>
      <c r="F76" s="22" t="inlineStr">
        <is>
          <t>TRT080812T26</t>
        </is>
      </c>
      <c r="G76" s="8" t="n">
        <v>585000</v>
      </c>
      <c r="H76" s="8" t="n">
        <v>100000</v>
      </c>
      <c r="I76" s="24" t="n">
        <v>87858</v>
      </c>
      <c r="J76" s="24" t="n">
        <v>7.93</v>
      </c>
      <c r="K76" s="24" t="n">
        <v>7.93</v>
      </c>
      <c r="L76" s="24" t="n">
        <v>7.93</v>
      </c>
      <c r="M76" s="24" t="n">
        <v>7.71</v>
      </c>
      <c r="N76" s="24" t="n">
        <v>7.71</v>
      </c>
      <c r="O76" s="24" t="n">
        <v>7.71</v>
      </c>
    </row>
    <row r="77">
      <c r="A77" s="25" t="inlineStr"/>
      <c r="B77" s="3" t="n">
        <v>40506</v>
      </c>
      <c r="C77" s="25" t="inlineStr">
        <is>
          <t>GELENEKSEL</t>
        </is>
      </c>
      <c r="D77" s="3" t="n">
        <v>40507</v>
      </c>
      <c r="E77" s="3" t="n">
        <v>41129</v>
      </c>
      <c r="F77" s="25" t="inlineStr">
        <is>
          <t>TRT080812T26</t>
        </is>
      </c>
      <c r="G77" s="11" t="n">
        <v>300000</v>
      </c>
      <c r="H77" s="11" t="n">
        <v>100000</v>
      </c>
      <c r="I77" s="13" t="n">
        <v>88237.39999999999</v>
      </c>
      <c r="J77" s="13" t="n">
        <v>7.82</v>
      </c>
      <c r="K77" s="13" t="n">
        <v>7.82</v>
      </c>
      <c r="L77" s="13" t="n">
        <v>7.83</v>
      </c>
      <c r="M77" s="13" t="n">
        <v>7.62</v>
      </c>
      <c r="N77" s="13" t="n">
        <v>7.62</v>
      </c>
      <c r="O77" s="13" t="n">
        <v>7.63</v>
      </c>
    </row>
    <row r="78">
      <c r="A78" s="22" t="inlineStr"/>
      <c r="B78" s="23" t="n">
        <v>40513</v>
      </c>
      <c r="C78" s="22" t="inlineStr">
        <is>
          <t>GELENEKSEL</t>
        </is>
      </c>
      <c r="D78" s="23" t="n">
        <v>40514</v>
      </c>
      <c r="E78" s="23" t="n">
        <v>41129</v>
      </c>
      <c r="F78" s="22" t="inlineStr">
        <is>
          <t>TRT080812T26</t>
        </is>
      </c>
      <c r="G78" s="8" t="n">
        <v>245000</v>
      </c>
      <c r="H78" s="8" t="n">
        <v>100000</v>
      </c>
      <c r="I78" s="24" t="n">
        <v>88150.10000000001</v>
      </c>
      <c r="J78" s="24" t="n">
        <v>7.96</v>
      </c>
      <c r="K78" s="24" t="n">
        <v>7.98</v>
      </c>
      <c r="L78" s="24" t="n">
        <v>7.98</v>
      </c>
      <c r="M78" s="24" t="n">
        <v>7.76</v>
      </c>
      <c r="N78" s="24" t="n">
        <v>7.77</v>
      </c>
      <c r="O78" s="24" t="n">
        <v>7.78</v>
      </c>
    </row>
    <row r="79">
      <c r="A79" s="25" t="inlineStr"/>
      <c r="B79" s="3" t="n">
        <v>40520</v>
      </c>
      <c r="C79" s="25" t="inlineStr">
        <is>
          <t>GELENEKSEL</t>
        </is>
      </c>
      <c r="D79" s="3" t="n">
        <v>40521</v>
      </c>
      <c r="E79" s="3" t="n">
        <v>41024</v>
      </c>
      <c r="F79" s="25" t="inlineStr">
        <is>
          <t>TRT250412T11</t>
        </is>
      </c>
      <c r="G79" s="11" t="n">
        <v>150000</v>
      </c>
      <c r="H79" s="11" t="n">
        <v>100000</v>
      </c>
      <c r="I79" s="13" t="n">
        <v>90387</v>
      </c>
      <c r="J79" s="13" t="n">
        <v>7.71</v>
      </c>
      <c r="K79" s="13" t="n">
        <v>7.72</v>
      </c>
      <c r="L79" s="13" t="n">
        <v>7.72</v>
      </c>
      <c r="M79" s="13" t="n">
        <v>7.6</v>
      </c>
      <c r="N79" s="13" t="n">
        <v>7.61</v>
      </c>
      <c r="O79" s="13" t="n">
        <v>7.61</v>
      </c>
    </row>
    <row r="80">
      <c r="A80" s="22" t="inlineStr"/>
      <c r="B80" s="23" t="n">
        <v>40527</v>
      </c>
      <c r="C80" s="22" t="inlineStr">
        <is>
          <t>GELENEKSEL</t>
        </is>
      </c>
      <c r="D80" s="23" t="n">
        <v>40528</v>
      </c>
      <c r="E80" s="23" t="n">
        <v>41129</v>
      </c>
      <c r="F80" s="22" t="inlineStr">
        <is>
          <t>TRT080812T26</t>
        </is>
      </c>
      <c r="G80" s="8" t="n">
        <v>420000</v>
      </c>
      <c r="H80" s="8" t="n">
        <v>100000</v>
      </c>
      <c r="I80" s="24" t="n">
        <v>88924.95</v>
      </c>
      <c r="J80" s="24" t="n">
        <v>7.56</v>
      </c>
      <c r="K80" s="24" t="n">
        <v>7.56</v>
      </c>
      <c r="L80" s="24" t="n">
        <v>7.58</v>
      </c>
      <c r="M80" s="24" t="n">
        <v>7.39</v>
      </c>
      <c r="N80" s="24" t="n">
        <v>7.39</v>
      </c>
      <c r="O80" s="24" t="n">
        <v>7.4</v>
      </c>
    </row>
    <row r="81">
      <c r="A81" s="25" t="inlineStr"/>
      <c r="B81" s="3" t="n">
        <v>40534</v>
      </c>
      <c r="C81" s="25" t="inlineStr">
        <is>
          <t>GELENEKSEL</t>
        </is>
      </c>
      <c r="D81" s="3" t="n">
        <v>40535</v>
      </c>
      <c r="E81" s="3" t="n">
        <v>41129</v>
      </c>
      <c r="F81" s="25" t="inlineStr">
        <is>
          <t>TRT080812T26</t>
        </is>
      </c>
      <c r="G81" s="11" t="n">
        <v>285000</v>
      </c>
      <c r="H81" s="11" t="n">
        <v>100000</v>
      </c>
      <c r="I81" s="13" t="n">
        <v>89108</v>
      </c>
      <c r="J81" s="13" t="n">
        <v>7.51</v>
      </c>
      <c r="K81" s="13" t="n">
        <v>7.51</v>
      </c>
      <c r="L81" s="13" t="n">
        <v>7.51</v>
      </c>
      <c r="M81" s="13" t="n">
        <v>7.34</v>
      </c>
      <c r="N81" s="13" t="n">
        <v>7.34</v>
      </c>
      <c r="O81" s="13" t="n">
        <v>7.34</v>
      </c>
    </row>
    <row r="82">
      <c r="A82" s="22" t="inlineStr"/>
      <c r="B82" s="23" t="n">
        <v>40667</v>
      </c>
      <c r="C82" s="22" t="inlineStr">
        <is>
          <t>GELENEKSEL</t>
        </is>
      </c>
      <c r="D82" s="23" t="n">
        <v>40668</v>
      </c>
      <c r="E82" s="23" t="n">
        <v>41220</v>
      </c>
      <c r="F82" s="22" t="inlineStr">
        <is>
          <t>TRT071112T14</t>
        </is>
      </c>
      <c r="G82" s="8" t="n">
        <v>423000</v>
      </c>
      <c r="H82" s="8" t="n">
        <v>100000</v>
      </c>
      <c r="I82" s="24" t="n">
        <v>88238</v>
      </c>
      <c r="J82" s="24" t="n">
        <v>8.81</v>
      </c>
      <c r="K82" s="24" t="n">
        <v>8.81</v>
      </c>
      <c r="L82" s="24" t="n">
        <v>8.82</v>
      </c>
      <c r="M82" s="24" t="n">
        <v>8.619999999999999</v>
      </c>
      <c r="N82" s="24" t="n">
        <v>8.630000000000001</v>
      </c>
      <c r="O82" s="24" t="n">
        <v>8.640000000000001</v>
      </c>
    </row>
    <row r="83">
      <c r="A83" s="25" t="inlineStr"/>
      <c r="B83" s="3" t="n">
        <v>40669</v>
      </c>
      <c r="C83" s="25" t="inlineStr">
        <is>
          <t>GELENEKSEL</t>
        </is>
      </c>
      <c r="D83" s="3" t="n">
        <v>40672</v>
      </c>
      <c r="E83" s="3" t="n">
        <v>41556</v>
      </c>
      <c r="F83" s="25"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2" t="inlineStr"/>
      <c r="B84" s="23" t="n">
        <v>40674</v>
      </c>
      <c r="C84" s="22" t="inlineStr">
        <is>
          <t>GELENEKSEL</t>
        </is>
      </c>
      <c r="D84" s="23" t="n">
        <v>40675</v>
      </c>
      <c r="E84" s="23" t="n">
        <v>41220</v>
      </c>
      <c r="F84" s="22" t="inlineStr">
        <is>
          <t>TRT071112T14</t>
        </is>
      </c>
      <c r="G84" s="8" t="n">
        <v>539000</v>
      </c>
      <c r="H84" s="8" t="n">
        <v>100000</v>
      </c>
      <c r="I84" s="24" t="n">
        <v>88334</v>
      </c>
      <c r="J84" s="24" t="n">
        <v>8.84</v>
      </c>
      <c r="K84" s="24" t="n">
        <v>8.84</v>
      </c>
      <c r="L84" s="24" t="n">
        <v>8.84</v>
      </c>
      <c r="M84" s="24" t="n">
        <v>8.66</v>
      </c>
      <c r="N84" s="24" t="n">
        <v>8.66</v>
      </c>
      <c r="O84" s="24" t="n">
        <v>8.66</v>
      </c>
    </row>
    <row r="85">
      <c r="A85" s="11" t="n">
        <v>1815</v>
      </c>
      <c r="B85" s="3" t="n">
        <v>40676</v>
      </c>
      <c r="C85" s="25" t="inlineStr">
        <is>
          <t>GELENEKSEL</t>
        </is>
      </c>
      <c r="D85" s="3" t="n">
        <v>40679</v>
      </c>
      <c r="E85" s="3" t="n">
        <v>41220</v>
      </c>
      <c r="F85" s="25"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3" t="n">
        <v>40681</v>
      </c>
      <c r="C86" s="22" t="inlineStr">
        <is>
          <t>GELENEKSEL</t>
        </is>
      </c>
      <c r="D86" s="23" t="n">
        <v>40683</v>
      </c>
      <c r="E86" s="23" t="n">
        <v>41220</v>
      </c>
      <c r="F86" s="22" t="inlineStr">
        <is>
          <t>TRT071112T14</t>
        </is>
      </c>
      <c r="G86" s="8" t="n">
        <v>270000</v>
      </c>
      <c r="H86" s="8" t="n">
        <v>100000</v>
      </c>
      <c r="I86" s="24" t="n">
        <v>88281.10000000001</v>
      </c>
      <c r="J86" s="24" t="n">
        <v>9.02</v>
      </c>
      <c r="K86" s="24" t="n">
        <v>9.02</v>
      </c>
      <c r="L86" s="24" t="n">
        <v>9.029999999999999</v>
      </c>
      <c r="M86" s="24" t="n">
        <v>8.84</v>
      </c>
      <c r="N86" s="24" t="n">
        <v>8.84</v>
      </c>
      <c r="O86" s="24" t="n">
        <v>8.85</v>
      </c>
    </row>
    <row r="87">
      <c r="A87" s="11" t="n">
        <v>1817</v>
      </c>
      <c r="B87" s="3" t="n">
        <v>40683</v>
      </c>
      <c r="C87" s="25" t="inlineStr">
        <is>
          <t>GELENEKSEL</t>
        </is>
      </c>
      <c r="D87" s="3" t="n">
        <v>40686</v>
      </c>
      <c r="E87" s="3" t="n">
        <v>41220</v>
      </c>
      <c r="F87" s="25"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3" t="n">
        <v>40688</v>
      </c>
      <c r="C88" s="22" t="inlineStr">
        <is>
          <t>GELENEKSEL</t>
        </is>
      </c>
      <c r="D88" s="23" t="n">
        <v>40689</v>
      </c>
      <c r="E88" s="23" t="n">
        <v>41220</v>
      </c>
      <c r="F88" s="22" t="inlineStr">
        <is>
          <t>TRT071112T14</t>
        </is>
      </c>
      <c r="G88" s="8" t="n">
        <v>355000</v>
      </c>
      <c r="H88" s="8" t="n">
        <v>100000</v>
      </c>
      <c r="I88" s="24" t="n">
        <v>88250</v>
      </c>
      <c r="J88" s="24" t="n">
        <v>9.15</v>
      </c>
      <c r="K88" s="24" t="n">
        <v>9.15</v>
      </c>
      <c r="L88" s="24" t="n">
        <v>9.15</v>
      </c>
      <c r="M88" s="24" t="n">
        <v>8.970000000000001</v>
      </c>
      <c r="N88" s="24" t="n">
        <v>8.970000000000001</v>
      </c>
      <c r="O88" s="24" t="n">
        <v>8.970000000000001</v>
      </c>
    </row>
    <row r="89">
      <c r="A89" s="11" t="n">
        <v>1819</v>
      </c>
      <c r="B89" s="3" t="n">
        <v>40690</v>
      </c>
      <c r="C89" s="25" t="inlineStr">
        <is>
          <t>GELENEKSEL</t>
        </is>
      </c>
      <c r="D89" s="3" t="n">
        <v>40693</v>
      </c>
      <c r="E89" s="3" t="n">
        <v>41556</v>
      </c>
      <c r="F89" s="25"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3" t="n">
        <v>40758</v>
      </c>
      <c r="C90" s="22" t="inlineStr">
        <is>
          <t>GELENEKSEL</t>
        </is>
      </c>
      <c r="D90" s="23" t="n">
        <v>40759</v>
      </c>
      <c r="E90" s="23" t="n">
        <v>41325</v>
      </c>
      <c r="F90" s="22" t="inlineStr">
        <is>
          <t>TRT200213T25</t>
        </is>
      </c>
      <c r="G90" s="8" t="n">
        <v>515000</v>
      </c>
      <c r="H90" s="8" t="n">
        <v>100000</v>
      </c>
      <c r="I90" s="24" t="n">
        <v>87806</v>
      </c>
      <c r="J90" s="24" t="n">
        <v>8.949999999999999</v>
      </c>
      <c r="K90" s="24" t="n">
        <v>8.960000000000001</v>
      </c>
      <c r="L90" s="24" t="n">
        <v>8.960000000000001</v>
      </c>
      <c r="M90" s="24" t="n">
        <v>8.74</v>
      </c>
      <c r="N90" s="24" t="n">
        <v>8.75</v>
      </c>
      <c r="O90" s="24" t="n">
        <v>8.75</v>
      </c>
    </row>
    <row r="91">
      <c r="A91" s="11" t="n">
        <v>1821</v>
      </c>
      <c r="B91" s="3" t="n">
        <v>40760</v>
      </c>
      <c r="C91" s="25" t="inlineStr">
        <is>
          <t>GELENEKSEL</t>
        </is>
      </c>
      <c r="D91" s="3" t="n">
        <v>40763</v>
      </c>
      <c r="E91" s="3" t="n">
        <v>41325</v>
      </c>
      <c r="F91" s="25"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3" t="n">
        <v>40765</v>
      </c>
      <c r="C92" s="22" t="inlineStr">
        <is>
          <t>GELENEKSEL</t>
        </is>
      </c>
      <c r="D92" s="23" t="n">
        <v>40766</v>
      </c>
      <c r="E92" s="23" t="n">
        <v>41556</v>
      </c>
      <c r="F92" s="22" t="inlineStr">
        <is>
          <t>TRT091013T12</t>
        </is>
      </c>
      <c r="G92" s="8" t="n">
        <v>85000</v>
      </c>
      <c r="H92" s="8" t="n">
        <v>85000</v>
      </c>
      <c r="I92" s="24" t="n">
        <v>85404.39999999999</v>
      </c>
      <c r="J92" s="24" t="n">
        <v>8.06</v>
      </c>
      <c r="K92" s="24" t="n">
        <v>8.08</v>
      </c>
      <c r="L92" s="24" t="n">
        <v>8.09</v>
      </c>
      <c r="M92" s="24" t="n">
        <v>8.31</v>
      </c>
      <c r="N92" s="24" t="n">
        <v>8.33</v>
      </c>
      <c r="O92" s="24" t="n">
        <v>8.34</v>
      </c>
    </row>
    <row r="93">
      <c r="A93" s="11" t="n">
        <v>1823</v>
      </c>
      <c r="B93" s="3" t="n">
        <v>40767</v>
      </c>
      <c r="C93" s="25" t="inlineStr">
        <is>
          <t>GELENEKSEL</t>
        </is>
      </c>
      <c r="D93" s="3" t="n">
        <v>40770</v>
      </c>
      <c r="E93" s="3" t="n">
        <v>41325</v>
      </c>
      <c r="F93" s="25"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3" t="n">
        <v>40772</v>
      </c>
      <c r="C94" s="22" t="inlineStr">
        <is>
          <t>GELENEKSEL</t>
        </is>
      </c>
      <c r="D94" s="23" t="n">
        <v>40773</v>
      </c>
      <c r="E94" s="23" t="n">
        <v>41325</v>
      </c>
      <c r="F94" s="22" t="inlineStr">
        <is>
          <t>TRT200213T25</t>
        </is>
      </c>
      <c r="G94" s="8" t="n">
        <v>175000</v>
      </c>
      <c r="H94" s="8" t="n">
        <v>100000</v>
      </c>
      <c r="I94" s="24" t="n">
        <v>89100.14</v>
      </c>
      <c r="J94" s="24" t="n">
        <v>8.08</v>
      </c>
      <c r="K94" s="24" t="n">
        <v>8.09</v>
      </c>
      <c r="L94" s="24" t="n">
        <v>8.1</v>
      </c>
      <c r="M94" s="24" t="n">
        <v>7.92</v>
      </c>
      <c r="N94" s="24" t="n">
        <v>7.93</v>
      </c>
      <c r="O94" s="24" t="n">
        <v>7.94</v>
      </c>
    </row>
    <row r="95">
      <c r="A95" s="11" t="n">
        <v>1825</v>
      </c>
      <c r="B95" s="3" t="n">
        <v>40774</v>
      </c>
      <c r="C95" s="25" t="inlineStr">
        <is>
          <t>GELENEKSEL</t>
        </is>
      </c>
      <c r="D95" s="3" t="n">
        <v>40777</v>
      </c>
      <c r="E95" s="3" t="n">
        <v>42172</v>
      </c>
      <c r="F95" s="25"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3" t="n">
        <v>40779</v>
      </c>
      <c r="C96" s="22" t="inlineStr">
        <is>
          <t>GELENEKSEL</t>
        </is>
      </c>
      <c r="D96" s="23" t="n">
        <v>40780</v>
      </c>
      <c r="E96" s="23" t="n">
        <v>42172</v>
      </c>
      <c r="F96" s="22" t="inlineStr">
        <is>
          <t>TRT170615T16</t>
        </is>
      </c>
      <c r="G96" s="8" t="n">
        <v>363000</v>
      </c>
      <c r="H96" s="8" t="n">
        <v>100000</v>
      </c>
      <c r="I96" s="24" t="n">
        <v>107615.47</v>
      </c>
      <c r="J96" s="24" t="n">
        <v>8.17</v>
      </c>
      <c r="K96" s="24" t="n">
        <v>8.17</v>
      </c>
      <c r="L96" s="24" t="n">
        <v>8.199999999999999</v>
      </c>
      <c r="M96" s="24" t="n">
        <v>8.34</v>
      </c>
      <c r="N96" s="24" t="n">
        <v>8.34</v>
      </c>
      <c r="O96" s="24" t="n">
        <v>8.369999999999999</v>
      </c>
    </row>
    <row r="97">
      <c r="A97" s="11" t="n">
        <v>1827</v>
      </c>
      <c r="B97" s="3" t="n">
        <v>40781</v>
      </c>
      <c r="C97" s="25" t="inlineStr">
        <is>
          <t>GELENEKSEL</t>
        </is>
      </c>
      <c r="D97" s="3" t="n">
        <v>40784</v>
      </c>
      <c r="E97" s="3" t="n">
        <v>42172</v>
      </c>
      <c r="F97" s="25"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3" t="n">
        <v>40821</v>
      </c>
      <c r="C98" s="22" t="inlineStr">
        <is>
          <t>GELENEKSEL</t>
        </is>
      </c>
      <c r="D98" s="23" t="n">
        <v>40822</v>
      </c>
      <c r="E98" s="23" t="n">
        <v>41325</v>
      </c>
      <c r="F98" s="22" t="inlineStr">
        <is>
          <t>TRT200213T25</t>
        </is>
      </c>
      <c r="G98" s="8" t="n">
        <v>175000</v>
      </c>
      <c r="H98" s="8" t="n">
        <v>100000</v>
      </c>
      <c r="I98" s="24" t="n">
        <v>89501</v>
      </c>
      <c r="J98" s="24" t="n">
        <v>8.5</v>
      </c>
      <c r="K98" s="24" t="n">
        <v>8.51</v>
      </c>
      <c r="L98" s="24" t="n">
        <v>8.58</v>
      </c>
      <c r="M98" s="24" t="n">
        <v>8.369999999999999</v>
      </c>
      <c r="N98" s="24" t="n">
        <v>8.380000000000001</v>
      </c>
      <c r="O98" s="24" t="n">
        <v>8.449999999999999</v>
      </c>
    </row>
    <row r="99">
      <c r="A99" s="11" t="n">
        <v>1829</v>
      </c>
      <c r="B99" s="3" t="n">
        <v>40823</v>
      </c>
      <c r="C99" s="25" t="inlineStr">
        <is>
          <t>GELENEKSEL</t>
        </is>
      </c>
      <c r="D99" s="3" t="n">
        <v>40826</v>
      </c>
      <c r="E99" s="3" t="n">
        <v>42172</v>
      </c>
      <c r="F99" s="25"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3" t="n">
        <v>40828</v>
      </c>
      <c r="C100" s="22" t="inlineStr">
        <is>
          <t>GELENEKSEL</t>
        </is>
      </c>
      <c r="D100" s="23" t="n">
        <v>40829</v>
      </c>
      <c r="E100" s="23" t="n">
        <v>42172</v>
      </c>
      <c r="F100" s="22" t="inlineStr">
        <is>
          <t>TRT170615T16</t>
        </is>
      </c>
      <c r="G100" s="8" t="n">
        <v>183000</v>
      </c>
      <c r="H100" s="8" t="n">
        <v>100000</v>
      </c>
      <c r="I100" s="24" t="n">
        <v>107656.37</v>
      </c>
      <c r="J100" s="24" t="n">
        <v>8.48</v>
      </c>
      <c r="K100" s="24" t="n">
        <v>8.529999999999999</v>
      </c>
      <c r="L100" s="24" t="n">
        <v>8.56</v>
      </c>
      <c r="M100" s="24" t="n">
        <v>8.66</v>
      </c>
      <c r="N100" s="24" t="n">
        <v>8.710000000000001</v>
      </c>
      <c r="O100" s="24" t="n">
        <v>8.75</v>
      </c>
    </row>
    <row r="101">
      <c r="A101" s="11" t="n">
        <v>1831</v>
      </c>
      <c r="B101" s="3" t="n">
        <v>40830</v>
      </c>
      <c r="C101" s="25" t="inlineStr">
        <is>
          <t>GELENEKSEL</t>
        </is>
      </c>
      <c r="D101" s="3" t="n">
        <v>40833</v>
      </c>
      <c r="E101" s="3" t="n">
        <v>41409</v>
      </c>
      <c r="F101" s="25"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3" t="n">
        <v>40835</v>
      </c>
      <c r="C102" s="22" t="inlineStr">
        <is>
          <t>GELENEKSEL</t>
        </is>
      </c>
      <c r="D102" s="23" t="n">
        <v>40836</v>
      </c>
      <c r="E102" s="23" t="n">
        <v>41325</v>
      </c>
      <c r="F102" s="22" t="inlineStr">
        <is>
          <t>TRT200213T25</t>
        </is>
      </c>
      <c r="G102" s="8" t="n">
        <v>260000</v>
      </c>
      <c r="H102" s="8" t="n">
        <v>100000</v>
      </c>
      <c r="I102" s="24" t="n">
        <v>89454</v>
      </c>
      <c r="J102" s="24" t="n">
        <v>8.800000000000001</v>
      </c>
      <c r="K102" s="24" t="n">
        <v>8.800000000000001</v>
      </c>
      <c r="L102" s="24" t="n">
        <v>8.800000000000001</v>
      </c>
      <c r="M102" s="24" t="n">
        <v>8.67</v>
      </c>
      <c r="N102" s="24" t="n">
        <v>8.67</v>
      </c>
      <c r="O102" s="24" t="n">
        <v>8.67</v>
      </c>
    </row>
    <row r="103">
      <c r="A103" s="11" t="n">
        <v>1833</v>
      </c>
      <c r="B103" s="3" t="n">
        <v>40837</v>
      </c>
      <c r="C103" s="25" t="inlineStr">
        <is>
          <t>GELENEKSEL</t>
        </is>
      </c>
      <c r="D103" s="3" t="n">
        <v>40840</v>
      </c>
      <c r="E103" s="3" t="n">
        <v>41409</v>
      </c>
      <c r="F103" s="25"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3" t="n">
        <v>40842</v>
      </c>
      <c r="C104" s="22" t="inlineStr">
        <is>
          <t>GELENEKSEL</t>
        </is>
      </c>
      <c r="D104" s="23" t="n">
        <v>40843</v>
      </c>
      <c r="E104" s="23" t="n">
        <v>41409</v>
      </c>
      <c r="F104" s="22" t="inlineStr">
        <is>
          <t>TRT150513T11</t>
        </is>
      </c>
      <c r="G104" s="8" t="n">
        <v>260000</v>
      </c>
      <c r="H104" s="8" t="n">
        <v>100000</v>
      </c>
      <c r="I104" s="24" t="n">
        <v>86141.10000000001</v>
      </c>
      <c r="J104" s="24" t="n">
        <v>10.2</v>
      </c>
      <c r="K104" s="24" t="n">
        <v>10.38</v>
      </c>
      <c r="L104" s="24" t="n">
        <v>10.5</v>
      </c>
      <c r="M104" s="24" t="n">
        <v>9.93</v>
      </c>
      <c r="N104" s="24" t="n">
        <v>10.1</v>
      </c>
      <c r="O104" s="24" t="n">
        <v>10.22</v>
      </c>
    </row>
    <row r="105">
      <c r="A105" s="11" t="n">
        <v>1835</v>
      </c>
      <c r="B105" s="3" t="n">
        <v>40863</v>
      </c>
      <c r="C105" s="25" t="inlineStr">
        <is>
          <t>GELENEKSEL</t>
        </is>
      </c>
      <c r="D105" s="3" t="n">
        <v>40864</v>
      </c>
      <c r="E105" s="3" t="n">
        <v>41409</v>
      </c>
      <c r="F105" s="25"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3" t="n">
        <v>40870</v>
      </c>
      <c r="C106" s="22" t="inlineStr">
        <is>
          <t>GELENEKSEL</t>
        </is>
      </c>
      <c r="D106" s="23" t="n">
        <v>40871</v>
      </c>
      <c r="E106" s="23" t="n">
        <v>41409</v>
      </c>
      <c r="F106" s="22" t="inlineStr">
        <is>
          <t>TRT150513T11</t>
        </is>
      </c>
      <c r="G106" s="8" t="n">
        <v>310000</v>
      </c>
      <c r="H106" s="8" t="n">
        <v>100000</v>
      </c>
      <c r="I106" s="24" t="n">
        <v>86211</v>
      </c>
      <c r="J106" s="24" t="n">
        <v>10.84</v>
      </c>
      <c r="K106" s="24" t="n">
        <v>10.85</v>
      </c>
      <c r="L106" s="24" t="n">
        <v>10.86</v>
      </c>
      <c r="M106" s="24" t="n">
        <v>10.58</v>
      </c>
      <c r="N106" s="24" t="n">
        <v>10.59</v>
      </c>
      <c r="O106" s="24" t="n">
        <v>10.6</v>
      </c>
    </row>
    <row r="107">
      <c r="A107" s="11" t="n">
        <v>1837</v>
      </c>
      <c r="B107" s="3" t="n">
        <v>40912</v>
      </c>
      <c r="C107" s="25" t="inlineStr">
        <is>
          <t>GELENEKSEL</t>
        </is>
      </c>
      <c r="D107" s="3" t="n">
        <v>40913</v>
      </c>
      <c r="E107" s="3" t="n">
        <v>41409</v>
      </c>
      <c r="F107" s="25"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3" t="n">
        <v>40914</v>
      </c>
      <c r="C108" s="22" t="inlineStr">
        <is>
          <t>GELENEKSEL</t>
        </is>
      </c>
      <c r="D108" s="23" t="n">
        <v>40917</v>
      </c>
      <c r="E108" s="23" t="n">
        <v>41472</v>
      </c>
      <c r="F108" s="22" t="inlineStr">
        <is>
          <t>TRT170713T17</t>
        </is>
      </c>
      <c r="G108" s="8" t="n">
        <v>185000</v>
      </c>
      <c r="H108" s="8" t="n">
        <v>100000</v>
      </c>
      <c r="I108" s="24" t="n">
        <v>84791.05</v>
      </c>
      <c r="J108" s="24" t="n">
        <v>11.75</v>
      </c>
      <c r="K108" s="24" t="n">
        <v>11.8</v>
      </c>
      <c r="L108" s="24" t="n">
        <v>11.87</v>
      </c>
      <c r="M108" s="24" t="n">
        <v>11.42</v>
      </c>
      <c r="N108" s="24" t="n">
        <v>11.46</v>
      </c>
      <c r="O108" s="24" t="n">
        <v>11.53</v>
      </c>
    </row>
    <row r="109">
      <c r="A109" s="11" t="n">
        <v>1839</v>
      </c>
      <c r="B109" s="3" t="n">
        <v>40919</v>
      </c>
      <c r="C109" s="25" t="inlineStr">
        <is>
          <t>GELENEKSEL</t>
        </is>
      </c>
      <c r="D109" s="3" t="n">
        <v>40920</v>
      </c>
      <c r="E109" s="3" t="n">
        <v>41409</v>
      </c>
      <c r="F109" s="25"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3" t="n">
        <v>40921</v>
      </c>
      <c r="C110" s="22" t="inlineStr">
        <is>
          <t>GELENEKSEL</t>
        </is>
      </c>
      <c r="D110" s="23" t="n">
        <v>40924</v>
      </c>
      <c r="E110" s="23" t="n">
        <v>41472</v>
      </c>
      <c r="F110" s="22" t="inlineStr">
        <is>
          <t>TRT170713T17</t>
        </is>
      </c>
      <c r="G110" s="8" t="n">
        <v>278000</v>
      </c>
      <c r="H110" s="8" t="n">
        <v>100000</v>
      </c>
      <c r="I110" s="24" t="n">
        <v>85843.2</v>
      </c>
      <c r="J110" s="24" t="n">
        <v>10.91</v>
      </c>
      <c r="K110" s="24" t="n">
        <v>10.98</v>
      </c>
      <c r="L110" s="24" t="n">
        <v>11.06</v>
      </c>
      <c r="M110" s="24" t="n">
        <v>10.63</v>
      </c>
      <c r="N110" s="24" t="n">
        <v>10.7</v>
      </c>
      <c r="O110" s="24" t="n">
        <v>10.77</v>
      </c>
    </row>
    <row r="111">
      <c r="A111" s="11" t="n">
        <v>1841</v>
      </c>
      <c r="B111" s="3" t="n">
        <v>40926</v>
      </c>
      <c r="C111" s="25" t="inlineStr">
        <is>
          <t>GELENEKSEL</t>
        </is>
      </c>
      <c r="D111" s="3" t="n">
        <v>40927</v>
      </c>
      <c r="E111" s="3" t="n">
        <v>42172</v>
      </c>
      <c r="F111" s="25"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3" t="n">
        <v>40928</v>
      </c>
      <c r="C112" s="22" t="inlineStr">
        <is>
          <t>GELENEKSEL</t>
        </is>
      </c>
      <c r="D112" s="23" t="n">
        <v>40931</v>
      </c>
      <c r="E112" s="23" t="n">
        <v>41409</v>
      </c>
      <c r="F112" s="22" t="inlineStr">
        <is>
          <t>TRT150513T11</t>
        </is>
      </c>
      <c r="G112" s="8" t="n">
        <v>397000</v>
      </c>
      <c r="H112" s="8" t="n">
        <v>100000</v>
      </c>
      <c r="I112" s="24" t="n">
        <v>87661.7</v>
      </c>
      <c r="J112" s="24" t="n">
        <v>10.73</v>
      </c>
      <c r="K112" s="24" t="n">
        <v>10.75</v>
      </c>
      <c r="L112" s="24" t="n">
        <v>10.77</v>
      </c>
      <c r="M112" s="24" t="n">
        <v>10.56</v>
      </c>
      <c r="N112" s="24" t="n">
        <v>10.58</v>
      </c>
      <c r="O112" s="24" t="n">
        <v>10.6</v>
      </c>
    </row>
    <row r="113">
      <c r="A113" s="11" t="n">
        <v>1843</v>
      </c>
      <c r="B113" s="3" t="n">
        <v>40933</v>
      </c>
      <c r="C113" s="25" t="inlineStr">
        <is>
          <t>GELENEKSEL</t>
        </is>
      </c>
      <c r="D113" s="3" t="n">
        <v>40934</v>
      </c>
      <c r="E113" s="3" t="n">
        <v>41409</v>
      </c>
      <c r="F113" s="25"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3" t="n">
        <v>40935</v>
      </c>
      <c r="C114" s="22" t="inlineStr">
        <is>
          <t>GELENEKSEL</t>
        </is>
      </c>
      <c r="D114" s="23" t="n">
        <v>40938</v>
      </c>
      <c r="E114" s="23" t="n">
        <v>41472</v>
      </c>
      <c r="F114" s="22" t="inlineStr">
        <is>
          <t>TRT170713T17</t>
        </is>
      </c>
      <c r="G114" s="8" t="n">
        <v>232000</v>
      </c>
      <c r="H114" s="8" t="n">
        <v>100000</v>
      </c>
      <c r="I114" s="24" t="n">
        <v>87882.06</v>
      </c>
      <c r="J114" s="24" t="n">
        <v>9.35</v>
      </c>
      <c r="K114" s="24" t="n">
        <v>9.42</v>
      </c>
      <c r="L114" s="24" t="n">
        <v>9.51</v>
      </c>
      <c r="M114" s="24" t="n">
        <v>9.16</v>
      </c>
      <c r="N114" s="24" t="n">
        <v>9.23</v>
      </c>
      <c r="O114" s="24" t="n">
        <v>9.31</v>
      </c>
    </row>
    <row r="115">
      <c r="A115" s="11" t="n">
        <v>1845</v>
      </c>
      <c r="B115" s="3" t="n">
        <v>40940</v>
      </c>
      <c r="C115" s="25" t="inlineStr">
        <is>
          <t>GELENEKSEL</t>
        </is>
      </c>
      <c r="D115" s="3" t="n">
        <v>40941</v>
      </c>
      <c r="E115" s="3" t="n">
        <v>42172</v>
      </c>
      <c r="F115" s="25"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3" t="n">
        <v>40942</v>
      </c>
      <c r="C116" s="22" t="inlineStr">
        <is>
          <t>GELENEKSEL</t>
        </is>
      </c>
      <c r="D116" s="23" t="n">
        <v>40945</v>
      </c>
      <c r="E116" s="23" t="n">
        <v>42172</v>
      </c>
      <c r="F116" s="22" t="inlineStr">
        <is>
          <t>TRT170615T16</t>
        </is>
      </c>
      <c r="G116" s="8" t="n">
        <v>245000</v>
      </c>
      <c r="H116" s="8" t="n">
        <v>100000</v>
      </c>
      <c r="I116" s="24" t="n">
        <v>104013.4</v>
      </c>
      <c r="J116" s="24" t="n">
        <v>9.02</v>
      </c>
      <c r="K116" s="24" t="n">
        <v>9.029999999999999</v>
      </c>
      <c r="L116" s="24" t="n">
        <v>9.06</v>
      </c>
      <c r="M116" s="24" t="n">
        <v>9.220000000000001</v>
      </c>
      <c r="N116" s="24" t="n">
        <v>9.24</v>
      </c>
      <c r="O116" s="24" t="n">
        <v>9.27</v>
      </c>
    </row>
    <row r="117">
      <c r="A117" s="11" t="n">
        <v>1847</v>
      </c>
      <c r="B117" s="3" t="n">
        <v>40947</v>
      </c>
      <c r="C117" s="25" t="inlineStr">
        <is>
          <t>GELENEKSEL</t>
        </is>
      </c>
      <c r="D117" s="3" t="n">
        <v>40948</v>
      </c>
      <c r="E117" s="3" t="n">
        <v>41857</v>
      </c>
      <c r="F117" s="25"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3" t="n">
        <v>40949</v>
      </c>
      <c r="C118" s="22" t="inlineStr">
        <is>
          <t>GELENEKSEL</t>
        </is>
      </c>
      <c r="D118" s="23" t="n">
        <v>40952</v>
      </c>
      <c r="E118" s="23" t="n">
        <v>41409</v>
      </c>
      <c r="F118" s="22" t="inlineStr">
        <is>
          <t>TRT150513T11</t>
        </is>
      </c>
      <c r="G118" s="8" t="n">
        <v>412000</v>
      </c>
      <c r="H118" s="8" t="n">
        <v>100000</v>
      </c>
      <c r="I118" s="24" t="n">
        <v>89364.10000000001</v>
      </c>
      <c r="J118" s="24" t="n">
        <v>9.5</v>
      </c>
      <c r="K118" s="24" t="n">
        <v>9.51</v>
      </c>
      <c r="L118" s="24" t="n">
        <v>9.52</v>
      </c>
      <c r="M118" s="24" t="n">
        <v>9.390000000000001</v>
      </c>
      <c r="N118" s="24" t="n">
        <v>9.4</v>
      </c>
      <c r="O118" s="24" t="n">
        <v>9.41</v>
      </c>
    </row>
    <row r="119">
      <c r="A119" s="11" t="n">
        <v>1849</v>
      </c>
      <c r="B119" s="3" t="n">
        <v>40954</v>
      </c>
      <c r="C119" s="25" t="inlineStr">
        <is>
          <t>GELENEKSEL</t>
        </is>
      </c>
      <c r="D119" s="3" t="n">
        <v>40955</v>
      </c>
      <c r="E119" s="3" t="n">
        <v>42172</v>
      </c>
      <c r="F119" s="25"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3" t="n">
        <v>40956</v>
      </c>
      <c r="C120" s="22" t="inlineStr">
        <is>
          <t>GELENEKSEL</t>
        </is>
      </c>
      <c r="D120" s="23" t="n">
        <v>40959</v>
      </c>
      <c r="E120" s="23" t="n">
        <v>41409</v>
      </c>
      <c r="F120" s="22" t="inlineStr">
        <is>
          <t>TRT150513T11</t>
        </is>
      </c>
      <c r="G120" s="8" t="n">
        <v>265000</v>
      </c>
      <c r="H120" s="8" t="n">
        <v>100000</v>
      </c>
      <c r="I120" s="24" t="n">
        <v>89675.39999999999</v>
      </c>
      <c r="J120" s="24" t="n">
        <v>9.300000000000001</v>
      </c>
      <c r="K120" s="24" t="n">
        <v>9.34</v>
      </c>
      <c r="L120" s="24" t="n">
        <v>9.369999999999999</v>
      </c>
      <c r="M120" s="24" t="n">
        <v>9.199999999999999</v>
      </c>
      <c r="N120" s="24" t="n">
        <v>9.24</v>
      </c>
      <c r="O120" s="24" t="n">
        <v>9.27</v>
      </c>
    </row>
    <row r="121">
      <c r="A121" s="11" t="n">
        <v>1851</v>
      </c>
      <c r="B121" s="3" t="n">
        <v>40961</v>
      </c>
      <c r="C121" s="25" t="inlineStr">
        <is>
          <t>GELENEKSEL</t>
        </is>
      </c>
      <c r="D121" s="3" t="n">
        <v>40962</v>
      </c>
      <c r="E121" s="3" t="n">
        <v>42172</v>
      </c>
      <c r="F121" s="25"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3" t="n">
        <v>40963</v>
      </c>
      <c r="C122" s="22" t="inlineStr">
        <is>
          <t>GELENEKSEL</t>
        </is>
      </c>
      <c r="D122" s="23" t="n">
        <v>40966</v>
      </c>
      <c r="E122" s="23" t="n">
        <v>41409</v>
      </c>
      <c r="F122" s="22" t="inlineStr">
        <is>
          <t>TRT150513T11</t>
        </is>
      </c>
      <c r="G122" s="8" t="n">
        <v>344000</v>
      </c>
      <c r="H122" s="8" t="n">
        <v>100000</v>
      </c>
      <c r="I122" s="24" t="n">
        <v>90080</v>
      </c>
      <c r="J122" s="24" t="n">
        <v>9.07</v>
      </c>
      <c r="K122" s="24" t="n">
        <v>9.07</v>
      </c>
      <c r="L122" s="24" t="n">
        <v>9.07</v>
      </c>
      <c r="M122" s="24" t="n">
        <v>8.99</v>
      </c>
      <c r="N122" s="24" t="n">
        <v>8.99</v>
      </c>
      <c r="O122" s="24" t="n">
        <v>8.99</v>
      </c>
    </row>
    <row r="123">
      <c r="A123" s="11" t="n">
        <v>1853</v>
      </c>
      <c r="B123" s="3" t="n">
        <v>40968</v>
      </c>
      <c r="C123" s="25" t="inlineStr">
        <is>
          <t>GELENEKSEL</t>
        </is>
      </c>
      <c r="D123" s="3" t="n">
        <v>40969</v>
      </c>
      <c r="E123" s="3" t="n">
        <v>41409</v>
      </c>
      <c r="F123" s="25"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3" t="n">
        <v>40970</v>
      </c>
      <c r="C124" s="22" t="inlineStr">
        <is>
          <t>GELENEKSEL</t>
        </is>
      </c>
      <c r="D124" s="23" t="n">
        <v>40973</v>
      </c>
      <c r="E124" s="23" t="n">
        <v>42396</v>
      </c>
      <c r="F124" s="22" t="inlineStr">
        <is>
          <t>TRT270116T18</t>
        </is>
      </c>
      <c r="G124" s="8" t="n">
        <v>417000</v>
      </c>
      <c r="H124" s="8" t="n">
        <v>100000</v>
      </c>
      <c r="I124" s="24" t="n">
        <v>100612</v>
      </c>
      <c r="J124" s="24" t="n">
        <v>9.06</v>
      </c>
      <c r="K124" s="24" t="n">
        <v>9.06</v>
      </c>
      <c r="L124" s="24" t="n">
        <v>9.06</v>
      </c>
      <c r="M124" s="24" t="n">
        <v>9.27</v>
      </c>
      <c r="N124" s="24" t="n">
        <v>9.27</v>
      </c>
      <c r="O124" s="24" t="n">
        <v>9.27</v>
      </c>
    </row>
    <row r="125">
      <c r="A125" s="11" t="n">
        <v>1855</v>
      </c>
      <c r="B125" s="3" t="n">
        <v>40975</v>
      </c>
      <c r="C125" s="25" t="inlineStr">
        <is>
          <t>GELENEKSEL</t>
        </is>
      </c>
      <c r="D125" s="3" t="n">
        <v>40976</v>
      </c>
      <c r="E125" s="3" t="n">
        <v>42396</v>
      </c>
      <c r="F125" s="25"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3" t="n">
        <v>40977</v>
      </c>
      <c r="C126" s="22" t="inlineStr">
        <is>
          <t>GELENEKSEL</t>
        </is>
      </c>
      <c r="D126" s="23" t="n">
        <v>40980</v>
      </c>
      <c r="E126" s="23" t="n">
        <v>42396</v>
      </c>
      <c r="F126" s="22" t="inlineStr">
        <is>
          <t>TRT270116T18</t>
        </is>
      </c>
      <c r="G126" s="8" t="n">
        <v>317000</v>
      </c>
      <c r="H126" s="8" t="n">
        <v>100000</v>
      </c>
      <c r="I126" s="24" t="n">
        <v>100477</v>
      </c>
      <c r="J126" s="24" t="n">
        <v>9.16</v>
      </c>
      <c r="K126" s="24" t="n">
        <v>9.16</v>
      </c>
      <c r="L126" s="24" t="n">
        <v>9.16</v>
      </c>
      <c r="M126" s="24" t="n">
        <v>9.369999999999999</v>
      </c>
      <c r="N126" s="24" t="n">
        <v>9.369999999999999</v>
      </c>
      <c r="O126" s="24" t="n">
        <v>9.369999999999999</v>
      </c>
    </row>
    <row r="127">
      <c r="A127" s="11" t="n">
        <v>1857</v>
      </c>
      <c r="B127" s="3" t="n">
        <v>40982</v>
      </c>
      <c r="C127" s="25" t="inlineStr">
        <is>
          <t>GELENEKSEL</t>
        </is>
      </c>
      <c r="D127" s="3" t="n">
        <v>40983</v>
      </c>
      <c r="E127" s="3" t="n">
        <v>41612</v>
      </c>
      <c r="F127" s="25"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3" t="n">
        <v>40984</v>
      </c>
      <c r="C128" s="22" t="inlineStr">
        <is>
          <t>GELENEKSEL</t>
        </is>
      </c>
      <c r="D128" s="23" t="n">
        <v>40987</v>
      </c>
      <c r="E128" s="23" t="n">
        <v>41612</v>
      </c>
      <c r="F128" s="22" t="inlineStr">
        <is>
          <t>TRT041213T23</t>
        </is>
      </c>
      <c r="G128" s="8" t="n">
        <v>416000</v>
      </c>
      <c r="H128" s="8" t="n">
        <v>100000</v>
      </c>
      <c r="I128" s="24" t="n">
        <v>104194.54</v>
      </c>
      <c r="J128" s="24" t="n">
        <v>9.09</v>
      </c>
      <c r="K128" s="24" t="n">
        <v>9.09</v>
      </c>
      <c r="L128" s="24" t="n">
        <v>9.119999999999999</v>
      </c>
      <c r="M128" s="24" t="n">
        <v>9.300000000000001</v>
      </c>
      <c r="N128" s="24" t="n">
        <v>9.300000000000001</v>
      </c>
      <c r="O128" s="24" t="n">
        <v>9.33</v>
      </c>
    </row>
    <row r="129">
      <c r="A129" s="11" t="n">
        <v>1859</v>
      </c>
      <c r="B129" s="3" t="n">
        <v>40989</v>
      </c>
      <c r="C129" s="25" t="inlineStr">
        <is>
          <t>GELENEKSEL</t>
        </is>
      </c>
      <c r="D129" s="3" t="n">
        <v>40990</v>
      </c>
      <c r="E129" s="3" t="n">
        <v>41612</v>
      </c>
      <c r="F129" s="25"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3" t="n">
        <v>40991</v>
      </c>
      <c r="C130" s="22" t="inlineStr">
        <is>
          <t>GELENEKSEL</t>
        </is>
      </c>
      <c r="D130" s="23" t="n">
        <v>40994</v>
      </c>
      <c r="E130" s="23" t="n">
        <v>42396</v>
      </c>
      <c r="F130" s="22" t="inlineStr">
        <is>
          <t>TRT270116T18</t>
        </is>
      </c>
      <c r="G130" s="8" t="n">
        <v>336000</v>
      </c>
      <c r="H130" s="8" t="n">
        <v>100000</v>
      </c>
      <c r="I130" s="24" t="n">
        <v>100165.3</v>
      </c>
      <c r="J130" s="24" t="n">
        <v>9.34</v>
      </c>
      <c r="K130" s="24" t="n">
        <v>9.359999999999999</v>
      </c>
      <c r="L130" s="24" t="n">
        <v>9.41</v>
      </c>
      <c r="M130" s="24" t="n">
        <v>9.56</v>
      </c>
      <c r="N130" s="24" t="n">
        <v>9.58</v>
      </c>
      <c r="O130" s="24" t="n">
        <v>9.630000000000001</v>
      </c>
    </row>
    <row r="131">
      <c r="A131" s="11" t="n">
        <v>1861</v>
      </c>
      <c r="B131" s="3" t="n">
        <v>40996</v>
      </c>
      <c r="C131" s="25" t="inlineStr">
        <is>
          <t>GELENEKSEL</t>
        </is>
      </c>
      <c r="D131" s="3" t="n">
        <v>40997</v>
      </c>
      <c r="E131" s="3" t="n">
        <v>41612</v>
      </c>
      <c r="F131" s="25"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3" t="n">
        <v>40998</v>
      </c>
      <c r="C132" s="22" t="inlineStr">
        <is>
          <t>GELENEKSEL</t>
        </is>
      </c>
      <c r="D132" s="23" t="n">
        <v>41001</v>
      </c>
      <c r="E132" s="23" t="n">
        <v>41612</v>
      </c>
      <c r="F132" s="22" t="inlineStr">
        <is>
          <t>TRT041213T23</t>
        </is>
      </c>
      <c r="G132" s="8" t="n">
        <v>252000</v>
      </c>
      <c r="H132" s="8" t="n">
        <v>100000</v>
      </c>
      <c r="I132" s="24" t="n">
        <v>104478.55</v>
      </c>
      <c r="J132" s="24" t="n">
        <v>9.119999999999999</v>
      </c>
      <c r="K132" s="24" t="n">
        <v>9.16</v>
      </c>
      <c r="L132" s="24" t="n">
        <v>9.16</v>
      </c>
      <c r="M132" s="24" t="n">
        <v>9.33</v>
      </c>
      <c r="N132" s="24" t="n">
        <v>9.369999999999999</v>
      </c>
      <c r="O132" s="24" t="n">
        <v>9.369999999999999</v>
      </c>
    </row>
    <row r="133">
      <c r="A133" s="11" t="n">
        <v>1863</v>
      </c>
      <c r="B133" s="3" t="n">
        <v>41003</v>
      </c>
      <c r="C133" s="25" t="inlineStr">
        <is>
          <t>GELENEKSEL</t>
        </is>
      </c>
      <c r="D133" s="3" t="n">
        <v>41004</v>
      </c>
      <c r="E133" s="3" t="n">
        <v>41612</v>
      </c>
      <c r="F133" s="25"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3" t="n">
        <v>41005</v>
      </c>
      <c r="C134" s="22" t="inlineStr">
        <is>
          <t>GELENEKSEL</t>
        </is>
      </c>
      <c r="D134" s="23" t="n">
        <v>41008</v>
      </c>
      <c r="E134" s="23" t="n">
        <v>42396</v>
      </c>
      <c r="F134" s="22" t="inlineStr">
        <is>
          <t>TRT270116T18</t>
        </is>
      </c>
      <c r="G134" s="8" t="n">
        <v>289000</v>
      </c>
      <c r="H134" s="8" t="n">
        <v>100000</v>
      </c>
      <c r="I134" s="24" t="n">
        <v>101077</v>
      </c>
      <c r="J134" s="24" t="n">
        <v>9.19</v>
      </c>
      <c r="K134" s="24" t="n">
        <v>9.19</v>
      </c>
      <c r="L134" s="24" t="n">
        <v>9.19</v>
      </c>
      <c r="M134" s="24" t="n">
        <v>9.4</v>
      </c>
      <c r="N134" s="24" t="n">
        <v>9.4</v>
      </c>
      <c r="O134" s="24" t="n">
        <v>9.4</v>
      </c>
    </row>
    <row r="135">
      <c r="A135" s="11" t="n">
        <v>1865</v>
      </c>
      <c r="B135" s="3" t="n">
        <v>41010</v>
      </c>
      <c r="C135" s="25" t="inlineStr">
        <is>
          <t>GELENEKSEL</t>
        </is>
      </c>
      <c r="D135" s="3" t="n">
        <v>41011</v>
      </c>
      <c r="E135" s="3" t="n">
        <v>41612</v>
      </c>
      <c r="F135" s="25"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3" t="n">
        <v>41012</v>
      </c>
      <c r="C136" s="22" t="inlineStr">
        <is>
          <t>GELENEKSEL</t>
        </is>
      </c>
      <c r="D136" s="23" t="n">
        <v>41015</v>
      </c>
      <c r="E136" s="23" t="n">
        <v>42396</v>
      </c>
      <c r="F136" s="22" t="inlineStr">
        <is>
          <t>TRT270116T18</t>
        </is>
      </c>
      <c r="G136" s="8" t="n">
        <v>190000</v>
      </c>
      <c r="H136" s="8" t="n">
        <v>100000</v>
      </c>
      <c r="I136" s="24" t="n">
        <v>101199</v>
      </c>
      <c r="J136" s="24" t="n">
        <v>9.199999999999999</v>
      </c>
      <c r="K136" s="24" t="n">
        <v>9.199999999999999</v>
      </c>
      <c r="L136" s="24" t="n">
        <v>9.199999999999999</v>
      </c>
      <c r="M136" s="24" t="n">
        <v>9.41</v>
      </c>
      <c r="N136" s="24" t="n">
        <v>9.41</v>
      </c>
      <c r="O136" s="24" t="n">
        <v>9.41</v>
      </c>
    </row>
    <row r="137">
      <c r="A137" s="11" t="n">
        <v>1867</v>
      </c>
      <c r="B137" s="3" t="n">
        <v>41017</v>
      </c>
      <c r="C137" s="25" t="inlineStr">
        <is>
          <t>GELENEKSEL</t>
        </is>
      </c>
      <c r="D137" s="3" t="n">
        <v>41018</v>
      </c>
      <c r="E137" s="3" t="n">
        <v>41612</v>
      </c>
      <c r="F137" s="25"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3" t="n">
        <v>41019</v>
      </c>
      <c r="C138" s="22" t="inlineStr">
        <is>
          <t>GELENEKSEL</t>
        </is>
      </c>
      <c r="D138" s="23" t="n">
        <v>41023</v>
      </c>
      <c r="E138" s="23" t="n">
        <v>42396</v>
      </c>
      <c r="F138" s="22" t="inlineStr">
        <is>
          <t>TRT270116T18</t>
        </is>
      </c>
      <c r="G138" s="8" t="n">
        <v>315000</v>
      </c>
      <c r="H138" s="8" t="n">
        <v>100000</v>
      </c>
      <c r="I138" s="24" t="n">
        <v>101105.79</v>
      </c>
      <c r="J138" s="24" t="n">
        <v>9.25</v>
      </c>
      <c r="K138" s="24" t="n">
        <v>9.300000000000001</v>
      </c>
      <c r="L138" s="24" t="n">
        <v>9.31</v>
      </c>
      <c r="M138" s="24" t="n">
        <v>9.460000000000001</v>
      </c>
      <c r="N138" s="24" t="n">
        <v>9.51</v>
      </c>
      <c r="O138" s="24" t="n">
        <v>9.529999999999999</v>
      </c>
    </row>
    <row r="139">
      <c r="A139" s="11" t="n">
        <v>1869</v>
      </c>
      <c r="B139" s="3" t="n">
        <v>41024</v>
      </c>
      <c r="C139" s="25" t="inlineStr">
        <is>
          <t>GELENEKSEL</t>
        </is>
      </c>
      <c r="D139" s="3" t="n">
        <v>41025</v>
      </c>
      <c r="E139" s="3" t="n">
        <v>41472</v>
      </c>
      <c r="F139" s="25"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3" t="n">
        <v>41026</v>
      </c>
      <c r="C140" s="22" t="inlineStr">
        <is>
          <t>GELENEKSEL</t>
        </is>
      </c>
      <c r="D140" s="23" t="n">
        <v>41029</v>
      </c>
      <c r="E140" s="23" t="n">
        <v>42396</v>
      </c>
      <c r="F140" s="22" t="inlineStr">
        <is>
          <t>TRT270116T18</t>
        </is>
      </c>
      <c r="G140" s="8" t="n">
        <v>234000</v>
      </c>
      <c r="H140" s="8" t="n">
        <v>100000</v>
      </c>
      <c r="I140" s="24" t="n">
        <v>101824.65</v>
      </c>
      <c r="J140" s="24" t="n">
        <v>9.08</v>
      </c>
      <c r="K140" s="24" t="n">
        <v>9.109999999999999</v>
      </c>
      <c r="L140" s="24" t="n">
        <v>9.16</v>
      </c>
      <c r="M140" s="24" t="n">
        <v>9.279999999999999</v>
      </c>
      <c r="N140" s="24" t="n">
        <v>9.32</v>
      </c>
      <c r="O140" s="24" t="n">
        <v>9.369999999999999</v>
      </c>
    </row>
    <row r="141">
      <c r="A141" s="11" t="n">
        <v>1871</v>
      </c>
      <c r="B141" s="3" t="n">
        <v>41122</v>
      </c>
      <c r="C141" s="25" t="inlineStr">
        <is>
          <t>GELENEKSEL</t>
        </is>
      </c>
      <c r="D141" s="3" t="n">
        <v>41123</v>
      </c>
      <c r="E141" s="3" t="n">
        <v>41794</v>
      </c>
      <c r="F141" s="25"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3" t="n">
        <v>41124</v>
      </c>
      <c r="C142" s="22" t="inlineStr">
        <is>
          <t>GELENEKSEL</t>
        </is>
      </c>
      <c r="D142" s="23" t="n">
        <v>41127</v>
      </c>
      <c r="E142" s="23" t="n">
        <v>41794</v>
      </c>
      <c r="F142" s="22" t="inlineStr">
        <is>
          <t>TRT040614T12</t>
        </is>
      </c>
      <c r="G142" s="8" t="n">
        <v>211000</v>
      </c>
      <c r="H142" s="8" t="n">
        <v>100000</v>
      </c>
      <c r="I142" s="24" t="n">
        <v>101936.7</v>
      </c>
      <c r="J142" s="24" t="n">
        <v>7.66</v>
      </c>
      <c r="K142" s="24" t="n">
        <v>7.66</v>
      </c>
      <c r="L142" s="24" t="n">
        <v>7.66</v>
      </c>
      <c r="M142" s="24" t="n">
        <v>7.88</v>
      </c>
      <c r="N142" s="24" t="n">
        <v>7.88</v>
      </c>
      <c r="O142" s="24" t="n">
        <v>7.88</v>
      </c>
    </row>
    <row r="143">
      <c r="A143" s="11" t="n">
        <v>1873</v>
      </c>
      <c r="B143" s="3" t="n">
        <v>41129</v>
      </c>
      <c r="C143" s="25" t="inlineStr">
        <is>
          <t>GELENEKSEL</t>
        </is>
      </c>
      <c r="D143" s="3" t="n">
        <v>41130</v>
      </c>
      <c r="E143" s="3" t="n">
        <v>41794</v>
      </c>
      <c r="F143" s="25"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3" t="n">
        <v>41131</v>
      </c>
      <c r="C144" s="22" t="inlineStr">
        <is>
          <t>GELENEKSEL</t>
        </is>
      </c>
      <c r="D144" s="23" t="n">
        <v>41134</v>
      </c>
      <c r="E144" s="23" t="n">
        <v>41794</v>
      </c>
      <c r="F144" s="22" t="inlineStr">
        <is>
          <t>TRT040614T12</t>
        </is>
      </c>
      <c r="G144" s="8" t="n">
        <v>401000</v>
      </c>
      <c r="H144" s="8" t="n">
        <v>100000</v>
      </c>
      <c r="I144" s="24" t="n">
        <v>101672.05</v>
      </c>
      <c r="J144" s="24" t="n">
        <v>7.87</v>
      </c>
      <c r="K144" s="24" t="n">
        <v>7.91</v>
      </c>
      <c r="L144" s="24" t="n">
        <v>7.91</v>
      </c>
      <c r="M144" s="24" t="n">
        <v>8.109999999999999</v>
      </c>
      <c r="N144" s="24" t="n">
        <v>8.140000000000001</v>
      </c>
      <c r="O144" s="24" t="n">
        <v>8.140000000000001</v>
      </c>
    </row>
    <row r="145">
      <c r="A145" s="11" t="n">
        <v>1875</v>
      </c>
      <c r="B145" s="3" t="n">
        <v>41136</v>
      </c>
      <c r="C145" s="25" t="inlineStr">
        <is>
          <t>GELENEKSEL</t>
        </is>
      </c>
      <c r="D145" s="3" t="n">
        <v>41137</v>
      </c>
      <c r="E145" s="3" t="n">
        <v>41794</v>
      </c>
      <c r="F145" s="25"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3" t="n">
        <v>41215</v>
      </c>
      <c r="C146" s="22" t="inlineStr">
        <is>
          <t>GELENEKSEL</t>
        </is>
      </c>
      <c r="D146" s="23" t="n">
        <v>41218</v>
      </c>
      <c r="E146" s="23" t="n">
        <v>41703</v>
      </c>
      <c r="F146" s="22" t="inlineStr">
        <is>
          <t>TRT050314T14</t>
        </is>
      </c>
      <c r="G146" s="8" t="n">
        <v>431000</v>
      </c>
      <c r="H146" s="8" t="n">
        <v>100000</v>
      </c>
      <c r="I146" s="24" t="n">
        <v>104227.8</v>
      </c>
      <c r="J146" s="24" t="n">
        <v>6.81</v>
      </c>
      <c r="K146" s="24" t="n">
        <v>6.81</v>
      </c>
      <c r="L146" s="24" t="n">
        <v>6.81</v>
      </c>
      <c r="M146" s="24" t="n">
        <v>6.93</v>
      </c>
      <c r="N146" s="24" t="n">
        <v>6.93</v>
      </c>
      <c r="O146" s="24" t="n">
        <v>6.93</v>
      </c>
    </row>
    <row r="147">
      <c r="A147" s="11" t="n">
        <v>1877</v>
      </c>
      <c r="B147" s="3" t="n">
        <v>41220</v>
      </c>
      <c r="C147" s="25" t="inlineStr">
        <is>
          <t>GELENEKSEL</t>
        </is>
      </c>
      <c r="D147" s="3" t="n">
        <v>41221</v>
      </c>
      <c r="E147" s="3" t="n">
        <v>41703</v>
      </c>
      <c r="F147" s="25"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3" t="n">
        <v>41222</v>
      </c>
      <c r="C148" s="22" t="inlineStr">
        <is>
          <t>GELENEKSEL</t>
        </is>
      </c>
      <c r="D148" s="23" t="n">
        <v>41225</v>
      </c>
      <c r="E148" s="23" t="n">
        <v>41703</v>
      </c>
      <c r="F148" s="22" t="inlineStr">
        <is>
          <t>TRT050314T14</t>
        </is>
      </c>
      <c r="G148" s="8" t="n">
        <v>125000</v>
      </c>
      <c r="H148" s="8" t="n">
        <v>100000</v>
      </c>
      <c r="I148" s="24" t="n">
        <v>104938.3</v>
      </c>
      <c r="J148" s="24" t="n">
        <v>6.28</v>
      </c>
      <c r="K148" s="24" t="n">
        <v>6.37</v>
      </c>
      <c r="L148" s="24" t="n">
        <v>6.41</v>
      </c>
      <c r="M148" s="24" t="n">
        <v>6.38</v>
      </c>
      <c r="N148" s="24" t="n">
        <v>6.48</v>
      </c>
      <c r="O148" s="24" t="n">
        <v>6.51</v>
      </c>
    </row>
    <row r="149">
      <c r="A149" s="11" t="n">
        <v>1879</v>
      </c>
      <c r="B149" s="3" t="n">
        <v>41227</v>
      </c>
      <c r="C149" s="25" t="inlineStr">
        <is>
          <t>GELENEKSEL</t>
        </is>
      </c>
      <c r="D149" s="3" t="n">
        <v>41228</v>
      </c>
      <c r="E149" s="3" t="n">
        <v>41353</v>
      </c>
      <c r="F149" s="25"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3" t="n">
        <v>41229</v>
      </c>
      <c r="C150" s="22" t="inlineStr">
        <is>
          <t>GELENEKSEL</t>
        </is>
      </c>
      <c r="D150" s="23" t="n">
        <v>41232</v>
      </c>
      <c r="E150" s="23" t="n">
        <v>41703</v>
      </c>
      <c r="F150" s="22" t="inlineStr">
        <is>
          <t>TRT050314T14</t>
        </is>
      </c>
      <c r="G150" s="8" t="n">
        <v>153000</v>
      </c>
      <c r="H150" s="8" t="n">
        <v>100000</v>
      </c>
      <c r="I150" s="24" t="n">
        <v>105390.18</v>
      </c>
      <c r="J150" s="24" t="n">
        <v>6.09</v>
      </c>
      <c r="K150" s="24" t="n">
        <v>6.09</v>
      </c>
      <c r="L150" s="24" t="n">
        <v>6.16</v>
      </c>
      <c r="M150" s="24" t="n">
        <v>6.19</v>
      </c>
      <c r="N150" s="24" t="n">
        <v>6.19</v>
      </c>
      <c r="O150" s="24" t="n">
        <v>6.25</v>
      </c>
    </row>
    <row r="151">
      <c r="A151" s="11" t="n">
        <v>1881</v>
      </c>
      <c r="B151" s="3" t="n">
        <v>41234</v>
      </c>
      <c r="C151" s="25" t="inlineStr">
        <is>
          <t>GELENEKSEL</t>
        </is>
      </c>
      <c r="D151" s="3" t="n">
        <v>41235</v>
      </c>
      <c r="E151" s="3" t="n">
        <v>41353</v>
      </c>
      <c r="F151" s="25"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3" t="n">
        <v>41236</v>
      </c>
      <c r="C152" s="22" t="inlineStr">
        <is>
          <t>GELENEKSEL</t>
        </is>
      </c>
      <c r="D152" s="23" t="n">
        <v>41239</v>
      </c>
      <c r="E152" s="23" t="n">
        <v>41703</v>
      </c>
      <c r="F152" s="22" t="inlineStr">
        <is>
          <t>TRT050314T14</t>
        </is>
      </c>
      <c r="G152" s="8" t="n">
        <v>55000</v>
      </c>
      <c r="H152" s="8" t="n">
        <v>50000</v>
      </c>
      <c r="I152" s="24" t="n">
        <v>52825</v>
      </c>
      <c r="J152" s="24" t="n">
        <v>6</v>
      </c>
      <c r="K152" s="24" t="n">
        <v>6</v>
      </c>
      <c r="L152" s="24" t="n">
        <v>6</v>
      </c>
      <c r="M152" s="24" t="n">
        <v>6.09</v>
      </c>
      <c r="N152" s="24" t="n">
        <v>6.09</v>
      </c>
      <c r="O152" s="24" t="n">
        <v>6.09</v>
      </c>
    </row>
    <row r="153">
      <c r="A153" s="11" t="n">
        <v>1883</v>
      </c>
      <c r="B153" s="3" t="n">
        <v>41276</v>
      </c>
      <c r="C153" s="25" t="inlineStr">
        <is>
          <t>GELENEKSEL</t>
        </is>
      </c>
      <c r="D153" s="3" t="n">
        <v>41277</v>
      </c>
      <c r="E153" s="3" t="n">
        <v>41703</v>
      </c>
      <c r="F153" s="25"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3" t="n">
        <v>41278</v>
      </c>
      <c r="C154" s="22" t="inlineStr">
        <is>
          <t>GELENEKSEL</t>
        </is>
      </c>
      <c r="D154" s="23" t="n">
        <v>41281</v>
      </c>
      <c r="E154" s="23" t="n">
        <v>41703</v>
      </c>
      <c r="F154" s="22" t="inlineStr">
        <is>
          <t>TRT050314T14</t>
        </is>
      </c>
      <c r="G154" s="8" t="n">
        <v>163000</v>
      </c>
      <c r="H154" s="8" t="n">
        <v>100000</v>
      </c>
      <c r="I154" s="24" t="n">
        <v>106087.8</v>
      </c>
      <c r="J154" s="24" t="n">
        <v>6.22</v>
      </c>
      <c r="K154" s="24" t="n">
        <v>6.25</v>
      </c>
      <c r="L154" s="24" t="n">
        <v>6.34</v>
      </c>
      <c r="M154" s="24" t="n">
        <v>6.32</v>
      </c>
      <c r="N154" s="24" t="n">
        <v>6.35</v>
      </c>
      <c r="O154" s="24" t="n">
        <v>6.44</v>
      </c>
    </row>
    <row r="155">
      <c r="A155" s="11" t="n">
        <v>1885</v>
      </c>
      <c r="B155" s="3" t="n">
        <v>41283</v>
      </c>
      <c r="C155" s="25" t="inlineStr">
        <is>
          <t>GELENEKSEL</t>
        </is>
      </c>
      <c r="D155" s="3" t="n">
        <v>41284</v>
      </c>
      <c r="E155" s="3" t="n">
        <v>41906</v>
      </c>
      <c r="F155" s="25"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3" t="n">
        <v>41285</v>
      </c>
      <c r="C156" s="22" t="inlineStr">
        <is>
          <t>GELENEKSEL</t>
        </is>
      </c>
      <c r="D156" s="23" t="n">
        <v>41288</v>
      </c>
      <c r="E156" s="23" t="n">
        <v>41906</v>
      </c>
      <c r="F156" s="22" t="inlineStr">
        <is>
          <t>TRT240914T15</t>
        </is>
      </c>
      <c r="G156" s="8" t="n">
        <v>297000</v>
      </c>
      <c r="H156" s="8" t="n">
        <v>100000</v>
      </c>
      <c r="I156" s="24" t="n">
        <v>104646.65</v>
      </c>
      <c r="J156" s="24" t="n">
        <v>6</v>
      </c>
      <c r="K156" s="24" t="n">
        <v>6</v>
      </c>
      <c r="L156" s="24" t="n">
        <v>6</v>
      </c>
      <c r="M156" s="24" t="n">
        <v>6.09</v>
      </c>
      <c r="N156" s="24" t="n">
        <v>6.09</v>
      </c>
      <c r="O156" s="24" t="n">
        <v>6.09</v>
      </c>
    </row>
    <row r="157">
      <c r="A157" s="11" t="n">
        <v>1887</v>
      </c>
      <c r="B157" s="3" t="n">
        <v>41290</v>
      </c>
      <c r="C157" s="25" t="inlineStr">
        <is>
          <t>GELENEKSEL</t>
        </is>
      </c>
      <c r="D157" s="3" t="n">
        <v>41291</v>
      </c>
      <c r="E157" s="3" t="n">
        <v>41906</v>
      </c>
      <c r="F157" s="25"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3" t="n">
        <v>41292</v>
      </c>
      <c r="C158" s="22" t="inlineStr">
        <is>
          <t>GELENEKSEL</t>
        </is>
      </c>
      <c r="D158" s="23" t="n">
        <v>41295</v>
      </c>
      <c r="E158" s="23" t="n">
        <v>41906</v>
      </c>
      <c r="F158" s="22" t="inlineStr">
        <is>
          <t>TRT240914T15</t>
        </is>
      </c>
      <c r="G158" s="8" t="n">
        <v>346000</v>
      </c>
      <c r="H158" s="8" t="n">
        <v>100000</v>
      </c>
      <c r="I158" s="24" t="n">
        <v>104795</v>
      </c>
      <c r="J158" s="24" t="n">
        <v>5.97</v>
      </c>
      <c r="K158" s="24" t="n">
        <v>5.97</v>
      </c>
      <c r="L158" s="24" t="n">
        <v>5.97</v>
      </c>
      <c r="M158" s="24" t="n">
        <v>6.06</v>
      </c>
      <c r="N158" s="24" t="n">
        <v>6.06</v>
      </c>
      <c r="O158" s="24" t="n">
        <v>6.06</v>
      </c>
    </row>
    <row r="159">
      <c r="A159" s="11" t="n">
        <v>1889</v>
      </c>
      <c r="B159" s="3" t="n">
        <v>41297</v>
      </c>
      <c r="C159" s="25" t="inlineStr">
        <is>
          <t>GELENEKSEL</t>
        </is>
      </c>
      <c r="D159" s="3" t="n">
        <v>41298</v>
      </c>
      <c r="E159" s="3" t="n">
        <v>41906</v>
      </c>
      <c r="F159" s="25"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3" t="n">
        <v>41299</v>
      </c>
      <c r="C160" s="22" t="inlineStr">
        <is>
          <t>GELENEKSEL</t>
        </is>
      </c>
      <c r="D160" s="23" t="n">
        <v>41302</v>
      </c>
      <c r="E160" s="23" t="n">
        <v>41906</v>
      </c>
      <c r="F160" s="22" t="inlineStr">
        <is>
          <t>TRT240914T15</t>
        </is>
      </c>
      <c r="G160" s="8" t="n">
        <v>81000</v>
      </c>
      <c r="H160" s="8" t="n">
        <v>81000</v>
      </c>
      <c r="I160" s="24" t="n">
        <v>85219.14</v>
      </c>
      <c r="J160" s="24" t="n">
        <v>5.75</v>
      </c>
      <c r="K160" s="24" t="n">
        <v>5.78</v>
      </c>
      <c r="L160" s="24" t="n">
        <v>5.81</v>
      </c>
      <c r="M160" s="24" t="n">
        <v>5.83</v>
      </c>
      <c r="N160" s="24" t="n">
        <v>5.86</v>
      </c>
      <c r="O160" s="24" t="n">
        <v>5.9</v>
      </c>
    </row>
    <row r="161">
      <c r="A161" s="11" t="n">
        <v>1891</v>
      </c>
      <c r="B161" s="3" t="n">
        <v>41304</v>
      </c>
      <c r="C161" s="25" t="inlineStr">
        <is>
          <t>GELENEKSEL</t>
        </is>
      </c>
      <c r="D161" s="3" t="n">
        <v>41305</v>
      </c>
      <c r="E161" s="3" t="n">
        <v>41906</v>
      </c>
      <c r="F161" s="25"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3" t="n">
        <v>41306</v>
      </c>
      <c r="C162" s="22" t="inlineStr">
        <is>
          <t>GELENEKSEL</t>
        </is>
      </c>
      <c r="D162" s="23" t="n">
        <v>41309</v>
      </c>
      <c r="E162" s="23" t="n">
        <v>41703</v>
      </c>
      <c r="F162" s="22" t="inlineStr">
        <is>
          <t>TRT050314T14</t>
        </is>
      </c>
      <c r="G162" s="8" t="n">
        <v>352000</v>
      </c>
      <c r="H162" s="8" t="n">
        <v>100000</v>
      </c>
      <c r="I162" s="24" t="n">
        <v>107226</v>
      </c>
      <c r="J162" s="24" t="n">
        <v>5.63</v>
      </c>
      <c r="K162" s="24" t="n">
        <v>5.63</v>
      </c>
      <c r="L162" s="24" t="n">
        <v>5.63</v>
      </c>
      <c r="M162" s="24" t="n">
        <v>5.7</v>
      </c>
      <c r="N162" s="24" t="n">
        <v>5.7</v>
      </c>
      <c r="O162" s="24" t="n">
        <v>5.7</v>
      </c>
    </row>
    <row r="163">
      <c r="A163" s="11" t="n">
        <v>1893</v>
      </c>
      <c r="B163" s="3" t="n">
        <v>41311</v>
      </c>
      <c r="C163" s="25" t="inlineStr">
        <is>
          <t>GELENEKSEL</t>
        </is>
      </c>
      <c r="D163" s="3" t="n">
        <v>41312</v>
      </c>
      <c r="E163" s="3" t="n">
        <v>41703</v>
      </c>
      <c r="F163" s="25"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3" t="n">
        <v>41313</v>
      </c>
      <c r="C164" s="22" t="inlineStr">
        <is>
          <t>GELENEKSEL</t>
        </is>
      </c>
      <c r="D164" s="23" t="n">
        <v>41316</v>
      </c>
      <c r="E164" s="23" t="n">
        <v>41703</v>
      </c>
      <c r="F164" s="22" t="inlineStr">
        <is>
          <t>TRT050314T14</t>
        </is>
      </c>
      <c r="G164" s="8" t="n">
        <v>390000</v>
      </c>
      <c r="H164" s="8" t="n">
        <v>100000</v>
      </c>
      <c r="I164" s="24" t="n">
        <v>107423</v>
      </c>
      <c r="J164" s="24" t="n">
        <v>5.56</v>
      </c>
      <c r="K164" s="24" t="n">
        <v>5.56</v>
      </c>
      <c r="L164" s="24" t="n">
        <v>5.56</v>
      </c>
      <c r="M164" s="24" t="n">
        <v>5.64</v>
      </c>
      <c r="N164" s="24" t="n">
        <v>5.64</v>
      </c>
      <c r="O164" s="24" t="n">
        <v>5.64</v>
      </c>
    </row>
    <row r="165">
      <c r="A165" s="11" t="n">
        <v>1895</v>
      </c>
      <c r="B165" s="3" t="n">
        <v>41318</v>
      </c>
      <c r="C165" s="25" t="inlineStr">
        <is>
          <t>GELENEKSEL</t>
        </is>
      </c>
      <c r="D165" s="3" t="n">
        <v>41319</v>
      </c>
      <c r="E165" s="3" t="n">
        <v>41906</v>
      </c>
      <c r="F165" s="25"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3" t="n">
        <v>41320</v>
      </c>
      <c r="C166" s="22" t="inlineStr">
        <is>
          <t>GELENEKSEL</t>
        </is>
      </c>
      <c r="D166" s="23" t="n">
        <v>41323</v>
      </c>
      <c r="E166" s="23" t="n">
        <v>41906</v>
      </c>
      <c r="F166" s="22" t="inlineStr">
        <is>
          <t>TRT240914T15</t>
        </is>
      </c>
      <c r="G166" s="8" t="n">
        <v>450000</v>
      </c>
      <c r="H166" s="8" t="n">
        <v>100000</v>
      </c>
      <c r="I166" s="24" t="n">
        <v>105776</v>
      </c>
      <c r="J166" s="24" t="n">
        <v>5.66</v>
      </c>
      <c r="K166" s="24" t="n">
        <v>5.66</v>
      </c>
      <c r="L166" s="24" t="n">
        <v>5.66</v>
      </c>
      <c r="M166" s="24" t="n">
        <v>5.74</v>
      </c>
      <c r="N166" s="24" t="n">
        <v>5.74</v>
      </c>
      <c r="O166" s="24" t="n">
        <v>5.74</v>
      </c>
    </row>
    <row r="167">
      <c r="A167" s="11" t="n">
        <v>1897</v>
      </c>
      <c r="B167" s="3" t="n">
        <v>41325</v>
      </c>
      <c r="C167" s="25" t="inlineStr">
        <is>
          <t>GELENEKSEL</t>
        </is>
      </c>
      <c r="D167" s="3" t="n">
        <v>41326</v>
      </c>
      <c r="E167" s="3" t="n">
        <v>41906</v>
      </c>
      <c r="F167" s="25"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3" t="n">
        <v>41327</v>
      </c>
      <c r="C168" s="22" t="inlineStr">
        <is>
          <t>GELENEKSEL</t>
        </is>
      </c>
      <c r="D168" s="23" t="n">
        <v>41330</v>
      </c>
      <c r="E168" s="23" t="n">
        <v>41703</v>
      </c>
      <c r="F168" s="22" t="inlineStr">
        <is>
          <t>TRT050314T14</t>
        </is>
      </c>
      <c r="G168" s="8" t="n">
        <v>375000</v>
      </c>
      <c r="H168" s="8" t="n">
        <v>100000</v>
      </c>
      <c r="I168" s="24" t="n">
        <v>107674</v>
      </c>
      <c r="J168" s="24" t="n">
        <v>5.56</v>
      </c>
      <c r="K168" s="24" t="n">
        <v>5.56</v>
      </c>
      <c r="L168" s="24" t="n">
        <v>5.56</v>
      </c>
      <c r="M168" s="24" t="n">
        <v>5.64</v>
      </c>
      <c r="N168" s="24" t="n">
        <v>5.64</v>
      </c>
      <c r="O168" s="24" t="n">
        <v>5.64</v>
      </c>
    </row>
    <row r="169">
      <c r="A169" s="11" t="n">
        <v>1899</v>
      </c>
      <c r="B169" s="3" t="n">
        <v>41332</v>
      </c>
      <c r="C169" s="25" t="inlineStr">
        <is>
          <t>GELENEKSEL</t>
        </is>
      </c>
      <c r="D169" s="3" t="n">
        <v>41333</v>
      </c>
      <c r="E169" s="3" t="n">
        <v>41906</v>
      </c>
      <c r="F169" s="25"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3" t="n">
        <v>41334</v>
      </c>
      <c r="C170" s="22" t="inlineStr">
        <is>
          <t>GELENEKSEL</t>
        </is>
      </c>
      <c r="D170" s="23" t="n">
        <v>41337</v>
      </c>
      <c r="E170" s="23" t="n">
        <v>42802</v>
      </c>
      <c r="F170" s="22" t="inlineStr">
        <is>
          <t>TRT080317T18</t>
        </is>
      </c>
      <c r="G170" s="8" t="n">
        <v>449000</v>
      </c>
      <c r="H170" s="8" t="n">
        <v>100000</v>
      </c>
      <c r="I170" s="24" t="n">
        <v>114786.05</v>
      </c>
      <c r="J170" s="24" t="n">
        <v>6.02</v>
      </c>
      <c r="K170" s="24" t="n">
        <v>6.02</v>
      </c>
      <c r="L170" s="24" t="n">
        <v>6.02</v>
      </c>
      <c r="M170" s="24" t="n">
        <v>6.11</v>
      </c>
      <c r="N170" s="24" t="n">
        <v>6.11</v>
      </c>
      <c r="O170" s="24" t="n">
        <v>6.11</v>
      </c>
    </row>
    <row r="171">
      <c r="A171" s="11" t="n">
        <v>1901</v>
      </c>
      <c r="B171" s="3" t="n">
        <v>41339</v>
      </c>
      <c r="C171" s="25" t="inlineStr">
        <is>
          <t>GELENEKSEL</t>
        </is>
      </c>
      <c r="D171" s="3" t="n">
        <v>41340</v>
      </c>
      <c r="E171" s="3" t="n">
        <v>42802</v>
      </c>
      <c r="F171" s="25"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3" t="n">
        <v>41341</v>
      </c>
      <c r="C172" s="22" t="inlineStr">
        <is>
          <t>GELENEKSEL</t>
        </is>
      </c>
      <c r="D172" s="23" t="n">
        <v>41344</v>
      </c>
      <c r="E172" s="23" t="n">
        <v>42802</v>
      </c>
      <c r="F172" s="22" t="inlineStr">
        <is>
          <t>TRT080317T18</t>
        </is>
      </c>
      <c r="G172" s="8" t="n">
        <v>481000</v>
      </c>
      <c r="H172" s="8" t="n">
        <v>100000</v>
      </c>
      <c r="I172" s="24" t="n">
        <v>115119</v>
      </c>
      <c r="J172" s="24" t="n">
        <v>5.97</v>
      </c>
      <c r="K172" s="24" t="n">
        <v>5.97</v>
      </c>
      <c r="L172" s="24" t="n">
        <v>5.97</v>
      </c>
      <c r="M172" s="24" t="n">
        <v>6.06</v>
      </c>
      <c r="N172" s="24" t="n">
        <v>6.06</v>
      </c>
      <c r="O172" s="24" t="n">
        <v>6.06</v>
      </c>
    </row>
    <row r="173">
      <c r="A173" s="11" t="n">
        <v>1903</v>
      </c>
      <c r="B173" s="3" t="n">
        <v>41346</v>
      </c>
      <c r="C173" s="25" t="inlineStr">
        <is>
          <t>GELENEKSEL</t>
        </is>
      </c>
      <c r="D173" s="3" t="n">
        <v>41347</v>
      </c>
      <c r="E173" s="3" t="n">
        <v>41738</v>
      </c>
      <c r="F173" s="25"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3" t="n">
        <v>41348</v>
      </c>
      <c r="C174" s="22" t="inlineStr">
        <is>
          <t>GELENEKSEL</t>
        </is>
      </c>
      <c r="D174" s="23" t="n">
        <v>41351</v>
      </c>
      <c r="E174" s="23" t="n">
        <v>42802</v>
      </c>
      <c r="F174" s="22" t="inlineStr">
        <is>
          <t>TRT080317T18</t>
        </is>
      </c>
      <c r="G174" s="8" t="n">
        <v>361000</v>
      </c>
      <c r="H174" s="8" t="n">
        <v>100000</v>
      </c>
      <c r="I174" s="24" t="n">
        <v>109690</v>
      </c>
      <c r="J174" s="24" t="n">
        <v>6.25</v>
      </c>
      <c r="K174" s="24" t="n">
        <v>6.25</v>
      </c>
      <c r="L174" s="24" t="n">
        <v>6.25</v>
      </c>
      <c r="M174" s="24" t="n">
        <v>6.35</v>
      </c>
      <c r="N174" s="24" t="n">
        <v>6.35</v>
      </c>
      <c r="O174" s="24" t="n">
        <v>6.35</v>
      </c>
    </row>
    <row r="175">
      <c r="A175" s="11" t="n">
        <v>1905</v>
      </c>
      <c r="B175" s="3" t="n">
        <v>41353</v>
      </c>
      <c r="C175" s="25" t="inlineStr">
        <is>
          <t>GELENEKSEL</t>
        </is>
      </c>
      <c r="D175" s="3" t="n">
        <v>41354</v>
      </c>
      <c r="E175" s="3" t="n">
        <v>42802</v>
      </c>
      <c r="F175" s="25"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3" t="n">
        <v>41355</v>
      </c>
      <c r="C176" s="22" t="inlineStr">
        <is>
          <t>GELENEKSEL</t>
        </is>
      </c>
      <c r="D176" s="23" t="n">
        <v>41358</v>
      </c>
      <c r="E176" s="23" t="n">
        <v>42802</v>
      </c>
      <c r="F176" s="22" t="inlineStr">
        <is>
          <t>TRT080317T18</t>
        </is>
      </c>
      <c r="G176" s="8" t="n">
        <v>266000</v>
      </c>
      <c r="H176" s="8" t="n">
        <v>100000</v>
      </c>
      <c r="I176" s="24" t="n">
        <v>109497</v>
      </c>
      <c r="J176" s="24" t="n">
        <v>6.34</v>
      </c>
      <c r="K176" s="24" t="n">
        <v>6.34</v>
      </c>
      <c r="L176" s="24" t="n">
        <v>6.34</v>
      </c>
      <c r="M176" s="24" t="n">
        <v>6.44</v>
      </c>
      <c r="N176" s="24" t="n">
        <v>6.44</v>
      </c>
      <c r="O176" s="24" t="n">
        <v>6.44</v>
      </c>
    </row>
    <row r="177">
      <c r="A177" s="11" t="n">
        <v>1907</v>
      </c>
      <c r="B177" s="3" t="n">
        <v>41360</v>
      </c>
      <c r="C177" s="25" t="inlineStr">
        <is>
          <t>GELENEKSEL</t>
        </is>
      </c>
      <c r="D177" s="3" t="n">
        <v>41361</v>
      </c>
      <c r="E177" s="3" t="n">
        <v>42802</v>
      </c>
      <c r="F177" s="25"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3" t="n">
        <v>41362</v>
      </c>
      <c r="C178" s="22" t="inlineStr">
        <is>
          <t>GELENEKSEL</t>
        </is>
      </c>
      <c r="D178" s="23" t="n">
        <v>41365</v>
      </c>
      <c r="E178" s="23" t="n">
        <v>42802</v>
      </c>
      <c r="F178" s="22" t="inlineStr">
        <is>
          <t>TRT080317T18</t>
        </is>
      </c>
      <c r="G178" s="8" t="n">
        <v>260000</v>
      </c>
      <c r="H178" s="8" t="n">
        <v>100000</v>
      </c>
      <c r="I178" s="24" t="n">
        <v>109314.95</v>
      </c>
      <c r="J178" s="24" t="n">
        <v>6.41</v>
      </c>
      <c r="K178" s="24" t="n">
        <v>6.42</v>
      </c>
      <c r="L178" s="24" t="n">
        <v>6.45</v>
      </c>
      <c r="M178" s="24" t="n">
        <v>6.51</v>
      </c>
      <c r="N178" s="24" t="n">
        <v>6.52</v>
      </c>
      <c r="O178" s="24" t="n">
        <v>6.56</v>
      </c>
    </row>
    <row r="179">
      <c r="A179" s="11" t="n">
        <v>1909</v>
      </c>
      <c r="B179" s="3" t="n">
        <v>41367</v>
      </c>
      <c r="C179" s="25" t="inlineStr">
        <is>
          <t>GELENEKSEL</t>
        </is>
      </c>
      <c r="D179" s="3" t="n">
        <v>41368</v>
      </c>
      <c r="E179" s="3" t="n">
        <v>42802</v>
      </c>
      <c r="F179" s="25"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3" t="n">
        <v>41369</v>
      </c>
      <c r="C180" s="22" t="inlineStr">
        <is>
          <t>GELENEKSEL</t>
        </is>
      </c>
      <c r="D180" s="23" t="n">
        <v>41372</v>
      </c>
      <c r="E180" s="23" t="n">
        <v>42802</v>
      </c>
      <c r="F180" s="22" t="inlineStr">
        <is>
          <t>TRT080317T18</t>
        </is>
      </c>
      <c r="G180" s="8" t="n">
        <v>201000</v>
      </c>
      <c r="H180" s="8" t="n">
        <v>100000</v>
      </c>
      <c r="I180" s="24" t="n">
        <v>110063.54</v>
      </c>
      <c r="J180" s="24" t="n">
        <v>6.2</v>
      </c>
      <c r="K180" s="24" t="n">
        <v>6.25</v>
      </c>
      <c r="L180" s="24" t="n">
        <v>6.27</v>
      </c>
      <c r="M180" s="24" t="n">
        <v>6.3</v>
      </c>
      <c r="N180" s="24" t="n">
        <v>6.35</v>
      </c>
      <c r="O180" s="24" t="n">
        <v>6.36</v>
      </c>
    </row>
    <row r="181">
      <c r="A181" s="11" t="n">
        <v>1911</v>
      </c>
      <c r="B181" s="3" t="n">
        <v>41374</v>
      </c>
      <c r="C181" s="25" t="inlineStr">
        <is>
          <t>GELENEKSEL</t>
        </is>
      </c>
      <c r="D181" s="3" t="n">
        <v>41375</v>
      </c>
      <c r="E181" s="3" t="n">
        <v>41703</v>
      </c>
      <c r="F181" s="25"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3" t="n">
        <v>41376</v>
      </c>
      <c r="C182" s="22" t="inlineStr">
        <is>
          <t>GELENEKSEL</t>
        </is>
      </c>
      <c r="D182" s="23" t="n">
        <v>41379</v>
      </c>
      <c r="E182" s="23" t="n">
        <v>41703</v>
      </c>
      <c r="F182" s="22" t="inlineStr">
        <is>
          <t>TRT050314T14</t>
        </is>
      </c>
      <c r="G182" s="8" t="n">
        <v>485000</v>
      </c>
      <c r="H182" s="8" t="n">
        <v>100000</v>
      </c>
      <c r="I182" s="24" t="n">
        <v>104041.5</v>
      </c>
      <c r="J182" s="24" t="n">
        <v>5.38</v>
      </c>
      <c r="K182" s="24" t="n">
        <v>5.44</v>
      </c>
      <c r="L182" s="24" t="n">
        <v>5.44</v>
      </c>
      <c r="M182" s="24" t="n">
        <v>5.45</v>
      </c>
      <c r="N182" s="24" t="n">
        <v>5.51</v>
      </c>
      <c r="O182" s="24" t="n">
        <v>5.51</v>
      </c>
    </row>
    <row r="183">
      <c r="A183" s="11" t="n">
        <v>1913</v>
      </c>
      <c r="B183" s="3" t="n">
        <v>41381</v>
      </c>
      <c r="C183" s="25" t="inlineStr">
        <is>
          <t>GELENEKSEL</t>
        </is>
      </c>
      <c r="D183" s="3" t="n">
        <v>41382</v>
      </c>
      <c r="E183" s="3" t="n">
        <v>42802</v>
      </c>
      <c r="F183" s="25"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3" t="n">
        <v>41383</v>
      </c>
      <c r="C184" s="22" t="inlineStr">
        <is>
          <t>GELENEKSEL</t>
        </is>
      </c>
      <c r="D184" s="23" t="n">
        <v>41386</v>
      </c>
      <c r="E184" s="23" t="n">
        <v>42802</v>
      </c>
      <c r="F184" s="22" t="inlineStr">
        <is>
          <t>TRT080317T18</t>
        </is>
      </c>
      <c r="G184" s="8" t="n">
        <v>138000</v>
      </c>
      <c r="H184" s="8" t="n">
        <v>100000</v>
      </c>
      <c r="I184" s="24" t="n">
        <v>112122.08</v>
      </c>
      <c r="J184" s="24" t="n">
        <v>5.76</v>
      </c>
      <c r="K184" s="24" t="n">
        <v>5.77</v>
      </c>
      <c r="L184" s="24" t="n">
        <v>5.81</v>
      </c>
      <c r="M184" s="24" t="n">
        <v>5.84</v>
      </c>
      <c r="N184" s="24" t="n">
        <v>5.85</v>
      </c>
      <c r="O184" s="24" t="n">
        <v>5.9</v>
      </c>
    </row>
    <row r="185">
      <c r="A185" s="11" t="n">
        <v>1915</v>
      </c>
      <c r="B185" s="3" t="n">
        <v>41500</v>
      </c>
      <c r="C185" s="25" t="inlineStr">
        <is>
          <t>GELENEKSEL</t>
        </is>
      </c>
      <c r="D185" s="3" t="n">
        <v>41501</v>
      </c>
      <c r="E185" s="3" t="n">
        <v>43145</v>
      </c>
      <c r="F185" s="25"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3" t="n">
        <v>41502</v>
      </c>
      <c r="C186" s="22" t="inlineStr">
        <is>
          <t>GELENEKSEL</t>
        </is>
      </c>
      <c r="D186" s="23" t="n">
        <v>41505</v>
      </c>
      <c r="E186" s="23" t="n">
        <v>43145</v>
      </c>
      <c r="F186" s="22" t="inlineStr">
        <is>
          <t>TRT140218T10</t>
        </is>
      </c>
      <c r="G186" s="8" t="n">
        <v>220000</v>
      </c>
      <c r="H186" s="8" t="n">
        <v>100000</v>
      </c>
      <c r="I186" s="24" t="n">
        <v>94213.39999999999</v>
      </c>
      <c r="J186" s="24" t="n">
        <v>8.67</v>
      </c>
      <c r="K186" s="24" t="n">
        <v>8.74</v>
      </c>
      <c r="L186" s="24" t="n">
        <v>8.779999999999999</v>
      </c>
      <c r="M186" s="24" t="n">
        <v>8.859999999999999</v>
      </c>
      <c r="N186" s="24" t="n">
        <v>8.93</v>
      </c>
      <c r="O186" s="24" t="n">
        <v>8.98</v>
      </c>
    </row>
    <row r="187">
      <c r="A187" s="11" t="n">
        <v>1917</v>
      </c>
      <c r="B187" s="3" t="n">
        <v>41507</v>
      </c>
      <c r="C187" s="25" t="inlineStr">
        <is>
          <t>GELENEKSEL</t>
        </is>
      </c>
      <c r="D187" s="3" t="n">
        <v>41508</v>
      </c>
      <c r="E187" s="3" t="n">
        <v>42011</v>
      </c>
      <c r="F187" s="25"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3" t="n">
        <v>41509</v>
      </c>
      <c r="C188" s="22" t="inlineStr">
        <is>
          <t>GELENEKSEL</t>
        </is>
      </c>
      <c r="D188" s="23" t="n">
        <v>41512</v>
      </c>
      <c r="E188" s="23" t="n">
        <v>42011</v>
      </c>
      <c r="F188" s="22" t="inlineStr">
        <is>
          <t>TRT070115T13</t>
        </is>
      </c>
      <c r="G188" s="8" t="n">
        <v>136000</v>
      </c>
      <c r="H188" s="8" t="n">
        <v>100000</v>
      </c>
      <c r="I188" s="24" t="n">
        <v>97567.36</v>
      </c>
      <c r="J188" s="24" t="n">
        <v>9</v>
      </c>
      <c r="K188" s="24" t="n">
        <v>9.06</v>
      </c>
      <c r="L188" s="24" t="n">
        <v>9.119999999999999</v>
      </c>
      <c r="M188" s="24" t="n">
        <v>9.199999999999999</v>
      </c>
      <c r="N188" s="24" t="n">
        <v>9.27</v>
      </c>
      <c r="O188" s="24" t="n">
        <v>9.33</v>
      </c>
    </row>
    <row r="189">
      <c r="A189" s="11" t="n">
        <v>1919</v>
      </c>
      <c r="B189" s="3" t="n">
        <v>41514</v>
      </c>
      <c r="C189" s="25" t="inlineStr">
        <is>
          <t>GELENEKSEL</t>
        </is>
      </c>
      <c r="D189" s="3" t="n">
        <v>41515</v>
      </c>
      <c r="E189" s="3" t="n">
        <v>43145</v>
      </c>
      <c r="F189" s="25"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3" t="n">
        <v>41521</v>
      </c>
      <c r="C190" s="22" t="inlineStr">
        <is>
          <t>GELENEKSEL</t>
        </is>
      </c>
      <c r="D190" s="23" t="n">
        <v>41522</v>
      </c>
      <c r="E190" s="23" t="n">
        <v>42011</v>
      </c>
      <c r="F190" s="22" t="inlineStr">
        <is>
          <t>TRT070115T13</t>
        </is>
      </c>
      <c r="G190" s="8" t="n">
        <v>213000</v>
      </c>
      <c r="H190" s="8" t="n">
        <v>50000</v>
      </c>
      <c r="I190" s="24" t="n">
        <v>48807</v>
      </c>
      <c r="J190" s="24" t="n">
        <v>9.25</v>
      </c>
      <c r="K190" s="24" t="n">
        <v>9.25</v>
      </c>
      <c r="L190" s="24" t="n">
        <v>9.25</v>
      </c>
      <c r="M190" s="24" t="n">
        <v>9.460000000000001</v>
      </c>
      <c r="N190" s="24" t="n">
        <v>9.460000000000001</v>
      </c>
      <c r="O190" s="24" t="n">
        <v>9.460000000000001</v>
      </c>
    </row>
    <row r="191">
      <c r="A191" s="11" t="n">
        <v>1921</v>
      </c>
      <c r="B191" s="3" t="n">
        <v>41521</v>
      </c>
      <c r="C191" s="25" t="inlineStr">
        <is>
          <t>GELENEKSEL</t>
        </is>
      </c>
      <c r="D191" s="3" t="n">
        <v>41522</v>
      </c>
      <c r="E191" s="3" t="n">
        <v>42396</v>
      </c>
      <c r="F191" s="25"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3" t="n">
        <v>41523</v>
      </c>
      <c r="C192" s="22" t="inlineStr">
        <is>
          <t>GELENEKSEL</t>
        </is>
      </c>
      <c r="D192" s="23" t="n">
        <v>41526</v>
      </c>
      <c r="E192" s="23" t="n">
        <v>42011</v>
      </c>
      <c r="F192" s="22" t="inlineStr">
        <is>
          <t>TRT070115T13</t>
        </is>
      </c>
      <c r="G192" s="8" t="n">
        <v>152000</v>
      </c>
      <c r="H192" s="8" t="n">
        <v>50000</v>
      </c>
      <c r="I192" s="24" t="n">
        <v>48847.56</v>
      </c>
      <c r="J192" s="24" t="n">
        <v>9.220000000000001</v>
      </c>
      <c r="K192" s="24" t="n">
        <v>9.25</v>
      </c>
      <c r="L192" s="24" t="n">
        <v>9.31</v>
      </c>
      <c r="M192" s="24" t="n">
        <v>9.43</v>
      </c>
      <c r="N192" s="24" t="n">
        <v>9.460000000000001</v>
      </c>
      <c r="O192" s="24" t="n">
        <v>9.529999999999999</v>
      </c>
    </row>
    <row r="193">
      <c r="A193" s="11" t="n">
        <v>1923</v>
      </c>
      <c r="B193" s="3" t="n">
        <v>41523</v>
      </c>
      <c r="C193" s="25" t="inlineStr">
        <is>
          <t>GELENEKSEL</t>
        </is>
      </c>
      <c r="D193" s="3" t="n">
        <v>41526</v>
      </c>
      <c r="E193" s="3" t="n">
        <v>42396</v>
      </c>
      <c r="F193" s="25"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3" t="n">
        <v>41528</v>
      </c>
      <c r="C194" s="22" t="inlineStr">
        <is>
          <t>GELENEKSEL</t>
        </is>
      </c>
      <c r="D194" s="23" t="n">
        <v>41529</v>
      </c>
      <c r="E194" s="23" t="n">
        <v>42011</v>
      </c>
      <c r="F194" s="22" t="inlineStr">
        <is>
          <t>TRT070115T13</t>
        </is>
      </c>
      <c r="G194" s="8" t="n">
        <v>106000</v>
      </c>
      <c r="H194" s="8" t="n">
        <v>50000</v>
      </c>
      <c r="I194" s="24" t="n">
        <v>49136.9</v>
      </c>
      <c r="J194" s="24" t="n">
        <v>8.779999999999999</v>
      </c>
      <c r="K194" s="24" t="n">
        <v>8.81</v>
      </c>
      <c r="L194" s="24" t="n">
        <v>8.869999999999999</v>
      </c>
      <c r="M194" s="24" t="n">
        <v>8.970000000000001</v>
      </c>
      <c r="N194" s="24" t="n">
        <v>9.01</v>
      </c>
      <c r="O194" s="24" t="n">
        <v>9.07</v>
      </c>
    </row>
    <row r="195">
      <c r="A195" s="11" t="n">
        <v>1925</v>
      </c>
      <c r="B195" s="3" t="n">
        <v>41528</v>
      </c>
      <c r="C195" s="25" t="inlineStr">
        <is>
          <t>GELENEKSEL</t>
        </is>
      </c>
      <c r="D195" s="3" t="n">
        <v>41529</v>
      </c>
      <c r="E195" s="3" t="n">
        <v>42396</v>
      </c>
      <c r="F195" s="25"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3" t="n">
        <v>41530</v>
      </c>
      <c r="C196" s="22" t="inlineStr">
        <is>
          <t>GELENEKSEL</t>
        </is>
      </c>
      <c r="D196" s="23" t="n">
        <v>41533</v>
      </c>
      <c r="E196" s="23" t="n">
        <v>43145</v>
      </c>
      <c r="F196" s="22" t="inlineStr">
        <is>
          <t>TRT140218T10</t>
        </is>
      </c>
      <c r="G196" s="8" t="n">
        <v>204000</v>
      </c>
      <c r="H196" s="8" t="n">
        <v>50000</v>
      </c>
      <c r="I196" s="24" t="n">
        <v>45369.8</v>
      </c>
      <c r="J196" s="24" t="n">
        <v>9</v>
      </c>
      <c r="K196" s="24" t="n">
        <v>9</v>
      </c>
      <c r="L196" s="24" t="n">
        <v>9</v>
      </c>
      <c r="M196" s="24" t="n">
        <v>9.210000000000001</v>
      </c>
      <c r="N196" s="24" t="n">
        <v>9.210000000000001</v>
      </c>
      <c r="O196" s="24" t="n">
        <v>9.210000000000001</v>
      </c>
    </row>
    <row r="197">
      <c r="A197" s="11" t="n">
        <v>1927</v>
      </c>
      <c r="B197" s="3" t="n">
        <v>41530</v>
      </c>
      <c r="C197" s="25" t="inlineStr">
        <is>
          <t>GELENEKSEL</t>
        </is>
      </c>
      <c r="D197" s="3" t="n">
        <v>41533</v>
      </c>
      <c r="E197" s="3" t="n">
        <v>42396</v>
      </c>
      <c r="F197" s="25"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3" t="n">
        <v>41535</v>
      </c>
      <c r="C198" s="22" t="inlineStr">
        <is>
          <t>GELENEKSEL</t>
        </is>
      </c>
      <c r="D198" s="23" t="n">
        <v>41536</v>
      </c>
      <c r="E198" s="23" t="n">
        <v>41906</v>
      </c>
      <c r="F198" s="22" t="inlineStr">
        <is>
          <t>TRT240914T15</t>
        </is>
      </c>
      <c r="G198" s="8" t="n">
        <v>306000</v>
      </c>
      <c r="H198" s="8" t="n">
        <v>50000</v>
      </c>
      <c r="I198" s="24" t="n">
        <v>51480</v>
      </c>
      <c r="J198" s="24" t="n">
        <v>8.19</v>
      </c>
      <c r="K198" s="24" t="n">
        <v>8.19</v>
      </c>
      <c r="L198" s="24" t="n">
        <v>8.19</v>
      </c>
      <c r="M198" s="24" t="n">
        <v>8.359999999999999</v>
      </c>
      <c r="N198" s="24" t="n">
        <v>8.359999999999999</v>
      </c>
      <c r="O198" s="24" t="n">
        <v>8.359999999999999</v>
      </c>
    </row>
    <row r="199">
      <c r="A199" s="11" t="n">
        <v>1929</v>
      </c>
      <c r="B199" s="3" t="n">
        <v>41535</v>
      </c>
      <c r="C199" s="25" t="inlineStr">
        <is>
          <t>GELENEKSEL</t>
        </is>
      </c>
      <c r="D199" s="3" t="n">
        <v>41536</v>
      </c>
      <c r="E199" s="3" t="n">
        <v>42396</v>
      </c>
      <c r="F199" s="25"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3" t="n">
        <v>41537</v>
      </c>
      <c r="C200" s="22" t="inlineStr">
        <is>
          <t>GELENEKSEL</t>
        </is>
      </c>
      <c r="D200" s="23" t="n">
        <v>41540</v>
      </c>
      <c r="E200" s="23" t="n">
        <v>41906</v>
      </c>
      <c r="F200" s="22" t="inlineStr">
        <is>
          <t>TRT240914T15</t>
        </is>
      </c>
      <c r="G200" s="8" t="n">
        <v>145000</v>
      </c>
      <c r="H200" s="8" t="n">
        <v>50000</v>
      </c>
      <c r="I200" s="24" t="n">
        <v>51790</v>
      </c>
      <c r="J200" s="24" t="n">
        <v>7.62</v>
      </c>
      <c r="K200" s="24" t="n">
        <v>7.62</v>
      </c>
      <c r="L200" s="24" t="n">
        <v>7.62</v>
      </c>
      <c r="M200" s="24" t="n">
        <v>7.77</v>
      </c>
      <c r="N200" s="24" t="n">
        <v>7.77</v>
      </c>
      <c r="O200" s="24" t="n">
        <v>7.77</v>
      </c>
    </row>
    <row r="201">
      <c r="A201" s="11" t="n">
        <v>1931</v>
      </c>
      <c r="B201" s="3" t="n">
        <v>41537</v>
      </c>
      <c r="C201" s="25" t="inlineStr">
        <is>
          <t>GELENEKSEL</t>
        </is>
      </c>
      <c r="D201" s="3" t="n">
        <v>41540</v>
      </c>
      <c r="E201" s="3" t="n">
        <v>42396</v>
      </c>
      <c r="F201" s="25"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3" t="n">
        <v>41542</v>
      </c>
      <c r="C202" s="22" t="inlineStr">
        <is>
          <t>GELENEKSEL</t>
        </is>
      </c>
      <c r="D202" s="23" t="n">
        <v>41543</v>
      </c>
      <c r="E202" s="23" t="n">
        <v>41906</v>
      </c>
      <c r="F202" s="22" t="inlineStr">
        <is>
          <t>TRT240914T15</t>
        </is>
      </c>
      <c r="G202" s="8" t="n">
        <v>233000</v>
      </c>
      <c r="H202" s="8" t="n">
        <v>50000</v>
      </c>
      <c r="I202" s="24" t="n">
        <v>49865.5</v>
      </c>
      <c r="J202" s="24" t="n">
        <v>7.81</v>
      </c>
      <c r="K202" s="24" t="n">
        <v>7.81</v>
      </c>
      <c r="L202" s="24" t="n">
        <v>7.81</v>
      </c>
      <c r="M202" s="24" t="n">
        <v>7.97</v>
      </c>
      <c r="N202" s="24" t="n">
        <v>7.97</v>
      </c>
      <c r="O202" s="24" t="n">
        <v>7.97</v>
      </c>
    </row>
    <row r="203">
      <c r="A203" s="11" t="n">
        <v>1933</v>
      </c>
      <c r="B203" s="3" t="n">
        <v>41542</v>
      </c>
      <c r="C203" s="25" t="inlineStr">
        <is>
          <t>GELENEKSEL</t>
        </is>
      </c>
      <c r="D203" s="3" t="n">
        <v>41543</v>
      </c>
      <c r="E203" s="3" t="n">
        <v>42396</v>
      </c>
      <c r="F203" s="25"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3" t="n">
        <v>41544</v>
      </c>
      <c r="C204" s="22" t="inlineStr">
        <is>
          <t>GELENEKSEL</t>
        </is>
      </c>
      <c r="D204" s="23" t="n">
        <v>41547</v>
      </c>
      <c r="E204" s="23" t="n">
        <v>42011</v>
      </c>
      <c r="F204" s="22" t="inlineStr">
        <is>
          <t>TRT070115T13</t>
        </is>
      </c>
      <c r="G204" s="8" t="n">
        <v>198000</v>
      </c>
      <c r="H204" s="8" t="n">
        <v>50000</v>
      </c>
      <c r="I204" s="24" t="n">
        <v>49729.5</v>
      </c>
      <c r="J204" s="24" t="n">
        <v>8.19</v>
      </c>
      <c r="K204" s="24" t="n">
        <v>8.19</v>
      </c>
      <c r="L204" s="24" t="n">
        <v>8.19</v>
      </c>
      <c r="M204" s="24" t="n">
        <v>8.359999999999999</v>
      </c>
      <c r="N204" s="24" t="n">
        <v>8.359999999999999</v>
      </c>
      <c r="O204" s="24" t="n">
        <v>8.359999999999999</v>
      </c>
    </row>
    <row r="205">
      <c r="A205" s="11" t="n">
        <v>1935</v>
      </c>
      <c r="B205" s="3" t="n">
        <v>41544</v>
      </c>
      <c r="C205" s="25" t="inlineStr">
        <is>
          <t>GELENEKSEL</t>
        </is>
      </c>
      <c r="D205" s="3" t="n">
        <v>41547</v>
      </c>
      <c r="E205" s="3" t="n">
        <v>42396</v>
      </c>
      <c r="F205" s="25"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3" t="n">
        <v>41549</v>
      </c>
      <c r="C206" s="22" t="inlineStr">
        <is>
          <t>GELENEKSEL</t>
        </is>
      </c>
      <c r="D206" s="23" t="n">
        <v>41550</v>
      </c>
      <c r="E206" s="23" t="n">
        <v>42011</v>
      </c>
      <c r="F206" s="22" t="inlineStr">
        <is>
          <t>TRT070115T13</t>
        </is>
      </c>
      <c r="G206" s="8" t="n">
        <v>151000</v>
      </c>
      <c r="H206" s="8" t="n">
        <v>50000</v>
      </c>
      <c r="I206" s="24" t="n">
        <v>49836.17</v>
      </c>
      <c r="J206" s="24" t="n">
        <v>8.029999999999999</v>
      </c>
      <c r="K206" s="24" t="n">
        <v>8.06</v>
      </c>
      <c r="L206" s="24" t="n">
        <v>8.06</v>
      </c>
      <c r="M206" s="24" t="n">
        <v>8.19</v>
      </c>
      <c r="N206" s="24" t="n">
        <v>8.23</v>
      </c>
      <c r="O206" s="24" t="n">
        <v>8.23</v>
      </c>
    </row>
    <row r="207">
      <c r="A207" s="11" t="n">
        <v>1937</v>
      </c>
      <c r="B207" s="3" t="n">
        <v>41549</v>
      </c>
      <c r="C207" s="25" t="inlineStr">
        <is>
          <t>GELENEKSEL</t>
        </is>
      </c>
      <c r="D207" s="3" t="n">
        <v>41550</v>
      </c>
      <c r="E207" s="3" t="n">
        <v>43145</v>
      </c>
      <c r="F207" s="25"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3" t="n">
        <v>41551</v>
      </c>
      <c r="C208" s="22" t="inlineStr">
        <is>
          <t>GELENEKSEL</t>
        </is>
      </c>
      <c r="D208" s="23" t="n">
        <v>41554</v>
      </c>
      <c r="E208" s="23" t="n">
        <v>42011</v>
      </c>
      <c r="F208" s="22" t="inlineStr">
        <is>
          <t>TRT070115T13</t>
        </is>
      </c>
      <c r="G208" s="8" t="n">
        <v>142000</v>
      </c>
      <c r="H208" s="8" t="n">
        <v>50000</v>
      </c>
      <c r="I208" s="24" t="n">
        <v>49960.92</v>
      </c>
      <c r="J208" s="24" t="n">
        <v>7.87</v>
      </c>
      <c r="K208" s="24" t="n">
        <v>7.91</v>
      </c>
      <c r="L208" s="24" t="n">
        <v>7.94</v>
      </c>
      <c r="M208" s="24" t="n">
        <v>8.029999999999999</v>
      </c>
      <c r="N208" s="24" t="n">
        <v>8.06</v>
      </c>
      <c r="O208" s="24" t="n">
        <v>8.1</v>
      </c>
    </row>
    <row r="209">
      <c r="A209" s="11" t="n">
        <v>1939</v>
      </c>
      <c r="B209" s="3" t="n">
        <v>41551</v>
      </c>
      <c r="C209" s="25" t="inlineStr">
        <is>
          <t>GELENEKSEL</t>
        </is>
      </c>
      <c r="D209" s="3" t="n">
        <v>41554</v>
      </c>
      <c r="E209" s="3" t="n">
        <v>43145</v>
      </c>
      <c r="F209" s="25"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3" t="n">
        <v>41556</v>
      </c>
      <c r="C210" s="22" t="inlineStr">
        <is>
          <t>GELENEKSEL</t>
        </is>
      </c>
      <c r="D210" s="23" t="n">
        <v>41557</v>
      </c>
      <c r="E210" s="23" t="n">
        <v>42172</v>
      </c>
      <c r="F210" s="22" t="inlineStr">
        <is>
          <t>TRT170615T16</t>
        </is>
      </c>
      <c r="G210" s="8" t="n">
        <v>123000</v>
      </c>
      <c r="H210" s="8" t="n">
        <v>50000</v>
      </c>
      <c r="I210" s="24" t="n">
        <v>53278.1</v>
      </c>
      <c r="J210" s="24" t="n">
        <v>7.75</v>
      </c>
      <c r="K210" s="24" t="n">
        <v>7.78</v>
      </c>
      <c r="L210" s="24" t="n">
        <v>7.78</v>
      </c>
      <c r="M210" s="24" t="n">
        <v>7.9</v>
      </c>
      <c r="N210" s="24" t="n">
        <v>7.93</v>
      </c>
      <c r="O210" s="24" t="n">
        <v>7.93</v>
      </c>
    </row>
    <row r="211">
      <c r="A211" s="11" t="n">
        <v>1941</v>
      </c>
      <c r="B211" s="3" t="n">
        <v>41556</v>
      </c>
      <c r="C211" s="25" t="inlineStr">
        <is>
          <t>GELENEKSEL</t>
        </is>
      </c>
      <c r="D211" s="3" t="n">
        <v>41557</v>
      </c>
      <c r="E211" s="3" t="n">
        <v>43145</v>
      </c>
      <c r="F211" s="25"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3" t="n">
        <v>41558</v>
      </c>
      <c r="C212" s="22" t="inlineStr">
        <is>
          <t>GELENEKSEL</t>
        </is>
      </c>
      <c r="D212" s="23" t="n">
        <v>41561</v>
      </c>
      <c r="E212" s="23" t="n">
        <v>42172</v>
      </c>
      <c r="F212" s="22" t="inlineStr">
        <is>
          <t>TRT170615T16</t>
        </is>
      </c>
      <c r="G212" s="8" t="n">
        <v>155000</v>
      </c>
      <c r="H212" s="8" t="n">
        <v>50000</v>
      </c>
      <c r="I212" s="24" t="n">
        <v>53295.79</v>
      </c>
      <c r="J212" s="24" t="n">
        <v>7.78</v>
      </c>
      <c r="K212" s="24" t="n">
        <v>7.81</v>
      </c>
      <c r="L212" s="24" t="n">
        <v>7.81</v>
      </c>
      <c r="M212" s="24" t="n">
        <v>7.93</v>
      </c>
      <c r="N212" s="24" t="n">
        <v>7.97</v>
      </c>
      <c r="O212" s="24" t="n">
        <v>7.97</v>
      </c>
    </row>
    <row r="213">
      <c r="A213" s="11" t="n">
        <v>1943</v>
      </c>
      <c r="B213" s="3" t="n">
        <v>41558</v>
      </c>
      <c r="C213" s="25" t="inlineStr">
        <is>
          <t>GELENEKSEL</t>
        </is>
      </c>
      <c r="D213" s="3" t="n">
        <v>41561</v>
      </c>
      <c r="E213" s="3" t="n">
        <v>43145</v>
      </c>
      <c r="F213" s="25"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3" t="n">
        <v>41570</v>
      </c>
      <c r="C214" s="22" t="inlineStr">
        <is>
          <t>GELENEKSEL</t>
        </is>
      </c>
      <c r="D214" s="23" t="n">
        <v>41571</v>
      </c>
      <c r="E214" s="23" t="n">
        <v>42172</v>
      </c>
      <c r="F214" s="22" t="inlineStr">
        <is>
          <t>TRT170615T16</t>
        </is>
      </c>
      <c r="G214" s="8" t="n">
        <v>99000</v>
      </c>
      <c r="H214" s="8" t="n">
        <v>50000</v>
      </c>
      <c r="I214" s="24" t="n">
        <v>53662.5</v>
      </c>
      <c r="J214" s="24" t="n">
        <v>7.47</v>
      </c>
      <c r="K214" s="24" t="n">
        <v>7.47</v>
      </c>
      <c r="L214" s="24" t="n">
        <v>7.47</v>
      </c>
      <c r="M214" s="24" t="n">
        <v>7.61</v>
      </c>
      <c r="N214" s="24" t="n">
        <v>7.61</v>
      </c>
      <c r="O214" s="24" t="n">
        <v>7.61</v>
      </c>
    </row>
    <row r="215">
      <c r="A215" s="11" t="n">
        <v>1945</v>
      </c>
      <c r="B215" s="3" t="n">
        <v>41570</v>
      </c>
      <c r="C215" s="25" t="inlineStr">
        <is>
          <t>GELENEKSEL</t>
        </is>
      </c>
      <c r="D215" s="3" t="n">
        <v>41571</v>
      </c>
      <c r="E215" s="3" t="n">
        <v>43145</v>
      </c>
      <c r="F215" s="25"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3" t="n">
        <v>41572</v>
      </c>
      <c r="C216" s="22" t="inlineStr">
        <is>
          <t>GELENEKSEL</t>
        </is>
      </c>
      <c r="D216" s="23" t="n">
        <v>41575</v>
      </c>
      <c r="E216" s="23" t="n">
        <v>42011</v>
      </c>
      <c r="F216" s="22" t="inlineStr">
        <is>
          <t>TRT070115T13</t>
        </is>
      </c>
      <c r="G216" s="8" t="n">
        <v>245000</v>
      </c>
      <c r="H216" s="8" t="n">
        <v>50000</v>
      </c>
      <c r="I216" s="24" t="n">
        <v>50489</v>
      </c>
      <c r="J216" s="24" t="n">
        <v>7.37</v>
      </c>
      <c r="K216" s="24" t="n">
        <v>7.37</v>
      </c>
      <c r="L216" s="24" t="n">
        <v>7.37</v>
      </c>
      <c r="M216" s="24" t="n">
        <v>7.51</v>
      </c>
      <c r="N216" s="24" t="n">
        <v>7.51</v>
      </c>
      <c r="O216" s="24" t="n">
        <v>7.51</v>
      </c>
    </row>
    <row r="217">
      <c r="A217" s="11" t="n">
        <v>1947</v>
      </c>
      <c r="B217" s="3" t="n">
        <v>41572</v>
      </c>
      <c r="C217" s="25" t="inlineStr">
        <is>
          <t>GELENEKSEL</t>
        </is>
      </c>
      <c r="D217" s="3" t="n">
        <v>41575</v>
      </c>
      <c r="E217" s="3" t="n">
        <v>43145</v>
      </c>
      <c r="F217" s="25"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3" t="n">
        <v>41577</v>
      </c>
      <c r="C218" s="22" t="inlineStr">
        <is>
          <t>GELENEKSEL</t>
        </is>
      </c>
      <c r="D218" s="23" t="n">
        <v>41578</v>
      </c>
      <c r="E218" s="23" t="n">
        <v>42011</v>
      </c>
      <c r="F218" s="22" t="inlineStr">
        <is>
          <t>TRT070115T13</t>
        </is>
      </c>
      <c r="G218" s="8" t="n">
        <v>70000</v>
      </c>
      <c r="H218" s="8" t="n">
        <v>50000</v>
      </c>
      <c r="I218" s="24" t="n">
        <v>50456.5</v>
      </c>
      <c r="J218" s="24" t="n">
        <v>7.47</v>
      </c>
      <c r="K218" s="24" t="n">
        <v>7.47</v>
      </c>
      <c r="L218" s="24" t="n">
        <v>7.47</v>
      </c>
      <c r="M218" s="24" t="n">
        <v>7.61</v>
      </c>
      <c r="N218" s="24" t="n">
        <v>7.61</v>
      </c>
      <c r="O218" s="24" t="n">
        <v>7.61</v>
      </c>
    </row>
    <row r="219">
      <c r="A219" s="11" t="n">
        <v>1949</v>
      </c>
      <c r="B219" s="3" t="n">
        <v>41577</v>
      </c>
      <c r="C219" s="25" t="inlineStr">
        <is>
          <t>GELENEKSEL</t>
        </is>
      </c>
      <c r="D219" s="3" t="n">
        <v>41578</v>
      </c>
      <c r="E219" s="3" t="n">
        <v>43145</v>
      </c>
      <c r="F219" s="25"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3" t="n">
        <v>41579</v>
      </c>
      <c r="C220" s="22" t="inlineStr">
        <is>
          <t>GELENEKSEL</t>
        </is>
      </c>
      <c r="D220" s="23" t="n">
        <v>41582</v>
      </c>
      <c r="E220" s="23" t="n">
        <v>42137</v>
      </c>
      <c r="F220" s="22" t="inlineStr">
        <is>
          <t>TRT130515T11</t>
        </is>
      </c>
      <c r="G220" s="8" t="n">
        <v>390000</v>
      </c>
      <c r="H220" s="8" t="n">
        <v>50000</v>
      </c>
      <c r="I220" s="24" t="n">
        <v>49138</v>
      </c>
      <c r="J220" s="24" t="n">
        <v>7.91</v>
      </c>
      <c r="K220" s="24" t="n">
        <v>7.91</v>
      </c>
      <c r="L220" s="24" t="n">
        <v>7.91</v>
      </c>
      <c r="M220" s="24" t="n">
        <v>8.06</v>
      </c>
      <c r="N220" s="24" t="n">
        <v>8.06</v>
      </c>
      <c r="O220" s="24" t="n">
        <v>8.06</v>
      </c>
    </row>
    <row r="221">
      <c r="A221" s="11" t="n">
        <v>1951</v>
      </c>
      <c r="B221" s="3" t="n">
        <v>41579</v>
      </c>
      <c r="C221" s="25" t="inlineStr">
        <is>
          <t>GELENEKSEL</t>
        </is>
      </c>
      <c r="D221" s="3" t="n">
        <v>41582</v>
      </c>
      <c r="E221" s="3" t="n">
        <v>43145</v>
      </c>
      <c r="F221" s="25"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3" t="n">
        <v>41584</v>
      </c>
      <c r="C222" s="22" t="inlineStr">
        <is>
          <t>GELENEKSEL</t>
        </is>
      </c>
      <c r="D222" s="23" t="n">
        <v>41585</v>
      </c>
      <c r="E222" s="23" t="n">
        <v>42137</v>
      </c>
      <c r="F222" s="22" t="inlineStr">
        <is>
          <t>TRT130515T11</t>
        </is>
      </c>
      <c r="G222" s="8" t="n">
        <v>155000</v>
      </c>
      <c r="H222" s="8" t="n">
        <v>50000</v>
      </c>
      <c r="I222" s="24" t="n">
        <v>49046.4</v>
      </c>
      <c r="J222" s="24" t="n">
        <v>8.06</v>
      </c>
      <c r="K222" s="24" t="n">
        <v>8.09</v>
      </c>
      <c r="L222" s="24" t="n">
        <v>8.09</v>
      </c>
      <c r="M222" s="24" t="n">
        <v>8.23</v>
      </c>
      <c r="N222" s="24" t="n">
        <v>8.26</v>
      </c>
      <c r="O222" s="24" t="n">
        <v>8.26</v>
      </c>
    </row>
    <row r="223">
      <c r="A223" s="11" t="n">
        <v>1953</v>
      </c>
      <c r="B223" s="3" t="n">
        <v>41584</v>
      </c>
      <c r="C223" s="25" t="inlineStr">
        <is>
          <t>GELENEKSEL</t>
        </is>
      </c>
      <c r="D223" s="3" t="n">
        <v>41585</v>
      </c>
      <c r="E223" s="3" t="n">
        <v>43145</v>
      </c>
      <c r="F223" s="25"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3" t="n">
        <v>41586</v>
      </c>
      <c r="C224" s="22" t="inlineStr">
        <is>
          <t>GELENEKSEL</t>
        </is>
      </c>
      <c r="D224" s="23" t="n">
        <v>41589</v>
      </c>
      <c r="E224" s="23" t="n">
        <v>42137</v>
      </c>
      <c r="F224" s="22" t="inlineStr">
        <is>
          <t>TRT130515T11</t>
        </is>
      </c>
      <c r="G224" s="8" t="n">
        <v>434000</v>
      </c>
      <c r="H224" s="8" t="n">
        <v>50000</v>
      </c>
      <c r="I224" s="24" t="n">
        <v>49024</v>
      </c>
      <c r="J224" s="24" t="n">
        <v>8.19</v>
      </c>
      <c r="K224" s="24" t="n">
        <v>8.19</v>
      </c>
      <c r="L224" s="24" t="n">
        <v>8.19</v>
      </c>
      <c r="M224" s="24" t="n">
        <v>8.359999999999999</v>
      </c>
      <c r="N224" s="24" t="n">
        <v>8.359999999999999</v>
      </c>
      <c r="O224" s="24" t="n">
        <v>8.359999999999999</v>
      </c>
    </row>
    <row r="225">
      <c r="A225" s="11" t="n">
        <v>1955</v>
      </c>
      <c r="B225" s="3" t="n">
        <v>41586</v>
      </c>
      <c r="C225" s="25" t="inlineStr">
        <is>
          <t>GELENEKSEL</t>
        </is>
      </c>
      <c r="D225" s="3" t="n">
        <v>41589</v>
      </c>
      <c r="E225" s="3" t="n">
        <v>43145</v>
      </c>
      <c r="F225" s="25"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3" t="n">
        <v>41591</v>
      </c>
      <c r="C226" s="22" t="inlineStr">
        <is>
          <t>GELENEKSEL</t>
        </is>
      </c>
      <c r="D226" s="23" t="n">
        <v>41592</v>
      </c>
      <c r="E226" s="23" t="n">
        <v>42137</v>
      </c>
      <c r="F226" s="22" t="inlineStr">
        <is>
          <t>TRT130515T11</t>
        </is>
      </c>
      <c r="G226" s="8" t="n">
        <v>385000</v>
      </c>
      <c r="H226" s="8" t="n">
        <v>50000</v>
      </c>
      <c r="I226" s="24" t="n">
        <v>47504.5</v>
      </c>
      <c r="J226" s="24" t="n">
        <v>8.619999999999999</v>
      </c>
      <c r="K226" s="24" t="n">
        <v>8.619999999999999</v>
      </c>
      <c r="L226" s="24" t="n">
        <v>8.619999999999999</v>
      </c>
      <c r="M226" s="24" t="n">
        <v>8.81</v>
      </c>
      <c r="N226" s="24" t="n">
        <v>8.81</v>
      </c>
      <c r="O226" s="24" t="n">
        <v>8.81</v>
      </c>
    </row>
    <row r="227">
      <c r="A227" s="11" t="n">
        <v>1957</v>
      </c>
      <c r="B227" s="3" t="n">
        <v>41591</v>
      </c>
      <c r="C227" s="25" t="inlineStr">
        <is>
          <t>GELENEKSEL</t>
        </is>
      </c>
      <c r="D227" s="3" t="n">
        <v>41592</v>
      </c>
      <c r="E227" s="3" t="n">
        <v>43145</v>
      </c>
      <c r="F227" s="25"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3" t="n">
        <v>41593</v>
      </c>
      <c r="C228" s="22" t="inlineStr">
        <is>
          <t>GELENEKSEL</t>
        </is>
      </c>
      <c r="D228" s="23" t="n">
        <v>41596</v>
      </c>
      <c r="E228" s="23" t="n">
        <v>42137</v>
      </c>
      <c r="F228" s="22" t="inlineStr">
        <is>
          <t>TRT130515T11</t>
        </is>
      </c>
      <c r="G228" s="8" t="n">
        <v>385000</v>
      </c>
      <c r="H228" s="8" t="n">
        <v>50000</v>
      </c>
      <c r="I228" s="24" t="n">
        <v>47582</v>
      </c>
      <c r="J228" s="24" t="n">
        <v>8.59</v>
      </c>
      <c r="K228" s="24" t="n">
        <v>8.59</v>
      </c>
      <c r="L228" s="24" t="n">
        <v>8.59</v>
      </c>
      <c r="M228" s="24" t="n">
        <v>8.779999999999999</v>
      </c>
      <c r="N228" s="24" t="n">
        <v>8.779999999999999</v>
      </c>
      <c r="O228" s="24" t="n">
        <v>8.779999999999999</v>
      </c>
    </row>
    <row r="229">
      <c r="A229" s="11" t="n">
        <v>1959</v>
      </c>
      <c r="B229" s="3" t="n">
        <v>41593</v>
      </c>
      <c r="C229" s="25" t="inlineStr">
        <is>
          <t>GELENEKSEL</t>
        </is>
      </c>
      <c r="D229" s="3" t="n">
        <v>41596</v>
      </c>
      <c r="E229" s="3" t="n">
        <v>43145</v>
      </c>
      <c r="F229" s="25"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3" t="n">
        <v>41598</v>
      </c>
      <c r="C230" s="22" t="inlineStr">
        <is>
          <t>GELENEKSEL</t>
        </is>
      </c>
      <c r="D230" s="23" t="n">
        <v>41599</v>
      </c>
      <c r="E230" s="23" t="n">
        <v>42137</v>
      </c>
      <c r="F230" s="22" t="inlineStr">
        <is>
          <t>TRT130515T11</t>
        </is>
      </c>
      <c r="G230" s="8" t="n">
        <v>300000</v>
      </c>
      <c r="H230" s="8" t="n">
        <v>50000</v>
      </c>
      <c r="I230" s="24" t="n">
        <v>47436.1</v>
      </c>
      <c r="J230" s="24" t="n">
        <v>8.779999999999999</v>
      </c>
      <c r="K230" s="24" t="n">
        <v>8.869999999999999</v>
      </c>
      <c r="L230" s="24" t="n">
        <v>8.91</v>
      </c>
      <c r="M230" s="24" t="n">
        <v>8.970000000000001</v>
      </c>
      <c r="N230" s="24" t="n">
        <v>9.07</v>
      </c>
      <c r="O230" s="24" t="n">
        <v>9.1</v>
      </c>
    </row>
    <row r="231">
      <c r="A231" s="11" t="n">
        <v>1961</v>
      </c>
      <c r="B231" s="3" t="n">
        <v>41598</v>
      </c>
      <c r="C231" s="25" t="inlineStr">
        <is>
          <t>GELENEKSEL</t>
        </is>
      </c>
      <c r="D231" s="3" t="n">
        <v>41599</v>
      </c>
      <c r="E231" s="3" t="n">
        <v>43145</v>
      </c>
      <c r="F231" s="25"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3" t="n">
        <v>41600</v>
      </c>
      <c r="C232" s="22" t="inlineStr">
        <is>
          <t>GELENEKSEL</t>
        </is>
      </c>
      <c r="D232" s="23" t="n">
        <v>41603</v>
      </c>
      <c r="E232" s="23" t="n">
        <v>42137</v>
      </c>
      <c r="F232" s="22" t="inlineStr">
        <is>
          <t>TRT130515T11</t>
        </is>
      </c>
      <c r="G232" s="8" t="n">
        <v>289000</v>
      </c>
      <c r="H232" s="8" t="n">
        <v>50000</v>
      </c>
      <c r="I232" s="24" t="n">
        <v>47509.38</v>
      </c>
      <c r="J232" s="24" t="n">
        <v>8.779999999999999</v>
      </c>
      <c r="K232" s="24" t="n">
        <v>8.81</v>
      </c>
      <c r="L232" s="24" t="n">
        <v>8.81</v>
      </c>
      <c r="M232" s="24" t="n">
        <v>8.970000000000001</v>
      </c>
      <c r="N232" s="24" t="n">
        <v>9.01</v>
      </c>
      <c r="O232" s="24" t="n">
        <v>9.01</v>
      </c>
    </row>
    <row r="233">
      <c r="A233" s="11" t="n">
        <v>1963</v>
      </c>
      <c r="B233" s="3" t="n">
        <v>41600</v>
      </c>
      <c r="C233" s="25" t="inlineStr">
        <is>
          <t>GELENEKSEL</t>
        </is>
      </c>
      <c r="D233" s="3" t="n">
        <v>41603</v>
      </c>
      <c r="E233" s="3" t="n">
        <v>43145</v>
      </c>
      <c r="F233" s="25"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3" t="n">
        <v>41605</v>
      </c>
      <c r="C234" s="22" t="inlineStr">
        <is>
          <t>GELENEKSEL</t>
        </is>
      </c>
      <c r="D234" s="23" t="n">
        <v>41606</v>
      </c>
      <c r="E234" s="23" t="n">
        <v>42137</v>
      </c>
      <c r="F234" s="22" t="inlineStr">
        <is>
          <t>TRT130515T11</t>
        </is>
      </c>
      <c r="G234" s="8" t="n">
        <v>350000</v>
      </c>
      <c r="H234" s="8" t="n">
        <v>50000</v>
      </c>
      <c r="I234" s="24" t="n">
        <v>47493</v>
      </c>
      <c r="J234" s="24" t="n">
        <v>8.869999999999999</v>
      </c>
      <c r="K234" s="24" t="n">
        <v>8.869999999999999</v>
      </c>
      <c r="L234" s="24" t="n">
        <v>8.869999999999999</v>
      </c>
      <c r="M234" s="24" t="n">
        <v>9.07</v>
      </c>
      <c r="N234" s="24" t="n">
        <v>9.07</v>
      </c>
      <c r="O234" s="24" t="n">
        <v>9.07</v>
      </c>
    </row>
    <row r="235">
      <c r="A235" s="11" t="n">
        <v>1965</v>
      </c>
      <c r="B235" s="3" t="n">
        <v>41605</v>
      </c>
      <c r="C235" s="25" t="inlineStr">
        <is>
          <t>GELENEKSEL</t>
        </is>
      </c>
      <c r="D235" s="3" t="n">
        <v>41606</v>
      </c>
      <c r="E235" s="3" t="n">
        <v>43145</v>
      </c>
      <c r="F235" s="25"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3" t="n">
        <v>41607</v>
      </c>
      <c r="C236" s="22" t="inlineStr">
        <is>
          <t>GELENEKSEL</t>
        </is>
      </c>
      <c r="D236" s="23" t="n">
        <v>41610</v>
      </c>
      <c r="E236" s="23" t="n">
        <v>42137</v>
      </c>
      <c r="F236" s="22" t="inlineStr">
        <is>
          <t>TRT130515T11</t>
        </is>
      </c>
      <c r="G236" s="8" t="n">
        <v>220000</v>
      </c>
      <c r="H236" s="8" t="n">
        <v>50000</v>
      </c>
      <c r="I236" s="24" t="n">
        <v>47520</v>
      </c>
      <c r="J236" s="24" t="n">
        <v>8.94</v>
      </c>
      <c r="K236" s="24" t="n">
        <v>8.94</v>
      </c>
      <c r="L236" s="24" t="n">
        <v>8.94</v>
      </c>
      <c r="M236" s="24" t="n">
        <v>9.140000000000001</v>
      </c>
      <c r="N236" s="24" t="n">
        <v>9.140000000000001</v>
      </c>
      <c r="O236" s="24" t="n">
        <v>9.140000000000001</v>
      </c>
    </row>
    <row r="237">
      <c r="A237" s="11" t="n">
        <v>1967</v>
      </c>
      <c r="B237" s="3" t="n">
        <v>41607</v>
      </c>
      <c r="C237" s="25" t="inlineStr">
        <is>
          <t>GELENEKSEL</t>
        </is>
      </c>
      <c r="D237" s="3" t="n">
        <v>41610</v>
      </c>
      <c r="E237" s="3" t="n">
        <v>43145</v>
      </c>
      <c r="F237" s="25"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3" t="n">
        <v>41612</v>
      </c>
      <c r="C238" s="22" t="inlineStr">
        <is>
          <t>GELENEKSEL</t>
        </is>
      </c>
      <c r="D238" s="23" t="n">
        <v>41613</v>
      </c>
      <c r="E238" s="23" t="n">
        <v>42137</v>
      </c>
      <c r="F238" s="22" t="inlineStr">
        <is>
          <t>TRT130515T11</t>
        </is>
      </c>
      <c r="G238" s="8" t="n">
        <v>370000</v>
      </c>
      <c r="H238" s="8" t="n">
        <v>50000</v>
      </c>
      <c r="I238" s="24" t="n">
        <v>47511</v>
      </c>
      <c r="J238" s="24" t="n">
        <v>9</v>
      </c>
      <c r="K238" s="24" t="n">
        <v>9</v>
      </c>
      <c r="L238" s="24" t="n">
        <v>9</v>
      </c>
      <c r="M238" s="24" t="n">
        <v>9.199999999999999</v>
      </c>
      <c r="N238" s="24" t="n">
        <v>9.199999999999999</v>
      </c>
      <c r="O238" s="24" t="n">
        <v>9.199999999999999</v>
      </c>
    </row>
    <row r="239">
      <c r="A239" s="11" t="n">
        <v>1969</v>
      </c>
      <c r="B239" s="3" t="n">
        <v>41612</v>
      </c>
      <c r="C239" s="25" t="inlineStr">
        <is>
          <t>GELENEKSEL</t>
        </is>
      </c>
      <c r="D239" s="3" t="n">
        <v>41613</v>
      </c>
      <c r="E239" s="3" t="n">
        <v>43145</v>
      </c>
      <c r="F239" s="25"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3" t="n">
        <v>41614</v>
      </c>
      <c r="C240" s="22" t="inlineStr">
        <is>
          <t>GELENEKSEL</t>
        </is>
      </c>
      <c r="D240" s="23" t="n">
        <v>41617</v>
      </c>
      <c r="E240" s="23" t="n">
        <v>42137</v>
      </c>
      <c r="F240" s="22" t="inlineStr">
        <is>
          <t>TRT130515T11</t>
        </is>
      </c>
      <c r="G240" s="8" t="n">
        <v>60000</v>
      </c>
      <c r="H240" s="8" t="n">
        <v>15000</v>
      </c>
      <c r="I240" s="24" t="n">
        <v>14235.75</v>
      </c>
      <c r="J240" s="24" t="n">
        <v>9.16</v>
      </c>
      <c r="K240" s="24" t="n">
        <v>9.16</v>
      </c>
      <c r="L240" s="24" t="n">
        <v>9.16</v>
      </c>
      <c r="M240" s="24" t="n">
        <v>9.369999999999999</v>
      </c>
      <c r="N240" s="24" t="n">
        <v>9.369999999999999</v>
      </c>
      <c r="O240" s="24" t="n">
        <v>9.369999999999999</v>
      </c>
    </row>
    <row r="241">
      <c r="A241" s="11" t="n">
        <v>1971</v>
      </c>
      <c r="B241" s="3" t="n">
        <v>41703</v>
      </c>
      <c r="C241" s="25" t="inlineStr">
        <is>
          <t>GELENEKSEL</t>
        </is>
      </c>
      <c r="D241" s="3" t="n">
        <v>41704</v>
      </c>
      <c r="E241" s="3" t="n">
        <v>42137</v>
      </c>
      <c r="F241" s="25"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3" t="n">
        <v>41703</v>
      </c>
      <c r="C242" s="22" t="inlineStr">
        <is>
          <t>GELENEKSEL</t>
        </is>
      </c>
      <c r="D242" s="23" t="n">
        <v>41704</v>
      </c>
      <c r="E242" s="23" t="n">
        <v>43271</v>
      </c>
      <c r="F242" s="22" t="inlineStr">
        <is>
          <t>TRT200618T18</t>
        </is>
      </c>
      <c r="G242" s="8" t="n">
        <v>137000</v>
      </c>
      <c r="H242" s="8" t="n">
        <v>50000</v>
      </c>
      <c r="I242" s="24" t="n">
        <v>47290.3</v>
      </c>
      <c r="J242" s="24" t="n">
        <v>10.36</v>
      </c>
      <c r="K242" s="24" t="n">
        <v>10.36</v>
      </c>
      <c r="L242" s="24" t="n">
        <v>10.39</v>
      </c>
      <c r="M242" s="24" t="n">
        <v>10.63</v>
      </c>
      <c r="N242" s="24" t="n">
        <v>10.63</v>
      </c>
      <c r="O242" s="24" t="n">
        <v>10.66</v>
      </c>
    </row>
    <row r="243">
      <c r="A243" s="11" t="n">
        <v>1973</v>
      </c>
      <c r="B243" s="3" t="n">
        <v>41705</v>
      </c>
      <c r="C243" s="25" t="inlineStr">
        <is>
          <t>GELENEKSEL</t>
        </is>
      </c>
      <c r="D243" s="3" t="n">
        <v>41708</v>
      </c>
      <c r="E243" s="3" t="n">
        <v>42137</v>
      </c>
      <c r="F243" s="25"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3" t="n">
        <v>41705</v>
      </c>
      <c r="C244" s="22" t="inlineStr">
        <is>
          <t>GELENEKSEL</t>
        </is>
      </c>
      <c r="D244" s="23" t="n">
        <v>41708</v>
      </c>
      <c r="E244" s="23" t="n">
        <v>43271</v>
      </c>
      <c r="F244" s="22" t="inlineStr">
        <is>
          <t>TRT200618T18</t>
        </is>
      </c>
      <c r="G244" s="8" t="n">
        <v>149000</v>
      </c>
      <c r="H244" s="8" t="n">
        <v>50000</v>
      </c>
      <c r="I244" s="24" t="n">
        <v>47312.5</v>
      </c>
      <c r="J244" s="24" t="n">
        <v>10.35</v>
      </c>
      <c r="K244" s="24" t="n">
        <v>10.38</v>
      </c>
      <c r="L244" s="24" t="n">
        <v>10.38</v>
      </c>
      <c r="M244" s="24" t="n">
        <v>10.62</v>
      </c>
      <c r="N244" s="24" t="n">
        <v>10.65</v>
      </c>
      <c r="O244" s="24" t="n">
        <v>10.65</v>
      </c>
    </row>
    <row r="245">
      <c r="A245" s="11" t="n">
        <v>1975</v>
      </c>
      <c r="B245" s="3" t="n">
        <v>41710</v>
      </c>
      <c r="C245" s="25" t="inlineStr">
        <is>
          <t>GELENEKSEL</t>
        </is>
      </c>
      <c r="D245" s="3" t="n">
        <v>41711</v>
      </c>
      <c r="E245" s="3" t="n">
        <v>42137</v>
      </c>
      <c r="F245" s="25"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3" t="n">
        <v>41710</v>
      </c>
      <c r="C246" s="22" t="inlineStr">
        <is>
          <t>GELENEKSEL</t>
        </is>
      </c>
      <c r="D246" s="23" t="n">
        <v>41711</v>
      </c>
      <c r="E246" s="23" t="n">
        <v>42053</v>
      </c>
      <c r="F246" s="22" t="inlineStr">
        <is>
          <t>TRD180215T17</t>
        </is>
      </c>
      <c r="G246" s="8" t="n">
        <v>80000</v>
      </c>
      <c r="H246" s="8" t="n">
        <v>50000</v>
      </c>
      <c r="I246" s="24" t="n">
        <v>48237.5</v>
      </c>
      <c r="J246" s="24" t="n">
        <v>10.14</v>
      </c>
      <c r="K246" s="24" t="n">
        <v>10.14</v>
      </c>
      <c r="L246" s="24" t="n">
        <v>10.14</v>
      </c>
      <c r="M246" s="24" t="n">
        <v>10.39</v>
      </c>
      <c r="N246" s="24" t="n">
        <v>10.39</v>
      </c>
      <c r="O246" s="24" t="n">
        <v>10.39</v>
      </c>
    </row>
    <row r="247">
      <c r="A247" s="11" t="n">
        <v>1977</v>
      </c>
      <c r="B247" s="3" t="n">
        <v>41712</v>
      </c>
      <c r="C247" s="25" t="inlineStr">
        <is>
          <t>GELENEKSEL</t>
        </is>
      </c>
      <c r="D247" s="3" t="n">
        <v>41715</v>
      </c>
      <c r="E247" s="3" t="n">
        <v>42137</v>
      </c>
      <c r="F247" s="25"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3" t="n">
        <v>41712</v>
      </c>
      <c r="C248" s="22" t="inlineStr">
        <is>
          <t>GELENEKSEL</t>
        </is>
      </c>
      <c r="D248" s="23" t="n">
        <v>41715</v>
      </c>
      <c r="E248" s="23" t="n">
        <v>42284</v>
      </c>
      <c r="F248" s="22" t="inlineStr">
        <is>
          <t>TRT071015T12</t>
        </is>
      </c>
      <c r="G248" s="8" t="n">
        <v>31000</v>
      </c>
      <c r="H248" s="8" t="n">
        <v>31000</v>
      </c>
      <c r="I248" s="24" t="n">
        <v>30921.4</v>
      </c>
      <c r="J248" s="24" t="n">
        <v>10.99</v>
      </c>
      <c r="K248" s="24" t="n">
        <v>11.05</v>
      </c>
      <c r="L248" s="24" t="n">
        <v>11.08</v>
      </c>
      <c r="M248" s="24" t="n">
        <v>11.29</v>
      </c>
      <c r="N248" s="24" t="n">
        <v>11.36</v>
      </c>
      <c r="O248" s="24" t="n">
        <v>11.39</v>
      </c>
    </row>
    <row r="249">
      <c r="A249" s="11" t="n">
        <v>1979</v>
      </c>
      <c r="B249" s="3" t="n">
        <v>41717</v>
      </c>
      <c r="C249" s="25" t="inlineStr">
        <is>
          <t>GELENEKSEL</t>
        </is>
      </c>
      <c r="D249" s="3" t="n">
        <v>41718</v>
      </c>
      <c r="E249" s="3" t="n">
        <v>42137</v>
      </c>
      <c r="F249" s="25"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3" t="n">
        <v>41717</v>
      </c>
      <c r="C250" s="22" t="inlineStr">
        <is>
          <t>GELENEKSEL</t>
        </is>
      </c>
      <c r="D250" s="23" t="n">
        <v>41718</v>
      </c>
      <c r="E250" s="23" t="n">
        <v>43271</v>
      </c>
      <c r="F250" s="22" t="inlineStr">
        <is>
          <t>TRT200618T18</t>
        </is>
      </c>
      <c r="G250" s="8" t="n">
        <v>112000</v>
      </c>
      <c r="H250" s="8" t="n">
        <v>50000</v>
      </c>
      <c r="I250" s="24" t="n">
        <v>47264.78</v>
      </c>
      <c r="J250" s="24" t="n">
        <v>10.49</v>
      </c>
      <c r="K250" s="24" t="n">
        <v>10.49</v>
      </c>
      <c r="L250" s="24" t="n">
        <v>10.5</v>
      </c>
      <c r="M250" s="24" t="n">
        <v>10.76</v>
      </c>
      <c r="N250" s="24" t="n">
        <v>10.76</v>
      </c>
      <c r="O250" s="24" t="n">
        <v>10.78</v>
      </c>
    </row>
    <row r="251">
      <c r="A251" s="11" t="n">
        <v>1981</v>
      </c>
      <c r="B251" s="3" t="n">
        <v>41719</v>
      </c>
      <c r="C251" s="25" t="inlineStr">
        <is>
          <t>GELENEKSEL</t>
        </is>
      </c>
      <c r="D251" s="3" t="n">
        <v>41722</v>
      </c>
      <c r="E251" s="3" t="n">
        <v>42137</v>
      </c>
      <c r="F251" s="25"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3" t="n">
        <v>41719</v>
      </c>
      <c r="C252" s="22" t="inlineStr">
        <is>
          <t>GELENEKSEL</t>
        </is>
      </c>
      <c r="D252" s="23" t="n">
        <v>41722</v>
      </c>
      <c r="E252" s="23" t="n">
        <v>43271</v>
      </c>
      <c r="F252" s="22" t="inlineStr">
        <is>
          <t>TRT200618T18</t>
        </is>
      </c>
      <c r="G252" s="8" t="n">
        <v>196000</v>
      </c>
      <c r="H252" s="8" t="n">
        <v>50000</v>
      </c>
      <c r="I252" s="24" t="n">
        <v>46974.23</v>
      </c>
      <c r="J252" s="24" t="n">
        <v>10.64</v>
      </c>
      <c r="K252" s="24" t="n">
        <v>10.71</v>
      </c>
      <c r="L252" s="24" t="n">
        <v>10.72</v>
      </c>
      <c r="M252" s="24" t="n">
        <v>10.93</v>
      </c>
      <c r="N252" s="24" t="n">
        <v>10.99</v>
      </c>
      <c r="O252" s="24" t="n">
        <v>11.01</v>
      </c>
    </row>
    <row r="253">
      <c r="A253" s="11" t="n">
        <v>1983</v>
      </c>
      <c r="B253" s="3" t="n">
        <v>41724</v>
      </c>
      <c r="C253" s="25" t="inlineStr">
        <is>
          <t>GELENEKSEL</t>
        </is>
      </c>
      <c r="D253" s="3" t="n">
        <v>41725</v>
      </c>
      <c r="E253" s="3" t="n">
        <v>42137</v>
      </c>
      <c r="F253" s="25"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3" t="n">
        <v>41724</v>
      </c>
      <c r="C254" s="22" t="inlineStr">
        <is>
          <t>GELENEKSEL</t>
        </is>
      </c>
      <c r="D254" s="23" t="n">
        <v>41725</v>
      </c>
      <c r="E254" s="23" t="n">
        <v>43271</v>
      </c>
      <c r="F254" s="22" t="inlineStr">
        <is>
          <t>TRT200618T18</t>
        </is>
      </c>
      <c r="G254" s="8" t="n">
        <v>290000</v>
      </c>
      <c r="H254" s="8" t="n">
        <v>50000</v>
      </c>
      <c r="I254" s="24" t="n">
        <v>47549</v>
      </c>
      <c r="J254" s="24" t="n">
        <v>10.38</v>
      </c>
      <c r="K254" s="24" t="n">
        <v>10.38</v>
      </c>
      <c r="L254" s="24" t="n">
        <v>10.38</v>
      </c>
      <c r="M254" s="24" t="n">
        <v>10.65</v>
      </c>
      <c r="N254" s="24" t="n">
        <v>10.65</v>
      </c>
      <c r="O254" s="24" t="n">
        <v>10.65</v>
      </c>
    </row>
    <row r="255">
      <c r="A255" s="11" t="n">
        <v>1985</v>
      </c>
      <c r="B255" s="3" t="n">
        <v>41726</v>
      </c>
      <c r="C255" s="25" t="inlineStr">
        <is>
          <t>GELENEKSEL</t>
        </is>
      </c>
      <c r="D255" s="3" t="n">
        <v>41729</v>
      </c>
      <c r="E255" s="3" t="n">
        <v>42137</v>
      </c>
      <c r="F255" s="25"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3" t="n">
        <v>41726</v>
      </c>
      <c r="C256" s="22" t="inlineStr">
        <is>
          <t>GELENEKSEL</t>
        </is>
      </c>
      <c r="D256" s="23" t="n">
        <v>41729</v>
      </c>
      <c r="E256" s="23" t="n">
        <v>43271</v>
      </c>
      <c r="F256" s="22" t="inlineStr">
        <is>
          <t>TRT200618T18</t>
        </is>
      </c>
      <c r="G256" s="8" t="n">
        <v>238000</v>
      </c>
      <c r="H256" s="8" t="n">
        <v>50000</v>
      </c>
      <c r="I256" s="24" t="n">
        <v>48074.33</v>
      </c>
      <c r="J256" s="24" t="n">
        <v>10.07</v>
      </c>
      <c r="K256" s="24" t="n">
        <v>10.08</v>
      </c>
      <c r="L256" s="24" t="n">
        <v>10.1</v>
      </c>
      <c r="M256" s="24" t="n">
        <v>10.32</v>
      </c>
      <c r="N256" s="24" t="n">
        <v>10.34</v>
      </c>
      <c r="O256" s="24" t="n">
        <v>10.35</v>
      </c>
    </row>
    <row r="257">
      <c r="A257" s="11" t="n">
        <v>1987</v>
      </c>
      <c r="B257" s="3" t="n">
        <v>41731</v>
      </c>
      <c r="C257" s="25" t="inlineStr">
        <is>
          <t>GELENEKSEL</t>
        </is>
      </c>
      <c r="D257" s="3" t="n">
        <v>41732</v>
      </c>
      <c r="E257" s="3" t="n">
        <v>42137</v>
      </c>
      <c r="F257" s="25"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3" t="n">
        <v>41731</v>
      </c>
      <c r="C258" s="22" t="inlineStr">
        <is>
          <t>GELENEKSEL</t>
        </is>
      </c>
      <c r="D258" s="23" t="n">
        <v>41732</v>
      </c>
      <c r="E258" s="23" t="n">
        <v>43271</v>
      </c>
      <c r="F258" s="22" t="inlineStr">
        <is>
          <t>TRT200618T18</t>
        </is>
      </c>
      <c r="G258" s="8" t="n">
        <v>340000</v>
      </c>
      <c r="H258" s="8" t="n">
        <v>50000</v>
      </c>
      <c r="I258" s="24" t="n">
        <v>48570.2</v>
      </c>
      <c r="J258" s="24" t="n">
        <v>9.800000000000001</v>
      </c>
      <c r="K258" s="24" t="n">
        <v>9.800000000000001</v>
      </c>
      <c r="L258" s="24" t="n">
        <v>9.82</v>
      </c>
      <c r="M258" s="24" t="n">
        <v>10.04</v>
      </c>
      <c r="N258" s="24" t="n">
        <v>10.04</v>
      </c>
      <c r="O258" s="24" t="n">
        <v>10.06</v>
      </c>
    </row>
    <row r="259">
      <c r="A259" s="11" t="n">
        <v>1989</v>
      </c>
      <c r="B259" s="3" t="n">
        <v>41733</v>
      </c>
      <c r="C259" s="25" t="inlineStr">
        <is>
          <t>GELENEKSEL</t>
        </is>
      </c>
      <c r="D259" s="3" t="n">
        <v>41736</v>
      </c>
      <c r="E259" s="3" t="n">
        <v>42137</v>
      </c>
      <c r="F259" s="25"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3" t="n">
        <v>41733</v>
      </c>
      <c r="C260" s="22" t="inlineStr">
        <is>
          <t>GELENEKSEL</t>
        </is>
      </c>
      <c r="D260" s="23" t="n">
        <v>41736</v>
      </c>
      <c r="E260" s="23" t="n">
        <v>43271</v>
      </c>
      <c r="F260" s="22" t="inlineStr">
        <is>
          <t>TRT200618T18</t>
        </is>
      </c>
      <c r="G260" s="8" t="n">
        <v>299000</v>
      </c>
      <c r="H260" s="8" t="n">
        <v>50000</v>
      </c>
      <c r="I260" s="24" t="n">
        <v>48424.5</v>
      </c>
      <c r="J260" s="24" t="n">
        <v>9.92</v>
      </c>
      <c r="K260" s="24" t="n">
        <v>9.92</v>
      </c>
      <c r="L260" s="24" t="n">
        <v>9.92</v>
      </c>
      <c r="M260" s="24" t="n">
        <v>10.17</v>
      </c>
      <c r="N260" s="24" t="n">
        <v>10.17</v>
      </c>
      <c r="O260" s="24" t="n">
        <v>10.17</v>
      </c>
    </row>
    <row r="261">
      <c r="A261" s="11" t="n">
        <v>1991</v>
      </c>
      <c r="B261" s="3" t="n">
        <v>41738</v>
      </c>
      <c r="C261" s="25" t="inlineStr">
        <is>
          <t>GELENEKSEL</t>
        </is>
      </c>
      <c r="D261" s="3" t="n">
        <v>41739</v>
      </c>
      <c r="E261" s="3" t="n">
        <v>42137</v>
      </c>
      <c r="F261" s="25"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3" t="n">
        <v>41738</v>
      </c>
      <c r="C262" s="22" t="inlineStr">
        <is>
          <t>GELENEKSEL</t>
        </is>
      </c>
      <c r="D262" s="23" t="n">
        <v>41739</v>
      </c>
      <c r="E262" s="23" t="n">
        <v>43271</v>
      </c>
      <c r="F262" s="22" t="inlineStr">
        <is>
          <t>TRT200618T18</t>
        </is>
      </c>
      <c r="G262" s="8" t="n">
        <v>294000</v>
      </c>
      <c r="H262" s="8" t="n">
        <v>50000</v>
      </c>
      <c r="I262" s="24" t="n">
        <v>49076</v>
      </c>
      <c r="J262" s="24" t="n">
        <v>9.550000000000001</v>
      </c>
      <c r="K262" s="24" t="n">
        <v>9.550000000000001</v>
      </c>
      <c r="L262" s="24" t="n">
        <v>9.550000000000001</v>
      </c>
      <c r="M262" s="24" t="n">
        <v>9.779999999999999</v>
      </c>
      <c r="N262" s="24" t="n">
        <v>9.779999999999999</v>
      </c>
      <c r="O262" s="24" t="n">
        <v>9.779999999999999</v>
      </c>
    </row>
    <row r="263">
      <c r="A263" s="11" t="n">
        <v>1993</v>
      </c>
      <c r="B263" s="3" t="n">
        <v>41740</v>
      </c>
      <c r="C263" s="25" t="inlineStr">
        <is>
          <t>GELENEKSEL</t>
        </is>
      </c>
      <c r="D263" s="3" t="n">
        <v>41743</v>
      </c>
      <c r="E263" s="3" t="n">
        <v>42137</v>
      </c>
      <c r="F263" s="25"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3" t="n">
        <v>41740</v>
      </c>
      <c r="C264" s="22" t="inlineStr">
        <is>
          <t>GELENEKSEL</t>
        </is>
      </c>
      <c r="D264" s="23" t="n">
        <v>41743</v>
      </c>
      <c r="E264" s="23" t="n">
        <v>43271</v>
      </c>
      <c r="F264" s="22" t="inlineStr">
        <is>
          <t>TRT200618T18</t>
        </is>
      </c>
      <c r="G264" s="8" t="n">
        <v>395000</v>
      </c>
      <c r="H264" s="8" t="n">
        <v>50000</v>
      </c>
      <c r="I264" s="24" t="n">
        <v>49187.5</v>
      </c>
      <c r="J264" s="24" t="n">
        <v>9.5</v>
      </c>
      <c r="K264" s="24" t="n">
        <v>9.5</v>
      </c>
      <c r="L264" s="24" t="n">
        <v>9.5</v>
      </c>
      <c r="M264" s="24" t="n">
        <v>9.73</v>
      </c>
      <c r="N264" s="24" t="n">
        <v>9.73</v>
      </c>
      <c r="O264" s="24" t="n">
        <v>9.73</v>
      </c>
    </row>
    <row r="265">
      <c r="A265" s="11" t="n">
        <v>1995</v>
      </c>
      <c r="B265" s="3" t="n">
        <v>41745</v>
      </c>
      <c r="C265" s="25" t="inlineStr">
        <is>
          <t>GELENEKSEL</t>
        </is>
      </c>
      <c r="D265" s="3" t="n">
        <v>41746</v>
      </c>
      <c r="E265" s="3" t="n">
        <v>42011</v>
      </c>
      <c r="F265" s="25"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3" t="n">
        <v>41745</v>
      </c>
      <c r="C266" s="22" t="inlineStr">
        <is>
          <t>GELENEKSEL</t>
        </is>
      </c>
      <c r="D266" s="23" t="n">
        <v>41746</v>
      </c>
      <c r="E266" s="23" t="n">
        <v>43271</v>
      </c>
      <c r="F266" s="22" t="inlineStr">
        <is>
          <t>TRT200618T18</t>
        </is>
      </c>
      <c r="G266" s="8" t="n">
        <v>43000</v>
      </c>
      <c r="H266" s="8" t="n">
        <v>43000</v>
      </c>
      <c r="I266" s="24" t="n">
        <v>42365.65</v>
      </c>
      <c r="J266" s="24" t="n">
        <v>9.44</v>
      </c>
      <c r="K266" s="24" t="n">
        <v>9.49</v>
      </c>
      <c r="L266" s="24" t="n">
        <v>9.550000000000001</v>
      </c>
      <c r="M266" s="24" t="n">
        <v>9.66</v>
      </c>
      <c r="N266" s="24" t="n">
        <v>9.710000000000001</v>
      </c>
      <c r="O266" s="24" t="n">
        <v>9.779999999999999</v>
      </c>
    </row>
    <row r="267">
      <c r="A267" s="11" t="n">
        <v>1997</v>
      </c>
      <c r="B267" s="3" t="n">
        <v>41747</v>
      </c>
      <c r="C267" s="25" t="inlineStr">
        <is>
          <t>GELENEKSEL</t>
        </is>
      </c>
      <c r="D267" s="3" t="n">
        <v>41750</v>
      </c>
      <c r="E267" s="3" t="n">
        <v>42011</v>
      </c>
      <c r="F267" s="25"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3" t="n">
        <v>41747</v>
      </c>
      <c r="C268" s="22" t="inlineStr">
        <is>
          <t>GELENEKSEL</t>
        </is>
      </c>
      <c r="D268" s="23" t="n">
        <v>41750</v>
      </c>
      <c r="E268" s="23" t="n">
        <v>43271</v>
      </c>
      <c r="F268" s="22" t="inlineStr">
        <is>
          <t>TRT200618T18</t>
        </is>
      </c>
      <c r="G268" s="8" t="n">
        <v>166000</v>
      </c>
      <c r="H268" s="8" t="n">
        <v>50000</v>
      </c>
      <c r="I268" s="24" t="n">
        <v>49452.2</v>
      </c>
      <c r="J268" s="24" t="n">
        <v>9.380000000000001</v>
      </c>
      <c r="K268" s="24" t="n">
        <v>9.41</v>
      </c>
      <c r="L268" s="24" t="n">
        <v>9.44</v>
      </c>
      <c r="M268" s="24" t="n">
        <v>9.6</v>
      </c>
      <c r="N268" s="24" t="n">
        <v>9.630000000000001</v>
      </c>
      <c r="O268" s="24" t="n">
        <v>9.66</v>
      </c>
    </row>
    <row r="269">
      <c r="A269" s="11" t="n">
        <v>1999</v>
      </c>
      <c r="B269" s="3" t="n">
        <v>41794</v>
      </c>
      <c r="C269" s="25" t="inlineStr">
        <is>
          <t>GELENEKSEL</t>
        </is>
      </c>
      <c r="D269" s="3" t="n">
        <v>41795</v>
      </c>
      <c r="E269" s="3" t="n">
        <v>42284</v>
      </c>
      <c r="F269" s="25"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3" t="n">
        <v>41794</v>
      </c>
      <c r="C270" s="22" t="inlineStr">
        <is>
          <t>GELENEKSEL</t>
        </is>
      </c>
      <c r="D270" s="23" t="n">
        <v>41795</v>
      </c>
      <c r="E270" s="23" t="n">
        <v>43271</v>
      </c>
      <c r="F270" s="22" t="inlineStr">
        <is>
          <t>TRT200618T18</t>
        </is>
      </c>
      <c r="G270" s="8" t="n">
        <v>230000</v>
      </c>
      <c r="H270" s="8" t="n">
        <v>50000</v>
      </c>
      <c r="I270" s="24" t="n">
        <v>51464.8</v>
      </c>
      <c r="J270" s="24" t="n">
        <v>8.52</v>
      </c>
      <c r="K270" s="24" t="n">
        <v>8.52</v>
      </c>
      <c r="L270" s="24" t="n">
        <v>8.529999999999999</v>
      </c>
      <c r="M270" s="24" t="n">
        <v>8.699999999999999</v>
      </c>
      <c r="N270" s="24" t="n">
        <v>8.699999999999999</v>
      </c>
      <c r="O270" s="24" t="n">
        <v>8.720000000000001</v>
      </c>
    </row>
    <row r="271">
      <c r="A271" s="11" t="n">
        <v>2001</v>
      </c>
      <c r="B271" s="3" t="n">
        <v>41796</v>
      </c>
      <c r="C271" s="25" t="inlineStr">
        <is>
          <t>GELENEKSEL</t>
        </is>
      </c>
      <c r="D271" s="3" t="n">
        <v>41799</v>
      </c>
      <c r="E271" s="3" t="n">
        <v>43271</v>
      </c>
      <c r="F271" s="25"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3" t="n">
        <v>41796</v>
      </c>
      <c r="C272" s="22" t="inlineStr">
        <is>
          <t>GELENEKSEL</t>
        </is>
      </c>
      <c r="D272" s="23" t="n">
        <v>41799</v>
      </c>
      <c r="E272" s="23" t="n">
        <v>43418</v>
      </c>
      <c r="F272" s="22" t="inlineStr">
        <is>
          <t>TRT141118T19</t>
        </is>
      </c>
      <c r="G272" s="8" t="n">
        <v>235000</v>
      </c>
      <c r="H272" s="8" t="n">
        <v>50000</v>
      </c>
      <c r="I272" s="24" t="n">
        <v>51025</v>
      </c>
      <c r="J272" s="24" t="n">
        <v>8.359999999999999</v>
      </c>
      <c r="K272" s="24" t="n">
        <v>8.359999999999999</v>
      </c>
      <c r="L272" s="24" t="n">
        <v>8.359999999999999</v>
      </c>
      <c r="M272" s="24" t="n">
        <v>8.539999999999999</v>
      </c>
      <c r="N272" s="24" t="n">
        <v>8.539999999999999</v>
      </c>
      <c r="O272" s="24" t="n">
        <v>8.539999999999999</v>
      </c>
    </row>
    <row r="273">
      <c r="A273" s="11" t="n">
        <v>2003</v>
      </c>
      <c r="B273" s="3" t="n">
        <v>41801</v>
      </c>
      <c r="C273" s="25" t="inlineStr">
        <is>
          <t>GELENEKSEL</t>
        </is>
      </c>
      <c r="D273" s="3" t="n">
        <v>41802</v>
      </c>
      <c r="E273" s="3" t="n">
        <v>43271</v>
      </c>
      <c r="F273" s="25"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3" t="n">
        <v>41801</v>
      </c>
      <c r="C274" s="22" t="inlineStr">
        <is>
          <t>GELENEKSEL</t>
        </is>
      </c>
      <c r="D274" s="23" t="n">
        <v>41802</v>
      </c>
      <c r="E274" s="23" t="n">
        <v>43418</v>
      </c>
      <c r="F274" s="22" t="inlineStr">
        <is>
          <t>TRT141118T19</t>
        </is>
      </c>
      <c r="G274" s="8" t="n">
        <v>260000</v>
      </c>
      <c r="H274" s="8" t="n">
        <v>50000</v>
      </c>
      <c r="I274" s="24" t="n">
        <v>51211.7</v>
      </c>
      <c r="J274" s="24" t="n">
        <v>8.279999999999999</v>
      </c>
      <c r="K274" s="24" t="n">
        <v>8.279999999999999</v>
      </c>
      <c r="L274" s="24" t="n">
        <v>8.289999999999999</v>
      </c>
      <c r="M274" s="24" t="n">
        <v>8.460000000000001</v>
      </c>
      <c r="N274" s="24" t="n">
        <v>8.460000000000001</v>
      </c>
      <c r="O274" s="24" t="n">
        <v>8.460000000000001</v>
      </c>
    </row>
    <row r="275">
      <c r="A275" s="11" t="n">
        <v>2005</v>
      </c>
      <c r="B275" s="3" t="n">
        <v>41803</v>
      </c>
      <c r="C275" s="25" t="inlineStr">
        <is>
          <t>GELENEKSEL</t>
        </is>
      </c>
      <c r="D275" s="3" t="n">
        <v>41806</v>
      </c>
      <c r="E275" s="3" t="n">
        <v>43271</v>
      </c>
      <c r="F275" s="25"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3" t="n">
        <v>41803</v>
      </c>
      <c r="C276" s="22" t="inlineStr">
        <is>
          <t>GELENEKSEL</t>
        </is>
      </c>
      <c r="D276" s="23" t="n">
        <v>41806</v>
      </c>
      <c r="E276" s="23" t="n">
        <v>43418</v>
      </c>
      <c r="F276" s="22" t="inlineStr">
        <is>
          <t>TRT141118T19</t>
        </is>
      </c>
      <c r="G276" s="8" t="n">
        <v>335000</v>
      </c>
      <c r="H276" s="8" t="n">
        <v>50000</v>
      </c>
      <c r="I276" s="24" t="n">
        <v>51176</v>
      </c>
      <c r="J276" s="24" t="n">
        <v>8.32</v>
      </c>
      <c r="K276" s="24" t="n">
        <v>8.32</v>
      </c>
      <c r="L276" s="24" t="n">
        <v>8.32</v>
      </c>
      <c r="M276" s="24" t="n">
        <v>8.5</v>
      </c>
      <c r="N276" s="24" t="n">
        <v>8.5</v>
      </c>
      <c r="O276" s="24" t="n">
        <v>8.5</v>
      </c>
    </row>
    <row r="277">
      <c r="A277" s="11" t="n">
        <v>2007</v>
      </c>
      <c r="B277" s="3" t="n">
        <v>41808</v>
      </c>
      <c r="C277" s="25" t="inlineStr">
        <is>
          <t>GELENEKSEL</t>
        </is>
      </c>
      <c r="D277" s="3" t="n">
        <v>41809</v>
      </c>
      <c r="E277" s="3" t="n">
        <v>43271</v>
      </c>
      <c r="F277" s="25"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3" t="n">
        <v>41808</v>
      </c>
      <c r="C278" s="22" t="inlineStr">
        <is>
          <t>GELENEKSEL</t>
        </is>
      </c>
      <c r="D278" s="23" t="n">
        <v>41809</v>
      </c>
      <c r="E278" s="23" t="n">
        <v>43418</v>
      </c>
      <c r="F278" s="22" t="inlineStr">
        <is>
          <t>TRT141118T19</t>
        </is>
      </c>
      <c r="G278" s="8" t="n">
        <v>170000</v>
      </c>
      <c r="H278" s="8" t="n">
        <v>50000</v>
      </c>
      <c r="I278" s="24" t="n">
        <v>50800.5</v>
      </c>
      <c r="J278" s="24" t="n">
        <v>8.550000000000001</v>
      </c>
      <c r="K278" s="24" t="n">
        <v>8.550000000000001</v>
      </c>
      <c r="L278" s="24" t="n">
        <v>8.550000000000001</v>
      </c>
      <c r="M278" s="24" t="n">
        <v>8.73</v>
      </c>
      <c r="N278" s="24" t="n">
        <v>8.73</v>
      </c>
      <c r="O278" s="24" t="n">
        <v>8.73</v>
      </c>
    </row>
    <row r="279">
      <c r="A279" s="11" t="n">
        <v>2009</v>
      </c>
      <c r="B279" s="3" t="n">
        <v>41857</v>
      </c>
      <c r="C279" s="25" t="inlineStr">
        <is>
          <t>GELENEKSEL</t>
        </is>
      </c>
      <c r="D279" s="3" t="n">
        <v>41858</v>
      </c>
      <c r="E279" s="3" t="n">
        <v>43271</v>
      </c>
      <c r="F279" s="25"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3" t="n">
        <v>41857</v>
      </c>
      <c r="C280" s="22" t="inlineStr">
        <is>
          <t>GELENEKSEL</t>
        </is>
      </c>
      <c r="D280" s="23" t="n">
        <v>41858</v>
      </c>
      <c r="E280" s="23" t="n">
        <v>43418</v>
      </c>
      <c r="F280" s="22" t="inlineStr">
        <is>
          <t>TRT141118T19</t>
        </is>
      </c>
      <c r="G280" s="8" t="n">
        <v>150000</v>
      </c>
      <c r="H280" s="8" t="n">
        <v>50000</v>
      </c>
      <c r="I280" s="24" t="n">
        <v>50398</v>
      </c>
      <c r="J280" s="24" t="n">
        <v>9.109999999999999</v>
      </c>
      <c r="K280" s="24" t="n">
        <v>9.109999999999999</v>
      </c>
      <c r="L280" s="24" t="n">
        <v>9.109999999999999</v>
      </c>
      <c r="M280" s="24" t="n">
        <v>9.32</v>
      </c>
      <c r="N280" s="24" t="n">
        <v>9.32</v>
      </c>
      <c r="O280" s="24" t="n">
        <v>9.32</v>
      </c>
    </row>
    <row r="281">
      <c r="A281" s="11" t="n">
        <v>2011</v>
      </c>
      <c r="B281" s="3" t="n">
        <v>41859</v>
      </c>
      <c r="C281" s="25" t="inlineStr">
        <is>
          <t>GELENEKSEL</t>
        </is>
      </c>
      <c r="D281" s="3" t="n">
        <v>41862</v>
      </c>
      <c r="E281" s="3" t="n">
        <v>42424</v>
      </c>
      <c r="F281" s="25"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3" t="n">
        <v>41859</v>
      </c>
      <c r="C282" s="22" t="inlineStr">
        <is>
          <t>GELENEKSEL</t>
        </is>
      </c>
      <c r="D282" s="23" t="n">
        <v>41862</v>
      </c>
      <c r="E282" s="23" t="n">
        <v>43418</v>
      </c>
      <c r="F282" s="22" t="inlineStr">
        <is>
          <t>TRT141118T19</t>
        </is>
      </c>
      <c r="G282" s="8" t="n">
        <v>239000</v>
      </c>
      <c r="H282" s="8" t="n">
        <v>50000</v>
      </c>
      <c r="I282" s="24" t="n">
        <v>50459.21</v>
      </c>
      <c r="J282" s="24" t="n">
        <v>9.07</v>
      </c>
      <c r="K282" s="24" t="n">
        <v>9.1</v>
      </c>
      <c r="L282" s="24" t="n">
        <v>9.130000000000001</v>
      </c>
      <c r="M282" s="24" t="n">
        <v>9.27</v>
      </c>
      <c r="N282" s="24" t="n">
        <v>9.300000000000001</v>
      </c>
      <c r="O282" s="24" t="n">
        <v>9.34</v>
      </c>
    </row>
    <row r="283">
      <c r="A283" s="11" t="n">
        <v>2013</v>
      </c>
      <c r="B283" s="3" t="n">
        <v>41864</v>
      </c>
      <c r="C283" s="25" t="inlineStr">
        <is>
          <t>GELENEKSEL</t>
        </is>
      </c>
      <c r="D283" s="3" t="n">
        <v>41865</v>
      </c>
      <c r="E283" s="3" t="n">
        <v>42424</v>
      </c>
      <c r="F283" s="25"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3" t="n">
        <v>41864</v>
      </c>
      <c r="C284" s="22" t="inlineStr">
        <is>
          <t>GELENEKSEL</t>
        </is>
      </c>
      <c r="D284" s="23" t="n">
        <v>41865</v>
      </c>
      <c r="E284" s="23" t="n">
        <v>43418</v>
      </c>
      <c r="F284" s="22" t="inlineStr">
        <is>
          <t>TRT141118T19</t>
        </is>
      </c>
      <c r="G284" s="8" t="n">
        <v>59000</v>
      </c>
      <c r="H284" s="8" t="n">
        <v>50000</v>
      </c>
      <c r="I284" s="24" t="n">
        <v>50666.55</v>
      </c>
      <c r="J284" s="24" t="n">
        <v>9</v>
      </c>
      <c r="K284" s="24" t="n">
        <v>9</v>
      </c>
      <c r="L284" s="24" t="n">
        <v>9.029999999999999</v>
      </c>
      <c r="M284" s="24" t="n">
        <v>9.210000000000001</v>
      </c>
      <c r="N284" s="24" t="n">
        <v>9.210000000000001</v>
      </c>
      <c r="O284" s="24" t="n">
        <v>9.24</v>
      </c>
    </row>
    <row r="285">
      <c r="A285" s="11" t="n">
        <v>2015</v>
      </c>
      <c r="B285" s="3" t="n">
        <v>41866</v>
      </c>
      <c r="C285" s="25" t="inlineStr">
        <is>
          <t>GELENEKSEL</t>
        </is>
      </c>
      <c r="D285" s="3" t="n">
        <v>41869</v>
      </c>
      <c r="E285" s="3" t="n">
        <v>42424</v>
      </c>
      <c r="F285" s="25"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3" t="n">
        <v>41871</v>
      </c>
      <c r="C286" s="22" t="inlineStr">
        <is>
          <t>GELENEKSEL</t>
        </is>
      </c>
      <c r="D286" s="23" t="n">
        <v>41872</v>
      </c>
      <c r="E286" s="23" t="n">
        <v>42424</v>
      </c>
      <c r="F286" s="22" t="inlineStr">
        <is>
          <t>TRT240216T10</t>
        </is>
      </c>
      <c r="G286" s="8" t="n">
        <v>436000</v>
      </c>
      <c r="H286" s="8" t="n">
        <v>100000</v>
      </c>
      <c r="I286" s="24" t="n">
        <v>107570</v>
      </c>
      <c r="J286" s="24" t="n">
        <v>8.98</v>
      </c>
      <c r="K286" s="24" t="n">
        <v>8.98</v>
      </c>
      <c r="L286" s="24" t="n">
        <v>8.98</v>
      </c>
      <c r="M286" s="24" t="n">
        <v>9.18</v>
      </c>
      <c r="N286" s="24" t="n">
        <v>9.18</v>
      </c>
      <c r="O286" s="24" t="n">
        <v>9.18</v>
      </c>
    </row>
    <row r="287">
      <c r="A287" s="11" t="n">
        <v>2017</v>
      </c>
      <c r="B287" s="3" t="n">
        <v>41873</v>
      </c>
      <c r="C287" s="25" t="inlineStr">
        <is>
          <t>GELENEKSEL</t>
        </is>
      </c>
      <c r="D287" s="3" t="n">
        <v>41876</v>
      </c>
      <c r="E287" s="3" t="n">
        <v>42424</v>
      </c>
      <c r="F287" s="25"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3" t="n">
        <v>41878</v>
      </c>
      <c r="C288" s="22" t="inlineStr">
        <is>
          <t>GELENEKSEL</t>
        </is>
      </c>
      <c r="D288" s="23" t="n">
        <v>41879</v>
      </c>
      <c r="E288" s="23" t="n">
        <v>42424</v>
      </c>
      <c r="F288" s="22" t="inlineStr">
        <is>
          <t>TRT240216T10</t>
        </is>
      </c>
      <c r="G288" s="8" t="n">
        <v>603000</v>
      </c>
      <c r="H288" s="8" t="n">
        <v>100000</v>
      </c>
      <c r="I288" s="24" t="n">
        <v>102743.7</v>
      </c>
      <c r="J288" s="24" t="n">
        <v>8.699999999999999</v>
      </c>
      <c r="K288" s="24" t="n">
        <v>8.73</v>
      </c>
      <c r="L288" s="24" t="n">
        <v>8.76</v>
      </c>
      <c r="M288" s="24" t="n">
        <v>8.890000000000001</v>
      </c>
      <c r="N288" s="24" t="n">
        <v>8.92</v>
      </c>
      <c r="O288" s="24" t="n">
        <v>8.949999999999999</v>
      </c>
    </row>
    <row r="289">
      <c r="A289" s="11" t="n">
        <v>2019</v>
      </c>
      <c r="B289" s="3" t="n">
        <v>41880</v>
      </c>
      <c r="C289" s="25" t="inlineStr">
        <is>
          <t>GELENEKSEL</t>
        </is>
      </c>
      <c r="D289" s="3" t="n">
        <v>41883</v>
      </c>
      <c r="E289" s="3" t="n">
        <v>42424</v>
      </c>
      <c r="F289" s="25"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3" t="n">
        <v>41885</v>
      </c>
      <c r="C290" s="22" t="inlineStr">
        <is>
          <t>GELENEKSEL</t>
        </is>
      </c>
      <c r="D290" s="23" t="n">
        <v>41886</v>
      </c>
      <c r="E290" s="23" t="n">
        <v>42424</v>
      </c>
      <c r="F290" s="22" t="inlineStr">
        <is>
          <t>TRT240216T10</t>
        </is>
      </c>
      <c r="G290" s="8" t="n">
        <v>376000</v>
      </c>
      <c r="H290" s="8" t="n">
        <v>100000</v>
      </c>
      <c r="I290" s="24" t="n">
        <v>102734.2</v>
      </c>
      <c r="J290" s="24" t="n">
        <v>8.859999999999999</v>
      </c>
      <c r="K290" s="24" t="n">
        <v>8.859999999999999</v>
      </c>
      <c r="L290" s="24" t="n">
        <v>8.859999999999999</v>
      </c>
      <c r="M290" s="24" t="n">
        <v>9.050000000000001</v>
      </c>
      <c r="N290" s="24" t="n">
        <v>9.050000000000001</v>
      </c>
      <c r="O290" s="24" t="n">
        <v>9.050000000000001</v>
      </c>
    </row>
    <row r="291">
      <c r="A291" s="11" t="n">
        <v>2021</v>
      </c>
      <c r="B291" s="3" t="n">
        <v>41887</v>
      </c>
      <c r="C291" s="25" t="inlineStr">
        <is>
          <t>GELENEKSEL</t>
        </is>
      </c>
      <c r="D291" s="3" t="n">
        <v>41890</v>
      </c>
      <c r="E291" s="3" t="n">
        <v>42424</v>
      </c>
      <c r="F291" s="25"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3" t="n">
        <v>41892</v>
      </c>
      <c r="C292" s="22" t="inlineStr">
        <is>
          <t>GELENEKSEL</t>
        </is>
      </c>
      <c r="D292" s="23" t="n">
        <v>41893</v>
      </c>
      <c r="E292" s="23" t="n">
        <v>42424</v>
      </c>
      <c r="F292" s="22" t="inlineStr">
        <is>
          <t>TRT240216T10</t>
        </is>
      </c>
      <c r="G292" s="8" t="n">
        <v>287000</v>
      </c>
      <c r="H292" s="8" t="n">
        <v>100000</v>
      </c>
      <c r="I292" s="24" t="n">
        <v>102877.75</v>
      </c>
      <c r="J292" s="24" t="n">
        <v>8.859999999999999</v>
      </c>
      <c r="K292" s="24" t="n">
        <v>8.890000000000001</v>
      </c>
      <c r="L292" s="24" t="n">
        <v>8.890000000000001</v>
      </c>
      <c r="M292" s="24" t="n">
        <v>9.050000000000001</v>
      </c>
      <c r="N292" s="24" t="n">
        <v>9.08</v>
      </c>
      <c r="O292" s="24" t="n">
        <v>9.08</v>
      </c>
    </row>
    <row r="293">
      <c r="A293" s="11" t="n">
        <v>2023</v>
      </c>
      <c r="B293" s="3" t="n">
        <v>41894</v>
      </c>
      <c r="C293" s="25" t="inlineStr">
        <is>
          <t>GELENEKSEL</t>
        </is>
      </c>
      <c r="D293" s="3" t="n">
        <v>41897</v>
      </c>
      <c r="E293" s="3" t="n">
        <v>42424</v>
      </c>
      <c r="F293" s="25"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3" t="n">
        <v>41899</v>
      </c>
      <c r="C294" s="22" t="inlineStr">
        <is>
          <t>GELENEKSEL</t>
        </is>
      </c>
      <c r="D294" s="23" t="n">
        <v>41900</v>
      </c>
      <c r="E294" s="23" t="n">
        <v>42424</v>
      </c>
      <c r="F294" s="22" t="inlineStr">
        <is>
          <t>TRT240216T10</t>
        </is>
      </c>
      <c r="G294" s="8" t="n">
        <v>224000</v>
      </c>
      <c r="H294" s="8" t="n">
        <v>60000</v>
      </c>
      <c r="I294" s="24" t="n">
        <v>61871.48</v>
      </c>
      <c r="J294" s="24" t="n">
        <v>8.789999999999999</v>
      </c>
      <c r="K294" s="24" t="n">
        <v>8.82</v>
      </c>
      <c r="L294" s="24" t="n">
        <v>8.82</v>
      </c>
      <c r="M294" s="24" t="n">
        <v>8.99</v>
      </c>
      <c r="N294" s="24" t="n">
        <v>9.02</v>
      </c>
      <c r="O294" s="24" t="n">
        <v>9.02</v>
      </c>
    </row>
    <row r="295">
      <c r="A295" s="11" t="n">
        <v>2025</v>
      </c>
      <c r="B295" s="3" t="n">
        <v>42011</v>
      </c>
      <c r="C295" s="25" t="inlineStr">
        <is>
          <t>GELENEKSEL</t>
        </is>
      </c>
      <c r="D295" s="3" t="n">
        <v>42012</v>
      </c>
      <c r="E295" s="3" t="n">
        <v>43845</v>
      </c>
      <c r="F295" s="25"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3" t="n">
        <v>42011</v>
      </c>
      <c r="C296" s="22" t="inlineStr">
        <is>
          <t>GELENEKSEL</t>
        </is>
      </c>
      <c r="D296" s="23" t="n">
        <v>42012</v>
      </c>
      <c r="E296" s="23" t="n">
        <v>42641</v>
      </c>
      <c r="F296" s="22" t="inlineStr">
        <is>
          <t>TRD280916T17</t>
        </is>
      </c>
      <c r="G296" s="8" t="n">
        <v>0</v>
      </c>
      <c r="H296" s="8" t="n">
        <v>0</v>
      </c>
      <c r="I296" s="24" t="n">
        <v>0</v>
      </c>
    </row>
    <row r="297">
      <c r="A297" s="11" t="n">
        <v>2027</v>
      </c>
      <c r="B297" s="3" t="n">
        <v>42013</v>
      </c>
      <c r="C297" s="25" t="inlineStr">
        <is>
          <t>GELENEKSEL</t>
        </is>
      </c>
      <c r="D297" s="3" t="n">
        <v>42016</v>
      </c>
      <c r="E297" s="3" t="n">
        <v>43845</v>
      </c>
      <c r="F297" s="25"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3" t="n">
        <v>42013</v>
      </c>
      <c r="C298" s="22" t="inlineStr">
        <is>
          <t>GELENEKSEL</t>
        </is>
      </c>
      <c r="D298" s="23" t="n">
        <v>42016</v>
      </c>
      <c r="E298" s="23" t="n">
        <v>42641</v>
      </c>
      <c r="F298" s="22" t="inlineStr">
        <is>
          <t>TRD280916T17</t>
        </is>
      </c>
      <c r="G298" s="8" t="n">
        <v>0</v>
      </c>
      <c r="H298" s="8" t="n">
        <v>0</v>
      </c>
      <c r="I298" s="24" t="n">
        <v>0</v>
      </c>
    </row>
    <row r="299">
      <c r="A299" s="11" t="n">
        <v>2029</v>
      </c>
      <c r="B299" s="3" t="n">
        <v>42018</v>
      </c>
      <c r="C299" s="25" t="inlineStr">
        <is>
          <t>GELENEKSEL</t>
        </is>
      </c>
      <c r="D299" s="3" t="n">
        <v>42019</v>
      </c>
      <c r="E299" s="3" t="n">
        <v>43271</v>
      </c>
      <c r="F299" s="25"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3" t="n">
        <v>42018</v>
      </c>
      <c r="C300" s="22" t="inlineStr">
        <is>
          <t>GELENEKSEL</t>
        </is>
      </c>
      <c r="D300" s="23" t="n">
        <v>42019</v>
      </c>
      <c r="E300" s="23" t="n">
        <v>43418</v>
      </c>
      <c r="F300" s="22" t="inlineStr">
        <is>
          <t>TRT141118T19</t>
        </is>
      </c>
      <c r="G300" s="8" t="n">
        <v>75000</v>
      </c>
      <c r="H300" s="8" t="n">
        <v>25000</v>
      </c>
      <c r="I300" s="24" t="n">
        <v>26692.68</v>
      </c>
      <c r="J300" s="24" t="n">
        <v>7.16</v>
      </c>
      <c r="K300" s="24" t="n">
        <v>7.16</v>
      </c>
      <c r="L300" s="24" t="n">
        <v>7.17</v>
      </c>
      <c r="M300" s="24" t="n">
        <v>7.29</v>
      </c>
      <c r="N300" s="24" t="n">
        <v>7.29</v>
      </c>
      <c r="O300" s="24" t="n">
        <v>7.3</v>
      </c>
    </row>
    <row r="301">
      <c r="A301" s="11" t="n">
        <v>2031</v>
      </c>
      <c r="B301" s="3" t="n">
        <v>42018</v>
      </c>
      <c r="C301" s="25" t="inlineStr">
        <is>
          <t>GELENEKSEL</t>
        </is>
      </c>
      <c r="D301" s="3" t="n">
        <v>42019</v>
      </c>
      <c r="E301" s="3" t="n">
        <v>42417</v>
      </c>
      <c r="F301" s="25" t="inlineStr">
        <is>
          <t>TRD170216T17</t>
        </is>
      </c>
      <c r="G301" s="11" t="n">
        <v>0</v>
      </c>
      <c r="H301" s="11" t="n">
        <v>0</v>
      </c>
      <c r="I301" s="13" t="n">
        <v>0</v>
      </c>
    </row>
    <row r="302">
      <c r="A302" s="8" t="n">
        <v>2032</v>
      </c>
      <c r="B302" s="23" t="n">
        <v>42018</v>
      </c>
      <c r="C302" s="22" t="inlineStr">
        <is>
          <t>GELENEKSEL</t>
        </is>
      </c>
      <c r="D302" s="23" t="n">
        <v>42019</v>
      </c>
      <c r="E302" s="23" t="n">
        <v>42641</v>
      </c>
      <c r="F302" s="22" t="inlineStr">
        <is>
          <t>TRD280916T17</t>
        </is>
      </c>
      <c r="G302" s="8" t="n">
        <v>6000</v>
      </c>
      <c r="H302" s="8" t="n">
        <v>0</v>
      </c>
      <c r="I302" s="24" t="n">
        <v>0</v>
      </c>
    </row>
    <row r="303">
      <c r="A303" s="11" t="n">
        <v>2033</v>
      </c>
      <c r="B303" s="3" t="n">
        <v>42020</v>
      </c>
      <c r="C303" s="25" t="inlineStr">
        <is>
          <t>GELENEKSEL</t>
        </is>
      </c>
      <c r="D303" s="3" t="n">
        <v>42023</v>
      </c>
      <c r="E303" s="3" t="n">
        <v>43845</v>
      </c>
      <c r="F303" s="25"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3" t="n">
        <v>42020</v>
      </c>
      <c r="C304" s="22" t="inlineStr">
        <is>
          <t>GELENEKSEL</t>
        </is>
      </c>
      <c r="D304" s="23" t="n">
        <v>42023</v>
      </c>
      <c r="E304" s="23" t="n">
        <v>42417</v>
      </c>
      <c r="F304" s="22" t="inlineStr">
        <is>
          <t>TRD170216T17</t>
        </is>
      </c>
      <c r="G304" s="8" t="n">
        <v>10000</v>
      </c>
      <c r="H304" s="8" t="n">
        <v>0</v>
      </c>
      <c r="I304" s="24" t="n">
        <v>0</v>
      </c>
    </row>
    <row r="305">
      <c r="A305" s="11" t="n">
        <v>2035</v>
      </c>
      <c r="B305" s="3" t="n">
        <v>42020</v>
      </c>
      <c r="C305" s="25" t="inlineStr">
        <is>
          <t>GELENEKSEL</t>
        </is>
      </c>
      <c r="D305" s="3" t="n">
        <v>42023</v>
      </c>
      <c r="E305" s="3" t="n">
        <v>42641</v>
      </c>
      <c r="F305" s="25"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3" t="n">
        <v>42025</v>
      </c>
      <c r="C306" s="22" t="inlineStr">
        <is>
          <t>GELENEKSEL</t>
        </is>
      </c>
      <c r="D306" s="23" t="n">
        <v>42026</v>
      </c>
      <c r="E306" s="23" t="n">
        <v>43845</v>
      </c>
      <c r="F306" s="22" t="inlineStr">
        <is>
          <t>TRT150120T16</t>
        </is>
      </c>
      <c r="G306" s="8" t="n">
        <v>107000</v>
      </c>
      <c r="H306" s="8" t="n">
        <v>50000</v>
      </c>
      <c r="I306" s="24" t="n">
        <v>57489.46</v>
      </c>
      <c r="J306" s="24" t="n">
        <v>6.91</v>
      </c>
      <c r="K306" s="24" t="n">
        <v>6.91</v>
      </c>
      <c r="L306" s="24" t="n">
        <v>6.92</v>
      </c>
      <c r="M306" s="24" t="n">
        <v>7.03</v>
      </c>
      <c r="N306" s="24" t="n">
        <v>7.03</v>
      </c>
      <c r="O306" s="24" t="n">
        <v>7.04</v>
      </c>
    </row>
    <row r="307">
      <c r="A307" s="11" t="n">
        <v>2037</v>
      </c>
      <c r="B307" s="3" t="n">
        <v>42025</v>
      </c>
      <c r="C307" s="25" t="inlineStr">
        <is>
          <t>GELENEKSEL</t>
        </is>
      </c>
      <c r="D307" s="3" t="n">
        <v>42026</v>
      </c>
      <c r="E307" s="3" t="n">
        <v>42641</v>
      </c>
      <c r="F307" s="25"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3" t="n">
        <v>42025</v>
      </c>
      <c r="C308" s="22" t="inlineStr">
        <is>
          <t>GELENEKSEL</t>
        </is>
      </c>
      <c r="D308" s="23" t="n">
        <v>42026</v>
      </c>
      <c r="E308" s="23" t="n">
        <v>42417</v>
      </c>
      <c r="F308" s="22" t="inlineStr">
        <is>
          <t>TRD170216T17</t>
        </is>
      </c>
      <c r="G308" s="8" t="n">
        <v>12000</v>
      </c>
      <c r="H308" s="8" t="n">
        <v>12000</v>
      </c>
      <c r="I308" s="24" t="n">
        <v>12947.97</v>
      </c>
      <c r="J308" s="24" t="n">
        <v>7.19</v>
      </c>
      <c r="K308" s="24" t="n">
        <v>7.26</v>
      </c>
      <c r="L308" s="24" t="n">
        <v>7.29</v>
      </c>
      <c r="M308" s="24" t="n">
        <v>7.32</v>
      </c>
      <c r="N308" s="24" t="n">
        <v>7.39</v>
      </c>
      <c r="O308" s="24" t="n">
        <v>7.42</v>
      </c>
    </row>
    <row r="309">
      <c r="A309" s="11" t="n">
        <v>2039</v>
      </c>
      <c r="B309" s="3" t="n">
        <v>42027</v>
      </c>
      <c r="C309" s="25" t="inlineStr">
        <is>
          <t>GELENEKSEL</t>
        </is>
      </c>
      <c r="D309" s="3" t="n">
        <v>42030</v>
      </c>
      <c r="E309" s="3" t="n">
        <v>43845</v>
      </c>
      <c r="F309" s="25"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3" t="n">
        <v>42027</v>
      </c>
      <c r="C310" s="22" t="inlineStr">
        <is>
          <t>GELENEKSEL</t>
        </is>
      </c>
      <c r="D310" s="23" t="n">
        <v>42030</v>
      </c>
      <c r="E310" s="23" t="n">
        <v>42641</v>
      </c>
      <c r="F310" s="22" t="inlineStr">
        <is>
          <t>TRD280916T17</t>
        </is>
      </c>
      <c r="G310" s="8" t="n">
        <v>10000</v>
      </c>
      <c r="H310" s="8" t="n">
        <v>10000</v>
      </c>
      <c r="I310" s="24" t="n">
        <v>10759.34</v>
      </c>
      <c r="J310" s="24" t="n">
        <v>6.74</v>
      </c>
      <c r="K310" s="24" t="n">
        <v>6.81</v>
      </c>
      <c r="L310" s="24" t="n">
        <v>6.84</v>
      </c>
      <c r="M310" s="24" t="n">
        <v>6.86</v>
      </c>
      <c r="N310" s="24" t="n">
        <v>6.92</v>
      </c>
      <c r="O310" s="24" t="n">
        <v>6.95</v>
      </c>
    </row>
    <row r="311">
      <c r="A311" s="11" t="n">
        <v>2041</v>
      </c>
      <c r="B311" s="3" t="n">
        <v>42027</v>
      </c>
      <c r="C311" s="25" t="inlineStr">
        <is>
          <t>GELENEKSEL</t>
        </is>
      </c>
      <c r="D311" s="3" t="n">
        <v>42030</v>
      </c>
      <c r="E311" s="3" t="n">
        <v>42417</v>
      </c>
      <c r="F311" s="25" t="inlineStr">
        <is>
          <t>TRD170216T17</t>
        </is>
      </c>
      <c r="G311" s="11" t="n">
        <v>0</v>
      </c>
      <c r="H311" s="11" t="n">
        <v>0</v>
      </c>
      <c r="I311" s="13" t="n">
        <v>0</v>
      </c>
    </row>
    <row r="312">
      <c r="A312" s="8" t="n">
        <v>2042</v>
      </c>
      <c r="B312" s="23" t="n">
        <v>42032</v>
      </c>
      <c r="C312" s="22" t="inlineStr">
        <is>
          <t>GELENEKSEL</t>
        </is>
      </c>
      <c r="D312" s="23" t="n">
        <v>42033</v>
      </c>
      <c r="E312" s="23" t="n">
        <v>43845</v>
      </c>
      <c r="F312" s="22" t="inlineStr">
        <is>
          <t>TRT150120T16</t>
        </is>
      </c>
      <c r="G312" s="8" t="n">
        <v>223000</v>
      </c>
      <c r="H312" s="8" t="n">
        <v>50000</v>
      </c>
      <c r="I312" s="24" t="n">
        <v>58346.2</v>
      </c>
      <c r="J312" s="24" t="n">
        <v>6.56</v>
      </c>
      <c r="K312" s="24" t="n">
        <v>6.57</v>
      </c>
      <c r="L312" s="24" t="n">
        <v>6.59</v>
      </c>
      <c r="M312" s="24" t="n">
        <v>6.67</v>
      </c>
      <c r="N312" s="24" t="n">
        <v>6.68</v>
      </c>
      <c r="O312" s="24" t="n">
        <v>6.69</v>
      </c>
    </row>
    <row r="313">
      <c r="A313" s="11" t="n">
        <v>2043</v>
      </c>
      <c r="B313" s="3" t="n">
        <v>42032</v>
      </c>
      <c r="C313" s="25" t="inlineStr">
        <is>
          <t>GELENEKSEL</t>
        </is>
      </c>
      <c r="D313" s="3" t="n">
        <v>42033</v>
      </c>
      <c r="E313" s="3" t="n">
        <v>42641</v>
      </c>
      <c r="F313" s="25"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3" t="n">
        <v>42032</v>
      </c>
      <c r="C314" s="22" t="inlineStr">
        <is>
          <t>GELENEKSEL</t>
        </is>
      </c>
      <c r="D314" s="23" t="n">
        <v>42033</v>
      </c>
      <c r="E314" s="23" t="n">
        <v>42417</v>
      </c>
      <c r="F314" s="22" t="inlineStr">
        <is>
          <t>TRD170216T17</t>
        </is>
      </c>
      <c r="G314" s="8" t="n">
        <v>0</v>
      </c>
      <c r="H314" s="8" t="n">
        <v>0</v>
      </c>
      <c r="I314" s="24" t="n">
        <v>0</v>
      </c>
    </row>
    <row r="315">
      <c r="A315" s="11" t="n">
        <v>2045</v>
      </c>
      <c r="B315" s="3" t="n">
        <v>42039</v>
      </c>
      <c r="C315" s="25" t="inlineStr">
        <is>
          <t>GELENEKSEL</t>
        </is>
      </c>
      <c r="D315" s="3" t="n">
        <v>42040</v>
      </c>
      <c r="E315" s="3" t="n">
        <v>43845</v>
      </c>
      <c r="F315" s="25"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3" t="n">
        <v>42039</v>
      </c>
      <c r="C316" s="22" t="inlineStr">
        <is>
          <t>GELENEKSEL</t>
        </is>
      </c>
      <c r="D316" s="23" t="n">
        <v>42040</v>
      </c>
      <c r="E316" s="23" t="n">
        <v>42641</v>
      </c>
      <c r="F316" s="22" t="inlineStr">
        <is>
          <t>TRD280916T17</t>
        </is>
      </c>
      <c r="G316" s="8" t="n">
        <v>0</v>
      </c>
      <c r="H316" s="8" t="n">
        <v>0</v>
      </c>
      <c r="I316" s="24" t="n">
        <v>0</v>
      </c>
    </row>
    <row r="317">
      <c r="A317" s="11" t="n">
        <v>2047</v>
      </c>
      <c r="B317" s="3" t="n">
        <v>42039</v>
      </c>
      <c r="C317" s="25" t="inlineStr">
        <is>
          <t>GELENEKSEL</t>
        </is>
      </c>
      <c r="D317" s="3" t="n">
        <v>42040</v>
      </c>
      <c r="E317" s="3" t="n">
        <v>42417</v>
      </c>
      <c r="F317" s="25" t="inlineStr">
        <is>
          <t>TRD170216T17</t>
        </is>
      </c>
      <c r="G317" s="11" t="n">
        <v>0</v>
      </c>
      <c r="H317" s="11" t="n">
        <v>0</v>
      </c>
      <c r="I317" s="13" t="n">
        <v>0</v>
      </c>
    </row>
    <row r="318">
      <c r="A318" s="8" t="n">
        <v>2048</v>
      </c>
      <c r="B318" s="23" t="n">
        <v>42041</v>
      </c>
      <c r="C318" s="22" t="inlineStr">
        <is>
          <t>GELENEKSEL</t>
        </is>
      </c>
      <c r="D318" s="23" t="n">
        <v>42044</v>
      </c>
      <c r="E318" s="23" t="n">
        <v>43845</v>
      </c>
      <c r="F318" s="22" t="inlineStr">
        <is>
          <t>TRT150120T16</t>
        </is>
      </c>
      <c r="G318" s="8" t="n">
        <v>218000</v>
      </c>
      <c r="H318" s="8" t="n">
        <v>50000</v>
      </c>
      <c r="I318" s="24" t="n">
        <v>57073.01</v>
      </c>
      <c r="J318" s="24" t="n">
        <v>7.17</v>
      </c>
      <c r="K318" s="24" t="n">
        <v>7.19</v>
      </c>
      <c r="L318" s="24" t="n">
        <v>7.2</v>
      </c>
      <c r="M318" s="24" t="n">
        <v>7.3</v>
      </c>
      <c r="N318" s="24" t="n">
        <v>7.32</v>
      </c>
      <c r="O318" s="24" t="n">
        <v>7.32</v>
      </c>
    </row>
    <row r="319">
      <c r="A319" s="11" t="n">
        <v>2049</v>
      </c>
      <c r="B319" s="3" t="n">
        <v>42041</v>
      </c>
      <c r="C319" s="25" t="inlineStr">
        <is>
          <t>GELENEKSEL</t>
        </is>
      </c>
      <c r="D319" s="3" t="n">
        <v>42044</v>
      </c>
      <c r="E319" s="3" t="n">
        <v>42641</v>
      </c>
      <c r="F319" s="25"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3" t="n">
        <v>42041</v>
      </c>
      <c r="C320" s="22" t="inlineStr">
        <is>
          <t>GELENEKSEL</t>
        </is>
      </c>
      <c r="D320" s="23" t="n">
        <v>42044</v>
      </c>
      <c r="E320" s="23" t="n">
        <v>42417</v>
      </c>
      <c r="F320" s="22" t="inlineStr">
        <is>
          <t>TRD170216T17</t>
        </is>
      </c>
      <c r="G320" s="8" t="n">
        <v>0</v>
      </c>
      <c r="H320" s="8" t="n">
        <v>0</v>
      </c>
      <c r="I320" s="24" t="n">
        <v>0</v>
      </c>
    </row>
    <row r="321">
      <c r="A321" s="11" t="n">
        <v>2051</v>
      </c>
      <c r="B321" s="3" t="n">
        <v>42046</v>
      </c>
      <c r="C321" s="25" t="inlineStr">
        <is>
          <t>GELENEKSEL</t>
        </is>
      </c>
      <c r="D321" s="3" t="n">
        <v>42047</v>
      </c>
      <c r="E321" s="3" t="n">
        <v>43845</v>
      </c>
      <c r="F321" s="25"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3" t="n">
        <v>42046</v>
      </c>
      <c r="C322" s="22" t="inlineStr">
        <is>
          <t>GELENEKSEL</t>
        </is>
      </c>
      <c r="D322" s="23" t="n">
        <v>42047</v>
      </c>
      <c r="E322" s="23" t="n">
        <v>42641</v>
      </c>
      <c r="F322" s="22" t="inlineStr">
        <is>
          <t>TRD280916T17</t>
        </is>
      </c>
      <c r="G322" s="8" t="n">
        <v>0</v>
      </c>
      <c r="H322" s="8" t="n">
        <v>0</v>
      </c>
      <c r="I322" s="24" t="n">
        <v>0</v>
      </c>
    </row>
    <row r="323">
      <c r="A323" s="11" t="n">
        <v>2053</v>
      </c>
      <c r="B323" s="3" t="n">
        <v>42046</v>
      </c>
      <c r="C323" s="25" t="inlineStr">
        <is>
          <t>GELENEKSEL</t>
        </is>
      </c>
      <c r="D323" s="3" t="n">
        <v>42047</v>
      </c>
      <c r="E323" s="3" t="n">
        <v>42417</v>
      </c>
      <c r="F323" s="25" t="inlineStr">
        <is>
          <t>TRD170216T17</t>
        </is>
      </c>
      <c r="G323" s="11" t="n">
        <v>0</v>
      </c>
      <c r="H323" s="11" t="n">
        <v>0</v>
      </c>
      <c r="I323" s="13" t="n">
        <v>0</v>
      </c>
    </row>
    <row r="324">
      <c r="A324" s="8" t="n">
        <v>2054</v>
      </c>
      <c r="B324" s="23" t="n">
        <v>42048</v>
      </c>
      <c r="C324" s="22" t="inlineStr">
        <is>
          <t>GELENEKSEL</t>
        </is>
      </c>
      <c r="D324" s="23" t="n">
        <v>42051</v>
      </c>
      <c r="E324" s="23" t="n">
        <v>43845</v>
      </c>
      <c r="F324" s="22" t="inlineStr">
        <is>
          <t>TRT150120T16</t>
        </is>
      </c>
      <c r="G324" s="8" t="n">
        <v>151000</v>
      </c>
      <c r="H324" s="8" t="n">
        <v>50000</v>
      </c>
      <c r="I324" s="24" t="n">
        <v>56741.03</v>
      </c>
      <c r="J324" s="24" t="n">
        <v>7.36</v>
      </c>
      <c r="K324" s="24" t="n">
        <v>7.38</v>
      </c>
      <c r="L324" s="24" t="n">
        <v>7.38</v>
      </c>
      <c r="M324" s="24" t="n">
        <v>7.49</v>
      </c>
      <c r="N324" s="24" t="n">
        <v>7.51</v>
      </c>
      <c r="O324" s="24" t="n">
        <v>7.51</v>
      </c>
    </row>
    <row r="325">
      <c r="A325" s="11" t="n">
        <v>2055</v>
      </c>
      <c r="B325" s="3" t="n">
        <v>42048</v>
      </c>
      <c r="C325" s="25" t="inlineStr">
        <is>
          <t>GELENEKSEL</t>
        </is>
      </c>
      <c r="D325" s="3" t="n">
        <v>42051</v>
      </c>
      <c r="E325" s="3" t="n">
        <v>42641</v>
      </c>
      <c r="F325" s="25"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3" t="n">
        <v>42048</v>
      </c>
      <c r="C326" s="22" t="inlineStr">
        <is>
          <t>GELENEKSEL</t>
        </is>
      </c>
      <c r="D326" s="23" t="n">
        <v>42051</v>
      </c>
      <c r="E326" s="23" t="n">
        <v>42417</v>
      </c>
      <c r="F326" s="22" t="inlineStr">
        <is>
          <t>TRD170216T17</t>
        </is>
      </c>
      <c r="G326" s="8" t="n">
        <v>0</v>
      </c>
      <c r="H326" s="8" t="n">
        <v>0</v>
      </c>
      <c r="I326" s="24" t="n">
        <v>0</v>
      </c>
    </row>
    <row r="327">
      <c r="A327" s="11" t="n">
        <v>2057</v>
      </c>
      <c r="B327" s="3" t="n">
        <v>42053</v>
      </c>
      <c r="C327" s="25" t="inlineStr">
        <is>
          <t>GELENEKSEL</t>
        </is>
      </c>
      <c r="D327" s="3" t="n">
        <v>42054</v>
      </c>
      <c r="E327" s="3" t="n">
        <v>43845</v>
      </c>
      <c r="F327" s="25"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3" t="n">
        <v>42053</v>
      </c>
      <c r="C328" s="22" t="inlineStr">
        <is>
          <t>GELENEKSEL</t>
        </is>
      </c>
      <c r="D328" s="23" t="n">
        <v>42054</v>
      </c>
      <c r="E328" s="23" t="n">
        <v>42641</v>
      </c>
      <c r="F328" s="22" t="inlineStr">
        <is>
          <t>TRD280916T17</t>
        </is>
      </c>
      <c r="G328" s="8" t="n">
        <v>0</v>
      </c>
      <c r="H328" s="8" t="n">
        <v>0</v>
      </c>
      <c r="I328" s="24" t="n">
        <v>0</v>
      </c>
    </row>
    <row r="329">
      <c r="A329" s="11" t="n">
        <v>2059</v>
      </c>
      <c r="B329" s="3" t="n">
        <v>42053</v>
      </c>
      <c r="C329" s="25" t="inlineStr">
        <is>
          <t>GELENEKSEL</t>
        </is>
      </c>
      <c r="D329" s="3" t="n">
        <v>42054</v>
      </c>
      <c r="E329" s="3" t="n">
        <v>42417</v>
      </c>
      <c r="F329" s="25" t="inlineStr">
        <is>
          <t>TRD170216T17</t>
        </is>
      </c>
      <c r="G329" s="11" t="n">
        <v>0</v>
      </c>
      <c r="H329" s="11" t="n">
        <v>0</v>
      </c>
      <c r="I329" s="13" t="n">
        <v>0</v>
      </c>
    </row>
    <row r="330">
      <c r="A330" s="8" t="n">
        <v>2060</v>
      </c>
      <c r="B330" s="23" t="n">
        <v>42055</v>
      </c>
      <c r="C330" s="22" t="inlineStr">
        <is>
          <t>GELENEKSEL</t>
        </is>
      </c>
      <c r="D330" s="23" t="n">
        <v>42058</v>
      </c>
      <c r="E330" s="23" t="n">
        <v>43551</v>
      </c>
      <c r="F330" s="22" t="inlineStr">
        <is>
          <t>TRT270319T13</t>
        </is>
      </c>
      <c r="G330" s="8" t="n">
        <v>180000</v>
      </c>
      <c r="H330" s="8" t="n">
        <v>50000</v>
      </c>
      <c r="I330" s="24" t="n">
        <v>56854.5</v>
      </c>
      <c r="J330" s="24" t="n">
        <v>7.63</v>
      </c>
      <c r="K330" s="24" t="n">
        <v>7.63</v>
      </c>
      <c r="L330" s="24" t="n">
        <v>7.65</v>
      </c>
      <c r="M330" s="24" t="n">
        <v>7.77</v>
      </c>
      <c r="N330" s="24" t="n">
        <v>7.78</v>
      </c>
      <c r="O330" s="24" t="n">
        <v>7.8</v>
      </c>
    </row>
    <row r="331">
      <c r="A331" s="11" t="n">
        <v>2061</v>
      </c>
      <c r="B331" s="3" t="n">
        <v>42055</v>
      </c>
      <c r="C331" s="25" t="inlineStr">
        <is>
          <t>GELENEKSEL</t>
        </is>
      </c>
      <c r="D331" s="3" t="n">
        <v>42058</v>
      </c>
      <c r="E331" s="3" t="n">
        <v>42641</v>
      </c>
      <c r="F331" s="25"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3" t="n">
        <v>42067</v>
      </c>
      <c r="C332" s="22" t="inlineStr">
        <is>
          <t>GELENEKSEL</t>
        </is>
      </c>
      <c r="D332" s="23" t="n">
        <v>42068</v>
      </c>
      <c r="E332" s="23" t="n">
        <v>42564</v>
      </c>
      <c r="F332" s="22" t="inlineStr">
        <is>
          <t>TRT130716T18</t>
        </is>
      </c>
      <c r="G332" s="8" t="n">
        <v>66000</v>
      </c>
      <c r="H332" s="8" t="n">
        <v>25000</v>
      </c>
      <c r="I332" s="24" t="n">
        <v>25199.3</v>
      </c>
      <c r="J332" s="24" t="n">
        <v>8.42</v>
      </c>
      <c r="K332" s="24" t="n">
        <v>8.449999999999999</v>
      </c>
      <c r="L332" s="24" t="n">
        <v>8.51</v>
      </c>
      <c r="M332" s="24" t="n">
        <v>8.6</v>
      </c>
      <c r="N332" s="24" t="n">
        <v>8.630000000000001</v>
      </c>
      <c r="O332" s="24" t="n">
        <v>8.69</v>
      </c>
    </row>
    <row r="333">
      <c r="A333" s="11" t="n">
        <v>2063</v>
      </c>
      <c r="B333" s="3" t="n">
        <v>42067</v>
      </c>
      <c r="C333" s="25" t="inlineStr">
        <is>
          <t>GELENEKSEL</t>
        </is>
      </c>
      <c r="D333" s="3" t="n">
        <v>42068</v>
      </c>
      <c r="E333" s="3" t="n">
        <v>43656</v>
      </c>
      <c r="F333" s="25"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3" t="n">
        <v>42067</v>
      </c>
      <c r="C334" s="22" t="inlineStr">
        <is>
          <t>GELENEKSEL</t>
        </is>
      </c>
      <c r="D334" s="23" t="n">
        <v>42068</v>
      </c>
      <c r="E334" s="23" t="n">
        <v>42641</v>
      </c>
      <c r="F334" s="22" t="inlineStr">
        <is>
          <t>TRD280916T17</t>
        </is>
      </c>
      <c r="G334" s="8" t="n">
        <v>11000</v>
      </c>
      <c r="H334" s="8" t="n">
        <v>11000</v>
      </c>
      <c r="I334" s="24" t="n">
        <v>11929.72</v>
      </c>
      <c r="J334" s="24" t="n">
        <v>6.49</v>
      </c>
      <c r="K334" s="24" t="n">
        <v>6.74</v>
      </c>
      <c r="L334" s="24" t="n">
        <v>6.9</v>
      </c>
      <c r="M334" s="24" t="n">
        <v>6.6</v>
      </c>
      <c r="N334" s="24" t="n">
        <v>6.86</v>
      </c>
      <c r="O334" s="24" t="n">
        <v>7.02</v>
      </c>
    </row>
    <row r="335">
      <c r="A335" s="11" t="n">
        <v>2065</v>
      </c>
      <c r="B335" s="3" t="n">
        <v>42069</v>
      </c>
      <c r="C335" s="25" t="inlineStr">
        <is>
          <t>GELENEKSEL</t>
        </is>
      </c>
      <c r="D335" s="3" t="n">
        <v>42072</v>
      </c>
      <c r="E335" s="3" t="n">
        <v>42564</v>
      </c>
      <c r="F335" s="25"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3" t="n">
        <v>42069</v>
      </c>
      <c r="C336" s="22" t="inlineStr">
        <is>
          <t>GELENEKSEL</t>
        </is>
      </c>
      <c r="D336" s="23" t="n">
        <v>42072</v>
      </c>
      <c r="E336" s="23" t="n">
        <v>43656</v>
      </c>
      <c r="F336" s="22" t="inlineStr">
        <is>
          <t>TRT100719T18</t>
        </is>
      </c>
      <c r="G336" s="8" t="n">
        <v>73000</v>
      </c>
      <c r="H336" s="8" t="n">
        <v>25000</v>
      </c>
      <c r="I336" s="24" t="n">
        <v>25770.75</v>
      </c>
      <c r="J336" s="24" t="n">
        <v>7.99</v>
      </c>
      <c r="K336" s="24" t="n">
        <v>7.99</v>
      </c>
      <c r="L336" s="24" t="n">
        <v>7.99</v>
      </c>
      <c r="M336" s="24" t="n">
        <v>8.15</v>
      </c>
      <c r="N336" s="24" t="n">
        <v>8.15</v>
      </c>
      <c r="O336" s="24" t="n">
        <v>8.15</v>
      </c>
    </row>
    <row r="337">
      <c r="A337" s="11" t="n">
        <v>2067</v>
      </c>
      <c r="B337" s="3" t="n">
        <v>42069</v>
      </c>
      <c r="C337" s="25" t="inlineStr">
        <is>
          <t>GELENEKSEL</t>
        </is>
      </c>
      <c r="D337" s="3" t="n">
        <v>42072</v>
      </c>
      <c r="E337" s="3" t="n">
        <v>42641</v>
      </c>
      <c r="F337" s="25"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3" t="n">
        <v>42074</v>
      </c>
      <c r="C338" s="22" t="inlineStr">
        <is>
          <t>GELENEKSEL</t>
        </is>
      </c>
      <c r="D338" s="23" t="n">
        <v>42075</v>
      </c>
      <c r="E338" s="23" t="n">
        <v>42564</v>
      </c>
      <c r="F338" s="22" t="inlineStr">
        <is>
          <t>TRT130716T18</t>
        </is>
      </c>
      <c r="G338" s="8" t="n">
        <v>50000</v>
      </c>
      <c r="H338" s="8" t="n">
        <v>25000</v>
      </c>
      <c r="I338" s="24" t="n">
        <v>25157.5</v>
      </c>
      <c r="J338" s="24" t="n">
        <v>8.699999999999999</v>
      </c>
      <c r="K338" s="24" t="n">
        <v>8.699999999999999</v>
      </c>
      <c r="L338" s="24" t="n">
        <v>8.699999999999999</v>
      </c>
      <c r="M338" s="24" t="n">
        <v>8.890000000000001</v>
      </c>
      <c r="N338" s="24" t="n">
        <v>8.890000000000001</v>
      </c>
      <c r="O338" s="24" t="n">
        <v>8.890000000000001</v>
      </c>
    </row>
    <row r="339">
      <c r="A339" s="11" t="n">
        <v>2069</v>
      </c>
      <c r="B339" s="3" t="n">
        <v>42074</v>
      </c>
      <c r="C339" s="25" t="inlineStr">
        <is>
          <t>GELENEKSEL</t>
        </is>
      </c>
      <c r="D339" s="3" t="n">
        <v>42075</v>
      </c>
      <c r="E339" s="3" t="n">
        <v>43656</v>
      </c>
      <c r="F339" s="25"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3" t="n">
        <v>42074</v>
      </c>
      <c r="C340" s="22" t="inlineStr">
        <is>
          <t>GELENEKSEL</t>
        </is>
      </c>
      <c r="D340" s="23" t="n">
        <v>42075</v>
      </c>
      <c r="E340" s="23" t="n">
        <v>42781</v>
      </c>
      <c r="F340" s="22" t="inlineStr">
        <is>
          <t>TRD150217T18</t>
        </is>
      </c>
      <c r="G340" s="8" t="n">
        <v>6000</v>
      </c>
      <c r="H340" s="8" t="n">
        <v>2000</v>
      </c>
      <c r="I340" s="24" t="n">
        <v>2019.93</v>
      </c>
      <c r="J340" s="24" t="n">
        <v>7.39</v>
      </c>
      <c r="K340" s="24" t="n">
        <v>7.49</v>
      </c>
      <c r="L340" s="24" t="n">
        <v>7.61</v>
      </c>
      <c r="M340" s="24" t="n">
        <v>7.53</v>
      </c>
      <c r="N340" s="24" t="n">
        <v>7.63</v>
      </c>
      <c r="O340" s="24" t="n">
        <v>7.76</v>
      </c>
    </row>
    <row r="341">
      <c r="A341" s="11" t="n">
        <v>2071</v>
      </c>
      <c r="B341" s="3" t="n">
        <v>42076</v>
      </c>
      <c r="C341" s="25" t="inlineStr">
        <is>
          <t>GELENEKSEL</t>
        </is>
      </c>
      <c r="D341" s="3" t="n">
        <v>42079</v>
      </c>
      <c r="E341" s="3" t="n">
        <v>42564</v>
      </c>
      <c r="F341" s="25"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3" t="n">
        <v>42076</v>
      </c>
      <c r="C342" s="22" t="inlineStr">
        <is>
          <t>GELENEKSEL</t>
        </is>
      </c>
      <c r="D342" s="23" t="n">
        <v>42079</v>
      </c>
      <c r="E342" s="23" t="n">
        <v>43656</v>
      </c>
      <c r="F342" s="22" t="inlineStr">
        <is>
          <t>TRT100719T18</t>
        </is>
      </c>
      <c r="G342" s="8" t="n">
        <v>96000</v>
      </c>
      <c r="H342" s="8" t="n">
        <v>25000</v>
      </c>
      <c r="I342" s="24" t="n">
        <v>25419.75</v>
      </c>
      <c r="J342" s="24" t="n">
        <v>8.41</v>
      </c>
      <c r="K342" s="24" t="n">
        <v>8.42</v>
      </c>
      <c r="L342" s="24" t="n">
        <v>8.44</v>
      </c>
      <c r="M342" s="24" t="n">
        <v>8.58</v>
      </c>
      <c r="N342" s="24" t="n">
        <v>8.6</v>
      </c>
      <c r="O342" s="24" t="n">
        <v>8.619999999999999</v>
      </c>
    </row>
    <row r="343">
      <c r="A343" s="11" t="n">
        <v>2073</v>
      </c>
      <c r="B343" s="3" t="n">
        <v>42076</v>
      </c>
      <c r="C343" s="25" t="inlineStr">
        <is>
          <t>GELENEKSEL</t>
        </is>
      </c>
      <c r="D343" s="3" t="n">
        <v>42079</v>
      </c>
      <c r="E343" s="3" t="n">
        <v>42781</v>
      </c>
      <c r="F343" s="25"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3" t="n">
        <v>42081</v>
      </c>
      <c r="C344" s="22" t="inlineStr">
        <is>
          <t>GELENEKSEL</t>
        </is>
      </c>
      <c r="D344" s="23" t="n">
        <v>42082</v>
      </c>
      <c r="E344" s="23" t="n">
        <v>42564</v>
      </c>
      <c r="F344" s="22" t="inlineStr">
        <is>
          <t>TRT130716T18</t>
        </is>
      </c>
      <c r="G344" s="8" t="n">
        <v>25000</v>
      </c>
      <c r="H344" s="8" t="n">
        <v>25000</v>
      </c>
      <c r="I344" s="24" t="n">
        <v>25191</v>
      </c>
      <c r="J344" s="24" t="n">
        <v>8.73</v>
      </c>
      <c r="K344" s="24" t="n">
        <v>8.73</v>
      </c>
      <c r="L344" s="24" t="n">
        <v>8.73</v>
      </c>
      <c r="M344" s="24" t="n">
        <v>8.92</v>
      </c>
      <c r="N344" s="24" t="n">
        <v>8.92</v>
      </c>
      <c r="O344" s="24" t="n">
        <v>8.92</v>
      </c>
    </row>
    <row r="345">
      <c r="A345" s="11" t="n">
        <v>2075</v>
      </c>
      <c r="B345" s="3" t="n">
        <v>42081</v>
      </c>
      <c r="C345" s="25" t="inlineStr">
        <is>
          <t>GELENEKSEL</t>
        </is>
      </c>
      <c r="D345" s="3" t="n">
        <v>42082</v>
      </c>
      <c r="E345" s="3" t="n">
        <v>43656</v>
      </c>
      <c r="F345" s="25"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3" t="n">
        <v>42081</v>
      </c>
      <c r="C346" s="22" t="inlineStr">
        <is>
          <t>GELENEKSEL</t>
        </is>
      </c>
      <c r="D346" s="23" t="n">
        <v>42082</v>
      </c>
      <c r="E346" s="23" t="n">
        <v>42781</v>
      </c>
      <c r="F346" s="22" t="inlineStr">
        <is>
          <t>TRD150217T18</t>
        </is>
      </c>
      <c r="G346" s="8" t="n">
        <v>0</v>
      </c>
      <c r="H346" s="8" t="n">
        <v>0</v>
      </c>
      <c r="I346" s="24" t="n">
        <v>0</v>
      </c>
    </row>
    <row r="347">
      <c r="A347" s="11" t="n">
        <v>2077</v>
      </c>
      <c r="B347" s="3" t="n">
        <v>42095</v>
      </c>
      <c r="C347" s="25" t="inlineStr">
        <is>
          <t>GELENEKSEL</t>
        </is>
      </c>
      <c r="D347" s="3" t="n">
        <v>42096</v>
      </c>
      <c r="E347" s="3" t="n">
        <v>43656</v>
      </c>
      <c r="F347" s="25"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3" t="n">
        <v>42095</v>
      </c>
      <c r="C348" s="22" t="inlineStr">
        <is>
          <t>GELENEKSEL</t>
        </is>
      </c>
      <c r="D348" s="23" t="n">
        <v>42096</v>
      </c>
      <c r="E348" s="23" t="n">
        <v>43551</v>
      </c>
      <c r="F348" s="22" t="inlineStr">
        <is>
          <t>TRT270319T13</t>
        </is>
      </c>
      <c r="G348" s="8" t="n">
        <v>96000</v>
      </c>
      <c r="H348" s="8" t="n">
        <v>25000</v>
      </c>
      <c r="I348" s="24" t="n">
        <v>26749.5</v>
      </c>
      <c r="J348" s="24" t="n">
        <v>8.32</v>
      </c>
      <c r="K348" s="24" t="n">
        <v>8.32</v>
      </c>
      <c r="L348" s="24" t="n">
        <v>8.32</v>
      </c>
      <c r="M348" s="24" t="n">
        <v>8.5</v>
      </c>
      <c r="N348" s="24" t="n">
        <v>8.5</v>
      </c>
      <c r="O348" s="24" t="n">
        <v>8.5</v>
      </c>
    </row>
    <row r="349">
      <c r="A349" s="11" t="n">
        <v>2079</v>
      </c>
      <c r="B349" s="3" t="n">
        <v>42095</v>
      </c>
      <c r="C349" s="25" t="inlineStr">
        <is>
          <t>GELENEKSEL</t>
        </is>
      </c>
      <c r="D349" s="3" t="n">
        <v>42096</v>
      </c>
      <c r="E349" s="3" t="n">
        <v>42781</v>
      </c>
      <c r="F349" s="25"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3" t="n">
        <v>42097</v>
      </c>
      <c r="C350" s="22" t="inlineStr">
        <is>
          <t>GELENEKSEL</t>
        </is>
      </c>
      <c r="D350" s="23" t="n">
        <v>42100</v>
      </c>
      <c r="E350" s="23" t="n">
        <v>43656</v>
      </c>
      <c r="F350" s="22" t="inlineStr">
        <is>
          <t>TRT100719T18</t>
        </is>
      </c>
      <c r="G350" s="8" t="n">
        <v>81000</v>
      </c>
      <c r="H350" s="8" t="n">
        <v>25000</v>
      </c>
      <c r="I350" s="24" t="n">
        <v>25678.5</v>
      </c>
      <c r="J350" s="24" t="n">
        <v>8.27</v>
      </c>
      <c r="K350" s="24" t="n">
        <v>8.27</v>
      </c>
      <c r="L350" s="24" t="n">
        <v>8.27</v>
      </c>
      <c r="M350" s="24" t="n">
        <v>8.44</v>
      </c>
      <c r="N350" s="24" t="n">
        <v>8.44</v>
      </c>
      <c r="O350" s="24" t="n">
        <v>8.44</v>
      </c>
    </row>
    <row r="351">
      <c r="A351" s="11" t="n">
        <v>2081</v>
      </c>
      <c r="B351" s="3" t="n">
        <v>42097</v>
      </c>
      <c r="C351" s="25" t="inlineStr">
        <is>
          <t>GELENEKSEL</t>
        </is>
      </c>
      <c r="D351" s="3" t="n">
        <v>42100</v>
      </c>
      <c r="E351" s="3" t="n">
        <v>43551</v>
      </c>
      <c r="F351" s="25"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3" t="n">
        <v>42097</v>
      </c>
      <c r="C352" s="22" t="inlineStr">
        <is>
          <t>GELENEKSEL</t>
        </is>
      </c>
      <c r="D352" s="23" t="n">
        <v>42100</v>
      </c>
      <c r="E352" s="23" t="n">
        <v>42781</v>
      </c>
      <c r="F352" s="22" t="inlineStr">
        <is>
          <t>TRD150217T18</t>
        </is>
      </c>
      <c r="G352" s="8" t="n">
        <v>2000</v>
      </c>
      <c r="H352" s="8" t="n">
        <v>2000</v>
      </c>
      <c r="I352" s="24" t="n">
        <v>2037.18</v>
      </c>
      <c r="J352" s="24" t="n">
        <v>7.3</v>
      </c>
      <c r="K352" s="24" t="n">
        <v>7.3</v>
      </c>
      <c r="L352" s="24" t="n">
        <v>7.3</v>
      </c>
      <c r="M352" s="24" t="n">
        <v>7.43</v>
      </c>
      <c r="N352" s="24" t="n">
        <v>7.43</v>
      </c>
      <c r="O352" s="24" t="n">
        <v>7.43</v>
      </c>
    </row>
    <row r="353">
      <c r="A353" s="11" t="n">
        <v>2083</v>
      </c>
      <c r="B353" s="3" t="n">
        <v>42102</v>
      </c>
      <c r="C353" s="25" t="inlineStr">
        <is>
          <t>GELENEKSEL</t>
        </is>
      </c>
      <c r="D353" s="3" t="n">
        <v>42103</v>
      </c>
      <c r="E353" s="3" t="n">
        <v>43656</v>
      </c>
      <c r="F353" s="25"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3" t="n">
        <v>42102</v>
      </c>
      <c r="C354" s="22" t="inlineStr">
        <is>
          <t>GELENEKSEL</t>
        </is>
      </c>
      <c r="D354" s="23" t="n">
        <v>42103</v>
      </c>
      <c r="E354" s="23" t="n">
        <v>43551</v>
      </c>
      <c r="F354" s="22" t="inlineStr">
        <is>
          <t>TRT270319T13</t>
        </is>
      </c>
      <c r="G354" s="8" t="n">
        <v>85000</v>
      </c>
      <c r="H354" s="8" t="n">
        <v>25000</v>
      </c>
      <c r="I354" s="24" t="n">
        <v>26913.1</v>
      </c>
      <c r="J354" s="24" t="n">
        <v>8.17</v>
      </c>
      <c r="K354" s="24" t="n">
        <v>8.18</v>
      </c>
      <c r="L354" s="24" t="n">
        <v>8.18</v>
      </c>
      <c r="M354" s="24" t="n">
        <v>8.33</v>
      </c>
      <c r="N354" s="24" t="n">
        <v>8.35</v>
      </c>
      <c r="O354" s="24" t="n">
        <v>8.35</v>
      </c>
    </row>
    <row r="355">
      <c r="A355" s="11" t="n">
        <v>2085</v>
      </c>
      <c r="B355" s="3" t="n">
        <v>42102</v>
      </c>
      <c r="C355" s="25" t="inlineStr">
        <is>
          <t>GELENEKSEL</t>
        </is>
      </c>
      <c r="D355" s="3" t="n">
        <v>42103</v>
      </c>
      <c r="E355" s="3" t="n">
        <v>42781</v>
      </c>
      <c r="F355" s="25"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3" t="n">
        <v>42104</v>
      </c>
      <c r="C356" s="22" t="inlineStr">
        <is>
          <t>GELENEKSEL</t>
        </is>
      </c>
      <c r="D356" s="23" t="n">
        <v>42107</v>
      </c>
      <c r="E356" s="23" t="n">
        <v>43656</v>
      </c>
      <c r="F356" s="22" t="inlineStr">
        <is>
          <t>TRT100719T18</t>
        </is>
      </c>
      <c r="G356" s="8" t="n">
        <v>196000</v>
      </c>
      <c r="H356" s="8" t="n">
        <v>50000</v>
      </c>
      <c r="I356" s="24" t="n">
        <v>51304.95</v>
      </c>
      <c r="J356" s="24" t="n">
        <v>8.34</v>
      </c>
      <c r="K356" s="24" t="n">
        <v>8.34</v>
      </c>
      <c r="L356" s="24" t="n">
        <v>8.359999999999999</v>
      </c>
      <c r="M356" s="24" t="n">
        <v>8.52</v>
      </c>
      <c r="N356" s="24" t="n">
        <v>8.52</v>
      </c>
      <c r="O356" s="24" t="n">
        <v>8.529999999999999</v>
      </c>
    </row>
    <row r="357">
      <c r="A357" s="11" t="n">
        <v>2087</v>
      </c>
      <c r="B357" s="3" t="n">
        <v>42104</v>
      </c>
      <c r="C357" s="25" t="inlineStr">
        <is>
          <t>GELENEKSEL</t>
        </is>
      </c>
      <c r="D357" s="3" t="n">
        <v>42107</v>
      </c>
      <c r="E357" s="3" t="n">
        <v>43551</v>
      </c>
      <c r="F357" s="25"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3" t="n">
        <v>42130</v>
      </c>
      <c r="C358" s="22" t="inlineStr">
        <is>
          <t>GELENEKSEL</t>
        </is>
      </c>
      <c r="D358" s="23" t="n">
        <v>42131</v>
      </c>
      <c r="E358" s="23" t="n">
        <v>43418</v>
      </c>
      <c r="F358" s="22" t="inlineStr">
        <is>
          <t>TRT141118T19</t>
        </is>
      </c>
      <c r="G358" s="8" t="n">
        <v>50000</v>
      </c>
      <c r="H358" s="8" t="n">
        <v>25000</v>
      </c>
      <c r="I358" s="24" t="n">
        <v>25417</v>
      </c>
      <c r="J358" s="24" t="n">
        <v>9.609999999999999</v>
      </c>
      <c r="K358" s="24" t="n">
        <v>9.609999999999999</v>
      </c>
      <c r="L358" s="24" t="n">
        <v>9.630000000000001</v>
      </c>
      <c r="M358" s="24" t="n">
        <v>9.84</v>
      </c>
      <c r="N358" s="24" t="n">
        <v>9.84</v>
      </c>
      <c r="O358" s="24" t="n">
        <v>9.859999999999999</v>
      </c>
    </row>
    <row r="359">
      <c r="A359" s="11" t="n">
        <v>2089</v>
      </c>
      <c r="B359" s="3" t="n">
        <v>42130</v>
      </c>
      <c r="C359" s="25" t="inlineStr">
        <is>
          <t>GELENEKSEL</t>
        </is>
      </c>
      <c r="D359" s="3" t="n">
        <v>42131</v>
      </c>
      <c r="E359" s="3" t="n">
        <v>43656</v>
      </c>
      <c r="F359" s="25"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3" t="n">
        <v>42130</v>
      </c>
      <c r="C360" s="22" t="inlineStr">
        <is>
          <t>GELENEKSEL</t>
        </is>
      </c>
      <c r="D360" s="23" t="n">
        <v>42131</v>
      </c>
      <c r="E360" s="23" t="n">
        <v>42781</v>
      </c>
      <c r="F360" s="22" t="inlineStr">
        <is>
          <t>TRD150217T18</t>
        </is>
      </c>
      <c r="G360" s="8" t="n">
        <v>2000</v>
      </c>
      <c r="H360" s="8" t="n">
        <v>2000</v>
      </c>
      <c r="I360" s="24" t="n">
        <v>2053.82</v>
      </c>
      <c r="J360" s="24" t="n">
        <v>7.17</v>
      </c>
      <c r="K360" s="24" t="n">
        <v>7.17</v>
      </c>
      <c r="L360" s="24" t="n">
        <v>7.17</v>
      </c>
      <c r="M360" s="24" t="n">
        <v>7.3</v>
      </c>
      <c r="N360" s="24" t="n">
        <v>7.3</v>
      </c>
      <c r="O360" s="24" t="n">
        <v>7.3</v>
      </c>
    </row>
    <row r="361">
      <c r="A361" s="11" t="n">
        <v>2091</v>
      </c>
      <c r="B361" s="3" t="n">
        <v>42132</v>
      </c>
      <c r="C361" s="25" t="inlineStr">
        <is>
          <t>GELENEKSEL</t>
        </is>
      </c>
      <c r="D361" s="3" t="n">
        <v>42135</v>
      </c>
      <c r="E361" s="3" t="n">
        <v>43418</v>
      </c>
      <c r="F361" s="25"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3" t="n">
        <v>42132</v>
      </c>
      <c r="C362" s="22" t="inlineStr">
        <is>
          <t>GELENEKSEL</t>
        </is>
      </c>
      <c r="D362" s="23" t="n">
        <v>42135</v>
      </c>
      <c r="E362" s="23" t="n">
        <v>43656</v>
      </c>
      <c r="F362" s="22" t="inlineStr">
        <is>
          <t>TRT100719T18</t>
        </is>
      </c>
      <c r="G362" s="8" t="n">
        <v>50000</v>
      </c>
      <c r="H362" s="8" t="n">
        <v>25000</v>
      </c>
      <c r="I362" s="24" t="n">
        <v>24919.75</v>
      </c>
      <c r="J362" s="24" t="n">
        <v>9.390000000000001</v>
      </c>
      <c r="K362" s="24" t="n">
        <v>9.390000000000001</v>
      </c>
      <c r="L362" s="24" t="n">
        <v>9.390000000000001</v>
      </c>
      <c r="M362" s="24" t="n">
        <v>9.609999999999999</v>
      </c>
      <c r="N362" s="24" t="n">
        <v>9.609999999999999</v>
      </c>
      <c r="O362" s="24" t="n">
        <v>9.609999999999999</v>
      </c>
    </row>
    <row r="363">
      <c r="A363" s="11" t="n">
        <v>2093</v>
      </c>
      <c r="B363" s="3" t="n">
        <v>42132</v>
      </c>
      <c r="C363" s="25" t="inlineStr">
        <is>
          <t>GELENEKSEL</t>
        </is>
      </c>
      <c r="D363" s="3" t="n">
        <v>42135</v>
      </c>
      <c r="E363" s="3" t="n">
        <v>42781</v>
      </c>
      <c r="F363" s="25"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3" t="n">
        <v>42137</v>
      </c>
      <c r="C364" s="22" t="inlineStr">
        <is>
          <t>GELENEKSEL</t>
        </is>
      </c>
      <c r="D364" s="23" t="n">
        <v>42138</v>
      </c>
      <c r="E364" s="23" t="n">
        <v>43418</v>
      </c>
      <c r="F364" s="22" t="inlineStr">
        <is>
          <t>TRT141118T19</t>
        </is>
      </c>
      <c r="G364" s="8" t="n">
        <v>25000</v>
      </c>
      <c r="H364" s="8" t="n">
        <v>0</v>
      </c>
      <c r="I364" s="24" t="n">
        <v>0</v>
      </c>
    </row>
    <row r="365">
      <c r="A365" s="11" t="n">
        <v>2095</v>
      </c>
      <c r="B365" s="3" t="n">
        <v>42137</v>
      </c>
      <c r="C365" s="25" t="inlineStr">
        <is>
          <t>GELENEKSEL</t>
        </is>
      </c>
      <c r="D365" s="3" t="n">
        <v>42138</v>
      </c>
      <c r="E365" s="3" t="n">
        <v>43656</v>
      </c>
      <c r="F365" s="25"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3" t="n">
        <v>42137</v>
      </c>
      <c r="C366" s="22" t="inlineStr">
        <is>
          <t>GELENEKSEL</t>
        </is>
      </c>
      <c r="D366" s="23" t="n">
        <v>42138</v>
      </c>
      <c r="E366" s="23" t="n">
        <v>42781</v>
      </c>
      <c r="F366" s="22" t="inlineStr">
        <is>
          <t>TRD150217T18</t>
        </is>
      </c>
      <c r="G366" s="8" t="n">
        <v>2000</v>
      </c>
      <c r="H366" s="8" t="n">
        <v>0</v>
      </c>
      <c r="I366" s="24" t="n">
        <v>0</v>
      </c>
    </row>
    <row r="367">
      <c r="A367" s="11" t="n">
        <v>2097</v>
      </c>
      <c r="B367" s="3" t="n">
        <v>42139</v>
      </c>
      <c r="C367" s="25" t="inlineStr">
        <is>
          <t>GELENEKSEL</t>
        </is>
      </c>
      <c r="D367" s="3" t="n">
        <v>42142</v>
      </c>
      <c r="E367" s="3" t="n">
        <v>43656</v>
      </c>
      <c r="F367" s="25"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3" t="n">
        <v>42139</v>
      </c>
      <c r="C368" s="22" t="inlineStr">
        <is>
          <t>GELENEKSEL</t>
        </is>
      </c>
      <c r="D368" s="23" t="n">
        <v>42142</v>
      </c>
      <c r="E368" s="23" t="n">
        <v>43551</v>
      </c>
      <c r="F368" s="22" t="inlineStr">
        <is>
          <t>TRT270319T13</t>
        </is>
      </c>
      <c r="G368" s="8" t="n">
        <v>100000</v>
      </c>
      <c r="H368" s="8" t="n">
        <v>25000</v>
      </c>
      <c r="I368" s="24" t="n">
        <v>26620.4</v>
      </c>
      <c r="J368" s="24" t="n">
        <v>8.789999999999999</v>
      </c>
      <c r="K368" s="24" t="n">
        <v>8.800000000000001</v>
      </c>
      <c r="L368" s="24" t="n">
        <v>8.81</v>
      </c>
      <c r="M368" s="24" t="n">
        <v>8.98</v>
      </c>
      <c r="N368" s="24" t="n">
        <v>8.99</v>
      </c>
      <c r="O368" s="24" t="n">
        <v>9</v>
      </c>
    </row>
    <row r="369">
      <c r="A369" s="11" t="n">
        <v>2099</v>
      </c>
      <c r="B369" s="3" t="n">
        <v>42139</v>
      </c>
      <c r="C369" s="25" t="inlineStr">
        <is>
          <t>GELENEKSEL</t>
        </is>
      </c>
      <c r="D369" s="3" t="n">
        <v>42142</v>
      </c>
      <c r="E369" s="3" t="n">
        <v>42781</v>
      </c>
      <c r="F369" s="25" t="inlineStr">
        <is>
          <t>TRD150217T18</t>
        </is>
      </c>
      <c r="G369" s="11" t="n">
        <v>2000</v>
      </c>
      <c r="H369" s="11" t="n">
        <v>0</v>
      </c>
      <c r="I369" s="13" t="n">
        <v>0</v>
      </c>
    </row>
    <row r="370">
      <c r="A370" s="8" t="n">
        <v>2100</v>
      </c>
      <c r="B370" s="23" t="n">
        <v>42144</v>
      </c>
      <c r="C370" s="22" t="inlineStr">
        <is>
          <t>GELENEKSEL</t>
        </is>
      </c>
      <c r="D370" s="23" t="n">
        <v>42145</v>
      </c>
      <c r="E370" s="23" t="n">
        <v>43656</v>
      </c>
      <c r="F370" s="22" t="inlineStr">
        <is>
          <t>TRT100719T18</t>
        </is>
      </c>
      <c r="G370" s="8" t="n">
        <v>100000</v>
      </c>
      <c r="H370" s="8" t="n">
        <v>25000</v>
      </c>
      <c r="I370" s="24" t="n">
        <v>25391.2</v>
      </c>
      <c r="J370" s="24" t="n">
        <v>8.91</v>
      </c>
      <c r="K370" s="24" t="n">
        <v>8.91</v>
      </c>
      <c r="L370" s="24" t="n">
        <v>8.91</v>
      </c>
      <c r="M370" s="24" t="n">
        <v>9.1</v>
      </c>
      <c r="N370" s="24" t="n">
        <v>9.1</v>
      </c>
      <c r="O370" s="24" t="n">
        <v>9.1</v>
      </c>
    </row>
    <row r="371">
      <c r="A371" s="11" t="n">
        <v>2101</v>
      </c>
      <c r="B371" s="3" t="n">
        <v>42144</v>
      </c>
      <c r="C371" s="25" t="inlineStr">
        <is>
          <t>GELENEKSEL</t>
        </is>
      </c>
      <c r="D371" s="3" t="n">
        <v>42145</v>
      </c>
      <c r="E371" s="3" t="n">
        <v>43551</v>
      </c>
      <c r="F371" s="25"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3" t="n">
        <v>42144</v>
      </c>
      <c r="C372" s="22" t="inlineStr">
        <is>
          <t>GELENEKSEL</t>
        </is>
      </c>
      <c r="D372" s="23" t="n">
        <v>42145</v>
      </c>
      <c r="E372" s="23" t="n">
        <v>42781</v>
      </c>
      <c r="F372" s="22" t="inlineStr">
        <is>
          <t>TRD150217T18</t>
        </is>
      </c>
      <c r="G372" s="8" t="n">
        <v>2000</v>
      </c>
      <c r="H372" s="8" t="n">
        <v>2000</v>
      </c>
      <c r="I372" s="24" t="n">
        <v>2075.96</v>
      </c>
      <c r="J372" s="24" t="n">
        <v>6.67</v>
      </c>
      <c r="K372" s="24" t="n">
        <v>6.67</v>
      </c>
      <c r="L372" s="24" t="n">
        <v>6.67</v>
      </c>
      <c r="M372" s="24" t="n">
        <v>6.79</v>
      </c>
      <c r="N372" s="24" t="n">
        <v>6.79</v>
      </c>
      <c r="O372" s="24" t="n">
        <v>6.79</v>
      </c>
    </row>
    <row r="373">
      <c r="A373" s="11" t="n">
        <v>2103</v>
      </c>
      <c r="B373" s="3" t="n">
        <v>42146</v>
      </c>
      <c r="C373" s="25" t="inlineStr">
        <is>
          <t>GELENEKSEL</t>
        </is>
      </c>
      <c r="D373" s="3" t="n">
        <v>42149</v>
      </c>
      <c r="E373" s="3" t="n">
        <v>43656</v>
      </c>
      <c r="F373" s="25"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3" t="n">
        <v>42146</v>
      </c>
      <c r="C374" s="22" t="inlineStr">
        <is>
          <t>GELENEKSEL</t>
        </is>
      </c>
      <c r="D374" s="23" t="n">
        <v>42149</v>
      </c>
      <c r="E374" s="23" t="n">
        <v>43551</v>
      </c>
      <c r="F374" s="22" t="inlineStr">
        <is>
          <t>TRT270319T13</t>
        </is>
      </c>
      <c r="G374" s="8" t="n">
        <v>50000</v>
      </c>
      <c r="H374" s="8" t="n">
        <v>25000</v>
      </c>
      <c r="I374" s="24" t="n">
        <v>26589.5</v>
      </c>
      <c r="J374" s="24" t="n">
        <v>8.869999999999999</v>
      </c>
      <c r="K374" s="24" t="n">
        <v>8.880000000000001</v>
      </c>
      <c r="L374" s="24" t="n">
        <v>8.949999999999999</v>
      </c>
      <c r="M374" s="24" t="n">
        <v>9.07</v>
      </c>
      <c r="N374" s="24" t="n">
        <v>9.08</v>
      </c>
      <c r="O374" s="24" t="n">
        <v>9.15</v>
      </c>
    </row>
    <row r="375">
      <c r="A375" s="11" t="n">
        <v>2105</v>
      </c>
      <c r="B375" s="3" t="n">
        <v>42146</v>
      </c>
      <c r="C375" s="25" t="inlineStr">
        <is>
          <t>GELENEKSEL</t>
        </is>
      </c>
      <c r="D375" s="3" t="n">
        <v>42149</v>
      </c>
      <c r="E375" s="3" t="n">
        <v>42781</v>
      </c>
      <c r="F375" s="25"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3" t="n">
        <v>42151</v>
      </c>
      <c r="C376" s="22" t="inlineStr">
        <is>
          <t>GELENEKSEL</t>
        </is>
      </c>
      <c r="D376" s="23" t="n">
        <v>42152</v>
      </c>
      <c r="E376" s="23" t="n">
        <v>43656</v>
      </c>
      <c r="F376" s="22" t="inlineStr">
        <is>
          <t>TRT100719T18</t>
        </is>
      </c>
      <c r="G376" s="8" t="n">
        <v>88000</v>
      </c>
      <c r="H376" s="8" t="n">
        <v>25000</v>
      </c>
      <c r="I376" s="24" t="n">
        <v>25250.01</v>
      </c>
      <c r="J376" s="24" t="n">
        <v>9.08</v>
      </c>
      <c r="K376" s="24" t="n">
        <v>9.119999999999999</v>
      </c>
      <c r="L376" s="24" t="n">
        <v>9.17</v>
      </c>
      <c r="M376" s="24" t="n">
        <v>9.279999999999999</v>
      </c>
      <c r="N376" s="24" t="n">
        <v>9.33</v>
      </c>
      <c r="O376" s="24" t="n">
        <v>9.380000000000001</v>
      </c>
    </row>
    <row r="377">
      <c r="A377" s="11" t="n">
        <v>2107</v>
      </c>
      <c r="B377" s="3" t="n">
        <v>42151</v>
      </c>
      <c r="C377" s="25" t="inlineStr">
        <is>
          <t>GELENEKSEL</t>
        </is>
      </c>
      <c r="D377" s="3" t="n">
        <v>42152</v>
      </c>
      <c r="E377" s="3" t="n">
        <v>43551</v>
      </c>
      <c r="F377" s="25"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3" t="n">
        <v>42151</v>
      </c>
      <c r="C378" s="22" t="inlineStr">
        <is>
          <t>GELENEKSEL</t>
        </is>
      </c>
      <c r="D378" s="23" t="n">
        <v>42152</v>
      </c>
      <c r="E378" s="23" t="n">
        <v>42781</v>
      </c>
      <c r="F378" s="22" t="inlineStr">
        <is>
          <t>TRD150217T18</t>
        </is>
      </c>
      <c r="G378" s="8" t="n">
        <v>4000</v>
      </c>
      <c r="H378" s="8" t="n">
        <v>4000</v>
      </c>
      <c r="I378" s="24" t="n">
        <v>4155.56</v>
      </c>
      <c r="J378" s="24" t="n">
        <v>6.67</v>
      </c>
      <c r="K378" s="24" t="n">
        <v>6.67</v>
      </c>
      <c r="L378" s="24" t="n">
        <v>6.67</v>
      </c>
      <c r="M378" s="24" t="n">
        <v>6.79</v>
      </c>
      <c r="N378" s="24" t="n">
        <v>6.79</v>
      </c>
      <c r="O378" s="24" t="n">
        <v>6.79</v>
      </c>
    </row>
    <row r="379">
      <c r="A379" s="11" t="n">
        <v>2109</v>
      </c>
      <c r="B379" s="3" t="n">
        <v>42158</v>
      </c>
      <c r="C379" s="25" t="inlineStr">
        <is>
          <t>GELENEKSEL</t>
        </is>
      </c>
      <c r="D379" s="3" t="n">
        <v>42159</v>
      </c>
      <c r="E379" s="3" t="n">
        <v>43656</v>
      </c>
      <c r="F379" s="25"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3" t="n">
        <v>42158</v>
      </c>
      <c r="C380" s="22" t="inlineStr">
        <is>
          <t>GELENEKSEL</t>
        </is>
      </c>
      <c r="D380" s="23" t="n">
        <v>42159</v>
      </c>
      <c r="E380" s="23" t="n">
        <v>43551</v>
      </c>
      <c r="F380" s="22" t="inlineStr">
        <is>
          <t>TRT270319T13</t>
        </is>
      </c>
      <c r="G380" s="8" t="n">
        <v>93000</v>
      </c>
      <c r="H380" s="8" t="n">
        <v>25000</v>
      </c>
      <c r="I380" s="24" t="n">
        <v>26499.11</v>
      </c>
      <c r="J380" s="24" t="n">
        <v>9.06</v>
      </c>
      <c r="K380" s="24" t="n">
        <v>9.07</v>
      </c>
      <c r="L380" s="24" t="n">
        <v>9.130000000000001</v>
      </c>
      <c r="M380" s="24" t="n">
        <v>9.26</v>
      </c>
      <c r="N380" s="24" t="n">
        <v>9.279999999999999</v>
      </c>
      <c r="O380" s="24" t="n">
        <v>9.34</v>
      </c>
    </row>
    <row r="381">
      <c r="A381" s="11" t="n">
        <v>2111</v>
      </c>
      <c r="B381" s="3" t="n">
        <v>42158</v>
      </c>
      <c r="C381" s="25" t="inlineStr">
        <is>
          <t>GELENEKSEL</t>
        </is>
      </c>
      <c r="D381" s="3" t="n">
        <v>42159</v>
      </c>
      <c r="E381" s="3" t="n">
        <v>42781</v>
      </c>
      <c r="F381" s="25"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3" t="n">
        <v>42160</v>
      </c>
      <c r="C382" s="22" t="inlineStr">
        <is>
          <t>GELENEKSEL</t>
        </is>
      </c>
      <c r="D382" s="23" t="n">
        <v>42163</v>
      </c>
      <c r="E382" s="23" t="n">
        <v>43656</v>
      </c>
      <c r="F382" s="22" t="inlineStr">
        <is>
          <t>TRT100719T18</t>
        </is>
      </c>
      <c r="G382" s="8" t="n">
        <v>100000</v>
      </c>
      <c r="H382" s="8" t="n">
        <v>25000</v>
      </c>
      <c r="I382" s="24" t="n">
        <v>25310</v>
      </c>
      <c r="J382" s="24" t="n">
        <v>9.119999999999999</v>
      </c>
      <c r="K382" s="24" t="n">
        <v>9.140000000000001</v>
      </c>
      <c r="L382" s="24" t="n">
        <v>9.16</v>
      </c>
      <c r="M382" s="24" t="n">
        <v>9.33</v>
      </c>
      <c r="N382" s="24" t="n">
        <v>9.35</v>
      </c>
      <c r="O382" s="24" t="n">
        <v>9.369999999999999</v>
      </c>
    </row>
    <row r="383">
      <c r="A383" s="11" t="n">
        <v>2113</v>
      </c>
      <c r="B383" s="3" t="n">
        <v>42160</v>
      </c>
      <c r="C383" s="25" t="inlineStr">
        <is>
          <t>GELENEKSEL</t>
        </is>
      </c>
      <c r="D383" s="3" t="n">
        <v>42163</v>
      </c>
      <c r="E383" s="3" t="n">
        <v>43551</v>
      </c>
      <c r="F383" s="25"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3" t="n">
        <v>42160</v>
      </c>
      <c r="C384" s="22" t="inlineStr">
        <is>
          <t>GELENEKSEL</t>
        </is>
      </c>
      <c r="D384" s="23" t="n">
        <v>42163</v>
      </c>
      <c r="E384" s="23" t="n">
        <v>42781</v>
      </c>
      <c r="F384" s="22" t="inlineStr">
        <is>
          <t>TRD150217T18</t>
        </is>
      </c>
      <c r="G384" s="8" t="n">
        <v>0</v>
      </c>
      <c r="H384" s="8" t="n">
        <v>0</v>
      </c>
      <c r="I384" s="24" t="n">
        <v>0</v>
      </c>
    </row>
    <row r="385">
      <c r="A385" s="11" t="n">
        <v>2115</v>
      </c>
      <c r="B385" s="3" t="n">
        <v>42165</v>
      </c>
      <c r="C385" s="25" t="inlineStr">
        <is>
          <t>GELENEKSEL</t>
        </is>
      </c>
      <c r="D385" s="3" t="n">
        <v>42166</v>
      </c>
      <c r="E385" s="3" t="n">
        <v>43656</v>
      </c>
      <c r="F385" s="25"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3" t="n">
        <v>42165</v>
      </c>
      <c r="C386" s="22" t="inlineStr">
        <is>
          <t>GELENEKSEL</t>
        </is>
      </c>
      <c r="D386" s="23" t="n">
        <v>42166</v>
      </c>
      <c r="E386" s="23" t="n">
        <v>43551</v>
      </c>
      <c r="F386" s="22" t="inlineStr">
        <is>
          <t>TRT270319T13</t>
        </is>
      </c>
      <c r="G386" s="8" t="n">
        <v>82000</v>
      </c>
      <c r="H386" s="8" t="n">
        <v>25000</v>
      </c>
      <c r="I386" s="24" t="n">
        <v>26168.5</v>
      </c>
      <c r="J386" s="24" t="n">
        <v>9.539999999999999</v>
      </c>
      <c r="K386" s="24" t="n">
        <v>9.539999999999999</v>
      </c>
      <c r="L386" s="24" t="n">
        <v>9.539999999999999</v>
      </c>
      <c r="M386" s="24" t="n">
        <v>9.77</v>
      </c>
      <c r="N386" s="24" t="n">
        <v>9.77</v>
      </c>
      <c r="O386" s="24" t="n">
        <v>9.77</v>
      </c>
    </row>
    <row r="387">
      <c r="A387" s="11" t="n">
        <v>2117</v>
      </c>
      <c r="B387" s="3" t="n">
        <v>42165</v>
      </c>
      <c r="C387" s="25" t="inlineStr">
        <is>
          <t>GELENEKSEL</t>
        </is>
      </c>
      <c r="D387" s="3" t="n">
        <v>42166</v>
      </c>
      <c r="E387" s="3" t="n">
        <v>42781</v>
      </c>
      <c r="F387" s="25"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3" t="n">
        <v>42167</v>
      </c>
      <c r="C388" s="22" t="inlineStr">
        <is>
          <t>GELENEKSEL</t>
        </is>
      </c>
      <c r="D388" s="23" t="n">
        <v>42170</v>
      </c>
      <c r="E388" s="23" t="n">
        <v>43656</v>
      </c>
      <c r="F388" s="22" t="inlineStr">
        <is>
          <t>TRT100719T18</t>
        </is>
      </c>
      <c r="G388" s="8" t="n">
        <v>110000</v>
      </c>
      <c r="H388" s="8" t="n">
        <v>50000</v>
      </c>
      <c r="I388" s="24" t="n">
        <v>50575.6</v>
      </c>
      <c r="J388" s="24" t="n">
        <v>9.19</v>
      </c>
      <c r="K388" s="24" t="n">
        <v>9.220000000000001</v>
      </c>
      <c r="L388" s="24" t="n">
        <v>9.25</v>
      </c>
      <c r="M388" s="24" t="n">
        <v>9.4</v>
      </c>
      <c r="N388" s="24" t="n">
        <v>9.43</v>
      </c>
      <c r="O388" s="24" t="n">
        <v>9.460000000000001</v>
      </c>
    </row>
    <row r="389">
      <c r="A389" s="11" t="n">
        <v>2119</v>
      </c>
      <c r="B389" s="3" t="n">
        <v>42167</v>
      </c>
      <c r="C389" s="25" t="inlineStr">
        <is>
          <t>GELENEKSEL</t>
        </is>
      </c>
      <c r="D389" s="3" t="n">
        <v>42170</v>
      </c>
      <c r="E389" s="3" t="n">
        <v>43551</v>
      </c>
      <c r="F389" s="25"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3" t="n">
        <v>42172</v>
      </c>
      <c r="C390" s="22" t="inlineStr">
        <is>
          <t>GELENEKSEL</t>
        </is>
      </c>
      <c r="D390" s="23" t="n">
        <v>42173</v>
      </c>
      <c r="E390" s="23" t="n">
        <v>43656</v>
      </c>
      <c r="F390" s="22" t="inlineStr">
        <is>
          <t>TRT100719T18</t>
        </is>
      </c>
      <c r="G390" s="8" t="n">
        <v>81000</v>
      </c>
      <c r="H390" s="8" t="n">
        <v>25000</v>
      </c>
      <c r="I390" s="24" t="n">
        <v>25052.75</v>
      </c>
      <c r="J390" s="24" t="n">
        <v>9.529999999999999</v>
      </c>
      <c r="K390" s="24" t="n">
        <v>9.529999999999999</v>
      </c>
      <c r="L390" s="24" t="n">
        <v>9.529999999999999</v>
      </c>
      <c r="M390" s="24" t="n">
        <v>9.76</v>
      </c>
      <c r="N390" s="24" t="n">
        <v>9.76</v>
      </c>
      <c r="O390" s="24" t="n">
        <v>9.76</v>
      </c>
    </row>
    <row r="391">
      <c r="A391" s="11" t="n">
        <v>2121</v>
      </c>
      <c r="B391" s="3" t="n">
        <v>42172</v>
      </c>
      <c r="C391" s="25" t="inlineStr">
        <is>
          <t>GELENEKSEL</t>
        </is>
      </c>
      <c r="D391" s="3" t="n">
        <v>42173</v>
      </c>
      <c r="E391" s="3" t="n">
        <v>43551</v>
      </c>
      <c r="F391" s="25"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3" t="n">
        <v>42186</v>
      </c>
      <c r="C392" s="22" t="inlineStr">
        <is>
          <t>GELENEKSEL</t>
        </is>
      </c>
      <c r="D392" s="23" t="n">
        <v>42187</v>
      </c>
      <c r="E392" s="23" t="n">
        <v>43656</v>
      </c>
      <c r="F392" s="22" t="inlineStr">
        <is>
          <t>TRT100719T18</t>
        </is>
      </c>
      <c r="G392" s="8" t="n">
        <v>100000</v>
      </c>
      <c r="H392" s="8" t="n">
        <v>25000</v>
      </c>
      <c r="I392" s="24" t="n">
        <v>25311.5</v>
      </c>
      <c r="J392" s="24" t="n">
        <v>9.31</v>
      </c>
      <c r="K392" s="24" t="n">
        <v>9.31</v>
      </c>
      <c r="L392" s="24" t="n">
        <v>9.31</v>
      </c>
      <c r="M392" s="24" t="n">
        <v>9.529999999999999</v>
      </c>
      <c r="N392" s="24" t="n">
        <v>9.529999999999999</v>
      </c>
      <c r="O392" s="24" t="n">
        <v>9.529999999999999</v>
      </c>
    </row>
    <row r="393">
      <c r="A393" s="11" t="n">
        <v>2123</v>
      </c>
      <c r="B393" s="3" t="n">
        <v>42186</v>
      </c>
      <c r="C393" s="25" t="inlineStr">
        <is>
          <t>GELENEKSEL</t>
        </is>
      </c>
      <c r="D393" s="3" t="n">
        <v>42187</v>
      </c>
      <c r="E393" s="3" t="n">
        <v>43418</v>
      </c>
      <c r="F393" s="25"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3" t="n">
        <v>42186</v>
      </c>
      <c r="C394" s="22" t="inlineStr">
        <is>
          <t>GELENEKSEL</t>
        </is>
      </c>
      <c r="D394" s="23" t="n">
        <v>42187</v>
      </c>
      <c r="E394" s="23" t="n">
        <v>42781</v>
      </c>
      <c r="F394" s="22" t="inlineStr">
        <is>
          <t>TRD150217T18</t>
        </is>
      </c>
      <c r="G394" s="8" t="n">
        <v>21000</v>
      </c>
      <c r="H394" s="8" t="n">
        <v>15000</v>
      </c>
      <c r="I394" s="24" t="n">
        <v>15668.4</v>
      </c>
      <c r="J394" s="24" t="n">
        <v>6.71</v>
      </c>
      <c r="K394" s="24" t="n">
        <v>6.74</v>
      </c>
      <c r="L394" s="24" t="n">
        <v>6.8</v>
      </c>
      <c r="M394" s="24" t="n">
        <v>6.82</v>
      </c>
      <c r="N394" s="24" t="n">
        <v>6.85</v>
      </c>
      <c r="O394" s="24" t="n">
        <v>6.92</v>
      </c>
    </row>
    <row r="395">
      <c r="A395" s="11" t="n">
        <v>2125</v>
      </c>
      <c r="B395" s="3" t="n">
        <v>42188</v>
      </c>
      <c r="C395" s="25" t="inlineStr">
        <is>
          <t>GELENEKSEL</t>
        </is>
      </c>
      <c r="D395" s="3" t="n">
        <v>42191</v>
      </c>
      <c r="E395" s="3" t="n">
        <v>43656</v>
      </c>
      <c r="F395" s="25"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3" t="n">
        <v>42188</v>
      </c>
      <c r="C396" s="22" t="inlineStr">
        <is>
          <t>GELENEKSEL</t>
        </is>
      </c>
      <c r="D396" s="23" t="n">
        <v>42191</v>
      </c>
      <c r="E396" s="23" t="n">
        <v>43418</v>
      </c>
      <c r="F396" s="22" t="inlineStr">
        <is>
          <t>TRT141118T19</t>
        </is>
      </c>
      <c r="G396" s="8" t="n">
        <v>130000</v>
      </c>
      <c r="H396" s="8" t="n">
        <v>50000</v>
      </c>
      <c r="I396" s="24" t="n">
        <v>49843</v>
      </c>
      <c r="J396" s="24" t="n">
        <v>9.300000000000001</v>
      </c>
      <c r="K396" s="24" t="n">
        <v>9.300000000000001</v>
      </c>
      <c r="L396" s="24" t="n">
        <v>9.300000000000001</v>
      </c>
      <c r="M396" s="24" t="n">
        <v>9.52</v>
      </c>
      <c r="N396" s="24" t="n">
        <v>9.52</v>
      </c>
      <c r="O396" s="24" t="n">
        <v>9.52</v>
      </c>
    </row>
    <row r="397">
      <c r="A397" s="11" t="n">
        <v>2127</v>
      </c>
      <c r="B397" s="3" t="n">
        <v>42193</v>
      </c>
      <c r="C397" s="25" t="inlineStr">
        <is>
          <t>GELENEKSEL</t>
        </is>
      </c>
      <c r="D397" s="3" t="n">
        <v>42194</v>
      </c>
      <c r="E397" s="3" t="n">
        <v>43656</v>
      </c>
      <c r="F397" s="25"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3" t="n">
        <v>42193</v>
      </c>
      <c r="C398" s="22" t="inlineStr">
        <is>
          <t>GELENEKSEL</t>
        </is>
      </c>
      <c r="D398" s="23" t="n">
        <v>42194</v>
      </c>
      <c r="E398" s="23" t="n">
        <v>43418</v>
      </c>
      <c r="F398" s="22" t="inlineStr">
        <is>
          <t>TRT141118T19</t>
        </is>
      </c>
      <c r="G398" s="8" t="n">
        <v>110000</v>
      </c>
      <c r="H398" s="8" t="n">
        <v>50000</v>
      </c>
      <c r="I398" s="24" t="n">
        <v>49885.8</v>
      </c>
      <c r="J398" s="24" t="n">
        <v>9.27</v>
      </c>
      <c r="K398" s="24" t="n">
        <v>9.300000000000001</v>
      </c>
      <c r="L398" s="24" t="n">
        <v>9.33</v>
      </c>
      <c r="M398" s="24" t="n">
        <v>9.48</v>
      </c>
      <c r="N398" s="24" t="n">
        <v>9.52</v>
      </c>
      <c r="O398" s="24" t="n">
        <v>9.550000000000001</v>
      </c>
    </row>
    <row r="399">
      <c r="A399" s="11" t="n">
        <v>2129</v>
      </c>
      <c r="B399" s="3" t="n">
        <v>42195</v>
      </c>
      <c r="C399" s="25" t="inlineStr">
        <is>
          <t>GELENEKSEL</t>
        </is>
      </c>
      <c r="D399" s="3" t="n">
        <v>42198</v>
      </c>
      <c r="E399" s="3" t="n">
        <v>43656</v>
      </c>
      <c r="F399" s="25"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3" t="n">
        <v>42195</v>
      </c>
      <c r="C400" s="22" t="inlineStr">
        <is>
          <t>GELENEKSEL</t>
        </is>
      </c>
      <c r="D400" s="23" t="n">
        <v>42198</v>
      </c>
      <c r="E400" s="23" t="n">
        <v>43418</v>
      </c>
      <c r="F400" s="22" t="inlineStr">
        <is>
          <t>TRT141118T19</t>
        </is>
      </c>
      <c r="G400" s="8" t="n">
        <v>75000</v>
      </c>
      <c r="H400" s="8" t="n">
        <v>25000</v>
      </c>
      <c r="I400" s="24" t="n">
        <v>25011.5</v>
      </c>
      <c r="J400" s="24" t="n">
        <v>9.220000000000001</v>
      </c>
      <c r="K400" s="24" t="n">
        <v>9.24</v>
      </c>
      <c r="L400" s="24" t="n">
        <v>9.25</v>
      </c>
      <c r="M400" s="24" t="n">
        <v>9.43</v>
      </c>
      <c r="N400" s="24" t="n">
        <v>9.449999999999999</v>
      </c>
      <c r="O400" s="24" t="n">
        <v>9.470000000000001</v>
      </c>
    </row>
    <row r="401">
      <c r="A401" s="11" t="n">
        <v>2131</v>
      </c>
      <c r="B401" s="3" t="n">
        <v>42221</v>
      </c>
      <c r="C401" s="25" t="inlineStr">
        <is>
          <t>GELENEKSEL</t>
        </is>
      </c>
      <c r="D401" s="3" t="n">
        <v>42222</v>
      </c>
      <c r="E401" s="3" t="n">
        <v>43866</v>
      </c>
      <c r="F401" s="25"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3" t="n">
        <v>42221</v>
      </c>
      <c r="C402" s="22" t="inlineStr">
        <is>
          <t>GELENEKSEL</t>
        </is>
      </c>
      <c r="D402" s="23" t="n">
        <v>42222</v>
      </c>
      <c r="E402" s="23" t="n">
        <v>43656</v>
      </c>
      <c r="F402" s="22" t="inlineStr">
        <is>
          <t>TRT100719T18</t>
        </is>
      </c>
      <c r="G402" s="8" t="n">
        <v>75000</v>
      </c>
      <c r="H402" s="8" t="n">
        <v>25000</v>
      </c>
      <c r="I402" s="24" t="n">
        <v>24327.65</v>
      </c>
      <c r="J402" s="24" t="n">
        <v>9.48</v>
      </c>
      <c r="K402" s="24" t="n">
        <v>9.48</v>
      </c>
      <c r="L402" s="24" t="n">
        <v>9.5</v>
      </c>
      <c r="M402" s="24" t="n">
        <v>9.710000000000001</v>
      </c>
      <c r="N402" s="24" t="n">
        <v>9.710000000000001</v>
      </c>
      <c r="O402" s="24" t="n">
        <v>9.73</v>
      </c>
    </row>
    <row r="403">
      <c r="A403" s="11" t="n">
        <v>2133</v>
      </c>
      <c r="B403" s="3" t="n">
        <v>42221</v>
      </c>
      <c r="C403" s="25" t="inlineStr">
        <is>
          <t>GELENEKSEL</t>
        </is>
      </c>
      <c r="D403" s="3" t="n">
        <v>42222</v>
      </c>
      <c r="E403" s="3" t="n">
        <v>42781</v>
      </c>
      <c r="F403" s="25"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3" t="n">
        <v>42223</v>
      </c>
      <c r="C404" s="22" t="inlineStr">
        <is>
          <t>GELENEKSEL</t>
        </is>
      </c>
      <c r="D404" s="23" t="n">
        <v>42226</v>
      </c>
      <c r="E404" s="23" t="n">
        <v>43866</v>
      </c>
      <c r="F404" s="22" t="inlineStr">
        <is>
          <t>TRT050220T17</t>
        </is>
      </c>
      <c r="G404" s="8" t="n">
        <v>120000</v>
      </c>
      <c r="H404" s="8" t="n">
        <v>25000</v>
      </c>
      <c r="I404" s="24" t="n">
        <v>23990.45</v>
      </c>
      <c r="J404" s="24" t="n">
        <v>9.52</v>
      </c>
      <c r="K404" s="24" t="n">
        <v>9.539999999999999</v>
      </c>
      <c r="L404" s="24" t="n">
        <v>9.539999999999999</v>
      </c>
      <c r="M404" s="24" t="n">
        <v>9.75</v>
      </c>
      <c r="N404" s="24" t="n">
        <v>9.77</v>
      </c>
      <c r="O404" s="24" t="n">
        <v>9.77</v>
      </c>
    </row>
    <row r="405">
      <c r="A405" s="11" t="n">
        <v>2135</v>
      </c>
      <c r="B405" s="3" t="n">
        <v>42223</v>
      </c>
      <c r="C405" s="25" t="inlineStr">
        <is>
          <t>GELENEKSEL</t>
        </is>
      </c>
      <c r="D405" s="3" t="n">
        <v>42226</v>
      </c>
      <c r="E405" s="3" t="n">
        <v>43656</v>
      </c>
      <c r="F405" s="25"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3" t="n">
        <v>42223</v>
      </c>
      <c r="C406" s="22" t="inlineStr">
        <is>
          <t>GELENEKSEL</t>
        </is>
      </c>
      <c r="D406" s="23" t="n">
        <v>42226</v>
      </c>
      <c r="E406" s="23" t="n">
        <v>42781</v>
      </c>
      <c r="F406" s="22" t="inlineStr">
        <is>
          <t>TRD150217T18</t>
        </is>
      </c>
      <c r="G406" s="8" t="n">
        <v>20000</v>
      </c>
      <c r="H406" s="8" t="n">
        <v>8000</v>
      </c>
      <c r="I406" s="24" t="n">
        <v>8452.540000000001</v>
      </c>
      <c r="J406" s="24" t="n">
        <v>6.39</v>
      </c>
      <c r="K406" s="24" t="n">
        <v>6.42</v>
      </c>
      <c r="L406" s="24" t="n">
        <v>6.46</v>
      </c>
      <c r="M406" s="24" t="n">
        <v>6.5</v>
      </c>
      <c r="N406" s="24" t="n">
        <v>6.53</v>
      </c>
      <c r="O406" s="24" t="n">
        <v>6.56</v>
      </c>
    </row>
    <row r="407">
      <c r="A407" s="11" t="n">
        <v>2137</v>
      </c>
      <c r="B407" s="3" t="n">
        <v>42228</v>
      </c>
      <c r="C407" s="25" t="inlineStr">
        <is>
          <t>GELENEKSEL</t>
        </is>
      </c>
      <c r="D407" s="3" t="n">
        <v>42229</v>
      </c>
      <c r="E407" s="3" t="n">
        <v>43866</v>
      </c>
      <c r="F407" s="25"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3" t="n">
        <v>42228</v>
      </c>
      <c r="C408" s="22" t="inlineStr">
        <is>
          <t>GELENEKSEL</t>
        </is>
      </c>
      <c r="D408" s="23" t="n">
        <v>42229</v>
      </c>
      <c r="E408" s="23" t="n">
        <v>43418</v>
      </c>
      <c r="F408" s="22" t="inlineStr">
        <is>
          <t>TRT141118T19</t>
        </is>
      </c>
      <c r="G408" s="8" t="n">
        <v>150000</v>
      </c>
      <c r="H408" s="8" t="n">
        <v>50000</v>
      </c>
      <c r="I408" s="24" t="n">
        <v>49902.5</v>
      </c>
      <c r="J408" s="24" t="n">
        <v>9.609999999999999</v>
      </c>
      <c r="K408" s="24" t="n">
        <v>9.609999999999999</v>
      </c>
      <c r="L408" s="24" t="n">
        <v>9.609999999999999</v>
      </c>
      <c r="M408" s="24" t="n">
        <v>9.84</v>
      </c>
      <c r="N408" s="24" t="n">
        <v>9.84</v>
      </c>
      <c r="O408" s="24" t="n">
        <v>9.84</v>
      </c>
    </row>
    <row r="409">
      <c r="A409" s="11" t="n">
        <v>2139</v>
      </c>
      <c r="B409" s="3" t="n">
        <v>42230</v>
      </c>
      <c r="C409" s="25" t="inlineStr">
        <is>
          <t>GELENEKSEL</t>
        </is>
      </c>
      <c r="D409" s="3" t="n">
        <v>42233</v>
      </c>
      <c r="E409" s="3" t="n">
        <v>43866</v>
      </c>
      <c r="F409" s="25"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3" t="n">
        <v>42230</v>
      </c>
      <c r="C410" s="22" t="inlineStr">
        <is>
          <t>GELENEKSEL</t>
        </is>
      </c>
      <c r="D410" s="23" t="n">
        <v>42233</v>
      </c>
      <c r="E410" s="23" t="n">
        <v>43418</v>
      </c>
      <c r="F410" s="22" t="inlineStr">
        <is>
          <t>TRT141118T19</t>
        </is>
      </c>
      <c r="G410" s="8" t="n">
        <v>153000</v>
      </c>
      <c r="H410" s="8" t="n">
        <v>50000</v>
      </c>
      <c r="I410" s="24" t="n">
        <v>49826</v>
      </c>
      <c r="J410" s="24" t="n">
        <v>9.710000000000001</v>
      </c>
      <c r="K410" s="24" t="n">
        <v>9.710000000000001</v>
      </c>
      <c r="L410" s="24" t="n">
        <v>9.710000000000001</v>
      </c>
      <c r="M410" s="24" t="n">
        <v>9.94</v>
      </c>
      <c r="N410" s="24" t="n">
        <v>9.94</v>
      </c>
      <c r="O410" s="24" t="n">
        <v>9.94</v>
      </c>
    </row>
    <row r="411">
      <c r="A411" s="11" t="n">
        <v>2141</v>
      </c>
      <c r="B411" s="3" t="n">
        <v>42249</v>
      </c>
      <c r="C411" s="25" t="inlineStr">
        <is>
          <t>GELENEKSEL</t>
        </is>
      </c>
      <c r="D411" s="3" t="n">
        <v>42250</v>
      </c>
      <c r="E411" s="3" t="n">
        <v>43866</v>
      </c>
      <c r="F411" s="25"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3" t="n">
        <v>42249</v>
      </c>
      <c r="C412" s="22" t="inlineStr">
        <is>
          <t>GELENEKSEL</t>
        </is>
      </c>
      <c r="D412" s="23" t="n">
        <v>42250</v>
      </c>
      <c r="E412" s="23" t="n">
        <v>42690</v>
      </c>
      <c r="F412" s="22" t="inlineStr">
        <is>
          <t>TRT161116T19</t>
        </is>
      </c>
      <c r="G412" s="8" t="n">
        <v>104000</v>
      </c>
      <c r="H412" s="8" t="n">
        <v>25000</v>
      </c>
      <c r="I412" s="24" t="n">
        <v>24902</v>
      </c>
      <c r="J412" s="24" t="n">
        <v>10.7</v>
      </c>
      <c r="K412" s="24" t="n">
        <v>10.7</v>
      </c>
      <c r="L412" s="24" t="n">
        <v>10.7</v>
      </c>
      <c r="M412" s="24" t="n">
        <v>10.99</v>
      </c>
      <c r="N412" s="24" t="n">
        <v>10.99</v>
      </c>
      <c r="O412" s="24" t="n">
        <v>10.99</v>
      </c>
    </row>
    <row r="413">
      <c r="A413" s="11" t="n">
        <v>2143</v>
      </c>
      <c r="B413" s="3" t="n">
        <v>42249</v>
      </c>
      <c r="C413" s="25" t="inlineStr">
        <is>
          <t>GELENEKSEL</t>
        </is>
      </c>
      <c r="D413" s="3" t="n">
        <v>42250</v>
      </c>
      <c r="E413" s="3" t="n">
        <v>42963</v>
      </c>
      <c r="F413" s="25"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3" t="n">
        <v>42251</v>
      </c>
      <c r="C414" s="22" t="inlineStr">
        <is>
          <t>GELENEKSEL</t>
        </is>
      </c>
      <c r="D414" s="23" t="n">
        <v>42254</v>
      </c>
      <c r="E414" s="23" t="n">
        <v>43866</v>
      </c>
      <c r="F414" s="22" t="inlineStr">
        <is>
          <t>TRT050220T17</t>
        </is>
      </c>
      <c r="G414" s="8" t="n">
        <v>155000</v>
      </c>
      <c r="H414" s="8" t="n">
        <v>25000</v>
      </c>
      <c r="I414" s="24" t="n">
        <v>22467.5</v>
      </c>
      <c r="J414" s="24" t="n">
        <v>10.46</v>
      </c>
      <c r="K414" s="24" t="n">
        <v>10.46</v>
      </c>
      <c r="L414" s="24" t="n">
        <v>10.46</v>
      </c>
      <c r="M414" s="24" t="n">
        <v>10.74</v>
      </c>
      <c r="N414" s="24" t="n">
        <v>10.74</v>
      </c>
      <c r="O414" s="24" t="n">
        <v>10.74</v>
      </c>
    </row>
    <row r="415">
      <c r="A415" s="11" t="n">
        <v>2145</v>
      </c>
      <c r="B415" s="3" t="n">
        <v>42251</v>
      </c>
      <c r="C415" s="25" t="inlineStr">
        <is>
          <t>GELENEKSEL</t>
        </is>
      </c>
      <c r="D415" s="3" t="n">
        <v>42254</v>
      </c>
      <c r="E415" s="3" t="n">
        <v>42690</v>
      </c>
      <c r="F415" s="25"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3" t="n">
        <v>42251</v>
      </c>
      <c r="C416" s="22" t="inlineStr">
        <is>
          <t>GELENEKSEL</t>
        </is>
      </c>
      <c r="D416" s="23" t="n">
        <v>42254</v>
      </c>
      <c r="E416" s="23" t="n">
        <v>42963</v>
      </c>
      <c r="F416" s="22" t="inlineStr">
        <is>
          <t>TRD160817T11</t>
        </is>
      </c>
      <c r="G416" s="8" t="n">
        <v>29000</v>
      </c>
      <c r="H416" s="8" t="n">
        <v>15000</v>
      </c>
      <c r="I416" s="24" t="n">
        <v>15529.2</v>
      </c>
      <c r="J416" s="24" t="n">
        <v>8.050000000000001</v>
      </c>
      <c r="K416" s="24" t="n">
        <v>8.24</v>
      </c>
      <c r="L416" s="24" t="n">
        <v>8.49</v>
      </c>
      <c r="M416" s="24" t="n">
        <v>8.220000000000001</v>
      </c>
      <c r="N416" s="24" t="n">
        <v>8.41</v>
      </c>
      <c r="O416" s="24" t="n">
        <v>8.67</v>
      </c>
    </row>
    <row r="417">
      <c r="A417" s="11" t="n">
        <v>2147</v>
      </c>
      <c r="B417" s="3" t="n">
        <v>42256</v>
      </c>
      <c r="C417" s="25" t="inlineStr">
        <is>
          <t>GELENEKSEL</t>
        </is>
      </c>
      <c r="D417" s="3" t="n">
        <v>42257</v>
      </c>
      <c r="E417" s="3" t="n">
        <v>43866</v>
      </c>
      <c r="F417" s="25"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3" t="n">
        <v>42256</v>
      </c>
      <c r="C418" s="22" t="inlineStr">
        <is>
          <t>GELENEKSEL</t>
        </is>
      </c>
      <c r="D418" s="23" t="n">
        <v>42257</v>
      </c>
      <c r="E418" s="23" t="n">
        <v>42690</v>
      </c>
      <c r="F418" s="22" t="inlineStr">
        <is>
          <t>TRT161116T19</t>
        </is>
      </c>
      <c r="G418" s="8" t="n">
        <v>25000</v>
      </c>
      <c r="H418" s="8" t="n">
        <v>25000</v>
      </c>
      <c r="I418" s="24" t="n">
        <v>24847.75</v>
      </c>
      <c r="J418" s="24" t="n">
        <v>11.07</v>
      </c>
      <c r="K418" s="24" t="n">
        <v>11.07</v>
      </c>
      <c r="L418" s="24" t="n">
        <v>11.07</v>
      </c>
      <c r="M418" s="24" t="n">
        <v>11.38</v>
      </c>
      <c r="N418" s="24" t="n">
        <v>11.38</v>
      </c>
      <c r="O418" s="24" t="n">
        <v>11.38</v>
      </c>
    </row>
    <row r="419">
      <c r="A419" s="11" t="n">
        <v>2149</v>
      </c>
      <c r="B419" s="3" t="n">
        <v>42256</v>
      </c>
      <c r="C419" s="25" t="inlineStr">
        <is>
          <t>GELENEKSEL</t>
        </is>
      </c>
      <c r="D419" s="3" t="n">
        <v>42257</v>
      </c>
      <c r="E419" s="3" t="n">
        <v>42963</v>
      </c>
      <c r="F419" s="25"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3" t="n">
        <v>42258</v>
      </c>
      <c r="C420" s="22" t="inlineStr">
        <is>
          <t>GELENEKSEL</t>
        </is>
      </c>
      <c r="D420" s="23" t="n">
        <v>42261</v>
      </c>
      <c r="E420" s="23" t="n">
        <v>43866</v>
      </c>
      <c r="F420" s="22" t="inlineStr">
        <is>
          <t>TRT050220T17</t>
        </is>
      </c>
      <c r="G420" s="8" t="n">
        <v>100000</v>
      </c>
      <c r="H420" s="8" t="n">
        <v>25000</v>
      </c>
      <c r="I420" s="24" t="n">
        <v>22310.75</v>
      </c>
      <c r="J420" s="24" t="n">
        <v>10.71</v>
      </c>
      <c r="K420" s="24" t="n">
        <v>10.71</v>
      </c>
      <c r="L420" s="24" t="n">
        <v>10.71</v>
      </c>
      <c r="M420" s="24" t="n">
        <v>11</v>
      </c>
      <c r="N420" s="24" t="n">
        <v>11</v>
      </c>
      <c r="O420" s="24" t="n">
        <v>11</v>
      </c>
    </row>
    <row r="421">
      <c r="A421" s="11" t="n">
        <v>2151</v>
      </c>
      <c r="B421" s="3" t="n">
        <v>42258</v>
      </c>
      <c r="C421" s="25" t="inlineStr">
        <is>
          <t>GELENEKSEL</t>
        </is>
      </c>
      <c r="D421" s="3" t="n">
        <v>42261</v>
      </c>
      <c r="E421" s="3" t="n">
        <v>42690</v>
      </c>
      <c r="F421" s="25"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3" t="n">
        <v>42279</v>
      </c>
      <c r="C422" s="22" t="inlineStr">
        <is>
          <t>GELENEKSEL</t>
        </is>
      </c>
      <c r="D422" s="23" t="n">
        <v>42282</v>
      </c>
      <c r="E422" s="23" t="n">
        <v>43866</v>
      </c>
      <c r="F422" s="22" t="inlineStr">
        <is>
          <t>TRT050220T17</t>
        </is>
      </c>
      <c r="G422" s="8" t="n">
        <v>75000</v>
      </c>
      <c r="H422" s="8" t="n">
        <v>25000</v>
      </c>
      <c r="I422" s="24" t="n">
        <v>22387.65</v>
      </c>
      <c r="J422" s="24" t="n">
        <v>10.77</v>
      </c>
      <c r="K422" s="24" t="n">
        <v>10.79</v>
      </c>
      <c r="L422" s="24" t="n">
        <v>10.81</v>
      </c>
      <c r="M422" s="24" t="n">
        <v>11.07</v>
      </c>
      <c r="N422" s="24" t="n">
        <v>11.08</v>
      </c>
      <c r="O422" s="24" t="n">
        <v>11.1</v>
      </c>
    </row>
    <row r="423">
      <c r="A423" s="11" t="n">
        <v>2153</v>
      </c>
      <c r="B423" s="3" t="n">
        <v>42279</v>
      </c>
      <c r="C423" s="25" t="inlineStr">
        <is>
          <t>GELENEKSEL</t>
        </is>
      </c>
      <c r="D423" s="3" t="n">
        <v>42282</v>
      </c>
      <c r="E423" s="3" t="n">
        <v>42690</v>
      </c>
      <c r="F423" s="25"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3" t="n">
        <v>42279</v>
      </c>
      <c r="C424" s="22" t="inlineStr">
        <is>
          <t>GELENEKSEL</t>
        </is>
      </c>
      <c r="D424" s="23" t="n">
        <v>42282</v>
      </c>
      <c r="E424" s="23" t="n">
        <v>42963</v>
      </c>
      <c r="F424" s="22" t="inlineStr">
        <is>
          <t>TRD160817T11</t>
        </is>
      </c>
      <c r="G424" s="8" t="n">
        <v>26000</v>
      </c>
      <c r="H424" s="8" t="n">
        <v>25000</v>
      </c>
      <c r="I424" s="24" t="n">
        <v>26279.4</v>
      </c>
      <c r="J424" s="24" t="n">
        <v>7.62</v>
      </c>
      <c r="K424" s="24" t="n">
        <v>7.71</v>
      </c>
      <c r="L424" s="24" t="n">
        <v>7.83</v>
      </c>
      <c r="M424" s="24" t="n">
        <v>7.76</v>
      </c>
      <c r="N424" s="24" t="n">
        <v>7.86</v>
      </c>
      <c r="O424" s="24" t="n">
        <v>7.99</v>
      </c>
    </row>
    <row r="425">
      <c r="A425" s="11" t="n">
        <v>2155</v>
      </c>
      <c r="B425" s="3" t="n">
        <v>42284</v>
      </c>
      <c r="C425" s="25" t="inlineStr">
        <is>
          <t>GELENEKSEL</t>
        </is>
      </c>
      <c r="D425" s="3" t="n">
        <v>42285</v>
      </c>
      <c r="E425" s="3" t="n">
        <v>43866</v>
      </c>
      <c r="F425" s="25"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3" t="n">
        <v>42284</v>
      </c>
      <c r="C426" s="22" t="inlineStr">
        <is>
          <t>GELENEKSEL</t>
        </is>
      </c>
      <c r="D426" s="23" t="n">
        <v>42285</v>
      </c>
      <c r="E426" s="23" t="n">
        <v>42690</v>
      </c>
      <c r="F426" s="22" t="inlineStr">
        <is>
          <t>TRT161116T19</t>
        </is>
      </c>
      <c r="G426" s="8" t="n">
        <v>50000</v>
      </c>
      <c r="H426" s="8" t="n">
        <v>25000</v>
      </c>
      <c r="I426" s="24" t="n">
        <v>25186.5</v>
      </c>
      <c r="J426" s="24" t="n">
        <v>10.57</v>
      </c>
      <c r="K426" s="24" t="n">
        <v>10.57</v>
      </c>
      <c r="L426" s="24" t="n">
        <v>10.57</v>
      </c>
      <c r="M426" s="24" t="n">
        <v>10.85</v>
      </c>
      <c r="N426" s="24" t="n">
        <v>10.85</v>
      </c>
      <c r="O426" s="24" t="n">
        <v>10.85</v>
      </c>
    </row>
    <row r="427">
      <c r="A427" s="11" t="n">
        <v>2157</v>
      </c>
      <c r="B427" s="3" t="n">
        <v>42284</v>
      </c>
      <c r="C427" s="25" t="inlineStr">
        <is>
          <t>GELENEKSEL</t>
        </is>
      </c>
      <c r="D427" s="3" t="n">
        <v>42285</v>
      </c>
      <c r="E427" s="3" t="n">
        <v>42963</v>
      </c>
      <c r="F427" s="25"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3" t="n">
        <v>42286</v>
      </c>
      <c r="C428" s="22" t="inlineStr">
        <is>
          <t>GELENEKSEL</t>
        </is>
      </c>
      <c r="D428" s="23" t="n">
        <v>42289</v>
      </c>
      <c r="E428" s="23" t="n">
        <v>43866</v>
      </c>
      <c r="F428" s="22" t="inlineStr">
        <is>
          <t>TRT050220T17</t>
        </is>
      </c>
      <c r="G428" s="8" t="n">
        <v>195000</v>
      </c>
      <c r="H428" s="8" t="n">
        <v>50000</v>
      </c>
      <c r="I428" s="24" t="n">
        <v>45917</v>
      </c>
      <c r="J428" s="24" t="n">
        <v>10.13</v>
      </c>
      <c r="K428" s="24" t="n">
        <v>10.13</v>
      </c>
      <c r="L428" s="24" t="n">
        <v>10.13</v>
      </c>
      <c r="M428" s="24" t="n">
        <v>10.39</v>
      </c>
      <c r="N428" s="24" t="n">
        <v>10.39</v>
      </c>
      <c r="O428" s="24" t="n">
        <v>10.39</v>
      </c>
    </row>
    <row r="429">
      <c r="A429" s="11" t="n">
        <v>2159</v>
      </c>
      <c r="B429" s="3" t="n">
        <v>42286</v>
      </c>
      <c r="C429" s="25" t="inlineStr">
        <is>
          <t>GELENEKSEL</t>
        </is>
      </c>
      <c r="D429" s="3" t="n">
        <v>42289</v>
      </c>
      <c r="E429" s="3" t="n">
        <v>42690</v>
      </c>
      <c r="F429" s="25"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3" t="n">
        <v>42293</v>
      </c>
      <c r="C430" s="22" t="inlineStr">
        <is>
          <t>GELENEKSEL</t>
        </is>
      </c>
      <c r="D430" s="23" t="n">
        <v>42296</v>
      </c>
      <c r="E430" s="23" t="n">
        <v>43866</v>
      </c>
      <c r="F430" s="22" t="inlineStr">
        <is>
          <t>TRT050220T17</t>
        </is>
      </c>
      <c r="G430" s="8" t="n">
        <v>390000</v>
      </c>
      <c r="H430" s="8" t="n">
        <v>53000</v>
      </c>
      <c r="I430" s="24" t="n">
        <v>49065.94</v>
      </c>
      <c r="J430" s="24" t="n">
        <v>9.949999999999999</v>
      </c>
      <c r="K430" s="24" t="n">
        <v>9.949999999999999</v>
      </c>
      <c r="L430" s="24" t="n">
        <v>9.960000000000001</v>
      </c>
      <c r="M430" s="24" t="n">
        <v>10.19</v>
      </c>
      <c r="N430" s="24" t="n">
        <v>10.2</v>
      </c>
      <c r="O430" s="24" t="n">
        <v>10.21</v>
      </c>
    </row>
    <row r="431">
      <c r="A431" s="11" t="n">
        <v>2161</v>
      </c>
      <c r="B431" s="3" t="n">
        <v>42375</v>
      </c>
      <c r="C431" s="25" t="inlineStr">
        <is>
          <t>GELENEKSEL</t>
        </is>
      </c>
      <c r="D431" s="3" t="n">
        <v>42376</v>
      </c>
      <c r="E431" s="3" t="n">
        <v>43845</v>
      </c>
      <c r="F431" s="25"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3" t="n">
        <v>42375</v>
      </c>
      <c r="C432" s="22" t="inlineStr">
        <is>
          <t>GELENEKSEL</t>
        </is>
      </c>
      <c r="D432" s="23" t="n">
        <v>42376</v>
      </c>
      <c r="E432" s="23" t="n">
        <v>43866</v>
      </c>
      <c r="F432" s="22" t="inlineStr">
        <is>
          <t>TRT050220T17</t>
        </is>
      </c>
      <c r="G432" s="8" t="n">
        <v>85000</v>
      </c>
      <c r="H432" s="8" t="n">
        <v>25000</v>
      </c>
      <c r="I432" s="24" t="n">
        <v>22809.5</v>
      </c>
      <c r="J432" s="24" t="n">
        <v>11.02</v>
      </c>
      <c r="K432" s="24" t="n">
        <v>11.04</v>
      </c>
      <c r="L432" s="24" t="n">
        <v>11.06</v>
      </c>
      <c r="M432" s="24" t="n">
        <v>11.33</v>
      </c>
      <c r="N432" s="24" t="n">
        <v>11.35</v>
      </c>
      <c r="O432" s="24" t="n">
        <v>11.36</v>
      </c>
    </row>
    <row r="433">
      <c r="A433" s="11" t="n">
        <v>2163</v>
      </c>
      <c r="B433" s="3" t="n">
        <v>42377</v>
      </c>
      <c r="C433" s="25" t="inlineStr">
        <is>
          <t>GELENEKSEL</t>
        </is>
      </c>
      <c r="D433" s="3" t="n">
        <v>42380</v>
      </c>
      <c r="E433" s="3" t="n">
        <v>43866</v>
      </c>
      <c r="F433" s="25"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3" t="n">
        <v>42377</v>
      </c>
      <c r="C434" s="22" t="inlineStr">
        <is>
          <t>GELENEKSEL</t>
        </is>
      </c>
      <c r="D434" s="23" t="n">
        <v>42380</v>
      </c>
      <c r="E434" s="23" t="n">
        <v>43418</v>
      </c>
      <c r="F434" s="22" t="inlineStr">
        <is>
          <t>TRT141118T19</t>
        </is>
      </c>
      <c r="G434" s="8" t="n">
        <v>35000</v>
      </c>
      <c r="H434" s="8" t="n">
        <v>25000</v>
      </c>
      <c r="I434" s="24" t="n">
        <v>24088.25</v>
      </c>
      <c r="J434" s="24" t="n">
        <v>10.82</v>
      </c>
      <c r="K434" s="24" t="n">
        <v>10.86</v>
      </c>
      <c r="L434" s="24" t="n">
        <v>10.88</v>
      </c>
      <c r="M434" s="24" t="n">
        <v>11.11</v>
      </c>
      <c r="N434" s="24" t="n">
        <v>11.16</v>
      </c>
      <c r="O434" s="24" t="n">
        <v>11.17</v>
      </c>
    </row>
    <row r="435">
      <c r="A435" s="11" t="n">
        <v>2165</v>
      </c>
      <c r="B435" s="3" t="n">
        <v>42382</v>
      </c>
      <c r="C435" s="25" t="inlineStr">
        <is>
          <t>GELENEKSEL</t>
        </is>
      </c>
      <c r="D435" s="3" t="n">
        <v>42383</v>
      </c>
      <c r="E435" s="3" t="n">
        <v>43866</v>
      </c>
      <c r="F435" s="25"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3" t="n">
        <v>42403</v>
      </c>
      <c r="C436" s="22" t="inlineStr">
        <is>
          <t>GELENEKSEL</t>
        </is>
      </c>
      <c r="D436" s="23" t="n">
        <v>42404</v>
      </c>
      <c r="E436" s="23" t="n">
        <v>43866</v>
      </c>
      <c r="F436" s="22" t="inlineStr">
        <is>
          <t>TRT050220T17</t>
        </is>
      </c>
      <c r="G436" s="8" t="n">
        <v>130000</v>
      </c>
      <c r="H436" s="8" t="n">
        <v>50000</v>
      </c>
      <c r="I436" s="24" t="n">
        <v>46906.2</v>
      </c>
      <c r="J436" s="24" t="n">
        <v>10.43</v>
      </c>
      <c r="K436" s="24" t="n">
        <v>10.43</v>
      </c>
      <c r="L436" s="24" t="n">
        <v>10.45</v>
      </c>
      <c r="M436" s="24" t="n">
        <v>10.7</v>
      </c>
      <c r="N436" s="24" t="n">
        <v>10.7</v>
      </c>
      <c r="O436" s="24" t="n">
        <v>10.72</v>
      </c>
    </row>
    <row r="437">
      <c r="A437" s="11" t="n">
        <v>2167</v>
      </c>
      <c r="B437" s="3" t="n">
        <v>42405</v>
      </c>
      <c r="C437" s="25" t="inlineStr">
        <is>
          <t>GELENEKSEL</t>
        </is>
      </c>
      <c r="D437" s="3" t="n">
        <v>42408</v>
      </c>
      <c r="E437" s="3" t="n">
        <v>43866</v>
      </c>
      <c r="F437" s="25"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3" t="n">
        <v>42410</v>
      </c>
      <c r="C438" s="22" t="inlineStr">
        <is>
          <t>GELENEKSEL</t>
        </is>
      </c>
      <c r="D438" s="23" t="n">
        <v>42411</v>
      </c>
      <c r="E438" s="23" t="n">
        <v>43866</v>
      </c>
      <c r="F438" s="22" t="inlineStr">
        <is>
          <t>TRT050220T17</t>
        </is>
      </c>
      <c r="G438" s="8" t="n">
        <v>220000</v>
      </c>
      <c r="H438" s="8" t="n">
        <v>50000</v>
      </c>
      <c r="I438" s="24" t="n">
        <v>45132</v>
      </c>
      <c r="J438" s="24" t="n">
        <v>10.45</v>
      </c>
      <c r="K438" s="24" t="n">
        <v>10.45</v>
      </c>
      <c r="L438" s="24" t="n">
        <v>10.45</v>
      </c>
      <c r="M438" s="24" t="n">
        <v>10.72</v>
      </c>
      <c r="N438" s="24" t="n">
        <v>10.72</v>
      </c>
      <c r="O438" s="24" t="n">
        <v>10.72</v>
      </c>
    </row>
    <row r="439">
      <c r="A439" s="11" t="n">
        <v>2169</v>
      </c>
      <c r="B439" s="3" t="n">
        <v>42431</v>
      </c>
      <c r="C439" s="25" t="inlineStr">
        <is>
          <t>GELENEKSEL</t>
        </is>
      </c>
      <c r="D439" s="3" t="n">
        <v>42432</v>
      </c>
      <c r="E439" s="3" t="n">
        <v>43845</v>
      </c>
      <c r="F439" s="25"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3" t="n">
        <v>42431</v>
      </c>
      <c r="C440" s="22" t="inlineStr">
        <is>
          <t>GELENEKSEL</t>
        </is>
      </c>
      <c r="D440" s="23" t="n">
        <v>42432</v>
      </c>
      <c r="E440" s="23" t="n">
        <v>43866</v>
      </c>
      <c r="F440" s="22" t="inlineStr">
        <is>
          <t>TRT050220T17</t>
        </is>
      </c>
      <c r="G440" s="8" t="n">
        <v>120000</v>
      </c>
      <c r="H440" s="8" t="n">
        <v>50000</v>
      </c>
      <c r="I440" s="24" t="n">
        <v>45594.7</v>
      </c>
      <c r="J440" s="24" t="n">
        <v>10.32</v>
      </c>
      <c r="K440" s="24" t="n">
        <v>10.32</v>
      </c>
      <c r="L440" s="24" t="n">
        <v>10.32</v>
      </c>
      <c r="M440" s="24" t="n">
        <v>10.59</v>
      </c>
      <c r="N440" s="24" t="n">
        <v>10.59</v>
      </c>
      <c r="O440" s="24" t="n">
        <v>10.59</v>
      </c>
    </row>
    <row r="441">
      <c r="A441" s="11" t="n">
        <v>2171</v>
      </c>
      <c r="B441" s="3" t="n">
        <v>42433</v>
      </c>
      <c r="C441" s="25" t="inlineStr">
        <is>
          <t>GELENEKSEL</t>
        </is>
      </c>
      <c r="D441" s="3" t="n">
        <v>42436</v>
      </c>
      <c r="E441" s="3" t="n">
        <v>43845</v>
      </c>
      <c r="F441" s="25"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3" t="n">
        <v>42433</v>
      </c>
      <c r="C442" s="22" t="inlineStr">
        <is>
          <t>GELENEKSEL</t>
        </is>
      </c>
      <c r="D442" s="23" t="n">
        <v>42436</v>
      </c>
      <c r="E442" s="23" t="n">
        <v>43656</v>
      </c>
      <c r="F442" s="22" t="inlineStr">
        <is>
          <t>TRT100719T18</t>
        </is>
      </c>
      <c r="G442" s="8" t="n">
        <v>110000</v>
      </c>
      <c r="H442" s="8" t="n">
        <v>50000</v>
      </c>
      <c r="I442" s="24" t="n">
        <v>48413.45</v>
      </c>
      <c r="J442" s="24" t="n">
        <v>10.08</v>
      </c>
      <c r="K442" s="24" t="n">
        <v>10.08</v>
      </c>
      <c r="L442" s="24" t="n">
        <v>10.09</v>
      </c>
      <c r="M442" s="24" t="n">
        <v>10.33</v>
      </c>
      <c r="N442" s="24" t="n">
        <v>10.33</v>
      </c>
      <c r="O442" s="24" t="n">
        <v>10.35</v>
      </c>
    </row>
    <row r="443">
      <c r="A443" s="11" t="n">
        <v>2173</v>
      </c>
      <c r="B443" s="3" t="n">
        <v>42438</v>
      </c>
      <c r="C443" s="25" t="inlineStr">
        <is>
          <t>GELENEKSEL</t>
        </is>
      </c>
      <c r="D443" s="3" t="n">
        <v>42439</v>
      </c>
      <c r="E443" s="3" t="n">
        <v>43845</v>
      </c>
      <c r="F443" s="25"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3" t="n">
        <v>42438</v>
      </c>
      <c r="C444" s="22" t="inlineStr">
        <is>
          <t>GELENEKSEL</t>
        </is>
      </c>
      <c r="D444" s="23" t="n">
        <v>42439</v>
      </c>
      <c r="E444" s="23" t="n">
        <v>43551</v>
      </c>
      <c r="F444" s="22" t="inlineStr">
        <is>
          <t>TRT270319T13</t>
        </is>
      </c>
      <c r="G444" s="8" t="n">
        <v>110000</v>
      </c>
      <c r="H444" s="8" t="n">
        <v>50000</v>
      </c>
      <c r="I444" s="24" t="n">
        <v>52795.5</v>
      </c>
      <c r="J444" s="24" t="n">
        <v>10.01</v>
      </c>
      <c r="K444" s="24" t="n">
        <v>10.02</v>
      </c>
      <c r="L444" s="24" t="n">
        <v>10.04</v>
      </c>
      <c r="M444" s="24" t="n">
        <v>10.26</v>
      </c>
      <c r="N444" s="24" t="n">
        <v>10.28</v>
      </c>
      <c r="O444" s="24" t="n">
        <v>10.29</v>
      </c>
    </row>
    <row r="445">
      <c r="A445" s="11" t="n">
        <v>2175</v>
      </c>
      <c r="B445" s="3" t="n">
        <v>42466</v>
      </c>
      <c r="C445" s="25" t="inlineStr">
        <is>
          <t>GELENEKSEL</t>
        </is>
      </c>
      <c r="D445" s="3" t="n">
        <v>42467</v>
      </c>
      <c r="E445" s="3" t="n">
        <v>43866</v>
      </c>
      <c r="F445" s="25"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3" t="n">
        <v>42466</v>
      </c>
      <c r="C446" s="22" t="inlineStr">
        <is>
          <t>GELENEKSEL</t>
        </is>
      </c>
      <c r="D446" s="23" t="n">
        <v>42467</v>
      </c>
      <c r="E446" s="23" t="n">
        <v>43418</v>
      </c>
      <c r="F446" s="22" t="inlineStr">
        <is>
          <t>TRT141118T19</t>
        </is>
      </c>
      <c r="G446" s="8" t="n">
        <v>130000</v>
      </c>
      <c r="H446" s="8" t="n">
        <v>50000</v>
      </c>
      <c r="I446" s="24" t="n">
        <v>50764.3</v>
      </c>
      <c r="J446" s="24" t="n">
        <v>9.6</v>
      </c>
      <c r="K446" s="24" t="n">
        <v>9.609999999999999</v>
      </c>
      <c r="L446" s="24" t="n">
        <v>9.640000000000001</v>
      </c>
      <c r="M446" s="24" t="n">
        <v>9.83</v>
      </c>
      <c r="N446" s="24" t="n">
        <v>9.84</v>
      </c>
      <c r="O446" s="24" t="n">
        <v>9.880000000000001</v>
      </c>
    </row>
    <row r="447">
      <c r="A447" s="11" t="n">
        <v>2177</v>
      </c>
      <c r="B447" s="3" t="n">
        <v>42473</v>
      </c>
      <c r="C447" s="25" t="inlineStr">
        <is>
          <t>GELENEKSEL</t>
        </is>
      </c>
      <c r="D447" s="3" t="n">
        <v>42474</v>
      </c>
      <c r="E447" s="3" t="n">
        <v>43551</v>
      </c>
      <c r="F447" s="25"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3" t="n">
        <v>42473</v>
      </c>
      <c r="C448" s="22" t="inlineStr">
        <is>
          <t>GELENEKSEL</t>
        </is>
      </c>
      <c r="D448" s="23" t="n">
        <v>42474</v>
      </c>
      <c r="E448" s="23" t="n">
        <v>43866</v>
      </c>
      <c r="F448" s="22" t="inlineStr">
        <is>
          <t>TRT050220T17</t>
        </is>
      </c>
      <c r="G448" s="8" t="n">
        <v>222000</v>
      </c>
      <c r="H448" s="8" t="n">
        <v>50000</v>
      </c>
      <c r="I448" s="24" t="n">
        <v>47545.5</v>
      </c>
      <c r="J448" s="24" t="n">
        <v>9.369999999999999</v>
      </c>
      <c r="K448" s="24" t="n">
        <v>9.369999999999999</v>
      </c>
      <c r="L448" s="24" t="n">
        <v>9.369999999999999</v>
      </c>
      <c r="M448" s="24" t="n">
        <v>9.59</v>
      </c>
      <c r="N448" s="24" t="n">
        <v>9.59</v>
      </c>
      <c r="O448" s="24" t="n">
        <v>9.59</v>
      </c>
    </row>
    <row r="449">
      <c r="A449" s="11" t="n">
        <v>2179</v>
      </c>
      <c r="B449" s="3" t="n">
        <v>42475</v>
      </c>
      <c r="C449" s="25" t="inlineStr">
        <is>
          <t>GELENEKSEL</t>
        </is>
      </c>
      <c r="D449" s="3" t="n">
        <v>42478</v>
      </c>
      <c r="E449" s="3" t="n">
        <v>43866</v>
      </c>
      <c r="F449" s="25"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3" t="n">
        <v>42475</v>
      </c>
      <c r="C450" s="22" t="inlineStr">
        <is>
          <t>GELENEKSEL</t>
        </is>
      </c>
      <c r="D450" s="23" t="n">
        <v>42478</v>
      </c>
      <c r="E450" s="23" t="n">
        <v>43551</v>
      </c>
      <c r="F450" s="22" t="inlineStr">
        <is>
          <t>TRT270319T13</t>
        </is>
      </c>
      <c r="G450" s="8" t="n">
        <v>100000</v>
      </c>
      <c r="H450" s="8" t="n">
        <v>50000</v>
      </c>
      <c r="I450" s="24" t="n">
        <v>52007.6</v>
      </c>
      <c r="J450" s="24" t="n">
        <v>9.02</v>
      </c>
      <c r="K450" s="24" t="n">
        <v>9.02</v>
      </c>
      <c r="L450" s="24" t="n">
        <v>9.02</v>
      </c>
      <c r="M450" s="24" t="n">
        <v>9.23</v>
      </c>
      <c r="N450" s="24" t="n">
        <v>9.23</v>
      </c>
      <c r="O450" s="24" t="n">
        <v>9.23</v>
      </c>
    </row>
    <row r="451">
      <c r="A451" s="11" t="n">
        <v>2181</v>
      </c>
      <c r="B451" s="3" t="n">
        <v>42494</v>
      </c>
      <c r="C451" s="25" t="inlineStr">
        <is>
          <t>GELENEKSEL</t>
        </is>
      </c>
      <c r="D451" s="3" t="n">
        <v>42495</v>
      </c>
      <c r="E451" s="3" t="n">
        <v>43551</v>
      </c>
      <c r="F451" s="25"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3" t="n">
        <v>42494</v>
      </c>
      <c r="C452" s="22" t="inlineStr">
        <is>
          <t>GELENEKSEL</t>
        </is>
      </c>
      <c r="D452" s="23" t="n">
        <v>42495</v>
      </c>
      <c r="E452" s="23" t="n">
        <v>43656</v>
      </c>
      <c r="F452" s="22" t="inlineStr">
        <is>
          <t>TRT100719T18</t>
        </is>
      </c>
      <c r="G452" s="8" t="n">
        <v>216000</v>
      </c>
      <c r="H452" s="8" t="n">
        <v>50000</v>
      </c>
      <c r="I452" s="24" t="n">
        <v>50330.2</v>
      </c>
      <c r="J452" s="24" t="n">
        <v>9.220000000000001</v>
      </c>
      <c r="K452" s="24" t="n">
        <v>9.220000000000001</v>
      </c>
      <c r="L452" s="24" t="n">
        <v>9.23</v>
      </c>
      <c r="M452" s="24" t="n">
        <v>9.43</v>
      </c>
      <c r="N452" s="24" t="n">
        <v>9.43</v>
      </c>
      <c r="O452" s="24" t="n">
        <v>9.449999999999999</v>
      </c>
    </row>
    <row r="453">
      <c r="A453" s="11" t="n">
        <v>2183</v>
      </c>
      <c r="B453" s="3" t="n">
        <v>42496</v>
      </c>
      <c r="C453" s="25" t="inlineStr">
        <is>
          <t>GELENEKSEL</t>
        </is>
      </c>
      <c r="D453" s="3" t="n">
        <v>42499</v>
      </c>
      <c r="E453" s="3" t="n">
        <v>43845</v>
      </c>
      <c r="F453" s="25"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3" t="n">
        <v>42496</v>
      </c>
      <c r="C454" s="22" t="inlineStr">
        <is>
          <t>GELENEKSEL</t>
        </is>
      </c>
      <c r="D454" s="23" t="n">
        <v>42499</v>
      </c>
      <c r="E454" s="23" t="n">
        <v>43656</v>
      </c>
      <c r="F454" s="22" t="inlineStr">
        <is>
          <t>TRT100719T18</t>
        </is>
      </c>
      <c r="G454" s="8" t="n">
        <v>70000</v>
      </c>
      <c r="H454" s="8" t="n">
        <v>50000</v>
      </c>
      <c r="I454" s="24" t="n">
        <v>50095.55</v>
      </c>
      <c r="J454" s="24" t="n">
        <v>9.42</v>
      </c>
      <c r="K454" s="24" t="n">
        <v>9.44</v>
      </c>
      <c r="L454" s="24" t="n">
        <v>9.470000000000001</v>
      </c>
      <c r="M454" s="24" t="n">
        <v>9.640000000000001</v>
      </c>
      <c r="N454" s="24" t="n">
        <v>9.66</v>
      </c>
      <c r="O454" s="24" t="n">
        <v>9.69</v>
      </c>
    </row>
    <row r="455">
      <c r="A455" s="11" t="n">
        <v>2185</v>
      </c>
      <c r="B455" s="3" t="n">
        <v>42501</v>
      </c>
      <c r="C455" s="25" t="inlineStr">
        <is>
          <t>GELENEKSEL</t>
        </is>
      </c>
      <c r="D455" s="3" t="n">
        <v>42502</v>
      </c>
      <c r="E455" s="3" t="n">
        <v>43845</v>
      </c>
      <c r="F455" s="25"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3" t="n">
        <v>42501</v>
      </c>
      <c r="C456" s="22" t="inlineStr">
        <is>
          <t>GELENEKSEL</t>
        </is>
      </c>
      <c r="D456" s="23" t="n">
        <v>42502</v>
      </c>
      <c r="E456" s="23" t="n">
        <v>43551</v>
      </c>
      <c r="F456" s="22" t="inlineStr">
        <is>
          <t>TRT270319T13</t>
        </is>
      </c>
      <c r="G456" s="8" t="n">
        <v>191000</v>
      </c>
      <c r="H456" s="8" t="n">
        <v>50000</v>
      </c>
      <c r="I456" s="24" t="n">
        <v>51461.4</v>
      </c>
      <c r="J456" s="24" t="n">
        <v>9.67</v>
      </c>
      <c r="K456" s="24" t="n">
        <v>9.710000000000001</v>
      </c>
      <c r="L456" s="24" t="n">
        <v>9.74</v>
      </c>
      <c r="M456" s="24" t="n">
        <v>9.9</v>
      </c>
      <c r="N456" s="24" t="n">
        <v>9.949999999999999</v>
      </c>
      <c r="O456" s="24" t="n">
        <v>9.98</v>
      </c>
    </row>
    <row r="457">
      <c r="A457" s="11" t="n">
        <v>2187</v>
      </c>
      <c r="B457" s="3" t="n">
        <v>42503</v>
      </c>
      <c r="C457" s="25" t="inlineStr">
        <is>
          <t>GELENEKSEL</t>
        </is>
      </c>
      <c r="D457" s="3" t="n">
        <v>42506</v>
      </c>
      <c r="E457" s="3" t="n">
        <v>43845</v>
      </c>
      <c r="F457" s="25"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3" t="n">
        <v>42503</v>
      </c>
      <c r="C458" s="22" t="inlineStr">
        <is>
          <t>GELENEKSEL</t>
        </is>
      </c>
      <c r="D458" s="23" t="n">
        <v>42506</v>
      </c>
      <c r="E458" s="23" t="n">
        <v>43551</v>
      </c>
      <c r="F458" s="22" t="inlineStr">
        <is>
          <t>TRT270319T13</t>
        </is>
      </c>
      <c r="G458" s="8" t="n">
        <v>160000</v>
      </c>
      <c r="H458" s="8" t="n">
        <v>50000</v>
      </c>
      <c r="I458" s="24" t="n">
        <v>51824.05</v>
      </c>
      <c r="J458" s="24" t="n">
        <v>9.43</v>
      </c>
      <c r="K458" s="24" t="n">
        <v>9.460000000000001</v>
      </c>
      <c r="L458" s="24" t="n">
        <v>9.49</v>
      </c>
      <c r="M458" s="24" t="n">
        <v>9.65</v>
      </c>
      <c r="N458" s="24" t="n">
        <v>9.69</v>
      </c>
      <c r="O458" s="24" t="n">
        <v>9.720000000000001</v>
      </c>
    </row>
    <row r="459">
      <c r="A459" s="11" t="n">
        <v>2189</v>
      </c>
      <c r="B459" s="3" t="n">
        <v>42508</v>
      </c>
      <c r="C459" s="25" t="inlineStr">
        <is>
          <t>GELENEKSEL</t>
        </is>
      </c>
      <c r="D459" s="3" t="n">
        <v>42510</v>
      </c>
      <c r="E459" s="3" t="n">
        <v>43418</v>
      </c>
      <c r="F459" s="25"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3" t="n">
        <v>42508</v>
      </c>
      <c r="C460" s="22" t="inlineStr">
        <is>
          <t>GELENEKSEL</t>
        </is>
      </c>
      <c r="D460" s="23" t="n">
        <v>42510</v>
      </c>
      <c r="E460" s="23" t="n">
        <v>43551</v>
      </c>
      <c r="F460" s="22" t="inlineStr">
        <is>
          <t>TRT270319T13</t>
        </is>
      </c>
      <c r="G460" s="8" t="n">
        <v>150000</v>
      </c>
      <c r="H460" s="8" t="n">
        <v>50000</v>
      </c>
      <c r="I460" s="24" t="n">
        <v>51662.8</v>
      </c>
      <c r="J460" s="24" t="n">
        <v>9.619999999999999</v>
      </c>
      <c r="K460" s="24" t="n">
        <v>9.619999999999999</v>
      </c>
      <c r="L460" s="24" t="n">
        <v>9.67</v>
      </c>
      <c r="M460" s="24" t="n">
        <v>9.85</v>
      </c>
      <c r="N460" s="24" t="n">
        <v>9.85</v>
      </c>
      <c r="O460" s="24" t="n">
        <v>9.9</v>
      </c>
    </row>
    <row r="461">
      <c r="A461" s="11" t="n">
        <v>2191</v>
      </c>
      <c r="B461" s="3" t="n">
        <v>42510</v>
      </c>
      <c r="C461" s="25" t="inlineStr">
        <is>
          <t>GELENEKSEL</t>
        </is>
      </c>
      <c r="D461" s="3" t="n">
        <v>42513</v>
      </c>
      <c r="E461" s="3" t="n">
        <v>43845</v>
      </c>
      <c r="F461" s="25"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3" t="n">
        <v>42510</v>
      </c>
      <c r="C462" s="22" t="inlineStr">
        <is>
          <t>GELENEKSEL</t>
        </is>
      </c>
      <c r="D462" s="23" t="n">
        <v>42513</v>
      </c>
      <c r="E462" s="23" t="n">
        <v>43866</v>
      </c>
      <c r="F462" s="22" t="inlineStr">
        <is>
          <t>TRT050220T17</t>
        </is>
      </c>
      <c r="G462" s="8" t="n">
        <v>84000</v>
      </c>
      <c r="H462" s="8" t="n">
        <v>25000</v>
      </c>
      <c r="I462" s="24" t="n">
        <v>23625.76</v>
      </c>
      <c r="J462" s="24" t="n">
        <v>9.869999999999999</v>
      </c>
      <c r="K462" s="24" t="n">
        <v>9.880000000000001</v>
      </c>
      <c r="L462" s="24" t="n">
        <v>9.9</v>
      </c>
      <c r="M462" s="24" t="n">
        <v>10.11</v>
      </c>
      <c r="N462" s="24" t="n">
        <v>10.13</v>
      </c>
      <c r="O462" s="24" t="n">
        <v>10.15</v>
      </c>
    </row>
    <row r="463">
      <c r="A463" s="11" t="n">
        <v>2193</v>
      </c>
      <c r="B463" s="3" t="n">
        <v>42510</v>
      </c>
      <c r="C463" s="25" t="inlineStr">
        <is>
          <t>GELENEKSEL</t>
        </is>
      </c>
      <c r="D463" s="3" t="n">
        <v>42513</v>
      </c>
      <c r="E463" s="3" t="n">
        <v>43418</v>
      </c>
      <c r="F463" s="25"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3" t="n">
        <v>42517</v>
      </c>
      <c r="C464" s="22" t="inlineStr">
        <is>
          <t>GELENEKSEL</t>
        </is>
      </c>
      <c r="D464" s="23" t="n">
        <v>42520</v>
      </c>
      <c r="E464" s="23" t="n">
        <v>43845</v>
      </c>
      <c r="F464" s="22" t="inlineStr">
        <is>
          <t>TRT150120T16</t>
        </is>
      </c>
      <c r="G464" s="8" t="n">
        <v>150000</v>
      </c>
      <c r="H464" s="8" t="n">
        <v>50000</v>
      </c>
      <c r="I464" s="24" t="n">
        <v>53558.5</v>
      </c>
      <c r="J464" s="24" t="n">
        <v>9.390000000000001</v>
      </c>
      <c r="K464" s="24" t="n">
        <v>9.390000000000001</v>
      </c>
      <c r="L464" s="24" t="n">
        <v>9.390000000000001</v>
      </c>
      <c r="M464" s="24" t="n">
        <v>9.609999999999999</v>
      </c>
      <c r="N464" s="24" t="n">
        <v>9.609999999999999</v>
      </c>
      <c r="O464" s="24" t="n">
        <v>9.609999999999999</v>
      </c>
    </row>
    <row r="465">
      <c r="A465" s="11" t="n">
        <v>2195</v>
      </c>
      <c r="B465" s="3" t="n">
        <v>42517</v>
      </c>
      <c r="C465" s="25" t="inlineStr">
        <is>
          <t>GELENEKSEL</t>
        </is>
      </c>
      <c r="D465" s="3" t="n">
        <v>42520</v>
      </c>
      <c r="E465" s="3" t="n">
        <v>43866</v>
      </c>
      <c r="F465" s="25"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3" t="n">
        <v>42522</v>
      </c>
      <c r="C466" s="22" t="inlineStr">
        <is>
          <t>GELENEKSEL</t>
        </is>
      </c>
      <c r="D466" s="23" t="n">
        <v>42523</v>
      </c>
      <c r="E466" s="23" t="n">
        <v>43845</v>
      </c>
      <c r="F466" s="22" t="inlineStr">
        <is>
          <t>TRT150120T16</t>
        </is>
      </c>
      <c r="G466" s="8" t="n">
        <v>140000</v>
      </c>
      <c r="H466" s="8" t="n">
        <v>50000</v>
      </c>
      <c r="I466" s="24" t="n">
        <v>53767.5</v>
      </c>
      <c r="J466" s="24" t="n">
        <v>9.279999999999999</v>
      </c>
      <c r="K466" s="24" t="n">
        <v>9.279999999999999</v>
      </c>
      <c r="L466" s="24" t="n">
        <v>9.279999999999999</v>
      </c>
      <c r="M466" s="24" t="n">
        <v>9.5</v>
      </c>
      <c r="N466" s="24" t="n">
        <v>9.5</v>
      </c>
      <c r="O466" s="24" t="n">
        <v>9.5</v>
      </c>
    </row>
    <row r="467">
      <c r="A467" s="11" t="n">
        <v>2197</v>
      </c>
      <c r="B467" s="3" t="n">
        <v>42522</v>
      </c>
      <c r="C467" s="25" t="inlineStr">
        <is>
          <t>GELENEKSEL</t>
        </is>
      </c>
      <c r="D467" s="3" t="n">
        <v>42523</v>
      </c>
      <c r="E467" s="3" t="n">
        <v>43145</v>
      </c>
      <c r="F467" s="25"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3" t="n">
        <v>42524</v>
      </c>
      <c r="C468" s="22" t="inlineStr">
        <is>
          <t>GELENEKSEL</t>
        </is>
      </c>
      <c r="D468" s="23" t="n">
        <v>42527</v>
      </c>
      <c r="E468" s="23" t="n">
        <v>43845</v>
      </c>
      <c r="F468" s="22" t="inlineStr">
        <is>
          <t>TRT150120T16</t>
        </is>
      </c>
      <c r="G468" s="8" t="n">
        <v>210000</v>
      </c>
      <c r="H468" s="8" t="n">
        <v>50000</v>
      </c>
      <c r="I468" s="24" t="n">
        <v>54063.5</v>
      </c>
      <c r="J468" s="24" t="n">
        <v>9.119999999999999</v>
      </c>
      <c r="K468" s="24" t="n">
        <v>9.119999999999999</v>
      </c>
      <c r="L468" s="24" t="n">
        <v>9.119999999999999</v>
      </c>
      <c r="M468" s="24" t="n">
        <v>9.33</v>
      </c>
      <c r="N468" s="24" t="n">
        <v>9.33</v>
      </c>
      <c r="O468" s="24" t="n">
        <v>9.33</v>
      </c>
    </row>
    <row r="469">
      <c r="A469" s="11" t="n">
        <v>2199</v>
      </c>
      <c r="B469" s="3" t="n">
        <v>42524</v>
      </c>
      <c r="C469" s="25" t="inlineStr">
        <is>
          <t>GELENEKSEL</t>
        </is>
      </c>
      <c r="D469" s="3" t="n">
        <v>42527</v>
      </c>
      <c r="E469" s="3" t="n">
        <v>43866</v>
      </c>
      <c r="F469" s="25"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3" t="n">
        <v>42529</v>
      </c>
      <c r="C470" s="22" t="inlineStr">
        <is>
          <t>GELENEKSEL</t>
        </is>
      </c>
      <c r="D470" s="23" t="n">
        <v>42530</v>
      </c>
      <c r="E470" s="23" t="n">
        <v>43845</v>
      </c>
      <c r="F470" s="22" t="inlineStr">
        <is>
          <t>TRT150120T16</t>
        </is>
      </c>
      <c r="G470" s="8" t="n">
        <v>150000</v>
      </c>
      <c r="H470" s="8" t="n">
        <v>50000</v>
      </c>
      <c r="I470" s="24" t="n">
        <v>54366.55</v>
      </c>
      <c r="J470" s="24" t="n">
        <v>8.94</v>
      </c>
      <c r="K470" s="24" t="n">
        <v>8.949999999999999</v>
      </c>
      <c r="L470" s="24" t="n">
        <v>8.98</v>
      </c>
      <c r="M470" s="24" t="n">
        <v>9.140000000000001</v>
      </c>
      <c r="N470" s="24" t="n">
        <v>9.15</v>
      </c>
      <c r="O470" s="24" t="n">
        <v>9.19</v>
      </c>
    </row>
    <row r="471">
      <c r="A471" s="11" t="n">
        <v>2201</v>
      </c>
      <c r="B471" s="3" t="n">
        <v>42529</v>
      </c>
      <c r="C471" s="25" t="inlineStr">
        <is>
          <t>GELENEKSEL</t>
        </is>
      </c>
      <c r="D471" s="3" t="n">
        <v>42530</v>
      </c>
      <c r="E471" s="3" t="n">
        <v>43866</v>
      </c>
      <c r="F471" s="25"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3" t="n">
        <v>42531</v>
      </c>
      <c r="C472" s="22" t="inlineStr">
        <is>
          <t>GELENEKSEL</t>
        </is>
      </c>
      <c r="D472" s="23" t="n">
        <v>42534</v>
      </c>
      <c r="E472" s="23" t="n">
        <v>43845</v>
      </c>
      <c r="F472" s="22" t="inlineStr">
        <is>
          <t>TRT150120T16</t>
        </is>
      </c>
      <c r="G472" s="8" t="n">
        <v>176000</v>
      </c>
      <c r="H472" s="8" t="n">
        <v>50000</v>
      </c>
      <c r="I472" s="24" t="n">
        <v>54213.5</v>
      </c>
      <c r="J472" s="24" t="n">
        <v>9.08</v>
      </c>
      <c r="K472" s="24" t="n">
        <v>9.08</v>
      </c>
      <c r="L472" s="24" t="n">
        <v>9.08</v>
      </c>
      <c r="M472" s="24" t="n">
        <v>9.279999999999999</v>
      </c>
      <c r="N472" s="24" t="n">
        <v>9.279999999999999</v>
      </c>
      <c r="O472" s="24" t="n">
        <v>9.279999999999999</v>
      </c>
    </row>
    <row r="473">
      <c r="A473" s="11" t="n">
        <v>2203</v>
      </c>
      <c r="B473" s="3" t="n">
        <v>42531</v>
      </c>
      <c r="C473" s="25" t="inlineStr">
        <is>
          <t>GELENEKSEL</t>
        </is>
      </c>
      <c r="D473" s="3" t="n">
        <v>42534</v>
      </c>
      <c r="E473" s="3" t="n">
        <v>43866</v>
      </c>
      <c r="F473" s="25"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3" t="n">
        <v>42536</v>
      </c>
      <c r="C474" s="22" t="inlineStr">
        <is>
          <t>GELENEKSEL</t>
        </is>
      </c>
      <c r="D474" s="23" t="n">
        <v>42537</v>
      </c>
      <c r="E474" s="23" t="n">
        <v>43866</v>
      </c>
      <c r="F474" s="22" t="inlineStr">
        <is>
          <t>TRT050220T17</t>
        </is>
      </c>
      <c r="G474" s="8" t="n">
        <v>120000</v>
      </c>
      <c r="H474" s="8" t="n">
        <v>50000</v>
      </c>
      <c r="I474" s="24" t="n">
        <v>48489.65</v>
      </c>
      <c r="J474" s="24" t="n">
        <v>9.23</v>
      </c>
      <c r="K474" s="24" t="n">
        <v>9.24</v>
      </c>
      <c r="L474" s="24" t="n">
        <v>9.24</v>
      </c>
      <c r="M474" s="24" t="n">
        <v>9.44</v>
      </c>
      <c r="N474" s="24" t="n">
        <v>9.460000000000001</v>
      </c>
      <c r="O474" s="24" t="n">
        <v>9.460000000000001</v>
      </c>
    </row>
    <row r="475">
      <c r="A475" s="11" t="n">
        <v>2205</v>
      </c>
      <c r="B475" s="3" t="n">
        <v>42536</v>
      </c>
      <c r="C475" s="25" t="inlineStr">
        <is>
          <t>GELENEKSEL</t>
        </is>
      </c>
      <c r="D475" s="3" t="n">
        <v>42537</v>
      </c>
      <c r="E475" s="3" t="n">
        <v>43656</v>
      </c>
      <c r="F475" s="25"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3" t="n">
        <v>42538</v>
      </c>
      <c r="C476" s="22" t="inlineStr">
        <is>
          <t>GELENEKSEL</t>
        </is>
      </c>
      <c r="D476" s="23" t="n">
        <v>42541</v>
      </c>
      <c r="E476" s="23" t="n">
        <v>43656</v>
      </c>
      <c r="F476" s="22" t="inlineStr">
        <is>
          <t>TRT100719T18</t>
        </is>
      </c>
      <c r="G476" s="8" t="n">
        <v>90000</v>
      </c>
      <c r="H476" s="8" t="n">
        <v>50000</v>
      </c>
      <c r="I476" s="24" t="n">
        <v>51197.45</v>
      </c>
      <c r="J476" s="24" t="n">
        <v>8.970000000000001</v>
      </c>
      <c r="K476" s="24" t="n">
        <v>9</v>
      </c>
      <c r="L476" s="24" t="n">
        <v>9.08</v>
      </c>
      <c r="M476" s="24" t="n">
        <v>9.17</v>
      </c>
      <c r="N476" s="24" t="n">
        <v>9.199999999999999</v>
      </c>
      <c r="O476" s="24" t="n">
        <v>9.279999999999999</v>
      </c>
    </row>
    <row r="477">
      <c r="A477" s="11" t="n">
        <v>2207</v>
      </c>
      <c r="B477" s="3" t="n">
        <v>42538</v>
      </c>
      <c r="C477" s="25" t="inlineStr">
        <is>
          <t>GELENEKSEL</t>
        </is>
      </c>
      <c r="D477" s="3" t="n">
        <v>42541</v>
      </c>
      <c r="E477" s="3" t="n">
        <v>43866</v>
      </c>
      <c r="F477" s="25"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3" t="n">
        <v>42543</v>
      </c>
      <c r="C478" s="22" t="inlineStr">
        <is>
          <t>GELENEKSEL</t>
        </is>
      </c>
      <c r="D478" s="23" t="n">
        <v>42544</v>
      </c>
      <c r="E478" s="23" t="n">
        <v>43866</v>
      </c>
      <c r="F478" s="22" t="inlineStr">
        <is>
          <t>TRT050220T17</t>
        </is>
      </c>
      <c r="G478" s="8" t="n">
        <v>123000</v>
      </c>
      <c r="H478" s="8" t="n">
        <v>50000</v>
      </c>
      <c r="I478" s="24" t="n">
        <v>48840.5</v>
      </c>
      <c r="J478" s="24" t="n">
        <v>9.06</v>
      </c>
      <c r="K478" s="24" t="n">
        <v>9.06</v>
      </c>
      <c r="L478" s="24" t="n">
        <v>9.06</v>
      </c>
      <c r="M478" s="24" t="n">
        <v>9.26</v>
      </c>
      <c r="N478" s="24" t="n">
        <v>9.26</v>
      </c>
      <c r="O478" s="24" t="n">
        <v>9.26</v>
      </c>
    </row>
    <row r="479">
      <c r="A479" s="11" t="n">
        <v>2209</v>
      </c>
      <c r="B479" s="3" t="n">
        <v>42543</v>
      </c>
      <c r="C479" s="25" t="inlineStr">
        <is>
          <t>GELENEKSEL</t>
        </is>
      </c>
      <c r="D479" s="3" t="n">
        <v>42544</v>
      </c>
      <c r="E479" s="3" t="n">
        <v>43656</v>
      </c>
      <c r="F479" s="25"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3" t="n">
        <v>42552</v>
      </c>
      <c r="C480" s="22" t="inlineStr">
        <is>
          <t>GELENEKSEL</t>
        </is>
      </c>
      <c r="D480" s="23" t="n">
        <v>42555</v>
      </c>
      <c r="E480" s="23" t="n">
        <v>43656</v>
      </c>
      <c r="F480" s="22" t="inlineStr">
        <is>
          <t>TRT100719T18</t>
        </is>
      </c>
      <c r="G480" s="8" t="n">
        <v>132000</v>
      </c>
      <c r="H480" s="8" t="n">
        <v>50000</v>
      </c>
      <c r="I480" s="24" t="n">
        <v>51972.52</v>
      </c>
      <c r="J480" s="24" t="n">
        <v>8.48</v>
      </c>
      <c r="K480" s="24" t="n">
        <v>8.529999999999999</v>
      </c>
      <c r="L480" s="24" t="n">
        <v>8.58</v>
      </c>
      <c r="M480" s="24" t="n">
        <v>8.66</v>
      </c>
      <c r="N480" s="24" t="n">
        <v>8.710000000000001</v>
      </c>
      <c r="O480" s="24" t="n">
        <v>8.76</v>
      </c>
    </row>
    <row r="481">
      <c r="A481" s="11" t="n">
        <v>2211</v>
      </c>
      <c r="B481" s="3" t="n">
        <v>42552</v>
      </c>
      <c r="C481" s="25" t="inlineStr">
        <is>
          <t>GELENEKSEL</t>
        </is>
      </c>
      <c r="D481" s="3" t="n">
        <v>42555</v>
      </c>
      <c r="E481" s="3" t="n">
        <v>43271</v>
      </c>
      <c r="F481" s="25"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3" t="n">
        <v>42559</v>
      </c>
      <c r="C482" s="22" t="inlineStr">
        <is>
          <t>GELENEKSEL</t>
        </is>
      </c>
      <c r="D482" s="23" t="n">
        <v>42562</v>
      </c>
      <c r="E482" s="23" t="n">
        <v>43656</v>
      </c>
      <c r="F482" s="22" t="inlineStr">
        <is>
          <t>TRT100719T18</t>
        </is>
      </c>
      <c r="G482" s="8" t="n">
        <v>10000</v>
      </c>
      <c r="H482" s="8" t="n">
        <v>10000</v>
      </c>
      <c r="I482" s="24" t="n">
        <v>10396.7</v>
      </c>
      <c r="J482" s="24" t="n">
        <v>8.550000000000001</v>
      </c>
      <c r="K482" s="24" t="n">
        <v>8.59</v>
      </c>
      <c r="L482" s="24" t="n">
        <v>8.619999999999999</v>
      </c>
      <c r="M482" s="24" t="n">
        <v>8.73</v>
      </c>
      <c r="N482" s="24" t="n">
        <v>8.779999999999999</v>
      </c>
      <c r="O482" s="24" t="n">
        <v>8.81</v>
      </c>
    </row>
    <row r="483">
      <c r="A483" s="11" t="n">
        <v>2213</v>
      </c>
      <c r="B483" s="3" t="n">
        <v>42559</v>
      </c>
      <c r="C483" s="25" t="inlineStr">
        <is>
          <t>GELENEKSEL</t>
        </is>
      </c>
      <c r="D483" s="3" t="n">
        <v>42562</v>
      </c>
      <c r="E483" s="3" t="n">
        <v>43271</v>
      </c>
      <c r="F483" s="25"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3" t="n">
        <v>42564</v>
      </c>
      <c r="C484" s="22" t="inlineStr">
        <is>
          <t>GELENEKSEL</t>
        </is>
      </c>
      <c r="D484" s="23" t="n">
        <v>42565</v>
      </c>
      <c r="E484" s="23" t="n">
        <v>43656</v>
      </c>
      <c r="F484" s="22" t="inlineStr">
        <is>
          <t>TRT100719T18</t>
        </is>
      </c>
      <c r="G484" s="8" t="n">
        <v>125000</v>
      </c>
      <c r="H484" s="8" t="n">
        <v>50000</v>
      </c>
      <c r="I484" s="24" t="n">
        <v>49810</v>
      </c>
      <c r="J484" s="24" t="n">
        <v>8.66</v>
      </c>
      <c r="K484" s="24" t="n">
        <v>8.66</v>
      </c>
      <c r="L484" s="24" t="n">
        <v>8.66</v>
      </c>
      <c r="M484" s="24" t="n">
        <v>8.84</v>
      </c>
      <c r="N484" s="24" t="n">
        <v>8.84</v>
      </c>
      <c r="O484" s="24" t="n">
        <v>8.84</v>
      </c>
    </row>
    <row r="485">
      <c r="A485" s="11" t="n">
        <v>2215</v>
      </c>
      <c r="B485" s="3" t="n">
        <v>42564</v>
      </c>
      <c r="C485" s="25" t="inlineStr">
        <is>
          <t>GELENEKSEL</t>
        </is>
      </c>
      <c r="D485" s="3" t="n">
        <v>42565</v>
      </c>
      <c r="E485" s="3" t="n">
        <v>43271</v>
      </c>
      <c r="F485" s="25"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3" t="n">
        <v>42566</v>
      </c>
      <c r="C486" s="22" t="inlineStr">
        <is>
          <t>GELENEKSEL</t>
        </is>
      </c>
      <c r="D486" s="23" t="n">
        <v>42569</v>
      </c>
      <c r="E486" s="23" t="n">
        <v>43656</v>
      </c>
      <c r="F486" s="22" t="inlineStr">
        <is>
          <t>TRT100719T18</t>
        </is>
      </c>
      <c r="G486" s="8" t="n">
        <v>80000</v>
      </c>
      <c r="H486" s="8" t="n">
        <v>50000</v>
      </c>
      <c r="I486" s="24" t="n">
        <v>49946</v>
      </c>
      <c r="J486" s="24" t="n">
        <v>8.59</v>
      </c>
      <c r="K486" s="24" t="n">
        <v>8.59</v>
      </c>
      <c r="L486" s="24" t="n">
        <v>8.59</v>
      </c>
      <c r="M486" s="24" t="n">
        <v>8.779999999999999</v>
      </c>
      <c r="N486" s="24" t="n">
        <v>8.779999999999999</v>
      </c>
      <c r="O486" s="24" t="n">
        <v>8.779999999999999</v>
      </c>
    </row>
    <row r="487">
      <c r="A487" s="11" t="n">
        <v>2217</v>
      </c>
      <c r="B487" s="3" t="n">
        <v>42566</v>
      </c>
      <c r="C487" s="25" t="inlineStr">
        <is>
          <t>GELENEKSEL</t>
        </is>
      </c>
      <c r="D487" s="3" t="n">
        <v>42569</v>
      </c>
      <c r="E487" s="3" t="n">
        <v>43271</v>
      </c>
      <c r="F487" s="25"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3" t="n">
        <v>42571</v>
      </c>
      <c r="C488" s="22" t="inlineStr">
        <is>
          <t>GELENEKSEL</t>
        </is>
      </c>
      <c r="D488" s="23" t="n">
        <v>42572</v>
      </c>
      <c r="E488" s="23" t="n">
        <v>43656</v>
      </c>
      <c r="F488" s="22" t="inlineStr">
        <is>
          <t>TRT100719T18</t>
        </is>
      </c>
      <c r="G488" s="8" t="n">
        <v>45000</v>
      </c>
      <c r="H488" s="8" t="n">
        <v>45000</v>
      </c>
      <c r="I488" s="24" t="n">
        <v>44352.6</v>
      </c>
      <c r="J488" s="24" t="n">
        <v>9.09</v>
      </c>
      <c r="K488" s="24" t="n">
        <v>9.119999999999999</v>
      </c>
      <c r="L488" s="24" t="n">
        <v>9.220000000000001</v>
      </c>
      <c r="M488" s="24" t="n">
        <v>9.300000000000001</v>
      </c>
      <c r="N488" s="24" t="n">
        <v>9.33</v>
      </c>
      <c r="O488" s="24" t="n">
        <v>9.43</v>
      </c>
    </row>
    <row r="489">
      <c r="A489" s="11" t="n">
        <v>2219</v>
      </c>
      <c r="B489" s="3" t="n">
        <v>42571</v>
      </c>
      <c r="C489" s="25" t="inlineStr">
        <is>
          <t>GELENEKSEL</t>
        </is>
      </c>
      <c r="D489" s="3" t="n">
        <v>42572</v>
      </c>
      <c r="E489" s="3" t="n">
        <v>43845</v>
      </c>
      <c r="F489" s="25"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3" t="n">
        <v>42573</v>
      </c>
      <c r="C490" s="22" t="inlineStr">
        <is>
          <t>GELENEKSEL</t>
        </is>
      </c>
      <c r="D490" s="23" t="n">
        <v>42576</v>
      </c>
      <c r="E490" s="23" t="n">
        <v>43845</v>
      </c>
      <c r="F490" s="22" t="inlineStr">
        <is>
          <t>TRT150120T16</t>
        </is>
      </c>
      <c r="G490" s="8" t="n">
        <v>153000</v>
      </c>
      <c r="H490" s="8" t="n">
        <v>50000</v>
      </c>
      <c r="I490" s="24" t="n">
        <v>51566.65</v>
      </c>
      <c r="J490" s="24" t="n">
        <v>9.470000000000001</v>
      </c>
      <c r="K490" s="24" t="n">
        <v>9.470000000000001</v>
      </c>
      <c r="L490" s="24" t="n">
        <v>9.5</v>
      </c>
      <c r="M490" s="24" t="n">
        <v>9.69</v>
      </c>
      <c r="N490" s="24" t="n">
        <v>9.69</v>
      </c>
      <c r="O490" s="24" t="n">
        <v>9.73</v>
      </c>
    </row>
    <row r="491">
      <c r="A491" s="11" t="n">
        <v>2221</v>
      </c>
      <c r="B491" s="3" t="n">
        <v>42573</v>
      </c>
      <c r="C491" s="25" t="inlineStr">
        <is>
          <t>GELENEKSEL</t>
        </is>
      </c>
      <c r="D491" s="3" t="n">
        <v>42576</v>
      </c>
      <c r="E491" s="3" t="n">
        <v>43145</v>
      </c>
      <c r="F491" s="25"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3" t="n">
        <v>42578</v>
      </c>
      <c r="C492" s="22" t="inlineStr">
        <is>
          <t>GELENEKSEL</t>
        </is>
      </c>
      <c r="D492" s="23" t="n">
        <v>42579</v>
      </c>
      <c r="E492" s="23" t="n">
        <v>43845</v>
      </c>
      <c r="F492" s="22" t="inlineStr">
        <is>
          <t>TRT150120T16</t>
        </is>
      </c>
      <c r="G492" s="8" t="n">
        <v>142000</v>
      </c>
      <c r="H492" s="8" t="n">
        <v>50000</v>
      </c>
      <c r="I492" s="24" t="n">
        <v>51891.24</v>
      </c>
      <c r="J492" s="24" t="n">
        <v>9.25</v>
      </c>
      <c r="K492" s="24" t="n">
        <v>9.279999999999999</v>
      </c>
      <c r="L492" s="24" t="n">
        <v>9.33</v>
      </c>
      <c r="M492" s="24" t="n">
        <v>9.460000000000001</v>
      </c>
      <c r="N492" s="24" t="n">
        <v>9.5</v>
      </c>
      <c r="O492" s="24" t="n">
        <v>9.550000000000001</v>
      </c>
    </row>
    <row r="493">
      <c r="A493" s="11" t="n">
        <v>2223</v>
      </c>
      <c r="B493" s="3" t="n">
        <v>42578</v>
      </c>
      <c r="C493" s="25" t="inlineStr">
        <is>
          <t>GELENEKSEL</t>
        </is>
      </c>
      <c r="D493" s="3" t="n">
        <v>42579</v>
      </c>
      <c r="E493" s="3" t="n">
        <v>43145</v>
      </c>
      <c r="F493" s="25"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3" t="n">
        <v>42580</v>
      </c>
      <c r="C494" s="22" t="inlineStr">
        <is>
          <t>GELENEKSEL</t>
        </is>
      </c>
      <c r="D494" s="23" t="n">
        <v>42583</v>
      </c>
      <c r="E494" s="23" t="n">
        <v>43845</v>
      </c>
      <c r="F494" s="22" t="inlineStr">
        <is>
          <t>TRT150120T16</t>
        </is>
      </c>
      <c r="G494" s="8" t="n">
        <v>137000</v>
      </c>
      <c r="H494" s="8" t="n">
        <v>50000</v>
      </c>
      <c r="I494" s="24" t="n">
        <v>52218.72</v>
      </c>
      <c r="J494" s="24" t="n">
        <v>9.08</v>
      </c>
      <c r="K494" s="24" t="n">
        <v>9.09</v>
      </c>
      <c r="L494" s="24" t="n">
        <v>9.109999999999999</v>
      </c>
      <c r="M494" s="24" t="n">
        <v>9.279999999999999</v>
      </c>
      <c r="N494" s="24" t="n">
        <v>9.300000000000001</v>
      </c>
      <c r="O494" s="24" t="n">
        <v>9.32</v>
      </c>
    </row>
    <row r="495">
      <c r="A495" s="11" t="n">
        <v>2225</v>
      </c>
      <c r="B495" s="3" t="n">
        <v>42580</v>
      </c>
      <c r="C495" s="25" t="inlineStr">
        <is>
          <t>GELENEKSEL</t>
        </is>
      </c>
      <c r="D495" s="3" t="n">
        <v>42583</v>
      </c>
      <c r="E495" s="3" t="n">
        <v>43551</v>
      </c>
      <c r="F495" s="25"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3" t="n">
        <v>42585</v>
      </c>
      <c r="C496" s="22" t="inlineStr">
        <is>
          <t>GELENEKSEL</t>
        </is>
      </c>
      <c r="D496" s="23" t="n">
        <v>42586</v>
      </c>
      <c r="E496" s="23" t="n">
        <v>43656</v>
      </c>
      <c r="F496" s="22" t="inlineStr">
        <is>
          <t>TRT100719T18</t>
        </is>
      </c>
      <c r="G496" s="8" t="n">
        <v>190000</v>
      </c>
      <c r="H496" s="8" t="n">
        <v>50000</v>
      </c>
      <c r="I496" s="24" t="n">
        <v>49433.6</v>
      </c>
      <c r="J496" s="24" t="n">
        <v>9.119999999999999</v>
      </c>
      <c r="K496" s="24" t="n">
        <v>9.16</v>
      </c>
      <c r="L496" s="24" t="n">
        <v>9.17</v>
      </c>
      <c r="M496" s="24" t="n">
        <v>9.33</v>
      </c>
      <c r="N496" s="24" t="n">
        <v>9.369999999999999</v>
      </c>
      <c r="O496" s="24" t="n">
        <v>9.380000000000001</v>
      </c>
    </row>
    <row r="497">
      <c r="A497" s="11" t="n">
        <v>2227</v>
      </c>
      <c r="B497" s="3" t="n">
        <v>42585</v>
      </c>
      <c r="C497" s="25" t="inlineStr">
        <is>
          <t>GELENEKSEL</t>
        </is>
      </c>
      <c r="D497" s="3" t="n">
        <v>42586</v>
      </c>
      <c r="E497" s="3" t="n">
        <v>43418</v>
      </c>
      <c r="F497" s="25"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3" t="n">
        <v>42587</v>
      </c>
      <c r="C498" s="22" t="inlineStr">
        <is>
          <t>GELENEKSEL</t>
        </is>
      </c>
      <c r="D498" s="23" t="n">
        <v>42590</v>
      </c>
      <c r="E498" s="23" t="n">
        <v>43656</v>
      </c>
      <c r="F498" s="22" t="inlineStr">
        <is>
          <t>TRT100719T18</t>
        </is>
      </c>
      <c r="G498" s="8" t="n">
        <v>150000</v>
      </c>
      <c r="H498" s="8" t="n">
        <v>50000</v>
      </c>
      <c r="I498" s="24" t="n">
        <v>49546.5</v>
      </c>
      <c r="J498" s="24" t="n">
        <v>9.09</v>
      </c>
      <c r="K498" s="24" t="n">
        <v>9.09</v>
      </c>
      <c r="L498" s="24" t="n">
        <v>9.09</v>
      </c>
      <c r="M498" s="24" t="n">
        <v>9.300000000000001</v>
      </c>
      <c r="N498" s="24" t="n">
        <v>9.300000000000001</v>
      </c>
      <c r="O498" s="24" t="n">
        <v>9.300000000000001</v>
      </c>
    </row>
    <row r="499">
      <c r="A499" s="11" t="n">
        <v>2229</v>
      </c>
      <c r="B499" s="3" t="n">
        <v>42587</v>
      </c>
      <c r="C499" s="25" t="inlineStr">
        <is>
          <t>GELENEKSEL</t>
        </is>
      </c>
      <c r="D499" s="3" t="n">
        <v>42590</v>
      </c>
      <c r="E499" s="3" t="n">
        <v>43418</v>
      </c>
      <c r="F499" s="25"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3" t="n">
        <v>42592</v>
      </c>
      <c r="C500" s="22" t="inlineStr">
        <is>
          <t>GELENEKSEL</t>
        </is>
      </c>
      <c r="D500" s="23" t="n">
        <v>42593</v>
      </c>
      <c r="E500" s="23" t="n">
        <v>43271</v>
      </c>
      <c r="F500" s="22" t="inlineStr">
        <is>
          <t>TRT200618T18</t>
        </is>
      </c>
      <c r="G500" s="8" t="n">
        <v>130000</v>
      </c>
      <c r="H500" s="8" t="n">
        <v>50000</v>
      </c>
      <c r="I500" s="24" t="n">
        <v>50151.3</v>
      </c>
      <c r="J500" s="24" t="n">
        <v>8.77</v>
      </c>
      <c r="K500" s="24" t="n">
        <v>8.800000000000001</v>
      </c>
      <c r="L500" s="24" t="n">
        <v>8.83</v>
      </c>
      <c r="M500" s="24" t="n">
        <v>8.960000000000001</v>
      </c>
      <c r="N500" s="24" t="n">
        <v>8.99</v>
      </c>
      <c r="O500" s="24" t="n">
        <v>9.029999999999999</v>
      </c>
    </row>
    <row r="501">
      <c r="A501" s="11" t="n">
        <v>2231</v>
      </c>
      <c r="B501" s="3" t="n">
        <v>42592</v>
      </c>
      <c r="C501" s="25" t="inlineStr">
        <is>
          <t>GELENEKSEL</t>
        </is>
      </c>
      <c r="D501" s="3" t="n">
        <v>42593</v>
      </c>
      <c r="E501" s="3" t="n">
        <v>43418</v>
      </c>
      <c r="F501" s="25"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3" t="n">
        <v>42594</v>
      </c>
      <c r="C502" s="22" t="inlineStr">
        <is>
          <t>GELENEKSEL</t>
        </is>
      </c>
      <c r="D502" s="23" t="n">
        <v>42597</v>
      </c>
      <c r="E502" s="23" t="n">
        <v>43656</v>
      </c>
      <c r="F502" s="22" t="inlineStr">
        <is>
          <t>TRT100719T18</t>
        </is>
      </c>
      <c r="G502" s="8" t="n">
        <v>178000</v>
      </c>
      <c r="H502" s="8" t="n">
        <v>50000</v>
      </c>
      <c r="I502" s="24" t="n">
        <v>49919.5</v>
      </c>
      <c r="J502" s="24" t="n">
        <v>8.83</v>
      </c>
      <c r="K502" s="24" t="n">
        <v>8.859999999999999</v>
      </c>
      <c r="L502" s="24" t="n">
        <v>8.890000000000001</v>
      </c>
      <c r="M502" s="24" t="n">
        <v>9.02</v>
      </c>
      <c r="N502" s="24" t="n">
        <v>9.06</v>
      </c>
      <c r="O502" s="24" t="n">
        <v>9.09</v>
      </c>
    </row>
    <row r="503">
      <c r="A503" s="11" t="n">
        <v>2233</v>
      </c>
      <c r="B503" s="3" t="n">
        <v>42594</v>
      </c>
      <c r="C503" s="25" t="inlineStr">
        <is>
          <t>GELENEKSEL</t>
        </is>
      </c>
      <c r="D503" s="3" t="n">
        <v>42597</v>
      </c>
      <c r="E503" s="3" t="n">
        <v>43271</v>
      </c>
      <c r="F503" s="25"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3" t="n">
        <v>42599</v>
      </c>
      <c r="C504" s="22" t="inlineStr">
        <is>
          <t>GELENEKSEL</t>
        </is>
      </c>
      <c r="D504" s="23" t="n">
        <v>42600</v>
      </c>
      <c r="E504" s="23" t="n">
        <v>43271</v>
      </c>
      <c r="F504" s="22" t="inlineStr">
        <is>
          <t>TRT200618T18</t>
        </is>
      </c>
      <c r="G504" s="8" t="n">
        <v>99000</v>
      </c>
      <c r="H504" s="8" t="n">
        <v>50000</v>
      </c>
      <c r="I504" s="24" t="n">
        <v>50379.28</v>
      </c>
      <c r="J504" s="24" t="n">
        <v>8.58</v>
      </c>
      <c r="K504" s="24" t="n">
        <v>8.609999999999999</v>
      </c>
      <c r="L504" s="24" t="n">
        <v>8.609999999999999</v>
      </c>
      <c r="M504" s="24" t="n">
        <v>8.77</v>
      </c>
      <c r="N504" s="24" t="n">
        <v>8.800000000000001</v>
      </c>
      <c r="O504" s="24" t="n">
        <v>8.800000000000001</v>
      </c>
    </row>
    <row r="505">
      <c r="A505" s="11" t="n">
        <v>2235</v>
      </c>
      <c r="B505" s="3" t="n">
        <v>42599</v>
      </c>
      <c r="C505" s="25" t="inlineStr">
        <is>
          <t>GELENEKSEL</t>
        </is>
      </c>
      <c r="D505" s="3" t="n">
        <v>42600</v>
      </c>
      <c r="E505" s="3" t="n">
        <v>43418</v>
      </c>
      <c r="F505" s="25"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3" t="n">
        <v>42601</v>
      </c>
      <c r="C506" s="22" t="inlineStr">
        <is>
          <t>GELENEKSEL</t>
        </is>
      </c>
      <c r="D506" s="23" t="n">
        <v>42604</v>
      </c>
      <c r="E506" s="23" t="n">
        <v>43418</v>
      </c>
      <c r="F506" s="22" t="inlineStr">
        <is>
          <t>TRT141118T19</t>
        </is>
      </c>
      <c r="G506" s="8" t="n">
        <v>190000</v>
      </c>
      <c r="H506" s="8" t="n">
        <v>50000</v>
      </c>
      <c r="I506" s="24" t="n">
        <v>50978.5</v>
      </c>
      <c r="J506" s="24" t="n">
        <v>8.970000000000001</v>
      </c>
      <c r="K506" s="24" t="n">
        <v>8.970000000000001</v>
      </c>
      <c r="L506" s="24" t="n">
        <v>8.970000000000001</v>
      </c>
      <c r="M506" s="24" t="n">
        <v>9.17</v>
      </c>
      <c r="N506" s="24" t="n">
        <v>9.17</v>
      </c>
      <c r="O506" s="24" t="n">
        <v>9.17</v>
      </c>
    </row>
    <row r="507">
      <c r="A507" s="11" t="n">
        <v>2237</v>
      </c>
      <c r="B507" s="3" t="n">
        <v>42601</v>
      </c>
      <c r="C507" s="25" t="inlineStr">
        <is>
          <t>GELENEKSEL</t>
        </is>
      </c>
      <c r="D507" s="3" t="n">
        <v>42604</v>
      </c>
      <c r="E507" s="3" t="n">
        <v>43271</v>
      </c>
      <c r="F507" s="25"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3" t="n">
        <v>42606</v>
      </c>
      <c r="C508" s="22" t="inlineStr">
        <is>
          <t>GELENEKSEL</t>
        </is>
      </c>
      <c r="D508" s="23" t="n">
        <v>42607</v>
      </c>
      <c r="E508" s="23" t="n">
        <v>43418</v>
      </c>
      <c r="F508" s="22" t="inlineStr">
        <is>
          <t>TRT141118T19</t>
        </is>
      </c>
      <c r="G508" s="8" t="n">
        <v>171000</v>
      </c>
      <c r="H508" s="8" t="n">
        <v>50000</v>
      </c>
      <c r="I508" s="24" t="n">
        <v>50993.5</v>
      </c>
      <c r="J508" s="24" t="n">
        <v>8.99</v>
      </c>
      <c r="K508" s="24" t="n">
        <v>8.99</v>
      </c>
      <c r="L508" s="24" t="n">
        <v>8.99</v>
      </c>
      <c r="M508" s="24" t="n">
        <v>9.19</v>
      </c>
      <c r="N508" s="24" t="n">
        <v>9.19</v>
      </c>
      <c r="O508" s="24" t="n">
        <v>9.19</v>
      </c>
    </row>
    <row r="509">
      <c r="A509" s="11" t="n">
        <v>2239</v>
      </c>
      <c r="B509" s="3" t="n">
        <v>42606</v>
      </c>
      <c r="C509" s="25" t="inlineStr">
        <is>
          <t>GELENEKSEL</t>
        </is>
      </c>
      <c r="D509" s="3" t="n">
        <v>42607</v>
      </c>
      <c r="E509" s="3" t="n">
        <v>43656</v>
      </c>
      <c r="F509" s="25"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3" t="n">
        <v>42608</v>
      </c>
      <c r="C510" s="22" t="inlineStr">
        <is>
          <t>GELENEKSEL</t>
        </is>
      </c>
      <c r="D510" s="23" t="n">
        <v>42611</v>
      </c>
      <c r="E510" s="23" t="n">
        <v>43145</v>
      </c>
      <c r="F510" s="22" t="inlineStr">
        <is>
          <t>TRT140218T10</t>
        </is>
      </c>
      <c r="G510" s="8" t="n">
        <v>115000</v>
      </c>
      <c r="H510" s="8" t="n">
        <v>50000</v>
      </c>
      <c r="I510" s="24" t="n">
        <v>48656.5</v>
      </c>
      <c r="J510" s="24" t="n">
        <v>8.42</v>
      </c>
      <c r="K510" s="24" t="n">
        <v>8.42</v>
      </c>
      <c r="L510" s="24" t="n">
        <v>8.460000000000001</v>
      </c>
      <c r="M510" s="24" t="n">
        <v>8.6</v>
      </c>
      <c r="N510" s="24" t="n">
        <v>8.6</v>
      </c>
      <c r="O510" s="24" t="n">
        <v>8.640000000000001</v>
      </c>
    </row>
    <row r="511">
      <c r="A511" s="11" t="n">
        <v>2241</v>
      </c>
      <c r="B511" s="3" t="n">
        <v>42608</v>
      </c>
      <c r="C511" s="25" t="inlineStr">
        <is>
          <t>GELENEKSEL</t>
        </is>
      </c>
      <c r="D511" s="3" t="n">
        <v>42611</v>
      </c>
      <c r="E511" s="3" t="n">
        <v>43418</v>
      </c>
      <c r="F511" s="25"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3" t="n">
        <v>42613</v>
      </c>
      <c r="C512" s="22" t="inlineStr">
        <is>
          <t>GELENEKSEL</t>
        </is>
      </c>
      <c r="D512" s="23" t="n">
        <v>42614</v>
      </c>
      <c r="E512" s="23" t="n">
        <v>43418</v>
      </c>
      <c r="F512" s="22" t="inlineStr">
        <is>
          <t>TRT141118T19</t>
        </is>
      </c>
      <c r="G512" s="8" t="n">
        <v>164000</v>
      </c>
      <c r="H512" s="8" t="n">
        <v>50000</v>
      </c>
      <c r="I512" s="24" t="n">
        <v>51198.5</v>
      </c>
      <c r="J512" s="24" t="n">
        <v>8.859999999999999</v>
      </c>
      <c r="K512" s="24" t="n">
        <v>8.859999999999999</v>
      </c>
      <c r="L512" s="24" t="n">
        <v>8.859999999999999</v>
      </c>
      <c r="M512" s="24" t="n">
        <v>9.06</v>
      </c>
      <c r="N512" s="24" t="n">
        <v>9.06</v>
      </c>
      <c r="O512" s="24" t="n">
        <v>9.06</v>
      </c>
    </row>
    <row r="513">
      <c r="A513" s="11" t="n">
        <v>2243</v>
      </c>
      <c r="B513" s="3" t="n">
        <v>42613</v>
      </c>
      <c r="C513" s="25" t="inlineStr">
        <is>
          <t>GELENEKSEL</t>
        </is>
      </c>
      <c r="D513" s="3" t="n">
        <v>42614</v>
      </c>
      <c r="E513" s="3" t="n">
        <v>43551</v>
      </c>
      <c r="F513" s="25"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3" t="n">
        <v>42615</v>
      </c>
      <c r="C514" s="22" t="inlineStr">
        <is>
          <t>GELENEKSEL</t>
        </is>
      </c>
      <c r="D514" s="23" t="n">
        <v>42618</v>
      </c>
      <c r="E514" s="23" t="n">
        <v>43418</v>
      </c>
      <c r="F514" s="22" t="inlineStr">
        <is>
          <t>TRT141118T19</t>
        </is>
      </c>
      <c r="G514" s="8" t="n">
        <v>140000</v>
      </c>
      <c r="H514" s="8" t="n">
        <v>50000</v>
      </c>
      <c r="I514" s="24" t="n">
        <v>51224</v>
      </c>
      <c r="J514" s="24" t="n">
        <v>8.890000000000001</v>
      </c>
      <c r="K514" s="24" t="n">
        <v>8.890000000000001</v>
      </c>
      <c r="L514" s="24" t="n">
        <v>8.890000000000001</v>
      </c>
      <c r="M514" s="24" t="n">
        <v>9.09</v>
      </c>
      <c r="N514" s="24" t="n">
        <v>9.09</v>
      </c>
      <c r="O514" s="24" t="n">
        <v>9.09</v>
      </c>
    </row>
    <row r="515">
      <c r="A515" s="11" t="n">
        <v>2245</v>
      </c>
      <c r="B515" s="3" t="n">
        <v>42615</v>
      </c>
      <c r="C515" s="25" t="inlineStr">
        <is>
          <t>GELENEKSEL</t>
        </is>
      </c>
      <c r="D515" s="3" t="n">
        <v>42618</v>
      </c>
      <c r="E515" s="3" t="n">
        <v>43866</v>
      </c>
      <c r="F515" s="25"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3" t="n">
        <v>42620</v>
      </c>
      <c r="C516" s="22" t="inlineStr">
        <is>
          <t>GELENEKSEL</t>
        </is>
      </c>
      <c r="D516" s="23" t="n">
        <v>42621</v>
      </c>
      <c r="E516" s="23" t="n">
        <v>43418</v>
      </c>
      <c r="F516" s="22" t="inlineStr">
        <is>
          <t>TRT141118T19</t>
        </is>
      </c>
      <c r="G516" s="8" t="n">
        <v>140000</v>
      </c>
      <c r="H516" s="8" t="n">
        <v>50000</v>
      </c>
      <c r="I516" s="24" t="n">
        <v>51431.5</v>
      </c>
      <c r="J516" s="24" t="n">
        <v>8.710000000000001</v>
      </c>
      <c r="K516" s="24" t="n">
        <v>8.720000000000001</v>
      </c>
      <c r="L516" s="24" t="n">
        <v>8.74</v>
      </c>
      <c r="M516" s="24" t="n">
        <v>8.9</v>
      </c>
      <c r="N516" s="24" t="n">
        <v>8.91</v>
      </c>
      <c r="O516" s="24" t="n">
        <v>8.93</v>
      </c>
    </row>
    <row r="517">
      <c r="A517" s="11" t="n">
        <v>2247</v>
      </c>
      <c r="B517" s="3" t="n">
        <v>42620</v>
      </c>
      <c r="C517" s="25" t="inlineStr">
        <is>
          <t>GELENEKSEL</t>
        </is>
      </c>
      <c r="D517" s="3" t="n">
        <v>42621</v>
      </c>
      <c r="E517" s="3" t="n">
        <v>43866</v>
      </c>
      <c r="F517" s="25"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3" t="n">
        <v>42622</v>
      </c>
      <c r="C518" s="22" t="inlineStr">
        <is>
          <t>GELENEKSEL</t>
        </is>
      </c>
      <c r="D518" s="23" t="n">
        <v>42629</v>
      </c>
      <c r="E518" s="23" t="n">
        <v>43271</v>
      </c>
      <c r="F518" s="22" t="inlineStr">
        <is>
          <t>TRT200618T18</t>
        </is>
      </c>
      <c r="G518" s="8" t="n">
        <v>247000</v>
      </c>
      <c r="H518" s="8" t="n">
        <v>50000</v>
      </c>
      <c r="I518" s="24" t="n">
        <v>50718</v>
      </c>
      <c r="J518" s="24" t="n">
        <v>8.609999999999999</v>
      </c>
      <c r="K518" s="24" t="n">
        <v>8.609999999999999</v>
      </c>
      <c r="L518" s="24" t="n">
        <v>8.609999999999999</v>
      </c>
      <c r="M518" s="24" t="n">
        <v>8.800000000000001</v>
      </c>
      <c r="N518" s="24" t="n">
        <v>8.800000000000001</v>
      </c>
      <c r="O518" s="24" t="n">
        <v>8.800000000000001</v>
      </c>
    </row>
    <row r="519">
      <c r="A519" s="11" t="n">
        <v>2249</v>
      </c>
      <c r="B519" s="3" t="n">
        <v>42622</v>
      </c>
      <c r="C519" s="25" t="inlineStr">
        <is>
          <t>GELENEKSEL</t>
        </is>
      </c>
      <c r="D519" s="3" t="n">
        <v>42629</v>
      </c>
      <c r="E519" s="3" t="n">
        <v>43866</v>
      </c>
      <c r="F519" s="25"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3" t="n">
        <v>42634</v>
      </c>
      <c r="C520" s="22" t="inlineStr">
        <is>
          <t>GELENEKSEL</t>
        </is>
      </c>
      <c r="D520" s="23" t="n">
        <v>42635</v>
      </c>
      <c r="E520" s="23" t="n">
        <v>43418</v>
      </c>
      <c r="F520" s="22" t="inlineStr">
        <is>
          <t>TRT141118T19</t>
        </is>
      </c>
      <c r="G520" s="8" t="n">
        <v>105000</v>
      </c>
      <c r="H520" s="8" t="n">
        <v>50000</v>
      </c>
      <c r="I520" s="24" t="n">
        <v>51654.45</v>
      </c>
      <c r="J520" s="24" t="n">
        <v>8.67</v>
      </c>
      <c r="K520" s="24" t="n">
        <v>8.67</v>
      </c>
      <c r="L520" s="24" t="n">
        <v>8.710000000000001</v>
      </c>
      <c r="M520" s="24" t="n">
        <v>8.859999999999999</v>
      </c>
      <c r="N520" s="24" t="n">
        <v>8.859999999999999</v>
      </c>
      <c r="O520" s="24" t="n">
        <v>8.9</v>
      </c>
    </row>
    <row r="521">
      <c r="A521" s="11" t="n">
        <v>2251</v>
      </c>
      <c r="B521" s="3" t="n">
        <v>42634</v>
      </c>
      <c r="C521" s="25" t="inlineStr">
        <is>
          <t>GELENEKSEL</t>
        </is>
      </c>
      <c r="D521" s="3" t="n">
        <v>42635</v>
      </c>
      <c r="E521" s="3" t="n">
        <v>43866</v>
      </c>
      <c r="F521" s="25"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3" t="n">
        <v>42636</v>
      </c>
      <c r="C522" s="22" t="inlineStr">
        <is>
          <t>GELENEKSEL</t>
        </is>
      </c>
      <c r="D522" s="23" t="n">
        <v>42639</v>
      </c>
      <c r="E522" s="23" t="n">
        <v>43551</v>
      </c>
      <c r="F522" s="22" t="inlineStr">
        <is>
          <t>TRT270319T13</t>
        </is>
      </c>
      <c r="G522" s="8" t="n">
        <v>89000</v>
      </c>
      <c r="H522" s="8" t="n">
        <v>50000</v>
      </c>
      <c r="I522" s="24" t="n">
        <v>54699.4</v>
      </c>
      <c r="J522" s="24" t="n">
        <v>8.460000000000001</v>
      </c>
      <c r="K522" s="24" t="n">
        <v>8.48</v>
      </c>
      <c r="L522" s="24" t="n">
        <v>8.49</v>
      </c>
      <c r="M522" s="24" t="n">
        <v>8.640000000000001</v>
      </c>
      <c r="N522" s="24" t="n">
        <v>8.66</v>
      </c>
      <c r="O522" s="24" t="n">
        <v>8.67</v>
      </c>
    </row>
    <row r="523">
      <c r="A523" s="11" t="n">
        <v>2253</v>
      </c>
      <c r="B523" s="3" t="n">
        <v>42636</v>
      </c>
      <c r="C523" s="25" t="inlineStr">
        <is>
          <t>GELENEKSEL</t>
        </is>
      </c>
      <c r="D523" s="3" t="n">
        <v>42639</v>
      </c>
      <c r="E523" s="3" t="n">
        <v>43866</v>
      </c>
      <c r="F523" s="25"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3" t="n">
        <v>42641</v>
      </c>
      <c r="C524" s="22" t="inlineStr">
        <is>
          <t>GELENEKSEL</t>
        </is>
      </c>
      <c r="D524" s="23" t="n">
        <v>42642</v>
      </c>
      <c r="E524" s="23" t="n">
        <v>43551</v>
      </c>
      <c r="F524" s="22" t="inlineStr">
        <is>
          <t>TRT270319T13</t>
        </is>
      </c>
      <c r="G524" s="8" t="n">
        <v>140000</v>
      </c>
      <c r="H524" s="8" t="n">
        <v>50000</v>
      </c>
      <c r="I524" s="24" t="n">
        <v>52015.5</v>
      </c>
      <c r="J524" s="24" t="n">
        <v>8.59</v>
      </c>
      <c r="K524" s="24" t="n">
        <v>8.59</v>
      </c>
      <c r="L524" s="24" t="n">
        <v>8.59</v>
      </c>
      <c r="M524" s="24" t="n">
        <v>8.77</v>
      </c>
      <c r="N524" s="24" t="n">
        <v>8.77</v>
      </c>
      <c r="O524" s="24" t="n">
        <v>8.77</v>
      </c>
    </row>
    <row r="525">
      <c r="A525" s="11" t="n">
        <v>2255</v>
      </c>
      <c r="B525" s="3" t="n">
        <v>42641</v>
      </c>
      <c r="C525" s="25" t="inlineStr">
        <is>
          <t>GELENEKSEL</t>
        </is>
      </c>
      <c r="D525" s="3" t="n">
        <v>42642</v>
      </c>
      <c r="E525" s="3" t="n">
        <v>43866</v>
      </c>
      <c r="F525" s="25"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3" t="n">
        <v>42643</v>
      </c>
      <c r="C526" s="22" t="inlineStr">
        <is>
          <t>GELENEKSEL</t>
        </is>
      </c>
      <c r="D526" s="23" t="n">
        <v>42646</v>
      </c>
      <c r="E526" s="23" t="n">
        <v>43271</v>
      </c>
      <c r="F526" s="22" t="inlineStr">
        <is>
          <t>TRT200618T18</t>
        </is>
      </c>
      <c r="G526" s="8" t="n">
        <v>208000</v>
      </c>
      <c r="H526" s="8" t="n">
        <v>50000</v>
      </c>
      <c r="I526" s="24" t="n">
        <v>51069.94</v>
      </c>
      <c r="J526" s="24" t="n">
        <v>8.42</v>
      </c>
      <c r="K526" s="24" t="n">
        <v>8.42</v>
      </c>
      <c r="L526" s="24" t="n">
        <v>8.42</v>
      </c>
      <c r="M526" s="24" t="n">
        <v>8.6</v>
      </c>
      <c r="N526" s="24" t="n">
        <v>8.6</v>
      </c>
      <c r="O526" s="24" t="n">
        <v>8.6</v>
      </c>
    </row>
    <row r="527">
      <c r="A527" s="11" t="n">
        <v>2257</v>
      </c>
      <c r="B527" s="3" t="n">
        <v>42643</v>
      </c>
      <c r="C527" s="25" t="inlineStr">
        <is>
          <t>GELENEKSEL</t>
        </is>
      </c>
      <c r="D527" s="3" t="n">
        <v>42646</v>
      </c>
      <c r="E527" s="3" t="n">
        <v>43866</v>
      </c>
      <c r="F527" s="25"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3" t="n">
        <v>42648</v>
      </c>
      <c r="C528" s="22" t="inlineStr">
        <is>
          <t>GELENEKSEL</t>
        </is>
      </c>
      <c r="D528" s="23" t="n">
        <v>42649</v>
      </c>
      <c r="E528" s="23" t="n">
        <v>44020</v>
      </c>
      <c r="F528" s="22" t="inlineStr">
        <is>
          <t>TRT080720T19</t>
        </is>
      </c>
      <c r="G528" s="8" t="n">
        <v>125000</v>
      </c>
      <c r="H528" s="8" t="n">
        <v>50000</v>
      </c>
      <c r="I528" s="24" t="n">
        <v>51831.89</v>
      </c>
      <c r="J528" s="24" t="n">
        <v>8.92</v>
      </c>
      <c r="K528" s="24" t="n">
        <v>8.93</v>
      </c>
      <c r="L528" s="24" t="n">
        <v>8.93</v>
      </c>
      <c r="M528" s="24" t="n">
        <v>9.109999999999999</v>
      </c>
      <c r="N528" s="24" t="n">
        <v>9.130000000000001</v>
      </c>
      <c r="O528" s="24" t="n">
        <v>9.130000000000001</v>
      </c>
    </row>
    <row r="529">
      <c r="A529" s="11" t="n">
        <v>2259</v>
      </c>
      <c r="B529" s="3" t="n">
        <v>42648</v>
      </c>
      <c r="C529" s="25" t="inlineStr">
        <is>
          <t>GELENEKSEL</t>
        </is>
      </c>
      <c r="D529" s="3" t="n">
        <v>42649</v>
      </c>
      <c r="E529" s="3" t="n">
        <v>43271</v>
      </c>
      <c r="F529" s="25"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3" t="n">
        <v>42650</v>
      </c>
      <c r="C530" s="22" t="inlineStr">
        <is>
          <t>GELENEKSEL</t>
        </is>
      </c>
      <c r="D530" s="23" t="n">
        <v>42653</v>
      </c>
      <c r="E530" s="23" t="n">
        <v>43418</v>
      </c>
      <c r="F530" s="22" t="inlineStr">
        <is>
          <t>TRT141118T19</t>
        </is>
      </c>
      <c r="G530" s="8" t="n">
        <v>187000</v>
      </c>
      <c r="H530" s="8" t="n">
        <v>50000</v>
      </c>
      <c r="I530" s="24" t="n">
        <v>52020</v>
      </c>
      <c r="J530" s="24" t="n">
        <v>8.52</v>
      </c>
      <c r="K530" s="24" t="n">
        <v>8.52</v>
      </c>
      <c r="L530" s="24" t="n">
        <v>8.52</v>
      </c>
      <c r="M530" s="24" t="n">
        <v>8.699999999999999</v>
      </c>
      <c r="N530" s="24" t="n">
        <v>8.699999999999999</v>
      </c>
      <c r="O530" s="24" t="n">
        <v>8.699999999999999</v>
      </c>
    </row>
    <row r="531">
      <c r="A531" s="11" t="n">
        <v>2261</v>
      </c>
      <c r="B531" s="3" t="n">
        <v>42650</v>
      </c>
      <c r="C531" s="25" t="inlineStr">
        <is>
          <t>GELENEKSEL</t>
        </is>
      </c>
      <c r="D531" s="3" t="n">
        <v>42653</v>
      </c>
      <c r="E531" s="3" t="n">
        <v>44020</v>
      </c>
      <c r="F531" s="25"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3" t="n">
        <v>42655</v>
      </c>
      <c r="C532" s="22" t="inlineStr">
        <is>
          <t>GELENEKSEL</t>
        </is>
      </c>
      <c r="D532" s="23" t="n">
        <v>42656</v>
      </c>
      <c r="E532" s="23" t="n">
        <v>44020</v>
      </c>
      <c r="F532" s="22" t="inlineStr">
        <is>
          <t>TRT080720T19</t>
        </is>
      </c>
      <c r="G532" s="8" t="n">
        <v>190000</v>
      </c>
      <c r="H532" s="8" t="n">
        <v>50000</v>
      </c>
      <c r="I532" s="24" t="n">
        <v>51585</v>
      </c>
      <c r="J532" s="24" t="n">
        <v>9.130000000000001</v>
      </c>
      <c r="K532" s="24" t="n">
        <v>9.130000000000001</v>
      </c>
      <c r="L532" s="24" t="n">
        <v>9.130000000000001</v>
      </c>
      <c r="M532" s="24" t="n">
        <v>9.34</v>
      </c>
      <c r="N532" s="24" t="n">
        <v>9.34</v>
      </c>
      <c r="O532" s="24" t="n">
        <v>9.34</v>
      </c>
    </row>
    <row r="533">
      <c r="A533" s="11" t="n">
        <v>2263</v>
      </c>
      <c r="B533" s="3" t="n">
        <v>42655</v>
      </c>
      <c r="C533" s="25" t="inlineStr">
        <is>
          <t>GELENEKSEL</t>
        </is>
      </c>
      <c r="D533" s="3" t="n">
        <v>42656</v>
      </c>
      <c r="E533" s="3" t="n">
        <v>43271</v>
      </c>
      <c r="F533" s="25"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3" t="n">
        <v>42657</v>
      </c>
      <c r="C534" s="22" t="inlineStr">
        <is>
          <t>GELENEKSEL</t>
        </is>
      </c>
      <c r="D534" s="23" t="n">
        <v>42660</v>
      </c>
      <c r="E534" s="23" t="n">
        <v>44020</v>
      </c>
      <c r="F534" s="22" t="inlineStr">
        <is>
          <t>TRT080720T19</t>
        </is>
      </c>
      <c r="G534" s="8" t="n">
        <v>150000</v>
      </c>
      <c r="H534" s="8" t="n">
        <v>50000</v>
      </c>
      <c r="I534" s="24" t="n">
        <v>51487</v>
      </c>
      <c r="J534" s="24" t="n">
        <v>9.23</v>
      </c>
      <c r="K534" s="24" t="n">
        <v>9.23</v>
      </c>
      <c r="L534" s="24" t="n">
        <v>9.23</v>
      </c>
      <c r="M534" s="24" t="n">
        <v>9.44</v>
      </c>
      <c r="N534" s="24" t="n">
        <v>9.44</v>
      </c>
      <c r="O534" s="24" t="n">
        <v>9.44</v>
      </c>
    </row>
    <row r="535">
      <c r="A535" s="11" t="n">
        <v>2265</v>
      </c>
      <c r="B535" s="3" t="n">
        <v>42657</v>
      </c>
      <c r="C535" s="25" t="inlineStr">
        <is>
          <t>GELENEKSEL</t>
        </is>
      </c>
      <c r="D535" s="3" t="n">
        <v>42660</v>
      </c>
      <c r="E535" s="3" t="n">
        <v>43418</v>
      </c>
      <c r="F535" s="25"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3" t="n">
        <v>42662</v>
      </c>
      <c r="C536" s="22" t="inlineStr">
        <is>
          <t>GELENEKSEL</t>
        </is>
      </c>
      <c r="D536" s="23" t="n">
        <v>42663</v>
      </c>
      <c r="E536" s="23" t="n">
        <v>43866</v>
      </c>
      <c r="F536" s="22" t="inlineStr">
        <is>
          <t>TRT050220T17</t>
        </is>
      </c>
      <c r="G536" s="8" t="n">
        <v>142000</v>
      </c>
      <c r="H536" s="8" t="n">
        <v>50000</v>
      </c>
      <c r="I536" s="24" t="n">
        <v>48242.95</v>
      </c>
      <c r="J536" s="24" t="n">
        <v>9.119999999999999</v>
      </c>
      <c r="K536" s="24" t="n">
        <v>9.17</v>
      </c>
      <c r="L536" s="24" t="n">
        <v>9.17</v>
      </c>
      <c r="M536" s="24" t="n">
        <v>9.33</v>
      </c>
      <c r="N536" s="24" t="n">
        <v>9.380000000000001</v>
      </c>
      <c r="O536" s="24" t="n">
        <v>9.380000000000001</v>
      </c>
    </row>
    <row r="537">
      <c r="A537" s="11" t="n">
        <v>2267</v>
      </c>
      <c r="B537" s="3" t="n">
        <v>42662</v>
      </c>
      <c r="C537" s="25" t="inlineStr">
        <is>
          <t>GELENEKSEL</t>
        </is>
      </c>
      <c r="D537" s="3" t="n">
        <v>42663</v>
      </c>
      <c r="E537" s="3" t="n">
        <v>44020</v>
      </c>
      <c r="F537" s="25"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3" t="n">
        <v>42664</v>
      </c>
      <c r="C538" s="22" t="inlineStr">
        <is>
          <t>GELENEKSEL</t>
        </is>
      </c>
      <c r="D538" s="23" t="n">
        <v>42667</v>
      </c>
      <c r="E538" s="23" t="n">
        <v>43271</v>
      </c>
      <c r="F538" s="22" t="inlineStr">
        <is>
          <t>TRT200618T18</t>
        </is>
      </c>
      <c r="G538" s="8" t="n">
        <v>219000</v>
      </c>
      <c r="H538" s="8" t="n">
        <v>50000</v>
      </c>
      <c r="I538" s="24" t="n">
        <v>51083.5</v>
      </c>
      <c r="J538" s="24" t="n">
        <v>8.74</v>
      </c>
      <c r="K538" s="24" t="n">
        <v>8.74</v>
      </c>
      <c r="L538" s="24" t="n">
        <v>8.74</v>
      </c>
      <c r="M538" s="24" t="n">
        <v>8.93</v>
      </c>
      <c r="N538" s="24" t="n">
        <v>8.93</v>
      </c>
      <c r="O538" s="24" t="n">
        <v>8.93</v>
      </c>
    </row>
    <row r="539">
      <c r="A539" s="11" t="n">
        <v>2269</v>
      </c>
      <c r="B539" s="3" t="n">
        <v>42664</v>
      </c>
      <c r="C539" s="25" t="inlineStr">
        <is>
          <t>GELENEKSEL</t>
        </is>
      </c>
      <c r="D539" s="3" t="n">
        <v>42667</v>
      </c>
      <c r="E539" s="3" t="n">
        <v>44020</v>
      </c>
      <c r="F539" s="25"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3" t="n">
        <v>42669</v>
      </c>
      <c r="C540" s="22" t="inlineStr">
        <is>
          <t>GELENEKSEL</t>
        </is>
      </c>
      <c r="D540" s="23" t="n">
        <v>42670</v>
      </c>
      <c r="E540" s="23" t="n">
        <v>43418</v>
      </c>
      <c r="F540" s="22" t="inlineStr">
        <is>
          <t>TRT141118T19</t>
        </is>
      </c>
      <c r="G540" s="8" t="n">
        <v>200000</v>
      </c>
      <c r="H540" s="8" t="n">
        <v>50000</v>
      </c>
      <c r="I540" s="24" t="n">
        <v>51874.5</v>
      </c>
      <c r="J540" s="24" t="n">
        <v>8.890000000000001</v>
      </c>
      <c r="K540" s="24" t="n">
        <v>8.890000000000001</v>
      </c>
      <c r="L540" s="24" t="n">
        <v>8.890000000000001</v>
      </c>
      <c r="M540" s="24" t="n">
        <v>9.09</v>
      </c>
      <c r="N540" s="24" t="n">
        <v>9.09</v>
      </c>
      <c r="O540" s="24" t="n">
        <v>9.09</v>
      </c>
    </row>
    <row r="541">
      <c r="A541" s="11" t="n">
        <v>2271</v>
      </c>
      <c r="B541" s="3" t="n">
        <v>42669</v>
      </c>
      <c r="C541" s="25" t="inlineStr">
        <is>
          <t>GELENEKSEL</t>
        </is>
      </c>
      <c r="D541" s="3" t="n">
        <v>42670</v>
      </c>
      <c r="E541" s="3" t="n">
        <v>44020</v>
      </c>
      <c r="F541" s="25"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3" t="n">
        <v>42671</v>
      </c>
      <c r="C542" s="22" t="inlineStr">
        <is>
          <t>GELENEKSEL</t>
        </is>
      </c>
      <c r="D542" s="23" t="n">
        <v>42674</v>
      </c>
      <c r="E542" s="23" t="n">
        <v>44020</v>
      </c>
      <c r="F542" s="22" t="inlineStr">
        <is>
          <t>TRT080720T19</t>
        </is>
      </c>
      <c r="G542" s="8" t="n">
        <v>115000</v>
      </c>
      <c r="H542" s="8" t="n">
        <v>50000</v>
      </c>
      <c r="I542" s="24" t="n">
        <v>51339.6</v>
      </c>
      <c r="J542" s="24" t="n">
        <v>9.449999999999999</v>
      </c>
      <c r="K542" s="24" t="n">
        <v>9.449999999999999</v>
      </c>
      <c r="L542" s="24" t="n">
        <v>9.460000000000001</v>
      </c>
      <c r="M542" s="24" t="n">
        <v>9.67</v>
      </c>
      <c r="N542" s="24" t="n">
        <v>9.67</v>
      </c>
      <c r="O542" s="24" t="n">
        <v>9.69</v>
      </c>
    </row>
    <row r="543">
      <c r="A543" s="11" t="n">
        <v>2273</v>
      </c>
      <c r="B543" s="3" t="n">
        <v>42671</v>
      </c>
      <c r="C543" s="25" t="inlineStr">
        <is>
          <t>GELENEKSEL</t>
        </is>
      </c>
      <c r="D543" s="3" t="n">
        <v>42674</v>
      </c>
      <c r="E543" s="3" t="n">
        <v>43271</v>
      </c>
      <c r="F543" s="25"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3" t="n">
        <v>42676</v>
      </c>
      <c r="C544" s="22" t="inlineStr">
        <is>
          <t>GELENEKSEL</t>
        </is>
      </c>
      <c r="D544" s="23" t="n">
        <v>42677</v>
      </c>
      <c r="E544" s="23" t="n">
        <v>44020</v>
      </c>
      <c r="F544" s="22" t="inlineStr">
        <is>
          <t>TRT080720T19</t>
        </is>
      </c>
      <c r="G544" s="8" t="n">
        <v>175000</v>
      </c>
      <c r="H544" s="8" t="n">
        <v>50000</v>
      </c>
      <c r="I544" s="24" t="n">
        <v>51050.25</v>
      </c>
      <c r="J544" s="24" t="n">
        <v>9.65</v>
      </c>
      <c r="K544" s="24" t="n">
        <v>9.67</v>
      </c>
      <c r="L544" s="24" t="n">
        <v>9.67</v>
      </c>
      <c r="M544" s="24" t="n">
        <v>9.880000000000001</v>
      </c>
      <c r="N544" s="24" t="n">
        <v>9.9</v>
      </c>
      <c r="O544" s="24" t="n">
        <v>9.9</v>
      </c>
    </row>
    <row r="545">
      <c r="A545" s="11" t="n">
        <v>2275</v>
      </c>
      <c r="B545" s="3" t="n">
        <v>42676</v>
      </c>
      <c r="C545" s="25" t="inlineStr">
        <is>
          <t>GELENEKSEL</t>
        </is>
      </c>
      <c r="D545" s="3" t="n">
        <v>42677</v>
      </c>
      <c r="E545" s="3" t="n">
        <v>43418</v>
      </c>
      <c r="F545" s="25"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3" t="n">
        <v>42678</v>
      </c>
      <c r="C546" s="22" t="inlineStr">
        <is>
          <t>GELENEKSEL</t>
        </is>
      </c>
      <c r="D546" s="23" t="n">
        <v>42681</v>
      </c>
      <c r="E546" s="23" t="n">
        <v>44020</v>
      </c>
      <c r="F546" s="22" t="inlineStr">
        <is>
          <t>TRT080720T19</t>
        </is>
      </c>
      <c r="G546" s="8" t="n">
        <v>178000</v>
      </c>
      <c r="H546" s="8" t="n">
        <v>50000</v>
      </c>
      <c r="I546" s="24" t="n">
        <v>50917.23</v>
      </c>
      <c r="J546" s="24" t="n">
        <v>9.77</v>
      </c>
      <c r="K546" s="24" t="n">
        <v>9.789999999999999</v>
      </c>
      <c r="L546" s="24" t="n">
        <v>9.789999999999999</v>
      </c>
      <c r="M546" s="24" t="n">
        <v>10.01</v>
      </c>
      <c r="N546" s="24" t="n">
        <v>10.03</v>
      </c>
      <c r="O546" s="24" t="n">
        <v>10.03</v>
      </c>
    </row>
    <row r="547">
      <c r="A547" s="11" t="n">
        <v>2277</v>
      </c>
      <c r="B547" s="3" t="n">
        <v>42678</v>
      </c>
      <c r="C547" s="25" t="inlineStr">
        <is>
          <t>GELENEKSEL</t>
        </is>
      </c>
      <c r="D547" s="3" t="n">
        <v>42681</v>
      </c>
      <c r="E547" s="3" t="n">
        <v>43866</v>
      </c>
      <c r="F547" s="25"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3" t="n">
        <v>42683</v>
      </c>
      <c r="C548" s="22" t="inlineStr">
        <is>
          <t>GELENEKSEL</t>
        </is>
      </c>
      <c r="D548" s="23" t="n">
        <v>42684</v>
      </c>
      <c r="E548" s="23" t="n">
        <v>43271</v>
      </c>
      <c r="F548" s="22" t="inlineStr">
        <is>
          <t>TRT200618T18</t>
        </is>
      </c>
      <c r="G548" s="8" t="n">
        <v>150000</v>
      </c>
      <c r="H548" s="8" t="n">
        <v>50000</v>
      </c>
      <c r="I548" s="24" t="n">
        <v>50848.5</v>
      </c>
      <c r="J548" s="24" t="n">
        <v>9.33</v>
      </c>
      <c r="K548" s="24" t="n">
        <v>9.33</v>
      </c>
      <c r="L548" s="24" t="n">
        <v>9.33</v>
      </c>
      <c r="M548" s="24" t="n">
        <v>9.550000000000001</v>
      </c>
      <c r="N548" s="24" t="n">
        <v>9.550000000000001</v>
      </c>
      <c r="O548" s="24" t="n">
        <v>9.550000000000001</v>
      </c>
    </row>
    <row r="549">
      <c r="A549" s="11" t="n">
        <v>2279</v>
      </c>
      <c r="B549" s="3" t="n">
        <v>42683</v>
      </c>
      <c r="C549" s="25" t="inlineStr">
        <is>
          <t>GELENEKSEL</t>
        </is>
      </c>
      <c r="D549" s="3" t="n">
        <v>42684</v>
      </c>
      <c r="E549" s="3" t="n">
        <v>44020</v>
      </c>
      <c r="F549" s="25"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3" t="n">
        <v>42685</v>
      </c>
      <c r="C550" s="22" t="inlineStr">
        <is>
          <t>GELENEKSEL</t>
        </is>
      </c>
      <c r="D550" s="23" t="n">
        <v>42688</v>
      </c>
      <c r="E550" s="23" t="n">
        <v>43418</v>
      </c>
      <c r="F550" s="22" t="inlineStr">
        <is>
          <t>TRT141118T19</t>
        </is>
      </c>
      <c r="G550" s="8" t="n">
        <v>170000</v>
      </c>
      <c r="H550" s="8" t="n">
        <v>50000</v>
      </c>
      <c r="I550" s="24" t="n">
        <v>51423.5</v>
      </c>
      <c r="J550" s="24" t="n">
        <v>9.640000000000001</v>
      </c>
      <c r="K550" s="24" t="n">
        <v>9.640000000000001</v>
      </c>
      <c r="L550" s="24" t="n">
        <v>9.640000000000001</v>
      </c>
      <c r="M550" s="24" t="n">
        <v>9.880000000000001</v>
      </c>
      <c r="N550" s="24" t="n">
        <v>9.880000000000001</v>
      </c>
      <c r="O550" s="24" t="n">
        <v>9.880000000000001</v>
      </c>
    </row>
    <row r="551">
      <c r="A551" s="11" t="n">
        <v>2281</v>
      </c>
      <c r="B551" s="3" t="n">
        <v>42685</v>
      </c>
      <c r="C551" s="25" t="inlineStr">
        <is>
          <t>GELENEKSEL</t>
        </is>
      </c>
      <c r="D551" s="3" t="n">
        <v>42688</v>
      </c>
      <c r="E551" s="3" t="n">
        <v>44020</v>
      </c>
      <c r="F551" s="25"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3" t="n">
        <v>42690</v>
      </c>
      <c r="C552" s="22" t="inlineStr">
        <is>
          <t>GELENEKSEL</t>
        </is>
      </c>
      <c r="D552" s="23" t="n">
        <v>42691</v>
      </c>
      <c r="E552" s="23" t="n">
        <v>44020</v>
      </c>
      <c r="F552" s="22" t="inlineStr">
        <is>
          <t>TRT080720T19</t>
        </is>
      </c>
      <c r="G552" s="8" t="n">
        <v>130000</v>
      </c>
      <c r="H552" s="8" t="n">
        <v>50000</v>
      </c>
      <c r="I552" s="24" t="n">
        <v>49957.44</v>
      </c>
      <c r="J552" s="24" t="n">
        <v>10.52</v>
      </c>
      <c r="K552" s="24" t="n">
        <v>10.52</v>
      </c>
      <c r="L552" s="24" t="n">
        <v>10.54</v>
      </c>
      <c r="M552" s="24" t="n">
        <v>10.8</v>
      </c>
      <c r="N552" s="24" t="n">
        <v>10.8</v>
      </c>
      <c r="O552" s="24" t="n">
        <v>10.82</v>
      </c>
    </row>
    <row r="553">
      <c r="A553" s="11" t="n">
        <v>2283</v>
      </c>
      <c r="B553" s="3" t="n">
        <v>42690</v>
      </c>
      <c r="C553" s="25" t="inlineStr">
        <is>
          <t>GELENEKSEL</t>
        </is>
      </c>
      <c r="D553" s="3" t="n">
        <v>42691</v>
      </c>
      <c r="E553" s="3" t="n">
        <v>43551</v>
      </c>
      <c r="F553" s="25"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3" t="n">
        <v>42692</v>
      </c>
      <c r="C554" s="22" t="inlineStr">
        <is>
          <t>GELENEKSEL</t>
        </is>
      </c>
      <c r="D554" s="23" t="n">
        <v>42695</v>
      </c>
      <c r="E554" s="23" t="n">
        <v>44020</v>
      </c>
      <c r="F554" s="22" t="inlineStr">
        <is>
          <t>TRT080720T19</t>
        </is>
      </c>
      <c r="G554" s="8" t="n">
        <v>150000</v>
      </c>
      <c r="H554" s="8" t="n">
        <v>50000</v>
      </c>
      <c r="I554" s="24" t="n">
        <v>49784</v>
      </c>
      <c r="J554" s="24" t="n">
        <v>10.68</v>
      </c>
      <c r="K554" s="24" t="n">
        <v>10.68</v>
      </c>
      <c r="L554" s="24" t="n">
        <v>10.68</v>
      </c>
      <c r="M554" s="24" t="n">
        <v>10.97</v>
      </c>
      <c r="N554" s="24" t="n">
        <v>10.97</v>
      </c>
      <c r="O554" s="24" t="n">
        <v>10.97</v>
      </c>
    </row>
    <row r="555">
      <c r="A555" s="11" t="n">
        <v>2285</v>
      </c>
      <c r="B555" s="3" t="n">
        <v>42692</v>
      </c>
      <c r="C555" s="25" t="inlineStr">
        <is>
          <t>GELENEKSEL</t>
        </is>
      </c>
      <c r="D555" s="3" t="n">
        <v>42695</v>
      </c>
      <c r="E555" s="3" t="n">
        <v>43271</v>
      </c>
      <c r="F555" s="25"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3" t="n">
        <v>42697</v>
      </c>
      <c r="C556" s="22" t="inlineStr">
        <is>
          <t>GELENEKSEL</t>
        </is>
      </c>
      <c r="D556" s="23" t="n">
        <v>42698</v>
      </c>
      <c r="E556" s="23" t="n">
        <v>44020</v>
      </c>
      <c r="F556" s="22" t="inlineStr">
        <is>
          <t>TRT080720T19</t>
        </is>
      </c>
      <c r="G556" s="8" t="n">
        <v>164000</v>
      </c>
      <c r="H556" s="8" t="n">
        <v>50000</v>
      </c>
      <c r="I556" s="24" t="n">
        <v>49707.33</v>
      </c>
      <c r="J556" s="24" t="n">
        <v>10.74</v>
      </c>
      <c r="K556" s="24" t="n">
        <v>10.77</v>
      </c>
      <c r="L556" s="24" t="n">
        <v>10.81</v>
      </c>
      <c r="M556" s="24" t="n">
        <v>11.03</v>
      </c>
      <c r="N556" s="24" t="n">
        <v>11.07</v>
      </c>
      <c r="O556" s="24" t="n">
        <v>11.1</v>
      </c>
    </row>
    <row r="557">
      <c r="A557" s="11" t="n">
        <v>2287</v>
      </c>
      <c r="B557" s="3" t="n">
        <v>42697</v>
      </c>
      <c r="C557" s="25" t="inlineStr">
        <is>
          <t>GELENEKSEL</t>
        </is>
      </c>
      <c r="D557" s="3" t="n">
        <v>42698</v>
      </c>
      <c r="E557" s="3" t="n">
        <v>43866</v>
      </c>
      <c r="F557" s="25"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3" t="n">
        <v>42699</v>
      </c>
      <c r="C558" s="22" t="inlineStr">
        <is>
          <t>GELENEKSEL</t>
        </is>
      </c>
      <c r="D558" s="23" t="n">
        <v>42702</v>
      </c>
      <c r="E558" s="23" t="n">
        <v>44020</v>
      </c>
      <c r="F558" s="22" t="inlineStr">
        <is>
          <t>TRT080720T19</t>
        </is>
      </c>
      <c r="G558" s="8" t="n">
        <v>130000</v>
      </c>
      <c r="H558" s="8" t="n">
        <v>50000</v>
      </c>
      <c r="I558" s="24" t="n">
        <v>49769</v>
      </c>
      <c r="J558" s="24" t="n">
        <v>10.76</v>
      </c>
      <c r="K558" s="24" t="n">
        <v>10.76</v>
      </c>
      <c r="L558" s="24" t="n">
        <v>10.77</v>
      </c>
      <c r="M558" s="24" t="n">
        <v>11.05</v>
      </c>
      <c r="N558" s="24" t="n">
        <v>11.05</v>
      </c>
      <c r="O558" s="24" t="n">
        <v>11.07</v>
      </c>
    </row>
    <row r="559">
      <c r="A559" s="11" t="n">
        <v>2289</v>
      </c>
      <c r="B559" s="3" t="n">
        <v>42699</v>
      </c>
      <c r="C559" s="25" t="inlineStr">
        <is>
          <t>GELENEKSEL</t>
        </is>
      </c>
      <c r="D559" s="3" t="n">
        <v>42702</v>
      </c>
      <c r="E559" s="3" t="n">
        <v>43418</v>
      </c>
      <c r="F559" s="25"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3" t="n">
        <v>42704</v>
      </c>
      <c r="C560" s="22" t="inlineStr">
        <is>
          <t>GELENEKSEL</t>
        </is>
      </c>
      <c r="D560" s="23" t="n">
        <v>42705</v>
      </c>
      <c r="E560" s="23" t="n">
        <v>43551</v>
      </c>
      <c r="F560" s="22" t="inlineStr">
        <is>
          <t>TRT270319T13</t>
        </is>
      </c>
      <c r="G560" s="8" t="n">
        <v>160000</v>
      </c>
      <c r="H560" s="8" t="n">
        <v>50000</v>
      </c>
      <c r="I560" s="24" t="n">
        <v>51064.5</v>
      </c>
      <c r="J560" s="24" t="n">
        <v>10.24</v>
      </c>
      <c r="K560" s="24" t="n">
        <v>10.24</v>
      </c>
      <c r="L560" s="24" t="n">
        <v>10.24</v>
      </c>
      <c r="M560" s="24" t="n">
        <v>10.51</v>
      </c>
      <c r="N560" s="24" t="n">
        <v>10.51</v>
      </c>
      <c r="O560" s="24" t="n">
        <v>10.51</v>
      </c>
    </row>
    <row r="561">
      <c r="A561" s="11" t="n">
        <v>2291</v>
      </c>
      <c r="B561" s="3" t="n">
        <v>42704</v>
      </c>
      <c r="C561" s="25" t="inlineStr">
        <is>
          <t>GELENEKSEL</t>
        </is>
      </c>
      <c r="D561" s="3" t="n">
        <v>42705</v>
      </c>
      <c r="E561" s="3" t="n">
        <v>44020</v>
      </c>
      <c r="F561" s="25"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3" t="n">
        <v>42706</v>
      </c>
      <c r="C562" s="22" t="inlineStr">
        <is>
          <t>GELENEKSEL</t>
        </is>
      </c>
      <c r="D562" s="23" t="n">
        <v>42709</v>
      </c>
      <c r="E562" s="23" t="n">
        <v>43145</v>
      </c>
      <c r="F562" s="22" t="inlineStr">
        <is>
          <t>TRT140218T10</t>
        </is>
      </c>
      <c r="G562" s="8" t="n">
        <v>125000</v>
      </c>
      <c r="H562" s="8" t="n">
        <v>75000</v>
      </c>
      <c r="I562" s="24" t="n">
        <v>73063.5</v>
      </c>
      <c r="J562" s="24" t="n">
        <v>10.33</v>
      </c>
      <c r="K562" s="24" t="n">
        <v>10.36</v>
      </c>
      <c r="L562" s="24" t="n">
        <v>10.36</v>
      </c>
      <c r="M562" s="24" t="n">
        <v>10.6</v>
      </c>
      <c r="N562" s="24" t="n">
        <v>10.63</v>
      </c>
      <c r="O562" s="24" t="n">
        <v>10.63</v>
      </c>
    </row>
    <row r="563">
      <c r="A563" s="11" t="n">
        <v>2293</v>
      </c>
      <c r="B563" s="3" t="n">
        <v>42706</v>
      </c>
      <c r="C563" s="25" t="inlineStr">
        <is>
          <t>GELENEKSEL</t>
        </is>
      </c>
      <c r="D563" s="3" t="n">
        <v>42709</v>
      </c>
      <c r="E563" s="3" t="n">
        <v>43271</v>
      </c>
      <c r="F563" s="25"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3" t="n">
        <v>42711</v>
      </c>
      <c r="C564" s="22" t="inlineStr">
        <is>
          <t>GELENEKSEL</t>
        </is>
      </c>
      <c r="D564" s="23" t="n">
        <v>42712</v>
      </c>
      <c r="E564" s="23" t="n">
        <v>43418</v>
      </c>
      <c r="F564" s="22" t="inlineStr">
        <is>
          <t>TRT141118T19</t>
        </is>
      </c>
      <c r="G564" s="8" t="n">
        <v>274000</v>
      </c>
      <c r="H564" s="8" t="n">
        <v>75000</v>
      </c>
      <c r="I564" s="24" t="n">
        <v>73307.83</v>
      </c>
      <c r="J564" s="24" t="n">
        <v>10.42</v>
      </c>
      <c r="K564" s="24" t="n">
        <v>10.42</v>
      </c>
      <c r="L564" s="24" t="n">
        <v>10.42</v>
      </c>
      <c r="M564" s="24" t="n">
        <v>10.7</v>
      </c>
      <c r="N564" s="24" t="n">
        <v>10.7</v>
      </c>
      <c r="O564" s="24" t="n">
        <v>10.7</v>
      </c>
    </row>
    <row r="565">
      <c r="A565" s="11" t="n">
        <v>2295</v>
      </c>
      <c r="B565" s="3" t="n">
        <v>42711</v>
      </c>
      <c r="C565" s="25" t="inlineStr">
        <is>
          <t>GELENEKSEL</t>
        </is>
      </c>
      <c r="D565" s="3" t="n">
        <v>42712</v>
      </c>
      <c r="E565" s="3" t="n">
        <v>43145</v>
      </c>
      <c r="F565" s="25"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3" t="n">
        <v>42713</v>
      </c>
      <c r="C566" s="22" t="inlineStr">
        <is>
          <t>GELENEKSEL</t>
        </is>
      </c>
      <c r="D566" s="23" t="n">
        <v>42716</v>
      </c>
      <c r="E566" s="23" t="n">
        <v>43271</v>
      </c>
      <c r="F566" s="22" t="inlineStr">
        <is>
          <t>TRT200618T18</t>
        </is>
      </c>
      <c r="G566" s="8" t="n">
        <v>180000</v>
      </c>
      <c r="H566" s="8" t="n">
        <v>75000</v>
      </c>
      <c r="I566" s="24" t="n">
        <v>75658.5</v>
      </c>
      <c r="J566" s="24" t="n">
        <v>10.52</v>
      </c>
      <c r="K566" s="24" t="n">
        <v>10.52</v>
      </c>
      <c r="L566" s="24" t="n">
        <v>10.52</v>
      </c>
      <c r="M566" s="24" t="n">
        <v>10.8</v>
      </c>
      <c r="N566" s="24" t="n">
        <v>10.8</v>
      </c>
      <c r="O566" s="24" t="n">
        <v>10.8</v>
      </c>
    </row>
    <row r="567">
      <c r="A567" s="11" t="n">
        <v>2297</v>
      </c>
      <c r="B567" s="3" t="n">
        <v>42713</v>
      </c>
      <c r="C567" s="25" t="inlineStr">
        <is>
          <t>GELENEKSEL</t>
        </is>
      </c>
      <c r="D567" s="3" t="n">
        <v>42716</v>
      </c>
      <c r="E567" s="3" t="n">
        <v>43418</v>
      </c>
      <c r="F567" s="25"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3" t="n">
        <v>42718</v>
      </c>
      <c r="C568" s="22" t="inlineStr">
        <is>
          <t>GELENEKSEL</t>
        </is>
      </c>
      <c r="D568" s="23" t="n">
        <v>42719</v>
      </c>
      <c r="E568" s="23" t="n">
        <v>43145</v>
      </c>
      <c r="F568" s="22" t="inlineStr">
        <is>
          <t>TRT140218T10</t>
        </is>
      </c>
      <c r="G568" s="8" t="n">
        <v>130000</v>
      </c>
      <c r="H568" s="8" t="n">
        <v>75000</v>
      </c>
      <c r="I568" s="24" t="n">
        <v>73484.8</v>
      </c>
      <c r="J568" s="24" t="n">
        <v>9.99</v>
      </c>
      <c r="K568" s="24" t="n">
        <v>10.08</v>
      </c>
      <c r="L568" s="24" t="n">
        <v>10.11</v>
      </c>
      <c r="M568" s="24" t="n">
        <v>10.24</v>
      </c>
      <c r="N568" s="24" t="n">
        <v>10.34</v>
      </c>
      <c r="O568" s="24" t="n">
        <v>10.37</v>
      </c>
    </row>
    <row r="569">
      <c r="A569" s="11" t="n">
        <v>2299</v>
      </c>
      <c r="B569" s="3" t="n">
        <v>42718</v>
      </c>
      <c r="C569" s="25" t="inlineStr">
        <is>
          <t>GELENEKSEL</t>
        </is>
      </c>
      <c r="D569" s="3" t="n">
        <v>42719</v>
      </c>
      <c r="E569" s="3" t="n">
        <v>43271</v>
      </c>
      <c r="F569" s="25"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3" t="n">
        <v>42720</v>
      </c>
      <c r="C570" s="22" t="inlineStr">
        <is>
          <t>GELENEKSEL</t>
        </is>
      </c>
      <c r="D570" s="23" t="n">
        <v>42723</v>
      </c>
      <c r="E570" s="23" t="n">
        <v>42900</v>
      </c>
      <c r="F570" s="22" t="inlineStr">
        <is>
          <t>TRT140617T17</t>
        </is>
      </c>
      <c r="G570" s="8" t="n">
        <v>125000</v>
      </c>
      <c r="H570" s="8" t="n">
        <v>75000</v>
      </c>
      <c r="I570" s="24" t="n">
        <v>75382.5</v>
      </c>
      <c r="J570" s="24" t="n">
        <v>8.76</v>
      </c>
      <c r="K570" s="24" t="n">
        <v>8.800000000000001</v>
      </c>
      <c r="L570" s="24" t="n">
        <v>8.859999999999999</v>
      </c>
      <c r="M570" s="24" t="n">
        <v>8.960000000000001</v>
      </c>
      <c r="N570" s="24" t="n">
        <v>9</v>
      </c>
      <c r="O570" s="24" t="n">
        <v>9.06</v>
      </c>
    </row>
    <row r="571">
      <c r="A571" s="11" t="n">
        <v>2301</v>
      </c>
      <c r="B571" s="3" t="n">
        <v>42720</v>
      </c>
      <c r="C571" s="25" t="inlineStr">
        <is>
          <t>GELENEKSEL</t>
        </is>
      </c>
      <c r="D571" s="3" t="n">
        <v>42723</v>
      </c>
      <c r="E571" s="3" t="n">
        <v>43418</v>
      </c>
      <c r="F571" s="25"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3" t="n">
        <v>42725</v>
      </c>
      <c r="C572" s="22" t="inlineStr">
        <is>
          <t>GELENEKSEL</t>
        </is>
      </c>
      <c r="D572" s="23" t="n">
        <v>42726</v>
      </c>
      <c r="E572" s="23" t="n">
        <v>42802</v>
      </c>
      <c r="F572" s="22" t="inlineStr">
        <is>
          <t>TRT080317T18</t>
        </is>
      </c>
      <c r="G572" s="8" t="n">
        <v>84000</v>
      </c>
      <c r="H572" s="8" t="n">
        <v>75000</v>
      </c>
      <c r="I572" s="24" t="n">
        <v>77060.39</v>
      </c>
      <c r="J572" s="24" t="n">
        <v>8.109999999999999</v>
      </c>
      <c r="K572" s="24" t="n">
        <v>8.19</v>
      </c>
      <c r="L572" s="24" t="n">
        <v>8.32</v>
      </c>
      <c r="M572" s="24" t="n">
        <v>8.380000000000001</v>
      </c>
      <c r="N572" s="24" t="n">
        <v>8.460000000000001</v>
      </c>
      <c r="O572" s="24" t="n">
        <v>8.6</v>
      </c>
    </row>
    <row r="573">
      <c r="A573" s="11" t="n">
        <v>2303</v>
      </c>
      <c r="B573" s="3" t="n">
        <v>42725</v>
      </c>
      <c r="C573" s="25" t="inlineStr">
        <is>
          <t>GELENEKSEL</t>
        </is>
      </c>
      <c r="D573" s="3" t="n">
        <v>42726</v>
      </c>
      <c r="E573" s="3" t="n">
        <v>43145</v>
      </c>
      <c r="F573" s="25"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3" t="n">
        <v>42727</v>
      </c>
      <c r="C574" s="22" t="inlineStr">
        <is>
          <t>GELENEKSEL</t>
        </is>
      </c>
      <c r="D574" s="23" t="n">
        <v>42730</v>
      </c>
      <c r="E574" s="23" t="n">
        <v>42900</v>
      </c>
      <c r="F574" s="22" t="inlineStr">
        <is>
          <t>TRT140617T17</t>
        </is>
      </c>
      <c r="G574" s="8" t="n">
        <v>172000</v>
      </c>
      <c r="H574" s="8" t="n">
        <v>75000</v>
      </c>
      <c r="I574" s="24" t="n">
        <v>75596.58</v>
      </c>
      <c r="J574" s="24" t="n">
        <v>8.42</v>
      </c>
      <c r="K574" s="24" t="n">
        <v>8.529999999999999</v>
      </c>
      <c r="L574" s="24" t="n">
        <v>8.630000000000001</v>
      </c>
      <c r="M574" s="24" t="n">
        <v>8.609999999999999</v>
      </c>
      <c r="N574" s="24" t="n">
        <v>8.720000000000001</v>
      </c>
      <c r="O574" s="24" t="n">
        <v>8.83</v>
      </c>
    </row>
    <row r="575">
      <c r="A575" s="11" t="n">
        <v>2305</v>
      </c>
      <c r="B575" s="3" t="n">
        <v>42727</v>
      </c>
      <c r="C575" s="25" t="inlineStr">
        <is>
          <t>GELENEKSEL</t>
        </is>
      </c>
      <c r="D575" s="3" t="n">
        <v>42730</v>
      </c>
      <c r="E575" s="3" t="n">
        <v>43145</v>
      </c>
      <c r="F575" s="25"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3" t="n">
        <v>42732</v>
      </c>
      <c r="C576" s="22" t="inlineStr">
        <is>
          <t>GELENEKSEL</t>
        </is>
      </c>
      <c r="D576" s="23" t="n">
        <v>42733</v>
      </c>
      <c r="E576" s="23" t="n">
        <v>42802</v>
      </c>
      <c r="F576" s="22" t="inlineStr">
        <is>
          <t>TRT080317T18</t>
        </is>
      </c>
      <c r="G576" s="8" t="n">
        <v>152000</v>
      </c>
      <c r="H576" s="8" t="n">
        <v>75000</v>
      </c>
      <c r="I576" s="24" t="n">
        <v>77243.25</v>
      </c>
      <c r="J576" s="24" t="n">
        <v>7.75</v>
      </c>
      <c r="K576" s="24" t="n">
        <v>7.75</v>
      </c>
      <c r="L576" s="24" t="n">
        <v>7.75</v>
      </c>
      <c r="M576" s="24" t="n">
        <v>8</v>
      </c>
      <c r="N576" s="24" t="n">
        <v>8</v>
      </c>
      <c r="O576" s="24" t="n">
        <v>8</v>
      </c>
    </row>
    <row r="577">
      <c r="A577" s="11" t="n">
        <v>2307</v>
      </c>
      <c r="B577" s="3" t="n">
        <v>42732</v>
      </c>
      <c r="C577" s="25" t="inlineStr">
        <is>
          <t>GELENEKSEL</t>
        </is>
      </c>
      <c r="D577" s="3" t="n">
        <v>42733</v>
      </c>
      <c r="E577" s="3" t="n">
        <v>43418</v>
      </c>
      <c r="F577" s="25"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3" t="n">
        <v>42734</v>
      </c>
      <c r="C578" s="22" t="inlineStr">
        <is>
          <t>GELENEKSEL</t>
        </is>
      </c>
      <c r="D578" s="23" t="n">
        <v>42737</v>
      </c>
      <c r="E578" s="23" t="n">
        <v>43418</v>
      </c>
      <c r="F578" s="22" t="inlineStr">
        <is>
          <t>TRT141118T19</t>
        </is>
      </c>
      <c r="G578" s="8" t="n">
        <v>75000</v>
      </c>
      <c r="H578" s="8" t="n">
        <v>55000</v>
      </c>
      <c r="I578" s="24" t="n">
        <v>54189.85</v>
      </c>
      <c r="J578" s="24" t="n">
        <v>10.36</v>
      </c>
      <c r="K578" s="24" t="n">
        <v>10.36</v>
      </c>
      <c r="L578" s="24" t="n">
        <v>10.36</v>
      </c>
      <c r="M578" s="24" t="n">
        <v>10.63</v>
      </c>
      <c r="N578" s="24" t="n">
        <v>10.63</v>
      </c>
      <c r="O578" s="24" t="n">
        <v>10.63</v>
      </c>
    </row>
    <row r="579">
      <c r="A579" s="11" t="n">
        <v>2309</v>
      </c>
      <c r="B579" s="3" t="n">
        <v>42739</v>
      </c>
      <c r="C579" s="25" t="inlineStr">
        <is>
          <t>GELENEKSEL</t>
        </is>
      </c>
      <c r="D579" s="3" t="n">
        <v>42740</v>
      </c>
      <c r="E579" s="3" t="n">
        <v>42900</v>
      </c>
      <c r="F579" s="25"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3" t="n">
        <v>42739</v>
      </c>
      <c r="C580" s="22" t="inlineStr">
        <is>
          <t>GELENEKSEL</t>
        </is>
      </c>
      <c r="D580" s="23" t="n">
        <v>42740</v>
      </c>
      <c r="E580" s="23" t="n">
        <v>44020</v>
      </c>
      <c r="F580" s="22" t="inlineStr">
        <is>
          <t>TRT080720T19</t>
        </is>
      </c>
      <c r="G580" s="8" t="n">
        <v>150000</v>
      </c>
      <c r="H580" s="8" t="n">
        <v>75000</v>
      </c>
      <c r="I580" s="24" t="n">
        <v>75404.7</v>
      </c>
      <c r="J580" s="24" t="n">
        <v>10.81</v>
      </c>
      <c r="K580" s="24" t="n">
        <v>10.81</v>
      </c>
      <c r="L580" s="24" t="n">
        <v>10.81</v>
      </c>
      <c r="M580" s="24" t="n">
        <v>11.1</v>
      </c>
      <c r="N580" s="24" t="n">
        <v>11.1</v>
      </c>
      <c r="O580" s="24" t="n">
        <v>11.1</v>
      </c>
    </row>
    <row r="581">
      <c r="A581" s="11" t="n">
        <v>2311</v>
      </c>
      <c r="B581" s="3" t="n">
        <v>42741</v>
      </c>
      <c r="C581" s="25" t="inlineStr">
        <is>
          <t>GELENEKSEL</t>
        </is>
      </c>
      <c r="D581" s="3" t="n">
        <v>42744</v>
      </c>
      <c r="E581" s="3" t="n">
        <v>42900</v>
      </c>
      <c r="F581" s="25"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3" t="n">
        <v>42741</v>
      </c>
      <c r="C582" s="22" t="inlineStr">
        <is>
          <t>GELENEKSEL</t>
        </is>
      </c>
      <c r="D582" s="23" t="n">
        <v>42744</v>
      </c>
      <c r="E582" s="23" t="n">
        <v>44020</v>
      </c>
      <c r="F582" s="22" t="inlineStr">
        <is>
          <t>TRT080720T19</t>
        </is>
      </c>
      <c r="G582" s="8" t="n">
        <v>125000</v>
      </c>
      <c r="H582" s="8" t="n">
        <v>75000</v>
      </c>
      <c r="I582" s="24" t="n">
        <v>75538.5</v>
      </c>
      <c r="J582" s="24" t="n">
        <v>10.77</v>
      </c>
      <c r="K582" s="24" t="n">
        <v>10.77</v>
      </c>
      <c r="L582" s="24" t="n">
        <v>10.77</v>
      </c>
      <c r="M582" s="24" t="n">
        <v>11.07</v>
      </c>
      <c r="N582" s="24" t="n">
        <v>11.07</v>
      </c>
      <c r="O582" s="24" t="n">
        <v>11.07</v>
      </c>
    </row>
    <row r="583">
      <c r="A583" s="11" t="n">
        <v>2313</v>
      </c>
      <c r="B583" s="3" t="n">
        <v>42746</v>
      </c>
      <c r="C583" s="25" t="inlineStr">
        <is>
          <t>GELENEKSEL</t>
        </is>
      </c>
      <c r="D583" s="3" t="n">
        <v>42747</v>
      </c>
      <c r="E583" s="3" t="n">
        <v>42900</v>
      </c>
      <c r="F583" s="25"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3" t="n">
        <v>42746</v>
      </c>
      <c r="C584" s="22" t="inlineStr">
        <is>
          <t>GELENEKSEL</t>
        </is>
      </c>
      <c r="D584" s="23" t="n">
        <v>42747</v>
      </c>
      <c r="E584" s="23" t="n">
        <v>43866</v>
      </c>
      <c r="F584" s="22" t="inlineStr">
        <is>
          <t>TRT050220T17</t>
        </is>
      </c>
      <c r="G584" s="8" t="n">
        <v>268000</v>
      </c>
      <c r="H584" s="8" t="n">
        <v>75000</v>
      </c>
      <c r="I584" s="24" t="n">
        <v>70045</v>
      </c>
      <c r="J584" s="24" t="n">
        <v>11.24</v>
      </c>
      <c r="K584" s="24" t="n">
        <v>11.24</v>
      </c>
      <c r="L584" s="24" t="n">
        <v>11.24</v>
      </c>
      <c r="M584" s="24" t="n">
        <v>11.56</v>
      </c>
      <c r="N584" s="24" t="n">
        <v>11.56</v>
      </c>
      <c r="O584" s="24" t="n">
        <v>11.56</v>
      </c>
    </row>
    <row r="585">
      <c r="A585" s="11" t="n">
        <v>2315</v>
      </c>
      <c r="B585" s="3" t="n">
        <v>42748</v>
      </c>
      <c r="C585" s="25" t="inlineStr">
        <is>
          <t>GELENEKSEL</t>
        </is>
      </c>
      <c r="D585" s="3" t="n">
        <v>42751</v>
      </c>
      <c r="E585" s="3" t="n">
        <v>42900</v>
      </c>
      <c r="F585" s="25"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3" t="n">
        <v>42748</v>
      </c>
      <c r="C586" s="22" t="inlineStr">
        <is>
          <t>GELENEKSEL</t>
        </is>
      </c>
      <c r="D586" s="23" t="n">
        <v>42751</v>
      </c>
      <c r="E586" s="23" t="n">
        <v>44020</v>
      </c>
      <c r="F586" s="22" t="inlineStr">
        <is>
          <t>TRT080720T19</t>
        </is>
      </c>
      <c r="G586" s="8" t="n">
        <v>300000</v>
      </c>
      <c r="H586" s="8" t="n">
        <v>75000</v>
      </c>
      <c r="I586" s="24" t="n">
        <v>71249.25</v>
      </c>
      <c r="J586" s="24" t="n">
        <v>11.21</v>
      </c>
      <c r="K586" s="24" t="n">
        <v>11.21</v>
      </c>
      <c r="L586" s="24" t="n">
        <v>11.21</v>
      </c>
      <c r="M586" s="24" t="n">
        <v>11.53</v>
      </c>
      <c r="N586" s="24" t="n">
        <v>11.53</v>
      </c>
      <c r="O586" s="24" t="n">
        <v>11.53</v>
      </c>
    </row>
    <row r="587">
      <c r="A587" s="11" t="n">
        <v>2317</v>
      </c>
      <c r="B587" s="3" t="n">
        <v>42753</v>
      </c>
      <c r="C587" s="25" t="inlineStr">
        <is>
          <t>GELENEKSEL</t>
        </is>
      </c>
      <c r="D587" s="3" t="n">
        <v>42754</v>
      </c>
      <c r="E587" s="3" t="n">
        <v>43551</v>
      </c>
      <c r="F587" s="25"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3" t="n">
        <v>42753</v>
      </c>
      <c r="C588" s="22" t="inlineStr">
        <is>
          <t>GELENEKSEL</t>
        </is>
      </c>
      <c r="D588" s="23" t="n">
        <v>42754</v>
      </c>
      <c r="E588" s="23" t="n">
        <v>44020</v>
      </c>
      <c r="F588" s="22" t="inlineStr">
        <is>
          <t>TRT080720T19</t>
        </is>
      </c>
      <c r="G588" s="8" t="n">
        <v>238000</v>
      </c>
      <c r="H588" s="8" t="n">
        <v>75000</v>
      </c>
      <c r="I588" s="24" t="n">
        <v>71462.77</v>
      </c>
      <c r="J588" s="24" t="n">
        <v>11.13</v>
      </c>
      <c r="K588" s="24" t="n">
        <v>11.15</v>
      </c>
      <c r="L588" s="24" t="n">
        <v>11.17</v>
      </c>
      <c r="M588" s="24" t="n">
        <v>11.44</v>
      </c>
      <c r="N588" s="24" t="n">
        <v>11.46</v>
      </c>
      <c r="O588" s="24" t="n">
        <v>11.48</v>
      </c>
    </row>
    <row r="589">
      <c r="A589" s="11" t="n">
        <v>2319</v>
      </c>
      <c r="B589" s="3" t="n">
        <v>42755</v>
      </c>
      <c r="C589" s="25" t="inlineStr">
        <is>
          <t>GELENEKSEL</t>
        </is>
      </c>
      <c r="D589" s="3" t="n">
        <v>42758</v>
      </c>
      <c r="E589" s="3" t="n">
        <v>43866</v>
      </c>
      <c r="F589" s="25"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3" t="n">
        <v>42755</v>
      </c>
      <c r="C590" s="22" t="inlineStr">
        <is>
          <t>GELENEKSEL</t>
        </is>
      </c>
      <c r="D590" s="23" t="n">
        <v>42758</v>
      </c>
      <c r="E590" s="23" t="n">
        <v>44020</v>
      </c>
      <c r="F590" s="22" t="inlineStr">
        <is>
          <t>TRT080720T19</t>
        </is>
      </c>
      <c r="G590" s="8" t="n">
        <v>285000</v>
      </c>
      <c r="H590" s="8" t="n">
        <v>75000</v>
      </c>
      <c r="I590" s="24" t="n">
        <v>71466.55</v>
      </c>
      <c r="J590" s="24" t="n">
        <v>11.18</v>
      </c>
      <c r="K590" s="24" t="n">
        <v>11.18</v>
      </c>
      <c r="L590" s="24" t="n">
        <v>11.2</v>
      </c>
      <c r="M590" s="24" t="n">
        <v>11.49</v>
      </c>
      <c r="N590" s="24" t="n">
        <v>11.49</v>
      </c>
      <c r="O590" s="24" t="n">
        <v>11.51</v>
      </c>
    </row>
    <row r="591">
      <c r="A591" s="11" t="n">
        <v>2321</v>
      </c>
      <c r="B591" s="3" t="n">
        <v>42760</v>
      </c>
      <c r="C591" s="25" t="inlineStr">
        <is>
          <t>GELENEKSEL</t>
        </is>
      </c>
      <c r="D591" s="3" t="n">
        <v>42761</v>
      </c>
      <c r="E591" s="3" t="n">
        <v>43866</v>
      </c>
      <c r="F591" s="25"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3" t="n">
        <v>42760</v>
      </c>
      <c r="C592" s="22" t="inlineStr">
        <is>
          <t>GELENEKSEL</t>
        </is>
      </c>
      <c r="D592" s="23" t="n">
        <v>42761</v>
      </c>
      <c r="E592" s="23" t="n">
        <v>44020</v>
      </c>
      <c r="F592" s="22" t="inlineStr">
        <is>
          <t>TRT080720T19</t>
        </is>
      </c>
      <c r="G592" s="8" t="n">
        <v>157000</v>
      </c>
      <c r="H592" s="8" t="n">
        <v>75000</v>
      </c>
      <c r="I592" s="24" t="n">
        <v>71864.95</v>
      </c>
      <c r="J592" s="24" t="n">
        <v>10.99</v>
      </c>
      <c r="K592" s="24" t="n">
        <v>11.02</v>
      </c>
      <c r="L592" s="24" t="n">
        <v>11.04</v>
      </c>
      <c r="M592" s="24" t="n">
        <v>11.3</v>
      </c>
      <c r="N592" s="24" t="n">
        <v>11.33</v>
      </c>
      <c r="O592" s="24" t="n">
        <v>11.35</v>
      </c>
    </row>
    <row r="593">
      <c r="A593" s="11" t="n">
        <v>2323</v>
      </c>
      <c r="B593" s="3" t="n">
        <v>42762</v>
      </c>
      <c r="C593" s="25" t="inlineStr">
        <is>
          <t>GELENEKSEL</t>
        </is>
      </c>
      <c r="D593" s="3" t="n">
        <v>42765</v>
      </c>
      <c r="E593" s="3" t="n">
        <v>43866</v>
      </c>
      <c r="F593" s="25"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3" t="n">
        <v>42762</v>
      </c>
      <c r="C594" s="22" t="inlineStr">
        <is>
          <t>GELENEKSEL</t>
        </is>
      </c>
      <c r="D594" s="23" t="n">
        <v>42765</v>
      </c>
      <c r="E594" s="23" t="n">
        <v>44020</v>
      </c>
      <c r="F594" s="22" t="inlineStr">
        <is>
          <t>TRT080720T19</t>
        </is>
      </c>
      <c r="G594" s="8" t="n">
        <v>300000</v>
      </c>
      <c r="H594" s="8" t="n">
        <v>75000</v>
      </c>
      <c r="I594" s="24" t="n">
        <v>71840.25</v>
      </c>
      <c r="J594" s="24" t="n">
        <v>11.07</v>
      </c>
      <c r="K594" s="24" t="n">
        <v>11.07</v>
      </c>
      <c r="L594" s="24" t="n">
        <v>11.07</v>
      </c>
      <c r="M594" s="24" t="n">
        <v>11.38</v>
      </c>
      <c r="N594" s="24" t="n">
        <v>11.38</v>
      </c>
      <c r="O594" s="24" t="n">
        <v>11.38</v>
      </c>
    </row>
    <row r="595">
      <c r="A595" s="11" t="n">
        <v>2325</v>
      </c>
      <c r="B595" s="3" t="n">
        <v>42767</v>
      </c>
      <c r="C595" s="25" t="inlineStr">
        <is>
          <t>GELENEKSEL</t>
        </is>
      </c>
      <c r="D595" s="3" t="n">
        <v>42768</v>
      </c>
      <c r="E595" s="3" t="n">
        <v>44993</v>
      </c>
      <c r="F595" s="25"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3" t="n">
        <v>42767</v>
      </c>
      <c r="C596" s="22" t="inlineStr">
        <is>
          <t>GELENEKSEL</t>
        </is>
      </c>
      <c r="D596" s="23" t="n">
        <v>42768</v>
      </c>
      <c r="E596" s="23" t="n">
        <v>45497</v>
      </c>
      <c r="F596" s="22" t="inlineStr">
        <is>
          <t>TRT240724T15</t>
        </is>
      </c>
      <c r="G596" s="8" t="n">
        <v>294000</v>
      </c>
      <c r="H596" s="8" t="n">
        <v>75000</v>
      </c>
      <c r="I596" s="24" t="n">
        <v>68640</v>
      </c>
      <c r="J596" s="24" t="n">
        <v>10.67</v>
      </c>
      <c r="K596" s="24" t="n">
        <v>10.67</v>
      </c>
      <c r="L596" s="24" t="n">
        <v>10.67</v>
      </c>
      <c r="M596" s="24" t="n">
        <v>10.96</v>
      </c>
      <c r="N596" s="24" t="n">
        <v>10.96</v>
      </c>
      <c r="O596" s="24" t="n">
        <v>10.96</v>
      </c>
    </row>
    <row r="597">
      <c r="A597" s="11" t="n">
        <v>2327</v>
      </c>
      <c r="B597" s="3" t="n">
        <v>42769</v>
      </c>
      <c r="C597" s="25" t="inlineStr">
        <is>
          <t>GELENEKSEL</t>
        </is>
      </c>
      <c r="D597" s="3" t="n">
        <v>42772</v>
      </c>
      <c r="E597" s="3" t="n">
        <v>45196</v>
      </c>
      <c r="F597" s="25"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3" t="n">
        <v>42769</v>
      </c>
      <c r="C598" s="22" t="inlineStr">
        <is>
          <t>GELENEKSEL</t>
        </is>
      </c>
      <c r="D598" s="23" t="n">
        <v>42772</v>
      </c>
      <c r="E598" s="23" t="n">
        <v>44573</v>
      </c>
      <c r="F598" s="22" t="inlineStr">
        <is>
          <t>TRT120122T17</t>
        </is>
      </c>
      <c r="G598" s="8" t="n">
        <v>105000</v>
      </c>
      <c r="H598" s="8" t="n">
        <v>75000</v>
      </c>
      <c r="I598" s="24" t="n">
        <v>71930</v>
      </c>
      <c r="J598" s="24" t="n">
        <v>10.69</v>
      </c>
      <c r="K598" s="24" t="n">
        <v>10.72</v>
      </c>
      <c r="L598" s="24" t="n">
        <v>10.77</v>
      </c>
      <c r="M598" s="24" t="n">
        <v>10.97</v>
      </c>
      <c r="N598" s="24" t="n">
        <v>11.01</v>
      </c>
      <c r="O598" s="24" t="n">
        <v>11.06</v>
      </c>
    </row>
    <row r="599">
      <c r="A599" s="11" t="n">
        <v>2329</v>
      </c>
      <c r="B599" s="3" t="n">
        <v>42774</v>
      </c>
      <c r="C599" s="25" t="inlineStr">
        <is>
          <t>GELENEKSEL</t>
        </is>
      </c>
      <c r="D599" s="3" t="n">
        <v>42775</v>
      </c>
      <c r="E599" s="3" t="n">
        <v>45497</v>
      </c>
      <c r="F599" s="25"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3" t="n">
        <v>42774</v>
      </c>
      <c r="C600" s="22" t="inlineStr">
        <is>
          <t>GELENEKSEL</t>
        </is>
      </c>
      <c r="D600" s="23" t="n">
        <v>42775</v>
      </c>
      <c r="E600" s="23" t="n">
        <v>45371</v>
      </c>
      <c r="F600" s="22" t="inlineStr">
        <is>
          <t>TRT200324T13</t>
        </is>
      </c>
      <c r="G600" s="8" t="n">
        <v>200000</v>
      </c>
      <c r="H600" s="8" t="n">
        <v>75000</v>
      </c>
      <c r="I600" s="24" t="n">
        <v>76651.5</v>
      </c>
      <c r="J600" s="24" t="n">
        <v>10.73</v>
      </c>
      <c r="K600" s="24" t="n">
        <v>10.73</v>
      </c>
      <c r="L600" s="24" t="n">
        <v>10.73</v>
      </c>
      <c r="M600" s="24" t="n">
        <v>11.02</v>
      </c>
      <c r="N600" s="24" t="n">
        <v>11.02</v>
      </c>
      <c r="O600" s="24" t="n">
        <v>11.02</v>
      </c>
    </row>
    <row r="601">
      <c r="A601" s="11" t="n">
        <v>2331</v>
      </c>
      <c r="B601" s="3" t="n">
        <v>42776</v>
      </c>
      <c r="C601" s="25" t="inlineStr">
        <is>
          <t>GELENEKSEL</t>
        </is>
      </c>
      <c r="D601" s="3" t="n">
        <v>42779</v>
      </c>
      <c r="E601" s="3" t="n">
        <v>45497</v>
      </c>
      <c r="F601" s="25"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3" t="n">
        <v>42776</v>
      </c>
      <c r="C602" s="22" t="inlineStr">
        <is>
          <t>GELENEKSEL</t>
        </is>
      </c>
      <c r="D602" s="23" t="n">
        <v>42779</v>
      </c>
      <c r="E602" s="23" t="n">
        <v>45371</v>
      </c>
      <c r="F602" s="22" t="inlineStr">
        <is>
          <t>TRT200324T13</t>
        </is>
      </c>
      <c r="G602" s="8" t="n">
        <v>200000</v>
      </c>
      <c r="H602" s="8" t="n">
        <v>75000</v>
      </c>
      <c r="I602" s="24" t="n">
        <v>77081.45</v>
      </c>
      <c r="J602" s="24" t="n">
        <v>10.63</v>
      </c>
      <c r="K602" s="24" t="n">
        <v>10.63</v>
      </c>
      <c r="L602" s="24" t="n">
        <v>10.64</v>
      </c>
      <c r="M602" s="24" t="n">
        <v>10.92</v>
      </c>
      <c r="N602" s="24" t="n">
        <v>10.92</v>
      </c>
      <c r="O602" s="24" t="n">
        <v>10.93</v>
      </c>
    </row>
    <row r="603">
      <c r="A603" s="11" t="n">
        <v>2333</v>
      </c>
      <c r="B603" s="3" t="n">
        <v>42781</v>
      </c>
      <c r="C603" s="25" t="inlineStr">
        <is>
          <t>GELENEKSEL</t>
        </is>
      </c>
      <c r="D603" s="3" t="n">
        <v>42782</v>
      </c>
      <c r="E603" s="3" t="n">
        <v>44573</v>
      </c>
      <c r="F603" s="25"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3" t="n">
        <v>42781</v>
      </c>
      <c r="C604" s="22" t="inlineStr">
        <is>
          <t>GELENEKSEL</t>
        </is>
      </c>
      <c r="D604" s="23" t="n">
        <v>42782</v>
      </c>
      <c r="E604" s="23" t="n">
        <v>45196</v>
      </c>
      <c r="F604" s="22" t="inlineStr">
        <is>
          <t>TRT270923T11</t>
        </is>
      </c>
      <c r="G604" s="8" t="n">
        <v>283000</v>
      </c>
      <c r="H604" s="8" t="n">
        <v>100000</v>
      </c>
      <c r="I604" s="24" t="n">
        <v>94605.50999999999</v>
      </c>
      <c r="J604" s="24" t="n">
        <v>10.63</v>
      </c>
      <c r="K604" s="24" t="n">
        <v>10.64</v>
      </c>
      <c r="L604" s="24" t="n">
        <v>10.66</v>
      </c>
      <c r="M604" s="24" t="n">
        <v>10.91</v>
      </c>
      <c r="N604" s="24" t="n">
        <v>10.93</v>
      </c>
      <c r="O604" s="24" t="n">
        <v>10.94</v>
      </c>
    </row>
    <row r="605">
      <c r="A605" s="11" t="n">
        <v>2335</v>
      </c>
      <c r="B605" s="3" t="n">
        <v>42783</v>
      </c>
      <c r="C605" s="25" t="inlineStr">
        <is>
          <t>GELENEKSEL</t>
        </is>
      </c>
      <c r="D605" s="3" t="n">
        <v>42786</v>
      </c>
      <c r="E605" s="3" t="n">
        <v>44993</v>
      </c>
      <c r="F605" s="25"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3" t="n">
        <v>42783</v>
      </c>
      <c r="C606" s="22" t="inlineStr">
        <is>
          <t>GELENEKSEL</t>
        </is>
      </c>
      <c r="D606" s="23" t="n">
        <v>42786</v>
      </c>
      <c r="E606" s="23" t="n">
        <v>45371</v>
      </c>
      <c r="F606" s="22" t="inlineStr">
        <is>
          <t>TRT200324T13</t>
        </is>
      </c>
      <c r="G606" s="8" t="n">
        <v>310000</v>
      </c>
      <c r="H606" s="8" t="n">
        <v>100000</v>
      </c>
      <c r="I606" s="24" t="n">
        <v>102669.5</v>
      </c>
      <c r="J606" s="24" t="n">
        <v>10.69</v>
      </c>
      <c r="K606" s="24" t="n">
        <v>10.7</v>
      </c>
      <c r="L606" s="24" t="n">
        <v>10.7</v>
      </c>
      <c r="M606" s="24" t="n">
        <v>10.97</v>
      </c>
      <c r="N606" s="24" t="n">
        <v>10.98</v>
      </c>
      <c r="O606" s="24" t="n">
        <v>10.99</v>
      </c>
    </row>
    <row r="607">
      <c r="A607" s="11" t="n">
        <v>2337</v>
      </c>
      <c r="B607" s="3" t="n">
        <v>42788</v>
      </c>
      <c r="C607" s="25" t="inlineStr">
        <is>
          <t>GELENEKSEL</t>
        </is>
      </c>
      <c r="D607" s="3" t="n">
        <v>42789</v>
      </c>
      <c r="E607" s="3" t="n">
        <v>45371</v>
      </c>
      <c r="F607" s="25"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3" t="n">
        <v>42788</v>
      </c>
      <c r="C608" s="22" t="inlineStr">
        <is>
          <t>GELENEKSEL</t>
        </is>
      </c>
      <c r="D608" s="23" t="n">
        <v>42789</v>
      </c>
      <c r="E608" s="23" t="n">
        <v>45497</v>
      </c>
      <c r="F608" s="22" t="inlineStr">
        <is>
          <t>TRT240724T15</t>
        </is>
      </c>
      <c r="G608" s="8" t="n">
        <v>316000</v>
      </c>
      <c r="H608" s="8" t="n">
        <v>100000</v>
      </c>
      <c r="I608" s="24" t="n">
        <v>93269.39999999999</v>
      </c>
      <c r="J608" s="24" t="n">
        <v>10.42</v>
      </c>
      <c r="K608" s="24" t="n">
        <v>10.43</v>
      </c>
      <c r="L608" s="24" t="n">
        <v>10.44</v>
      </c>
      <c r="M608" s="24" t="n">
        <v>10.69</v>
      </c>
      <c r="N608" s="24" t="n">
        <v>10.7</v>
      </c>
      <c r="O608" s="24" t="n">
        <v>10.71</v>
      </c>
    </row>
    <row r="609">
      <c r="A609" s="11" t="n">
        <v>2339</v>
      </c>
      <c r="B609" s="3" t="n">
        <v>42790</v>
      </c>
      <c r="C609" s="25" t="inlineStr">
        <is>
          <t>GELENEKSEL</t>
        </is>
      </c>
      <c r="D609" s="3" t="n">
        <v>42793</v>
      </c>
      <c r="E609" s="3" t="n">
        <v>44993</v>
      </c>
      <c r="F609" s="25"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3" t="n">
        <v>42790</v>
      </c>
      <c r="C610" s="22" t="inlineStr">
        <is>
          <t>GELENEKSEL</t>
        </is>
      </c>
      <c r="D610" s="23" t="n">
        <v>42793</v>
      </c>
      <c r="E610" s="23" t="n">
        <v>45196</v>
      </c>
      <c r="F610" s="22" t="inlineStr">
        <is>
          <t>TRT270923T11</t>
        </is>
      </c>
      <c r="G610" s="8" t="n">
        <v>389000</v>
      </c>
      <c r="H610" s="8" t="n">
        <v>100000</v>
      </c>
      <c r="I610" s="24" t="n">
        <v>95242</v>
      </c>
      <c r="J610" s="24" t="n">
        <v>10.55</v>
      </c>
      <c r="K610" s="24" t="n">
        <v>10.57</v>
      </c>
      <c r="L610" s="24" t="n">
        <v>10.58</v>
      </c>
      <c r="M610" s="24" t="n">
        <v>10.83</v>
      </c>
      <c r="N610" s="24" t="n">
        <v>10.84</v>
      </c>
      <c r="O610" s="24" t="n">
        <v>10.86</v>
      </c>
    </row>
    <row r="611">
      <c r="A611" s="11" t="n">
        <v>2341</v>
      </c>
      <c r="B611" s="3" t="n">
        <v>42793</v>
      </c>
      <c r="C611" s="25" t="inlineStr">
        <is>
          <t>GELENEKSEL</t>
        </is>
      </c>
      <c r="D611" s="3" t="n">
        <v>42794</v>
      </c>
      <c r="E611" s="3" t="n">
        <v>44573</v>
      </c>
      <c r="F611" s="25"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3" t="n">
        <v>42793</v>
      </c>
      <c r="C612" s="22" t="inlineStr">
        <is>
          <t>GELENEKSEL</t>
        </is>
      </c>
      <c r="D612" s="23" t="n">
        <v>42794</v>
      </c>
      <c r="E612" s="23" t="n">
        <v>45196</v>
      </c>
      <c r="F612" s="22" t="inlineStr">
        <is>
          <t>TRT270923T11</t>
        </is>
      </c>
      <c r="G612" s="8" t="n">
        <v>420000</v>
      </c>
      <c r="H612" s="8" t="n">
        <v>100000</v>
      </c>
      <c r="I612" s="24" t="n">
        <v>95220.55</v>
      </c>
      <c r="J612" s="24" t="n">
        <v>10.57</v>
      </c>
      <c r="K612" s="24" t="n">
        <v>10.58</v>
      </c>
      <c r="L612" s="24" t="n">
        <v>10.58</v>
      </c>
      <c r="M612" s="24" t="n">
        <v>10.84</v>
      </c>
      <c r="N612" s="24" t="n">
        <v>10.86</v>
      </c>
      <c r="O612" s="24" t="n">
        <v>10.86</v>
      </c>
    </row>
    <row r="613">
      <c r="A613" s="11" t="n">
        <v>2343</v>
      </c>
      <c r="B613" s="3" t="n">
        <v>42795</v>
      </c>
      <c r="C613" s="25" t="inlineStr">
        <is>
          <t>GELENEKSEL</t>
        </is>
      </c>
      <c r="D613" s="3" t="n">
        <v>42796</v>
      </c>
      <c r="E613" s="3" t="n">
        <v>44818</v>
      </c>
      <c r="F613" s="25"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3" t="n">
        <v>42795</v>
      </c>
      <c r="C614" s="22" t="inlineStr">
        <is>
          <t>GELENEKSEL</t>
        </is>
      </c>
      <c r="D614" s="23" t="n">
        <v>42796</v>
      </c>
      <c r="E614" s="23" t="n">
        <v>44993</v>
      </c>
      <c r="F614" s="22" t="inlineStr">
        <is>
          <t>TRT080323T10</t>
        </is>
      </c>
      <c r="G614" s="8" t="n">
        <v>556000</v>
      </c>
      <c r="H614" s="8" t="n">
        <v>100000</v>
      </c>
      <c r="I614" s="24" t="n">
        <v>87899.39999999999</v>
      </c>
      <c r="J614" s="24" t="n">
        <v>10.6</v>
      </c>
      <c r="K614" s="24" t="n">
        <v>10.62</v>
      </c>
      <c r="L614" s="24" t="n">
        <v>10.65</v>
      </c>
      <c r="M614" s="24" t="n">
        <v>10.88</v>
      </c>
      <c r="N614" s="24" t="n">
        <v>10.9</v>
      </c>
      <c r="O614" s="24" t="n">
        <v>10.93</v>
      </c>
    </row>
    <row r="615">
      <c r="A615" s="11" t="n">
        <v>2345</v>
      </c>
      <c r="B615" s="3" t="n">
        <v>43103</v>
      </c>
      <c r="C615" s="25" t="inlineStr">
        <is>
          <t>GELENEKSEL</t>
        </is>
      </c>
      <c r="D615" s="3" t="n">
        <v>43104</v>
      </c>
      <c r="E615" s="3" t="n">
        <v>44622</v>
      </c>
      <c r="F615" s="25"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3" t="n">
        <v>43103</v>
      </c>
      <c r="C616" s="22" t="inlineStr">
        <is>
          <t>GELENEKSEL</t>
        </is>
      </c>
      <c r="D616" s="23" t="n">
        <v>43104</v>
      </c>
      <c r="E616" s="23" t="n">
        <v>46442</v>
      </c>
      <c r="F616" s="22" t="inlineStr">
        <is>
          <t>TRT240227T17</t>
        </is>
      </c>
      <c r="G616" s="8" t="n">
        <v>301000</v>
      </c>
      <c r="H616" s="8" t="n">
        <v>75000</v>
      </c>
      <c r="I616" s="24" t="n">
        <v>75568.14999999999</v>
      </c>
      <c r="J616" s="24" t="n">
        <v>11.5</v>
      </c>
      <c r="K616" s="24" t="n">
        <v>11.51</v>
      </c>
      <c r="L616" s="24" t="n">
        <v>11.52</v>
      </c>
      <c r="M616" s="24" t="n">
        <v>11.83</v>
      </c>
      <c r="N616" s="24" t="n">
        <v>11.84</v>
      </c>
      <c r="O616" s="24" t="n">
        <v>11.85</v>
      </c>
    </row>
    <row r="617">
      <c r="A617" s="11" t="n">
        <v>2347</v>
      </c>
      <c r="B617" s="3" t="n">
        <v>43110</v>
      </c>
      <c r="C617" s="25" t="inlineStr">
        <is>
          <t>GELENEKSEL</t>
        </is>
      </c>
      <c r="D617" s="3" t="n">
        <v>43111</v>
      </c>
      <c r="E617" s="3" t="n">
        <v>44993</v>
      </c>
      <c r="F617" s="25"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3" t="n">
        <v>43110</v>
      </c>
      <c r="C618" s="22" t="inlineStr">
        <is>
          <t>GELENEKSEL</t>
        </is>
      </c>
      <c r="D618" s="23" t="n">
        <v>43111</v>
      </c>
      <c r="E618" s="23" t="n">
        <v>45728</v>
      </c>
      <c r="F618" s="22" t="inlineStr">
        <is>
          <t>TRT120325T12</t>
        </is>
      </c>
      <c r="G618" s="8" t="n">
        <v>210000</v>
      </c>
      <c r="H618" s="8" t="n">
        <v>75000</v>
      </c>
      <c r="I618" s="24" t="n">
        <v>64210.75</v>
      </c>
      <c r="J618" s="24" t="n">
        <v>11.49</v>
      </c>
      <c r="K618" s="24" t="n">
        <v>11.51</v>
      </c>
      <c r="L618" s="24" t="n">
        <v>11.52</v>
      </c>
      <c r="M618" s="24" t="n">
        <v>11.82</v>
      </c>
      <c r="N618" s="24" t="n">
        <v>11.84</v>
      </c>
      <c r="O618" s="24" t="n">
        <v>11.85</v>
      </c>
    </row>
    <row r="619">
      <c r="A619" s="11" t="n">
        <v>2349</v>
      </c>
      <c r="B619" s="3" t="n">
        <v>43117</v>
      </c>
      <c r="C619" s="25" t="inlineStr">
        <is>
          <t>GELENEKSEL</t>
        </is>
      </c>
      <c r="D619" s="3" t="n">
        <v>43118</v>
      </c>
      <c r="E619" s="3" t="n">
        <v>44622</v>
      </c>
      <c r="F619" s="25"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3" t="n">
        <v>43117</v>
      </c>
      <c r="C620" s="22" t="inlineStr">
        <is>
          <t>GELENEKSEL</t>
        </is>
      </c>
      <c r="D620" s="23" t="n">
        <v>43118</v>
      </c>
      <c r="E620" s="23" t="n">
        <v>46442</v>
      </c>
      <c r="F620" s="22" t="inlineStr">
        <is>
          <t>TRT240227T17</t>
        </is>
      </c>
      <c r="G620" s="8" t="n">
        <v>265000</v>
      </c>
      <c r="H620" s="8" t="n">
        <v>75000</v>
      </c>
      <c r="I620" s="24" t="n">
        <v>74551.95</v>
      </c>
      <c r="J620" s="24" t="n">
        <v>11.81</v>
      </c>
      <c r="K620" s="24" t="n">
        <v>11.84</v>
      </c>
      <c r="L620" s="24" t="n">
        <v>11.85</v>
      </c>
      <c r="M620" s="24" t="n">
        <v>12.16</v>
      </c>
      <c r="N620" s="24" t="n">
        <v>12.19</v>
      </c>
      <c r="O620" s="24" t="n">
        <v>12.2</v>
      </c>
    </row>
    <row r="621">
      <c r="A621" s="11" t="n">
        <v>2351</v>
      </c>
      <c r="B621" s="3" t="n">
        <v>43124</v>
      </c>
      <c r="C621" s="25" t="inlineStr">
        <is>
          <t>GELENEKSEL</t>
        </is>
      </c>
      <c r="D621" s="3" t="n">
        <v>43125</v>
      </c>
      <c r="E621" s="3" t="n">
        <v>44622</v>
      </c>
      <c r="F621" s="25"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3" t="n">
        <v>43124</v>
      </c>
      <c r="C622" s="22" t="inlineStr">
        <is>
          <t>GELENEKSEL</t>
        </is>
      </c>
      <c r="D622" s="23" t="n">
        <v>43125</v>
      </c>
      <c r="E622" s="23" t="n">
        <v>45728</v>
      </c>
      <c r="F622" s="22" t="inlineStr">
        <is>
          <t>TRT120325T12</t>
        </is>
      </c>
      <c r="G622" s="8" t="n">
        <v>250000</v>
      </c>
      <c r="H622" s="8" t="n">
        <v>75000</v>
      </c>
      <c r="I622" s="24" t="n">
        <v>63694.95</v>
      </c>
      <c r="J622" s="24" t="n">
        <v>11.75</v>
      </c>
      <c r="K622" s="24" t="n">
        <v>11.76</v>
      </c>
      <c r="L622" s="24" t="n">
        <v>11.78</v>
      </c>
      <c r="M622" s="24" t="n">
        <v>12.1</v>
      </c>
      <c r="N622" s="24" t="n">
        <v>12.1</v>
      </c>
      <c r="O622" s="24" t="n">
        <v>12.13</v>
      </c>
    </row>
    <row r="623">
      <c r="A623" s="11" t="n">
        <v>2353</v>
      </c>
      <c r="B623" s="3" t="n">
        <v>43138</v>
      </c>
      <c r="C623" s="25" t="inlineStr">
        <is>
          <t>GELENEKSEL</t>
        </is>
      </c>
      <c r="D623" s="3" t="n">
        <v>43139</v>
      </c>
      <c r="E623" s="3" t="n">
        <v>45196</v>
      </c>
      <c r="F623" s="25"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3" t="n">
        <v>43138</v>
      </c>
      <c r="C624" s="22" t="inlineStr">
        <is>
          <t>GELENEKSEL</t>
        </is>
      </c>
      <c r="D624" s="23" t="n">
        <v>43139</v>
      </c>
      <c r="E624" s="23" t="n">
        <v>46442</v>
      </c>
      <c r="F624" s="22" t="inlineStr">
        <is>
          <t>TRT240227T17</t>
        </is>
      </c>
      <c r="G624" s="8" t="n">
        <v>150000</v>
      </c>
      <c r="H624" s="8" t="n">
        <v>75000</v>
      </c>
      <c r="I624" s="24" t="n">
        <v>76038</v>
      </c>
      <c r="J624" s="24" t="n">
        <v>11.59</v>
      </c>
      <c r="K624" s="24" t="n">
        <v>11.59</v>
      </c>
      <c r="L624" s="24" t="n">
        <v>11.59</v>
      </c>
      <c r="M624" s="24" t="n">
        <v>11.93</v>
      </c>
      <c r="N624" s="24" t="n">
        <v>11.93</v>
      </c>
      <c r="O624" s="24" t="n">
        <v>11.93</v>
      </c>
    </row>
    <row r="625">
      <c r="A625" s="11" t="n">
        <v>2355</v>
      </c>
      <c r="B625" s="3" t="n">
        <v>43145</v>
      </c>
      <c r="C625" s="25" t="inlineStr">
        <is>
          <t>GELENEKSEL</t>
        </is>
      </c>
      <c r="D625" s="3" t="n">
        <v>43146</v>
      </c>
      <c r="E625" s="3" t="n">
        <v>44573</v>
      </c>
      <c r="F625" s="25"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3" t="n">
        <v>43145</v>
      </c>
      <c r="C626" s="22" t="inlineStr">
        <is>
          <t>GELENEKSEL</t>
        </is>
      </c>
      <c r="D626" s="23" t="n">
        <v>43146</v>
      </c>
      <c r="E626" s="23" t="n">
        <v>45728</v>
      </c>
      <c r="F626" s="22" t="inlineStr">
        <is>
          <t>TRT120325T12</t>
        </is>
      </c>
      <c r="G626" s="8" t="n">
        <v>226000</v>
      </c>
      <c r="H626" s="8" t="n">
        <v>75000</v>
      </c>
      <c r="I626" s="24" t="n">
        <v>64050</v>
      </c>
      <c r="J626" s="24" t="n">
        <v>11.78</v>
      </c>
      <c r="K626" s="24" t="n">
        <v>11.78</v>
      </c>
      <c r="L626" s="24" t="n">
        <v>11.78</v>
      </c>
      <c r="M626" s="24" t="n">
        <v>12.13</v>
      </c>
      <c r="N626" s="24" t="n">
        <v>12.13</v>
      </c>
      <c r="O626" s="24" t="n">
        <v>12.13</v>
      </c>
    </row>
    <row r="627">
      <c r="A627" s="11" t="n">
        <v>2357</v>
      </c>
      <c r="B627" s="3" t="n">
        <v>43152</v>
      </c>
      <c r="C627" s="25" t="inlineStr">
        <is>
          <t>GELENEKSEL</t>
        </is>
      </c>
      <c r="D627" s="3" t="n">
        <v>43153</v>
      </c>
      <c r="E627" s="3" t="n">
        <v>45196</v>
      </c>
      <c r="F627" s="25"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3" t="n">
        <v>43152</v>
      </c>
      <c r="C628" s="22" t="inlineStr">
        <is>
          <t>GELENEKSEL</t>
        </is>
      </c>
      <c r="D628" s="23" t="n">
        <v>43153</v>
      </c>
      <c r="E628" s="23" t="n">
        <v>46442</v>
      </c>
      <c r="F628" s="22" t="inlineStr">
        <is>
          <t>TRT240227T17</t>
        </is>
      </c>
      <c r="G628" s="8" t="n">
        <v>175000</v>
      </c>
      <c r="H628" s="8" t="n">
        <v>75000</v>
      </c>
      <c r="I628" s="24" t="n">
        <v>76627</v>
      </c>
      <c r="J628" s="24" t="n">
        <v>11.52</v>
      </c>
      <c r="K628" s="24" t="n">
        <v>11.53</v>
      </c>
      <c r="L628" s="24" t="n">
        <v>11.55</v>
      </c>
      <c r="M628" s="24" t="n">
        <v>11.86</v>
      </c>
      <c r="N628" s="24" t="n">
        <v>11.86</v>
      </c>
      <c r="O628" s="24" t="n">
        <v>11.88</v>
      </c>
    </row>
    <row r="629">
      <c r="A629" s="11" t="n">
        <v>2359</v>
      </c>
      <c r="B629" s="3" t="n">
        <v>43159</v>
      </c>
      <c r="C629" s="25" t="inlineStr">
        <is>
          <t>GELENEKSEL</t>
        </is>
      </c>
      <c r="D629" s="3" t="n">
        <v>43160</v>
      </c>
      <c r="E629" s="3" t="n">
        <v>44573</v>
      </c>
      <c r="F629" s="25"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3" t="n">
        <v>43159</v>
      </c>
      <c r="C630" s="22" t="inlineStr">
        <is>
          <t>GELENEKSEL</t>
        </is>
      </c>
      <c r="D630" s="23" t="n">
        <v>43160</v>
      </c>
      <c r="E630" s="23" t="n">
        <v>45728</v>
      </c>
      <c r="F630" s="22" t="inlineStr">
        <is>
          <t>TRT120325T12</t>
        </is>
      </c>
      <c r="G630" s="8" t="n">
        <v>246000</v>
      </c>
      <c r="H630" s="8" t="n">
        <v>75000</v>
      </c>
      <c r="I630" s="24" t="n">
        <v>64973.28</v>
      </c>
      <c r="J630" s="24" t="n">
        <v>11.56</v>
      </c>
      <c r="K630" s="24" t="n">
        <v>11.58</v>
      </c>
      <c r="L630" s="24" t="n">
        <v>11.59</v>
      </c>
      <c r="M630" s="24" t="n">
        <v>11.9</v>
      </c>
      <c r="N630" s="24" t="n">
        <v>11.91</v>
      </c>
      <c r="O630" s="24" t="n">
        <v>11.93</v>
      </c>
    </row>
    <row r="631">
      <c r="A631" s="11" t="n">
        <v>2361</v>
      </c>
      <c r="B631" s="3" t="n">
        <v>43166</v>
      </c>
      <c r="C631" s="25" t="inlineStr">
        <is>
          <t>GELENEKSEL</t>
        </is>
      </c>
      <c r="D631" s="3" t="n">
        <v>43167</v>
      </c>
      <c r="E631" s="3" t="n">
        <v>44244</v>
      </c>
      <c r="F631" s="25"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3" t="n">
        <v>43166</v>
      </c>
      <c r="C632" s="22" t="inlineStr">
        <is>
          <t>GELENEKSEL</t>
        </is>
      </c>
      <c r="D632" s="23" t="n">
        <v>43167</v>
      </c>
      <c r="E632" s="23" t="n">
        <v>45371</v>
      </c>
      <c r="F632" s="22" t="inlineStr">
        <is>
          <t>TRT200324T13</t>
        </is>
      </c>
      <c r="G632" s="8" t="n">
        <v>31000</v>
      </c>
      <c r="H632" s="8" t="n">
        <v>31000</v>
      </c>
      <c r="I632" s="24" t="n">
        <v>30736.34</v>
      </c>
      <c r="J632" s="24" t="n">
        <v>11.62</v>
      </c>
      <c r="K632" s="24" t="n">
        <v>11.68</v>
      </c>
      <c r="L632" s="24" t="n">
        <v>11.77</v>
      </c>
      <c r="M632" s="24" t="n">
        <v>11.96</v>
      </c>
      <c r="N632" s="24" t="n">
        <v>12.02</v>
      </c>
      <c r="O632" s="24" t="n">
        <v>12.12</v>
      </c>
    </row>
    <row r="633">
      <c r="A633" s="11" t="n">
        <v>2363</v>
      </c>
      <c r="B633" s="3" t="n">
        <v>43173</v>
      </c>
      <c r="C633" s="25" t="inlineStr">
        <is>
          <t>GELENEKSEL</t>
        </is>
      </c>
      <c r="D633" s="3" t="n">
        <v>43174</v>
      </c>
      <c r="E633" s="3" t="n">
        <v>44244</v>
      </c>
      <c r="F633" s="25"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3" t="n">
        <v>43173</v>
      </c>
      <c r="C634" s="22" t="inlineStr">
        <is>
          <t>GELENEKSEL</t>
        </is>
      </c>
      <c r="D634" s="23" t="n">
        <v>43174</v>
      </c>
      <c r="E634" s="23" t="n">
        <v>45728</v>
      </c>
      <c r="F634" s="22" t="inlineStr">
        <is>
          <t>TRT120325T12</t>
        </is>
      </c>
      <c r="G634" s="8" t="n">
        <v>276000</v>
      </c>
      <c r="H634" s="8" t="n">
        <v>75000</v>
      </c>
      <c r="I634" s="24" t="n">
        <v>63252.45</v>
      </c>
      <c r="J634" s="24" t="n">
        <v>12.22</v>
      </c>
      <c r="K634" s="24" t="n">
        <v>12.22</v>
      </c>
      <c r="L634" s="24" t="n">
        <v>12.23</v>
      </c>
      <c r="M634" s="24" t="n">
        <v>12.59</v>
      </c>
      <c r="N634" s="24" t="n">
        <v>12.59</v>
      </c>
      <c r="O634" s="24" t="n">
        <v>12.61</v>
      </c>
    </row>
    <row r="635">
      <c r="A635" s="11" t="n">
        <v>2365</v>
      </c>
      <c r="B635" s="3" t="n">
        <v>43180</v>
      </c>
      <c r="C635" s="25" t="inlineStr">
        <is>
          <t>GELENEKSEL</t>
        </is>
      </c>
      <c r="D635" s="3" t="n">
        <v>43181</v>
      </c>
      <c r="E635" s="3" t="n">
        <v>44622</v>
      </c>
      <c r="F635" s="25"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3" t="n">
        <v>43180</v>
      </c>
      <c r="C636" s="22" t="inlineStr">
        <is>
          <t>GELENEKSEL</t>
        </is>
      </c>
      <c r="D636" s="23" t="n">
        <v>43181</v>
      </c>
      <c r="E636" s="23" t="n">
        <v>45728</v>
      </c>
      <c r="F636" s="22" t="inlineStr">
        <is>
          <t>TRT120325T12</t>
        </is>
      </c>
      <c r="G636" s="8" t="n">
        <v>185000</v>
      </c>
      <c r="H636" s="8" t="n">
        <v>75000</v>
      </c>
      <c r="I636" s="24" t="n">
        <v>60378.41</v>
      </c>
      <c r="J636" s="24" t="n">
        <v>12.23</v>
      </c>
      <c r="K636" s="24" t="n">
        <v>12.23</v>
      </c>
      <c r="L636" s="24" t="n">
        <v>12.25</v>
      </c>
      <c r="M636" s="24" t="n">
        <v>12.6</v>
      </c>
      <c r="N636" s="24" t="n">
        <v>12.61</v>
      </c>
      <c r="O636" s="24" t="n">
        <v>12.63</v>
      </c>
    </row>
    <row r="637">
      <c r="A637" s="11" t="n">
        <v>2367</v>
      </c>
      <c r="B637" s="3" t="n">
        <v>43187</v>
      </c>
      <c r="C637" s="25" t="inlineStr">
        <is>
          <t>GELENEKSEL</t>
        </is>
      </c>
      <c r="D637" s="3" t="n">
        <v>43188</v>
      </c>
      <c r="E637" s="3" t="n">
        <v>44244</v>
      </c>
      <c r="F637" s="25"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3" t="n">
        <v>43187</v>
      </c>
      <c r="C638" s="22" t="inlineStr">
        <is>
          <t>GELENEKSEL</t>
        </is>
      </c>
      <c r="D638" s="23" t="n">
        <v>43188</v>
      </c>
      <c r="E638" s="23" t="n">
        <v>45728</v>
      </c>
      <c r="F638" s="22" t="inlineStr">
        <is>
          <t>TRT120325T12</t>
        </is>
      </c>
      <c r="G638" s="8" t="n">
        <v>195000</v>
      </c>
      <c r="H638" s="8" t="n">
        <v>75000</v>
      </c>
      <c r="I638" s="24" t="n">
        <v>59560.45</v>
      </c>
      <c r="J638" s="24" t="n">
        <v>12.54</v>
      </c>
      <c r="K638" s="24" t="n">
        <v>12.55</v>
      </c>
      <c r="L638" s="24" t="n">
        <v>12.56</v>
      </c>
      <c r="M638" s="24" t="n">
        <v>12.93</v>
      </c>
      <c r="N638" s="24" t="n">
        <v>12.94</v>
      </c>
      <c r="O638" s="24" t="n">
        <v>12.96</v>
      </c>
    </row>
    <row r="639">
      <c r="A639" s="11" t="n">
        <v>2369</v>
      </c>
      <c r="B639" s="3" t="n">
        <v>43194</v>
      </c>
      <c r="C639" s="25" t="inlineStr">
        <is>
          <t>GELENEKSEL</t>
        </is>
      </c>
      <c r="D639" s="3" t="n">
        <v>43195</v>
      </c>
      <c r="E639" s="3" t="n">
        <v>44622</v>
      </c>
      <c r="F639" s="25"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3" t="n">
        <v>43194</v>
      </c>
      <c r="C640" s="22" t="inlineStr">
        <is>
          <t>GELENEKSEL</t>
        </is>
      </c>
      <c r="D640" s="23" t="n">
        <v>43195</v>
      </c>
      <c r="E640" s="23" t="n">
        <v>46610</v>
      </c>
      <c r="F640" s="22" t="inlineStr">
        <is>
          <t>TRT110827T16</t>
        </is>
      </c>
      <c r="G640" s="8" t="n">
        <v>290000</v>
      </c>
      <c r="H640" s="8" t="n">
        <v>75000</v>
      </c>
      <c r="I640" s="24" t="n">
        <v>68270.25</v>
      </c>
      <c r="J640" s="24" t="n">
        <v>12.36</v>
      </c>
      <c r="K640" s="24" t="n">
        <v>12.36</v>
      </c>
      <c r="L640" s="24" t="n">
        <v>12.36</v>
      </c>
      <c r="M640" s="24" t="n">
        <v>12.74</v>
      </c>
      <c r="N640" s="24" t="n">
        <v>12.74</v>
      </c>
      <c r="O640" s="24" t="n">
        <v>12.74</v>
      </c>
    </row>
    <row r="641">
      <c r="A641" s="11" t="n">
        <v>2371</v>
      </c>
      <c r="B641" s="3" t="n">
        <v>43201</v>
      </c>
      <c r="C641" s="25" t="inlineStr">
        <is>
          <t>GELENEKSEL</t>
        </is>
      </c>
      <c r="D641" s="3" t="n">
        <v>43202</v>
      </c>
      <c r="E641" s="3" t="n">
        <v>44244</v>
      </c>
      <c r="F641" s="25"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3" t="n">
        <v>43201</v>
      </c>
      <c r="C642" s="22" t="inlineStr">
        <is>
          <t>GELENEKSEL</t>
        </is>
      </c>
      <c r="D642" s="23" t="n">
        <v>43202</v>
      </c>
      <c r="E642" s="23" t="n">
        <v>46610</v>
      </c>
      <c r="F642" s="22" t="inlineStr">
        <is>
          <t>TRT110827T16</t>
        </is>
      </c>
      <c r="G642" s="8" t="n">
        <v>275000</v>
      </c>
      <c r="H642" s="8" t="n">
        <v>75000</v>
      </c>
      <c r="I642" s="24" t="n">
        <v>66329</v>
      </c>
      <c r="J642" s="24" t="n">
        <v>12.93</v>
      </c>
      <c r="K642" s="24" t="n">
        <v>12.93</v>
      </c>
      <c r="L642" s="24" t="n">
        <v>12.93</v>
      </c>
      <c r="M642" s="24" t="n">
        <v>13.35</v>
      </c>
      <c r="N642" s="24" t="n">
        <v>13.35</v>
      </c>
      <c r="O642" s="24" t="n">
        <v>13.35</v>
      </c>
    </row>
    <row r="643">
      <c r="A643" s="11" t="n">
        <v>2373</v>
      </c>
      <c r="B643" s="3" t="n">
        <v>43208</v>
      </c>
      <c r="C643" s="25" t="inlineStr">
        <is>
          <t>GELENEKSEL</t>
        </is>
      </c>
      <c r="D643" s="3" t="n">
        <v>43209</v>
      </c>
      <c r="E643" s="3" t="n">
        <v>45728</v>
      </c>
      <c r="F643" s="25"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3" t="n">
        <v>43208</v>
      </c>
      <c r="C644" s="22" t="inlineStr">
        <is>
          <t>GELENEKSEL</t>
        </is>
      </c>
      <c r="D644" s="23" t="n">
        <v>43209</v>
      </c>
      <c r="E644" s="23" t="n">
        <v>46610</v>
      </c>
      <c r="F644" s="22" t="inlineStr">
        <is>
          <t>TRT110827T16</t>
        </is>
      </c>
      <c r="G644" s="8" t="n">
        <v>165000</v>
      </c>
      <c r="H644" s="8" t="n">
        <v>75000</v>
      </c>
      <c r="I644" s="24" t="n">
        <v>68046.95</v>
      </c>
      <c r="J644" s="24" t="n">
        <v>12.5</v>
      </c>
      <c r="K644" s="24" t="n">
        <v>12.51</v>
      </c>
      <c r="L644" s="24" t="n">
        <v>12.51</v>
      </c>
      <c r="M644" s="24" t="n">
        <v>12.89</v>
      </c>
      <c r="N644" s="24" t="n">
        <v>12.9</v>
      </c>
      <c r="O644" s="24" t="n">
        <v>12.9</v>
      </c>
    </row>
    <row r="645">
      <c r="A645" s="11" t="n">
        <v>2375</v>
      </c>
      <c r="B645" s="3" t="n">
        <v>43215</v>
      </c>
      <c r="C645" s="25" t="inlineStr">
        <is>
          <t>GELENEKSEL</t>
        </is>
      </c>
      <c r="D645" s="3" t="n">
        <v>43216</v>
      </c>
      <c r="E645" s="3" t="n">
        <v>44993</v>
      </c>
      <c r="F645" s="25"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3" t="n">
        <v>43215</v>
      </c>
      <c r="C646" s="22" t="inlineStr">
        <is>
          <t>GELENEKSEL</t>
        </is>
      </c>
      <c r="D646" s="23" t="n">
        <v>43216</v>
      </c>
      <c r="E646" s="23" t="n">
        <v>46610</v>
      </c>
      <c r="F646" s="22" t="inlineStr">
        <is>
          <t>TRT110827T16</t>
        </is>
      </c>
      <c r="G646" s="8" t="n">
        <v>132000</v>
      </c>
      <c r="H646" s="8" t="n">
        <v>75000</v>
      </c>
      <c r="I646" s="24" t="n">
        <v>70523.45</v>
      </c>
      <c r="J646" s="24" t="n">
        <v>11.84</v>
      </c>
      <c r="K646" s="24" t="n">
        <v>11.91</v>
      </c>
      <c r="L646" s="24" t="n">
        <v>12.29</v>
      </c>
      <c r="M646" s="24" t="n">
        <v>12.19</v>
      </c>
      <c r="N646" s="24" t="n">
        <v>12.26</v>
      </c>
      <c r="O646" s="24" t="n">
        <v>12.67</v>
      </c>
    </row>
    <row r="647">
      <c r="A647" s="11" t="n">
        <v>2377</v>
      </c>
      <c r="B647" s="3" t="n">
        <v>43222</v>
      </c>
      <c r="C647" s="25" t="inlineStr">
        <is>
          <t>GELENEKSEL</t>
        </is>
      </c>
      <c r="D647" s="3" t="n">
        <v>43223</v>
      </c>
      <c r="E647" s="3" t="n">
        <v>44244</v>
      </c>
      <c r="F647" s="25"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3" t="n">
        <v>43222</v>
      </c>
      <c r="C648" s="22" t="inlineStr">
        <is>
          <t>GELENEKSEL</t>
        </is>
      </c>
      <c r="D648" s="23" t="n">
        <v>43223</v>
      </c>
      <c r="E648" s="23" t="n">
        <v>46442</v>
      </c>
      <c r="F648" s="22" t="inlineStr">
        <is>
          <t>TRT240227T17</t>
        </is>
      </c>
      <c r="G648" s="8" t="n">
        <v>275000</v>
      </c>
      <c r="H648" s="8" t="n">
        <v>75000</v>
      </c>
      <c r="I648" s="24" t="n">
        <v>70159.5</v>
      </c>
      <c r="J648" s="24" t="n">
        <v>12.55</v>
      </c>
      <c r="K648" s="24" t="n">
        <v>12.55</v>
      </c>
      <c r="L648" s="24" t="n">
        <v>12.55</v>
      </c>
      <c r="M648" s="24" t="n">
        <v>12.94</v>
      </c>
      <c r="N648" s="24" t="n">
        <v>12.94</v>
      </c>
      <c r="O648" s="24" t="n">
        <v>12.95</v>
      </c>
    </row>
    <row r="649">
      <c r="A649" s="11" t="n">
        <v>2379</v>
      </c>
      <c r="B649" s="3" t="n">
        <v>43229</v>
      </c>
      <c r="C649" s="25" t="inlineStr">
        <is>
          <t>GELENEKSEL</t>
        </is>
      </c>
      <c r="D649" s="3" t="n">
        <v>43230</v>
      </c>
      <c r="E649" s="3" t="n">
        <v>44573</v>
      </c>
      <c r="F649" s="25"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3" t="n">
        <v>43229</v>
      </c>
      <c r="C650" s="22" t="inlineStr">
        <is>
          <t>GELENEKSEL</t>
        </is>
      </c>
      <c r="D650" s="23" t="n">
        <v>43230</v>
      </c>
      <c r="E650" s="23" t="n">
        <v>45196</v>
      </c>
      <c r="F650" s="22" t="inlineStr">
        <is>
          <t>TRT270923T11</t>
        </is>
      </c>
      <c r="G650" s="8" t="n">
        <v>250000</v>
      </c>
      <c r="H650" s="8" t="n">
        <v>75000</v>
      </c>
      <c r="I650" s="24" t="n">
        <v>61062.75</v>
      </c>
      <c r="J650" s="24" t="n">
        <v>14.05</v>
      </c>
      <c r="K650" s="24" t="n">
        <v>14.05</v>
      </c>
      <c r="L650" s="24" t="n">
        <v>14.05</v>
      </c>
      <c r="M650" s="24" t="n">
        <v>14.54</v>
      </c>
      <c r="N650" s="24" t="n">
        <v>14.54</v>
      </c>
      <c r="O650" s="24" t="n">
        <v>14.54</v>
      </c>
    </row>
    <row r="651">
      <c r="A651" s="11" t="n">
        <v>2381</v>
      </c>
      <c r="B651" s="3" t="n">
        <v>43236</v>
      </c>
      <c r="C651" s="25" t="inlineStr">
        <is>
          <t>GELENEKSEL</t>
        </is>
      </c>
      <c r="D651" s="3" t="n">
        <v>43237</v>
      </c>
      <c r="E651" s="3" t="n">
        <v>45196</v>
      </c>
      <c r="F651" s="25"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3" t="n">
        <v>43236</v>
      </c>
      <c r="C652" s="22" t="inlineStr">
        <is>
          <t>GELENEKSEL</t>
        </is>
      </c>
      <c r="D652" s="23" t="n">
        <v>43237</v>
      </c>
      <c r="E652" s="23" t="n">
        <v>46442</v>
      </c>
      <c r="F652" s="22" t="inlineStr">
        <is>
          <t>TRT240227T17</t>
        </is>
      </c>
      <c r="G652" s="8" t="n">
        <v>270000</v>
      </c>
      <c r="H652" s="8" t="n">
        <v>75000</v>
      </c>
      <c r="I652" s="24" t="n">
        <v>64026</v>
      </c>
      <c r="J652" s="24" t="n">
        <v>14.41</v>
      </c>
      <c r="K652" s="24" t="n">
        <v>14.41</v>
      </c>
      <c r="L652" s="24" t="n">
        <v>14.41</v>
      </c>
      <c r="M652" s="24" t="n">
        <v>14.93</v>
      </c>
      <c r="N652" s="24" t="n">
        <v>14.93</v>
      </c>
      <c r="O652" s="24" t="n">
        <v>14.93</v>
      </c>
    </row>
    <row r="653">
      <c r="A653" s="11" t="n">
        <v>2383</v>
      </c>
      <c r="B653" s="3" t="n">
        <v>43243</v>
      </c>
      <c r="C653" s="25" t="inlineStr">
        <is>
          <t>GELENEKSEL</t>
        </is>
      </c>
      <c r="D653" s="3" t="n">
        <v>43244</v>
      </c>
      <c r="E653" s="3" t="n">
        <v>44244</v>
      </c>
      <c r="F653" s="25"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3" t="n">
        <v>43243</v>
      </c>
      <c r="C654" s="22" t="inlineStr">
        <is>
          <t>GELENEKSEL</t>
        </is>
      </c>
      <c r="D654" s="23" t="n">
        <v>43244</v>
      </c>
      <c r="E654" s="23" t="n">
        <v>46442</v>
      </c>
      <c r="F654" s="22" t="inlineStr">
        <is>
          <t>TRT240227T17</t>
        </is>
      </c>
      <c r="G654" s="8" t="n">
        <v>259000</v>
      </c>
      <c r="H654" s="8" t="n">
        <v>75000</v>
      </c>
      <c r="I654" s="24" t="n">
        <v>62366.25</v>
      </c>
      <c r="J654" s="24" t="n">
        <v>14.99</v>
      </c>
      <c r="K654" s="24" t="n">
        <v>14.99</v>
      </c>
      <c r="L654" s="24" t="n">
        <v>14.99</v>
      </c>
      <c r="M654" s="24" t="n">
        <v>15.55</v>
      </c>
      <c r="N654" s="24" t="n">
        <v>15.55</v>
      </c>
      <c r="O654" s="24" t="n">
        <v>15.55</v>
      </c>
    </row>
    <row r="655">
      <c r="A655" s="11" t="n">
        <v>2385</v>
      </c>
      <c r="B655" s="3" t="n">
        <v>43257</v>
      </c>
      <c r="C655" s="25" t="inlineStr">
        <is>
          <t>GELENEKSEL</t>
        </is>
      </c>
      <c r="D655" s="3" t="n">
        <v>43258</v>
      </c>
      <c r="E655" s="3" t="n">
        <v>44622</v>
      </c>
      <c r="F655" s="25"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3" t="n">
        <v>43257</v>
      </c>
      <c r="C656" s="22" t="inlineStr">
        <is>
          <t>GELENEKSEL</t>
        </is>
      </c>
      <c r="D656" s="23" t="n">
        <v>43258</v>
      </c>
      <c r="E656" s="23" t="n">
        <v>44993</v>
      </c>
      <c r="F656" s="22" t="inlineStr">
        <is>
          <t>TRT080323T10</t>
        </is>
      </c>
      <c r="G656" s="8" t="n">
        <v>257000</v>
      </c>
      <c r="H656" s="8" t="n">
        <v>75000</v>
      </c>
      <c r="I656" s="24" t="n">
        <v>55169.92</v>
      </c>
      <c r="J656" s="24" t="n">
        <v>15.65</v>
      </c>
      <c r="K656" s="24" t="n">
        <v>15.68</v>
      </c>
      <c r="L656" s="24" t="n">
        <v>15.74</v>
      </c>
      <c r="M656" s="24" t="n">
        <v>16.26</v>
      </c>
      <c r="N656" s="24" t="n">
        <v>16.29</v>
      </c>
      <c r="O656" s="24" t="n">
        <v>16.36</v>
      </c>
    </row>
    <row r="657">
      <c r="A657" s="11" t="n">
        <v>2387</v>
      </c>
      <c r="B657" s="3" t="n">
        <v>43271</v>
      </c>
      <c r="C657" s="25" t="inlineStr">
        <is>
          <t>GELENEKSEL</t>
        </is>
      </c>
      <c r="D657" s="3" t="n">
        <v>43272</v>
      </c>
      <c r="E657" s="3" t="n">
        <v>44244</v>
      </c>
      <c r="F657" s="25"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3" t="n">
        <v>43271</v>
      </c>
      <c r="C658" s="22" t="inlineStr">
        <is>
          <t>GELENEKSEL</t>
        </is>
      </c>
      <c r="D658" s="23" t="n">
        <v>43272</v>
      </c>
      <c r="E658" s="23" t="n">
        <v>46610</v>
      </c>
      <c r="F658" s="22" t="inlineStr">
        <is>
          <t>TRT110827T16</t>
        </is>
      </c>
      <c r="G658" s="8" t="n">
        <v>185000</v>
      </c>
      <c r="H658" s="8" t="n">
        <v>75000</v>
      </c>
      <c r="I658" s="24" t="n">
        <v>57088.9</v>
      </c>
      <c r="J658" s="24" t="n">
        <v>16.32</v>
      </c>
      <c r="K658" s="24" t="n">
        <v>16.34</v>
      </c>
      <c r="L658" s="24" t="n">
        <v>16.41</v>
      </c>
      <c r="M658" s="24" t="n">
        <v>16.99</v>
      </c>
      <c r="N658" s="24" t="n">
        <v>17.01</v>
      </c>
      <c r="O658" s="24" t="n">
        <v>17.08</v>
      </c>
    </row>
    <row r="659">
      <c r="A659" s="11" t="n">
        <v>2389</v>
      </c>
      <c r="B659" s="3" t="n">
        <v>43278</v>
      </c>
      <c r="C659" s="25" t="inlineStr">
        <is>
          <t>GELENEKSEL</t>
        </is>
      </c>
      <c r="D659" s="3" t="n">
        <v>43279</v>
      </c>
      <c r="E659" s="3" t="n">
        <v>44622</v>
      </c>
      <c r="F659" s="25"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3" t="n">
        <v>43278</v>
      </c>
      <c r="C660" s="22" t="inlineStr">
        <is>
          <t>GELENEKSEL</t>
        </is>
      </c>
      <c r="D660" s="23" t="n">
        <v>43279</v>
      </c>
      <c r="E660" s="23" t="n">
        <v>46610</v>
      </c>
      <c r="F660" s="22" t="inlineStr">
        <is>
          <t>TRT110827T16</t>
        </is>
      </c>
      <c r="G660" s="8" t="n">
        <v>232000</v>
      </c>
      <c r="H660" s="8" t="n">
        <v>75000</v>
      </c>
      <c r="I660" s="24" t="n">
        <v>57595.91</v>
      </c>
      <c r="J660" s="24" t="n">
        <v>16.2</v>
      </c>
      <c r="K660" s="24" t="n">
        <v>16.23</v>
      </c>
      <c r="L660" s="24" t="n">
        <v>16.27</v>
      </c>
      <c r="M660" s="24" t="n">
        <v>16.86</v>
      </c>
      <c r="N660" s="24" t="n">
        <v>16.88</v>
      </c>
      <c r="O660" s="24" t="n">
        <v>16.93</v>
      </c>
    </row>
    <row r="661">
      <c r="A661" s="11" t="n">
        <v>2391</v>
      </c>
      <c r="B661" s="3" t="n">
        <v>43285</v>
      </c>
      <c r="C661" s="25" t="inlineStr">
        <is>
          <t>GELENEKSEL</t>
        </is>
      </c>
      <c r="D661" s="3" t="n">
        <v>43286</v>
      </c>
      <c r="E661" s="3" t="n">
        <v>44944</v>
      </c>
      <c r="F661" s="25"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3" t="n">
        <v>43285</v>
      </c>
      <c r="C662" s="22" t="inlineStr">
        <is>
          <t>GELENEKSEL</t>
        </is>
      </c>
      <c r="D662" s="23" t="n">
        <v>43286</v>
      </c>
      <c r="E662" s="23" t="n">
        <v>46442</v>
      </c>
      <c r="F662" s="22" t="inlineStr">
        <is>
          <t>TRT240227T17</t>
        </is>
      </c>
      <c r="G662" s="8" t="n">
        <v>329000</v>
      </c>
      <c r="H662" s="8" t="n">
        <v>75000</v>
      </c>
      <c r="I662" s="24" t="n">
        <v>57053.91</v>
      </c>
      <c r="J662" s="24" t="n">
        <v>17.16</v>
      </c>
      <c r="K662" s="24" t="n">
        <v>17.22</v>
      </c>
      <c r="L662" s="24" t="n">
        <v>17.23</v>
      </c>
      <c r="M662" s="24" t="n">
        <v>17.89</v>
      </c>
      <c r="N662" s="24" t="n">
        <v>17.96</v>
      </c>
      <c r="O662" s="24" t="n">
        <v>17.98</v>
      </c>
    </row>
    <row r="663">
      <c r="A663" s="11" t="n">
        <v>2393</v>
      </c>
      <c r="B663" s="3" t="n">
        <v>43292</v>
      </c>
      <c r="C663" s="25" t="inlineStr">
        <is>
          <t>GELENEKSEL</t>
        </is>
      </c>
      <c r="D663" s="3" t="n">
        <v>43293</v>
      </c>
      <c r="E663" s="3" t="n">
        <v>44944</v>
      </c>
      <c r="F663" s="25"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3" t="n">
        <v>43292</v>
      </c>
      <c r="C664" s="22" t="inlineStr">
        <is>
          <t>GELENEKSEL</t>
        </is>
      </c>
      <c r="D664" s="23" t="n">
        <v>43293</v>
      </c>
      <c r="E664" s="23" t="n">
        <v>46610</v>
      </c>
      <c r="F664" s="22" t="inlineStr">
        <is>
          <t>TRT110827T16</t>
        </is>
      </c>
      <c r="G664" s="8" t="n">
        <v>310000</v>
      </c>
      <c r="H664" s="8" t="n">
        <v>75000</v>
      </c>
      <c r="I664" s="24" t="n">
        <v>54977.45</v>
      </c>
      <c r="J664" s="24" t="n">
        <v>17.33</v>
      </c>
      <c r="K664" s="24" t="n">
        <v>17.33</v>
      </c>
      <c r="L664" s="24" t="n">
        <v>17.34</v>
      </c>
      <c r="M664" s="24" t="n">
        <v>18.08</v>
      </c>
      <c r="N664" s="24" t="n">
        <v>18.08</v>
      </c>
      <c r="O664" s="24" t="n">
        <v>18.09</v>
      </c>
    </row>
    <row r="665">
      <c r="A665" s="11" t="n">
        <v>2395</v>
      </c>
      <c r="B665" s="3" t="n">
        <v>43299</v>
      </c>
      <c r="C665" s="25" t="inlineStr">
        <is>
          <t>GELENEKSEL</t>
        </is>
      </c>
      <c r="D665" s="3" t="n">
        <v>43300</v>
      </c>
      <c r="E665" s="3" t="n">
        <v>44244</v>
      </c>
      <c r="F665" s="25"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3" t="n">
        <v>43299</v>
      </c>
      <c r="C666" s="22" t="inlineStr">
        <is>
          <t>GELENEKSEL</t>
        </is>
      </c>
      <c r="D666" s="23" t="n">
        <v>43300</v>
      </c>
      <c r="E666" s="23" t="n">
        <v>44944</v>
      </c>
      <c r="F666" s="22" t="inlineStr">
        <is>
          <t>TRT180123T10</t>
        </is>
      </c>
      <c r="G666" s="8" t="n">
        <v>292000</v>
      </c>
      <c r="H666" s="8" t="n">
        <v>75000</v>
      </c>
      <c r="I666" s="24" t="n">
        <v>65471.5</v>
      </c>
      <c r="J666" s="24" t="n">
        <v>18.43</v>
      </c>
      <c r="K666" s="24" t="n">
        <v>18.45</v>
      </c>
      <c r="L666" s="24" t="n">
        <v>18.45</v>
      </c>
      <c r="M666" s="24" t="n">
        <v>19.28</v>
      </c>
      <c r="N666" s="24" t="n">
        <v>19.3</v>
      </c>
      <c r="O666" s="24" t="n">
        <v>19.3</v>
      </c>
    </row>
    <row r="667">
      <c r="A667" s="11" t="n">
        <v>2397</v>
      </c>
      <c r="B667" s="3" t="n">
        <v>43306</v>
      </c>
      <c r="C667" s="25" t="inlineStr">
        <is>
          <t>GELENEKSEL</t>
        </is>
      </c>
      <c r="D667" s="3" t="n">
        <v>43307</v>
      </c>
      <c r="E667" s="3" t="n">
        <v>44944</v>
      </c>
      <c r="F667" s="25"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3" t="n">
        <v>43306</v>
      </c>
      <c r="C668" s="22" t="inlineStr">
        <is>
          <t>GELENEKSEL</t>
        </is>
      </c>
      <c r="D668" s="23" t="n">
        <v>43307</v>
      </c>
      <c r="E668" s="23" t="n">
        <v>46610</v>
      </c>
      <c r="F668" s="22" t="inlineStr">
        <is>
          <t>TRT110827T16</t>
        </is>
      </c>
      <c r="G668" s="8" t="n">
        <v>185000</v>
      </c>
      <c r="H668" s="8" t="n">
        <v>75000</v>
      </c>
      <c r="I668" s="24" t="n">
        <v>55112.75</v>
      </c>
      <c r="J668" s="24" t="n">
        <v>17.36</v>
      </c>
      <c r="K668" s="24" t="n">
        <v>17.41</v>
      </c>
      <c r="L668" s="24" t="n">
        <v>17.42</v>
      </c>
      <c r="M668" s="24" t="n">
        <v>18.11</v>
      </c>
      <c r="N668" s="24" t="n">
        <v>18.16</v>
      </c>
      <c r="O668" s="24" t="n">
        <v>18.18</v>
      </c>
    </row>
    <row r="669">
      <c r="A669" s="11" t="n">
        <v>2399</v>
      </c>
      <c r="B669" s="3" t="n">
        <v>43313</v>
      </c>
      <c r="C669" s="25" t="inlineStr">
        <is>
          <t>GELENEKSEL</t>
        </is>
      </c>
      <c r="D669" s="3" t="n">
        <v>43314</v>
      </c>
      <c r="E669" s="3" t="n">
        <v>44944</v>
      </c>
      <c r="F669" s="25"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3" t="n">
        <v>43313</v>
      </c>
      <c r="C670" s="22" t="inlineStr">
        <is>
          <t>GELENEKSEL</t>
        </is>
      </c>
      <c r="D670" s="23" t="n">
        <v>43314</v>
      </c>
      <c r="E670" s="23" t="n">
        <v>46610</v>
      </c>
      <c r="F670" s="22" t="inlineStr">
        <is>
          <t>TRT110827T16</t>
        </is>
      </c>
      <c r="G670" s="8" t="n">
        <v>185000</v>
      </c>
      <c r="H670" s="8" t="n">
        <v>75000</v>
      </c>
      <c r="I670" s="24" t="n">
        <v>54339.75</v>
      </c>
      <c r="J670" s="24" t="n">
        <v>17.78</v>
      </c>
      <c r="K670" s="24" t="n">
        <v>17.78</v>
      </c>
      <c r="L670" s="24" t="n">
        <v>17.78</v>
      </c>
      <c r="M670" s="24" t="n">
        <v>18.57</v>
      </c>
      <c r="N670" s="24" t="n">
        <v>18.57</v>
      </c>
      <c r="O670" s="24" t="n">
        <v>18.57</v>
      </c>
    </row>
    <row r="671">
      <c r="A671" s="11" t="n">
        <v>2401</v>
      </c>
      <c r="B671" s="3" t="n">
        <v>43320</v>
      </c>
      <c r="C671" s="25" t="inlineStr">
        <is>
          <t>GELENEKSEL</t>
        </is>
      </c>
      <c r="D671" s="3" t="n">
        <v>43321</v>
      </c>
      <c r="E671" s="3" t="n">
        <v>44573</v>
      </c>
      <c r="F671" s="25"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3" t="n">
        <v>43320</v>
      </c>
      <c r="C672" s="22" t="inlineStr">
        <is>
          <t>GELENEKSEL</t>
        </is>
      </c>
      <c r="D672" s="23" t="n">
        <v>43321</v>
      </c>
      <c r="E672" s="23" t="n">
        <v>45728</v>
      </c>
      <c r="F672" s="22" t="inlineStr">
        <is>
          <t>TRT120325T12</t>
        </is>
      </c>
      <c r="G672" s="8" t="n">
        <v>199000</v>
      </c>
      <c r="H672" s="8" t="n">
        <v>75000</v>
      </c>
      <c r="I672" s="24" t="n">
        <v>48174.14</v>
      </c>
      <c r="J672" s="24" t="n">
        <v>18.33</v>
      </c>
      <c r="K672" s="24" t="n">
        <v>18.39</v>
      </c>
      <c r="L672" s="24" t="n">
        <v>18.44</v>
      </c>
      <c r="M672" s="24" t="n">
        <v>19.17</v>
      </c>
      <c r="N672" s="24" t="n">
        <v>19.24</v>
      </c>
      <c r="O672" s="24" t="n">
        <v>19.29</v>
      </c>
    </row>
    <row r="673">
      <c r="A673" s="11" t="n">
        <v>2403</v>
      </c>
      <c r="B673" s="3" t="n">
        <v>43327</v>
      </c>
      <c r="C673" s="25" t="inlineStr">
        <is>
          <t>GELENEKSEL</t>
        </is>
      </c>
      <c r="D673" s="3" t="n">
        <v>43328</v>
      </c>
      <c r="E673" s="3" t="n">
        <v>44944</v>
      </c>
      <c r="F673" s="25"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3" t="n">
        <v>43327</v>
      </c>
      <c r="C674" s="22" t="inlineStr">
        <is>
          <t>GELENEKSEL</t>
        </is>
      </c>
      <c r="D674" s="23" t="n">
        <v>43328</v>
      </c>
      <c r="E674" s="23" t="n">
        <v>46610</v>
      </c>
      <c r="F674" s="22" t="inlineStr">
        <is>
          <t>TRT110827T16</t>
        </is>
      </c>
      <c r="G674" s="8" t="n">
        <v>140000</v>
      </c>
      <c r="H674" s="8" t="n">
        <v>75000</v>
      </c>
      <c r="I674" s="24" t="n">
        <v>49020.75</v>
      </c>
      <c r="J674" s="24" t="n">
        <v>20.19</v>
      </c>
      <c r="K674" s="24" t="n">
        <v>20.25</v>
      </c>
      <c r="L674" s="24" t="n">
        <v>20.31</v>
      </c>
      <c r="M674" s="24" t="n">
        <v>21.21</v>
      </c>
      <c r="N674" s="24" t="n">
        <v>21.28</v>
      </c>
      <c r="O674" s="24" t="n">
        <v>21.34</v>
      </c>
    </row>
    <row r="675">
      <c r="A675" s="11" t="n">
        <v>2405</v>
      </c>
      <c r="B675" s="3" t="n">
        <v>43341</v>
      </c>
      <c r="C675" s="25" t="inlineStr">
        <is>
          <t>GELENEKSEL</t>
        </is>
      </c>
      <c r="D675" s="3" t="n">
        <v>43343</v>
      </c>
      <c r="E675" s="3" t="n">
        <v>44244</v>
      </c>
      <c r="F675" s="25" t="inlineStr">
        <is>
          <t>TRT170221T12</t>
        </is>
      </c>
      <c r="G675" s="11" t="n">
        <v>150000</v>
      </c>
      <c r="H675" s="11" t="n">
        <v>0</v>
      </c>
      <c r="I675" s="13" t="n">
        <v>0</v>
      </c>
    </row>
    <row r="676">
      <c r="A676" s="8" t="n">
        <v>2406</v>
      </c>
      <c r="B676" s="23" t="n">
        <v>43341</v>
      </c>
      <c r="C676" s="22" t="inlineStr">
        <is>
          <t>GELENEKSEL</t>
        </is>
      </c>
      <c r="D676" s="23" t="n">
        <v>43343</v>
      </c>
      <c r="E676" s="23" t="n">
        <v>44944</v>
      </c>
      <c r="F676" s="22" t="inlineStr">
        <is>
          <t>TRT180123T10</t>
        </is>
      </c>
      <c r="G676" s="8" t="n">
        <v>95000</v>
      </c>
      <c r="H676" s="8" t="n">
        <v>75000</v>
      </c>
      <c r="I676" s="24" t="n">
        <v>50241.25</v>
      </c>
      <c r="J676" s="24" t="n">
        <v>25.57</v>
      </c>
      <c r="K676" s="24" t="n">
        <v>25.61</v>
      </c>
      <c r="L676" s="24" t="n">
        <v>25.64</v>
      </c>
      <c r="M676" s="24" t="n">
        <v>27.21</v>
      </c>
      <c r="N676" s="24" t="n">
        <v>27.25</v>
      </c>
      <c r="O676" s="24" t="n">
        <v>27.28</v>
      </c>
    </row>
    <row r="677">
      <c r="A677" s="11" t="n">
        <v>2407</v>
      </c>
      <c r="B677" s="3" t="n">
        <v>43348</v>
      </c>
      <c r="C677" s="25" t="inlineStr">
        <is>
          <t>GELENEKSEL</t>
        </is>
      </c>
      <c r="D677" s="3" t="n">
        <v>43349</v>
      </c>
      <c r="E677" s="3" t="n">
        <v>43873</v>
      </c>
      <c r="F677" s="25" t="inlineStr">
        <is>
          <t>TRD120220T16</t>
        </is>
      </c>
      <c r="G677" s="11" t="n">
        <v>10000</v>
      </c>
      <c r="H677" s="11" t="n">
        <v>0</v>
      </c>
      <c r="I677" s="13" t="n">
        <v>0</v>
      </c>
    </row>
    <row r="678">
      <c r="A678" s="8" t="n">
        <v>2408</v>
      </c>
      <c r="B678" s="23" t="n">
        <v>43348</v>
      </c>
      <c r="C678" s="22" t="inlineStr">
        <is>
          <t>GELENEKSEL</t>
        </is>
      </c>
      <c r="D678" s="23" t="n">
        <v>43349</v>
      </c>
      <c r="E678" s="23" t="n">
        <v>46442</v>
      </c>
      <c r="F678" s="22" t="inlineStr">
        <is>
          <t>TRT240227T17</t>
        </is>
      </c>
      <c r="G678" s="8" t="n">
        <v>170000</v>
      </c>
      <c r="H678" s="8" t="n">
        <v>0</v>
      </c>
      <c r="I678" s="24" t="n">
        <v>0</v>
      </c>
    </row>
    <row r="679">
      <c r="A679" s="11" t="n">
        <v>2409</v>
      </c>
      <c r="B679" s="3" t="n">
        <v>43355</v>
      </c>
      <c r="C679" s="25" t="inlineStr">
        <is>
          <t>GELENEKSEL</t>
        </is>
      </c>
      <c r="D679" s="3" t="n">
        <v>43356</v>
      </c>
      <c r="E679" s="3" t="n">
        <v>43509</v>
      </c>
      <c r="F679" s="25" t="inlineStr">
        <is>
          <t>TRD130219T18</t>
        </is>
      </c>
      <c r="G679" s="11" t="n">
        <v>0</v>
      </c>
      <c r="H679" s="11" t="n">
        <v>0</v>
      </c>
      <c r="I679" s="13" t="n">
        <v>0</v>
      </c>
    </row>
    <row r="680">
      <c r="A680" s="8" t="n">
        <v>2410</v>
      </c>
      <c r="B680" s="23" t="n">
        <v>43355</v>
      </c>
      <c r="C680" s="22" t="inlineStr">
        <is>
          <t>GELENEKSEL</t>
        </is>
      </c>
      <c r="D680" s="23" t="n">
        <v>43356</v>
      </c>
      <c r="E680" s="23" t="n">
        <v>45728</v>
      </c>
      <c r="F680" s="22" t="inlineStr">
        <is>
          <t>TRT120325T12</t>
        </is>
      </c>
      <c r="G680" s="8" t="n">
        <v>20000</v>
      </c>
      <c r="H680" s="8" t="n">
        <v>20000</v>
      </c>
      <c r="I680" s="24" t="n">
        <v>11773</v>
      </c>
      <c r="J680" s="24" t="n">
        <v>20.97</v>
      </c>
      <c r="K680" s="24" t="n">
        <v>20.97</v>
      </c>
      <c r="L680" s="24" t="n">
        <v>20.97</v>
      </c>
      <c r="M680" s="24" t="n">
        <v>22.07</v>
      </c>
      <c r="N680" s="24" t="n">
        <v>22.07</v>
      </c>
      <c r="O680" s="24" t="n">
        <v>22.07</v>
      </c>
    </row>
    <row r="681">
      <c r="A681" s="11" t="n">
        <v>2411</v>
      </c>
      <c r="B681" s="3" t="n">
        <v>43362</v>
      </c>
      <c r="C681" s="25" t="inlineStr">
        <is>
          <t>GELENEKSEL</t>
        </is>
      </c>
      <c r="D681" s="3" t="n">
        <v>43363</v>
      </c>
      <c r="E681" s="3" t="n">
        <v>44622</v>
      </c>
      <c r="F681" s="25"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3" t="n">
        <v>43362</v>
      </c>
      <c r="C682" s="22" t="inlineStr">
        <is>
          <t>GELENEKSEL</t>
        </is>
      </c>
      <c r="D682" s="23" t="n">
        <v>43363</v>
      </c>
      <c r="E682" s="23" t="n">
        <v>46442</v>
      </c>
      <c r="F682" s="22" t="inlineStr">
        <is>
          <t>TRT240227T17</t>
        </is>
      </c>
      <c r="G682" s="8" t="n">
        <v>115000</v>
      </c>
      <c r="H682" s="8" t="n">
        <v>75000</v>
      </c>
      <c r="I682" s="24" t="n">
        <v>50460.45</v>
      </c>
      <c r="J682" s="24" t="n">
        <v>18.92</v>
      </c>
      <c r="K682" s="24" t="n">
        <v>19.03</v>
      </c>
      <c r="L682" s="24" t="n">
        <v>19.11</v>
      </c>
      <c r="M682" s="24" t="n">
        <v>19.82</v>
      </c>
      <c r="N682" s="24" t="n">
        <v>19.94</v>
      </c>
      <c r="O682" s="24" t="n">
        <v>20.02</v>
      </c>
    </row>
    <row r="683">
      <c r="A683" s="11" t="n">
        <v>2413</v>
      </c>
      <c r="B683" s="3" t="n">
        <v>43369</v>
      </c>
      <c r="C683" s="25" t="inlineStr">
        <is>
          <t>GELENEKSEL</t>
        </is>
      </c>
      <c r="D683" s="3" t="n">
        <v>43370</v>
      </c>
      <c r="E683" s="3" t="n">
        <v>44944</v>
      </c>
      <c r="F683" s="25"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3" t="n">
        <v>43369</v>
      </c>
      <c r="C684" s="22" t="inlineStr">
        <is>
          <t>GELENEKSEL</t>
        </is>
      </c>
      <c r="D684" s="23" t="n">
        <v>43370</v>
      </c>
      <c r="E684" s="23" t="n">
        <v>46442</v>
      </c>
      <c r="F684" s="22" t="inlineStr">
        <is>
          <t>TRT240227T17</t>
        </is>
      </c>
      <c r="G684" s="8" t="n">
        <v>51000</v>
      </c>
      <c r="H684" s="8" t="n">
        <v>27000</v>
      </c>
      <c r="I684" s="24" t="n">
        <v>18499.8</v>
      </c>
      <c r="J684" s="24" t="n">
        <v>18.67</v>
      </c>
      <c r="K684" s="24" t="n">
        <v>18.72</v>
      </c>
      <c r="L684" s="24" t="n">
        <v>18.75</v>
      </c>
      <c r="M684" s="24" t="n">
        <v>19.54</v>
      </c>
      <c r="N684" s="24" t="n">
        <v>19.59</v>
      </c>
      <c r="O684" s="24" t="n">
        <v>19.63</v>
      </c>
    </row>
    <row r="685">
      <c r="A685" s="11" t="n">
        <v>2415</v>
      </c>
      <c r="B685" s="3" t="n">
        <v>43376</v>
      </c>
      <c r="C685" s="25" t="inlineStr">
        <is>
          <t>GELENEKSEL</t>
        </is>
      </c>
      <c r="D685" s="3" t="n">
        <v>43377</v>
      </c>
      <c r="E685" s="3" t="n">
        <v>44244</v>
      </c>
      <c r="F685" s="25"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3" t="n">
        <v>43376</v>
      </c>
      <c r="C686" s="22" t="inlineStr">
        <is>
          <t>GELENEKSEL</t>
        </is>
      </c>
      <c r="D686" s="23" t="n">
        <v>43377</v>
      </c>
      <c r="E686" s="23" t="n">
        <v>46064</v>
      </c>
      <c r="F686" s="22" t="inlineStr">
        <is>
          <t>TRT110226T13</t>
        </is>
      </c>
      <c r="G686" s="8" t="n">
        <v>235000</v>
      </c>
      <c r="H686" s="8" t="n">
        <v>75000</v>
      </c>
      <c r="I686" s="24" t="n">
        <v>49740</v>
      </c>
      <c r="J686" s="24" t="n">
        <v>19.68</v>
      </c>
      <c r="K686" s="24" t="n">
        <v>19.79</v>
      </c>
      <c r="L686" s="24" t="n">
        <v>19.82</v>
      </c>
      <c r="M686" s="24" t="n">
        <v>20.65</v>
      </c>
      <c r="N686" s="24" t="n">
        <v>20.77</v>
      </c>
      <c r="O686" s="24" t="n">
        <v>20.8</v>
      </c>
    </row>
    <row r="687">
      <c r="A687" s="11" t="n">
        <v>2417</v>
      </c>
      <c r="B687" s="3" t="n">
        <v>43383</v>
      </c>
      <c r="C687" s="25" t="inlineStr">
        <is>
          <t>GELENEKSEL</t>
        </is>
      </c>
      <c r="D687" s="3" t="n">
        <v>43384</v>
      </c>
      <c r="E687" s="3" t="n">
        <v>44993</v>
      </c>
      <c r="F687" s="25"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3" t="n">
        <v>43383</v>
      </c>
      <c r="C688" s="22" t="inlineStr">
        <is>
          <t>GELENEKSEL</t>
        </is>
      </c>
      <c r="D688" s="23" t="n">
        <v>43384</v>
      </c>
      <c r="E688" s="23" t="n">
        <v>46064</v>
      </c>
      <c r="F688" s="22" t="inlineStr">
        <is>
          <t>TRT110226T13</t>
        </is>
      </c>
      <c r="G688" s="8" t="n">
        <v>124000</v>
      </c>
      <c r="H688" s="8" t="n">
        <v>75000</v>
      </c>
      <c r="I688" s="24" t="n">
        <v>48202.7</v>
      </c>
      <c r="J688" s="24" t="n">
        <v>20.54</v>
      </c>
      <c r="K688" s="24" t="n">
        <v>20.62</v>
      </c>
      <c r="L688" s="24" t="n">
        <v>20.76</v>
      </c>
      <c r="M688" s="24" t="n">
        <v>21.59</v>
      </c>
      <c r="N688" s="24" t="n">
        <v>21.68</v>
      </c>
      <c r="O688" s="24" t="n">
        <v>21.83</v>
      </c>
    </row>
    <row r="689">
      <c r="A689" s="11" t="n">
        <v>2419</v>
      </c>
      <c r="B689" s="3" t="n">
        <v>43390</v>
      </c>
      <c r="C689" s="25" t="inlineStr">
        <is>
          <t>GELENEKSEL</t>
        </is>
      </c>
      <c r="D689" s="3" t="n">
        <v>43391</v>
      </c>
      <c r="E689" s="3" t="n">
        <v>44573</v>
      </c>
      <c r="F689" s="25" t="inlineStr">
        <is>
          <t>TRT120122T17</t>
        </is>
      </c>
      <c r="G689" s="11" t="n">
        <v>15000</v>
      </c>
      <c r="H689" s="11" t="n">
        <v>0</v>
      </c>
      <c r="I689" s="13" t="n">
        <v>0</v>
      </c>
    </row>
    <row r="690">
      <c r="A690" s="8" t="n">
        <v>2420</v>
      </c>
      <c r="B690" s="23" t="n">
        <v>43390</v>
      </c>
      <c r="C690" s="22" t="inlineStr">
        <is>
          <t>GELENEKSEL</t>
        </is>
      </c>
      <c r="D690" s="23" t="n">
        <v>43391</v>
      </c>
      <c r="E690" s="23" t="n">
        <v>44783</v>
      </c>
      <c r="F690" s="22" t="inlineStr">
        <is>
          <t>TRD100822T10</t>
        </is>
      </c>
      <c r="G690" s="8" t="n">
        <v>43000</v>
      </c>
      <c r="H690" s="8" t="n">
        <v>40000</v>
      </c>
      <c r="I690" s="24" t="n">
        <v>34055.2</v>
      </c>
      <c r="J690" s="24" t="n">
        <v>16.56</v>
      </c>
      <c r="K690" s="24" t="n">
        <v>16.85</v>
      </c>
      <c r="L690" s="24" t="n">
        <v>17.17</v>
      </c>
      <c r="M690" s="24" t="n">
        <v>17.24</v>
      </c>
      <c r="N690" s="24" t="n">
        <v>17.56</v>
      </c>
      <c r="O690" s="24" t="n">
        <v>17.9</v>
      </c>
    </row>
    <row r="691">
      <c r="A691" s="11" t="n">
        <v>2421</v>
      </c>
      <c r="B691" s="3" t="n">
        <v>43397</v>
      </c>
      <c r="C691" s="25" t="inlineStr">
        <is>
          <t>GELENEKSEL</t>
        </is>
      </c>
      <c r="D691" s="3" t="n">
        <v>43398</v>
      </c>
      <c r="E691" s="3" t="n">
        <v>44244</v>
      </c>
      <c r="F691" s="25"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3" t="n">
        <v>43397</v>
      </c>
      <c r="C692" s="22" t="inlineStr">
        <is>
          <t>GELENEKSEL</t>
        </is>
      </c>
      <c r="D692" s="23" t="n">
        <v>43398</v>
      </c>
      <c r="E692" s="23" t="n">
        <v>44993</v>
      </c>
      <c r="F692" s="22" t="inlineStr">
        <is>
          <t>TRT080323T10</t>
        </is>
      </c>
      <c r="G692" s="8" t="n">
        <v>84000</v>
      </c>
      <c r="H692" s="8" t="n">
        <v>13000</v>
      </c>
      <c r="I692" s="24" t="n">
        <v>8273.719999999999</v>
      </c>
      <c r="J692" s="24" t="n">
        <v>20.29</v>
      </c>
      <c r="K692" s="24" t="n">
        <v>20.3</v>
      </c>
      <c r="L692" s="24" t="n">
        <v>20.32</v>
      </c>
      <c r="M692" s="24" t="n">
        <v>21.32</v>
      </c>
      <c r="N692" s="24" t="n">
        <v>21.33</v>
      </c>
      <c r="O692" s="24" t="n">
        <v>21.35</v>
      </c>
    </row>
    <row r="693">
      <c r="A693" s="11" t="n">
        <v>2423</v>
      </c>
      <c r="B693" s="3" t="n">
        <v>43404</v>
      </c>
      <c r="C693" s="25" t="inlineStr">
        <is>
          <t>GELENEKSEL</t>
        </is>
      </c>
      <c r="D693" s="3" t="n">
        <v>43405</v>
      </c>
      <c r="E693" s="3" t="n">
        <v>44244</v>
      </c>
      <c r="F693" s="25"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3" t="n">
        <v>43404</v>
      </c>
      <c r="C694" s="22" t="inlineStr">
        <is>
          <t>GELENEKSEL</t>
        </is>
      </c>
      <c r="D694" s="23" t="n">
        <v>43405</v>
      </c>
      <c r="E694" s="23" t="n">
        <v>44573</v>
      </c>
      <c r="F694" s="22" t="inlineStr">
        <is>
          <t>TRT120122T17</t>
        </is>
      </c>
      <c r="G694" s="8" t="n">
        <v>105000</v>
      </c>
      <c r="H694" s="8" t="n">
        <v>75000</v>
      </c>
      <c r="I694" s="24" t="n">
        <v>57857.7</v>
      </c>
      <c r="J694" s="24" t="n">
        <v>20.75</v>
      </c>
      <c r="K694" s="24" t="n">
        <v>20.81</v>
      </c>
      <c r="L694" s="24" t="n">
        <v>20.91</v>
      </c>
      <c r="M694" s="24" t="n">
        <v>21.83</v>
      </c>
      <c r="N694" s="24" t="n">
        <v>21.9</v>
      </c>
      <c r="O694" s="24" t="n">
        <v>22</v>
      </c>
    </row>
    <row r="695">
      <c r="A695" s="11" t="n">
        <v>2425</v>
      </c>
      <c r="B695" s="3" t="n">
        <v>43411</v>
      </c>
      <c r="C695" s="25" t="inlineStr">
        <is>
          <t>GELENEKSEL</t>
        </is>
      </c>
      <c r="D695" s="3" t="n">
        <v>43412</v>
      </c>
      <c r="E695" s="3" t="n">
        <v>44097</v>
      </c>
      <c r="F695" s="25"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3" t="n">
        <v>43411</v>
      </c>
      <c r="C696" s="22" t="inlineStr">
        <is>
          <t>GELENEKSEL</t>
        </is>
      </c>
      <c r="D696" s="23" t="n">
        <v>43412</v>
      </c>
      <c r="E696" s="23" t="n">
        <v>45497</v>
      </c>
      <c r="F696" s="22" t="inlineStr">
        <is>
          <t>TRT240724T15</t>
        </is>
      </c>
      <c r="G696" s="8" t="n">
        <v>53000</v>
      </c>
      <c r="H696" s="8" t="n">
        <v>28000</v>
      </c>
      <c r="I696" s="24" t="n">
        <v>21825.44</v>
      </c>
      <c r="J696" s="24" t="n">
        <v>15.61</v>
      </c>
      <c r="K696" s="24" t="n">
        <v>15.61</v>
      </c>
      <c r="L696" s="24" t="n">
        <v>15.61</v>
      </c>
      <c r="M696" s="24" t="n">
        <v>16.22</v>
      </c>
      <c r="N696" s="24" t="n">
        <v>16.22</v>
      </c>
      <c r="O696" s="24" t="n">
        <v>16.22</v>
      </c>
    </row>
    <row r="697">
      <c r="A697" s="11" t="n">
        <v>2427</v>
      </c>
      <c r="B697" s="3" t="n">
        <v>43418</v>
      </c>
      <c r="C697" s="25" t="inlineStr">
        <is>
          <t>GELENEKSEL</t>
        </is>
      </c>
      <c r="D697" s="3" t="n">
        <v>43419</v>
      </c>
      <c r="E697" s="3" t="n">
        <v>44244</v>
      </c>
      <c r="F697" s="25"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3" t="n">
        <v>43418</v>
      </c>
      <c r="C698" s="22" t="inlineStr">
        <is>
          <t>GELENEKSEL</t>
        </is>
      </c>
      <c r="D698" s="23" t="n">
        <v>43419</v>
      </c>
      <c r="E698" s="23" t="n">
        <v>44944</v>
      </c>
      <c r="F698" s="22" t="inlineStr">
        <is>
          <t>TRT180123T10</t>
        </is>
      </c>
      <c r="G698" s="8" t="n">
        <v>156000</v>
      </c>
      <c r="H698" s="8" t="n">
        <v>67000</v>
      </c>
      <c r="I698" s="24" t="n">
        <v>60129.34</v>
      </c>
      <c r="J698" s="24" t="n">
        <v>16.87</v>
      </c>
      <c r="K698" s="24" t="n">
        <v>17</v>
      </c>
      <c r="L698" s="24" t="n">
        <v>17.07</v>
      </c>
      <c r="M698" s="24" t="n">
        <v>17.58</v>
      </c>
      <c r="N698" s="24" t="n">
        <v>17.72</v>
      </c>
      <c r="O698" s="24" t="n">
        <v>17.8</v>
      </c>
    </row>
    <row r="699">
      <c r="A699" s="11" t="n">
        <v>2429</v>
      </c>
      <c r="B699" s="3" t="n">
        <v>43425</v>
      </c>
      <c r="C699" s="25" t="inlineStr">
        <is>
          <t>GELENEKSEL</t>
        </is>
      </c>
      <c r="D699" s="3" t="n">
        <v>43426</v>
      </c>
      <c r="E699" s="3" t="n">
        <v>44097</v>
      </c>
      <c r="F699" s="25"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3" t="n">
        <v>43425</v>
      </c>
      <c r="C700" s="22" t="inlineStr">
        <is>
          <t>GELENEKSEL</t>
        </is>
      </c>
      <c r="D700" s="23" t="n">
        <v>43426</v>
      </c>
      <c r="E700" s="23" t="n">
        <v>44244</v>
      </c>
      <c r="F700" s="22" t="inlineStr">
        <is>
          <t>TRT170221T12</t>
        </is>
      </c>
      <c r="G700" s="8" t="n">
        <v>189000</v>
      </c>
      <c r="H700" s="8" t="n">
        <v>100000</v>
      </c>
      <c r="I700" s="24" t="n">
        <v>86902.78</v>
      </c>
      <c r="J700" s="24" t="n">
        <v>19.57</v>
      </c>
      <c r="K700" s="24" t="n">
        <v>19.7</v>
      </c>
      <c r="L700" s="24" t="n">
        <v>19.89</v>
      </c>
      <c r="M700" s="24" t="n">
        <v>20.53</v>
      </c>
      <c r="N700" s="24" t="n">
        <v>20.67</v>
      </c>
      <c r="O700" s="24" t="n">
        <v>20.88</v>
      </c>
    </row>
    <row r="701">
      <c r="A701" s="11" t="n">
        <v>2431</v>
      </c>
      <c r="B701" s="3" t="n">
        <v>43432</v>
      </c>
      <c r="C701" s="25" t="inlineStr">
        <is>
          <t>GELENEKSEL</t>
        </is>
      </c>
      <c r="D701" s="3" t="n">
        <v>43433</v>
      </c>
      <c r="E701" s="3" t="n">
        <v>44097</v>
      </c>
      <c r="F701" s="25"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3" t="n">
        <v>43432</v>
      </c>
      <c r="C702" s="22" t="inlineStr">
        <is>
          <t>GELENEKSEL</t>
        </is>
      </c>
      <c r="D702" s="23" t="n">
        <v>43433</v>
      </c>
      <c r="E702" s="23" t="n">
        <v>46442</v>
      </c>
      <c r="F702" s="22" t="inlineStr">
        <is>
          <t>TRT240227T17</t>
        </is>
      </c>
      <c r="G702" s="8" t="n">
        <v>375000</v>
      </c>
      <c r="H702" s="8" t="n">
        <v>100000</v>
      </c>
      <c r="I702" s="24" t="n">
        <v>79175.75</v>
      </c>
      <c r="J702" s="24" t="n">
        <v>16.22</v>
      </c>
      <c r="K702" s="24" t="n">
        <v>16.23</v>
      </c>
      <c r="L702" s="24" t="n">
        <v>16.23</v>
      </c>
      <c r="M702" s="24" t="n">
        <v>16.88</v>
      </c>
      <c r="N702" s="24" t="n">
        <v>16.88</v>
      </c>
      <c r="O702" s="24" t="n">
        <v>16.89</v>
      </c>
    </row>
    <row r="703">
      <c r="A703" s="11" t="n">
        <v>2433</v>
      </c>
      <c r="B703" s="3" t="n">
        <v>43439</v>
      </c>
      <c r="C703" s="25" t="inlineStr">
        <is>
          <t>GELENEKSEL</t>
        </is>
      </c>
      <c r="D703" s="3" t="n">
        <v>43440</v>
      </c>
      <c r="E703" s="3" t="n">
        <v>44097</v>
      </c>
      <c r="F703" s="25"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3" t="n">
        <v>43439</v>
      </c>
      <c r="C704" s="22" t="inlineStr">
        <is>
          <t>GELENEKSEL</t>
        </is>
      </c>
      <c r="D704" s="23" t="n">
        <v>43440</v>
      </c>
      <c r="E704" s="23" t="n">
        <v>45091</v>
      </c>
      <c r="F704" s="22" t="inlineStr">
        <is>
          <t>TRT140623T19</t>
        </is>
      </c>
      <c r="G704" s="8" t="n">
        <v>307000</v>
      </c>
      <c r="H704" s="8" t="n">
        <v>100000</v>
      </c>
      <c r="I704" s="24" t="n">
        <v>105531.25</v>
      </c>
      <c r="J704" s="24" t="n">
        <v>16.75</v>
      </c>
      <c r="K704" s="24" t="n">
        <v>16.84</v>
      </c>
      <c r="L704" s="24" t="n">
        <v>16.93</v>
      </c>
      <c r="M704" s="24" t="n">
        <v>17.45</v>
      </c>
      <c r="N704" s="24" t="n">
        <v>17.55</v>
      </c>
      <c r="O704" s="24" t="n">
        <v>17.65</v>
      </c>
    </row>
    <row r="705">
      <c r="A705" s="11" t="n">
        <v>2435</v>
      </c>
      <c r="B705" s="3" t="n">
        <v>43446</v>
      </c>
      <c r="C705" s="25" t="inlineStr">
        <is>
          <t>GELENEKSEL</t>
        </is>
      </c>
      <c r="D705" s="3" t="n">
        <v>43447</v>
      </c>
      <c r="E705" s="3" t="n">
        <v>44097</v>
      </c>
      <c r="F705" s="25"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3" t="n">
        <v>43446</v>
      </c>
      <c r="C706" s="22" t="inlineStr">
        <is>
          <t>GELENEKSEL</t>
        </is>
      </c>
      <c r="D706" s="23" t="n">
        <v>43447</v>
      </c>
      <c r="E706" s="23" t="n">
        <v>45091</v>
      </c>
      <c r="F706" s="22" t="inlineStr">
        <is>
          <t>TRT140623T19</t>
        </is>
      </c>
      <c r="G706" s="8" t="n">
        <v>188000</v>
      </c>
      <c r="H706" s="8" t="n">
        <v>100000</v>
      </c>
      <c r="I706" s="24" t="n">
        <v>102757.26</v>
      </c>
      <c r="J706" s="24" t="n">
        <v>17.78</v>
      </c>
      <c r="K706" s="24" t="n">
        <v>17.89</v>
      </c>
      <c r="L706" s="24" t="n">
        <v>18</v>
      </c>
      <c r="M706" s="24" t="n">
        <v>18.57</v>
      </c>
      <c r="N706" s="24" t="n">
        <v>18.69</v>
      </c>
      <c r="O706" s="24" t="n">
        <v>18.81</v>
      </c>
    </row>
    <row r="707">
      <c r="A707" s="11" t="n">
        <v>2437</v>
      </c>
      <c r="B707" s="3" t="n">
        <v>43453</v>
      </c>
      <c r="C707" s="25" t="inlineStr">
        <is>
          <t>GELENEKSEL</t>
        </is>
      </c>
      <c r="D707" s="3" t="n">
        <v>43454</v>
      </c>
      <c r="E707" s="3" t="n">
        <v>44097</v>
      </c>
      <c r="F707" s="25"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3" t="n">
        <v>43453</v>
      </c>
      <c r="C708" s="22" t="inlineStr">
        <is>
          <t>GELENEKSEL</t>
        </is>
      </c>
      <c r="D708" s="23" t="n">
        <v>43454</v>
      </c>
      <c r="E708" s="23" t="n">
        <v>45091</v>
      </c>
      <c r="F708" s="22" t="inlineStr">
        <is>
          <t>TRT140623T19</t>
        </is>
      </c>
      <c r="G708" s="8" t="n">
        <v>197000</v>
      </c>
      <c r="H708" s="8" t="n">
        <v>68000</v>
      </c>
      <c r="I708" s="24" t="n">
        <v>64675.24</v>
      </c>
      <c r="J708" s="24" t="n">
        <v>17.76</v>
      </c>
      <c r="K708" s="24" t="n">
        <v>17.84</v>
      </c>
      <c r="L708" s="24" t="n">
        <v>17.86</v>
      </c>
      <c r="M708" s="24" t="n">
        <v>18.55</v>
      </c>
      <c r="N708" s="24" t="n">
        <v>18.64</v>
      </c>
      <c r="O708" s="24" t="n">
        <v>18.65</v>
      </c>
    </row>
    <row r="709">
      <c r="A709" s="11" t="n">
        <v>2439</v>
      </c>
      <c r="B709" s="3" t="n">
        <v>43460</v>
      </c>
      <c r="C709" s="25" t="inlineStr">
        <is>
          <t>GELENEKSEL</t>
        </is>
      </c>
      <c r="D709" s="3" t="n">
        <v>43461</v>
      </c>
      <c r="E709" s="3" t="n">
        <v>44244</v>
      </c>
      <c r="F709" s="25"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3" t="n">
        <v>43460</v>
      </c>
      <c r="C710" s="22" t="inlineStr">
        <is>
          <t>GELENEKSEL</t>
        </is>
      </c>
      <c r="D710" s="23" t="n">
        <v>43461</v>
      </c>
      <c r="E710" s="23" t="n">
        <v>45091</v>
      </c>
      <c r="F710" s="22" t="inlineStr">
        <is>
          <t>TRT140623T19</t>
        </is>
      </c>
      <c r="G710" s="8" t="n">
        <v>40000</v>
      </c>
      <c r="H710" s="8" t="n">
        <v>0</v>
      </c>
      <c r="I710" s="24" t="n">
        <v>0</v>
      </c>
    </row>
    <row r="711">
      <c r="A711" s="11" t="n">
        <v>2441</v>
      </c>
      <c r="B711" s="3" t="n">
        <v>43467</v>
      </c>
      <c r="C711" s="25" t="inlineStr">
        <is>
          <t>GELENEKSEL</t>
        </is>
      </c>
      <c r="D711" s="3" t="n">
        <v>43468</v>
      </c>
      <c r="E711" s="3" t="n">
        <v>44244</v>
      </c>
      <c r="F711" s="25"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3" t="n">
        <v>43467</v>
      </c>
      <c r="C712" s="22" t="inlineStr">
        <is>
          <t>GELENEKSEL</t>
        </is>
      </c>
      <c r="D712" s="23" t="n">
        <v>43468</v>
      </c>
      <c r="E712" s="23" t="n">
        <v>46442</v>
      </c>
      <c r="F712" s="22" t="inlineStr">
        <is>
          <t>TRT240227T17</t>
        </is>
      </c>
      <c r="G712" s="8" t="n">
        <v>115000</v>
      </c>
      <c r="H712" s="8" t="n">
        <v>75000</v>
      </c>
      <c r="I712" s="24" t="n">
        <v>61071</v>
      </c>
      <c r="J712" s="24" t="n">
        <v>15.89</v>
      </c>
      <c r="K712" s="24" t="n">
        <v>15.94</v>
      </c>
      <c r="L712" s="24" t="n">
        <v>15.95</v>
      </c>
      <c r="M712" s="24" t="n">
        <v>16.52</v>
      </c>
      <c r="N712" s="24" t="n">
        <v>16.57</v>
      </c>
      <c r="O712" s="24" t="n">
        <v>16.59</v>
      </c>
    </row>
    <row r="713">
      <c r="A713" s="11" t="n">
        <v>2443</v>
      </c>
      <c r="B713" s="3" t="n">
        <v>43474</v>
      </c>
      <c r="C713" s="25" t="inlineStr">
        <is>
          <t>GELENEKSEL</t>
        </is>
      </c>
      <c r="D713" s="3" t="n">
        <v>43475</v>
      </c>
      <c r="E713" s="3" t="n">
        <v>44153</v>
      </c>
      <c r="F713" s="25"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3" t="n">
        <v>43474</v>
      </c>
      <c r="C714" s="22" t="inlineStr">
        <is>
          <t>GELENEKSEL</t>
        </is>
      </c>
      <c r="D714" s="23" t="n">
        <v>43475</v>
      </c>
      <c r="E714" s="23" t="n">
        <v>46442</v>
      </c>
      <c r="F714" s="22" t="inlineStr">
        <is>
          <t>TRT240227T17</t>
        </is>
      </c>
      <c r="G714" s="8" t="n">
        <v>315000</v>
      </c>
      <c r="H714" s="8" t="n">
        <v>100000</v>
      </c>
      <c r="I714" s="24" t="n">
        <v>80574.89999999999</v>
      </c>
      <c r="J714" s="24" t="n">
        <v>16.2</v>
      </c>
      <c r="K714" s="24" t="n">
        <v>16.23</v>
      </c>
      <c r="L714" s="24" t="n">
        <v>16.28</v>
      </c>
      <c r="M714" s="24" t="n">
        <v>16.85</v>
      </c>
      <c r="N714" s="24" t="n">
        <v>16.89</v>
      </c>
      <c r="O714" s="24" t="n">
        <v>16.94</v>
      </c>
    </row>
    <row r="715">
      <c r="A715" s="11" t="n">
        <v>2445</v>
      </c>
      <c r="B715" s="3" t="n">
        <v>43481</v>
      </c>
      <c r="C715" s="25" t="inlineStr">
        <is>
          <t>GELENEKSEL</t>
        </is>
      </c>
      <c r="D715" s="3" t="n">
        <v>43482</v>
      </c>
      <c r="E715" s="3" t="n">
        <v>44153</v>
      </c>
      <c r="F715" s="25" t="inlineStr">
        <is>
          <t>TRD181120T19</t>
        </is>
      </c>
      <c r="G715" s="11" t="n">
        <v>66000</v>
      </c>
      <c r="H715" s="11" t="n">
        <v>0</v>
      </c>
      <c r="I715" s="13" t="n">
        <v>0</v>
      </c>
    </row>
    <row r="716">
      <c r="A716" s="8" t="n">
        <v>2446</v>
      </c>
      <c r="B716" s="23" t="n">
        <v>43481</v>
      </c>
      <c r="C716" s="22" t="inlineStr">
        <is>
          <t>GELENEKSEL</t>
        </is>
      </c>
      <c r="D716" s="23" t="n">
        <v>43482</v>
      </c>
      <c r="E716" s="23" t="n">
        <v>45728</v>
      </c>
      <c r="F716" s="22" t="inlineStr">
        <is>
          <t>TRT120325T12</t>
        </is>
      </c>
      <c r="G716" s="8" t="n">
        <v>189000</v>
      </c>
      <c r="H716" s="8" t="n">
        <v>21000</v>
      </c>
      <c r="I716" s="24" t="n">
        <v>15237.99</v>
      </c>
      <c r="J716" s="24" t="n">
        <v>15.75</v>
      </c>
      <c r="K716" s="24" t="n">
        <v>15.8</v>
      </c>
      <c r="L716" s="24" t="n">
        <v>15.81</v>
      </c>
      <c r="M716" s="24" t="n">
        <v>16.37</v>
      </c>
      <c r="N716" s="24" t="n">
        <v>16.42</v>
      </c>
      <c r="O716" s="24" t="n">
        <v>16.44</v>
      </c>
    </row>
    <row r="717">
      <c r="A717" s="11" t="n">
        <v>2447</v>
      </c>
      <c r="B717" s="3" t="n">
        <v>43488</v>
      </c>
      <c r="C717" s="25" t="inlineStr">
        <is>
          <t>GELENEKSEL</t>
        </is>
      </c>
      <c r="D717" s="3" t="n">
        <v>43489</v>
      </c>
      <c r="E717" s="3" t="n">
        <v>44153</v>
      </c>
      <c r="F717" s="25"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3" t="n">
        <v>43488</v>
      </c>
      <c r="C718" s="22" t="inlineStr">
        <is>
          <t>GELENEKSEL</t>
        </is>
      </c>
      <c r="D718" s="23" t="n">
        <v>43489</v>
      </c>
      <c r="E718" s="23" t="n">
        <v>44573</v>
      </c>
      <c r="F718" s="22" t="inlineStr">
        <is>
          <t>TRT120122T17</t>
        </is>
      </c>
      <c r="G718" s="8" t="n">
        <v>432000</v>
      </c>
      <c r="H718" s="8" t="n">
        <v>100000</v>
      </c>
      <c r="I718" s="24" t="n">
        <v>81963.69</v>
      </c>
      <c r="J718" s="24" t="n">
        <v>17.59</v>
      </c>
      <c r="K718" s="24" t="n">
        <v>17.62</v>
      </c>
      <c r="L718" s="24" t="n">
        <v>17.69</v>
      </c>
      <c r="M718" s="24" t="n">
        <v>18.37</v>
      </c>
      <c r="N718" s="24" t="n">
        <v>18.4</v>
      </c>
      <c r="O718" s="24" t="n">
        <v>18.47</v>
      </c>
    </row>
    <row r="719">
      <c r="A719" s="11" t="n">
        <v>2449</v>
      </c>
      <c r="B719" s="3" t="n">
        <v>43495</v>
      </c>
      <c r="C719" s="25" t="inlineStr">
        <is>
          <t>GELENEKSEL</t>
        </is>
      </c>
      <c r="D719" s="3" t="n">
        <v>43496</v>
      </c>
      <c r="E719" s="3" t="n">
        <v>44573</v>
      </c>
      <c r="F719" s="25"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3" t="n">
        <v>43495</v>
      </c>
      <c r="C720" s="22" t="inlineStr">
        <is>
          <t>GELENEKSEL</t>
        </is>
      </c>
      <c r="D720" s="23" t="n">
        <v>43496</v>
      </c>
      <c r="E720" s="23" t="n">
        <v>45497</v>
      </c>
      <c r="F720" s="22" t="inlineStr">
        <is>
          <t>TRT240724T15</t>
        </is>
      </c>
      <c r="G720" s="8" t="n">
        <v>100000</v>
      </c>
      <c r="H720" s="8" t="n">
        <v>75000</v>
      </c>
      <c r="I720" s="24" t="n">
        <v>58442.9</v>
      </c>
      <c r="J720" s="24" t="n">
        <v>14.92</v>
      </c>
      <c r="K720" s="24" t="n">
        <v>15.05</v>
      </c>
      <c r="L720" s="24" t="n">
        <v>15.19</v>
      </c>
      <c r="M720" s="24" t="n">
        <v>15.48</v>
      </c>
      <c r="N720" s="24" t="n">
        <v>15.61</v>
      </c>
      <c r="O720" s="24" t="n">
        <v>15.76</v>
      </c>
    </row>
    <row r="721">
      <c r="A721" s="11" t="n">
        <v>2451</v>
      </c>
      <c r="B721" s="3" t="n">
        <v>43502</v>
      </c>
      <c r="C721" s="25" t="inlineStr">
        <is>
          <t>GELENEKSEL</t>
        </is>
      </c>
      <c r="D721" s="3" t="n">
        <v>43503</v>
      </c>
      <c r="E721" s="3" t="n">
        <v>45497</v>
      </c>
      <c r="F721" s="25"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3" t="n">
        <v>43502</v>
      </c>
      <c r="C722" s="22" t="inlineStr">
        <is>
          <t>GELENEKSEL</t>
        </is>
      </c>
      <c r="D722" s="23" t="n">
        <v>43503</v>
      </c>
      <c r="E722" s="23" t="n">
        <v>46442</v>
      </c>
      <c r="F722" s="22" t="inlineStr">
        <is>
          <t>TRT240227T17</t>
        </is>
      </c>
      <c r="G722" s="8" t="n">
        <v>240000</v>
      </c>
      <c r="H722" s="8" t="n">
        <v>75000</v>
      </c>
      <c r="I722" s="24" t="n">
        <v>67667.06</v>
      </c>
      <c r="J722" s="24" t="n">
        <v>14</v>
      </c>
      <c r="K722" s="24" t="n">
        <v>14.05</v>
      </c>
      <c r="L722" s="24" t="n">
        <v>14.12</v>
      </c>
      <c r="M722" s="24" t="n">
        <v>14.49</v>
      </c>
      <c r="N722" s="24" t="n">
        <v>14.54</v>
      </c>
      <c r="O722" s="24" t="n">
        <v>14.62</v>
      </c>
    </row>
    <row r="723">
      <c r="A723" s="11" t="n">
        <v>2453</v>
      </c>
      <c r="B723" s="3" t="n">
        <v>43509</v>
      </c>
      <c r="C723" s="25" t="inlineStr">
        <is>
          <t>GELENEKSEL</t>
        </is>
      </c>
      <c r="D723" s="3" t="n">
        <v>43510</v>
      </c>
      <c r="E723" s="3" t="n">
        <v>44153</v>
      </c>
      <c r="F723" s="25"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3" t="n">
        <v>43509</v>
      </c>
      <c r="C724" s="22" t="inlineStr">
        <is>
          <t>GELENEKSEL</t>
        </is>
      </c>
      <c r="D724" s="23" t="n">
        <v>43510</v>
      </c>
      <c r="E724" s="23" t="n">
        <v>45196</v>
      </c>
      <c r="F724" s="22" t="inlineStr">
        <is>
          <t>TRT270923T11</t>
        </is>
      </c>
      <c r="G724" s="8" t="n">
        <v>209000</v>
      </c>
      <c r="H724" s="8" t="n">
        <v>100000</v>
      </c>
      <c r="I724" s="24" t="n">
        <v>82906.91</v>
      </c>
      <c r="J724" s="24" t="n">
        <v>15</v>
      </c>
      <c r="K724" s="24" t="n">
        <v>15.05</v>
      </c>
      <c r="L724" s="24" t="n">
        <v>15.07</v>
      </c>
      <c r="M724" s="24" t="n">
        <v>15.57</v>
      </c>
      <c r="N724" s="24" t="n">
        <v>15.62</v>
      </c>
      <c r="O724" s="24" t="n">
        <v>15.63</v>
      </c>
    </row>
    <row r="725">
      <c r="A725" s="11" t="n">
        <v>2455</v>
      </c>
      <c r="B725" s="3" t="n">
        <v>43516</v>
      </c>
      <c r="C725" s="25" t="inlineStr">
        <is>
          <t>GELENEKSEL</t>
        </is>
      </c>
      <c r="D725" s="3" t="n">
        <v>43517</v>
      </c>
      <c r="E725" s="3" t="n">
        <v>44573</v>
      </c>
      <c r="F725" s="25"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3" t="n">
        <v>43516</v>
      </c>
      <c r="C726" s="22" t="inlineStr">
        <is>
          <t>GELENEKSEL</t>
        </is>
      </c>
      <c r="D726" s="23" t="n">
        <v>43517</v>
      </c>
      <c r="E726" s="23" t="n">
        <v>45497</v>
      </c>
      <c r="F726" s="22" t="inlineStr">
        <is>
          <t>TRT240724T15</t>
        </is>
      </c>
      <c r="G726" s="8" t="n">
        <v>300000</v>
      </c>
      <c r="H726" s="8" t="n">
        <v>75000</v>
      </c>
      <c r="I726" s="24" t="n">
        <v>58852.5</v>
      </c>
      <c r="J726" s="24" t="n">
        <v>15.09</v>
      </c>
      <c r="K726" s="24" t="n">
        <v>15.09</v>
      </c>
      <c r="L726" s="24" t="n">
        <v>15.09</v>
      </c>
      <c r="M726" s="24" t="n">
        <v>15.66</v>
      </c>
      <c r="N726" s="24" t="n">
        <v>15.66</v>
      </c>
      <c r="O726" s="24" t="n">
        <v>15.66</v>
      </c>
    </row>
    <row r="727">
      <c r="A727" s="11" t="n">
        <v>2457</v>
      </c>
      <c r="B727" s="3" t="n">
        <v>43523</v>
      </c>
      <c r="C727" s="25" t="inlineStr">
        <is>
          <t>GELENEKSEL</t>
        </is>
      </c>
      <c r="D727" s="3" t="n">
        <v>43524</v>
      </c>
      <c r="E727" s="3" t="n">
        <v>45196</v>
      </c>
      <c r="F727" s="25"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3" t="n">
        <v>43523</v>
      </c>
      <c r="C728" s="22" t="inlineStr">
        <is>
          <t>GELENEKSEL</t>
        </is>
      </c>
      <c r="D728" s="23" t="n">
        <v>43524</v>
      </c>
      <c r="E728" s="23" t="n">
        <v>45497</v>
      </c>
      <c r="F728" s="22" t="inlineStr">
        <is>
          <t>TRT240724T15</t>
        </is>
      </c>
      <c r="G728" s="8" t="n">
        <v>368000</v>
      </c>
      <c r="H728" s="8" t="n">
        <v>75000</v>
      </c>
      <c r="I728" s="24" t="n">
        <v>58869.25</v>
      </c>
      <c r="J728" s="24" t="n">
        <v>15.14</v>
      </c>
      <c r="K728" s="24" t="n">
        <v>15.16</v>
      </c>
      <c r="L728" s="24" t="n">
        <v>15.16</v>
      </c>
      <c r="M728" s="24" t="n">
        <v>15.71</v>
      </c>
      <c r="N728" s="24" t="n">
        <v>15.73</v>
      </c>
      <c r="O728" s="24" t="n">
        <v>15.73</v>
      </c>
    </row>
    <row r="729">
      <c r="A729" s="11" t="n">
        <v>2459</v>
      </c>
      <c r="B729" s="3" t="n">
        <v>43530</v>
      </c>
      <c r="C729" s="25" t="inlineStr">
        <is>
          <t>GELENEKSEL</t>
        </is>
      </c>
      <c r="D729" s="3" t="n">
        <v>43531</v>
      </c>
      <c r="E729" s="3" t="n">
        <v>44237</v>
      </c>
      <c r="F729" s="25"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3" t="n">
        <v>43530</v>
      </c>
      <c r="C730" s="22" t="inlineStr">
        <is>
          <t>GELENEKSEL</t>
        </is>
      </c>
      <c r="D730" s="23" t="n">
        <v>43531</v>
      </c>
      <c r="E730" s="23" t="n">
        <v>44790</v>
      </c>
      <c r="F730" s="22" t="inlineStr">
        <is>
          <t>TRT170822T15</t>
        </is>
      </c>
      <c r="G730" s="8" t="n">
        <v>502000</v>
      </c>
      <c r="H730" s="8" t="n">
        <v>100000</v>
      </c>
      <c r="I730" s="24" t="n">
        <v>85165.75</v>
      </c>
      <c r="J730" s="24" t="n">
        <v>16.67</v>
      </c>
      <c r="K730" s="24" t="n">
        <v>16.68</v>
      </c>
      <c r="L730" s="24" t="n">
        <v>16.7</v>
      </c>
      <c r="M730" s="24" t="n">
        <v>17.36</v>
      </c>
      <c r="N730" s="24" t="n">
        <v>17.38</v>
      </c>
      <c r="O730" s="24" t="n">
        <v>17.4</v>
      </c>
    </row>
    <row r="731">
      <c r="A731" s="11" t="n">
        <v>2461</v>
      </c>
      <c r="B731" s="3" t="n">
        <v>43537</v>
      </c>
      <c r="C731" s="25" t="inlineStr">
        <is>
          <t>GELENEKSEL</t>
        </is>
      </c>
      <c r="D731" s="3" t="n">
        <v>43538</v>
      </c>
      <c r="E731" s="3" t="n">
        <v>44237</v>
      </c>
      <c r="F731" s="25"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3" t="n">
        <v>43537</v>
      </c>
      <c r="C732" s="22" t="inlineStr">
        <is>
          <t>GELENEKSEL</t>
        </is>
      </c>
      <c r="D732" s="23" t="n">
        <v>43538</v>
      </c>
      <c r="E732" s="23" t="n">
        <v>44790</v>
      </c>
      <c r="F732" s="22" t="inlineStr">
        <is>
          <t>TRT170822T15</t>
        </is>
      </c>
      <c r="G732" s="8" t="n">
        <v>540000</v>
      </c>
      <c r="H732" s="8" t="n">
        <v>100000</v>
      </c>
      <c r="I732" s="24" t="n">
        <v>84137</v>
      </c>
      <c r="J732" s="24" t="n">
        <v>17.26</v>
      </c>
      <c r="K732" s="24" t="n">
        <v>17.26</v>
      </c>
      <c r="L732" s="24" t="n">
        <v>17.26</v>
      </c>
      <c r="M732" s="24" t="n">
        <v>18.01</v>
      </c>
      <c r="N732" s="24" t="n">
        <v>18.01</v>
      </c>
      <c r="O732" s="24" t="n">
        <v>18.01</v>
      </c>
    </row>
    <row r="733">
      <c r="A733" s="11" t="n">
        <v>2463</v>
      </c>
      <c r="B733" s="3" t="n">
        <v>43544</v>
      </c>
      <c r="C733" s="25" t="inlineStr">
        <is>
          <t>GELENEKSEL</t>
        </is>
      </c>
      <c r="D733" s="3" t="n">
        <v>43545</v>
      </c>
      <c r="E733" s="3" t="n">
        <v>44237</v>
      </c>
      <c r="F733" s="25"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3" t="n">
        <v>43544</v>
      </c>
      <c r="C734" s="22" t="inlineStr">
        <is>
          <t>GELENEKSEL</t>
        </is>
      </c>
      <c r="D734" s="23" t="n">
        <v>43545</v>
      </c>
      <c r="E734" s="23" t="n">
        <v>44790</v>
      </c>
      <c r="F734" s="22" t="inlineStr">
        <is>
          <t>TRT170822T15</t>
        </is>
      </c>
      <c r="G734" s="8" t="n">
        <v>410000</v>
      </c>
      <c r="H734" s="8" t="n">
        <v>100000</v>
      </c>
      <c r="I734" s="24" t="n">
        <v>84065.05</v>
      </c>
      <c r="J734" s="24" t="n">
        <v>17.37</v>
      </c>
      <c r="K734" s="24" t="n">
        <v>17.4</v>
      </c>
      <c r="L734" s="24" t="n">
        <v>17.43</v>
      </c>
      <c r="M734" s="24" t="n">
        <v>18.13</v>
      </c>
      <c r="N734" s="24" t="n">
        <v>18.16</v>
      </c>
      <c r="O734" s="24" t="n">
        <v>18.19</v>
      </c>
    </row>
    <row r="735">
      <c r="A735" s="11" t="n">
        <v>2465</v>
      </c>
      <c r="B735" s="3" t="n">
        <v>43551</v>
      </c>
      <c r="C735" s="25" t="inlineStr">
        <is>
          <t>GELENEKSEL</t>
        </is>
      </c>
      <c r="D735" s="3" t="n">
        <v>43552</v>
      </c>
      <c r="E735" s="3" t="n">
        <v>44153</v>
      </c>
      <c r="F735" s="25"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3" t="n">
        <v>43551</v>
      </c>
      <c r="C736" s="22" t="inlineStr">
        <is>
          <t>GELENEKSEL</t>
        </is>
      </c>
      <c r="D736" s="23" t="n">
        <v>43552</v>
      </c>
      <c r="E736" s="23" t="n">
        <v>44790</v>
      </c>
      <c r="F736" s="22" t="inlineStr">
        <is>
          <t>TRT170822T15</t>
        </is>
      </c>
      <c r="G736" s="8" t="n">
        <v>203000</v>
      </c>
      <c r="H736" s="8" t="n">
        <v>83000</v>
      </c>
      <c r="I736" s="24" t="n">
        <v>64631.09</v>
      </c>
      <c r="J736" s="24" t="n">
        <v>20.42</v>
      </c>
      <c r="K736" s="24" t="n">
        <v>20.48</v>
      </c>
      <c r="L736" s="24" t="n">
        <v>20.48</v>
      </c>
      <c r="M736" s="24" t="n">
        <v>21.46</v>
      </c>
      <c r="N736" s="24" t="n">
        <v>21.53</v>
      </c>
      <c r="O736" s="24" t="n">
        <v>21.53</v>
      </c>
    </row>
    <row r="737">
      <c r="A737" s="11" t="n">
        <v>2467</v>
      </c>
      <c r="B737" s="3" t="n">
        <v>43558</v>
      </c>
      <c r="C737" s="25" t="inlineStr">
        <is>
          <t>GELENEKSEL</t>
        </is>
      </c>
      <c r="D737" s="3" t="n">
        <v>43559</v>
      </c>
      <c r="E737" s="3" t="n">
        <v>44573</v>
      </c>
      <c r="F737" s="25"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3" t="n">
        <v>43558</v>
      </c>
      <c r="C738" s="22" t="inlineStr">
        <is>
          <t>GELENEKSEL</t>
        </is>
      </c>
      <c r="D738" s="23" t="n">
        <v>43559</v>
      </c>
      <c r="E738" s="23" t="n">
        <v>45091</v>
      </c>
      <c r="F738" s="22" t="inlineStr">
        <is>
          <t>TRT140623T19</t>
        </is>
      </c>
      <c r="G738" s="8" t="n">
        <v>210000</v>
      </c>
      <c r="H738" s="8" t="n">
        <v>75000</v>
      </c>
      <c r="I738" s="24" t="n">
        <v>71204.25</v>
      </c>
      <c r="J738" s="24" t="n">
        <v>19.7</v>
      </c>
      <c r="K738" s="24" t="n">
        <v>19.7</v>
      </c>
      <c r="L738" s="24" t="n">
        <v>19.7</v>
      </c>
      <c r="M738" s="24" t="n">
        <v>20.67</v>
      </c>
      <c r="N738" s="24" t="n">
        <v>20.67</v>
      </c>
      <c r="O738" s="24" t="n">
        <v>20.67</v>
      </c>
    </row>
    <row r="739">
      <c r="A739" s="11" t="n">
        <v>2469</v>
      </c>
      <c r="B739" s="3" t="n">
        <v>43565</v>
      </c>
      <c r="C739" s="25" t="inlineStr">
        <is>
          <t>GELENEKSEL</t>
        </is>
      </c>
      <c r="D739" s="3" t="n">
        <v>43566</v>
      </c>
      <c r="E739" s="3" t="n">
        <v>44790</v>
      </c>
      <c r="F739" s="25"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3" t="n">
        <v>43565</v>
      </c>
      <c r="C740" s="22" t="inlineStr">
        <is>
          <t>GELENEKSEL</t>
        </is>
      </c>
      <c r="D740" s="23" t="n">
        <v>43566</v>
      </c>
      <c r="E740" s="23" t="n">
        <v>45091</v>
      </c>
      <c r="F740" s="22" t="inlineStr">
        <is>
          <t>TRT140623T19</t>
        </is>
      </c>
      <c r="G740" s="8" t="n">
        <v>35000</v>
      </c>
      <c r="H740" s="8" t="n">
        <v>10000</v>
      </c>
      <c r="I740" s="24" t="n">
        <v>9633.65</v>
      </c>
      <c r="J740" s="24" t="n">
        <v>19.26</v>
      </c>
      <c r="K740" s="24" t="n">
        <v>19.29</v>
      </c>
      <c r="L740" s="24" t="n">
        <v>19.31</v>
      </c>
      <c r="M740" s="24" t="n">
        <v>20.19</v>
      </c>
      <c r="N740" s="24" t="n">
        <v>20.22</v>
      </c>
      <c r="O740" s="24" t="n">
        <v>20.24</v>
      </c>
    </row>
    <row r="741">
      <c r="A741" s="11" t="n">
        <v>2471</v>
      </c>
      <c r="B741" s="3" t="n">
        <v>43572</v>
      </c>
      <c r="C741" s="25" t="inlineStr">
        <is>
          <t>GELENEKSEL</t>
        </is>
      </c>
      <c r="D741" s="3" t="n">
        <v>43573</v>
      </c>
      <c r="E741" s="3" t="n">
        <v>44153</v>
      </c>
      <c r="F741" s="25" t="inlineStr">
        <is>
          <t>TRD181120T19</t>
        </is>
      </c>
      <c r="G741" s="11" t="n">
        <v>59000</v>
      </c>
      <c r="H741" s="11" t="n">
        <v>0</v>
      </c>
      <c r="I741" s="13" t="n">
        <v>0</v>
      </c>
    </row>
    <row r="742">
      <c r="A742" s="8" t="n">
        <v>2472</v>
      </c>
      <c r="B742" s="23" t="n">
        <v>43572</v>
      </c>
      <c r="C742" s="22" t="inlineStr">
        <is>
          <t>GELENEKSEL</t>
        </is>
      </c>
      <c r="D742" s="23" t="n">
        <v>43573</v>
      </c>
      <c r="E742" s="23" t="n">
        <v>44790</v>
      </c>
      <c r="F742" s="22" t="inlineStr">
        <is>
          <t>TRT170822T15</t>
        </is>
      </c>
      <c r="G742" s="8" t="n">
        <v>275000</v>
      </c>
      <c r="H742" s="8" t="n">
        <v>100000</v>
      </c>
      <c r="I742" s="24" t="n">
        <v>77361.8</v>
      </c>
      <c r="J742" s="24" t="n">
        <v>21.07</v>
      </c>
      <c r="K742" s="24" t="n">
        <v>21.2</v>
      </c>
      <c r="L742" s="24" t="n">
        <v>21.23</v>
      </c>
      <c r="M742" s="24" t="n">
        <v>22.19</v>
      </c>
      <c r="N742" s="24" t="n">
        <v>22.32</v>
      </c>
      <c r="O742" s="24" t="n">
        <v>22.36</v>
      </c>
    </row>
    <row r="743">
      <c r="A743" s="11" t="n">
        <v>2473</v>
      </c>
      <c r="B743" s="3" t="n">
        <v>43579</v>
      </c>
      <c r="C743" s="25" t="inlineStr">
        <is>
          <t>GELENEKSEL</t>
        </is>
      </c>
      <c r="D743" s="3" t="n">
        <v>43580</v>
      </c>
      <c r="E743" s="3" t="n">
        <v>44790</v>
      </c>
      <c r="F743" s="25"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3" t="n">
        <v>43579</v>
      </c>
      <c r="C744" s="22" t="inlineStr">
        <is>
          <t>GELENEKSEL</t>
        </is>
      </c>
      <c r="D744" s="23" t="n">
        <v>43580</v>
      </c>
      <c r="E744" s="23" t="n">
        <v>45728</v>
      </c>
      <c r="F744" s="22" t="inlineStr">
        <is>
          <t>TRT120325T12</t>
        </is>
      </c>
      <c r="G744" s="8" t="n">
        <v>260000</v>
      </c>
      <c r="H744" s="8" t="n">
        <v>75000</v>
      </c>
      <c r="I744" s="24" t="n">
        <v>48166.71</v>
      </c>
      <c r="J744" s="24" t="n">
        <v>18.37</v>
      </c>
      <c r="K744" s="24" t="n">
        <v>18.41</v>
      </c>
      <c r="L744" s="24" t="n">
        <v>18.48</v>
      </c>
      <c r="M744" s="24" t="n">
        <v>19.22</v>
      </c>
      <c r="N744" s="24" t="n">
        <v>19.25</v>
      </c>
      <c r="O744" s="24" t="n">
        <v>19.34</v>
      </c>
    </row>
    <row r="745">
      <c r="A745" s="11" t="n">
        <v>2475</v>
      </c>
      <c r="B745" s="3" t="n">
        <v>43593</v>
      </c>
      <c r="C745" s="25" t="inlineStr">
        <is>
          <t>GELENEKSEL</t>
        </is>
      </c>
      <c r="D745" s="3" t="n">
        <v>43594</v>
      </c>
      <c r="E745" s="3" t="n">
        <v>45091</v>
      </c>
      <c r="F745" s="25"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3" t="n">
        <v>43593</v>
      </c>
      <c r="C746" s="22" t="inlineStr">
        <is>
          <t>GELENEKSEL</t>
        </is>
      </c>
      <c r="D746" s="23" t="n">
        <v>43594</v>
      </c>
      <c r="E746" s="23" t="n">
        <v>46442</v>
      </c>
      <c r="F746" s="22" t="inlineStr">
        <is>
          <t>TRT240227T17</t>
        </is>
      </c>
      <c r="G746" s="8" t="n">
        <v>334000</v>
      </c>
      <c r="H746" s="8" t="n">
        <v>75000</v>
      </c>
      <c r="I746" s="24" t="n">
        <v>49095.39</v>
      </c>
      <c r="J746" s="24" t="n">
        <v>20.53</v>
      </c>
      <c r="K746" s="24" t="n">
        <v>20.55</v>
      </c>
      <c r="L746" s="24" t="n">
        <v>20.56</v>
      </c>
      <c r="M746" s="24" t="n">
        <v>21.59</v>
      </c>
      <c r="N746" s="24" t="n">
        <v>21.6</v>
      </c>
      <c r="O746" s="24" t="n">
        <v>21.62</v>
      </c>
    </row>
    <row r="747">
      <c r="A747" s="11" t="n">
        <v>2477</v>
      </c>
      <c r="B747" s="3" t="n">
        <v>43600</v>
      </c>
      <c r="C747" s="25" t="inlineStr">
        <is>
          <t>GELENEKSEL</t>
        </is>
      </c>
      <c r="D747" s="3" t="n">
        <v>43601</v>
      </c>
      <c r="E747" s="3" t="n">
        <v>44790</v>
      </c>
      <c r="F747" s="25"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3" t="n">
        <v>43600</v>
      </c>
      <c r="C748" s="22" t="inlineStr">
        <is>
          <t>GELENEKSEL</t>
        </is>
      </c>
      <c r="D748" s="23" t="n">
        <v>43601</v>
      </c>
      <c r="E748" s="23" t="n">
        <v>45728</v>
      </c>
      <c r="F748" s="22" t="inlineStr">
        <is>
          <t>TRT120325T12</t>
        </is>
      </c>
      <c r="G748" s="8" t="n">
        <v>95000</v>
      </c>
      <c r="H748" s="8" t="n">
        <v>50000</v>
      </c>
      <c r="I748" s="24" t="n">
        <v>30726.5</v>
      </c>
      <c r="J748" s="24" t="n">
        <v>19.73</v>
      </c>
      <c r="K748" s="24" t="n">
        <v>19.78</v>
      </c>
      <c r="L748" s="24" t="n">
        <v>19.81</v>
      </c>
      <c r="M748" s="24" t="n">
        <v>20.71</v>
      </c>
      <c r="N748" s="24" t="n">
        <v>20.76</v>
      </c>
      <c r="O748" s="24" t="n">
        <v>20.79</v>
      </c>
    </row>
    <row r="749">
      <c r="A749" s="11" t="n">
        <v>2479</v>
      </c>
      <c r="B749" s="3" t="n">
        <v>43607</v>
      </c>
      <c r="C749" s="25" t="inlineStr">
        <is>
          <t>GELENEKSEL</t>
        </is>
      </c>
      <c r="D749" s="3" t="n">
        <v>43608</v>
      </c>
      <c r="E749" s="3" t="n">
        <v>44790</v>
      </c>
      <c r="F749" s="25"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3" t="n">
        <v>43607</v>
      </c>
      <c r="C750" s="22" t="inlineStr">
        <is>
          <t>GELENEKSEL</t>
        </is>
      </c>
      <c r="D750" s="23" t="n">
        <v>43608</v>
      </c>
      <c r="E750" s="23" t="n">
        <v>46442</v>
      </c>
      <c r="F750" s="22" t="inlineStr">
        <is>
          <t>TRT240227T17</t>
        </is>
      </c>
      <c r="G750" s="8" t="n">
        <v>468000</v>
      </c>
      <c r="H750" s="8" t="n">
        <v>75000</v>
      </c>
      <c r="I750" s="24" t="n">
        <v>51999.65</v>
      </c>
      <c r="J750" s="24" t="n">
        <v>19.33</v>
      </c>
      <c r="K750" s="24" t="n">
        <v>19.37</v>
      </c>
      <c r="L750" s="24" t="n">
        <v>19.37</v>
      </c>
      <c r="M750" s="24" t="n">
        <v>20.26</v>
      </c>
      <c r="N750" s="24" t="n">
        <v>20.31</v>
      </c>
      <c r="O750" s="24" t="n">
        <v>20.31</v>
      </c>
    </row>
    <row r="751">
      <c r="A751" s="11" t="n">
        <v>2481</v>
      </c>
      <c r="B751" s="3" t="n">
        <v>43614</v>
      </c>
      <c r="C751" s="25" t="inlineStr">
        <is>
          <t>GELENEKSEL</t>
        </is>
      </c>
      <c r="D751" s="3" t="n">
        <v>43615</v>
      </c>
      <c r="E751" s="3" t="n">
        <v>45497</v>
      </c>
      <c r="F751" s="25" t="inlineStr">
        <is>
          <t>TRT240724T15</t>
        </is>
      </c>
      <c r="G751" s="11" t="n">
        <v>30000</v>
      </c>
      <c r="H751" s="11" t="n">
        <v>0</v>
      </c>
      <c r="I751" s="13" t="n">
        <v>0</v>
      </c>
    </row>
    <row r="752">
      <c r="A752" s="8" t="n">
        <v>2482</v>
      </c>
      <c r="B752" s="23" t="n">
        <v>43614</v>
      </c>
      <c r="C752" s="22" t="inlineStr">
        <is>
          <t>GELENEKSEL</t>
        </is>
      </c>
      <c r="D752" s="23" t="n">
        <v>43615</v>
      </c>
      <c r="E752" s="23" t="n">
        <v>46442</v>
      </c>
      <c r="F752" s="22" t="inlineStr">
        <is>
          <t>TRT240227T17</t>
        </is>
      </c>
      <c r="G752" s="8" t="n">
        <v>319000</v>
      </c>
      <c r="H752" s="8" t="n">
        <v>75000</v>
      </c>
      <c r="I752" s="24" t="n">
        <v>52314.9</v>
      </c>
      <c r="J752" s="24" t="n">
        <v>19.3</v>
      </c>
      <c r="K752" s="24" t="n">
        <v>19.31</v>
      </c>
      <c r="L752" s="24" t="n">
        <v>19.33</v>
      </c>
      <c r="M752" s="24" t="n">
        <v>20.23</v>
      </c>
      <c r="N752" s="24" t="n">
        <v>20.24</v>
      </c>
      <c r="O752" s="24" t="n">
        <v>20.26</v>
      </c>
    </row>
    <row r="753">
      <c r="A753" s="11" t="n">
        <v>2483</v>
      </c>
      <c r="B753" s="3" t="n">
        <v>43628</v>
      </c>
      <c r="C753" s="25" t="inlineStr">
        <is>
          <t>GELENEKSEL</t>
        </is>
      </c>
      <c r="D753" s="3" t="n">
        <v>43629</v>
      </c>
      <c r="E753" s="3" t="n">
        <v>44237</v>
      </c>
      <c r="F753" s="25"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3" t="n">
        <v>43628</v>
      </c>
      <c r="C754" s="22" t="inlineStr">
        <is>
          <t>GELENEKSEL</t>
        </is>
      </c>
      <c r="D754" s="23" t="n">
        <v>43629</v>
      </c>
      <c r="E754" s="23" t="n">
        <v>46442</v>
      </c>
      <c r="F754" s="22" t="inlineStr">
        <is>
          <t>TRT240227T17</t>
        </is>
      </c>
      <c r="G754" s="8" t="n">
        <v>312000</v>
      </c>
      <c r="H754" s="8" t="n">
        <v>100000</v>
      </c>
      <c r="I754" s="24" t="n">
        <v>76640</v>
      </c>
      <c r="J754" s="24" t="n">
        <v>17.27</v>
      </c>
      <c r="K754" s="24" t="n">
        <v>17.3</v>
      </c>
      <c r="L754" s="24" t="n">
        <v>17.34</v>
      </c>
      <c r="M754" s="24" t="n">
        <v>18.01</v>
      </c>
      <c r="N754" s="24" t="n">
        <v>18.04</v>
      </c>
      <c r="O754" s="24" t="n">
        <v>18.1</v>
      </c>
    </row>
    <row r="755">
      <c r="A755" s="11" t="n">
        <v>2485</v>
      </c>
      <c r="B755" s="3" t="n">
        <v>43635</v>
      </c>
      <c r="C755" s="25" t="inlineStr">
        <is>
          <t>GELENEKSEL</t>
        </is>
      </c>
      <c r="D755" s="3" t="n">
        <v>43636</v>
      </c>
      <c r="E755" s="3" t="n">
        <v>44993</v>
      </c>
      <c r="F755" s="25"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3" t="n">
        <v>43635</v>
      </c>
      <c r="C756" s="22" t="inlineStr">
        <is>
          <t>GELENEKSEL</t>
        </is>
      </c>
      <c r="D756" s="23" t="n">
        <v>43636</v>
      </c>
      <c r="E756" s="23" t="n">
        <v>45728</v>
      </c>
      <c r="F756" s="22" t="inlineStr">
        <is>
          <t>TRT120325T12</t>
        </is>
      </c>
      <c r="G756" s="8" t="n">
        <v>161000</v>
      </c>
      <c r="H756" s="8" t="n">
        <v>75000</v>
      </c>
      <c r="I756" s="24" t="n">
        <v>50740.01</v>
      </c>
      <c r="J756" s="24" t="n">
        <v>17.73</v>
      </c>
      <c r="K756" s="24" t="n">
        <v>17.78</v>
      </c>
      <c r="L756" s="24" t="n">
        <v>17.92</v>
      </c>
      <c r="M756" s="24" t="n">
        <v>18.52</v>
      </c>
      <c r="N756" s="24" t="n">
        <v>18.57</v>
      </c>
      <c r="O756" s="24" t="n">
        <v>18.72</v>
      </c>
    </row>
    <row r="757">
      <c r="A757" s="11" t="n">
        <v>2487</v>
      </c>
      <c r="B757" s="3" t="n">
        <v>43642</v>
      </c>
      <c r="C757" s="25" t="inlineStr">
        <is>
          <t>GELENEKSEL</t>
        </is>
      </c>
      <c r="D757" s="3" t="n">
        <v>43643</v>
      </c>
      <c r="E757" s="3" t="n">
        <v>44790</v>
      </c>
      <c r="F757" s="25"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3" t="n">
        <v>43642</v>
      </c>
      <c r="C758" s="22" t="inlineStr">
        <is>
          <t>GELENEKSEL</t>
        </is>
      </c>
      <c r="D758" s="23" t="n">
        <v>43643</v>
      </c>
      <c r="E758" s="23" t="n">
        <v>44993</v>
      </c>
      <c r="F758" s="22" t="inlineStr">
        <is>
          <t>TRT080323T10</t>
        </is>
      </c>
      <c r="G758" s="8" t="n">
        <v>270000</v>
      </c>
      <c r="H758" s="8" t="n">
        <v>75000</v>
      </c>
      <c r="I758" s="24" t="n">
        <v>57000.45</v>
      </c>
      <c r="J758" s="24" t="n">
        <v>16.79</v>
      </c>
      <c r="K758" s="24" t="n">
        <v>16.82</v>
      </c>
      <c r="L758" s="24" t="n">
        <v>16.94</v>
      </c>
      <c r="M758" s="24" t="n">
        <v>17.49</v>
      </c>
      <c r="N758" s="24" t="n">
        <v>17.53</v>
      </c>
      <c r="O758" s="24" t="n">
        <v>17.66</v>
      </c>
    </row>
    <row r="759">
      <c r="A759" s="11" t="n">
        <v>2489</v>
      </c>
      <c r="B759" s="3" t="n">
        <v>43649</v>
      </c>
      <c r="C759" s="25" t="inlineStr">
        <is>
          <t>GELENEKSEL</t>
        </is>
      </c>
      <c r="D759" s="3" t="n">
        <v>43650</v>
      </c>
      <c r="E759" s="3" t="n">
        <v>44244</v>
      </c>
      <c r="F759" s="25"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3" t="n">
        <v>43649</v>
      </c>
      <c r="C760" s="22" t="inlineStr">
        <is>
          <t>GELENEKSEL</t>
        </is>
      </c>
      <c r="D760" s="23" t="n">
        <v>43650</v>
      </c>
      <c r="E760" s="23" t="n">
        <v>44363</v>
      </c>
      <c r="F760" s="22" t="inlineStr">
        <is>
          <t>TRD160621T17</t>
        </is>
      </c>
      <c r="G760" s="8" t="n">
        <v>100000</v>
      </c>
      <c r="H760" s="8" t="n">
        <v>50000</v>
      </c>
      <c r="I760" s="24" t="n">
        <v>52453.3</v>
      </c>
      <c r="J760" s="24" t="n">
        <v>18.44</v>
      </c>
      <c r="K760" s="24" t="n">
        <v>18.54</v>
      </c>
      <c r="L760" s="24" t="n">
        <v>18.6</v>
      </c>
      <c r="M760" s="24" t="n">
        <v>19.29</v>
      </c>
      <c r="N760" s="24" t="n">
        <v>19.4</v>
      </c>
      <c r="O760" s="24" t="n">
        <v>19.46</v>
      </c>
    </row>
    <row r="761">
      <c r="A761" s="11" t="n">
        <v>2491</v>
      </c>
      <c r="B761" s="3" t="n">
        <v>43656</v>
      </c>
      <c r="C761" s="25" t="inlineStr">
        <is>
          <t>GELENEKSEL</t>
        </is>
      </c>
      <c r="D761" s="3" t="n">
        <v>43657</v>
      </c>
      <c r="E761" s="3" t="n">
        <v>44363</v>
      </c>
      <c r="F761" s="25"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3" t="n">
        <v>43656</v>
      </c>
      <c r="C762" s="22" t="inlineStr">
        <is>
          <t>GELENEKSEL</t>
        </is>
      </c>
      <c r="D762" s="23" t="n">
        <v>43657</v>
      </c>
      <c r="E762" s="23" t="n">
        <v>46442</v>
      </c>
      <c r="F762" s="22" t="inlineStr">
        <is>
          <t>TRT240227T17</t>
        </is>
      </c>
      <c r="G762" s="8" t="n">
        <v>294000</v>
      </c>
      <c r="H762" s="8" t="n">
        <v>100000</v>
      </c>
      <c r="I762" s="24" t="n">
        <v>79269.5</v>
      </c>
      <c r="J762" s="24" t="n">
        <v>16.8</v>
      </c>
      <c r="K762" s="24" t="n">
        <v>16.81</v>
      </c>
      <c r="L762" s="24" t="n">
        <v>16.83</v>
      </c>
      <c r="M762" s="24" t="n">
        <v>17.5</v>
      </c>
      <c r="N762" s="24" t="n">
        <v>17.52</v>
      </c>
      <c r="O762" s="24" t="n">
        <v>17.54</v>
      </c>
    </row>
    <row r="763">
      <c r="A763" s="11" t="n">
        <v>2493</v>
      </c>
      <c r="B763" s="3" t="n">
        <v>43663</v>
      </c>
      <c r="C763" s="25" t="inlineStr">
        <is>
          <t>GELENEKSEL</t>
        </is>
      </c>
      <c r="D763" s="3" t="n">
        <v>43664</v>
      </c>
      <c r="E763" s="3" t="n">
        <v>44363</v>
      </c>
      <c r="F763" s="25" t="inlineStr">
        <is>
          <t>TRD160621T17</t>
        </is>
      </c>
      <c r="G763" s="11" t="n">
        <v>50000</v>
      </c>
      <c r="H763" s="11" t="n">
        <v>0</v>
      </c>
      <c r="I763" s="13" t="n">
        <v>0</v>
      </c>
    </row>
    <row r="764">
      <c r="A764" s="8" t="n">
        <v>2494</v>
      </c>
      <c r="B764" s="23" t="n">
        <v>43663</v>
      </c>
      <c r="C764" s="22" t="inlineStr">
        <is>
          <t>GELENEKSEL</t>
        </is>
      </c>
      <c r="D764" s="23" t="n">
        <v>43664</v>
      </c>
      <c r="E764" s="23" t="n">
        <v>45728</v>
      </c>
      <c r="F764" s="22" t="inlineStr">
        <is>
          <t>TRT120325T12</t>
        </is>
      </c>
      <c r="G764" s="8" t="n">
        <v>133000</v>
      </c>
      <c r="H764" s="8" t="n">
        <v>100000</v>
      </c>
      <c r="I764" s="24" t="n">
        <v>71827.48</v>
      </c>
      <c r="J764" s="24" t="n">
        <v>16.5</v>
      </c>
      <c r="K764" s="24" t="n">
        <v>16.58</v>
      </c>
      <c r="L764" s="24" t="n">
        <v>16.67</v>
      </c>
      <c r="M764" s="24" t="n">
        <v>17.18</v>
      </c>
      <c r="N764" s="24" t="n">
        <v>17.27</v>
      </c>
      <c r="O764" s="24" t="n">
        <v>17.37</v>
      </c>
    </row>
    <row r="765">
      <c r="A765" s="11" t="n">
        <v>2495</v>
      </c>
      <c r="B765" s="3" t="n">
        <v>43670</v>
      </c>
      <c r="C765" s="25" t="inlineStr">
        <is>
          <t>GELENEKSEL</t>
        </is>
      </c>
      <c r="D765" s="3" t="n">
        <v>43671</v>
      </c>
      <c r="E765" s="3" t="n">
        <v>45196</v>
      </c>
      <c r="F765" s="25"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3" t="n">
        <v>43670</v>
      </c>
      <c r="C766" s="22" t="inlineStr">
        <is>
          <t>GELENEKSEL</t>
        </is>
      </c>
      <c r="D766" s="23" t="n">
        <v>43671</v>
      </c>
      <c r="E766" s="23" t="n">
        <v>45728</v>
      </c>
      <c r="F766" s="22" t="inlineStr">
        <is>
          <t>TRT120325T12</t>
        </is>
      </c>
      <c r="G766" s="8" t="n">
        <v>33000</v>
      </c>
      <c r="H766" s="8" t="n">
        <v>33000</v>
      </c>
      <c r="I766" s="24" t="n">
        <v>24727.63</v>
      </c>
      <c r="J766" s="24" t="n">
        <v>15.41</v>
      </c>
      <c r="K766" s="24" t="n">
        <v>15.58</v>
      </c>
      <c r="L766" s="24" t="n">
        <v>15.81</v>
      </c>
      <c r="M766" s="24" t="n">
        <v>16</v>
      </c>
      <c r="N766" s="24" t="n">
        <v>16.18</v>
      </c>
      <c r="O766" s="24" t="n">
        <v>16.44</v>
      </c>
    </row>
    <row r="767">
      <c r="A767" s="11" t="n">
        <v>2497</v>
      </c>
      <c r="B767" s="3" t="n">
        <v>43677</v>
      </c>
      <c r="C767" s="25" t="inlineStr">
        <is>
          <t>GELENEKSEL</t>
        </is>
      </c>
      <c r="D767" s="3" t="n">
        <v>43678</v>
      </c>
      <c r="E767" s="3" t="n">
        <v>44363</v>
      </c>
      <c r="F767" s="25" t="inlineStr">
        <is>
          <t>TRD160621T17</t>
        </is>
      </c>
      <c r="G767" s="11" t="n">
        <v>20000</v>
      </c>
      <c r="H767" s="11" t="n">
        <v>0</v>
      </c>
      <c r="I767" s="13" t="n">
        <v>0</v>
      </c>
    </row>
    <row r="768">
      <c r="A768" s="8" t="n">
        <v>2498</v>
      </c>
      <c r="B768" s="23" t="n">
        <v>43677</v>
      </c>
      <c r="C768" s="22" t="inlineStr">
        <is>
          <t>GELENEKSEL</t>
        </is>
      </c>
      <c r="D768" s="23" t="n">
        <v>43678</v>
      </c>
      <c r="E768" s="23" t="n">
        <v>45728</v>
      </c>
      <c r="F768" s="22" t="inlineStr">
        <is>
          <t>TRT120325T12</t>
        </is>
      </c>
      <c r="G768" s="8" t="n">
        <v>155000</v>
      </c>
      <c r="H768" s="8" t="n">
        <v>100000</v>
      </c>
      <c r="I768" s="24" t="n">
        <v>77438.39999999999</v>
      </c>
      <c r="J768" s="24" t="n">
        <v>14.83</v>
      </c>
      <c r="K768" s="24" t="n">
        <v>14.83</v>
      </c>
      <c r="L768" s="24" t="n">
        <v>14.83</v>
      </c>
      <c r="M768" s="24" t="n">
        <v>15.38</v>
      </c>
      <c r="N768" s="24" t="n">
        <v>15.38</v>
      </c>
      <c r="O768" s="24" t="n">
        <v>15.38</v>
      </c>
    </row>
    <row r="769">
      <c r="A769" s="11" t="n">
        <v>2499</v>
      </c>
      <c r="B769" s="3" t="n">
        <v>43684</v>
      </c>
      <c r="C769" s="25" t="inlineStr">
        <is>
          <t>GELENEKSEL</t>
        </is>
      </c>
      <c r="D769" s="3" t="n">
        <v>43685</v>
      </c>
      <c r="E769" s="3" t="n">
        <v>44622</v>
      </c>
      <c r="F769" s="25"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3" t="n">
        <v>43684</v>
      </c>
      <c r="C770" s="22" t="inlineStr">
        <is>
          <t>GELENEKSEL</t>
        </is>
      </c>
      <c r="D770" s="23" t="n">
        <v>43685</v>
      </c>
      <c r="E770" s="23" t="n">
        <v>45091</v>
      </c>
      <c r="F770" s="22" t="inlineStr">
        <is>
          <t>TRT140623T19</t>
        </is>
      </c>
      <c r="G770" s="8" t="n">
        <v>193000</v>
      </c>
      <c r="H770" s="8" t="n">
        <v>75000</v>
      </c>
      <c r="I770" s="24" t="n">
        <v>78844.24000000001</v>
      </c>
      <c r="J770" s="24" t="n">
        <v>15.12</v>
      </c>
      <c r="K770" s="24" t="n">
        <v>15.15</v>
      </c>
      <c r="L770" s="24" t="n">
        <v>15.29</v>
      </c>
      <c r="M770" s="24" t="n">
        <v>15.69</v>
      </c>
      <c r="N770" s="24" t="n">
        <v>15.73</v>
      </c>
      <c r="O770" s="24" t="n">
        <v>15.88</v>
      </c>
    </row>
    <row r="771">
      <c r="A771" s="11" t="n">
        <v>2501</v>
      </c>
      <c r="B771" s="3" t="n">
        <v>43698</v>
      </c>
      <c r="C771" s="25" t="inlineStr">
        <is>
          <t>GELENEKSEL</t>
        </is>
      </c>
      <c r="D771" s="3" t="n">
        <v>43699</v>
      </c>
      <c r="E771" s="3" t="n">
        <v>45091</v>
      </c>
      <c r="F771" s="25"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3" t="n">
        <v>43698</v>
      </c>
      <c r="C772" s="22" t="inlineStr">
        <is>
          <t>GELENEKSEL</t>
        </is>
      </c>
      <c r="D772" s="23" t="n">
        <v>43699</v>
      </c>
      <c r="E772" s="23" t="n">
        <v>45728</v>
      </c>
      <c r="F772" s="22" t="inlineStr">
        <is>
          <t>TRT120325T12</t>
        </is>
      </c>
      <c r="G772" s="8" t="n">
        <v>422000</v>
      </c>
      <c r="H772" s="8" t="n">
        <v>75000</v>
      </c>
      <c r="I772" s="24" t="n">
        <v>56618.75</v>
      </c>
      <c r="J772" s="24" t="n">
        <v>15.69</v>
      </c>
      <c r="K772" s="24" t="n">
        <v>15.69</v>
      </c>
      <c r="L772" s="24" t="n">
        <v>15.69</v>
      </c>
      <c r="M772" s="24" t="n">
        <v>16.3</v>
      </c>
      <c r="N772" s="24" t="n">
        <v>16.3</v>
      </c>
      <c r="O772" s="24" t="n">
        <v>16.3</v>
      </c>
    </row>
    <row r="773">
      <c r="A773" s="11" t="n">
        <v>2503</v>
      </c>
      <c r="B773" s="3" t="n">
        <v>43705</v>
      </c>
      <c r="C773" s="25" t="inlineStr">
        <is>
          <t>GELENEKSEL</t>
        </is>
      </c>
      <c r="D773" s="3" t="n">
        <v>43706</v>
      </c>
      <c r="E773" s="3" t="n">
        <v>45091</v>
      </c>
      <c r="F773" s="25"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3" t="n">
        <v>43705</v>
      </c>
      <c r="C774" s="22" t="inlineStr">
        <is>
          <t>GELENEKSEL</t>
        </is>
      </c>
      <c r="D774" s="23" t="n">
        <v>43706</v>
      </c>
      <c r="E774" s="23" t="n">
        <v>45728</v>
      </c>
      <c r="F774" s="22" t="inlineStr">
        <is>
          <t>TRT120325T12</t>
        </is>
      </c>
      <c r="G774" s="8" t="n">
        <v>236000</v>
      </c>
      <c r="H774" s="8" t="n">
        <v>75000</v>
      </c>
      <c r="I774" s="24" t="n">
        <v>56411.73</v>
      </c>
      <c r="J774" s="24" t="n">
        <v>15.75</v>
      </c>
      <c r="K774" s="24" t="n">
        <v>15.86</v>
      </c>
      <c r="L774" s="24" t="n">
        <v>15.95</v>
      </c>
      <c r="M774" s="24" t="n">
        <v>16.37</v>
      </c>
      <c r="N774" s="24" t="n">
        <v>16.49</v>
      </c>
      <c r="O774" s="24" t="n">
        <v>16.59</v>
      </c>
    </row>
    <row r="775">
      <c r="A775" s="11" t="n">
        <v>2505</v>
      </c>
      <c r="B775" s="3" t="n">
        <v>43712</v>
      </c>
      <c r="C775" s="25" t="inlineStr">
        <is>
          <t>GELENEKSEL</t>
        </is>
      </c>
      <c r="D775" s="3" t="n">
        <v>43713</v>
      </c>
      <c r="E775" s="3" t="n">
        <v>44426</v>
      </c>
      <c r="F775" s="25"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3" t="n">
        <v>43712</v>
      </c>
      <c r="C776" s="22" t="inlineStr">
        <is>
          <t>GELENEKSEL</t>
        </is>
      </c>
      <c r="D776" s="23" t="n">
        <v>43713</v>
      </c>
      <c r="E776" s="23" t="n">
        <v>45728</v>
      </c>
      <c r="F776" s="22" t="inlineStr">
        <is>
          <t>TRT120325T12</t>
        </is>
      </c>
      <c r="G776" s="8" t="n">
        <v>148000</v>
      </c>
      <c r="H776" s="8" t="n">
        <v>100000</v>
      </c>
      <c r="I776" s="24" t="n">
        <v>78729.14999999999</v>
      </c>
      <c r="J776" s="24" t="n">
        <v>14.67</v>
      </c>
      <c r="K776" s="24" t="n">
        <v>14.77</v>
      </c>
      <c r="L776" s="24" t="n">
        <v>14.87</v>
      </c>
      <c r="M776" s="24" t="n">
        <v>15.21</v>
      </c>
      <c r="N776" s="24" t="n">
        <v>15.31</v>
      </c>
      <c r="O776" s="24" t="n">
        <v>15.43</v>
      </c>
    </row>
    <row r="777">
      <c r="A777" s="11" t="n">
        <v>2507</v>
      </c>
      <c r="B777" s="3" t="n">
        <v>43719</v>
      </c>
      <c r="C777" s="25" t="inlineStr">
        <is>
          <t>GELENEKSEL</t>
        </is>
      </c>
      <c r="D777" s="3" t="n">
        <v>43720</v>
      </c>
      <c r="E777" s="3" t="n">
        <v>44426</v>
      </c>
      <c r="F777" s="25"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3" t="n">
        <v>43719</v>
      </c>
      <c r="C778" s="22" t="inlineStr">
        <is>
          <t>GELENEKSEL</t>
        </is>
      </c>
      <c r="D778" s="23" t="n">
        <v>43720</v>
      </c>
      <c r="E778" s="23" t="n">
        <v>45728</v>
      </c>
      <c r="F778" s="22" t="inlineStr">
        <is>
          <t>TRT120325T12</t>
        </is>
      </c>
      <c r="G778" s="8" t="n">
        <v>121000</v>
      </c>
      <c r="H778" s="8" t="n">
        <v>100000</v>
      </c>
      <c r="I778" s="24" t="n">
        <v>78081.45</v>
      </c>
      <c r="J778" s="24" t="n">
        <v>14.95</v>
      </c>
      <c r="K778" s="24" t="n">
        <v>15.05</v>
      </c>
      <c r="L778" s="24" t="n">
        <v>15.22</v>
      </c>
      <c r="M778" s="24" t="n">
        <v>15.51</v>
      </c>
      <c r="N778" s="24" t="n">
        <v>15.61</v>
      </c>
      <c r="O778" s="24" t="n">
        <v>15.8</v>
      </c>
    </row>
    <row r="779">
      <c r="A779" s="11" t="n">
        <v>2509</v>
      </c>
      <c r="B779" s="3" t="n">
        <v>43726</v>
      </c>
      <c r="C779" s="25" t="inlineStr">
        <is>
          <t>GELENEKSEL</t>
        </is>
      </c>
      <c r="D779" s="3" t="n">
        <v>43727</v>
      </c>
      <c r="E779" s="3" t="n">
        <v>44993</v>
      </c>
      <c r="F779" s="25"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3" t="n">
        <v>43726</v>
      </c>
      <c r="C780" s="22" t="inlineStr">
        <is>
          <t>GELENEKSEL</t>
        </is>
      </c>
      <c r="D780" s="23" t="n">
        <v>43727</v>
      </c>
      <c r="E780" s="23" t="n">
        <v>46442</v>
      </c>
      <c r="F780" s="22" t="inlineStr">
        <is>
          <t>TRT240227T17</t>
        </is>
      </c>
      <c r="G780" s="8" t="n">
        <v>297000</v>
      </c>
      <c r="H780" s="8" t="n">
        <v>75000</v>
      </c>
      <c r="I780" s="24" t="n">
        <v>63923.3</v>
      </c>
      <c r="J780" s="24" t="n">
        <v>14.36</v>
      </c>
      <c r="K780" s="24" t="n">
        <v>14.39</v>
      </c>
      <c r="L780" s="24" t="n">
        <v>14.41</v>
      </c>
      <c r="M780" s="24" t="n">
        <v>14.87</v>
      </c>
      <c r="N780" s="24" t="n">
        <v>14.91</v>
      </c>
      <c r="O780" s="24" t="n">
        <v>14.93</v>
      </c>
    </row>
    <row r="781">
      <c r="A781" s="11" t="n">
        <v>2511</v>
      </c>
      <c r="B781" s="3" t="n">
        <v>43733</v>
      </c>
      <c r="C781" s="25" t="inlineStr">
        <is>
          <t>GELENEKSEL</t>
        </is>
      </c>
      <c r="D781" s="3" t="n">
        <v>43734</v>
      </c>
      <c r="E781" s="3" t="n">
        <v>44790</v>
      </c>
      <c r="F781" s="25"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3" t="n">
        <v>43733</v>
      </c>
      <c r="C782" s="22" t="inlineStr">
        <is>
          <t>GELENEKSEL</t>
        </is>
      </c>
      <c r="D782" s="23" t="n">
        <v>43734</v>
      </c>
      <c r="E782" s="23" t="n">
        <v>44993</v>
      </c>
      <c r="F782" s="22" t="inlineStr">
        <is>
          <t>TRT080323T10</t>
        </is>
      </c>
      <c r="G782" s="8" t="n">
        <v>115000</v>
      </c>
      <c r="H782" s="8" t="n">
        <v>20000</v>
      </c>
      <c r="I782" s="24" t="n">
        <v>16497.55</v>
      </c>
      <c r="J782" s="24" t="n">
        <v>13.69</v>
      </c>
      <c r="K782" s="24" t="n">
        <v>13.72</v>
      </c>
      <c r="L782" s="24" t="n">
        <v>13.82</v>
      </c>
      <c r="M782" s="24" t="n">
        <v>14.16</v>
      </c>
      <c r="N782" s="24" t="n">
        <v>14.2</v>
      </c>
      <c r="O782" s="24" t="n">
        <v>14.3</v>
      </c>
    </row>
    <row r="783">
      <c r="A783" s="11" t="n">
        <v>2513</v>
      </c>
      <c r="B783" s="3" t="n">
        <v>43740</v>
      </c>
      <c r="C783" s="25" t="inlineStr">
        <is>
          <t>GELENEKSEL</t>
        </is>
      </c>
      <c r="D783" s="3" t="n">
        <v>43741</v>
      </c>
      <c r="E783" s="3" t="n">
        <v>44622</v>
      </c>
      <c r="F783" s="25"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3" t="n">
        <v>43740</v>
      </c>
      <c r="C784" s="22" t="inlineStr">
        <is>
          <t>GELENEKSEL</t>
        </is>
      </c>
      <c r="D784" s="23" t="n">
        <v>43741</v>
      </c>
      <c r="E784" s="23" t="n">
        <v>45728</v>
      </c>
      <c r="F784" s="22" t="inlineStr">
        <is>
          <t>TRT120325T12</t>
        </is>
      </c>
      <c r="G784" s="8" t="n">
        <v>92000</v>
      </c>
      <c r="H784" s="8" t="n">
        <v>75000</v>
      </c>
      <c r="I784" s="24" t="n">
        <v>59889.47</v>
      </c>
      <c r="J784" s="24" t="n">
        <v>13.27</v>
      </c>
      <c r="K784" s="24" t="n">
        <v>13.41</v>
      </c>
      <c r="L784" s="24" t="n">
        <v>13.47</v>
      </c>
      <c r="M784" s="24" t="n">
        <v>13.71</v>
      </c>
      <c r="N784" s="24" t="n">
        <v>13.86</v>
      </c>
      <c r="O784" s="24" t="n">
        <v>13.92</v>
      </c>
    </row>
    <row r="785">
      <c r="A785" s="11" t="n">
        <v>2515</v>
      </c>
      <c r="B785" s="3" t="n">
        <v>43747</v>
      </c>
      <c r="C785" s="25" t="inlineStr">
        <is>
          <t>GELENEKSEL</t>
        </is>
      </c>
      <c r="D785" s="3" t="n">
        <v>43748</v>
      </c>
      <c r="E785" s="3" t="n">
        <v>44622</v>
      </c>
      <c r="F785" s="25"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3" t="n">
        <v>43747</v>
      </c>
      <c r="C786" s="22" t="inlineStr">
        <is>
          <t>GELENEKSEL</t>
        </is>
      </c>
      <c r="D786" s="23" t="n">
        <v>43748</v>
      </c>
      <c r="E786" s="23" t="n">
        <v>46442</v>
      </c>
      <c r="F786" s="22" t="inlineStr">
        <is>
          <t>TRT240227T17</t>
        </is>
      </c>
      <c r="G786" s="8" t="n">
        <v>329000</v>
      </c>
      <c r="H786" s="8" t="n">
        <v>75000</v>
      </c>
      <c r="I786" s="24" t="n">
        <v>66054</v>
      </c>
      <c r="J786" s="24" t="n">
        <v>13.86</v>
      </c>
      <c r="K786" s="24" t="n">
        <v>13.86</v>
      </c>
      <c r="L786" s="24" t="n">
        <v>13.86</v>
      </c>
      <c r="M786" s="24" t="n">
        <v>14.34</v>
      </c>
      <c r="N786" s="24" t="n">
        <v>14.34</v>
      </c>
      <c r="O786" s="24" t="n">
        <v>14.34</v>
      </c>
    </row>
    <row r="787">
      <c r="A787" s="11" t="n">
        <v>2517</v>
      </c>
      <c r="B787" s="3" t="n">
        <v>43754</v>
      </c>
      <c r="C787" s="25" t="inlineStr">
        <is>
          <t>GELENEKSEL</t>
        </is>
      </c>
      <c r="D787" s="3" t="n">
        <v>43755</v>
      </c>
      <c r="E787" s="3" t="n">
        <v>45728</v>
      </c>
      <c r="F787" s="25"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3" t="n">
        <v>43754</v>
      </c>
      <c r="C788" s="22" t="inlineStr">
        <is>
          <t>GELENEKSEL</t>
        </is>
      </c>
      <c r="D788" s="23" t="n">
        <v>43755</v>
      </c>
      <c r="E788" s="23" t="n">
        <v>46442</v>
      </c>
      <c r="F788" s="22" t="inlineStr">
        <is>
          <t>TRT240227T17</t>
        </is>
      </c>
      <c r="G788" s="8" t="n">
        <v>333000</v>
      </c>
      <c r="H788" s="8" t="n">
        <v>75000</v>
      </c>
      <c r="I788" s="24" t="n">
        <v>61745.75</v>
      </c>
      <c r="J788" s="24" t="n">
        <v>15.34</v>
      </c>
      <c r="K788" s="24" t="n">
        <v>15.37</v>
      </c>
      <c r="L788" s="24" t="n">
        <v>15.45</v>
      </c>
      <c r="M788" s="24" t="n">
        <v>15.93</v>
      </c>
      <c r="N788" s="24" t="n">
        <v>15.97</v>
      </c>
      <c r="O788" s="24" t="n">
        <v>16.05</v>
      </c>
    </row>
    <row r="789">
      <c r="A789" s="11" t="n">
        <v>2519</v>
      </c>
      <c r="B789" s="3" t="n">
        <v>43761</v>
      </c>
      <c r="C789" s="25" t="inlineStr">
        <is>
          <t>GELENEKSEL</t>
        </is>
      </c>
      <c r="D789" s="3" t="n">
        <v>43762</v>
      </c>
      <c r="E789" s="3" t="n">
        <v>44622</v>
      </c>
      <c r="F789" s="25"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3" t="n">
        <v>43761</v>
      </c>
      <c r="C790" s="22" t="inlineStr">
        <is>
          <t>GELENEKSEL</t>
        </is>
      </c>
      <c r="D790" s="23" t="n">
        <v>43762</v>
      </c>
      <c r="E790" s="23" t="n">
        <v>44993</v>
      </c>
      <c r="F790" s="22" t="inlineStr">
        <is>
          <t>TRT080323T10</t>
        </is>
      </c>
      <c r="G790" s="8" t="n">
        <v>183000</v>
      </c>
      <c r="H790" s="8" t="n">
        <v>75000</v>
      </c>
      <c r="I790" s="24" t="n">
        <v>63397.5</v>
      </c>
      <c r="J790" s="24" t="n">
        <v>13.22</v>
      </c>
      <c r="K790" s="24" t="n">
        <v>13.22</v>
      </c>
      <c r="L790" s="24" t="n">
        <v>13.22</v>
      </c>
      <c r="M790" s="24" t="n">
        <v>13.66</v>
      </c>
      <c r="N790" s="24" t="n">
        <v>13.66</v>
      </c>
      <c r="O790" s="24" t="n">
        <v>13.66</v>
      </c>
    </row>
    <row r="791">
      <c r="A791" s="11" t="n">
        <v>2521</v>
      </c>
      <c r="B791" s="3" t="n">
        <v>43768</v>
      </c>
      <c r="C791" s="25" t="inlineStr">
        <is>
          <t>GELENEKSEL</t>
        </is>
      </c>
      <c r="D791" s="3" t="n">
        <v>43769</v>
      </c>
      <c r="E791" s="3" t="n">
        <v>44622</v>
      </c>
      <c r="F791" s="25"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3" t="n">
        <v>43768</v>
      </c>
      <c r="C792" s="22" t="inlineStr">
        <is>
          <t>GELENEKSEL</t>
        </is>
      </c>
      <c r="D792" s="23" t="n">
        <v>43769</v>
      </c>
      <c r="E792" s="23" t="n">
        <v>44993</v>
      </c>
      <c r="F792" s="22" t="inlineStr">
        <is>
          <t>TRT080323T10</t>
        </is>
      </c>
      <c r="G792" s="8" t="n">
        <v>210000</v>
      </c>
      <c r="H792" s="8" t="n">
        <v>75000</v>
      </c>
      <c r="I792" s="24" t="n">
        <v>64716.55</v>
      </c>
      <c r="J792" s="24" t="n">
        <v>12.54</v>
      </c>
      <c r="K792" s="24" t="n">
        <v>12.58</v>
      </c>
      <c r="L792" s="24" t="n">
        <v>12.62</v>
      </c>
      <c r="M792" s="24" t="n">
        <v>12.93</v>
      </c>
      <c r="N792" s="24" t="n">
        <v>12.98</v>
      </c>
      <c r="O792" s="24" t="n">
        <v>13.01</v>
      </c>
    </row>
    <row r="793">
      <c r="A793" s="11" t="n">
        <v>2523</v>
      </c>
      <c r="B793" s="3" t="n">
        <v>43775</v>
      </c>
      <c r="C793" s="25" t="inlineStr">
        <is>
          <t>GELENEKSEL</t>
        </is>
      </c>
      <c r="D793" s="3" t="n">
        <v>43776</v>
      </c>
      <c r="E793" s="3" t="n">
        <v>45196</v>
      </c>
      <c r="F793" s="25"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3" t="n">
        <v>43775</v>
      </c>
      <c r="C794" s="22" t="inlineStr">
        <is>
          <t>GELENEKSEL</t>
        </is>
      </c>
      <c r="D794" s="23" t="n">
        <v>43776</v>
      </c>
      <c r="E794" s="23" t="n">
        <v>45728</v>
      </c>
      <c r="F794" s="22" t="inlineStr">
        <is>
          <t>TRT120325T12</t>
        </is>
      </c>
      <c r="G794" s="8" t="n">
        <v>162000</v>
      </c>
      <c r="H794" s="8" t="n">
        <v>75000</v>
      </c>
      <c r="I794" s="24" t="n">
        <v>63523.65</v>
      </c>
      <c r="J794" s="24" t="n">
        <v>12.14</v>
      </c>
      <c r="K794" s="24" t="n">
        <v>12.25</v>
      </c>
      <c r="L794" s="24" t="n">
        <v>12.28</v>
      </c>
      <c r="M794" s="24" t="n">
        <v>12.51</v>
      </c>
      <c r="N794" s="24" t="n">
        <v>12.63</v>
      </c>
      <c r="O794" s="24" t="n">
        <v>12.66</v>
      </c>
    </row>
    <row r="795">
      <c r="A795" s="11" t="n">
        <v>2525</v>
      </c>
      <c r="B795" s="3" t="n">
        <v>43782</v>
      </c>
      <c r="C795" s="25" t="inlineStr">
        <is>
          <t>GELENEKSEL</t>
        </is>
      </c>
      <c r="D795" s="3" t="n">
        <v>43783</v>
      </c>
      <c r="E795" s="3" t="n">
        <v>45728</v>
      </c>
      <c r="F795" s="25"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3" t="n">
        <v>43782</v>
      </c>
      <c r="C796" s="22" t="inlineStr">
        <is>
          <t>GELENEKSEL</t>
        </is>
      </c>
      <c r="D796" s="23" t="n">
        <v>43783</v>
      </c>
      <c r="E796" s="23" t="n">
        <v>46442</v>
      </c>
      <c r="F796" s="22" t="inlineStr">
        <is>
          <t>TRT240227T17</t>
        </is>
      </c>
      <c r="G796" s="8" t="n">
        <v>283000</v>
      </c>
      <c r="H796" s="8" t="n">
        <v>75000</v>
      </c>
      <c r="I796" s="24" t="n">
        <v>72586.28999999999</v>
      </c>
      <c r="J796" s="24" t="n">
        <v>12.06</v>
      </c>
      <c r="K796" s="24" t="n">
        <v>12.12</v>
      </c>
      <c r="L796" s="24" t="n">
        <v>12.12</v>
      </c>
      <c r="M796" s="24" t="n">
        <v>12.43</v>
      </c>
      <c r="N796" s="24" t="n">
        <v>12.48</v>
      </c>
      <c r="O796" s="24" t="n">
        <v>12.49</v>
      </c>
    </row>
    <row r="797">
      <c r="A797" s="11" t="n">
        <v>2527</v>
      </c>
      <c r="B797" s="3" t="n">
        <v>43789</v>
      </c>
      <c r="C797" s="25" t="inlineStr">
        <is>
          <t>GELENEKSEL</t>
        </is>
      </c>
      <c r="D797" s="3" t="n">
        <v>43790</v>
      </c>
      <c r="E797" s="3" t="n">
        <v>45196</v>
      </c>
      <c r="F797" s="25"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3" t="n">
        <v>43789</v>
      </c>
      <c r="C798" s="22" t="inlineStr">
        <is>
          <t>GELENEKSEL</t>
        </is>
      </c>
      <c r="D798" s="23" t="n">
        <v>43790</v>
      </c>
      <c r="E798" s="23" t="n">
        <v>45371</v>
      </c>
      <c r="F798" s="22" t="inlineStr">
        <is>
          <t>TRT200324T13</t>
        </is>
      </c>
      <c r="G798" s="8" t="n">
        <v>159000</v>
      </c>
      <c r="H798" s="8" t="n">
        <v>75000</v>
      </c>
      <c r="I798" s="24" t="n">
        <v>73377.46000000001</v>
      </c>
      <c r="J798" s="24" t="n">
        <v>11.46</v>
      </c>
      <c r="K798" s="24" t="n">
        <v>11.52</v>
      </c>
      <c r="L798" s="24" t="n">
        <v>11.65</v>
      </c>
      <c r="M798" s="24" t="n">
        <v>11.79</v>
      </c>
      <c r="N798" s="24" t="n">
        <v>11.86</v>
      </c>
      <c r="O798" s="24" t="n">
        <v>11.99</v>
      </c>
    </row>
    <row r="799">
      <c r="A799" s="11" t="n">
        <v>2529</v>
      </c>
      <c r="B799" s="3" t="n">
        <v>43796</v>
      </c>
      <c r="C799" s="25" t="inlineStr">
        <is>
          <t>GELENEKSEL</t>
        </is>
      </c>
      <c r="D799" s="3" t="n">
        <v>43797</v>
      </c>
      <c r="E799" s="3" t="n">
        <v>45371</v>
      </c>
      <c r="F799" s="25"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3" t="n">
        <v>43796</v>
      </c>
      <c r="C800" s="22" t="inlineStr">
        <is>
          <t>GELENEKSEL</t>
        </is>
      </c>
      <c r="D800" s="23" t="n">
        <v>43797</v>
      </c>
      <c r="E800" s="23" t="n">
        <v>45728</v>
      </c>
      <c r="F800" s="22" t="inlineStr">
        <is>
          <t>TRT120325T12</t>
        </is>
      </c>
      <c r="G800" s="8" t="n">
        <v>97000</v>
      </c>
      <c r="H800" s="8" t="n">
        <v>72000</v>
      </c>
      <c r="I800" s="24" t="n">
        <v>62797.92</v>
      </c>
      <c r="J800" s="24" t="n">
        <v>11.62</v>
      </c>
      <c r="K800" s="24" t="n">
        <v>11.7</v>
      </c>
      <c r="L800" s="24" t="n">
        <v>11.89</v>
      </c>
      <c r="M800" s="24" t="n">
        <v>11.96</v>
      </c>
      <c r="N800" s="24" t="n">
        <v>12.05</v>
      </c>
      <c r="O800" s="24" t="n">
        <v>12.24</v>
      </c>
    </row>
    <row r="801">
      <c r="A801" s="11" t="n">
        <v>2531</v>
      </c>
      <c r="B801" s="3" t="n">
        <v>43810</v>
      </c>
      <c r="C801" s="25" t="inlineStr">
        <is>
          <t>GELENEKSEL</t>
        </is>
      </c>
      <c r="D801" s="3" t="n">
        <v>43811</v>
      </c>
      <c r="E801" s="3" t="n">
        <v>45196</v>
      </c>
      <c r="F801" s="25"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3" t="n">
        <v>43810</v>
      </c>
      <c r="C802" s="22" t="inlineStr">
        <is>
          <t>GELENEKSEL</t>
        </is>
      </c>
      <c r="D802" s="23" t="n">
        <v>43811</v>
      </c>
      <c r="E802" s="23" t="n">
        <v>45371</v>
      </c>
      <c r="F802" s="22" t="inlineStr">
        <is>
          <t>TRT200324T13</t>
        </is>
      </c>
      <c r="G802" s="8" t="n">
        <v>186000</v>
      </c>
      <c r="H802" s="8" t="n">
        <v>75000</v>
      </c>
      <c r="I802" s="24" t="n">
        <v>73448.21000000001</v>
      </c>
      <c r="J802" s="24" t="n">
        <v>11.68</v>
      </c>
      <c r="K802" s="24" t="n">
        <v>11.7</v>
      </c>
      <c r="L802" s="24" t="n">
        <v>11.79</v>
      </c>
      <c r="M802" s="24" t="n">
        <v>12.02</v>
      </c>
      <c r="N802" s="24" t="n">
        <v>12.04</v>
      </c>
      <c r="O802" s="24" t="n">
        <v>12.14</v>
      </c>
    </row>
    <row r="803">
      <c r="A803" s="11" t="n">
        <v>2533</v>
      </c>
      <c r="B803" s="3" t="n">
        <v>43817</v>
      </c>
      <c r="C803" s="25" t="inlineStr">
        <is>
          <t>GELENEKSEL</t>
        </is>
      </c>
      <c r="D803" s="3" t="n">
        <v>43818</v>
      </c>
      <c r="E803" s="3" t="n">
        <v>45196</v>
      </c>
      <c r="F803" s="25"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3" t="n">
        <v>43817</v>
      </c>
      <c r="C804" s="22" t="inlineStr">
        <is>
          <t>GELENEKSEL</t>
        </is>
      </c>
      <c r="D804" s="23" t="n">
        <v>43818</v>
      </c>
      <c r="E804" s="23" t="n">
        <v>45371</v>
      </c>
      <c r="F804" s="22" t="inlineStr">
        <is>
          <t>TRT200324T13</t>
        </is>
      </c>
      <c r="G804" s="8" t="n">
        <v>90000</v>
      </c>
      <c r="H804" s="8" t="n">
        <v>75000</v>
      </c>
      <c r="I804" s="24" t="n">
        <v>73589.95</v>
      </c>
      <c r="J804" s="24" t="n">
        <v>11.63</v>
      </c>
      <c r="K804" s="24" t="n">
        <v>11.7</v>
      </c>
      <c r="L804" s="24" t="n">
        <v>11.76</v>
      </c>
      <c r="M804" s="24" t="n">
        <v>11.97</v>
      </c>
      <c r="N804" s="24" t="n">
        <v>12.04</v>
      </c>
      <c r="O804" s="24" t="n">
        <v>12.11</v>
      </c>
    </row>
    <row r="805">
      <c r="A805" s="11" t="n">
        <v>2535</v>
      </c>
      <c r="B805" s="3" t="n">
        <v>43824</v>
      </c>
      <c r="C805" s="25" t="inlineStr">
        <is>
          <t>GELENEKSEL</t>
        </is>
      </c>
      <c r="D805" s="3" t="n">
        <v>43825</v>
      </c>
      <c r="E805" s="3" t="n">
        <v>45196</v>
      </c>
      <c r="F805" s="25"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3" t="n">
        <v>43824</v>
      </c>
      <c r="C806" s="22" t="inlineStr">
        <is>
          <t>GELENEKSEL</t>
        </is>
      </c>
      <c r="D806" s="23" t="n">
        <v>43825</v>
      </c>
      <c r="E806" s="23" t="n">
        <v>46442</v>
      </c>
      <c r="F806" s="22" t="inlineStr">
        <is>
          <t>TRT240227T17</t>
        </is>
      </c>
      <c r="G806" s="8" t="n">
        <v>280000</v>
      </c>
      <c r="H806" s="8" t="n">
        <v>75000</v>
      </c>
      <c r="I806" s="24" t="n">
        <v>74550</v>
      </c>
      <c r="J806" s="24" t="n">
        <v>11.84</v>
      </c>
      <c r="K806" s="24" t="n">
        <v>11.84</v>
      </c>
      <c r="L806" s="24" t="n">
        <v>11.84</v>
      </c>
      <c r="M806" s="24" t="n">
        <v>12.19</v>
      </c>
      <c r="N806" s="24" t="n">
        <v>12.19</v>
      </c>
      <c r="O806" s="24" t="n">
        <v>12.19</v>
      </c>
    </row>
    <row r="807">
      <c r="A807" s="11" t="n">
        <v>2537</v>
      </c>
      <c r="B807" s="3" t="n">
        <v>43833</v>
      </c>
      <c r="C807" s="25" t="inlineStr">
        <is>
          <t>GELENEKSEL</t>
        </is>
      </c>
      <c r="D807" s="3" t="n">
        <v>43836</v>
      </c>
      <c r="E807" s="3" t="n">
        <v>45497</v>
      </c>
      <c r="F807" s="25"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3" t="n">
        <v>43833</v>
      </c>
      <c r="C808" s="22" t="inlineStr">
        <is>
          <t>GELENEKSEL</t>
        </is>
      </c>
      <c r="D808" s="23" t="n">
        <v>43836</v>
      </c>
      <c r="E808" s="23" t="n">
        <v>46064</v>
      </c>
      <c r="F808" s="22" t="inlineStr">
        <is>
          <t>TRT110226T13</t>
        </is>
      </c>
      <c r="G808" s="8" t="n">
        <v>617000</v>
      </c>
      <c r="H808" s="8" t="n">
        <v>100000</v>
      </c>
      <c r="I808" s="24" t="n">
        <v>98138.10000000001</v>
      </c>
      <c r="J808" s="24" t="n">
        <v>11.97</v>
      </c>
      <c r="K808" s="24" t="n">
        <v>11.97</v>
      </c>
      <c r="L808" s="24" t="n">
        <v>11.97</v>
      </c>
      <c r="M808" s="24" t="n">
        <v>12.33</v>
      </c>
      <c r="N808" s="24" t="n">
        <v>12.33</v>
      </c>
      <c r="O808" s="24" t="n">
        <v>12.33</v>
      </c>
    </row>
    <row r="809">
      <c r="A809" s="11" t="n">
        <v>2539</v>
      </c>
      <c r="B809" s="3" t="n">
        <v>43838</v>
      </c>
      <c r="C809" s="25" t="inlineStr">
        <is>
          <t>GELENEKSEL</t>
        </is>
      </c>
      <c r="D809" s="3" t="n">
        <v>43839</v>
      </c>
      <c r="E809" s="3" t="n">
        <v>45497</v>
      </c>
      <c r="F809" s="25"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3" t="n">
        <v>43838</v>
      </c>
      <c r="C810" s="22" t="inlineStr">
        <is>
          <t>GELENEKSEL</t>
        </is>
      </c>
      <c r="D810" s="23" t="n">
        <v>43839</v>
      </c>
      <c r="E810" s="23" t="n">
        <v>46064</v>
      </c>
      <c r="F810" s="22" t="inlineStr">
        <is>
          <t>TRT110226T13</t>
        </is>
      </c>
      <c r="G810" s="8" t="n">
        <v>195000</v>
      </c>
      <c r="H810" s="8" t="n">
        <v>100000</v>
      </c>
      <c r="I810" s="24" t="n">
        <v>99023.95</v>
      </c>
      <c r="J810" s="24" t="n">
        <v>11.76</v>
      </c>
      <c r="K810" s="24" t="n">
        <v>11.79</v>
      </c>
      <c r="L810" s="24" t="n">
        <v>11.83</v>
      </c>
      <c r="M810" s="24" t="n">
        <v>12.1</v>
      </c>
      <c r="N810" s="24" t="n">
        <v>12.13</v>
      </c>
      <c r="O810" s="24" t="n">
        <v>12.18</v>
      </c>
    </row>
    <row r="811">
      <c r="A811" s="11" t="n">
        <v>2541</v>
      </c>
      <c r="B811" s="3" t="n">
        <v>43840</v>
      </c>
      <c r="C811" s="25" t="inlineStr">
        <is>
          <t>GELENEKSEL</t>
        </is>
      </c>
      <c r="D811" s="3" t="n">
        <v>43843</v>
      </c>
      <c r="E811" s="3" t="n">
        <v>44944</v>
      </c>
      <c r="F811" s="25"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3" t="n">
        <v>43840</v>
      </c>
      <c r="C812" s="22" t="inlineStr">
        <is>
          <t>GELENEKSEL</t>
        </is>
      </c>
      <c r="D812" s="23" t="n">
        <v>43843</v>
      </c>
      <c r="E812" s="23" t="n">
        <v>46064</v>
      </c>
      <c r="F812" s="22" t="inlineStr">
        <is>
          <t>TRT110226T13</t>
        </is>
      </c>
      <c r="G812" s="8" t="n">
        <v>314000</v>
      </c>
      <c r="H812" s="8" t="n">
        <v>100000</v>
      </c>
      <c r="I812" s="24" t="n">
        <v>101718.76</v>
      </c>
      <c r="J812" s="24" t="n">
        <v>11.12</v>
      </c>
      <c r="K812" s="24" t="n">
        <v>11.17</v>
      </c>
      <c r="L812" s="24" t="n">
        <v>11.21</v>
      </c>
      <c r="M812" s="24" t="n">
        <v>11.43</v>
      </c>
      <c r="N812" s="24" t="n">
        <v>11.48</v>
      </c>
      <c r="O812" s="24" t="n">
        <v>11.52</v>
      </c>
    </row>
    <row r="813">
      <c r="A813" s="11" t="n">
        <v>2543</v>
      </c>
      <c r="B813" s="3" t="n">
        <v>43845</v>
      </c>
      <c r="C813" s="25" t="inlineStr">
        <is>
          <t>GELENEKSEL</t>
        </is>
      </c>
      <c r="D813" s="3" t="n">
        <v>43846</v>
      </c>
      <c r="E813" s="3" t="n">
        <v>45497</v>
      </c>
      <c r="F813" s="25"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3" t="n">
        <v>43845</v>
      </c>
      <c r="C814" s="22" t="inlineStr">
        <is>
          <t>GELENEKSEL</t>
        </is>
      </c>
      <c r="D814" s="23" t="n">
        <v>43846</v>
      </c>
      <c r="E814" s="23" t="n">
        <v>46610</v>
      </c>
      <c r="F814" s="22" t="inlineStr">
        <is>
          <t>TRT110827T16</t>
        </is>
      </c>
      <c r="G814" s="8" t="n">
        <v>314000</v>
      </c>
      <c r="H814" s="8" t="n">
        <v>100000</v>
      </c>
      <c r="I814" s="24" t="n">
        <v>102976.46</v>
      </c>
      <c r="J814" s="24" t="n">
        <v>10.73</v>
      </c>
      <c r="K814" s="24" t="n">
        <v>10.75</v>
      </c>
      <c r="L814" s="24" t="n">
        <v>10.78</v>
      </c>
      <c r="M814" s="24" t="n">
        <v>11.02</v>
      </c>
      <c r="N814" s="24" t="n">
        <v>11.04</v>
      </c>
      <c r="O814" s="24" t="n">
        <v>11.07</v>
      </c>
    </row>
    <row r="815">
      <c r="A815" s="11" t="n">
        <v>2545</v>
      </c>
      <c r="B815" s="3" t="n">
        <v>43847</v>
      </c>
      <c r="C815" s="25" t="inlineStr">
        <is>
          <t>GELENEKSEL</t>
        </is>
      </c>
      <c r="D815" s="3" t="n">
        <v>43850</v>
      </c>
      <c r="E815" s="3" t="n">
        <v>45497</v>
      </c>
      <c r="F815" s="25"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3" t="n">
        <v>43847</v>
      </c>
      <c r="C816" s="22" t="inlineStr">
        <is>
          <t>GELENEKSEL</t>
        </is>
      </c>
      <c r="D816" s="23" t="n">
        <v>43850</v>
      </c>
      <c r="E816" s="23" t="n">
        <v>46610</v>
      </c>
      <c r="F816" s="22" t="inlineStr">
        <is>
          <t>TRT110827T16</t>
        </is>
      </c>
      <c r="G816" s="8" t="n">
        <v>418000</v>
      </c>
      <c r="H816" s="8" t="n">
        <v>100000</v>
      </c>
      <c r="I816" s="24" t="n">
        <v>104259</v>
      </c>
      <c r="J816" s="24" t="n">
        <v>10.52</v>
      </c>
      <c r="K816" s="24" t="n">
        <v>10.52</v>
      </c>
      <c r="L816" s="24" t="n">
        <v>10.52</v>
      </c>
      <c r="M816" s="24" t="n">
        <v>10.8</v>
      </c>
      <c r="N816" s="24" t="n">
        <v>10.8</v>
      </c>
      <c r="O816" s="24" t="n">
        <v>10.8</v>
      </c>
    </row>
    <row r="817">
      <c r="A817" s="11" t="n">
        <v>2547</v>
      </c>
      <c r="B817" s="3" t="n">
        <v>43852</v>
      </c>
      <c r="C817" s="25" t="inlineStr">
        <is>
          <t>GELENEKSEL</t>
        </is>
      </c>
      <c r="D817" s="3" t="n">
        <v>43853</v>
      </c>
      <c r="E817" s="3" t="n">
        <v>45196</v>
      </c>
      <c r="F817" s="25"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3" t="n">
        <v>43852</v>
      </c>
      <c r="C818" s="22" t="inlineStr">
        <is>
          <t>GELENEKSEL</t>
        </is>
      </c>
      <c r="D818" s="23" t="n">
        <v>43853</v>
      </c>
      <c r="E818" s="23" t="n">
        <v>46064</v>
      </c>
      <c r="F818" s="22" t="inlineStr">
        <is>
          <t>TRT110226T13</t>
        </is>
      </c>
      <c r="G818" s="8" t="n">
        <v>437000</v>
      </c>
      <c r="H818" s="8" t="n">
        <v>100000</v>
      </c>
      <c r="I818" s="24" t="n">
        <v>104976.5</v>
      </c>
      <c r="J818" s="24" t="n">
        <v>10.48</v>
      </c>
      <c r="K818" s="24" t="n">
        <v>10.49</v>
      </c>
      <c r="L818" s="24" t="n">
        <v>10.49</v>
      </c>
      <c r="M818" s="24" t="n">
        <v>10.76</v>
      </c>
      <c r="N818" s="24" t="n">
        <v>10.77</v>
      </c>
      <c r="O818" s="24" t="n">
        <v>10.77</v>
      </c>
    </row>
    <row r="819">
      <c r="A819" s="11" t="n">
        <v>2549</v>
      </c>
      <c r="B819" s="3" t="n">
        <v>43854</v>
      </c>
      <c r="C819" s="25" t="inlineStr">
        <is>
          <t>GELENEKSEL</t>
        </is>
      </c>
      <c r="D819" s="3" t="n">
        <v>43857</v>
      </c>
      <c r="E819" s="3" t="n">
        <v>45497</v>
      </c>
      <c r="F819" s="25"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3" t="n">
        <v>43854</v>
      </c>
      <c r="C820" s="22" t="inlineStr">
        <is>
          <t>GELENEKSEL</t>
        </is>
      </c>
      <c r="D820" s="23" t="n">
        <v>43857</v>
      </c>
      <c r="E820" s="23" t="n">
        <v>46064</v>
      </c>
      <c r="F820" s="22" t="inlineStr">
        <is>
          <t>TRT110226T13</t>
        </is>
      </c>
      <c r="G820" s="8" t="n">
        <v>439000</v>
      </c>
      <c r="H820" s="8" t="n">
        <v>100000</v>
      </c>
      <c r="I820" s="24" t="n">
        <v>106668</v>
      </c>
      <c r="J820" s="24" t="n">
        <v>10.13</v>
      </c>
      <c r="K820" s="24" t="n">
        <v>10.14</v>
      </c>
      <c r="L820" s="24" t="n">
        <v>10.15</v>
      </c>
      <c r="M820" s="24" t="n">
        <v>10.39</v>
      </c>
      <c r="N820" s="24" t="n">
        <v>10.4</v>
      </c>
      <c r="O820" s="24" t="n">
        <v>10.4</v>
      </c>
    </row>
    <row r="821">
      <c r="A821" s="11" t="n">
        <v>2551</v>
      </c>
      <c r="B821" s="3" t="n">
        <v>43859</v>
      </c>
      <c r="C821" s="25" t="inlineStr">
        <is>
          <t>GELENEKSEL</t>
        </is>
      </c>
      <c r="D821" s="3" t="n">
        <v>43860</v>
      </c>
      <c r="E821" s="3" t="n">
        <v>44818</v>
      </c>
      <c r="F821" s="25"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3" t="n">
        <v>43859</v>
      </c>
      <c r="C822" s="22" t="inlineStr">
        <is>
          <t>GELENEKSEL</t>
        </is>
      </c>
      <c r="D822" s="23" t="n">
        <v>43860</v>
      </c>
      <c r="E822" s="23" t="n">
        <v>45497</v>
      </c>
      <c r="F822" s="22" t="inlineStr">
        <is>
          <t>TRT240724T15</t>
        </is>
      </c>
      <c r="G822" s="8" t="n">
        <v>366000</v>
      </c>
      <c r="H822" s="8" t="n">
        <v>100000</v>
      </c>
      <c r="I822" s="24" t="n">
        <v>97425</v>
      </c>
      <c r="J822" s="24" t="n">
        <v>9.73</v>
      </c>
      <c r="K822" s="24" t="n">
        <v>9.73</v>
      </c>
      <c r="L822" s="24" t="n">
        <v>9.73</v>
      </c>
      <c r="M822" s="24" t="n">
        <v>9.970000000000001</v>
      </c>
      <c r="N822" s="24" t="n">
        <v>9.970000000000001</v>
      </c>
      <c r="O822" s="24" t="n">
        <v>9.970000000000001</v>
      </c>
    </row>
    <row r="823">
      <c r="A823" s="11" t="n">
        <v>2553</v>
      </c>
      <c r="B823" s="3" t="n">
        <v>43859</v>
      </c>
      <c r="C823" s="25" t="inlineStr">
        <is>
          <t>GELENEKSEL</t>
        </is>
      </c>
      <c r="D823" s="3" t="n">
        <v>43860</v>
      </c>
      <c r="E823" s="3" t="n">
        <v>46064</v>
      </c>
      <c r="F823" s="25"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3" t="n">
        <v>43861</v>
      </c>
      <c r="C824" s="22" t="inlineStr">
        <is>
          <t>GELENEKSEL</t>
        </is>
      </c>
      <c r="D824" s="23" t="n">
        <v>43864</v>
      </c>
      <c r="E824" s="23" t="n">
        <v>44790</v>
      </c>
      <c r="F824" s="22" t="inlineStr">
        <is>
          <t>TRT170822T15</t>
        </is>
      </c>
      <c r="G824" s="8" t="n">
        <v>457000</v>
      </c>
      <c r="H824" s="8" t="n">
        <v>100000</v>
      </c>
      <c r="I824" s="24" t="n">
        <v>107153</v>
      </c>
      <c r="J824" s="24" t="n">
        <v>9.65</v>
      </c>
      <c r="K824" s="24" t="n">
        <v>9.67</v>
      </c>
      <c r="L824" s="24" t="n">
        <v>9.67</v>
      </c>
      <c r="M824" s="24" t="n">
        <v>9.890000000000001</v>
      </c>
      <c r="N824" s="24" t="n">
        <v>9.9</v>
      </c>
      <c r="O824" s="24" t="n">
        <v>9.9</v>
      </c>
    </row>
    <row r="825">
      <c r="A825" s="11" t="n">
        <v>2555</v>
      </c>
      <c r="B825" s="3" t="n">
        <v>43861</v>
      </c>
      <c r="C825" s="25" t="inlineStr">
        <is>
          <t>GELENEKSEL</t>
        </is>
      </c>
      <c r="D825" s="3" t="n">
        <v>43864</v>
      </c>
      <c r="E825" s="3" t="n">
        <v>46610</v>
      </c>
      <c r="F825" s="25"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3" t="n">
        <v>43866</v>
      </c>
      <c r="C826" s="22" t="inlineStr">
        <is>
          <t>GELENEKSEL</t>
        </is>
      </c>
      <c r="D826" s="23" t="n">
        <v>43867</v>
      </c>
      <c r="E826" s="23" t="n">
        <v>44622</v>
      </c>
      <c r="F826" s="22" t="inlineStr">
        <is>
          <t>TRT020322T17</t>
        </is>
      </c>
      <c r="G826" s="8" t="n">
        <v>414000</v>
      </c>
      <c r="H826" s="8" t="n">
        <v>100000</v>
      </c>
      <c r="I826" s="24" t="n">
        <v>106471.04</v>
      </c>
      <c r="J826" s="24" t="n">
        <v>9.970000000000001</v>
      </c>
      <c r="K826" s="24" t="n">
        <v>10.02</v>
      </c>
      <c r="L826" s="24" t="n">
        <v>10.09</v>
      </c>
      <c r="M826" s="24" t="n">
        <v>10.22</v>
      </c>
      <c r="N826" s="24" t="n">
        <v>10.27</v>
      </c>
      <c r="O826" s="24" t="n">
        <v>10.35</v>
      </c>
    </row>
    <row r="827">
      <c r="A827" s="11" t="n">
        <v>2557</v>
      </c>
      <c r="B827" s="3" t="n">
        <v>43866</v>
      </c>
      <c r="C827" s="25" t="inlineStr">
        <is>
          <t>GELENEKSEL</t>
        </is>
      </c>
      <c r="D827" s="3" t="n">
        <v>43867</v>
      </c>
      <c r="E827" s="3" t="n">
        <v>45196</v>
      </c>
      <c r="F827" s="25"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3" t="n">
        <v>43866</v>
      </c>
      <c r="C828" s="22" t="inlineStr">
        <is>
          <t>GELENEKSEL</t>
        </is>
      </c>
      <c r="D828" s="23" t="n">
        <v>43867</v>
      </c>
      <c r="E828" s="23" t="n">
        <v>46610</v>
      </c>
      <c r="F828" s="22" t="inlineStr">
        <is>
          <t>TRT110827T16</t>
        </is>
      </c>
      <c r="G828" s="8" t="n">
        <v>407000</v>
      </c>
      <c r="H828" s="8" t="n">
        <v>100000</v>
      </c>
      <c r="I828" s="24" t="n">
        <v>107397</v>
      </c>
      <c r="J828" s="24" t="n">
        <v>10</v>
      </c>
      <c r="K828" s="24" t="n">
        <v>10.02</v>
      </c>
      <c r="L828" s="24" t="n">
        <v>10.02</v>
      </c>
      <c r="M828" s="24" t="n">
        <v>10.25</v>
      </c>
      <c r="N828" s="24" t="n">
        <v>10.27</v>
      </c>
      <c r="O828" s="24" t="n">
        <v>10.27</v>
      </c>
    </row>
    <row r="829">
      <c r="A829" s="11" t="n">
        <v>2559</v>
      </c>
      <c r="B829" s="3" t="n">
        <v>43868</v>
      </c>
      <c r="C829" s="25" t="inlineStr">
        <is>
          <t>GELENEKSEL</t>
        </is>
      </c>
      <c r="D829" s="3" t="n">
        <v>43871</v>
      </c>
      <c r="E829" s="3" t="n">
        <v>44622</v>
      </c>
      <c r="F829" s="25"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3" t="n">
        <v>43868</v>
      </c>
      <c r="C830" s="22" t="inlineStr">
        <is>
          <t>GELENEKSEL</t>
        </is>
      </c>
      <c r="D830" s="23" t="n">
        <v>43871</v>
      </c>
      <c r="E830" s="23" t="n">
        <v>45497</v>
      </c>
      <c r="F830" s="22" t="inlineStr">
        <is>
          <t>TRT240724T15</t>
        </is>
      </c>
      <c r="G830" s="8" t="n">
        <v>282000</v>
      </c>
      <c r="H830" s="8" t="n">
        <v>100000</v>
      </c>
      <c r="I830" s="24" t="n">
        <v>95692.95</v>
      </c>
      <c r="J830" s="24" t="n">
        <v>10.3</v>
      </c>
      <c r="K830" s="24" t="n">
        <v>10.31</v>
      </c>
      <c r="L830" s="24" t="n">
        <v>10.33</v>
      </c>
      <c r="M830" s="24" t="n">
        <v>10.56</v>
      </c>
      <c r="N830" s="24" t="n">
        <v>10.58</v>
      </c>
      <c r="O830" s="24" t="n">
        <v>10.59</v>
      </c>
    </row>
    <row r="831">
      <c r="A831" s="11" t="n">
        <v>2561</v>
      </c>
      <c r="B831" s="3" t="n">
        <v>43873</v>
      </c>
      <c r="C831" s="25" t="inlineStr">
        <is>
          <t>GELENEKSEL</t>
        </is>
      </c>
      <c r="D831" s="3" t="n">
        <v>43874</v>
      </c>
      <c r="E831" s="3" t="n">
        <v>44944</v>
      </c>
      <c r="F831" s="25"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3" t="n">
        <v>43873</v>
      </c>
      <c r="C832" s="22" t="inlineStr">
        <is>
          <t>GELENEKSEL</t>
        </is>
      </c>
      <c r="D832" s="23" t="n">
        <v>43874</v>
      </c>
      <c r="E832" s="23" t="n">
        <v>45497</v>
      </c>
      <c r="F832" s="22" t="inlineStr">
        <is>
          <t>TRT240724T15</t>
        </is>
      </c>
      <c r="G832" s="8" t="n">
        <v>358000</v>
      </c>
      <c r="H832" s="8" t="n">
        <v>100000</v>
      </c>
      <c r="I832" s="24" t="n">
        <v>94470.2</v>
      </c>
      <c r="J832" s="24" t="n">
        <v>10.69</v>
      </c>
      <c r="K832" s="24" t="n">
        <v>10.7</v>
      </c>
      <c r="L832" s="24" t="n">
        <v>10.72</v>
      </c>
      <c r="M832" s="24" t="n">
        <v>10.97</v>
      </c>
      <c r="N832" s="24" t="n">
        <v>10.99</v>
      </c>
      <c r="O832" s="24" t="n">
        <v>11.01</v>
      </c>
    </row>
    <row r="833">
      <c r="A833" s="11" t="n">
        <v>2563</v>
      </c>
      <c r="B833" s="3" t="n">
        <v>43873</v>
      </c>
      <c r="C833" s="25" t="inlineStr">
        <is>
          <t>GELENEKSEL</t>
        </is>
      </c>
      <c r="D833" s="3" t="n">
        <v>43874</v>
      </c>
      <c r="E833" s="3" t="n">
        <v>46610</v>
      </c>
      <c r="F833" s="25"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3" t="n">
        <v>43875</v>
      </c>
      <c r="C834" s="22" t="inlineStr">
        <is>
          <t>GELENEKSEL</t>
        </is>
      </c>
      <c r="D834" s="23" t="n">
        <v>43878</v>
      </c>
      <c r="E834" s="23" t="n">
        <v>44461</v>
      </c>
      <c r="F834" s="22" t="inlineStr">
        <is>
          <t>TRT220921T18</t>
        </is>
      </c>
      <c r="G834" s="8" t="n">
        <v>262000</v>
      </c>
      <c r="H834" s="8" t="n">
        <v>100000</v>
      </c>
      <c r="I834" s="24" t="n">
        <v>101296.2</v>
      </c>
      <c r="J834" s="24" t="n">
        <v>10.76</v>
      </c>
      <c r="K834" s="24" t="n">
        <v>10.82</v>
      </c>
      <c r="L834" s="24" t="n">
        <v>10.89</v>
      </c>
      <c r="M834" s="24" t="n">
        <v>11.05</v>
      </c>
      <c r="N834" s="24" t="n">
        <v>11.12</v>
      </c>
      <c r="O834" s="24" t="n">
        <v>11.18</v>
      </c>
    </row>
    <row r="835">
      <c r="A835" s="11" t="n">
        <v>2565</v>
      </c>
      <c r="B835" s="3" t="n">
        <v>43875</v>
      </c>
      <c r="C835" s="25" t="inlineStr">
        <is>
          <t>GELENEKSEL</t>
        </is>
      </c>
      <c r="D835" s="3" t="n">
        <v>43878</v>
      </c>
      <c r="E835" s="3" t="n">
        <v>44944</v>
      </c>
      <c r="F835" s="25"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3" t="n">
        <v>43880</v>
      </c>
      <c r="C836" s="22" t="inlineStr">
        <is>
          <t>GELENEKSEL</t>
        </is>
      </c>
      <c r="D836" s="23" t="n">
        <v>43881</v>
      </c>
      <c r="E836" s="23" t="n">
        <v>44461</v>
      </c>
      <c r="F836" s="22" t="inlineStr">
        <is>
          <t>TRT220921T18</t>
        </is>
      </c>
      <c r="G836" s="8" t="n">
        <v>248000</v>
      </c>
      <c r="H836" s="8" t="n">
        <v>100000</v>
      </c>
      <c r="I836" s="24" t="n">
        <v>101294.76</v>
      </c>
      <c r="J836" s="24" t="n">
        <v>10.82</v>
      </c>
      <c r="K836" s="24" t="n">
        <v>10.89</v>
      </c>
      <c r="L836" s="24" t="n">
        <v>10.98</v>
      </c>
      <c r="M836" s="24" t="n">
        <v>11.12</v>
      </c>
      <c r="N836" s="24" t="n">
        <v>11.18</v>
      </c>
      <c r="O836" s="24" t="n">
        <v>11.28</v>
      </c>
    </row>
    <row r="837">
      <c r="A837" s="11" t="n">
        <v>2567</v>
      </c>
      <c r="B837" s="3" t="n">
        <v>43880</v>
      </c>
      <c r="C837" s="25" t="inlineStr">
        <is>
          <t>GELENEKSEL</t>
        </is>
      </c>
      <c r="D837" s="3" t="n">
        <v>43881</v>
      </c>
      <c r="E837" s="3" t="n">
        <v>44790</v>
      </c>
      <c r="F837" s="25"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3" t="n">
        <v>43880</v>
      </c>
      <c r="C838" s="22" t="inlineStr">
        <is>
          <t>GELENEKSEL</t>
        </is>
      </c>
      <c r="D838" s="23" t="n">
        <v>43881</v>
      </c>
      <c r="E838" s="23" t="n">
        <v>46610</v>
      </c>
      <c r="F838" s="22" t="inlineStr">
        <is>
          <t>TRT110827T16</t>
        </is>
      </c>
      <c r="G838" s="8" t="n">
        <v>521000</v>
      </c>
      <c r="H838" s="8" t="n">
        <v>100000</v>
      </c>
      <c r="I838" s="24" t="n">
        <v>97150.23</v>
      </c>
      <c r="J838" s="24" t="n">
        <v>11.06</v>
      </c>
      <c r="K838" s="24" t="n">
        <v>11.08</v>
      </c>
      <c r="L838" s="24" t="n">
        <v>11.1</v>
      </c>
      <c r="M838" s="24" t="n">
        <v>11.37</v>
      </c>
      <c r="N838" s="24" t="n">
        <v>11.38</v>
      </c>
      <c r="O838" s="24" t="n">
        <v>11.41</v>
      </c>
    </row>
    <row r="839">
      <c r="A839" s="11" t="n">
        <v>2569</v>
      </c>
      <c r="B839" s="3" t="n">
        <v>43882</v>
      </c>
      <c r="C839" s="25" t="inlineStr">
        <is>
          <t>GELENEKSEL</t>
        </is>
      </c>
      <c r="D839" s="3" t="n">
        <v>43885</v>
      </c>
      <c r="E839" s="3" t="n">
        <v>44461</v>
      </c>
      <c r="F839" s="25"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3" t="n">
        <v>43882</v>
      </c>
      <c r="C840" s="22" t="inlineStr">
        <is>
          <t>GELENEKSEL</t>
        </is>
      </c>
      <c r="D840" s="23" t="n">
        <v>43885</v>
      </c>
      <c r="E840" s="23" t="n">
        <v>46064</v>
      </c>
      <c r="F840" s="22" t="inlineStr">
        <is>
          <t>TRT110226T13</t>
        </is>
      </c>
      <c r="G840" s="8" t="n">
        <v>241000</v>
      </c>
      <c r="H840" s="8" t="n">
        <v>100000</v>
      </c>
      <c r="I840" s="24" t="n">
        <v>95088.95</v>
      </c>
      <c r="J840" s="24" t="n">
        <v>11.79</v>
      </c>
      <c r="K840" s="24" t="n">
        <v>11.8</v>
      </c>
      <c r="L840" s="24" t="n">
        <v>11.82</v>
      </c>
      <c r="M840" s="24" t="n">
        <v>12.13</v>
      </c>
      <c r="N840" s="24" t="n">
        <v>12.15</v>
      </c>
      <c r="O840" s="24" t="n">
        <v>12.17</v>
      </c>
    </row>
    <row r="841">
      <c r="A841" s="11" t="n">
        <v>2571</v>
      </c>
      <c r="B841" s="3" t="n">
        <v>43887</v>
      </c>
      <c r="C841" s="25" t="inlineStr">
        <is>
          <t>GELENEKSEL</t>
        </is>
      </c>
      <c r="D841" s="3" t="n">
        <v>43888</v>
      </c>
      <c r="E841" s="3" t="n">
        <v>44622</v>
      </c>
      <c r="F841" s="25"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3" t="n">
        <v>43887</v>
      </c>
      <c r="C842" s="22" t="inlineStr">
        <is>
          <t>GELENEKSEL</t>
        </is>
      </c>
      <c r="D842" s="23" t="n">
        <v>43888</v>
      </c>
      <c r="E842" s="23" t="n">
        <v>44790</v>
      </c>
      <c r="F842" s="22" t="inlineStr">
        <is>
          <t>TRT170822T15</t>
        </is>
      </c>
      <c r="G842" s="8" t="n">
        <v>400000</v>
      </c>
      <c r="H842" s="8" t="n">
        <v>100000</v>
      </c>
      <c r="I842" s="24" t="n">
        <v>97527.98</v>
      </c>
      <c r="J842" s="24" t="n">
        <v>11.97</v>
      </c>
      <c r="K842" s="24" t="n">
        <v>11.98</v>
      </c>
      <c r="L842" s="24" t="n">
        <v>12.01</v>
      </c>
      <c r="M842" s="24" t="n">
        <v>12.32</v>
      </c>
      <c r="N842" s="24" t="n">
        <v>12.34</v>
      </c>
      <c r="O842" s="24" t="n">
        <v>12.37</v>
      </c>
    </row>
    <row r="843">
      <c r="A843" s="11" t="n">
        <v>2573</v>
      </c>
      <c r="B843" s="3" t="n">
        <v>43887</v>
      </c>
      <c r="C843" s="25" t="inlineStr">
        <is>
          <t>GELENEKSEL</t>
        </is>
      </c>
      <c r="D843" s="3" t="n">
        <v>43888</v>
      </c>
      <c r="E843" s="3" t="n">
        <v>46610</v>
      </c>
      <c r="F843" s="25"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3" t="n">
        <v>43889</v>
      </c>
      <c r="C844" s="22" t="inlineStr">
        <is>
          <t>GELENEKSEL</t>
        </is>
      </c>
      <c r="D844" s="23" t="n">
        <v>43892</v>
      </c>
      <c r="E844" s="23" t="n">
        <v>44622</v>
      </c>
      <c r="F844" s="22" t="inlineStr">
        <is>
          <t>TRT020322T17</t>
        </is>
      </c>
      <c r="G844" s="8" t="n">
        <v>200000</v>
      </c>
      <c r="H844" s="8" t="n">
        <v>100000</v>
      </c>
      <c r="I844" s="24" t="n">
        <v>102451.7</v>
      </c>
      <c r="J844" s="24" t="n">
        <v>12.62</v>
      </c>
      <c r="K844" s="24" t="n">
        <v>12.73</v>
      </c>
      <c r="L844" s="24" t="n">
        <v>12.81</v>
      </c>
      <c r="M844" s="24" t="n">
        <v>13.02</v>
      </c>
      <c r="N844" s="24" t="n">
        <v>13.14</v>
      </c>
      <c r="O844" s="24" t="n">
        <v>13.22</v>
      </c>
    </row>
    <row r="845">
      <c r="A845" s="11" t="n">
        <v>2575</v>
      </c>
      <c r="B845" s="3" t="n">
        <v>43889</v>
      </c>
      <c r="C845" s="25" t="inlineStr">
        <is>
          <t>GELENEKSEL</t>
        </is>
      </c>
      <c r="D845" s="3" t="n">
        <v>43892</v>
      </c>
      <c r="E845" s="3" t="n">
        <v>46610</v>
      </c>
      <c r="F845" s="25"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3" t="n">
        <v>43894</v>
      </c>
      <c r="C846" s="22" t="inlineStr">
        <is>
          <t>GELENEKSEL</t>
        </is>
      </c>
      <c r="D846" s="23" t="n">
        <v>43895</v>
      </c>
      <c r="E846" s="23" t="n">
        <v>44944</v>
      </c>
      <c r="F846" s="22" t="inlineStr">
        <is>
          <t>TRT180123T10</t>
        </is>
      </c>
      <c r="G846" s="8" t="n">
        <v>158000</v>
      </c>
      <c r="H846" s="8" t="n">
        <v>100000</v>
      </c>
      <c r="I846" s="24" t="n">
        <v>104715.43</v>
      </c>
      <c r="J846" s="24" t="n">
        <v>10.75</v>
      </c>
      <c r="K846" s="24" t="n">
        <v>10.82</v>
      </c>
      <c r="L846" s="24" t="n">
        <v>10.87</v>
      </c>
      <c r="M846" s="24" t="n">
        <v>11.04</v>
      </c>
      <c r="N846" s="24" t="n">
        <v>11.12</v>
      </c>
      <c r="O846" s="24" t="n">
        <v>11.17</v>
      </c>
    </row>
    <row r="847">
      <c r="A847" s="11" t="n">
        <v>2577</v>
      </c>
      <c r="B847" s="3" t="n">
        <v>43894</v>
      </c>
      <c r="C847" s="25" t="inlineStr">
        <is>
          <t>GELENEKSEL</t>
        </is>
      </c>
      <c r="D847" s="3" t="n">
        <v>43895</v>
      </c>
      <c r="E847" s="3" t="n">
        <v>45448</v>
      </c>
      <c r="F847" s="25" t="inlineStr">
        <is>
          <t>TRT050624T19</t>
        </is>
      </c>
      <c r="G847" s="11" t="n">
        <v>102000</v>
      </c>
      <c r="H847" s="11" t="n">
        <v>0</v>
      </c>
      <c r="I847" s="13" t="n">
        <v>0</v>
      </c>
    </row>
    <row r="848">
      <c r="A848" s="8" t="n">
        <v>2578</v>
      </c>
      <c r="B848" s="23" t="n">
        <v>43894</v>
      </c>
      <c r="C848" s="22" t="inlineStr">
        <is>
          <t>GELENEKSEL</t>
        </is>
      </c>
      <c r="D848" s="23" t="n">
        <v>43895</v>
      </c>
      <c r="E848" s="23" t="n">
        <v>46610</v>
      </c>
      <c r="F848" s="22" t="inlineStr">
        <is>
          <t>TRT110827T16</t>
        </is>
      </c>
      <c r="G848" s="8" t="n">
        <v>176000</v>
      </c>
      <c r="H848" s="8" t="n">
        <v>100000</v>
      </c>
      <c r="I848" s="24" t="n">
        <v>97166.75999999999</v>
      </c>
      <c r="J848" s="24" t="n">
        <v>11.16</v>
      </c>
      <c r="K848" s="24" t="n">
        <v>11.16</v>
      </c>
      <c r="L848" s="24" t="n">
        <v>11.2</v>
      </c>
      <c r="M848" s="24" t="n">
        <v>11.47</v>
      </c>
      <c r="N848" s="24" t="n">
        <v>11.47</v>
      </c>
      <c r="O848" s="24" t="n">
        <v>11.52</v>
      </c>
    </row>
    <row r="849">
      <c r="A849" s="11" t="n">
        <v>2579</v>
      </c>
      <c r="B849" s="3" t="n">
        <v>43896</v>
      </c>
      <c r="C849" s="25" t="inlineStr">
        <is>
          <t>GELENEKSEL</t>
        </is>
      </c>
      <c r="D849" s="3" t="n">
        <v>43899</v>
      </c>
      <c r="E849" s="3" t="n">
        <v>44587</v>
      </c>
      <c r="F849" s="25"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3" t="n">
        <v>43896</v>
      </c>
      <c r="C850" s="22" t="inlineStr">
        <is>
          <t>GELENEKSEL</t>
        </is>
      </c>
      <c r="D850" s="23" t="n">
        <v>43899</v>
      </c>
      <c r="E850" s="23" t="n">
        <v>45091</v>
      </c>
      <c r="F850" s="22" t="inlineStr">
        <is>
          <t>TRT140623T19</t>
        </is>
      </c>
      <c r="G850" s="8" t="n">
        <v>281000</v>
      </c>
      <c r="H850" s="8" t="n">
        <v>100000</v>
      </c>
      <c r="I850" s="24" t="n">
        <v>117539</v>
      </c>
      <c r="J850" s="24" t="n">
        <v>11.01</v>
      </c>
      <c r="K850" s="24" t="n">
        <v>11.01</v>
      </c>
      <c r="L850" s="24" t="n">
        <v>11.01</v>
      </c>
      <c r="M850" s="24" t="n">
        <v>11.32</v>
      </c>
      <c r="N850" s="24" t="n">
        <v>11.32</v>
      </c>
      <c r="O850" s="24" t="n">
        <v>11.32</v>
      </c>
    </row>
    <row r="851">
      <c r="A851" s="11" t="n">
        <v>2581</v>
      </c>
      <c r="B851" s="3" t="n">
        <v>43896</v>
      </c>
      <c r="C851" s="25" t="inlineStr">
        <is>
          <t>GELENEKSEL</t>
        </is>
      </c>
      <c r="D851" s="3" t="n">
        <v>43899</v>
      </c>
      <c r="E851" s="3" t="n">
        <v>45448</v>
      </c>
      <c r="F851" s="25"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3" t="n">
        <v>43901</v>
      </c>
      <c r="C852" s="22" t="inlineStr">
        <is>
          <t>GELENEKSEL</t>
        </is>
      </c>
      <c r="D852" s="23" t="n">
        <v>43902</v>
      </c>
      <c r="E852" s="23" t="n">
        <v>44587</v>
      </c>
      <c r="F852" s="22" t="inlineStr">
        <is>
          <t>TRD260122T19</t>
        </is>
      </c>
      <c r="G852" s="8" t="n">
        <v>397000</v>
      </c>
      <c r="H852" s="8" t="n">
        <v>100000</v>
      </c>
      <c r="I852" s="24" t="n">
        <v>100071</v>
      </c>
      <c r="J852" s="24" t="n">
        <v>10.35</v>
      </c>
      <c r="K852" s="24" t="n">
        <v>10.38</v>
      </c>
      <c r="L852" s="24" t="n">
        <v>10.45</v>
      </c>
      <c r="M852" s="24" t="n">
        <v>10.62</v>
      </c>
      <c r="N852" s="24" t="n">
        <v>10.65</v>
      </c>
      <c r="O852" s="24" t="n">
        <v>10.72</v>
      </c>
    </row>
    <row r="853">
      <c r="A853" s="11" t="n">
        <v>2583</v>
      </c>
      <c r="B853" s="3" t="n">
        <v>43901</v>
      </c>
      <c r="C853" s="25" t="inlineStr">
        <is>
          <t>GELENEKSEL</t>
        </is>
      </c>
      <c r="D853" s="3" t="n">
        <v>43902</v>
      </c>
      <c r="E853" s="3" t="n">
        <v>44993</v>
      </c>
      <c r="F853" s="25"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3" t="n">
        <v>43901</v>
      </c>
      <c r="C854" s="22" t="inlineStr">
        <is>
          <t>GELENEKSEL</t>
        </is>
      </c>
      <c r="D854" s="23" t="n">
        <v>43902</v>
      </c>
      <c r="E854" s="23" t="n">
        <v>46610</v>
      </c>
      <c r="F854" s="22" t="inlineStr">
        <is>
          <t>TRT110827T16</t>
        </is>
      </c>
      <c r="G854" s="8" t="n">
        <v>290000</v>
      </c>
      <c r="H854" s="8" t="n">
        <v>100000</v>
      </c>
      <c r="I854" s="24" t="n">
        <v>96099</v>
      </c>
      <c r="J854" s="24" t="n">
        <v>11.42</v>
      </c>
      <c r="K854" s="24" t="n">
        <v>11.42</v>
      </c>
      <c r="L854" s="24" t="n">
        <v>11.42</v>
      </c>
      <c r="M854" s="24" t="n">
        <v>11.75</v>
      </c>
      <c r="N854" s="24" t="n">
        <v>11.75</v>
      </c>
      <c r="O854" s="24" t="n">
        <v>11.75</v>
      </c>
    </row>
    <row r="855">
      <c r="A855" s="11" t="n">
        <v>2585</v>
      </c>
      <c r="B855" s="3" t="n">
        <v>43903</v>
      </c>
      <c r="C855" s="25" t="inlineStr">
        <is>
          <t>GELENEKSEL</t>
        </is>
      </c>
      <c r="D855" s="3" t="n">
        <v>43906</v>
      </c>
      <c r="E855" s="3" t="n">
        <v>44622</v>
      </c>
      <c r="F855" s="25"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3" t="n">
        <v>43903</v>
      </c>
      <c r="C856" s="22" t="inlineStr">
        <is>
          <t>GELENEKSEL</t>
        </is>
      </c>
      <c r="D856" s="23" t="n">
        <v>43906</v>
      </c>
      <c r="E856" s="23" t="n">
        <v>46442</v>
      </c>
      <c r="F856" s="22" t="inlineStr">
        <is>
          <t>TRT240227T17</t>
        </is>
      </c>
      <c r="G856" s="8" t="n">
        <v>258000</v>
      </c>
      <c r="H856" s="8" t="n">
        <v>100000</v>
      </c>
      <c r="I856" s="24" t="n">
        <v>97830.56</v>
      </c>
      <c r="J856" s="24" t="n">
        <v>11.53</v>
      </c>
      <c r="K856" s="24" t="n">
        <v>11.54</v>
      </c>
      <c r="L856" s="24" t="n">
        <v>11.55</v>
      </c>
      <c r="M856" s="24" t="n">
        <v>11.86</v>
      </c>
      <c r="N856" s="24" t="n">
        <v>11.87</v>
      </c>
      <c r="O856" s="24" t="n">
        <v>11.89</v>
      </c>
    </row>
    <row r="857">
      <c r="A857" s="11" t="n">
        <v>2587</v>
      </c>
      <c r="B857" s="3" t="n">
        <v>43908</v>
      </c>
      <c r="C857" s="25" t="inlineStr">
        <is>
          <t>GELENEKSEL</t>
        </is>
      </c>
      <c r="D857" s="3" t="n">
        <v>43909</v>
      </c>
      <c r="E857" s="3" t="n">
        <v>44671</v>
      </c>
      <c r="F857" s="25"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3" t="n">
        <v>43908</v>
      </c>
      <c r="C858" s="22" t="inlineStr">
        <is>
          <t>GELENEKSEL</t>
        </is>
      </c>
      <c r="D858" s="23" t="n">
        <v>43909</v>
      </c>
      <c r="E858" s="23" t="n">
        <v>44993</v>
      </c>
      <c r="F858" s="22" t="inlineStr">
        <is>
          <t>TRT080323T10</t>
        </is>
      </c>
      <c r="G858" s="8" t="n">
        <v>211000</v>
      </c>
      <c r="H858" s="8" t="n">
        <v>100000</v>
      </c>
      <c r="I858" s="24" t="n">
        <v>88636.5</v>
      </c>
      <c r="J858" s="24" t="n">
        <v>11.76</v>
      </c>
      <c r="K858" s="24" t="n">
        <v>11.79</v>
      </c>
      <c r="L858" s="24" t="n">
        <v>11.83</v>
      </c>
      <c r="M858" s="24" t="n">
        <v>12.1</v>
      </c>
      <c r="N858" s="24" t="n">
        <v>12.13</v>
      </c>
      <c r="O858" s="24" t="n">
        <v>12.18</v>
      </c>
    </row>
    <row r="859">
      <c r="A859" s="11" t="n">
        <v>2589</v>
      </c>
      <c r="B859" s="3" t="n">
        <v>43908</v>
      </c>
      <c r="C859" s="25" t="inlineStr">
        <is>
          <t>GELENEKSEL</t>
        </is>
      </c>
      <c r="D859" s="3" t="n">
        <v>43909</v>
      </c>
      <c r="E859" s="3" t="n">
        <v>45728</v>
      </c>
      <c r="F859" s="25"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3" t="n">
        <v>43910</v>
      </c>
      <c r="C860" s="22" t="inlineStr">
        <is>
          <t>GELENEKSEL</t>
        </is>
      </c>
      <c r="D860" s="23" t="n">
        <v>43913</v>
      </c>
      <c r="E860" s="23" t="n">
        <v>44587</v>
      </c>
      <c r="F860" s="22" t="inlineStr">
        <is>
          <t>TRD260122T19</t>
        </is>
      </c>
      <c r="G860" s="8" t="n">
        <v>368000</v>
      </c>
      <c r="H860" s="8" t="n">
        <v>100000</v>
      </c>
      <c r="I860" s="24" t="n">
        <v>100215</v>
      </c>
      <c r="J860" s="24" t="n">
        <v>10.42</v>
      </c>
      <c r="K860" s="24" t="n">
        <v>10.49</v>
      </c>
      <c r="L860" s="24" t="n">
        <v>10.67</v>
      </c>
      <c r="M860" s="24" t="n">
        <v>10.69</v>
      </c>
      <c r="N860" s="24" t="n">
        <v>10.77</v>
      </c>
      <c r="O860" s="24" t="n">
        <v>10.95</v>
      </c>
    </row>
    <row r="861">
      <c r="A861" s="11" t="n">
        <v>2591</v>
      </c>
      <c r="B861" s="3" t="n">
        <v>43910</v>
      </c>
      <c r="C861" s="25" t="inlineStr">
        <is>
          <t>GELENEKSEL</t>
        </is>
      </c>
      <c r="D861" s="3" t="n">
        <v>43913</v>
      </c>
      <c r="E861" s="3" t="n">
        <v>44671</v>
      </c>
      <c r="F861" s="25"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3" t="n">
        <v>43910</v>
      </c>
      <c r="C862" s="22" t="inlineStr">
        <is>
          <t>GELENEKSEL</t>
        </is>
      </c>
      <c r="D862" s="23" t="n">
        <v>43913</v>
      </c>
      <c r="E862" s="23" t="n">
        <v>45448</v>
      </c>
      <c r="F862" s="22" t="inlineStr">
        <is>
          <t>TRT050624T19</t>
        </is>
      </c>
      <c r="G862" s="8" t="n">
        <v>530000</v>
      </c>
      <c r="H862" s="8" t="n">
        <v>150000</v>
      </c>
      <c r="I862" s="24" t="n">
        <v>156442.5</v>
      </c>
      <c r="J862" s="24" t="n">
        <v>17.47</v>
      </c>
      <c r="K862" s="24" t="n">
        <v>17.47</v>
      </c>
      <c r="L862" s="24" t="n">
        <v>17.47</v>
      </c>
      <c r="M862" s="24" t="n">
        <v>18.24</v>
      </c>
      <c r="N862" s="24" t="n">
        <v>18.24</v>
      </c>
      <c r="O862" s="24" t="n">
        <v>18.24</v>
      </c>
    </row>
    <row r="863">
      <c r="A863" s="11" t="n">
        <v>2593</v>
      </c>
      <c r="B863" s="3" t="n">
        <v>43910</v>
      </c>
      <c r="C863" s="25" t="inlineStr">
        <is>
          <t>GELENEKSEL</t>
        </is>
      </c>
      <c r="D863" s="3" t="n">
        <v>43913</v>
      </c>
      <c r="E863" s="3" t="n">
        <v>46610</v>
      </c>
      <c r="F863" s="25"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3" t="n">
        <v>43915</v>
      </c>
      <c r="C864" s="22" t="inlineStr">
        <is>
          <t>GELENEKSEL</t>
        </is>
      </c>
      <c r="D864" s="23" t="n">
        <v>43916</v>
      </c>
      <c r="E864" s="23" t="n">
        <v>44790</v>
      </c>
      <c r="F864" s="22" t="inlineStr">
        <is>
          <t>TRT170822T15</t>
        </is>
      </c>
      <c r="G864" s="8" t="n">
        <v>424000</v>
      </c>
      <c r="H864" s="8" t="n">
        <v>150000</v>
      </c>
      <c r="I864" s="24" t="n">
        <v>147222</v>
      </c>
      <c r="J864" s="24" t="n">
        <v>12.12</v>
      </c>
      <c r="K864" s="24" t="n">
        <v>12.12</v>
      </c>
      <c r="L864" s="24" t="n">
        <v>12.12</v>
      </c>
      <c r="M864" s="24" t="n">
        <v>12.49</v>
      </c>
      <c r="N864" s="24" t="n">
        <v>12.49</v>
      </c>
      <c r="O864" s="24" t="n">
        <v>12.49</v>
      </c>
    </row>
    <row r="865">
      <c r="A865" s="11" t="n">
        <v>2595</v>
      </c>
      <c r="B865" s="3" t="n">
        <v>43915</v>
      </c>
      <c r="C865" s="25" t="inlineStr">
        <is>
          <t>GELENEKSEL</t>
        </is>
      </c>
      <c r="D865" s="3" t="n">
        <v>43916</v>
      </c>
      <c r="E865" s="3" t="n">
        <v>44818</v>
      </c>
      <c r="F865" s="25"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3" t="n">
        <v>43915</v>
      </c>
      <c r="C866" s="22" t="inlineStr">
        <is>
          <t>GELENEKSEL</t>
        </is>
      </c>
      <c r="D866" s="23" t="n">
        <v>43916</v>
      </c>
      <c r="E866" s="23" t="n">
        <v>44944</v>
      </c>
      <c r="F866" s="22" t="inlineStr">
        <is>
          <t>TRT180123T10</t>
        </is>
      </c>
      <c r="G866" s="8" t="n">
        <v>449000</v>
      </c>
      <c r="H866" s="8" t="n">
        <v>100000</v>
      </c>
      <c r="I866" s="24" t="n">
        <v>102196</v>
      </c>
      <c r="J866" s="24" t="n">
        <v>12.17</v>
      </c>
      <c r="K866" s="24" t="n">
        <v>12.17</v>
      </c>
      <c r="L866" s="24" t="n">
        <v>12.17</v>
      </c>
      <c r="M866" s="24" t="n">
        <v>12.54</v>
      </c>
      <c r="N866" s="24" t="n">
        <v>12.54</v>
      </c>
      <c r="O866" s="24" t="n">
        <v>12.54</v>
      </c>
    </row>
    <row r="867">
      <c r="A867" s="11" t="n">
        <v>2597</v>
      </c>
      <c r="B867" s="3" t="n">
        <v>43915</v>
      </c>
      <c r="C867" s="25" t="inlineStr">
        <is>
          <t>GELENEKSEL</t>
        </is>
      </c>
      <c r="D867" s="3" t="n">
        <v>43916</v>
      </c>
      <c r="E867" s="3" t="n">
        <v>45448</v>
      </c>
      <c r="F867" s="25"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3" t="n">
        <v>43917</v>
      </c>
      <c r="C868" s="22" t="inlineStr">
        <is>
          <t>GELENEKSEL</t>
        </is>
      </c>
      <c r="D868" s="23" t="n">
        <v>43920</v>
      </c>
      <c r="E868" s="23" t="n">
        <v>44818</v>
      </c>
      <c r="F868" s="22" t="inlineStr">
        <is>
          <t>TRT140922T17</t>
        </is>
      </c>
      <c r="G868" s="8" t="n">
        <v>392000</v>
      </c>
      <c r="H868" s="8" t="n">
        <v>300000</v>
      </c>
      <c r="I868" s="24" t="n">
        <v>278490</v>
      </c>
      <c r="J868" s="24" t="n">
        <v>12.06</v>
      </c>
      <c r="K868" s="24" t="n">
        <v>12.08</v>
      </c>
      <c r="L868" s="24" t="n">
        <v>12.09</v>
      </c>
      <c r="M868" s="24" t="n">
        <v>12.43</v>
      </c>
      <c r="N868" s="24" t="n">
        <v>12.44</v>
      </c>
      <c r="O868" s="24" t="n">
        <v>12.46</v>
      </c>
    </row>
    <row r="869">
      <c r="A869" s="11" t="n">
        <v>2599</v>
      </c>
      <c r="B869" s="3" t="n">
        <v>43917</v>
      </c>
      <c r="C869" s="25" t="inlineStr">
        <is>
          <t>GELENEKSEL</t>
        </is>
      </c>
      <c r="D869" s="3" t="n">
        <v>43920</v>
      </c>
      <c r="E869" s="3" t="n">
        <v>44944</v>
      </c>
      <c r="F869" s="25"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3" t="n">
        <v>43917</v>
      </c>
      <c r="C870" s="22" t="inlineStr">
        <is>
          <t>GELENEKSEL</t>
        </is>
      </c>
      <c r="D870" s="23" t="n">
        <v>43920</v>
      </c>
      <c r="E870" s="23" t="n">
        <v>44993</v>
      </c>
      <c r="F870" s="22" t="inlineStr">
        <is>
          <t>TRT080323T10</t>
        </is>
      </c>
      <c r="G870" s="8" t="n">
        <v>700000</v>
      </c>
      <c r="H870" s="8" t="n">
        <v>150000</v>
      </c>
      <c r="I870" s="24" t="n">
        <v>130950</v>
      </c>
      <c r="J870" s="24" t="n">
        <v>12.54</v>
      </c>
      <c r="K870" s="24" t="n">
        <v>12.54</v>
      </c>
      <c r="L870" s="24" t="n">
        <v>12.54</v>
      </c>
      <c r="M870" s="24" t="n">
        <v>12.93</v>
      </c>
      <c r="N870" s="24" t="n">
        <v>12.93</v>
      </c>
      <c r="O870" s="24" t="n">
        <v>12.93</v>
      </c>
    </row>
    <row r="871">
      <c r="A871" s="11" t="n">
        <v>2601</v>
      </c>
      <c r="B871" s="3" t="n">
        <v>43917</v>
      </c>
      <c r="C871" s="25" t="inlineStr">
        <is>
          <t>GELENEKSEL</t>
        </is>
      </c>
      <c r="D871" s="3" t="n">
        <v>43920</v>
      </c>
      <c r="E871" s="3" t="n">
        <v>45448</v>
      </c>
      <c r="F871" s="25"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3" t="n">
        <v>43920</v>
      </c>
      <c r="C872" s="22" t="inlineStr">
        <is>
          <t>GELENEKSEL</t>
        </is>
      </c>
      <c r="D872" s="23" t="n">
        <v>43921</v>
      </c>
      <c r="E872" s="23" t="n">
        <v>44671</v>
      </c>
      <c r="F872" s="22" t="inlineStr">
        <is>
          <t>TRT200422T14</t>
        </is>
      </c>
      <c r="G872" s="8" t="n">
        <v>680000</v>
      </c>
      <c r="H872" s="8" t="n">
        <v>300000</v>
      </c>
      <c r="I872" s="24" t="n">
        <v>325641.1</v>
      </c>
      <c r="J872" s="24" t="n">
        <v>20.86</v>
      </c>
      <c r="K872" s="24" t="n">
        <v>20.86</v>
      </c>
      <c r="L872" s="24" t="n">
        <v>20.86</v>
      </c>
      <c r="M872" s="24" t="n">
        <v>21.95</v>
      </c>
      <c r="N872" s="24" t="n">
        <v>21.95</v>
      </c>
      <c r="O872" s="24" t="n">
        <v>21.95</v>
      </c>
    </row>
    <row r="873">
      <c r="A873" s="11" t="n">
        <v>2603</v>
      </c>
      <c r="B873" s="3" t="n">
        <v>43920</v>
      </c>
      <c r="C873" s="25" t="inlineStr">
        <is>
          <t>GELENEKSEL</t>
        </is>
      </c>
      <c r="D873" s="3" t="n">
        <v>43921</v>
      </c>
      <c r="E873" s="3" t="n">
        <v>44818</v>
      </c>
      <c r="F873" s="25"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3" t="n">
        <v>43920</v>
      </c>
      <c r="C874" s="22" t="inlineStr">
        <is>
          <t>GELENEKSEL</t>
        </is>
      </c>
      <c r="D874" s="23" t="n">
        <v>43921</v>
      </c>
      <c r="E874" s="23" t="n">
        <v>44944</v>
      </c>
      <c r="F874" s="22" t="inlineStr">
        <is>
          <t>TRT180123T10</t>
        </is>
      </c>
      <c r="G874" s="8" t="n">
        <v>783000</v>
      </c>
      <c r="H874" s="8" t="n">
        <v>300000</v>
      </c>
      <c r="I874" s="24" t="n">
        <v>304614</v>
      </c>
      <c r="J874" s="24" t="n">
        <v>12.51</v>
      </c>
      <c r="K874" s="24" t="n">
        <v>12.51</v>
      </c>
      <c r="L874" s="24" t="n">
        <v>12.53</v>
      </c>
      <c r="M874" s="24" t="n">
        <v>12.9</v>
      </c>
      <c r="N874" s="24" t="n">
        <v>12.9</v>
      </c>
      <c r="O874" s="24" t="n">
        <v>12.92</v>
      </c>
    </row>
    <row r="875">
      <c r="A875" s="11" t="n">
        <v>2605</v>
      </c>
      <c r="B875" s="3" t="n">
        <v>43920</v>
      </c>
      <c r="C875" s="25" t="inlineStr">
        <is>
          <t>GELENEKSEL</t>
        </is>
      </c>
      <c r="D875" s="3" t="n">
        <v>43921</v>
      </c>
      <c r="E875" s="3" t="n">
        <v>45091</v>
      </c>
      <c r="F875" s="25"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3" t="n">
        <v>43920</v>
      </c>
      <c r="C876" s="22" t="inlineStr">
        <is>
          <t>GELENEKSEL</t>
        </is>
      </c>
      <c r="D876" s="23" t="n">
        <v>43921</v>
      </c>
      <c r="E876" s="23" t="n">
        <v>45448</v>
      </c>
      <c r="F876" s="22" t="inlineStr">
        <is>
          <t>TRT050624T19</t>
        </is>
      </c>
      <c r="G876" s="8" t="n">
        <v>850000</v>
      </c>
      <c r="H876" s="8" t="n">
        <v>300000</v>
      </c>
      <c r="I876" s="24" t="n">
        <v>311322</v>
      </c>
      <c r="J876" s="24" t="n">
        <v>17.8</v>
      </c>
      <c r="K876" s="24" t="n">
        <v>17.8</v>
      </c>
      <c r="L876" s="24" t="n">
        <v>17.8</v>
      </c>
      <c r="M876" s="24" t="n">
        <v>18.59</v>
      </c>
      <c r="N876" s="24" t="n">
        <v>18.59</v>
      </c>
      <c r="O876" s="24" t="n">
        <v>18.59</v>
      </c>
    </row>
    <row r="877">
      <c r="A877" s="11" t="n">
        <v>2607</v>
      </c>
      <c r="B877" s="3" t="n">
        <v>43922</v>
      </c>
      <c r="C877" s="25" t="inlineStr">
        <is>
          <t>GELENEKSEL</t>
        </is>
      </c>
      <c r="D877" s="3" t="n">
        <v>43923</v>
      </c>
      <c r="E877" s="3" t="n">
        <v>44601</v>
      </c>
      <c r="F877" s="25"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3" t="n">
        <v>43922</v>
      </c>
      <c r="C878" s="22" t="inlineStr">
        <is>
          <t>GELENEKSEL</t>
        </is>
      </c>
      <c r="D878" s="23" t="n">
        <v>43923</v>
      </c>
      <c r="E878" s="23" t="n">
        <v>44790</v>
      </c>
      <c r="F878" s="22" t="inlineStr">
        <is>
          <t>TRT170822T15</t>
        </is>
      </c>
      <c r="G878" s="8" t="n">
        <v>318000</v>
      </c>
      <c r="H878" s="8" t="n">
        <v>150000</v>
      </c>
      <c r="I878" s="24" t="n">
        <v>146413.5</v>
      </c>
      <c r="J878" s="24" t="n">
        <v>12.51</v>
      </c>
      <c r="K878" s="24" t="n">
        <v>12.51</v>
      </c>
      <c r="L878" s="24" t="n">
        <v>12.51</v>
      </c>
      <c r="M878" s="24" t="n">
        <v>12.9</v>
      </c>
      <c r="N878" s="24" t="n">
        <v>12.9</v>
      </c>
      <c r="O878" s="24" t="n">
        <v>12.9</v>
      </c>
    </row>
    <row r="879">
      <c r="A879" s="11" t="n">
        <v>2609</v>
      </c>
      <c r="B879" s="3" t="n">
        <v>43922</v>
      </c>
      <c r="C879" s="25" t="inlineStr">
        <is>
          <t>GELENEKSEL</t>
        </is>
      </c>
      <c r="D879" s="3" t="n">
        <v>43923</v>
      </c>
      <c r="E879" s="3" t="n">
        <v>44993</v>
      </c>
      <c r="F879" s="25"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3" t="n">
        <v>43922</v>
      </c>
      <c r="C880" s="22" t="inlineStr">
        <is>
          <t>GELENEKSEL</t>
        </is>
      </c>
      <c r="D880" s="23" t="n">
        <v>43923</v>
      </c>
      <c r="E880" s="23" t="n">
        <v>45448</v>
      </c>
      <c r="F880" s="22" t="inlineStr">
        <is>
          <t>TRT050624T19</t>
        </is>
      </c>
      <c r="G880" s="8" t="n">
        <v>240000</v>
      </c>
      <c r="H880" s="8" t="n">
        <v>150000</v>
      </c>
      <c r="I880" s="24" t="n">
        <v>155719.5</v>
      </c>
      <c r="J880" s="24" t="n">
        <v>17.8</v>
      </c>
      <c r="K880" s="24" t="n">
        <v>17.82</v>
      </c>
      <c r="L880" s="24" t="n">
        <v>17.89</v>
      </c>
      <c r="M880" s="24" t="n">
        <v>18.59</v>
      </c>
      <c r="N880" s="24" t="n">
        <v>18.61</v>
      </c>
      <c r="O880" s="24" t="n">
        <v>18.69</v>
      </c>
    </row>
    <row r="881">
      <c r="A881" s="11" t="n">
        <v>2611</v>
      </c>
      <c r="B881" s="3" t="n">
        <v>43922</v>
      </c>
      <c r="C881" s="25" t="inlineStr">
        <is>
          <t>GELENEKSEL</t>
        </is>
      </c>
      <c r="D881" s="3" t="n">
        <v>43923</v>
      </c>
      <c r="E881" s="3" t="n">
        <v>45875</v>
      </c>
      <c r="F881" s="25"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3" t="n">
        <v>43924</v>
      </c>
      <c r="C882" s="22" t="inlineStr">
        <is>
          <t>GELENEKSEL</t>
        </is>
      </c>
      <c r="D882" s="23" t="n">
        <v>43927</v>
      </c>
      <c r="E882" s="23" t="n">
        <v>44622</v>
      </c>
      <c r="F882" s="22" t="inlineStr">
        <is>
          <t>TRT020322T17</t>
        </is>
      </c>
      <c r="G882" s="8" t="n">
        <v>215000</v>
      </c>
      <c r="H882" s="8" t="n">
        <v>55000</v>
      </c>
      <c r="I882" s="24" t="n">
        <v>53618.35</v>
      </c>
      <c r="J882" s="24" t="n">
        <v>13.12</v>
      </c>
      <c r="K882" s="24" t="n">
        <v>13.12</v>
      </c>
      <c r="L882" s="24" t="n">
        <v>13.12</v>
      </c>
      <c r="M882" s="24" t="n">
        <v>13.56</v>
      </c>
      <c r="N882" s="24" t="n">
        <v>13.56</v>
      </c>
      <c r="O882" s="24" t="n">
        <v>13.56</v>
      </c>
    </row>
    <row r="883">
      <c r="A883" s="11" t="n">
        <v>2613</v>
      </c>
      <c r="B883" s="3" t="n">
        <v>43924</v>
      </c>
      <c r="C883" s="25" t="inlineStr">
        <is>
          <t>GELENEKSEL</t>
        </is>
      </c>
      <c r="D883" s="3" t="n">
        <v>43927</v>
      </c>
      <c r="E883" s="3" t="n">
        <v>44818</v>
      </c>
      <c r="F883" s="25"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3" t="n">
        <v>43924</v>
      </c>
      <c r="C884" s="22" t="inlineStr">
        <is>
          <t>GELENEKSEL</t>
        </is>
      </c>
      <c r="D884" s="23" t="n">
        <v>43927</v>
      </c>
      <c r="E884" s="23" t="n">
        <v>44993</v>
      </c>
      <c r="F884" s="22" t="inlineStr">
        <is>
          <t>TRT080323T10</t>
        </is>
      </c>
      <c r="G884" s="8" t="n">
        <v>244000</v>
      </c>
      <c r="H884" s="8" t="n">
        <v>94000</v>
      </c>
      <c r="I884" s="24" t="n">
        <v>79740.16</v>
      </c>
      <c r="J884" s="24" t="n">
        <v>13.63</v>
      </c>
      <c r="K884" s="24" t="n">
        <v>13.79</v>
      </c>
      <c r="L884" s="24" t="n">
        <v>13.8</v>
      </c>
      <c r="M884" s="24" t="n">
        <v>14.1</v>
      </c>
      <c r="N884" s="24" t="n">
        <v>14.26</v>
      </c>
      <c r="O884" s="24" t="n">
        <v>14.28</v>
      </c>
    </row>
    <row r="885">
      <c r="A885" s="11" t="n">
        <v>2615</v>
      </c>
      <c r="B885" s="3" t="n">
        <v>43924</v>
      </c>
      <c r="C885" s="25" t="inlineStr">
        <is>
          <t>GELENEKSEL</t>
        </is>
      </c>
      <c r="D885" s="3" t="n">
        <v>43927</v>
      </c>
      <c r="E885" s="3" t="n">
        <v>45448</v>
      </c>
      <c r="F885" s="25"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3" t="n">
        <v>43924</v>
      </c>
      <c r="C886" s="22" t="inlineStr">
        <is>
          <t>GELENEKSEL</t>
        </is>
      </c>
      <c r="D886" s="23" t="n">
        <v>43927</v>
      </c>
      <c r="E886" s="23" t="n">
        <v>45875</v>
      </c>
      <c r="F886" s="22" t="inlineStr">
        <is>
          <t>TRT060825T15</t>
        </is>
      </c>
      <c r="G886" s="8" t="n">
        <v>1141000</v>
      </c>
      <c r="H886" s="8" t="n">
        <v>976000</v>
      </c>
      <c r="I886" s="24" t="n">
        <v>985684.46</v>
      </c>
      <c r="J886" s="24" t="n">
        <v>10.82</v>
      </c>
      <c r="K886" s="24" t="n">
        <v>10.96</v>
      </c>
      <c r="L886" s="24" t="n">
        <v>11.13</v>
      </c>
      <c r="M886" s="24" t="n">
        <v>11.11</v>
      </c>
      <c r="N886" s="24" t="n">
        <v>11.26</v>
      </c>
      <c r="O886" s="24" t="n">
        <v>11.44</v>
      </c>
    </row>
    <row r="887">
      <c r="A887" s="25" t="inlineStr">
        <is>
          <t>2617**</t>
        </is>
      </c>
      <c r="B887" s="3" t="n">
        <v>43924</v>
      </c>
      <c r="C887" s="25" t="inlineStr">
        <is>
          <t>MIKTAR</t>
        </is>
      </c>
      <c r="D887" s="3" t="n">
        <v>43924</v>
      </c>
      <c r="E887" s="3" t="n">
        <v>44860</v>
      </c>
      <c r="F887" s="25" t="inlineStr">
        <is>
          <t>TRT261022T10</t>
        </is>
      </c>
      <c r="G887" s="11" t="n">
        <v>4600000</v>
      </c>
      <c r="H887" s="11" t="n">
        <v>4600000</v>
      </c>
      <c r="I887" s="13" t="n">
        <v>9715430</v>
      </c>
      <c r="J887" s="13" t="n">
        <v>3.44</v>
      </c>
      <c r="K887" s="13" t="n">
        <v>3.44</v>
      </c>
      <c r="L887" s="13" t="n">
        <v>3.44</v>
      </c>
      <c r="M887" s="13" t="n">
        <v>3.47</v>
      </c>
      <c r="N887" s="13" t="n">
        <v>3.47</v>
      </c>
      <c r="O887" s="13" t="n">
        <v>3.47</v>
      </c>
    </row>
    <row r="888">
      <c r="A888" s="22" t="inlineStr">
        <is>
          <t>2618**</t>
        </is>
      </c>
      <c r="B888" s="23" t="n">
        <v>43924</v>
      </c>
      <c r="C888" s="22" t="inlineStr">
        <is>
          <t>MIKTAR</t>
        </is>
      </c>
      <c r="D888" s="23" t="n">
        <v>43924</v>
      </c>
      <c r="E888" s="23" t="n">
        <v>45140</v>
      </c>
      <c r="F888" s="22" t="inlineStr">
        <is>
          <t>TRT020823T11</t>
        </is>
      </c>
      <c r="G888" s="8" t="n">
        <v>400000</v>
      </c>
      <c r="H888" s="8" t="n">
        <v>400000</v>
      </c>
      <c r="I888" s="24" t="n">
        <v>832232</v>
      </c>
      <c r="J888" s="24" t="n">
        <v>2.26</v>
      </c>
      <c r="K888" s="24" t="n">
        <v>2.26</v>
      </c>
      <c r="L888" s="24" t="n">
        <v>2.26</v>
      </c>
      <c r="M888" s="24" t="n">
        <v>2.27</v>
      </c>
      <c r="N888" s="24" t="n">
        <v>2.27</v>
      </c>
      <c r="O888" s="24" t="n">
        <v>2.27</v>
      </c>
    </row>
    <row r="889">
      <c r="A889" s="11" t="n">
        <v>2619</v>
      </c>
      <c r="B889" s="3" t="n">
        <v>43927</v>
      </c>
      <c r="C889" s="25" t="inlineStr">
        <is>
          <t>GELENEKSEL</t>
        </is>
      </c>
      <c r="D889" s="3" t="n">
        <v>43928</v>
      </c>
      <c r="E889" s="3" t="n">
        <v>45091</v>
      </c>
      <c r="F889" s="25"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3" t="n">
        <v>43927</v>
      </c>
      <c r="C890" s="22" t="inlineStr">
        <is>
          <t>GELENEKSEL</t>
        </is>
      </c>
      <c r="D890" s="23" t="n">
        <v>43928</v>
      </c>
      <c r="E890" s="23" t="n">
        <v>45196</v>
      </c>
      <c r="F890" s="22" t="inlineStr">
        <is>
          <t>TRT270923T11</t>
        </is>
      </c>
      <c r="G890" s="8" t="n">
        <v>460000</v>
      </c>
      <c r="H890" s="8" t="n">
        <v>50000</v>
      </c>
      <c r="I890" s="24" t="n">
        <v>43022.5</v>
      </c>
      <c r="J890" s="24" t="n">
        <v>14.05</v>
      </c>
      <c r="K890" s="24" t="n">
        <v>14.05</v>
      </c>
      <c r="L890" s="24" t="n">
        <v>14.05</v>
      </c>
      <c r="M890" s="24" t="n">
        <v>14.54</v>
      </c>
      <c r="N890" s="24" t="n">
        <v>14.54</v>
      </c>
      <c r="O890" s="24" t="n">
        <v>14.54</v>
      </c>
    </row>
    <row r="891">
      <c r="A891" s="11" t="n">
        <v>2621</v>
      </c>
      <c r="B891" s="3" t="n">
        <v>43927</v>
      </c>
      <c r="C891" s="25" t="inlineStr">
        <is>
          <t>GELENEKSEL</t>
        </is>
      </c>
      <c r="D891" s="3" t="n">
        <v>43928</v>
      </c>
      <c r="E891" s="3" t="n">
        <v>45448</v>
      </c>
      <c r="F891" s="25"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3" t="n">
        <v>43927</v>
      </c>
      <c r="C892" s="22" t="inlineStr">
        <is>
          <t>GELENEKSEL</t>
        </is>
      </c>
      <c r="D892" s="23" t="n">
        <v>43928</v>
      </c>
      <c r="E892" s="23" t="n">
        <v>45875</v>
      </c>
      <c r="F892" s="22" t="inlineStr">
        <is>
          <t>TRT060825T15</t>
        </is>
      </c>
      <c r="G892" s="8" t="n">
        <v>810000</v>
      </c>
      <c r="H892" s="8" t="n">
        <v>805000</v>
      </c>
      <c r="I892" s="24" t="n">
        <v>818462.8</v>
      </c>
      <c r="J892" s="24" t="n">
        <v>10.71</v>
      </c>
      <c r="K892" s="24" t="n">
        <v>10.8</v>
      </c>
      <c r="L892" s="24" t="n">
        <v>10.99</v>
      </c>
      <c r="M892" s="24" t="n">
        <v>11</v>
      </c>
      <c r="N892" s="24" t="n">
        <v>11.1</v>
      </c>
      <c r="O892" s="24" t="n">
        <v>11.29</v>
      </c>
    </row>
    <row r="893">
      <c r="A893" s="11" t="n">
        <v>2623</v>
      </c>
      <c r="B893" s="3" t="n">
        <v>43927</v>
      </c>
      <c r="C893" s="25" t="inlineStr">
        <is>
          <t>GELENEKSEL</t>
        </is>
      </c>
      <c r="D893" s="3" t="n">
        <v>43928</v>
      </c>
      <c r="E893" s="3" t="n">
        <v>46064</v>
      </c>
      <c r="F893" s="25"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2" t="inlineStr">
        <is>
          <t>2624**</t>
        </is>
      </c>
      <c r="B894" s="23" t="n">
        <v>43928</v>
      </c>
      <c r="C894" s="22" t="inlineStr">
        <is>
          <t>MIKTAR</t>
        </is>
      </c>
      <c r="D894" s="23" t="n">
        <v>43928</v>
      </c>
      <c r="E894" s="23" t="n">
        <v>44790</v>
      </c>
      <c r="F894" s="22" t="inlineStr">
        <is>
          <t>TRT170822T15</t>
        </is>
      </c>
      <c r="G894" s="8" t="n">
        <v>1200000</v>
      </c>
      <c r="H894" s="8" t="n">
        <v>1200000</v>
      </c>
      <c r="I894" s="24" t="n">
        <v>1155504</v>
      </c>
      <c r="J894" s="24" t="n">
        <v>13.26</v>
      </c>
      <c r="K894" s="24" t="n">
        <v>13.26</v>
      </c>
      <c r="L894" s="24" t="n">
        <v>13.26</v>
      </c>
      <c r="M894" s="24" t="n">
        <v>13.7</v>
      </c>
      <c r="N894" s="24" t="n">
        <v>13.7</v>
      </c>
      <c r="O894" s="24" t="n">
        <v>13.7</v>
      </c>
    </row>
    <row r="895">
      <c r="A895" s="25" t="inlineStr">
        <is>
          <t>2625**</t>
        </is>
      </c>
      <c r="B895" s="3" t="n">
        <v>43928</v>
      </c>
      <c r="C895" s="25" t="inlineStr">
        <is>
          <t>MIKTAR</t>
        </is>
      </c>
      <c r="D895" s="3" t="n">
        <v>43928</v>
      </c>
      <c r="E895" s="3" t="n">
        <v>44944</v>
      </c>
      <c r="F895" s="25"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2" t="inlineStr">
        <is>
          <t>2626**</t>
        </is>
      </c>
      <c r="B896" s="23" t="n">
        <v>43928</v>
      </c>
      <c r="C896" s="22" t="inlineStr">
        <is>
          <t>MIKTAR</t>
        </is>
      </c>
      <c r="D896" s="23" t="n">
        <v>43928</v>
      </c>
      <c r="E896" s="23" t="n">
        <v>45091</v>
      </c>
      <c r="F896" s="22" t="inlineStr">
        <is>
          <t>TRT140623T19</t>
        </is>
      </c>
      <c r="G896" s="8" t="n">
        <v>700000</v>
      </c>
      <c r="H896" s="8" t="n">
        <v>700000</v>
      </c>
      <c r="I896" s="24" t="n">
        <v>781613</v>
      </c>
      <c r="J896" s="24" t="n">
        <v>13.51</v>
      </c>
      <c r="K896" s="24" t="n">
        <v>13.51</v>
      </c>
      <c r="L896" s="24" t="n">
        <v>13.51</v>
      </c>
      <c r="M896" s="24" t="n">
        <v>13.97</v>
      </c>
      <c r="N896" s="24" t="n">
        <v>13.97</v>
      </c>
      <c r="O896" s="24" t="n">
        <v>13.97</v>
      </c>
    </row>
    <row r="897">
      <c r="A897" s="25" t="inlineStr">
        <is>
          <t>2627**</t>
        </is>
      </c>
      <c r="B897" s="3" t="n">
        <v>43928</v>
      </c>
      <c r="C897" s="25" t="inlineStr">
        <is>
          <t>MIKTAR</t>
        </is>
      </c>
      <c r="D897" s="3" t="n">
        <v>43928</v>
      </c>
      <c r="E897" s="3" t="n">
        <v>45217</v>
      </c>
      <c r="F897" s="25" t="inlineStr">
        <is>
          <t>TRT181023T19</t>
        </is>
      </c>
      <c r="G897" s="11" t="n">
        <v>1100000</v>
      </c>
      <c r="H897" s="11" t="n">
        <v>1100000</v>
      </c>
      <c r="I897" s="13" t="n">
        <v>1399013</v>
      </c>
      <c r="J897" s="13" t="n">
        <v>13.54</v>
      </c>
      <c r="K897" s="13" t="n">
        <v>13.54</v>
      </c>
      <c r="L897" s="13" t="n">
        <v>13.54</v>
      </c>
      <c r="M897" s="13" t="n">
        <v>14</v>
      </c>
      <c r="N897" s="13" t="n">
        <v>14</v>
      </c>
      <c r="O897" s="13" t="n">
        <v>14</v>
      </c>
    </row>
    <row r="898">
      <c r="A898" s="22" t="inlineStr">
        <is>
          <t>2628**</t>
        </is>
      </c>
      <c r="B898" s="23" t="n">
        <v>43928</v>
      </c>
      <c r="C898" s="22" t="inlineStr">
        <is>
          <t>MIKTAR</t>
        </is>
      </c>
      <c r="D898" s="23" t="n">
        <v>43928</v>
      </c>
      <c r="E898" s="23" t="n">
        <v>46820</v>
      </c>
      <c r="F898" s="22" t="inlineStr">
        <is>
          <t>TRT080328T15</t>
        </is>
      </c>
      <c r="G898" s="8" t="n">
        <v>600000</v>
      </c>
      <c r="H898" s="8" t="n">
        <v>600000</v>
      </c>
      <c r="I898" s="24" t="n">
        <v>569928</v>
      </c>
      <c r="J898" s="24" t="n">
        <v>13.59</v>
      </c>
      <c r="K898" s="24" t="n">
        <v>13.59</v>
      </c>
      <c r="L898" s="24" t="n">
        <v>13.59</v>
      </c>
      <c r="M898" s="24" t="n">
        <v>14.05</v>
      </c>
      <c r="N898" s="24" t="n">
        <v>14.05</v>
      </c>
      <c r="O898" s="24" t="n">
        <v>14.05</v>
      </c>
    </row>
    <row r="899">
      <c r="A899" s="11" t="n">
        <v>2629</v>
      </c>
      <c r="B899" s="3" t="n">
        <v>43929</v>
      </c>
      <c r="C899" s="25" t="inlineStr">
        <is>
          <t>GELENEKSEL</t>
        </is>
      </c>
      <c r="D899" s="3" t="n">
        <v>43930</v>
      </c>
      <c r="E899" s="3" t="n">
        <v>44573</v>
      </c>
      <c r="F899" s="25"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3" t="n">
        <v>43929</v>
      </c>
      <c r="C900" s="22" t="inlineStr">
        <is>
          <t>GELENEKSEL</t>
        </is>
      </c>
      <c r="D900" s="23" t="n">
        <v>43930</v>
      </c>
      <c r="E900" s="23" t="n">
        <v>44671</v>
      </c>
      <c r="F900" s="22" t="inlineStr">
        <is>
          <t>TRT200422T14</t>
        </is>
      </c>
      <c r="G900" s="8" t="n">
        <v>1094000</v>
      </c>
      <c r="H900" s="8" t="n">
        <v>1094000</v>
      </c>
      <c r="I900" s="24" t="n">
        <v>1206495.84</v>
      </c>
      <c r="J900" s="24" t="n">
        <v>19.8</v>
      </c>
      <c r="K900" s="24" t="n">
        <v>20.11</v>
      </c>
      <c r="L900" s="24" t="n">
        <v>20.83</v>
      </c>
      <c r="M900" s="24" t="n">
        <v>20.78</v>
      </c>
      <c r="N900" s="24" t="n">
        <v>21.12</v>
      </c>
      <c r="O900" s="24" t="n">
        <v>21.91</v>
      </c>
    </row>
    <row r="901">
      <c r="A901" s="11" t="n">
        <v>2631</v>
      </c>
      <c r="B901" s="3" t="n">
        <v>43929</v>
      </c>
      <c r="C901" s="25" t="inlineStr">
        <is>
          <t>GELENEKSEL</t>
        </is>
      </c>
      <c r="D901" s="3" t="n">
        <v>43930</v>
      </c>
      <c r="E901" s="3" t="n">
        <v>44790</v>
      </c>
      <c r="F901" s="25"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3" t="n">
        <v>43929</v>
      </c>
      <c r="C902" s="22" t="inlineStr">
        <is>
          <t>GELENEKSEL</t>
        </is>
      </c>
      <c r="D902" s="23" t="n">
        <v>43930</v>
      </c>
      <c r="E902" s="23" t="n">
        <v>45448</v>
      </c>
      <c r="F902" s="22" t="inlineStr">
        <is>
          <t>TRT050624T19</t>
        </is>
      </c>
      <c r="G902" s="8" t="n">
        <v>300000</v>
      </c>
      <c r="H902" s="8" t="n">
        <v>150000</v>
      </c>
      <c r="I902" s="24" t="n">
        <v>156900</v>
      </c>
      <c r="J902" s="24" t="n">
        <v>17.66</v>
      </c>
      <c r="K902" s="24" t="n">
        <v>17.66</v>
      </c>
      <c r="L902" s="24" t="n">
        <v>17.66</v>
      </c>
      <c r="M902" s="24" t="n">
        <v>18.44</v>
      </c>
      <c r="N902" s="24" t="n">
        <v>18.44</v>
      </c>
      <c r="O902" s="24" t="n">
        <v>18.44</v>
      </c>
    </row>
    <row r="903">
      <c r="A903" s="11" t="n">
        <v>2633</v>
      </c>
      <c r="B903" s="3" t="n">
        <v>43929</v>
      </c>
      <c r="C903" s="25" t="inlineStr">
        <is>
          <t>GELENEKSEL</t>
        </is>
      </c>
      <c r="D903" s="3" t="n">
        <v>43930</v>
      </c>
      <c r="E903" s="3" t="n">
        <v>45875</v>
      </c>
      <c r="F903" s="25"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3" t="n">
        <v>43931</v>
      </c>
      <c r="C904" s="22" t="inlineStr">
        <is>
          <t>GELENEKSEL</t>
        </is>
      </c>
      <c r="D904" s="23" t="n">
        <v>43934</v>
      </c>
      <c r="E904" s="23" t="n">
        <v>44573</v>
      </c>
      <c r="F904" s="22" t="inlineStr">
        <is>
          <t>TRT120122T17</t>
        </is>
      </c>
      <c r="G904" s="8" t="n">
        <v>391000</v>
      </c>
      <c r="H904" s="8" t="n">
        <v>177000</v>
      </c>
      <c r="I904" s="24" t="n">
        <v>172575</v>
      </c>
      <c r="J904" s="24" t="n">
        <v>12.62</v>
      </c>
      <c r="K904" s="24" t="n">
        <v>12.62</v>
      </c>
      <c r="L904" s="24" t="n">
        <v>12.62</v>
      </c>
      <c r="M904" s="24" t="n">
        <v>13.02</v>
      </c>
      <c r="N904" s="24" t="n">
        <v>13.02</v>
      </c>
      <c r="O904" s="24" t="n">
        <v>13.02</v>
      </c>
    </row>
    <row r="905">
      <c r="A905" s="11" t="n">
        <v>2635</v>
      </c>
      <c r="B905" s="3" t="n">
        <v>43931</v>
      </c>
      <c r="C905" s="25" t="inlineStr">
        <is>
          <t>GELENEKSEL</t>
        </is>
      </c>
      <c r="D905" s="3" t="n">
        <v>43934</v>
      </c>
      <c r="E905" s="3" t="n">
        <v>44671</v>
      </c>
      <c r="F905" s="25"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3" t="n">
        <v>43931</v>
      </c>
      <c r="C906" s="22" t="inlineStr">
        <is>
          <t>GELENEKSEL</t>
        </is>
      </c>
      <c r="D906" s="23" t="n">
        <v>43934</v>
      </c>
      <c r="E906" s="23" t="n">
        <v>45448</v>
      </c>
      <c r="F906" s="22" t="inlineStr">
        <is>
          <t>TRT050624T19</t>
        </is>
      </c>
      <c r="G906" s="8" t="n">
        <v>611000</v>
      </c>
      <c r="H906" s="8" t="n">
        <v>343000</v>
      </c>
      <c r="I906" s="24" t="n">
        <v>359699.22</v>
      </c>
      <c r="J906" s="24" t="n">
        <v>17.6</v>
      </c>
      <c r="K906" s="24" t="n">
        <v>17.63</v>
      </c>
      <c r="L906" s="24" t="n">
        <v>17.66</v>
      </c>
      <c r="M906" s="24" t="n">
        <v>18.37</v>
      </c>
      <c r="N906" s="24" t="n">
        <v>18.41</v>
      </c>
      <c r="O906" s="24" t="n">
        <v>18.44</v>
      </c>
    </row>
    <row r="907">
      <c r="A907" s="11" t="n">
        <v>2637</v>
      </c>
      <c r="B907" s="3" t="n">
        <v>43931</v>
      </c>
      <c r="C907" s="25" t="inlineStr">
        <is>
          <t>GELENEKSEL</t>
        </is>
      </c>
      <c r="D907" s="3" t="n">
        <v>43934</v>
      </c>
      <c r="E907" s="3" t="n">
        <v>45840</v>
      </c>
      <c r="F907" s="25"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3" t="n">
        <v>43931</v>
      </c>
      <c r="C908" s="22" t="inlineStr">
        <is>
          <t>GELENEKSEL</t>
        </is>
      </c>
      <c r="D908" s="23" t="n">
        <v>43934</v>
      </c>
      <c r="E908" s="23" t="n">
        <v>45875</v>
      </c>
      <c r="F908" s="22" t="inlineStr">
        <is>
          <t>TRT060825T15</t>
        </is>
      </c>
      <c r="G908" s="8" t="n">
        <v>858000</v>
      </c>
      <c r="H908" s="8" t="n">
        <v>450000</v>
      </c>
      <c r="I908" s="24" t="n">
        <v>454111.5</v>
      </c>
      <c r="J908" s="24" t="n">
        <v>11.02</v>
      </c>
      <c r="K908" s="24" t="n">
        <v>11.04</v>
      </c>
      <c r="L908" s="24" t="n">
        <v>11.09</v>
      </c>
      <c r="M908" s="24" t="n">
        <v>11.32</v>
      </c>
      <c r="N908" s="24" t="n">
        <v>11.34</v>
      </c>
      <c r="O908" s="24" t="n">
        <v>11.39</v>
      </c>
    </row>
    <row r="909">
      <c r="A909" s="11" t="n">
        <v>2639</v>
      </c>
      <c r="B909" s="3" t="n">
        <v>43934</v>
      </c>
      <c r="C909" s="25" t="inlineStr">
        <is>
          <t>GELENEKSEL</t>
        </is>
      </c>
      <c r="D909" s="3" t="n">
        <v>43935</v>
      </c>
      <c r="E909" s="3" t="n">
        <v>44573</v>
      </c>
      <c r="F909" s="25"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3" t="n">
        <v>43934</v>
      </c>
      <c r="C910" s="22" t="inlineStr">
        <is>
          <t>GELENEKSEL</t>
        </is>
      </c>
      <c r="D910" s="23" t="n">
        <v>43935</v>
      </c>
      <c r="E910" s="23" t="n">
        <v>44671</v>
      </c>
      <c r="F910" s="22" t="inlineStr">
        <is>
          <t>TRT200422T14</t>
        </is>
      </c>
      <c r="G910" s="8" t="n">
        <v>799000</v>
      </c>
      <c r="H910" s="8" t="n">
        <v>150000</v>
      </c>
      <c r="I910" s="24" t="n">
        <v>165370.5</v>
      </c>
      <c r="J910" s="24" t="n">
        <v>20.27</v>
      </c>
      <c r="K910" s="24" t="n">
        <v>20.3</v>
      </c>
      <c r="L910" s="24" t="n">
        <v>20.49</v>
      </c>
      <c r="M910" s="24" t="n">
        <v>21.29</v>
      </c>
      <c r="N910" s="24" t="n">
        <v>21.33</v>
      </c>
      <c r="O910" s="24" t="n">
        <v>21.54</v>
      </c>
    </row>
    <row r="911">
      <c r="A911" s="11" t="n">
        <v>2641</v>
      </c>
      <c r="B911" s="3" t="n">
        <v>43934</v>
      </c>
      <c r="C911" s="25" t="inlineStr">
        <is>
          <t>GELENEKSEL</t>
        </is>
      </c>
      <c r="D911" s="3" t="n">
        <v>43935</v>
      </c>
      <c r="E911" s="3" t="n">
        <v>45448</v>
      </c>
      <c r="F911" s="25"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3" t="n">
        <v>43934</v>
      </c>
      <c r="C912" s="22" t="inlineStr">
        <is>
          <t>GELENEKSEL</t>
        </is>
      </c>
      <c r="D912" s="23" t="n">
        <v>43935</v>
      </c>
      <c r="E912" s="23" t="n">
        <v>45840</v>
      </c>
      <c r="F912" s="22" t="inlineStr">
        <is>
          <t>TRT020725T10</t>
        </is>
      </c>
      <c r="G912" s="8" t="n">
        <v>0</v>
      </c>
      <c r="H912" s="8" t="n">
        <v>0</v>
      </c>
      <c r="I912" s="24" t="n">
        <v>0</v>
      </c>
    </row>
    <row r="913">
      <c r="A913" s="11" t="n">
        <v>2643</v>
      </c>
      <c r="B913" s="3" t="n">
        <v>43934</v>
      </c>
      <c r="C913" s="25" t="inlineStr">
        <is>
          <t>GELENEKSEL</t>
        </is>
      </c>
      <c r="D913" s="3" t="n">
        <v>43935</v>
      </c>
      <c r="E913" s="3" t="n">
        <v>45875</v>
      </c>
      <c r="F913" s="25"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3" t="n">
        <v>43936</v>
      </c>
      <c r="C914" s="22" t="inlineStr">
        <is>
          <t>GELENEKSEL</t>
        </is>
      </c>
      <c r="D914" s="23" t="n">
        <v>43937</v>
      </c>
      <c r="E914" s="23" t="n">
        <v>44993</v>
      </c>
      <c r="F914" s="22" t="inlineStr">
        <is>
          <t>TRT080323T10</t>
        </is>
      </c>
      <c r="G914" s="8" t="n">
        <v>676000</v>
      </c>
      <c r="H914" s="8" t="n">
        <v>0</v>
      </c>
      <c r="I914" s="24" t="n">
        <v>0</v>
      </c>
    </row>
    <row r="915">
      <c r="A915" s="11" t="n">
        <v>2645</v>
      </c>
      <c r="B915" s="3" t="n">
        <v>43936</v>
      </c>
      <c r="C915" s="25" t="inlineStr">
        <is>
          <t>GELENEKSEL</t>
        </is>
      </c>
      <c r="D915" s="3" t="n">
        <v>43937</v>
      </c>
      <c r="E915" s="3" t="n">
        <v>45371</v>
      </c>
      <c r="F915" s="25" t="inlineStr">
        <is>
          <t>TRT200324T13</t>
        </is>
      </c>
      <c r="G915" s="11" t="n">
        <v>310000</v>
      </c>
      <c r="H915" s="11" t="n">
        <v>0</v>
      </c>
      <c r="I915" s="13" t="n">
        <v>0</v>
      </c>
    </row>
    <row r="916">
      <c r="A916" s="8" t="n">
        <v>2646</v>
      </c>
      <c r="B916" s="23" t="n">
        <v>43936</v>
      </c>
      <c r="C916" s="22" t="inlineStr">
        <is>
          <t>GELENEKSEL</t>
        </is>
      </c>
      <c r="D916" s="23" t="n">
        <v>43937</v>
      </c>
      <c r="E916" s="23" t="n">
        <v>45448</v>
      </c>
      <c r="F916" s="22" t="inlineStr">
        <is>
          <t>TRT050624T19</t>
        </is>
      </c>
      <c r="G916" s="8" t="n">
        <v>833000</v>
      </c>
      <c r="H916" s="8" t="n">
        <v>150000</v>
      </c>
      <c r="I916" s="24" t="n">
        <v>157752</v>
      </c>
      <c r="J916" s="24" t="n">
        <v>17.58</v>
      </c>
      <c r="K916" s="24" t="n">
        <v>17.58</v>
      </c>
      <c r="L916" s="24" t="n">
        <v>17.58</v>
      </c>
      <c r="M916" s="24" t="n">
        <v>18.35</v>
      </c>
      <c r="N916" s="24" t="n">
        <v>18.35</v>
      </c>
      <c r="O916" s="24" t="n">
        <v>18.35</v>
      </c>
    </row>
    <row r="917">
      <c r="A917" s="11" t="n">
        <v>2647</v>
      </c>
      <c r="B917" s="3" t="n">
        <v>43936</v>
      </c>
      <c r="C917" s="25" t="inlineStr">
        <is>
          <t>GELENEKSEL</t>
        </is>
      </c>
      <c r="D917" s="3" t="n">
        <v>43937</v>
      </c>
      <c r="E917" s="3" t="n">
        <v>45875</v>
      </c>
      <c r="F917" s="25"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3" t="n">
        <v>43938</v>
      </c>
      <c r="C918" s="22" t="inlineStr">
        <is>
          <t>GELENEKSEL</t>
        </is>
      </c>
      <c r="D918" s="23" t="n">
        <v>43941</v>
      </c>
      <c r="E918" s="23" t="n">
        <v>45448</v>
      </c>
      <c r="F918" s="22" t="inlineStr">
        <is>
          <t>TRT050624T19</t>
        </is>
      </c>
      <c r="G918" s="8" t="n">
        <v>1113000</v>
      </c>
      <c r="H918" s="8" t="n">
        <v>209000</v>
      </c>
      <c r="I918" s="24" t="n">
        <v>219527.5</v>
      </c>
      <c r="J918" s="24" t="n">
        <v>17.63</v>
      </c>
      <c r="K918" s="24" t="n">
        <v>17.69</v>
      </c>
      <c r="L918" s="24" t="n">
        <v>17.72</v>
      </c>
      <c r="M918" s="24" t="n">
        <v>18.41</v>
      </c>
      <c r="N918" s="24" t="n">
        <v>18.47</v>
      </c>
      <c r="O918" s="24" t="n">
        <v>18.51</v>
      </c>
    </row>
    <row r="919">
      <c r="A919" s="11" t="n">
        <v>2649</v>
      </c>
      <c r="B919" s="3" t="n">
        <v>43938</v>
      </c>
      <c r="C919" s="25" t="inlineStr">
        <is>
          <t>GELENEKSEL</t>
        </is>
      </c>
      <c r="D919" s="3" t="n">
        <v>43941</v>
      </c>
      <c r="E919" s="3" t="n">
        <v>45875</v>
      </c>
      <c r="F919" s="25"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3" t="n">
        <v>43941</v>
      </c>
      <c r="C920" s="22" t="inlineStr">
        <is>
          <t>GELENEKSEL</t>
        </is>
      </c>
      <c r="D920" s="23" t="n">
        <v>43942</v>
      </c>
      <c r="E920" s="23" t="n">
        <v>45448</v>
      </c>
      <c r="F920" s="22" t="inlineStr">
        <is>
          <t>TRT050624T19</t>
        </is>
      </c>
      <c r="G920" s="8" t="n">
        <v>600000</v>
      </c>
      <c r="H920" s="8" t="n">
        <v>100000</v>
      </c>
      <c r="I920" s="24" t="n">
        <v>105654</v>
      </c>
      <c r="J920" s="24" t="n">
        <v>17.47</v>
      </c>
      <c r="K920" s="24" t="n">
        <v>17.49</v>
      </c>
      <c r="L920" s="24" t="n">
        <v>17.53</v>
      </c>
      <c r="M920" s="24" t="n">
        <v>18.24</v>
      </c>
      <c r="N920" s="24" t="n">
        <v>18.25</v>
      </c>
      <c r="O920" s="24" t="n">
        <v>18.3</v>
      </c>
    </row>
    <row r="921">
      <c r="A921" s="11" t="n">
        <v>2651</v>
      </c>
      <c r="B921" s="3" t="n">
        <v>43941</v>
      </c>
      <c r="C921" s="25" t="inlineStr">
        <is>
          <t>GELENEKSEL</t>
        </is>
      </c>
      <c r="D921" s="3" t="n">
        <v>43942</v>
      </c>
      <c r="E921" s="3" t="n">
        <v>45875</v>
      </c>
      <c r="F921" s="25"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3" t="n">
        <v>43943</v>
      </c>
      <c r="C922" s="22" t="inlineStr">
        <is>
          <t>GELENEKSEL</t>
        </is>
      </c>
      <c r="D922" s="23" t="n">
        <v>43945</v>
      </c>
      <c r="E922" s="23" t="n">
        <v>45448</v>
      </c>
      <c r="F922" s="22" t="inlineStr">
        <is>
          <t>TRT050624T19</t>
        </is>
      </c>
      <c r="G922" s="8" t="n">
        <v>550000</v>
      </c>
      <c r="H922" s="8" t="n">
        <v>450000</v>
      </c>
      <c r="I922" s="24" t="n">
        <v>474732</v>
      </c>
      <c r="J922" s="24" t="n">
        <v>17.49</v>
      </c>
      <c r="K922" s="24" t="n">
        <v>17.6</v>
      </c>
      <c r="L922" s="24" t="n">
        <v>17.64</v>
      </c>
      <c r="M922" s="24" t="n">
        <v>18.25</v>
      </c>
      <c r="N922" s="24" t="n">
        <v>18.37</v>
      </c>
      <c r="O922" s="24" t="n">
        <v>18.42</v>
      </c>
    </row>
    <row r="923">
      <c r="A923" s="11" t="n">
        <v>2653</v>
      </c>
      <c r="B923" s="3" t="n">
        <v>43943</v>
      </c>
      <c r="C923" s="25" t="inlineStr">
        <is>
          <t>GELENEKSEL</t>
        </is>
      </c>
      <c r="D923" s="3" t="n">
        <v>43945</v>
      </c>
      <c r="E923" s="3" t="n">
        <v>45875</v>
      </c>
      <c r="F923" s="25"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3" t="n">
        <v>43948</v>
      </c>
      <c r="C924" s="22" t="inlineStr">
        <is>
          <t>GELENEKSEL</t>
        </is>
      </c>
      <c r="D924" s="23" t="n">
        <v>43949</v>
      </c>
      <c r="E924" s="23" t="n">
        <v>45448</v>
      </c>
      <c r="F924" s="22" t="inlineStr">
        <is>
          <t>TRT050624T19</t>
        </is>
      </c>
      <c r="G924" s="8" t="n">
        <v>400000</v>
      </c>
      <c r="H924" s="8" t="n">
        <v>300000</v>
      </c>
      <c r="I924" s="24" t="n">
        <v>316680</v>
      </c>
      <c r="J924" s="24" t="n">
        <v>17.64</v>
      </c>
      <c r="K924" s="24" t="n">
        <v>17.64</v>
      </c>
      <c r="L924" s="24" t="n">
        <v>17.64</v>
      </c>
      <c r="M924" s="24" t="n">
        <v>18.42</v>
      </c>
      <c r="N924" s="24" t="n">
        <v>18.42</v>
      </c>
      <c r="O924" s="24" t="n">
        <v>18.42</v>
      </c>
    </row>
    <row r="925">
      <c r="A925" s="11" t="n">
        <v>2655</v>
      </c>
      <c r="B925" s="3" t="n">
        <v>43948</v>
      </c>
      <c r="C925" s="25" t="inlineStr">
        <is>
          <t>GELENEKSEL</t>
        </is>
      </c>
      <c r="D925" s="3" t="n">
        <v>43949</v>
      </c>
      <c r="E925" s="3" t="n">
        <v>45875</v>
      </c>
      <c r="F925" s="25" t="inlineStr">
        <is>
          <t>TRT060825T15</t>
        </is>
      </c>
      <c r="G925" s="11" t="n">
        <v>450000</v>
      </c>
      <c r="H925" s="11" t="n">
        <v>450000</v>
      </c>
      <c r="I925" s="13" t="n">
        <v>460624.5</v>
      </c>
      <c r="J925" s="13" t="n">
        <v>10.75</v>
      </c>
      <c r="K925" s="13" t="n">
        <v>10.79</v>
      </c>
      <c r="L925" s="13" t="n">
        <v>10.8</v>
      </c>
      <c r="M925" s="13" t="n">
        <v>11.04</v>
      </c>
      <c r="N925" s="13" t="n">
        <v>11.08</v>
      </c>
      <c r="O925" s="13" t="n">
        <v>11.1</v>
      </c>
    </row>
    <row r="926">
      <c r="A926" s="22" t="inlineStr">
        <is>
          <t>2656**</t>
        </is>
      </c>
      <c r="B926" s="23" t="n">
        <v>43948</v>
      </c>
      <c r="C926" s="22" t="inlineStr">
        <is>
          <t>MIKTAR</t>
        </is>
      </c>
      <c r="D926" s="23" t="n">
        <v>43948</v>
      </c>
      <c r="E926" s="23" t="n">
        <v>45238</v>
      </c>
      <c r="F926" s="22" t="inlineStr">
        <is>
          <t>TRT081123T10</t>
        </is>
      </c>
      <c r="G926" s="8" t="n">
        <v>2000000</v>
      </c>
      <c r="H926" s="8" t="n">
        <v>2000000</v>
      </c>
      <c r="I926" s="24" t="n">
        <v>4242280</v>
      </c>
      <c r="J926" s="24" t="n">
        <v>1.5</v>
      </c>
      <c r="K926" s="24" t="n">
        <v>1.5</v>
      </c>
      <c r="L926" s="24" t="n">
        <v>1.5</v>
      </c>
      <c r="M926" s="24" t="n">
        <v>1.51</v>
      </c>
      <c r="N926" s="24" t="n">
        <v>1.51</v>
      </c>
      <c r="O926" s="24" t="n">
        <v>1.51</v>
      </c>
    </row>
    <row r="927">
      <c r="A927" s="25" t="inlineStr">
        <is>
          <t>2657**</t>
        </is>
      </c>
      <c r="B927" s="3" t="n">
        <v>43948</v>
      </c>
      <c r="C927" s="25" t="inlineStr">
        <is>
          <t>MIKTAR</t>
        </is>
      </c>
      <c r="D927" s="3" t="n">
        <v>43948</v>
      </c>
      <c r="E927" s="3" t="n">
        <v>45420</v>
      </c>
      <c r="F927" s="25"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3" t="n">
        <v>43950</v>
      </c>
      <c r="C928" s="22" t="inlineStr">
        <is>
          <t>GELENEKSEL</t>
        </is>
      </c>
      <c r="D928" s="23" t="n">
        <v>43951</v>
      </c>
      <c r="E928" s="23" t="n">
        <v>44587</v>
      </c>
      <c r="F928" s="22" t="inlineStr">
        <is>
          <t>TRD260122T19</t>
        </is>
      </c>
      <c r="G928" s="8" t="n">
        <v>182000</v>
      </c>
      <c r="H928" s="8" t="n">
        <v>150000</v>
      </c>
      <c r="I928" s="24" t="n">
        <v>155858.4</v>
      </c>
      <c r="J928" s="24" t="n">
        <v>8.539999999999999</v>
      </c>
      <c r="K928" s="24" t="n">
        <v>8.82</v>
      </c>
      <c r="L928" s="24" t="n">
        <v>8.92</v>
      </c>
      <c r="M928" s="24" t="n">
        <v>8.720000000000001</v>
      </c>
      <c r="N928" s="24" t="n">
        <v>9.02</v>
      </c>
      <c r="O928" s="24" t="n">
        <v>9.109999999999999</v>
      </c>
    </row>
    <row r="929">
      <c r="A929" s="11" t="n">
        <v>2659</v>
      </c>
      <c r="B929" s="3" t="n">
        <v>43950</v>
      </c>
      <c r="C929" s="25" t="inlineStr">
        <is>
          <t>GELENEKSEL</t>
        </is>
      </c>
      <c r="D929" s="3" t="n">
        <v>43951</v>
      </c>
      <c r="E929" s="3" t="n">
        <v>44601</v>
      </c>
      <c r="F929" s="25" t="inlineStr">
        <is>
          <t>TRD090222T19</t>
        </is>
      </c>
      <c r="G929" s="11" t="n">
        <v>0</v>
      </c>
      <c r="H929" s="11" t="n">
        <v>0</v>
      </c>
      <c r="I929" s="13" t="n">
        <v>0</v>
      </c>
    </row>
    <row r="930">
      <c r="A930" s="8" t="n">
        <v>2660</v>
      </c>
      <c r="B930" s="23" t="n">
        <v>43950</v>
      </c>
      <c r="C930" s="22" t="inlineStr">
        <is>
          <t>GELENEKSEL</t>
        </is>
      </c>
      <c r="D930" s="23" t="n">
        <v>43951</v>
      </c>
      <c r="E930" s="23" t="n">
        <v>44671</v>
      </c>
      <c r="F930" s="22" t="inlineStr">
        <is>
          <t>TRT200422T14</t>
        </is>
      </c>
      <c r="G930" s="8" t="n">
        <v>640000</v>
      </c>
      <c r="H930" s="8" t="n">
        <v>620000</v>
      </c>
      <c r="I930" s="24" t="n">
        <v>631667.5</v>
      </c>
      <c r="J930" s="24" t="n">
        <v>10.3</v>
      </c>
      <c r="K930" s="24" t="n">
        <v>10.36</v>
      </c>
      <c r="L930" s="24" t="n">
        <v>10.39</v>
      </c>
      <c r="M930" s="24" t="n">
        <v>10.57</v>
      </c>
      <c r="N930" s="24" t="n">
        <v>10.63</v>
      </c>
      <c r="O930" s="24" t="n">
        <v>10.66</v>
      </c>
    </row>
    <row r="931">
      <c r="A931" s="11" t="n">
        <v>2661</v>
      </c>
      <c r="B931" s="3" t="n">
        <v>43950</v>
      </c>
      <c r="C931" s="25" t="inlineStr">
        <is>
          <t>GELENEKSEL</t>
        </is>
      </c>
      <c r="D931" s="3" t="n">
        <v>43951</v>
      </c>
      <c r="E931" s="3" t="n">
        <v>45448</v>
      </c>
      <c r="F931" s="25"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3" t="n">
        <v>43955</v>
      </c>
      <c r="C932" s="22" t="inlineStr">
        <is>
          <t>GELENEKSEL</t>
        </is>
      </c>
      <c r="D932" s="23" t="n">
        <v>43956</v>
      </c>
      <c r="E932" s="23" t="n">
        <v>44335</v>
      </c>
      <c r="F932" s="22" t="inlineStr">
        <is>
          <t>TRT190521T17</t>
        </is>
      </c>
      <c r="G932" s="8" t="n">
        <v>300000</v>
      </c>
      <c r="H932" s="8" t="n">
        <v>150000</v>
      </c>
      <c r="I932" s="24" t="n">
        <v>161512.5</v>
      </c>
      <c r="J932" s="24" t="n">
        <v>17.55</v>
      </c>
      <c r="K932" s="24" t="n">
        <v>17.55</v>
      </c>
      <c r="L932" s="24" t="n">
        <v>17.55</v>
      </c>
      <c r="M932" s="24" t="n">
        <v>18.32</v>
      </c>
      <c r="N932" s="24" t="n">
        <v>18.32</v>
      </c>
      <c r="O932" s="24" t="n">
        <v>18.32</v>
      </c>
    </row>
    <row r="933">
      <c r="A933" s="11" t="n">
        <v>2663</v>
      </c>
      <c r="B933" s="3" t="n">
        <v>43955</v>
      </c>
      <c r="C933" s="25" t="inlineStr">
        <is>
          <t>GELENEKSEL</t>
        </is>
      </c>
      <c r="D933" s="3" t="n">
        <v>43956</v>
      </c>
      <c r="E933" s="3" t="n">
        <v>46330</v>
      </c>
      <c r="F933" s="25"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3" t="n">
        <v>43959</v>
      </c>
      <c r="C934" s="22" t="inlineStr">
        <is>
          <t>GELENEKSEL</t>
        </is>
      </c>
      <c r="D934" s="23" t="n">
        <v>43962</v>
      </c>
      <c r="E934" s="23" t="n">
        <v>44335</v>
      </c>
      <c r="F934" s="22" t="inlineStr">
        <is>
          <t>TRT190521T17</t>
        </is>
      </c>
      <c r="G934" s="8" t="n">
        <v>620000</v>
      </c>
      <c r="H934" s="8" t="n">
        <v>150000</v>
      </c>
      <c r="I934" s="24" t="n">
        <v>161625</v>
      </c>
      <c r="J934" s="24" t="n">
        <v>17.8</v>
      </c>
      <c r="K934" s="24" t="n">
        <v>17.8</v>
      </c>
      <c r="L934" s="24" t="n">
        <v>17.8</v>
      </c>
      <c r="M934" s="24" t="n">
        <v>18.59</v>
      </c>
      <c r="N934" s="24" t="n">
        <v>18.59</v>
      </c>
      <c r="O934" s="24" t="n">
        <v>18.59</v>
      </c>
    </row>
    <row r="935">
      <c r="A935" s="11" t="n">
        <v>2665</v>
      </c>
      <c r="B935" s="3" t="n">
        <v>43959</v>
      </c>
      <c r="C935" s="25" t="inlineStr">
        <is>
          <t>GELENEKSEL</t>
        </is>
      </c>
      <c r="D935" s="3" t="n">
        <v>43962</v>
      </c>
      <c r="E935" s="3" t="n">
        <v>46330</v>
      </c>
      <c r="F935" s="25"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3" t="n">
        <v>43962</v>
      </c>
      <c r="C936" s="22" t="inlineStr">
        <is>
          <t>GELENEKSEL</t>
        </is>
      </c>
      <c r="D936" s="23" t="n">
        <v>43963</v>
      </c>
      <c r="E936" s="23" t="n">
        <v>44335</v>
      </c>
      <c r="F936" s="22" t="inlineStr">
        <is>
          <t>TRT190521T17</t>
        </is>
      </c>
      <c r="G936" s="8" t="n">
        <v>620000</v>
      </c>
      <c r="H936" s="8" t="n">
        <v>170000</v>
      </c>
      <c r="I936" s="24" t="n">
        <v>183649.3</v>
      </c>
      <c r="J936" s="24" t="n">
        <v>17.55</v>
      </c>
      <c r="K936" s="24" t="n">
        <v>17.55</v>
      </c>
      <c r="L936" s="24" t="n">
        <v>17.55</v>
      </c>
      <c r="M936" s="24" t="n">
        <v>18.32</v>
      </c>
      <c r="N936" s="24" t="n">
        <v>18.32</v>
      </c>
      <c r="O936" s="24" t="n">
        <v>18.32</v>
      </c>
    </row>
    <row r="937">
      <c r="A937" s="11" t="n">
        <v>2667</v>
      </c>
      <c r="B937" s="3" t="n">
        <v>43962</v>
      </c>
      <c r="C937" s="25" t="inlineStr">
        <is>
          <t>GELENEKSEL</t>
        </is>
      </c>
      <c r="D937" s="3" t="n">
        <v>43963</v>
      </c>
      <c r="E937" s="3" t="n">
        <v>44587</v>
      </c>
      <c r="F937" s="25"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3" t="n">
        <v>43962</v>
      </c>
      <c r="C938" s="22" t="inlineStr">
        <is>
          <t>GELENEKSEL</t>
        </is>
      </c>
      <c r="D938" s="23" t="n">
        <v>43963</v>
      </c>
      <c r="E938" s="23" t="n">
        <v>46330</v>
      </c>
      <c r="F938" s="22" t="inlineStr">
        <is>
          <t>TRT041126T11</t>
        </is>
      </c>
      <c r="G938" s="8" t="n">
        <v>1695000</v>
      </c>
      <c r="H938" s="8" t="n">
        <v>1020000</v>
      </c>
      <c r="I938" s="24" t="n">
        <v>1086667.2</v>
      </c>
      <c r="J938" s="24" t="n">
        <v>14.42</v>
      </c>
      <c r="K938" s="24" t="n">
        <v>14.44</v>
      </c>
      <c r="L938" s="24" t="n">
        <v>14.47</v>
      </c>
      <c r="M938" s="24" t="n">
        <v>14.95</v>
      </c>
      <c r="N938" s="24" t="n">
        <v>14.96</v>
      </c>
      <c r="O938" s="24" t="n">
        <v>15</v>
      </c>
    </row>
    <row r="939">
      <c r="A939" s="11" t="n">
        <v>2669</v>
      </c>
      <c r="B939" s="3" t="n">
        <v>43964</v>
      </c>
      <c r="C939" s="25" t="inlineStr">
        <is>
          <t>GELENEKSEL</t>
        </is>
      </c>
      <c r="D939" s="3" t="n">
        <v>43965</v>
      </c>
      <c r="E939" s="3" t="n">
        <v>44335</v>
      </c>
      <c r="F939" s="25"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3" t="n">
        <v>43964</v>
      </c>
      <c r="C940" s="22" t="inlineStr">
        <is>
          <t>GELENEKSEL</t>
        </is>
      </c>
      <c r="D940" s="23" t="n">
        <v>43965</v>
      </c>
      <c r="E940" s="23" t="n">
        <v>44587</v>
      </c>
      <c r="F940" s="22" t="inlineStr">
        <is>
          <t>TRD260122T19</t>
        </is>
      </c>
      <c r="G940" s="8" t="n">
        <v>100000</v>
      </c>
      <c r="H940" s="8" t="n">
        <v>20000</v>
      </c>
      <c r="I940" s="24" t="n">
        <v>21024.4</v>
      </c>
      <c r="J940" s="24" t="n">
        <v>8.289999999999999</v>
      </c>
      <c r="K940" s="24" t="n">
        <v>8.289999999999999</v>
      </c>
      <c r="L940" s="24" t="n">
        <v>8.289999999999999</v>
      </c>
      <c r="M940" s="24" t="n">
        <v>8.460000000000001</v>
      </c>
      <c r="N940" s="24" t="n">
        <v>8.460000000000001</v>
      </c>
      <c r="O940" s="24" t="n">
        <v>8.460000000000001</v>
      </c>
    </row>
    <row r="941">
      <c r="A941" s="11" t="n">
        <v>2671</v>
      </c>
      <c r="B941" s="3" t="n">
        <v>43964</v>
      </c>
      <c r="C941" s="25" t="inlineStr">
        <is>
          <t>GELENEKSEL</t>
        </is>
      </c>
      <c r="D941" s="3" t="n">
        <v>43965</v>
      </c>
      <c r="E941" s="3" t="n">
        <v>46330</v>
      </c>
      <c r="F941" s="25"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3" t="n">
        <v>43966</v>
      </c>
      <c r="C942" s="22" t="inlineStr">
        <is>
          <t>GELENEKSEL</t>
        </is>
      </c>
      <c r="D942" s="23" t="n">
        <v>43969</v>
      </c>
      <c r="E942" s="23" t="n">
        <v>44335</v>
      </c>
      <c r="F942" s="22" t="inlineStr">
        <is>
          <t>TRT190521T17</t>
        </is>
      </c>
      <c r="G942" s="8" t="n">
        <v>450000</v>
      </c>
      <c r="H942" s="8" t="n">
        <v>300000</v>
      </c>
      <c r="I942" s="24" t="n">
        <v>324075</v>
      </c>
      <c r="J942" s="24" t="n">
        <v>17.89</v>
      </c>
      <c r="K942" s="24" t="n">
        <v>17.89</v>
      </c>
      <c r="L942" s="24" t="n">
        <v>17.89</v>
      </c>
      <c r="M942" s="24" t="n">
        <v>18.69</v>
      </c>
      <c r="N942" s="24" t="n">
        <v>18.69</v>
      </c>
      <c r="O942" s="24" t="n">
        <v>18.69</v>
      </c>
    </row>
    <row r="943">
      <c r="A943" s="11" t="n">
        <v>2673</v>
      </c>
      <c r="B943" s="3" t="n">
        <v>43966</v>
      </c>
      <c r="C943" s="25" t="inlineStr">
        <is>
          <t>GELENEKSEL</t>
        </is>
      </c>
      <c r="D943" s="3" t="n">
        <v>43969</v>
      </c>
      <c r="E943" s="3" t="n">
        <v>44993</v>
      </c>
      <c r="F943" s="25"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3" t="n">
        <v>43966</v>
      </c>
      <c r="C944" s="22" t="inlineStr">
        <is>
          <t>GELENEKSEL</t>
        </is>
      </c>
      <c r="D944" s="23" t="n">
        <v>43969</v>
      </c>
      <c r="E944" s="23" t="n">
        <v>46330</v>
      </c>
      <c r="F944" s="22" t="inlineStr">
        <is>
          <t>TRT041126T11</t>
        </is>
      </c>
      <c r="G944" s="8" t="n">
        <v>1466000</v>
      </c>
      <c r="H944" s="8" t="n">
        <v>1166000</v>
      </c>
      <c r="I944" s="24" t="n">
        <v>1166763.98</v>
      </c>
      <c r="J944" s="24" t="n">
        <v>9.5</v>
      </c>
      <c r="K944" s="24" t="n">
        <v>9.52</v>
      </c>
      <c r="L944" s="24" t="n">
        <v>9.56</v>
      </c>
      <c r="M944" s="24" t="n">
        <v>9.73</v>
      </c>
      <c r="N944" s="24" t="n">
        <v>9.74</v>
      </c>
      <c r="O944" s="24" t="n">
        <v>9.789999999999999</v>
      </c>
    </row>
    <row r="945">
      <c r="A945" s="11" t="n">
        <v>2675</v>
      </c>
      <c r="B945" s="3" t="n">
        <v>43971</v>
      </c>
      <c r="C945" s="25" t="inlineStr">
        <is>
          <t>GELENEKSEL</t>
        </is>
      </c>
      <c r="D945" s="3" t="n">
        <v>43972</v>
      </c>
      <c r="E945" s="3" t="n">
        <v>44335</v>
      </c>
      <c r="F945" s="25"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3" t="n">
        <v>43971</v>
      </c>
      <c r="C946" s="22" t="inlineStr">
        <is>
          <t>GELENEKSEL</t>
        </is>
      </c>
      <c r="D946" s="23" t="n">
        <v>43972</v>
      </c>
      <c r="E946" s="23" t="n">
        <v>44993</v>
      </c>
      <c r="F946" s="22" t="inlineStr">
        <is>
          <t>TRT080323T10</t>
        </is>
      </c>
      <c r="G946" s="8" t="n">
        <v>291000</v>
      </c>
      <c r="H946" s="8" t="n">
        <v>150000</v>
      </c>
      <c r="I946" s="24" t="n">
        <v>138568.5</v>
      </c>
      <c r="J946" s="24" t="n">
        <v>10.91</v>
      </c>
      <c r="K946" s="24" t="n">
        <v>10.91</v>
      </c>
      <c r="L946" s="24" t="n">
        <v>10.91</v>
      </c>
      <c r="M946" s="24" t="n">
        <v>11.21</v>
      </c>
      <c r="N946" s="24" t="n">
        <v>11.21</v>
      </c>
      <c r="O946" s="24" t="n">
        <v>11.21</v>
      </c>
    </row>
    <row r="947">
      <c r="A947" s="11" t="n">
        <v>2677</v>
      </c>
      <c r="B947" s="3" t="n">
        <v>43973</v>
      </c>
      <c r="C947" s="25" t="inlineStr">
        <is>
          <t>GELENEKSEL</t>
        </is>
      </c>
      <c r="D947" s="3" t="n">
        <v>43978</v>
      </c>
      <c r="E947" s="3" t="n">
        <v>44489</v>
      </c>
      <c r="F947" s="25"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3" t="n">
        <v>43973</v>
      </c>
      <c r="C948" s="22" t="inlineStr">
        <is>
          <t>GELENEKSEL</t>
        </is>
      </c>
      <c r="D948" s="23" t="n">
        <v>43978</v>
      </c>
      <c r="E948" s="23" t="n">
        <v>44601</v>
      </c>
      <c r="F948" s="22" t="inlineStr">
        <is>
          <t>TRD090222T19</t>
        </is>
      </c>
      <c r="G948" s="8" t="n">
        <v>0</v>
      </c>
      <c r="H948" s="8" t="n">
        <v>0</v>
      </c>
      <c r="I948" s="24" t="n">
        <v>0</v>
      </c>
    </row>
    <row r="949">
      <c r="A949" s="11" t="n">
        <v>2679</v>
      </c>
      <c r="B949" s="3" t="n">
        <v>43973</v>
      </c>
      <c r="C949" s="25" t="inlineStr">
        <is>
          <t>GELENEKSEL</t>
        </is>
      </c>
      <c r="D949" s="3" t="n">
        <v>43978</v>
      </c>
      <c r="E949" s="3" t="n">
        <v>46330</v>
      </c>
      <c r="F949" s="25"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3" t="n">
        <v>43978</v>
      </c>
      <c r="C950" s="22" t="inlineStr">
        <is>
          <t>GELENEKSEL</t>
        </is>
      </c>
      <c r="D950" s="23" t="n">
        <v>43979</v>
      </c>
      <c r="E950" s="23" t="n">
        <v>44335</v>
      </c>
      <c r="F950" s="22" t="inlineStr">
        <is>
          <t>TRT190521T17</t>
        </is>
      </c>
      <c r="G950" s="8" t="n">
        <v>300000</v>
      </c>
      <c r="H950" s="8" t="n">
        <v>150000</v>
      </c>
      <c r="I950" s="24" t="n">
        <v>150994.5</v>
      </c>
      <c r="J950" s="24" t="n">
        <v>9.279999999999999</v>
      </c>
      <c r="K950" s="24" t="n">
        <v>9.279999999999999</v>
      </c>
      <c r="L950" s="24" t="n">
        <v>9.279999999999999</v>
      </c>
      <c r="M950" s="24" t="n">
        <v>9.5</v>
      </c>
      <c r="N950" s="24" t="n">
        <v>9.5</v>
      </c>
      <c r="O950" s="24" t="n">
        <v>9.5</v>
      </c>
    </row>
    <row r="951">
      <c r="A951" s="11" t="n">
        <v>2681</v>
      </c>
      <c r="B951" s="3" t="n">
        <v>43978</v>
      </c>
      <c r="C951" s="25" t="inlineStr">
        <is>
          <t>GELENEKSEL</t>
        </is>
      </c>
      <c r="D951" s="3" t="n">
        <v>43979</v>
      </c>
      <c r="E951" s="3" t="n">
        <v>44489</v>
      </c>
      <c r="F951" s="25"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3" t="n">
        <v>43978</v>
      </c>
      <c r="C952" s="22" t="inlineStr">
        <is>
          <t>GELENEKSEL</t>
        </is>
      </c>
      <c r="D952" s="23" t="n">
        <v>43979</v>
      </c>
      <c r="E952" s="23" t="n">
        <v>44671</v>
      </c>
      <c r="F952" s="22" t="inlineStr">
        <is>
          <t>TRT200422T14</t>
        </is>
      </c>
      <c r="G952" s="8" t="n">
        <v>470000</v>
      </c>
      <c r="H952" s="8" t="n">
        <v>250000</v>
      </c>
      <c r="I952" s="24" t="n">
        <v>257007</v>
      </c>
      <c r="J952" s="24" t="n">
        <v>10.24</v>
      </c>
      <c r="K952" s="24" t="n">
        <v>10.3</v>
      </c>
      <c r="L952" s="24" t="n">
        <v>10.39</v>
      </c>
      <c r="M952" s="24" t="n">
        <v>10.5</v>
      </c>
      <c r="N952" s="24" t="n">
        <v>10.57</v>
      </c>
      <c r="O952" s="24" t="n">
        <v>10.66</v>
      </c>
    </row>
    <row r="953">
      <c r="A953" s="11" t="n">
        <v>2683</v>
      </c>
      <c r="B953" s="3" t="n">
        <v>43980</v>
      </c>
      <c r="C953" s="25" t="inlineStr">
        <is>
          <t>PY MIKTAR</t>
        </is>
      </c>
      <c r="D953" s="3" t="n">
        <v>43983</v>
      </c>
      <c r="E953" s="3" t="n">
        <v>44489</v>
      </c>
      <c r="F953" s="25"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3" t="n">
        <v>43983</v>
      </c>
      <c r="C954" s="22" t="inlineStr">
        <is>
          <t>PY MIKTAR</t>
        </is>
      </c>
      <c r="D954" s="23" t="n">
        <v>43984</v>
      </c>
      <c r="E954" s="23" t="n">
        <v>46512</v>
      </c>
      <c r="F954" s="22" t="inlineStr">
        <is>
          <t>TRT050527T17</t>
        </is>
      </c>
      <c r="G954" s="8" t="n">
        <v>600000</v>
      </c>
      <c r="H954" s="8" t="n">
        <v>600000</v>
      </c>
      <c r="I954" s="24" t="n">
        <v>594804</v>
      </c>
      <c r="J954" s="24" t="n">
        <v>9.779999999999999</v>
      </c>
      <c r="K954" s="24" t="n">
        <v>9.779999999999999</v>
      </c>
      <c r="L954" s="24" t="n">
        <v>9.779999999999999</v>
      </c>
      <c r="M954" s="24" t="n">
        <v>10.02</v>
      </c>
      <c r="N954" s="24" t="n">
        <v>10.02</v>
      </c>
      <c r="O954" s="24" t="n">
        <v>10.02</v>
      </c>
    </row>
    <row r="955">
      <c r="A955" s="11" t="n">
        <v>2685</v>
      </c>
      <c r="B955" s="3" t="n">
        <v>43985</v>
      </c>
      <c r="C955" s="25" t="inlineStr">
        <is>
          <t>GELENEKSEL</t>
        </is>
      </c>
      <c r="D955" s="3" t="n">
        <v>43986</v>
      </c>
      <c r="E955" s="3" t="n">
        <v>44489</v>
      </c>
      <c r="F955" s="25"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3" t="n">
        <v>43985</v>
      </c>
      <c r="C956" s="22" t="inlineStr">
        <is>
          <t>GELENEKSEL</t>
        </is>
      </c>
      <c r="D956" s="23" t="n">
        <v>43986</v>
      </c>
      <c r="E956" s="23" t="n">
        <v>45497</v>
      </c>
      <c r="F956" s="22" t="inlineStr">
        <is>
          <t>TRT240724T15</t>
        </is>
      </c>
      <c r="G956" s="8" t="n">
        <v>635000</v>
      </c>
      <c r="H956" s="8" t="n">
        <v>525000</v>
      </c>
      <c r="I956" s="24" t="n">
        <v>514588.16</v>
      </c>
      <c r="J956" s="24" t="n">
        <v>10.52</v>
      </c>
      <c r="K956" s="24" t="n">
        <v>10.55</v>
      </c>
      <c r="L956" s="24" t="n">
        <v>10.56</v>
      </c>
      <c r="M956" s="24" t="n">
        <v>10.79</v>
      </c>
      <c r="N956" s="24" t="n">
        <v>10.82</v>
      </c>
      <c r="O956" s="24" t="n">
        <v>10.84</v>
      </c>
    </row>
    <row r="957">
      <c r="A957" s="11" t="n">
        <v>2687</v>
      </c>
      <c r="B957" s="3" t="n">
        <v>43985</v>
      </c>
      <c r="C957" s="25" t="inlineStr">
        <is>
          <t>GELENEKSEL</t>
        </is>
      </c>
      <c r="D957" s="3" t="n">
        <v>43986</v>
      </c>
      <c r="E957" s="3" t="n">
        <v>45840</v>
      </c>
      <c r="F957" s="25"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3" t="n">
        <v>43987</v>
      </c>
      <c r="C958" s="22" t="inlineStr">
        <is>
          <t>PY MIKTAR</t>
        </is>
      </c>
      <c r="D958" s="23" t="n">
        <v>43990</v>
      </c>
      <c r="E958" s="23" t="n">
        <v>44489</v>
      </c>
      <c r="F958" s="22" t="inlineStr">
        <is>
          <t>TRT201021T25</t>
        </is>
      </c>
      <c r="G958" s="8" t="n">
        <v>3570000</v>
      </c>
      <c r="H958" s="8" t="n">
        <v>1499999</v>
      </c>
      <c r="I958" s="24" t="n">
        <v>1625743.92</v>
      </c>
      <c r="J958" s="24" t="n">
        <v>8.58</v>
      </c>
      <c r="K958" s="24" t="n">
        <v>8.58</v>
      </c>
      <c r="L958" s="24" t="n">
        <v>8.58</v>
      </c>
      <c r="M958" s="24" t="n">
        <v>8.77</v>
      </c>
      <c r="N958" s="24" t="n">
        <v>8.77</v>
      </c>
      <c r="O958" s="24" t="n">
        <v>8.77</v>
      </c>
    </row>
    <row r="959">
      <c r="A959" s="11" t="n">
        <v>2689</v>
      </c>
      <c r="B959" s="3" t="n">
        <v>43990</v>
      </c>
      <c r="C959" s="25" t="inlineStr">
        <is>
          <t>GELENEKSEL</t>
        </is>
      </c>
      <c r="D959" s="3" t="n">
        <v>43991</v>
      </c>
      <c r="E959" s="3" t="n">
        <v>44461</v>
      </c>
      <c r="F959" s="25"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3" t="n">
        <v>43990</v>
      </c>
      <c r="C960" s="22" t="inlineStr">
        <is>
          <t>GELENEKSEL</t>
        </is>
      </c>
      <c r="D960" s="23" t="n">
        <v>43991</v>
      </c>
      <c r="E960" s="23" t="n">
        <v>44489</v>
      </c>
      <c r="F960" s="22" t="inlineStr">
        <is>
          <t>TRT201021T25</t>
        </is>
      </c>
      <c r="G960" s="8" t="n">
        <v>1560000</v>
      </c>
      <c r="H960" s="8" t="n">
        <v>670000</v>
      </c>
      <c r="I960" s="24" t="n">
        <v>726261</v>
      </c>
      <c r="J960" s="24" t="n">
        <v>8.58</v>
      </c>
      <c r="K960" s="24" t="n">
        <v>8.58</v>
      </c>
      <c r="L960" s="24" t="n">
        <v>8.58</v>
      </c>
      <c r="M960" s="24" t="n">
        <v>8.77</v>
      </c>
      <c r="N960" s="24" t="n">
        <v>8.77</v>
      </c>
      <c r="O960" s="24" t="n">
        <v>8.77</v>
      </c>
    </row>
    <row r="961">
      <c r="A961" s="11" t="n">
        <v>2691</v>
      </c>
      <c r="B961" s="3" t="n">
        <v>43990</v>
      </c>
      <c r="C961" s="25" t="inlineStr">
        <is>
          <t>GELENEKSEL</t>
        </is>
      </c>
      <c r="D961" s="3" t="n">
        <v>43991</v>
      </c>
      <c r="E961" s="3" t="n">
        <v>45497</v>
      </c>
      <c r="F961" s="25"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3" t="n">
        <v>43992</v>
      </c>
      <c r="C962" s="22" t="inlineStr">
        <is>
          <t>GELENEKSEL</t>
        </is>
      </c>
      <c r="D962" s="23" t="n">
        <v>43993</v>
      </c>
      <c r="E962" s="23" t="n">
        <v>44489</v>
      </c>
      <c r="F962" s="22" t="inlineStr">
        <is>
          <t>TRT201021T25</t>
        </is>
      </c>
      <c r="G962" s="8" t="n">
        <v>1395000</v>
      </c>
      <c r="H962" s="8" t="n">
        <v>1200000</v>
      </c>
      <c r="I962" s="24" t="n">
        <v>1301109</v>
      </c>
      <c r="J962" s="24" t="n">
        <v>8.58</v>
      </c>
      <c r="K962" s="24" t="n">
        <v>8.609999999999999</v>
      </c>
      <c r="L962" s="24" t="n">
        <v>8.640000000000001</v>
      </c>
      <c r="M962" s="24" t="n">
        <v>8.77</v>
      </c>
      <c r="N962" s="24" t="n">
        <v>8.800000000000001</v>
      </c>
      <c r="O962" s="24" t="n">
        <v>8.83</v>
      </c>
    </row>
    <row r="963">
      <c r="A963" s="11" t="n">
        <v>2693</v>
      </c>
      <c r="B963" s="3" t="n">
        <v>43992</v>
      </c>
      <c r="C963" s="25" t="inlineStr">
        <is>
          <t>GELENEKSEL</t>
        </is>
      </c>
      <c r="D963" s="3" t="n">
        <v>43993</v>
      </c>
      <c r="E963" s="3" t="n">
        <v>45091</v>
      </c>
      <c r="F963" s="25"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3" t="n">
        <v>43992</v>
      </c>
      <c r="C964" s="22" t="inlineStr">
        <is>
          <t>GELENEKSEL</t>
        </is>
      </c>
      <c r="D964" s="23" t="n">
        <v>43993</v>
      </c>
      <c r="E964" s="23" t="n">
        <v>45497</v>
      </c>
      <c r="F964" s="22" t="inlineStr">
        <is>
          <t>TRT240724T15</t>
        </is>
      </c>
      <c r="G964" s="8" t="n">
        <v>265000</v>
      </c>
      <c r="H964" s="8" t="n">
        <v>150000</v>
      </c>
      <c r="I964" s="24" t="n">
        <v>147908.05</v>
      </c>
      <c r="J964" s="24" t="n">
        <v>10.37</v>
      </c>
      <c r="K964" s="24" t="n">
        <v>10.42</v>
      </c>
      <c r="L964" s="24" t="n">
        <v>10.45</v>
      </c>
      <c r="M964" s="24" t="n">
        <v>10.64</v>
      </c>
      <c r="N964" s="24" t="n">
        <v>10.69</v>
      </c>
      <c r="O964" s="24" t="n">
        <v>10.73</v>
      </c>
    </row>
    <row r="965">
      <c r="A965" s="11" t="n">
        <v>2695</v>
      </c>
      <c r="B965" s="3" t="n">
        <v>43994</v>
      </c>
      <c r="C965" s="25" t="inlineStr">
        <is>
          <t>GELENEKSEL</t>
        </is>
      </c>
      <c r="D965" s="3" t="n">
        <v>43997</v>
      </c>
      <c r="E965" s="3" t="n">
        <v>44489</v>
      </c>
      <c r="F965" s="25"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3" t="n">
        <v>43994</v>
      </c>
      <c r="C966" s="22" t="inlineStr">
        <is>
          <t>GELENEKSEL</t>
        </is>
      </c>
      <c r="D966" s="23" t="n">
        <v>43997</v>
      </c>
      <c r="E966" s="23" t="n">
        <v>45091</v>
      </c>
      <c r="F966" s="22" t="inlineStr">
        <is>
          <t>TRT140623T19</t>
        </is>
      </c>
      <c r="G966" s="8" t="n">
        <v>585000</v>
      </c>
      <c r="H966" s="8" t="n">
        <v>250000</v>
      </c>
      <c r="I966" s="24" t="n">
        <v>310932</v>
      </c>
      <c r="J966" s="24" t="n">
        <v>9.76</v>
      </c>
      <c r="K966" s="24" t="n">
        <v>9.779999999999999</v>
      </c>
      <c r="L966" s="24" t="n">
        <v>9.92</v>
      </c>
      <c r="M966" s="24" t="n">
        <v>10</v>
      </c>
      <c r="N966" s="24" t="n">
        <v>10.02</v>
      </c>
      <c r="O966" s="24" t="n">
        <v>10.16</v>
      </c>
    </row>
    <row r="967">
      <c r="A967" s="11" t="n">
        <v>2697</v>
      </c>
      <c r="B967" s="3" t="n">
        <v>43994</v>
      </c>
      <c r="C967" s="25" t="inlineStr">
        <is>
          <t>GELENEKSEL</t>
        </is>
      </c>
      <c r="D967" s="3" t="n">
        <v>43997</v>
      </c>
      <c r="E967" s="3" t="n">
        <v>45497</v>
      </c>
      <c r="F967" s="25"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3" t="n">
        <v>43997</v>
      </c>
      <c r="C968" s="22" t="inlineStr">
        <is>
          <t>GELENEKSEL</t>
        </is>
      </c>
      <c r="D968" s="23" t="n">
        <v>43998</v>
      </c>
      <c r="E968" s="23" t="n">
        <v>44307</v>
      </c>
      <c r="F968" s="22" t="inlineStr">
        <is>
          <t>TRT210421T14</t>
        </is>
      </c>
      <c r="G968" s="8" t="n">
        <v>1320000</v>
      </c>
      <c r="H968" s="8" t="n">
        <v>600000</v>
      </c>
      <c r="I968" s="24" t="n">
        <v>679230</v>
      </c>
      <c r="J968" s="24" t="n">
        <v>8.34</v>
      </c>
      <c r="K968" s="24" t="n">
        <v>8.34</v>
      </c>
      <c r="L968" s="24" t="n">
        <v>8.34</v>
      </c>
      <c r="M968" s="24" t="n">
        <v>8.51</v>
      </c>
      <c r="N968" s="24" t="n">
        <v>8.51</v>
      </c>
      <c r="O968" s="24" t="n">
        <v>8.51</v>
      </c>
    </row>
    <row r="969">
      <c r="A969" s="11" t="n">
        <v>2699</v>
      </c>
      <c r="B969" s="3" t="n">
        <v>43997</v>
      </c>
      <c r="C969" s="25" t="inlineStr">
        <is>
          <t>GELENEKSEL</t>
        </is>
      </c>
      <c r="D969" s="3" t="n">
        <v>43998</v>
      </c>
      <c r="E969" s="3" t="n">
        <v>45091</v>
      </c>
      <c r="F969" s="25"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3" t="n">
        <v>43999</v>
      </c>
      <c r="C970" s="22" t="inlineStr">
        <is>
          <t>GELENEKSEL</t>
        </is>
      </c>
      <c r="D970" s="23" t="n">
        <v>44000</v>
      </c>
      <c r="E970" s="23" t="n">
        <v>44307</v>
      </c>
      <c r="F970" s="22" t="inlineStr">
        <is>
          <t>TRT210421T14</t>
        </is>
      </c>
      <c r="G970" s="8" t="n">
        <v>1350000</v>
      </c>
      <c r="H970" s="8" t="n">
        <v>900000</v>
      </c>
      <c r="I970" s="24" t="n">
        <v>1020303</v>
      </c>
      <c r="J970" s="24" t="n">
        <v>8.210000000000001</v>
      </c>
      <c r="K970" s="24" t="n">
        <v>8.210000000000001</v>
      </c>
      <c r="L970" s="24" t="n">
        <v>8.27</v>
      </c>
      <c r="M970" s="24" t="n">
        <v>8.380000000000001</v>
      </c>
      <c r="N970" s="24" t="n">
        <v>8.380000000000001</v>
      </c>
      <c r="O970" s="24" t="n">
        <v>8.449999999999999</v>
      </c>
    </row>
    <row r="971">
      <c r="A971" s="11" t="n">
        <v>2701</v>
      </c>
      <c r="B971" s="3" t="n">
        <v>43999</v>
      </c>
      <c r="C971" s="25" t="inlineStr">
        <is>
          <t>GELENEKSEL</t>
        </is>
      </c>
      <c r="D971" s="3" t="n">
        <v>44000</v>
      </c>
      <c r="E971" s="3" t="n">
        <v>45091</v>
      </c>
      <c r="F971" s="25"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3" t="n">
        <v>44001</v>
      </c>
      <c r="C972" s="22" t="inlineStr">
        <is>
          <t>GELENEKSEL</t>
        </is>
      </c>
      <c r="D972" s="23" t="n">
        <v>44004</v>
      </c>
      <c r="E972" s="23" t="n">
        <v>44489</v>
      </c>
      <c r="F972" s="22" t="inlineStr">
        <is>
          <t>TRT201021T25</t>
        </is>
      </c>
      <c r="G972" s="8" t="n">
        <v>1910000</v>
      </c>
      <c r="H972" s="8" t="n">
        <v>850000</v>
      </c>
      <c r="I972" s="24" t="n">
        <v>925472.1</v>
      </c>
      <c r="J972" s="24" t="n">
        <v>8.43</v>
      </c>
      <c r="K972" s="24" t="n">
        <v>8.460000000000001</v>
      </c>
      <c r="L972" s="24" t="n">
        <v>8.49</v>
      </c>
      <c r="M972" s="24" t="n">
        <v>8.6</v>
      </c>
      <c r="N972" s="24" t="n">
        <v>8.640000000000001</v>
      </c>
      <c r="O972" s="24" t="n">
        <v>8.67</v>
      </c>
    </row>
    <row r="973">
      <c r="A973" s="11" t="n">
        <v>2703</v>
      </c>
      <c r="B973" s="3" t="n">
        <v>44001</v>
      </c>
      <c r="C973" s="25" t="inlineStr">
        <is>
          <t>GELENEKSEL</t>
        </is>
      </c>
      <c r="D973" s="3" t="n">
        <v>44004</v>
      </c>
      <c r="E973" s="3" t="n">
        <v>45497</v>
      </c>
      <c r="F973" s="25"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3" t="n">
        <v>44004</v>
      </c>
      <c r="C974" s="22" t="inlineStr">
        <is>
          <t>GELENEKSEL</t>
        </is>
      </c>
      <c r="D974" s="23" t="n">
        <v>44005</v>
      </c>
      <c r="E974" s="23" t="n">
        <v>44307</v>
      </c>
      <c r="F974" s="22" t="inlineStr">
        <is>
          <t>TRT210421T14</t>
        </is>
      </c>
      <c r="G974" s="8" t="n">
        <v>750000</v>
      </c>
      <c r="H974" s="8" t="n">
        <v>500000</v>
      </c>
      <c r="I974" s="24" t="n">
        <v>567666.5</v>
      </c>
      <c r="J974" s="24" t="n">
        <v>8.15</v>
      </c>
      <c r="K974" s="24" t="n">
        <v>8.15</v>
      </c>
      <c r="L974" s="24" t="n">
        <v>8.210000000000001</v>
      </c>
      <c r="M974" s="24" t="n">
        <v>8.32</v>
      </c>
      <c r="N974" s="24" t="n">
        <v>8.32</v>
      </c>
      <c r="O974" s="24" t="n">
        <v>8.380000000000001</v>
      </c>
    </row>
    <row r="975">
      <c r="A975" s="11" t="n">
        <v>2705</v>
      </c>
      <c r="B975" s="3" t="n">
        <v>44004</v>
      </c>
      <c r="C975" s="25" t="inlineStr">
        <is>
          <t>GELENEKSEL</t>
        </is>
      </c>
      <c r="D975" s="3" t="n">
        <v>44005</v>
      </c>
      <c r="E975" s="3" t="n">
        <v>45091</v>
      </c>
      <c r="F975" s="25"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3" t="n">
        <v>44006</v>
      </c>
      <c r="C976" s="22" t="inlineStr">
        <is>
          <t>GELENEKSEL</t>
        </is>
      </c>
      <c r="D976" s="23" t="n">
        <v>44007</v>
      </c>
      <c r="E976" s="23" t="n">
        <v>44307</v>
      </c>
      <c r="F976" s="22" t="inlineStr">
        <is>
          <t>TRT210421T14</t>
        </is>
      </c>
      <c r="G976" s="8" t="n">
        <v>900000</v>
      </c>
      <c r="H976" s="8" t="n">
        <v>600000</v>
      </c>
      <c r="I976" s="24" t="n">
        <v>680996</v>
      </c>
      <c r="J976" s="24" t="n">
        <v>8.09</v>
      </c>
      <c r="K976" s="24" t="n">
        <v>8.27</v>
      </c>
      <c r="L976" s="24" t="n">
        <v>8.4</v>
      </c>
      <c r="M976" s="24" t="n">
        <v>8.25</v>
      </c>
      <c r="N976" s="24" t="n">
        <v>8.449999999999999</v>
      </c>
      <c r="O976" s="24" t="n">
        <v>8.58</v>
      </c>
    </row>
    <row r="977">
      <c r="A977" s="11" t="n">
        <v>2707</v>
      </c>
      <c r="B977" s="3" t="n">
        <v>44006</v>
      </c>
      <c r="C977" s="25" t="inlineStr">
        <is>
          <t>GELENEKSEL</t>
        </is>
      </c>
      <c r="D977" s="3" t="n">
        <v>44007</v>
      </c>
      <c r="E977" s="3" t="n">
        <v>45497</v>
      </c>
      <c r="F977" s="25"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3" t="n">
        <v>44008</v>
      </c>
      <c r="C978" s="22" t="inlineStr">
        <is>
          <t>GELENEKSEL</t>
        </is>
      </c>
      <c r="D978" s="23" t="n">
        <v>44011</v>
      </c>
      <c r="E978" s="23" t="n">
        <v>44307</v>
      </c>
      <c r="F978" s="22" t="inlineStr">
        <is>
          <t>TRT210421T14</t>
        </is>
      </c>
      <c r="G978" s="8" t="n">
        <v>665000</v>
      </c>
      <c r="H978" s="8" t="n">
        <v>450000</v>
      </c>
      <c r="I978" s="24" t="n">
        <v>510837</v>
      </c>
      <c r="J978" s="24" t="n">
        <v>8.27</v>
      </c>
      <c r="K978" s="24" t="n">
        <v>8.34</v>
      </c>
      <c r="L978" s="24" t="n">
        <v>8.4</v>
      </c>
      <c r="M978" s="24" t="n">
        <v>8.449999999999999</v>
      </c>
      <c r="N978" s="24" t="n">
        <v>8.51</v>
      </c>
      <c r="O978" s="24" t="n">
        <v>8.58</v>
      </c>
    </row>
    <row r="979">
      <c r="A979" s="11" t="n">
        <v>2709</v>
      </c>
      <c r="B979" s="3" t="n">
        <v>44008</v>
      </c>
      <c r="C979" s="25" t="inlineStr">
        <is>
          <t>GELENEKSEL</t>
        </is>
      </c>
      <c r="D979" s="3" t="n">
        <v>44011</v>
      </c>
      <c r="E979" s="3" t="n">
        <v>45196</v>
      </c>
      <c r="F979" s="25"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3" t="n">
        <v>44011</v>
      </c>
      <c r="C980" s="22" t="inlineStr">
        <is>
          <t>PY MIKTAR</t>
        </is>
      </c>
      <c r="D980" s="23" t="n">
        <v>44012</v>
      </c>
      <c r="E980" s="23" t="n">
        <v>44685</v>
      </c>
      <c r="F980" s="22" t="inlineStr">
        <is>
          <t>TRT040522T13</t>
        </is>
      </c>
      <c r="G980" s="8" t="n">
        <v>2630000</v>
      </c>
      <c r="H980" s="8" t="n">
        <v>999999</v>
      </c>
      <c r="I980" s="24" t="n">
        <v>1013878.99</v>
      </c>
      <c r="J980" s="24" t="n">
        <v>8.970000000000001</v>
      </c>
      <c r="K980" s="24" t="n">
        <v>8.970000000000001</v>
      </c>
      <c r="L980" s="24" t="n">
        <v>8.970000000000001</v>
      </c>
      <c r="M980" s="24" t="n">
        <v>9.17</v>
      </c>
      <c r="N980" s="24" t="n">
        <v>9.17</v>
      </c>
      <c r="O980" s="24" t="n">
        <v>9.17</v>
      </c>
    </row>
    <row r="981">
      <c r="A981" s="11" t="n">
        <v>2711</v>
      </c>
      <c r="B981" s="3" t="n">
        <v>44015</v>
      </c>
      <c r="C981" s="25" t="inlineStr">
        <is>
          <t>PY MIKTAR</t>
        </is>
      </c>
      <c r="D981" s="3" t="n">
        <v>44018</v>
      </c>
      <c r="E981" s="3" t="n">
        <v>44993</v>
      </c>
      <c r="F981" s="25"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3" t="n">
        <v>44018</v>
      </c>
      <c r="C982" s="22" t="inlineStr">
        <is>
          <t>PY MIKTAR</t>
        </is>
      </c>
      <c r="D982" s="23" t="n">
        <v>44019</v>
      </c>
      <c r="E982" s="23" t="n">
        <v>44944</v>
      </c>
      <c r="F982" s="22" t="inlineStr">
        <is>
          <t>TRT180123T10</t>
        </is>
      </c>
      <c r="G982" s="8" t="n">
        <v>1751000</v>
      </c>
      <c r="H982" s="8" t="n">
        <v>1000001</v>
      </c>
      <c r="I982" s="24" t="n">
        <v>1103381.1</v>
      </c>
      <c r="J982" s="24" t="n">
        <v>10.04</v>
      </c>
      <c r="K982" s="24" t="n">
        <v>10.04</v>
      </c>
      <c r="L982" s="24" t="n">
        <v>10.04</v>
      </c>
      <c r="M982" s="24" t="n">
        <v>10.3</v>
      </c>
      <c r="N982" s="24" t="n">
        <v>10.3</v>
      </c>
      <c r="O982" s="24" t="n">
        <v>10.3</v>
      </c>
    </row>
    <row r="983">
      <c r="A983" s="11" t="n">
        <v>2713</v>
      </c>
      <c r="B983" s="3" t="n">
        <v>44022</v>
      </c>
      <c r="C983" s="25" t="inlineStr">
        <is>
          <t>PY MIKTAR</t>
        </is>
      </c>
      <c r="D983" s="3" t="n">
        <v>44025</v>
      </c>
      <c r="E983" s="3" t="n">
        <v>46512</v>
      </c>
      <c r="F983" s="25"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3" t="n">
        <v>44025</v>
      </c>
      <c r="C984" s="22" t="inlineStr">
        <is>
          <t>PY MIKTAR</t>
        </is>
      </c>
      <c r="D984" s="23" t="n">
        <v>44026</v>
      </c>
      <c r="E984" s="23" t="n">
        <v>46820</v>
      </c>
      <c r="F984" s="22" t="inlineStr">
        <is>
          <t>TRT080328T15</t>
        </is>
      </c>
      <c r="G984" s="8" t="n">
        <v>400000</v>
      </c>
      <c r="H984" s="8" t="n">
        <v>400000</v>
      </c>
      <c r="I984" s="24" t="n">
        <v>416328</v>
      </c>
      <c r="J984" s="24" t="n">
        <v>12.38</v>
      </c>
      <c r="K984" s="24" t="n">
        <v>12.38</v>
      </c>
      <c r="L984" s="24" t="n">
        <v>12.38</v>
      </c>
      <c r="M984" s="24" t="n">
        <v>12.76</v>
      </c>
      <c r="N984" s="24" t="n">
        <v>12.76</v>
      </c>
      <c r="O984" s="24" t="n">
        <v>12.76</v>
      </c>
    </row>
    <row r="985">
      <c r="A985" s="11" t="n">
        <v>2715</v>
      </c>
      <c r="B985" s="3" t="n">
        <v>44029</v>
      </c>
      <c r="C985" s="25" t="inlineStr">
        <is>
          <t>GELENEKSEL</t>
        </is>
      </c>
      <c r="D985" s="3" t="n">
        <v>44032</v>
      </c>
      <c r="E985" s="3" t="n">
        <v>45196</v>
      </c>
      <c r="F985" s="25"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3" t="n">
        <v>44029</v>
      </c>
      <c r="C986" s="22" t="inlineStr">
        <is>
          <t>GELENEKSEL</t>
        </is>
      </c>
      <c r="D986" s="23" t="n">
        <v>44032</v>
      </c>
      <c r="E986" s="23" t="n">
        <v>46064</v>
      </c>
      <c r="F986" s="22" t="inlineStr">
        <is>
          <t>TRT110226T13</t>
        </is>
      </c>
      <c r="G986" s="8" t="n">
        <v>1593000</v>
      </c>
      <c r="H986" s="8" t="n">
        <v>625000</v>
      </c>
      <c r="I986" s="24" t="n">
        <v>623185</v>
      </c>
      <c r="J986" s="24" t="n">
        <v>11.74</v>
      </c>
      <c r="K986" s="24" t="n">
        <v>11.77</v>
      </c>
      <c r="L986" s="24" t="n">
        <v>11.81</v>
      </c>
      <c r="M986" s="24" t="n">
        <v>12.09</v>
      </c>
      <c r="N986" s="24" t="n">
        <v>12.12</v>
      </c>
      <c r="O986" s="24" t="n">
        <v>12.16</v>
      </c>
    </row>
    <row r="987">
      <c r="A987" s="11" t="n">
        <v>2717</v>
      </c>
      <c r="B987" s="3" t="n">
        <v>44032</v>
      </c>
      <c r="C987" s="25" t="inlineStr">
        <is>
          <t>GELENEKSEL</t>
        </is>
      </c>
      <c r="D987" s="3" t="n">
        <v>44033</v>
      </c>
      <c r="E987" s="3" t="n">
        <v>46064</v>
      </c>
      <c r="F987" s="25"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3" t="n">
        <v>44032</v>
      </c>
      <c r="C988" s="22" t="inlineStr">
        <is>
          <t>GELENEKSEL</t>
        </is>
      </c>
      <c r="D988" s="23" t="n">
        <v>44033</v>
      </c>
      <c r="E988" s="23" t="n">
        <v>46442</v>
      </c>
      <c r="F988" s="22" t="inlineStr">
        <is>
          <t>TRT240227T17</t>
        </is>
      </c>
      <c r="G988" s="8" t="n">
        <v>329000</v>
      </c>
      <c r="H988" s="8" t="n">
        <v>150000</v>
      </c>
      <c r="I988" s="24" t="n">
        <v>149325.1</v>
      </c>
      <c r="J988" s="24" t="n">
        <v>12</v>
      </c>
      <c r="K988" s="24" t="n">
        <v>12.03</v>
      </c>
      <c r="L988" s="24" t="n">
        <v>12.05</v>
      </c>
      <c r="M988" s="24" t="n">
        <v>12.36</v>
      </c>
      <c r="N988" s="24" t="n">
        <v>12.39</v>
      </c>
      <c r="O988" s="24" t="n">
        <v>12.41</v>
      </c>
    </row>
    <row r="989">
      <c r="A989" s="11" t="n">
        <v>2719</v>
      </c>
      <c r="B989" s="3" t="n">
        <v>44036</v>
      </c>
      <c r="C989" s="25" t="inlineStr">
        <is>
          <t>GELENEKSEL</t>
        </is>
      </c>
      <c r="D989" s="3" t="n">
        <v>44039</v>
      </c>
      <c r="E989" s="3" t="n">
        <v>45497</v>
      </c>
      <c r="F989" s="25"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3" t="n">
        <v>44036</v>
      </c>
      <c r="C990" s="22" t="inlineStr">
        <is>
          <t>GELENEKSEL</t>
        </is>
      </c>
      <c r="D990" s="23" t="n">
        <v>44039</v>
      </c>
      <c r="E990" s="23" t="n">
        <v>46064</v>
      </c>
      <c r="F990" s="22" t="inlineStr">
        <is>
          <t>TRT110226T13</t>
        </is>
      </c>
      <c r="G990" s="8" t="n">
        <v>600000</v>
      </c>
      <c r="H990" s="8" t="n">
        <v>420000</v>
      </c>
      <c r="I990" s="24" t="n">
        <v>424912.85</v>
      </c>
      <c r="J990" s="24" t="n">
        <v>11.44</v>
      </c>
      <c r="K990" s="24" t="n">
        <v>11.46</v>
      </c>
      <c r="L990" s="24" t="n">
        <v>11.51</v>
      </c>
      <c r="M990" s="24" t="n">
        <v>11.77</v>
      </c>
      <c r="N990" s="24" t="n">
        <v>11.79</v>
      </c>
      <c r="O990" s="24" t="n">
        <v>11.85</v>
      </c>
    </row>
    <row r="991">
      <c r="A991" s="11" t="n">
        <v>2721</v>
      </c>
      <c r="B991" s="3" t="n">
        <v>44039</v>
      </c>
      <c r="C991" s="25" t="inlineStr">
        <is>
          <t>GELENEKSEL</t>
        </is>
      </c>
      <c r="D991" s="3" t="n">
        <v>44040</v>
      </c>
      <c r="E991" s="3" t="n">
        <v>46442</v>
      </c>
      <c r="F991" s="25"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3" t="n">
        <v>44039</v>
      </c>
      <c r="C992" s="22" t="inlineStr">
        <is>
          <t>GELENEKSEL</t>
        </is>
      </c>
      <c r="D992" s="23" t="n">
        <v>44040</v>
      </c>
      <c r="E992" s="23" t="n">
        <v>46610</v>
      </c>
      <c r="F992" s="22" t="inlineStr">
        <is>
          <t>TRT110827T16</t>
        </is>
      </c>
      <c r="G992" s="8" t="n">
        <v>705000</v>
      </c>
      <c r="H992" s="8" t="n">
        <v>300000</v>
      </c>
      <c r="I992" s="24" t="n">
        <v>295200</v>
      </c>
      <c r="J992" s="24" t="n">
        <v>11.81</v>
      </c>
      <c r="K992" s="24" t="n">
        <v>11.82</v>
      </c>
      <c r="L992" s="24" t="n">
        <v>11.83</v>
      </c>
      <c r="M992" s="24" t="n">
        <v>12.16</v>
      </c>
      <c r="N992" s="24" t="n">
        <v>12.17</v>
      </c>
      <c r="O992" s="24" t="n">
        <v>12.18</v>
      </c>
    </row>
    <row r="993">
      <c r="A993" s="11" t="n">
        <v>2723</v>
      </c>
      <c r="B993" s="3" t="n">
        <v>44041</v>
      </c>
      <c r="C993" s="25" t="inlineStr">
        <is>
          <t>PY MIKTAR</t>
        </is>
      </c>
      <c r="D993" s="3" t="n">
        <v>44042</v>
      </c>
      <c r="E993" s="3" t="n">
        <v>46064</v>
      </c>
      <c r="F993" s="25"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3" t="n">
        <v>44566</v>
      </c>
      <c r="C994" s="22" t="inlineStr">
        <is>
          <t>GELENEKSEL</t>
        </is>
      </c>
      <c r="D994" s="23" t="n">
        <v>44567</v>
      </c>
      <c r="E994" s="23" t="n">
        <v>46281</v>
      </c>
      <c r="F994" s="22" t="inlineStr">
        <is>
          <t>TRD160926T19</t>
        </is>
      </c>
      <c r="G994" s="8" t="n">
        <v>165000</v>
      </c>
      <c r="H994" s="8" t="n">
        <v>0</v>
      </c>
      <c r="I994" s="24" t="n">
        <v>0</v>
      </c>
    </row>
    <row r="995">
      <c r="A995" s="11" t="n">
        <v>2725</v>
      </c>
      <c r="B995" s="3" t="n">
        <v>44566</v>
      </c>
      <c r="C995" s="25" t="inlineStr">
        <is>
          <t>GELENEKSEL</t>
        </is>
      </c>
      <c r="D995" s="3" t="n">
        <v>44567</v>
      </c>
      <c r="E995" s="3" t="n">
        <v>46610</v>
      </c>
      <c r="F995" s="25"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3" t="n">
        <v>44566</v>
      </c>
      <c r="C996" s="22" t="inlineStr">
        <is>
          <t>GELENEKSEL</t>
        </is>
      </c>
      <c r="D996" s="23" t="n">
        <v>44567</v>
      </c>
      <c r="E996" s="23" t="n">
        <v>46820</v>
      </c>
      <c r="F996" s="22" t="inlineStr">
        <is>
          <t>TRT080328T15</t>
        </is>
      </c>
      <c r="G996" s="8" t="n">
        <v>389000</v>
      </c>
      <c r="H996" s="8" t="n">
        <v>150000</v>
      </c>
      <c r="I996" s="24" t="n">
        <v>103555.68</v>
      </c>
      <c r="J996" s="24" t="n">
        <v>23.13</v>
      </c>
      <c r="K996" s="24" t="n">
        <v>23.26</v>
      </c>
      <c r="L996" s="24" t="n">
        <v>23.34</v>
      </c>
      <c r="M996" s="24" t="n">
        <v>24.47</v>
      </c>
      <c r="N996" s="24" t="n">
        <v>24.61</v>
      </c>
      <c r="O996" s="24" t="n">
        <v>24.7</v>
      </c>
    </row>
    <row r="997">
      <c r="A997" s="11" t="n">
        <v>2727</v>
      </c>
      <c r="B997" s="3" t="n">
        <v>44568</v>
      </c>
      <c r="C997" s="25" t="inlineStr">
        <is>
          <t>GELENEKSEL</t>
        </is>
      </c>
      <c r="D997" s="3" t="n">
        <v>44571</v>
      </c>
      <c r="E997" s="3" t="n">
        <v>45931</v>
      </c>
      <c r="F997" s="25"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3" t="n">
        <v>44568</v>
      </c>
      <c r="C998" s="22" t="inlineStr">
        <is>
          <t>GELENEKSEL</t>
        </is>
      </c>
      <c r="D998" s="23" t="n">
        <v>44571</v>
      </c>
      <c r="E998" s="23" t="n">
        <v>46281</v>
      </c>
      <c r="F998" s="22" t="inlineStr">
        <is>
          <t>TRD160926T19</t>
        </is>
      </c>
      <c r="G998" s="8" t="n">
        <v>40000</v>
      </c>
      <c r="H998" s="8" t="n">
        <v>40000</v>
      </c>
      <c r="I998" s="24" t="n">
        <v>42111.6</v>
      </c>
      <c r="J998" s="24" t="n">
        <v>16.64</v>
      </c>
      <c r="K998" s="24" t="n">
        <v>16.71</v>
      </c>
      <c r="L998" s="24" t="n">
        <v>16.77</v>
      </c>
      <c r="M998" s="24" t="n">
        <v>17.34</v>
      </c>
      <c r="N998" s="24" t="n">
        <v>17.4</v>
      </c>
      <c r="O998" s="24" t="n">
        <v>17.47</v>
      </c>
    </row>
    <row r="999">
      <c r="A999" s="11" t="n">
        <v>2729</v>
      </c>
      <c r="B999" s="3" t="n">
        <v>44568</v>
      </c>
      <c r="C999" s="25" t="inlineStr">
        <is>
          <t>GELENEKSEL</t>
        </is>
      </c>
      <c r="D999" s="3" t="n">
        <v>44571</v>
      </c>
      <c r="E999" s="3" t="n">
        <v>46820</v>
      </c>
      <c r="F999" s="25"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3" t="n">
        <v>44573</v>
      </c>
      <c r="C1000" s="22" t="inlineStr">
        <is>
          <t>GELENEKSEL</t>
        </is>
      </c>
      <c r="D1000" s="23" t="n">
        <v>44574</v>
      </c>
      <c r="E1000" s="23" t="n">
        <v>46064</v>
      </c>
      <c r="F1000" s="22" t="inlineStr">
        <is>
          <t>TRT110226T13</t>
        </is>
      </c>
      <c r="G1000" s="8" t="n">
        <v>410000</v>
      </c>
      <c r="H1000" s="8" t="n">
        <v>150000</v>
      </c>
      <c r="I1000" s="24" t="n">
        <v>107682.9</v>
      </c>
      <c r="J1000" s="24" t="n">
        <v>23.33</v>
      </c>
      <c r="K1000" s="24" t="n">
        <v>23.35</v>
      </c>
      <c r="L1000" s="24" t="n">
        <v>23.35</v>
      </c>
      <c r="M1000" s="24" t="n">
        <v>24.7</v>
      </c>
      <c r="N1000" s="24" t="n">
        <v>24.71</v>
      </c>
      <c r="O1000" s="24" t="n">
        <v>24.71</v>
      </c>
    </row>
    <row r="1001">
      <c r="A1001" s="11" t="n">
        <v>2731</v>
      </c>
      <c r="B1001" s="3" t="n">
        <v>44573</v>
      </c>
      <c r="C1001" s="25" t="inlineStr">
        <is>
          <t>GELENEKSEL</t>
        </is>
      </c>
      <c r="D1001" s="3" t="n">
        <v>44574</v>
      </c>
      <c r="E1001" s="3" t="n">
        <v>46610</v>
      </c>
      <c r="F1001" s="25"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3" t="n">
        <v>44573</v>
      </c>
      <c r="C1002" s="22" t="inlineStr">
        <is>
          <t>GELENEKSEL</t>
        </is>
      </c>
      <c r="D1002" s="23" t="n">
        <v>44574</v>
      </c>
      <c r="E1002" s="23" t="n">
        <v>46820</v>
      </c>
      <c r="F1002" s="22" t="inlineStr">
        <is>
          <t>TRT080328T15</t>
        </is>
      </c>
      <c r="G1002" s="8" t="n">
        <v>383000</v>
      </c>
      <c r="H1002" s="8" t="n">
        <v>150000</v>
      </c>
      <c r="I1002" s="24" t="n">
        <v>103819.27</v>
      </c>
      <c r="J1002" s="24" t="n">
        <v>23.26</v>
      </c>
      <c r="K1002" s="24" t="n">
        <v>23.31</v>
      </c>
      <c r="L1002" s="24" t="n">
        <v>23.37</v>
      </c>
      <c r="M1002" s="24" t="n">
        <v>24.61</v>
      </c>
      <c r="N1002" s="24" t="n">
        <v>24.66</v>
      </c>
      <c r="O1002" s="24" t="n">
        <v>24.73</v>
      </c>
    </row>
    <row r="1003">
      <c r="A1003" s="11" t="n">
        <v>2733</v>
      </c>
      <c r="B1003" s="3" t="n">
        <v>44575</v>
      </c>
      <c r="C1003" s="25" t="inlineStr">
        <is>
          <t>GELENEKSEL</t>
        </is>
      </c>
      <c r="D1003" s="3" t="n">
        <v>44578</v>
      </c>
      <c r="E1003" s="3" t="n">
        <v>45371</v>
      </c>
      <c r="F1003" s="25"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3" t="n">
        <v>44575</v>
      </c>
      <c r="C1004" s="22" t="inlineStr">
        <is>
          <t>GELENEKSEL</t>
        </is>
      </c>
      <c r="D1004" s="23" t="n">
        <v>44578</v>
      </c>
      <c r="E1004" s="23" t="n">
        <v>46281</v>
      </c>
      <c r="F1004" s="22" t="inlineStr">
        <is>
          <t>TRD160926T19</t>
        </is>
      </c>
      <c r="G1004" s="8" t="n">
        <v>127000</v>
      </c>
      <c r="H1004" s="8" t="n">
        <v>0</v>
      </c>
      <c r="I1004" s="24" t="n">
        <v>0</v>
      </c>
    </row>
    <row r="1005">
      <c r="A1005" s="11" t="n">
        <v>2735</v>
      </c>
      <c r="B1005" s="3" t="n">
        <v>44575</v>
      </c>
      <c r="C1005" s="25" t="inlineStr">
        <is>
          <t>GELENEKSEL</t>
        </is>
      </c>
      <c r="D1005" s="3" t="n">
        <v>44578</v>
      </c>
      <c r="E1005" s="3" t="n">
        <v>46442</v>
      </c>
      <c r="F1005" s="25" t="inlineStr">
        <is>
          <t>TRT240227T17</t>
        </is>
      </c>
      <c r="G1005" s="11" t="n">
        <v>329000</v>
      </c>
      <c r="H1005" s="11" t="n">
        <v>0</v>
      </c>
      <c r="I1005" s="13" t="n">
        <v>0</v>
      </c>
    </row>
    <row r="1006">
      <c r="A1006" s="8" t="n">
        <v>2736</v>
      </c>
      <c r="B1006" s="23" t="n">
        <v>44580</v>
      </c>
      <c r="C1006" s="22" t="inlineStr">
        <is>
          <t>GELENEKSEL</t>
        </is>
      </c>
      <c r="D1006" s="23" t="n">
        <v>44581</v>
      </c>
      <c r="E1006" s="23" t="n">
        <v>45371</v>
      </c>
      <c r="F1006" s="22" t="inlineStr">
        <is>
          <t>TRT200324T13</t>
        </is>
      </c>
      <c r="G1006" s="8" t="n">
        <v>314000</v>
      </c>
      <c r="H1006" s="8" t="n">
        <v>50000</v>
      </c>
      <c r="I1006" s="24" t="n">
        <v>42551.75</v>
      </c>
      <c r="J1006" s="24" t="n">
        <v>21.31</v>
      </c>
      <c r="K1006" s="24" t="n">
        <v>21.34</v>
      </c>
      <c r="L1006" s="24" t="n">
        <v>21.4</v>
      </c>
      <c r="M1006" s="24" t="n">
        <v>22.44</v>
      </c>
      <c r="N1006" s="24" t="n">
        <v>22.48</v>
      </c>
      <c r="O1006" s="24" t="n">
        <v>22.54</v>
      </c>
    </row>
    <row r="1007">
      <c r="A1007" s="11" t="n">
        <v>2737</v>
      </c>
      <c r="B1007" s="3" t="n">
        <v>44580</v>
      </c>
      <c r="C1007" s="25" t="inlineStr">
        <is>
          <t>GELENEKSEL</t>
        </is>
      </c>
      <c r="D1007" s="3" t="n">
        <v>44581</v>
      </c>
      <c r="E1007" s="3" t="n">
        <v>45994</v>
      </c>
      <c r="F1007" s="25" t="inlineStr">
        <is>
          <t>TRD031225T10</t>
        </is>
      </c>
      <c r="G1007" s="11" t="n">
        <v>0</v>
      </c>
      <c r="H1007" s="11" t="n">
        <v>0</v>
      </c>
      <c r="I1007" s="13" t="n">
        <v>0</v>
      </c>
    </row>
    <row r="1008">
      <c r="A1008" s="8" t="n">
        <v>2738</v>
      </c>
      <c r="B1008" s="23" t="n">
        <v>44580</v>
      </c>
      <c r="C1008" s="22" t="inlineStr">
        <is>
          <t>GELENEKSEL</t>
        </is>
      </c>
      <c r="D1008" s="23" t="n">
        <v>44581</v>
      </c>
      <c r="E1008" s="23" t="n">
        <v>46281</v>
      </c>
      <c r="F1008" s="22" t="inlineStr">
        <is>
          <t>TRD160926T19</t>
        </is>
      </c>
      <c r="G1008" s="8" t="n">
        <v>3000</v>
      </c>
      <c r="H1008" s="8" t="n">
        <v>0</v>
      </c>
      <c r="I1008" s="24" t="n">
        <v>0</v>
      </c>
    </row>
    <row r="1009">
      <c r="A1009" s="11" t="n">
        <v>2739</v>
      </c>
      <c r="B1009" s="3" t="n">
        <v>44582</v>
      </c>
      <c r="C1009" s="25" t="inlineStr">
        <is>
          <t>GELENEKSEL</t>
        </is>
      </c>
      <c r="D1009" s="3" t="n">
        <v>44585</v>
      </c>
      <c r="E1009" s="3" t="n">
        <v>45931</v>
      </c>
      <c r="F1009" s="25"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3" t="n">
        <v>44582</v>
      </c>
      <c r="C1010" s="22" t="inlineStr">
        <is>
          <t>GELENEKSEL</t>
        </is>
      </c>
      <c r="D1010" s="23" t="n">
        <v>44585</v>
      </c>
      <c r="E1010" s="23" t="n">
        <v>46281</v>
      </c>
      <c r="F1010" s="22" t="inlineStr">
        <is>
          <t>TRD160926T19</t>
        </is>
      </c>
      <c r="G1010" s="8" t="n">
        <v>3000</v>
      </c>
      <c r="H1010" s="8" t="n">
        <v>0</v>
      </c>
      <c r="I1010" s="24" t="n">
        <v>0</v>
      </c>
    </row>
    <row r="1011">
      <c r="A1011" s="11" t="n">
        <v>2741</v>
      </c>
      <c r="B1011" s="3" t="n">
        <v>44587</v>
      </c>
      <c r="C1011" s="25" t="inlineStr">
        <is>
          <t>GELENEKSEL</t>
        </is>
      </c>
      <c r="D1011" s="3" t="n">
        <v>44588</v>
      </c>
      <c r="E1011" s="3" t="n">
        <v>45994</v>
      </c>
      <c r="F1011" s="25" t="inlineStr">
        <is>
          <t>TRD031225T10</t>
        </is>
      </c>
      <c r="G1011" s="11" t="n">
        <v>0</v>
      </c>
      <c r="H1011" s="11" t="n">
        <v>0</v>
      </c>
      <c r="I1011" s="13" t="n">
        <v>0</v>
      </c>
    </row>
    <row r="1012">
      <c r="A1012" s="8" t="n">
        <v>2742</v>
      </c>
      <c r="B1012" s="23" t="n">
        <v>44587</v>
      </c>
      <c r="C1012" s="22" t="inlineStr">
        <is>
          <t>GELENEKSEL</t>
        </is>
      </c>
      <c r="D1012" s="23" t="n">
        <v>44588</v>
      </c>
      <c r="E1012" s="23" t="n">
        <v>46820</v>
      </c>
      <c r="F1012" s="22" t="inlineStr">
        <is>
          <t>TRT080328T15</t>
        </is>
      </c>
      <c r="G1012" s="8" t="n">
        <v>53000</v>
      </c>
      <c r="H1012" s="8" t="n">
        <v>50000</v>
      </c>
      <c r="I1012" s="24" t="n">
        <v>37171.5</v>
      </c>
      <c r="J1012" s="24" t="n">
        <v>21.43</v>
      </c>
      <c r="K1012" s="24" t="n">
        <v>21.48</v>
      </c>
      <c r="L1012" s="24" t="n">
        <v>21.51</v>
      </c>
      <c r="M1012" s="24" t="n">
        <v>22.58</v>
      </c>
      <c r="N1012" s="24" t="n">
        <v>22.63</v>
      </c>
      <c r="O1012" s="24" t="n">
        <v>22.67</v>
      </c>
    </row>
    <row r="1013">
      <c r="A1013" s="11" t="n">
        <v>2743</v>
      </c>
      <c r="B1013" s="3" t="n">
        <v>44589</v>
      </c>
      <c r="C1013" s="25" t="inlineStr">
        <is>
          <t>GELENEKSEL</t>
        </is>
      </c>
      <c r="D1013" s="3" t="n">
        <v>44592</v>
      </c>
      <c r="E1013" s="3" t="n">
        <v>46281</v>
      </c>
      <c r="F1013" s="25" t="inlineStr">
        <is>
          <t>TRD160926T19</t>
        </is>
      </c>
      <c r="G1013" s="11" t="n">
        <v>103000</v>
      </c>
      <c r="H1013" s="11" t="n">
        <v>0</v>
      </c>
      <c r="I1013" s="13" t="n">
        <v>0</v>
      </c>
    </row>
    <row r="1014">
      <c r="A1014" s="8" t="n">
        <v>2744</v>
      </c>
      <c r="B1014" s="23" t="n">
        <v>44589</v>
      </c>
      <c r="C1014" s="22" t="inlineStr">
        <is>
          <t>GELENEKSEL</t>
        </is>
      </c>
      <c r="D1014" s="23" t="n">
        <v>44592</v>
      </c>
      <c r="E1014" s="23" t="n">
        <v>46442</v>
      </c>
      <c r="F1014" s="22" t="inlineStr">
        <is>
          <t>TRT240227T17</t>
        </is>
      </c>
      <c r="G1014" s="8" t="n">
        <v>246000</v>
      </c>
      <c r="H1014" s="8" t="n">
        <v>50000</v>
      </c>
      <c r="I1014" s="24" t="n">
        <v>35211.5</v>
      </c>
      <c r="J1014" s="24" t="n">
        <v>22.59</v>
      </c>
      <c r="K1014" s="24" t="n">
        <v>22.64</v>
      </c>
      <c r="L1014" s="24" t="n">
        <v>22.69</v>
      </c>
      <c r="M1014" s="24" t="n">
        <v>23.87</v>
      </c>
      <c r="N1014" s="24" t="n">
        <v>23.92</v>
      </c>
      <c r="O1014" s="24" t="n">
        <v>23.97</v>
      </c>
    </row>
    <row r="1015">
      <c r="A1015" s="11" t="n">
        <v>2745</v>
      </c>
      <c r="B1015" s="3" t="n">
        <v>44594</v>
      </c>
      <c r="C1015" s="25" t="inlineStr">
        <is>
          <t>GELENEKSEL</t>
        </is>
      </c>
      <c r="D1015" s="3" t="n">
        <v>44595</v>
      </c>
      <c r="E1015" s="3" t="n">
        <v>45273</v>
      </c>
      <c r="F1015" s="25"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3" t="n">
        <v>44594</v>
      </c>
      <c r="C1016" s="22" t="inlineStr">
        <is>
          <t>GELENEKSEL</t>
        </is>
      </c>
      <c r="D1016" s="23" t="n">
        <v>44595</v>
      </c>
      <c r="E1016" s="23" t="n">
        <v>45931</v>
      </c>
      <c r="F1016" s="22" t="inlineStr">
        <is>
          <t>TRT011025T16</t>
        </is>
      </c>
      <c r="G1016" s="8" t="n">
        <v>309000</v>
      </c>
      <c r="H1016" s="8" t="n">
        <v>50000</v>
      </c>
      <c r="I1016" s="24" t="n">
        <v>40936.5</v>
      </c>
      <c r="J1016" s="24" t="n">
        <v>21.68</v>
      </c>
      <c r="K1016" s="24" t="n">
        <v>21.68</v>
      </c>
      <c r="L1016" s="24" t="n">
        <v>21.68</v>
      </c>
      <c r="M1016" s="24" t="n">
        <v>22.85</v>
      </c>
      <c r="N1016" s="24" t="n">
        <v>22.85</v>
      </c>
      <c r="O1016" s="24" t="n">
        <v>22.85</v>
      </c>
    </row>
    <row r="1017">
      <c r="A1017" s="11" t="n">
        <v>2747</v>
      </c>
      <c r="B1017" s="3" t="n">
        <v>44596</v>
      </c>
      <c r="C1017" s="25" t="inlineStr">
        <is>
          <t>GELENEKSEL</t>
        </is>
      </c>
      <c r="D1017" s="3" t="n">
        <v>44599</v>
      </c>
      <c r="E1017" s="3" t="n">
        <v>45154</v>
      </c>
      <c r="F1017" s="25" t="inlineStr">
        <is>
          <t>TRD160823T13</t>
        </is>
      </c>
      <c r="G1017" s="11" t="n">
        <v>100000</v>
      </c>
      <c r="H1017" s="11" t="n">
        <v>0</v>
      </c>
      <c r="I1017" s="13" t="n">
        <v>0</v>
      </c>
    </row>
    <row r="1018">
      <c r="A1018" s="8" t="n">
        <v>2748</v>
      </c>
      <c r="B1018" s="23" t="n">
        <v>44596</v>
      </c>
      <c r="C1018" s="22" t="inlineStr">
        <is>
          <t>GELENEKSEL</t>
        </is>
      </c>
      <c r="D1018" s="23" t="n">
        <v>44599</v>
      </c>
      <c r="E1018" s="23" t="n">
        <v>45497</v>
      </c>
      <c r="F1018" s="22" t="inlineStr">
        <is>
          <t>TRT240724T15</t>
        </is>
      </c>
      <c r="G1018" s="8" t="n">
        <v>158000</v>
      </c>
      <c r="H1018" s="8" t="n">
        <v>0</v>
      </c>
      <c r="I1018" s="24" t="n">
        <v>0</v>
      </c>
    </row>
    <row r="1019">
      <c r="A1019" s="11" t="n">
        <v>2749</v>
      </c>
      <c r="B1019" s="3" t="n">
        <v>44601</v>
      </c>
      <c r="C1019" s="25" t="inlineStr">
        <is>
          <t>GELENEKSEL</t>
        </is>
      </c>
      <c r="D1019" s="3" t="n">
        <v>44602</v>
      </c>
      <c r="E1019" s="3" t="n">
        <v>44965</v>
      </c>
      <c r="F1019" s="25" t="inlineStr">
        <is>
          <t>TRD080223T19</t>
        </is>
      </c>
      <c r="G1019" s="11" t="n">
        <v>0</v>
      </c>
      <c r="H1019" s="11" t="n">
        <v>0</v>
      </c>
      <c r="I1019" s="13" t="n">
        <v>0</v>
      </c>
    </row>
    <row r="1020">
      <c r="A1020" s="8" t="n">
        <v>2750</v>
      </c>
      <c r="B1020" s="23" t="n">
        <v>44601</v>
      </c>
      <c r="C1020" s="22" t="inlineStr">
        <is>
          <t>GELENEKSEL</t>
        </is>
      </c>
      <c r="D1020" s="23" t="n">
        <v>44602</v>
      </c>
      <c r="E1020" s="23" t="n">
        <v>45525</v>
      </c>
      <c r="F1020" s="22" t="inlineStr">
        <is>
          <t>TRD210824T15</t>
        </is>
      </c>
      <c r="G1020" s="8" t="n">
        <v>50000</v>
      </c>
      <c r="H1020" s="8" t="n">
        <v>50000</v>
      </c>
      <c r="I1020" s="24" t="n">
        <v>50459.5</v>
      </c>
      <c r="J1020" s="24" t="n">
        <v>16.22</v>
      </c>
      <c r="K1020" s="24" t="n">
        <v>16.27</v>
      </c>
      <c r="L1020" s="24" t="n">
        <v>16.32</v>
      </c>
      <c r="M1020" s="24" t="n">
        <v>16.88</v>
      </c>
      <c r="N1020" s="24" t="n">
        <v>16.93</v>
      </c>
      <c r="O1020" s="24" t="n">
        <v>16.98</v>
      </c>
    </row>
    <row r="1021">
      <c r="A1021" s="11" t="n">
        <v>2751</v>
      </c>
      <c r="B1021" s="3" t="n">
        <v>44601</v>
      </c>
      <c r="C1021" s="25" t="inlineStr">
        <is>
          <t>GELENEKSEL</t>
        </is>
      </c>
      <c r="D1021" s="3" t="n">
        <v>44602</v>
      </c>
      <c r="E1021" s="3" t="n">
        <v>46820</v>
      </c>
      <c r="F1021" s="25"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3" t="n">
        <v>44603</v>
      </c>
      <c r="C1022" s="22" t="inlineStr">
        <is>
          <t>GELENEKSEL</t>
        </is>
      </c>
      <c r="D1022" s="23" t="n">
        <v>44606</v>
      </c>
      <c r="E1022" s="23" t="n">
        <v>45119</v>
      </c>
      <c r="F1022" s="22" t="inlineStr">
        <is>
          <t>TRD120723T18</t>
        </is>
      </c>
      <c r="G1022" s="8" t="n">
        <v>5000</v>
      </c>
      <c r="H1022" s="8" t="n">
        <v>0</v>
      </c>
      <c r="I1022" s="24" t="n">
        <v>0</v>
      </c>
    </row>
    <row r="1023">
      <c r="A1023" s="11" t="n">
        <v>2753</v>
      </c>
      <c r="B1023" s="3" t="n">
        <v>44603</v>
      </c>
      <c r="C1023" s="25" t="inlineStr">
        <is>
          <t>GELENEKSEL</t>
        </is>
      </c>
      <c r="D1023" s="3" t="n">
        <v>44606</v>
      </c>
      <c r="E1023" s="3" t="n">
        <v>45931</v>
      </c>
      <c r="F1023" s="25"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3" t="n">
        <v>44608</v>
      </c>
      <c r="C1024" s="22" t="inlineStr">
        <is>
          <t>GELENEKSEL</t>
        </is>
      </c>
      <c r="D1024" s="23" t="n">
        <v>44609</v>
      </c>
      <c r="E1024" s="23" t="n">
        <v>45273</v>
      </c>
      <c r="F1024" s="22" t="inlineStr">
        <is>
          <t>TRD131223T10</t>
        </is>
      </c>
      <c r="G1024" s="8" t="n">
        <v>140000</v>
      </c>
      <c r="H1024" s="8" t="n">
        <v>51000</v>
      </c>
      <c r="I1024" s="24" t="n">
        <v>54158.23</v>
      </c>
      <c r="J1024" s="24" t="n">
        <v>18.26</v>
      </c>
      <c r="K1024" s="24" t="n">
        <v>18.51</v>
      </c>
      <c r="L1024" s="24" t="n">
        <v>18.51</v>
      </c>
      <c r="M1024" s="24" t="n">
        <v>19.09</v>
      </c>
      <c r="N1024" s="24" t="n">
        <v>19.36</v>
      </c>
      <c r="O1024" s="24" t="n">
        <v>19.36</v>
      </c>
    </row>
    <row r="1025">
      <c r="A1025" s="11" t="n">
        <v>2755</v>
      </c>
      <c r="B1025" s="3" t="n">
        <v>44608</v>
      </c>
      <c r="C1025" s="25" t="inlineStr">
        <is>
          <t>GELENEKSEL</t>
        </is>
      </c>
      <c r="D1025" s="3" t="n">
        <v>44609</v>
      </c>
      <c r="E1025" s="3" t="n">
        <v>46064</v>
      </c>
      <c r="F1025" s="25"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3" t="n">
        <v>44610</v>
      </c>
      <c r="C1026" s="22" t="inlineStr">
        <is>
          <t>GELENEKSEL</t>
        </is>
      </c>
      <c r="D1026" s="23" t="n">
        <v>44613</v>
      </c>
      <c r="E1026" s="23" t="n">
        <v>45931</v>
      </c>
      <c r="F1026" s="22" t="inlineStr">
        <is>
          <t>TRT011025T16</t>
        </is>
      </c>
      <c r="G1026" s="8" t="n">
        <v>158000</v>
      </c>
      <c r="H1026" s="8" t="n">
        <v>50000</v>
      </c>
      <c r="I1026" s="24" t="n">
        <v>41737</v>
      </c>
      <c r="J1026" s="24" t="n">
        <v>21.32</v>
      </c>
      <c r="K1026" s="24" t="n">
        <v>21.32</v>
      </c>
      <c r="L1026" s="24" t="n">
        <v>21.32</v>
      </c>
      <c r="M1026" s="24" t="n">
        <v>22.45</v>
      </c>
      <c r="N1026" s="24" t="n">
        <v>22.45</v>
      </c>
      <c r="O1026" s="24" t="n">
        <v>22.45</v>
      </c>
    </row>
    <row r="1027">
      <c r="A1027" s="11" t="n">
        <v>2757</v>
      </c>
      <c r="B1027" s="3" t="n">
        <v>44615</v>
      </c>
      <c r="C1027" s="25" t="inlineStr">
        <is>
          <t>GELENEKSEL</t>
        </is>
      </c>
      <c r="D1027" s="3" t="n">
        <v>44616</v>
      </c>
      <c r="E1027" s="3" t="n">
        <v>46820</v>
      </c>
      <c r="F1027" s="25"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3" t="n">
        <v>44617</v>
      </c>
      <c r="C1028" s="22" t="inlineStr">
        <is>
          <t>GELENEKSEL</t>
        </is>
      </c>
      <c r="D1028" s="23" t="n">
        <v>44620</v>
      </c>
      <c r="E1028" s="23" t="n">
        <v>45728</v>
      </c>
      <c r="F1028" s="22" t="inlineStr">
        <is>
          <t>TRT120325T12</t>
        </is>
      </c>
      <c r="G1028" s="8" t="n">
        <v>216000</v>
      </c>
      <c r="H1028" s="8" t="n">
        <v>50000</v>
      </c>
      <c r="I1028" s="24" t="n">
        <v>35821</v>
      </c>
      <c r="J1028" s="24" t="n">
        <v>23.25</v>
      </c>
      <c r="K1028" s="24" t="n">
        <v>23.25</v>
      </c>
      <c r="L1028" s="24" t="n">
        <v>23.25</v>
      </c>
      <c r="M1028" s="24" t="n">
        <v>24.6</v>
      </c>
      <c r="N1028" s="24" t="n">
        <v>24.6</v>
      </c>
      <c r="O1028" s="24" t="n">
        <v>24.6</v>
      </c>
    </row>
    <row r="1029">
      <c r="A1029" s="11" t="n">
        <v>2759</v>
      </c>
      <c r="B1029" s="3" t="n">
        <v>44622</v>
      </c>
      <c r="C1029" s="25" t="inlineStr">
        <is>
          <t>GELENEKSEL</t>
        </is>
      </c>
      <c r="D1029" s="3" t="n">
        <v>44623</v>
      </c>
      <c r="E1029" s="3" t="n">
        <v>46064</v>
      </c>
      <c r="F1029" s="25"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3" t="n">
        <v>44624</v>
      </c>
      <c r="C1030" s="22" t="inlineStr">
        <is>
          <t>GELENEKSEL</t>
        </is>
      </c>
      <c r="D1030" s="23" t="n">
        <v>44627</v>
      </c>
      <c r="E1030" s="23" t="n">
        <v>46610</v>
      </c>
      <c r="F1030" s="22" t="inlineStr">
        <is>
          <t>TRT110827T16</t>
        </is>
      </c>
      <c r="G1030" s="8" t="n">
        <v>186000</v>
      </c>
      <c r="H1030" s="8" t="n">
        <v>50000</v>
      </c>
      <c r="I1030" s="24" t="n">
        <v>30475.28</v>
      </c>
      <c r="J1030" s="24" t="n">
        <v>23.66</v>
      </c>
      <c r="K1030" s="24" t="n">
        <v>23.84</v>
      </c>
      <c r="L1030" s="24" t="n">
        <v>23.92</v>
      </c>
      <c r="M1030" s="24" t="n">
        <v>25.06</v>
      </c>
      <c r="N1030" s="24" t="n">
        <v>25.27</v>
      </c>
      <c r="O1030" s="24" t="n">
        <v>25.35</v>
      </c>
    </row>
    <row r="1031">
      <c r="A1031" s="11" t="n">
        <v>2761</v>
      </c>
      <c r="B1031" s="3" t="n">
        <v>44629</v>
      </c>
      <c r="C1031" s="25" t="inlineStr">
        <is>
          <t>GELENEKSEL</t>
        </is>
      </c>
      <c r="D1031" s="3" t="n">
        <v>44630</v>
      </c>
      <c r="E1031" s="3" t="n">
        <v>45728</v>
      </c>
      <c r="F1031" s="25"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3" t="n">
        <v>44631</v>
      </c>
      <c r="C1032" s="22" t="inlineStr">
        <is>
          <t>GELENEKSEL</t>
        </is>
      </c>
      <c r="D1032" s="23" t="n">
        <v>44634</v>
      </c>
      <c r="E1032" s="23" t="n">
        <v>45931</v>
      </c>
      <c r="F1032" s="22" t="inlineStr">
        <is>
          <t>TRT011025T16</t>
        </is>
      </c>
      <c r="G1032" s="8" t="n">
        <v>310000</v>
      </c>
      <c r="H1032" s="8" t="n">
        <v>25000</v>
      </c>
      <c r="I1032" s="24" t="n">
        <v>19355.75</v>
      </c>
      <c r="J1032" s="24" t="n">
        <v>24.93</v>
      </c>
      <c r="K1032" s="24" t="n">
        <v>24.93</v>
      </c>
      <c r="L1032" s="24" t="n">
        <v>24.93</v>
      </c>
      <c r="M1032" s="24" t="n">
        <v>26.48</v>
      </c>
      <c r="N1032" s="24" t="n">
        <v>26.48</v>
      </c>
      <c r="O1032" s="24" t="n">
        <v>26.48</v>
      </c>
    </row>
    <row r="1033">
      <c r="A1033" s="11" t="n">
        <v>2763</v>
      </c>
      <c r="B1033" s="3" t="n">
        <v>44631</v>
      </c>
      <c r="C1033" s="25" t="inlineStr">
        <is>
          <t>GELENEKSEL</t>
        </is>
      </c>
      <c r="D1033" s="3" t="n">
        <v>44634</v>
      </c>
      <c r="E1033" s="3" t="n">
        <v>46820</v>
      </c>
      <c r="F1033" s="25"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3" t="n">
        <v>44636</v>
      </c>
      <c r="C1034" s="22" t="inlineStr">
        <is>
          <t>GELENEKSEL</t>
        </is>
      </c>
      <c r="D1034" s="23" t="n">
        <v>44637</v>
      </c>
      <c r="E1034" s="23" t="n">
        <v>46610</v>
      </c>
      <c r="F1034" s="22" t="inlineStr">
        <is>
          <t>TRT110827T16</t>
        </is>
      </c>
      <c r="G1034" s="8" t="n">
        <v>180000</v>
      </c>
      <c r="H1034" s="8" t="n">
        <v>50000</v>
      </c>
      <c r="I1034" s="24" t="n">
        <v>30010.5</v>
      </c>
      <c r="J1034" s="24" t="n">
        <v>24.47</v>
      </c>
      <c r="K1034" s="24" t="n">
        <v>24.47</v>
      </c>
      <c r="L1034" s="24" t="n">
        <v>24.48</v>
      </c>
      <c r="M1034" s="24" t="n">
        <v>25.97</v>
      </c>
      <c r="N1034" s="24" t="n">
        <v>25.97</v>
      </c>
      <c r="O1034" s="24" t="n">
        <v>25.98</v>
      </c>
    </row>
    <row r="1035">
      <c r="A1035" s="11" t="n">
        <v>2765</v>
      </c>
      <c r="B1035" s="3" t="n">
        <v>44638</v>
      </c>
      <c r="C1035" s="25" t="inlineStr">
        <is>
          <t>GELENEKSEL</t>
        </is>
      </c>
      <c r="D1035" s="3" t="n">
        <v>44641</v>
      </c>
      <c r="E1035" s="3" t="n">
        <v>46064</v>
      </c>
      <c r="F1035" s="25"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3" t="n">
        <v>44643</v>
      </c>
      <c r="C1036" s="22" t="inlineStr">
        <is>
          <t>GELENEKSEL</t>
        </is>
      </c>
      <c r="D1036" s="23" t="n">
        <v>44644</v>
      </c>
      <c r="E1036" s="23" t="n">
        <v>45931</v>
      </c>
      <c r="F1036" s="22" t="inlineStr">
        <is>
          <t>TRT011025T16</t>
        </is>
      </c>
      <c r="G1036" s="8" t="n">
        <v>280000</v>
      </c>
      <c r="H1036" s="8" t="n">
        <v>50000</v>
      </c>
      <c r="I1036" s="24" t="n">
        <v>38120</v>
      </c>
      <c r="J1036" s="24" t="n">
        <v>25.87</v>
      </c>
      <c r="K1036" s="24" t="n">
        <v>25.87</v>
      </c>
      <c r="L1036" s="24" t="n">
        <v>25.87</v>
      </c>
      <c r="M1036" s="24" t="n">
        <v>27.54</v>
      </c>
      <c r="N1036" s="24" t="n">
        <v>27.54</v>
      </c>
      <c r="O1036" s="24" t="n">
        <v>27.54</v>
      </c>
    </row>
    <row r="1037">
      <c r="A1037" s="11" t="n">
        <v>2767</v>
      </c>
      <c r="B1037" s="3" t="n">
        <v>44645</v>
      </c>
      <c r="C1037" s="25" t="inlineStr">
        <is>
          <t>GELENEKSEL</t>
        </is>
      </c>
      <c r="D1037" s="3" t="n">
        <v>44648</v>
      </c>
      <c r="E1037" s="3" t="n">
        <v>46064</v>
      </c>
      <c r="F1037" s="25"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3" t="n">
        <v>44645</v>
      </c>
      <c r="C1038" s="22" t="inlineStr">
        <is>
          <t>GELENEKSEL</t>
        </is>
      </c>
      <c r="D1038" s="23" t="n">
        <v>44648</v>
      </c>
      <c r="E1038" s="23" t="n">
        <v>47800</v>
      </c>
      <c r="F1038" s="22" t="inlineStr">
        <is>
          <t>TRT131130T14</t>
        </is>
      </c>
      <c r="G1038" s="8" t="n">
        <v>215000</v>
      </c>
      <c r="H1038" s="8" t="n">
        <v>50000</v>
      </c>
      <c r="I1038" s="24" t="n">
        <v>27715</v>
      </c>
      <c r="J1038" s="24" t="n">
        <v>26.04</v>
      </c>
      <c r="K1038" s="24" t="n">
        <v>26.04</v>
      </c>
      <c r="L1038" s="24" t="n">
        <v>26.04</v>
      </c>
      <c r="M1038" s="24" t="n">
        <v>27.74</v>
      </c>
      <c r="N1038" s="24" t="n">
        <v>27.74</v>
      </c>
      <c r="O1038" s="24" t="n">
        <v>27.74</v>
      </c>
    </row>
    <row r="1039">
      <c r="A1039" s="11" t="n">
        <v>2769</v>
      </c>
      <c r="B1039" s="3" t="n">
        <v>44648</v>
      </c>
      <c r="C1039" s="25" t="inlineStr">
        <is>
          <t>GELENEKSEL</t>
        </is>
      </c>
      <c r="D1039" s="3" t="n">
        <v>44649</v>
      </c>
      <c r="E1039" s="3" t="n">
        <v>45931</v>
      </c>
      <c r="F1039" s="25"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3" t="n">
        <v>44648</v>
      </c>
      <c r="C1040" s="22" t="inlineStr">
        <is>
          <t>GELENEKSEL</t>
        </is>
      </c>
      <c r="D1040" s="23" t="n">
        <v>44649</v>
      </c>
      <c r="E1040" s="23" t="n">
        <v>46610</v>
      </c>
      <c r="F1040" s="22" t="inlineStr">
        <is>
          <t>TRT110827T16</t>
        </is>
      </c>
      <c r="G1040" s="8" t="n">
        <v>216000</v>
      </c>
      <c r="H1040" s="8" t="n">
        <v>81000</v>
      </c>
      <c r="I1040" s="24" t="n">
        <v>47184.06</v>
      </c>
      <c r="J1040" s="24" t="n">
        <v>25.48</v>
      </c>
      <c r="K1040" s="24" t="n">
        <v>25.59</v>
      </c>
      <c r="L1040" s="24" t="n">
        <v>25.94</v>
      </c>
      <c r="M1040" s="24" t="n">
        <v>27.11</v>
      </c>
      <c r="N1040" s="24" t="n">
        <v>27.23</v>
      </c>
      <c r="O1040" s="24" t="n">
        <v>27.62</v>
      </c>
    </row>
    <row r="1041">
      <c r="A1041" s="11" t="n">
        <v>2771</v>
      </c>
      <c r="B1041" s="3" t="n">
        <v>44648</v>
      </c>
      <c r="C1041" s="25" t="inlineStr">
        <is>
          <t>GELENEKSEL</t>
        </is>
      </c>
      <c r="D1041" s="3" t="n">
        <v>44649</v>
      </c>
      <c r="E1041" s="3" t="n">
        <v>47800</v>
      </c>
      <c r="F1041" s="25"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3" t="n">
        <v>44650</v>
      </c>
      <c r="C1042" s="22" t="inlineStr">
        <is>
          <t>GELENEKSEL</t>
        </is>
      </c>
      <c r="D1042" s="23" t="n">
        <v>44651</v>
      </c>
      <c r="E1042" s="23" t="n">
        <v>45728</v>
      </c>
      <c r="F1042" s="22" t="inlineStr">
        <is>
          <t>TRT120325T12</t>
        </is>
      </c>
      <c r="G1042" s="8" t="n">
        <v>344000</v>
      </c>
      <c r="H1042" s="8" t="n">
        <v>50000</v>
      </c>
      <c r="I1042" s="24" t="n">
        <v>33664.5</v>
      </c>
      <c r="J1042" s="24" t="n">
        <v>24.25</v>
      </c>
      <c r="K1042" s="24" t="n">
        <v>24.25</v>
      </c>
      <c r="L1042" s="24" t="n">
        <v>24.25</v>
      </c>
      <c r="M1042" s="24" t="n">
        <v>25.72</v>
      </c>
      <c r="N1042" s="24" t="n">
        <v>25.72</v>
      </c>
      <c r="O1042" s="24" t="n">
        <v>25.72</v>
      </c>
    </row>
    <row r="1043">
      <c r="A1043" s="11" t="n">
        <v>2773</v>
      </c>
      <c r="B1043" s="3" t="n">
        <v>44650</v>
      </c>
      <c r="C1043" s="25" t="inlineStr">
        <is>
          <t>GELENEKSEL</t>
        </is>
      </c>
      <c r="D1043" s="3" t="n">
        <v>44651</v>
      </c>
      <c r="E1043" s="3" t="n">
        <v>46442</v>
      </c>
      <c r="F1043" s="25"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3" t="n">
        <v>44650</v>
      </c>
      <c r="C1044" s="22" t="inlineStr">
        <is>
          <t>GELENEKSEL</t>
        </is>
      </c>
      <c r="D1044" s="23" t="n">
        <v>44651</v>
      </c>
      <c r="E1044" s="23" t="n">
        <v>47800</v>
      </c>
      <c r="F1044" s="22" t="inlineStr">
        <is>
          <t>TRT131130T14</t>
        </is>
      </c>
      <c r="G1044" s="8" t="n">
        <v>732000</v>
      </c>
      <c r="H1044" s="8" t="n">
        <v>50000</v>
      </c>
      <c r="I1044" s="24" t="n">
        <v>29915</v>
      </c>
      <c r="J1044" s="24" t="n">
        <v>24.06</v>
      </c>
      <c r="K1044" s="24" t="n">
        <v>24.06</v>
      </c>
      <c r="L1044" s="24" t="n">
        <v>24.06</v>
      </c>
      <c r="M1044" s="24" t="n">
        <v>25.51</v>
      </c>
      <c r="N1044" s="24" t="n">
        <v>25.51</v>
      </c>
      <c r="O1044" s="24" t="n">
        <v>25.51</v>
      </c>
    </row>
    <row r="1045">
      <c r="A1045" s="11" t="n">
        <v>2775</v>
      </c>
      <c r="B1045" s="3" t="n">
        <v>44652</v>
      </c>
      <c r="C1045" s="25" t="inlineStr">
        <is>
          <t>GELENEKSEL</t>
        </is>
      </c>
      <c r="D1045" s="3" t="n">
        <v>44655</v>
      </c>
      <c r="E1045" s="3" t="n">
        <v>45931</v>
      </c>
      <c r="F1045" s="25"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3" t="n">
        <v>44652</v>
      </c>
      <c r="C1046" s="22" t="inlineStr">
        <is>
          <t>GELENEKSEL</t>
        </is>
      </c>
      <c r="D1046" s="23" t="n">
        <v>44655</v>
      </c>
      <c r="E1046" s="23" t="n">
        <v>46610</v>
      </c>
      <c r="F1046" s="22" t="inlineStr">
        <is>
          <t>TRT110827T16</t>
        </is>
      </c>
      <c r="G1046" s="8" t="n">
        <v>289000</v>
      </c>
      <c r="H1046" s="8" t="n">
        <v>150000</v>
      </c>
      <c r="I1046" s="24" t="n">
        <v>92348.11</v>
      </c>
      <c r="J1046" s="24" t="n">
        <v>24</v>
      </c>
      <c r="K1046" s="24" t="n">
        <v>24.06</v>
      </c>
      <c r="L1046" s="24" t="n">
        <v>24.22</v>
      </c>
      <c r="M1046" s="24" t="n">
        <v>25.44</v>
      </c>
      <c r="N1046" s="24" t="n">
        <v>25.51</v>
      </c>
      <c r="O1046" s="24" t="n">
        <v>25.69</v>
      </c>
    </row>
    <row r="1047">
      <c r="A1047" s="11" t="n">
        <v>2777</v>
      </c>
      <c r="B1047" s="3" t="n">
        <v>44652</v>
      </c>
      <c r="C1047" s="25" t="inlineStr">
        <is>
          <t>GELENEKSEL</t>
        </is>
      </c>
      <c r="D1047" s="3" t="n">
        <v>44655</v>
      </c>
      <c r="E1047" s="3" t="n">
        <v>47800</v>
      </c>
      <c r="F1047" s="25"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3" t="n">
        <v>44655</v>
      </c>
      <c r="C1048" s="22" t="inlineStr">
        <is>
          <t>GELENEKSEL</t>
        </is>
      </c>
      <c r="D1048" s="23" t="n">
        <v>44656</v>
      </c>
      <c r="E1048" s="23" t="n">
        <v>45189</v>
      </c>
      <c r="F1048" s="22" t="inlineStr">
        <is>
          <t>TRT200923T18</t>
        </is>
      </c>
      <c r="G1048" s="8" t="n">
        <v>410000</v>
      </c>
      <c r="H1048" s="8" t="n">
        <v>100000</v>
      </c>
      <c r="I1048" s="24" t="n">
        <v>93433.8</v>
      </c>
      <c r="J1048" s="24" t="n">
        <v>23.14</v>
      </c>
      <c r="K1048" s="24" t="n">
        <v>23.23</v>
      </c>
      <c r="L1048" s="24" t="n">
        <v>23.39</v>
      </c>
      <c r="M1048" s="24" t="n">
        <v>24.48</v>
      </c>
      <c r="N1048" s="24" t="n">
        <v>24.58</v>
      </c>
      <c r="O1048" s="24" t="n">
        <v>24.75</v>
      </c>
    </row>
    <row r="1049">
      <c r="A1049" s="11" t="n">
        <v>2779</v>
      </c>
      <c r="B1049" s="3" t="n">
        <v>44655</v>
      </c>
      <c r="C1049" s="25" t="inlineStr">
        <is>
          <t>GELENEKSEL</t>
        </is>
      </c>
      <c r="D1049" s="3" t="n">
        <v>44656</v>
      </c>
      <c r="E1049" s="3" t="n">
        <v>45728</v>
      </c>
      <c r="F1049" s="25"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3" t="n">
        <v>44655</v>
      </c>
      <c r="C1050" s="22" t="inlineStr">
        <is>
          <t>GELENEKSEL</t>
        </is>
      </c>
      <c r="D1050" s="23" t="n">
        <v>44656</v>
      </c>
      <c r="E1050" s="23" t="n">
        <v>47800</v>
      </c>
      <c r="F1050" s="22" t="inlineStr">
        <is>
          <t>TRT131130T14</t>
        </is>
      </c>
      <c r="G1050" s="8" t="n">
        <v>575000</v>
      </c>
      <c r="H1050" s="8" t="n">
        <v>100000</v>
      </c>
      <c r="I1050" s="24" t="n">
        <v>60881</v>
      </c>
      <c r="J1050" s="24" t="n">
        <v>23.68</v>
      </c>
      <c r="K1050" s="24" t="n">
        <v>23.7</v>
      </c>
      <c r="L1050" s="24" t="n">
        <v>23.72</v>
      </c>
      <c r="M1050" s="24" t="n">
        <v>25.09</v>
      </c>
      <c r="N1050" s="24" t="n">
        <v>25.1</v>
      </c>
      <c r="O1050" s="24" t="n">
        <v>25.12</v>
      </c>
    </row>
    <row r="1051">
      <c r="A1051" s="11" t="n">
        <v>2781</v>
      </c>
      <c r="B1051" s="3" t="n">
        <v>44657</v>
      </c>
      <c r="C1051" s="25" t="inlineStr">
        <is>
          <t>GELENEKSEL</t>
        </is>
      </c>
      <c r="D1051" s="3" t="n">
        <v>44658</v>
      </c>
      <c r="E1051" s="3" t="n">
        <v>45189</v>
      </c>
      <c r="F1051" s="25"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3" t="n">
        <v>44657</v>
      </c>
      <c r="C1052" s="22" t="inlineStr">
        <is>
          <t>GELENEKSEL</t>
        </is>
      </c>
      <c r="D1052" s="23" t="n">
        <v>44658</v>
      </c>
      <c r="E1052" s="23" t="n">
        <v>46442</v>
      </c>
      <c r="F1052" s="22" t="inlineStr">
        <is>
          <t>TRT240227T17</t>
        </is>
      </c>
      <c r="G1052" s="8" t="n">
        <v>400000</v>
      </c>
      <c r="H1052" s="8" t="n">
        <v>150000</v>
      </c>
      <c r="I1052" s="24" t="n">
        <v>93325.75</v>
      </c>
      <c r="J1052" s="24" t="n">
        <v>25.19</v>
      </c>
      <c r="K1052" s="24" t="n">
        <v>25.25</v>
      </c>
      <c r="L1052" s="24" t="n">
        <v>25.31</v>
      </c>
      <c r="M1052" s="24" t="n">
        <v>26.77</v>
      </c>
      <c r="N1052" s="24" t="n">
        <v>26.84</v>
      </c>
      <c r="O1052" s="24" t="n">
        <v>26.91</v>
      </c>
    </row>
    <row r="1053">
      <c r="A1053" s="11" t="n">
        <v>2783</v>
      </c>
      <c r="B1053" s="3" t="n">
        <v>44657</v>
      </c>
      <c r="C1053" s="25" t="inlineStr">
        <is>
          <t>GELENEKSEL</t>
        </is>
      </c>
      <c r="D1053" s="3" t="n">
        <v>44658</v>
      </c>
      <c r="E1053" s="3" t="n">
        <v>47800</v>
      </c>
      <c r="F1053" s="25"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3" t="n">
        <v>44659</v>
      </c>
      <c r="C1054" s="22" t="inlineStr">
        <is>
          <t>PYGELENEKSEL</t>
        </is>
      </c>
      <c r="D1054" s="23" t="n">
        <v>44662</v>
      </c>
      <c r="E1054" s="23" t="n">
        <v>45189</v>
      </c>
      <c r="F1054" s="22" t="inlineStr">
        <is>
          <t>TRT200923T18</t>
        </is>
      </c>
      <c r="G1054" s="8" t="n">
        <v>302000</v>
      </c>
      <c r="H1054" s="8" t="n">
        <v>200000</v>
      </c>
      <c r="I1054" s="24" t="n">
        <v>188599.73</v>
      </c>
      <c r="J1054" s="24" t="n">
        <v>22.64</v>
      </c>
      <c r="K1054" s="24" t="n">
        <v>22.76</v>
      </c>
      <c r="L1054" s="24" t="n">
        <v>22.95</v>
      </c>
      <c r="M1054" s="24" t="n">
        <v>23.92</v>
      </c>
      <c r="N1054" s="24" t="n">
        <v>24.06</v>
      </c>
      <c r="O1054" s="24" t="n">
        <v>24.27</v>
      </c>
    </row>
    <row r="1055">
      <c r="A1055" s="11" t="n">
        <v>2785</v>
      </c>
      <c r="B1055" s="3" t="n">
        <v>44659</v>
      </c>
      <c r="C1055" s="25" t="inlineStr">
        <is>
          <t>PYGELENEKSEL</t>
        </is>
      </c>
      <c r="D1055" s="3" t="n">
        <v>44662</v>
      </c>
      <c r="E1055" s="3" t="n">
        <v>46442</v>
      </c>
      <c r="F1055" s="25"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3" t="n">
        <v>44659</v>
      </c>
      <c r="C1056" s="22" t="inlineStr">
        <is>
          <t>PYGELENEKSEL</t>
        </is>
      </c>
      <c r="D1056" s="23" t="n">
        <v>44662</v>
      </c>
      <c r="E1056" s="23" t="n">
        <v>47800</v>
      </c>
      <c r="F1056" s="22" t="inlineStr">
        <is>
          <t>TRT131130T14</t>
        </is>
      </c>
      <c r="G1056" s="8" t="n">
        <v>267000</v>
      </c>
      <c r="H1056" s="8" t="n">
        <v>200000</v>
      </c>
      <c r="I1056" s="24" t="n">
        <v>121015.99</v>
      </c>
      <c r="J1056" s="24" t="n">
        <v>23.86</v>
      </c>
      <c r="K1056" s="24" t="n">
        <v>23.95</v>
      </c>
      <c r="L1056" s="24" t="n">
        <v>24.11</v>
      </c>
      <c r="M1056" s="24" t="n">
        <v>25.28</v>
      </c>
      <c r="N1056" s="24" t="n">
        <v>25.38</v>
      </c>
      <c r="O1056" s="24" t="n">
        <v>25.56</v>
      </c>
    </row>
    <row r="1057">
      <c r="A1057" s="11" t="n">
        <v>2787</v>
      </c>
      <c r="B1057" s="3" t="n">
        <v>44662</v>
      </c>
      <c r="C1057" s="25" t="inlineStr">
        <is>
          <t>PYGELENEKSEL</t>
        </is>
      </c>
      <c r="D1057" s="3" t="n">
        <v>44663</v>
      </c>
      <c r="E1057" s="3" t="n">
        <v>45196</v>
      </c>
      <c r="F1057" s="25"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3" t="n">
        <v>44662</v>
      </c>
      <c r="C1058" s="22" t="inlineStr">
        <is>
          <t>PYGELENEKSEL</t>
        </is>
      </c>
      <c r="D1058" s="23" t="n">
        <v>44663</v>
      </c>
      <c r="E1058" s="23" t="n">
        <v>46820</v>
      </c>
      <c r="F1058" s="22" t="inlineStr">
        <is>
          <t>TRT080328T15</t>
        </is>
      </c>
      <c r="G1058" s="8" t="n">
        <v>45000</v>
      </c>
      <c r="H1058" s="8" t="n">
        <v>10000</v>
      </c>
      <c r="I1058" s="24" t="n">
        <v>6692</v>
      </c>
      <c r="J1058" s="24" t="n">
        <v>23.24</v>
      </c>
      <c r="K1058" s="24" t="n">
        <v>23.24</v>
      </c>
      <c r="L1058" s="24" t="n">
        <v>23.24</v>
      </c>
      <c r="M1058" s="24" t="n">
        <v>24.59</v>
      </c>
      <c r="N1058" s="24" t="n">
        <v>24.59</v>
      </c>
      <c r="O1058" s="24" t="n">
        <v>24.59</v>
      </c>
    </row>
    <row r="1059">
      <c r="A1059" s="11" t="n">
        <v>2789</v>
      </c>
      <c r="B1059" s="3" t="n">
        <v>44662</v>
      </c>
      <c r="C1059" s="25" t="inlineStr">
        <is>
          <t>PYGELENEKSEL</t>
        </is>
      </c>
      <c r="D1059" s="3" t="n">
        <v>44663</v>
      </c>
      <c r="E1059" s="3" t="n">
        <v>47800</v>
      </c>
      <c r="F1059" s="25"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3" t="n">
        <v>44664</v>
      </c>
      <c r="C1060" s="22" t="inlineStr">
        <is>
          <t>PYGELENEKSEL</t>
        </is>
      </c>
      <c r="D1060" s="23" t="n">
        <v>44665</v>
      </c>
      <c r="E1060" s="23" t="n">
        <v>45196</v>
      </c>
      <c r="F1060" s="22" t="inlineStr">
        <is>
          <t>TRT270923T11</t>
        </is>
      </c>
      <c r="G1060" s="8" t="n">
        <v>142000</v>
      </c>
      <c r="H1060" s="8" t="n">
        <v>142000</v>
      </c>
      <c r="I1060" s="24" t="n">
        <v>121264.65</v>
      </c>
      <c r="J1060" s="24" t="n">
        <v>21.11</v>
      </c>
      <c r="K1060" s="24" t="n">
        <v>21.24</v>
      </c>
      <c r="L1060" s="24" t="n">
        <v>21.3</v>
      </c>
      <c r="M1060" s="24" t="n">
        <v>22.23</v>
      </c>
      <c r="N1060" s="24" t="n">
        <v>22.37</v>
      </c>
      <c r="O1060" s="24" t="n">
        <v>22.43</v>
      </c>
    </row>
    <row r="1061">
      <c r="A1061" s="11" t="n">
        <v>2791</v>
      </c>
      <c r="B1061" s="3" t="n">
        <v>44664</v>
      </c>
      <c r="C1061" s="25" t="inlineStr">
        <is>
          <t>PYGELENEKSEL</t>
        </is>
      </c>
      <c r="D1061" s="3" t="n">
        <v>44665</v>
      </c>
      <c r="E1061" s="3" t="n">
        <v>46442</v>
      </c>
      <c r="F1061" s="25"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3" t="n">
        <v>44664</v>
      </c>
      <c r="C1062" s="22" t="inlineStr">
        <is>
          <t>PYGELENEKSEL</t>
        </is>
      </c>
      <c r="D1062" s="23" t="n">
        <v>44665</v>
      </c>
      <c r="E1062" s="23" t="n">
        <v>47800</v>
      </c>
      <c r="F1062" s="22" t="inlineStr">
        <is>
          <t>TRT131130T14</t>
        </is>
      </c>
      <c r="G1062" s="8" t="n">
        <v>281000</v>
      </c>
      <c r="H1062" s="8" t="n">
        <v>200000</v>
      </c>
      <c r="I1062" s="24" t="n">
        <v>127262.72</v>
      </c>
      <c r="J1062" s="24" t="n">
        <v>22.65</v>
      </c>
      <c r="K1062" s="24" t="n">
        <v>22.7</v>
      </c>
      <c r="L1062" s="24" t="n">
        <v>22.73</v>
      </c>
      <c r="M1062" s="24" t="n">
        <v>23.94</v>
      </c>
      <c r="N1062" s="24" t="n">
        <v>23.99</v>
      </c>
      <c r="O1062" s="24" t="n">
        <v>24.02</v>
      </c>
    </row>
    <row r="1063">
      <c r="A1063" s="11" t="n">
        <v>2793</v>
      </c>
      <c r="B1063" s="3" t="n">
        <v>44666</v>
      </c>
      <c r="C1063" s="25" t="inlineStr">
        <is>
          <t>PYGELENEKSEL</t>
        </is>
      </c>
      <c r="D1063" s="3" t="n">
        <v>44669</v>
      </c>
      <c r="E1063" s="3" t="n">
        <v>45189</v>
      </c>
      <c r="F1063" s="25"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3" t="n">
        <v>44666</v>
      </c>
      <c r="C1064" s="22" t="inlineStr">
        <is>
          <t>PYGELENEKSEL</t>
        </is>
      </c>
      <c r="D1064" s="23" t="n">
        <v>44669</v>
      </c>
      <c r="E1064" s="23" t="n">
        <v>45931</v>
      </c>
      <c r="F1064" s="22" t="inlineStr">
        <is>
          <t>TRT011025T16</t>
        </is>
      </c>
      <c r="G1064" s="8" t="n">
        <v>254000</v>
      </c>
      <c r="H1064" s="8" t="n">
        <v>200000</v>
      </c>
      <c r="I1064" s="24" t="n">
        <v>153206.17</v>
      </c>
      <c r="J1064" s="24" t="n">
        <v>22.88</v>
      </c>
      <c r="K1064" s="24" t="n">
        <v>22.91</v>
      </c>
      <c r="L1064" s="24" t="n">
        <v>22.97</v>
      </c>
      <c r="M1064" s="24" t="n">
        <v>24.19</v>
      </c>
      <c r="N1064" s="24" t="n">
        <v>24.22</v>
      </c>
      <c r="O1064" s="24" t="n">
        <v>24.29</v>
      </c>
    </row>
    <row r="1065">
      <c r="A1065" s="11" t="n">
        <v>2795</v>
      </c>
      <c r="B1065" s="3" t="n">
        <v>44666</v>
      </c>
      <c r="C1065" s="25" t="inlineStr">
        <is>
          <t>PYGELENEKSEL</t>
        </is>
      </c>
      <c r="D1065" s="3" t="n">
        <v>44669</v>
      </c>
      <c r="E1065" s="3" t="n">
        <v>47800</v>
      </c>
      <c r="F1065" s="25"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3" t="n">
        <v>44669</v>
      </c>
      <c r="C1066" s="22" t="inlineStr">
        <is>
          <t>PYGELENEKSEL</t>
        </is>
      </c>
      <c r="D1066" s="23" t="n">
        <v>44670</v>
      </c>
      <c r="E1066" s="23" t="n">
        <v>45371</v>
      </c>
      <c r="F1066" s="22" t="inlineStr">
        <is>
          <t>TRT200324T13</t>
        </is>
      </c>
      <c r="G1066" s="8" t="n">
        <v>6000</v>
      </c>
      <c r="H1066" s="8" t="n">
        <v>0</v>
      </c>
      <c r="I1066" s="24" t="n">
        <v>0</v>
      </c>
    </row>
    <row r="1067">
      <c r="A1067" s="11" t="n">
        <v>2797</v>
      </c>
      <c r="B1067" s="3" t="n">
        <v>44669</v>
      </c>
      <c r="C1067" s="25" t="inlineStr">
        <is>
          <t>PYGELENEKSEL</t>
        </is>
      </c>
      <c r="D1067" s="3" t="n">
        <v>44670</v>
      </c>
      <c r="E1067" s="3" t="n">
        <v>46064</v>
      </c>
      <c r="F1067" s="25"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3" t="n">
        <v>44669</v>
      </c>
      <c r="C1068" s="22" t="inlineStr">
        <is>
          <t>PYGELENEKSEL</t>
        </is>
      </c>
      <c r="D1068" s="23" t="n">
        <v>44670</v>
      </c>
      <c r="E1068" s="23" t="n">
        <v>47800</v>
      </c>
      <c r="F1068" s="22" t="inlineStr">
        <is>
          <t>TRT131130T14</t>
        </is>
      </c>
      <c r="G1068" s="8" t="n">
        <v>184000</v>
      </c>
      <c r="H1068" s="8" t="n">
        <v>184000</v>
      </c>
      <c r="I1068" s="24" t="n">
        <v>122536.82</v>
      </c>
      <c r="J1068" s="24" t="n">
        <v>21.56</v>
      </c>
      <c r="K1068" s="24" t="n">
        <v>21.62</v>
      </c>
      <c r="L1068" s="24" t="n">
        <v>21.7</v>
      </c>
      <c r="M1068" s="24" t="n">
        <v>22.72</v>
      </c>
      <c r="N1068" s="24" t="n">
        <v>22.79</v>
      </c>
      <c r="O1068" s="24" t="n">
        <v>22.88</v>
      </c>
    </row>
    <row r="1069">
      <c r="A1069" s="11" t="n">
        <v>2799</v>
      </c>
      <c r="B1069" s="3" t="n">
        <v>44671</v>
      </c>
      <c r="C1069" s="25" t="inlineStr">
        <is>
          <t>PYGELENEKSEL</t>
        </is>
      </c>
      <c r="D1069" s="3" t="n">
        <v>44672</v>
      </c>
      <c r="E1069" s="3" t="n">
        <v>45196</v>
      </c>
      <c r="F1069" s="25"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3" t="n">
        <v>44671</v>
      </c>
      <c r="C1070" s="22" t="inlineStr">
        <is>
          <t>PYGELENEKSEL</t>
        </is>
      </c>
      <c r="D1070" s="23" t="n">
        <v>44672</v>
      </c>
      <c r="E1070" s="23" t="n">
        <v>46610</v>
      </c>
      <c r="F1070" s="22" t="inlineStr">
        <is>
          <t>TRT110827T16</t>
        </is>
      </c>
      <c r="G1070" s="8" t="n">
        <v>169000</v>
      </c>
      <c r="H1070" s="8" t="n">
        <v>169000</v>
      </c>
      <c r="I1070" s="24" t="n">
        <v>116431.54</v>
      </c>
      <c r="J1070" s="24" t="n">
        <v>20.87</v>
      </c>
      <c r="K1070" s="24" t="n">
        <v>21.06</v>
      </c>
      <c r="L1070" s="24" t="n">
        <v>21.12</v>
      </c>
      <c r="M1070" s="24" t="n">
        <v>21.96</v>
      </c>
      <c r="N1070" s="24" t="n">
        <v>22.17</v>
      </c>
      <c r="O1070" s="24" t="n">
        <v>22.24</v>
      </c>
    </row>
    <row r="1071">
      <c r="A1071" s="11" t="n">
        <v>2801</v>
      </c>
      <c r="B1071" s="3" t="n">
        <v>44671</v>
      </c>
      <c r="C1071" s="25" t="inlineStr">
        <is>
          <t>PYGELENEKSEL</t>
        </is>
      </c>
      <c r="D1071" s="3" t="n">
        <v>44672</v>
      </c>
      <c r="E1071" s="3" t="n">
        <v>47800</v>
      </c>
      <c r="F1071" s="25"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3" t="n">
        <v>44673</v>
      </c>
      <c r="C1072" s="22" t="inlineStr">
        <is>
          <t>PYGELENEKSEL</t>
        </is>
      </c>
      <c r="D1072" s="23" t="n">
        <v>44676</v>
      </c>
      <c r="E1072" s="23" t="n">
        <v>45728</v>
      </c>
      <c r="F1072" s="22" t="inlineStr">
        <is>
          <t>TRT120325T12</t>
        </is>
      </c>
      <c r="G1072" s="8" t="n">
        <v>159000</v>
      </c>
      <c r="H1072" s="8" t="n">
        <v>159000</v>
      </c>
      <c r="I1072" s="24" t="n">
        <v>116774.52</v>
      </c>
      <c r="J1072" s="24" t="n">
        <v>21</v>
      </c>
      <c r="K1072" s="24" t="n">
        <v>21.16</v>
      </c>
      <c r="L1072" s="24" t="n">
        <v>21.31</v>
      </c>
      <c r="M1072" s="24" t="n">
        <v>22.1</v>
      </c>
      <c r="N1072" s="24" t="n">
        <v>22.28</v>
      </c>
      <c r="O1072" s="24" t="n">
        <v>22.45</v>
      </c>
    </row>
    <row r="1073">
      <c r="A1073" s="11" t="n">
        <v>2803</v>
      </c>
      <c r="B1073" s="3" t="n">
        <v>44673</v>
      </c>
      <c r="C1073" s="25" t="inlineStr">
        <is>
          <t>PYGELENEKSEL</t>
        </is>
      </c>
      <c r="D1073" s="3" t="n">
        <v>44676</v>
      </c>
      <c r="E1073" s="3" t="n">
        <v>46064</v>
      </c>
      <c r="F1073" s="25"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3" t="n">
        <v>44673</v>
      </c>
      <c r="C1074" s="22" t="inlineStr">
        <is>
          <t>PYGELENEKSEL</t>
        </is>
      </c>
      <c r="D1074" s="23" t="n">
        <v>44676</v>
      </c>
      <c r="E1074" s="23" t="n">
        <v>46820</v>
      </c>
      <c r="F1074" s="22" t="inlineStr">
        <is>
          <t>TRT080328T15</t>
        </is>
      </c>
      <c r="G1074" s="8" t="n">
        <v>35000</v>
      </c>
      <c r="H1074" s="8" t="n">
        <v>35000</v>
      </c>
      <c r="I1074" s="24" t="n">
        <v>26182.05</v>
      </c>
      <c r="J1074" s="24" t="n">
        <v>20.26</v>
      </c>
      <c r="K1074" s="24" t="n">
        <v>20.32</v>
      </c>
      <c r="L1074" s="24" t="n">
        <v>20.4</v>
      </c>
      <c r="M1074" s="24" t="n">
        <v>21.29</v>
      </c>
      <c r="N1074" s="24" t="n">
        <v>21.35</v>
      </c>
      <c r="O1074" s="24" t="n">
        <v>21.44</v>
      </c>
    </row>
    <row r="1075">
      <c r="A1075" s="11" t="n">
        <v>2805</v>
      </c>
      <c r="B1075" s="3" t="n">
        <v>44676</v>
      </c>
      <c r="C1075" s="25" t="inlineStr">
        <is>
          <t>PYGELENEKSEL</t>
        </is>
      </c>
      <c r="D1075" s="3" t="n">
        <v>44677</v>
      </c>
      <c r="E1075" s="3" t="n">
        <v>45497</v>
      </c>
      <c r="F1075" s="25"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3" t="n">
        <v>44676</v>
      </c>
      <c r="C1076" s="22" t="inlineStr">
        <is>
          <t>PYGELENEKSEL</t>
        </is>
      </c>
      <c r="D1076" s="23" t="n">
        <v>44677</v>
      </c>
      <c r="E1076" s="23" t="n">
        <v>46610</v>
      </c>
      <c r="F1076" s="22" t="inlineStr">
        <is>
          <t>TRT110827T16</t>
        </is>
      </c>
      <c r="G1076" s="8" t="n">
        <v>222000</v>
      </c>
      <c r="H1076" s="8" t="n">
        <v>200000</v>
      </c>
      <c r="I1076" s="24" t="n">
        <v>142885.55</v>
      </c>
      <c r="J1076" s="24" t="n">
        <v>19.92</v>
      </c>
      <c r="K1076" s="24" t="n">
        <v>20.09</v>
      </c>
      <c r="L1076" s="24" t="n">
        <v>20.3</v>
      </c>
      <c r="M1076" s="24" t="n">
        <v>20.91</v>
      </c>
      <c r="N1076" s="24" t="n">
        <v>21.1</v>
      </c>
      <c r="O1076" s="24" t="n">
        <v>21.33</v>
      </c>
    </row>
    <row r="1077">
      <c r="A1077" s="11" t="n">
        <v>2807</v>
      </c>
      <c r="B1077" s="3" t="n">
        <v>44676</v>
      </c>
      <c r="C1077" s="25" t="inlineStr">
        <is>
          <t>PYGELENEKSEL</t>
        </is>
      </c>
      <c r="D1077" s="3" t="n">
        <v>44677</v>
      </c>
      <c r="E1077" s="3" t="n">
        <v>46820</v>
      </c>
      <c r="F1077" s="25"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3" t="n">
        <v>44678</v>
      </c>
      <c r="C1078" s="22" t="inlineStr">
        <is>
          <t>PYGELENEKSEL</t>
        </is>
      </c>
      <c r="D1078" s="23" t="n">
        <v>44679</v>
      </c>
      <c r="E1078" s="23" t="n">
        <v>45497</v>
      </c>
      <c r="F1078" s="22" t="inlineStr">
        <is>
          <t>TRT240724T15</t>
        </is>
      </c>
      <c r="G1078" s="8" t="n">
        <v>117000</v>
      </c>
      <c r="H1078" s="8" t="n">
        <v>116000</v>
      </c>
      <c r="I1078" s="24" t="n">
        <v>97279.86</v>
      </c>
      <c r="J1078" s="24" t="n">
        <v>19.37</v>
      </c>
      <c r="K1078" s="24" t="n">
        <v>19.47</v>
      </c>
      <c r="L1078" s="24" t="n">
        <v>19.66</v>
      </c>
      <c r="M1078" s="24" t="n">
        <v>20.31</v>
      </c>
      <c r="N1078" s="24" t="n">
        <v>20.42</v>
      </c>
      <c r="O1078" s="24" t="n">
        <v>20.62</v>
      </c>
    </row>
    <row r="1079">
      <c r="A1079" s="11" t="n">
        <v>2809</v>
      </c>
      <c r="B1079" s="3" t="n">
        <v>44678</v>
      </c>
      <c r="C1079" s="25" t="inlineStr">
        <is>
          <t>PYGELENEKSEL</t>
        </is>
      </c>
      <c r="D1079" s="3" t="n">
        <v>44679</v>
      </c>
      <c r="E1079" s="3" t="n">
        <v>46064</v>
      </c>
      <c r="F1079" s="25"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3" t="n">
        <v>44678</v>
      </c>
      <c r="C1080" s="22" t="inlineStr">
        <is>
          <t>PYGELENEKSEL</t>
        </is>
      </c>
      <c r="D1080" s="23" t="n">
        <v>44679</v>
      </c>
      <c r="E1080" s="23" t="n">
        <v>47800</v>
      </c>
      <c r="F1080" s="22" t="inlineStr">
        <is>
          <t>TRT131130T14</t>
        </is>
      </c>
      <c r="G1080" s="8" t="n">
        <v>232000</v>
      </c>
      <c r="H1080" s="8" t="n">
        <v>200000</v>
      </c>
      <c r="I1080" s="24" t="n">
        <v>142586.1</v>
      </c>
      <c r="J1080" s="24" t="n">
        <v>20.03</v>
      </c>
      <c r="K1080" s="24" t="n">
        <v>20.09</v>
      </c>
      <c r="L1080" s="24" t="n">
        <v>20.12</v>
      </c>
      <c r="M1080" s="24" t="n">
        <v>21.03</v>
      </c>
      <c r="N1080" s="24" t="n">
        <v>21.1</v>
      </c>
      <c r="O1080" s="24" t="n">
        <v>21.13</v>
      </c>
    </row>
    <row r="1081">
      <c r="A1081" s="11" t="n">
        <v>2811</v>
      </c>
      <c r="B1081" s="3" t="n">
        <v>44680</v>
      </c>
      <c r="C1081" s="25" t="inlineStr">
        <is>
          <t>PYGELENEKSEL</t>
        </is>
      </c>
      <c r="D1081" s="3" t="n">
        <v>44686</v>
      </c>
      <c r="E1081" s="3" t="n">
        <v>45931</v>
      </c>
      <c r="F1081" s="25"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3" t="n">
        <v>44680</v>
      </c>
      <c r="C1082" s="22" t="inlineStr">
        <is>
          <t>PYGELENEKSEL</t>
        </is>
      </c>
      <c r="D1082" s="23" t="n">
        <v>44686</v>
      </c>
      <c r="E1082" s="23" t="n">
        <v>46442</v>
      </c>
      <c r="F1082" s="22" t="inlineStr">
        <is>
          <t>TRT240227T17</t>
        </is>
      </c>
      <c r="G1082" s="8" t="n">
        <v>168000</v>
      </c>
      <c r="H1082" s="8" t="n">
        <v>136000</v>
      </c>
      <c r="I1082" s="24" t="n">
        <v>101394.49</v>
      </c>
      <c r="J1082" s="24" t="n">
        <v>20.03</v>
      </c>
      <c r="K1082" s="24" t="n">
        <v>20.11</v>
      </c>
      <c r="L1082" s="24" t="n">
        <v>20.19</v>
      </c>
      <c r="M1082" s="24" t="n">
        <v>21.03</v>
      </c>
      <c r="N1082" s="24" t="n">
        <v>21.12</v>
      </c>
      <c r="O1082" s="24" t="n">
        <v>21.21</v>
      </c>
    </row>
    <row r="1083">
      <c r="A1083" s="11" t="n">
        <v>2813</v>
      </c>
      <c r="B1083" s="3" t="n">
        <v>44680</v>
      </c>
      <c r="C1083" s="25" t="inlineStr">
        <is>
          <t>PYGELENEKSEL</t>
        </is>
      </c>
      <c r="D1083" s="3" t="n">
        <v>44686</v>
      </c>
      <c r="E1083" s="3" t="n">
        <v>46610</v>
      </c>
      <c r="F1083" s="25"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3" t="n">
        <v>44687</v>
      </c>
      <c r="C1084" s="22" t="inlineStr">
        <is>
          <t>PYGELENEKSEL</t>
        </is>
      </c>
      <c r="D1084" s="23" t="n">
        <v>44690</v>
      </c>
      <c r="E1084" s="23" t="n">
        <v>45189</v>
      </c>
      <c r="F1084" s="22" t="inlineStr">
        <is>
          <t>TRT200923T18</t>
        </is>
      </c>
      <c r="G1084" s="8" t="n">
        <v>281000</v>
      </c>
      <c r="H1084" s="8" t="n">
        <v>200000</v>
      </c>
      <c r="I1084" s="24" t="n">
        <v>195326.61</v>
      </c>
      <c r="J1084" s="24" t="n">
        <v>20.95</v>
      </c>
      <c r="K1084" s="24" t="n">
        <v>21.14</v>
      </c>
      <c r="L1084" s="24" t="n">
        <v>21.2</v>
      </c>
      <c r="M1084" s="24" t="n">
        <v>22.05</v>
      </c>
      <c r="N1084" s="24" t="n">
        <v>22.25</v>
      </c>
      <c r="O1084" s="24" t="n">
        <v>22.32</v>
      </c>
    </row>
    <row r="1085">
      <c r="A1085" s="11" t="n">
        <v>2815</v>
      </c>
      <c r="B1085" s="3" t="n">
        <v>44687</v>
      </c>
      <c r="C1085" s="25" t="inlineStr">
        <is>
          <t>PYGELENEKSEL</t>
        </is>
      </c>
      <c r="D1085" s="3" t="n">
        <v>44690</v>
      </c>
      <c r="E1085" s="3" t="n">
        <v>46064</v>
      </c>
      <c r="F1085" s="25"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3" t="n">
        <v>44687</v>
      </c>
      <c r="C1086" s="22" t="inlineStr">
        <is>
          <t>PYGELENEKSEL</t>
        </is>
      </c>
      <c r="D1086" s="23" t="n">
        <v>44690</v>
      </c>
      <c r="E1086" s="23" t="n">
        <v>47800</v>
      </c>
      <c r="F1086" s="22" t="inlineStr">
        <is>
          <t>TRT131130T14</t>
        </is>
      </c>
      <c r="G1086" s="8" t="n">
        <v>299000</v>
      </c>
      <c r="H1086" s="8" t="n">
        <v>200000</v>
      </c>
      <c r="I1086" s="24" t="n">
        <v>135806.44</v>
      </c>
      <c r="J1086" s="24" t="n">
        <v>21.23</v>
      </c>
      <c r="K1086" s="24" t="n">
        <v>21.42</v>
      </c>
      <c r="L1086" s="24" t="n">
        <v>21.5</v>
      </c>
      <c r="M1086" s="24" t="n">
        <v>22.36</v>
      </c>
      <c r="N1086" s="24" t="n">
        <v>22.57</v>
      </c>
      <c r="O1086" s="24" t="n">
        <v>22.65</v>
      </c>
    </row>
    <row r="1087">
      <c r="A1087" s="11" t="n">
        <v>2817</v>
      </c>
      <c r="B1087" s="3" t="n">
        <v>44690</v>
      </c>
      <c r="C1087" s="25" t="inlineStr">
        <is>
          <t>PYGELENEKSEL</t>
        </is>
      </c>
      <c r="D1087" s="3" t="n">
        <v>44691</v>
      </c>
      <c r="E1087" s="3" t="n">
        <v>46442</v>
      </c>
      <c r="F1087" s="25"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3" t="n">
        <v>44690</v>
      </c>
      <c r="C1088" s="22" t="inlineStr">
        <is>
          <t>PYGELENEKSEL</t>
        </is>
      </c>
      <c r="D1088" s="23" t="n">
        <v>44691</v>
      </c>
      <c r="E1088" s="23" t="n">
        <v>47800</v>
      </c>
      <c r="F1088" s="22" t="inlineStr">
        <is>
          <t>TRT131130T14</t>
        </is>
      </c>
      <c r="G1088" s="8" t="n">
        <v>640000</v>
      </c>
      <c r="H1088" s="8" t="n">
        <v>400000</v>
      </c>
      <c r="I1088" s="24" t="n">
        <v>270000.64</v>
      </c>
      <c r="J1088" s="24" t="n">
        <v>21.53</v>
      </c>
      <c r="K1088" s="24" t="n">
        <v>21.59</v>
      </c>
      <c r="L1088" s="24" t="n">
        <v>21.67</v>
      </c>
      <c r="M1088" s="24" t="n">
        <v>22.69</v>
      </c>
      <c r="N1088" s="24" t="n">
        <v>22.76</v>
      </c>
      <c r="O1088" s="24" t="n">
        <v>22.84</v>
      </c>
    </row>
    <row r="1089">
      <c r="A1089" s="11" t="n">
        <v>2819</v>
      </c>
      <c r="B1089" s="3" t="n">
        <v>44692</v>
      </c>
      <c r="C1089" s="25" t="inlineStr">
        <is>
          <t>PYGELENEKSEL</t>
        </is>
      </c>
      <c r="D1089" s="3" t="n">
        <v>44693</v>
      </c>
      <c r="E1089" s="3" t="n">
        <v>45931</v>
      </c>
      <c r="F1089" s="25"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3" t="n">
        <v>44692</v>
      </c>
      <c r="C1090" s="22" t="inlineStr">
        <is>
          <t>PYGELENEKSEL</t>
        </is>
      </c>
      <c r="D1090" s="23" t="n">
        <v>44693</v>
      </c>
      <c r="E1090" s="23" t="n">
        <v>46064</v>
      </c>
      <c r="F1090" s="22" t="inlineStr">
        <is>
          <t>TRT110226T13</t>
        </is>
      </c>
      <c r="G1090" s="8" t="n">
        <v>262000</v>
      </c>
      <c r="H1090" s="8" t="n">
        <v>200000</v>
      </c>
      <c r="I1090" s="24" t="n">
        <v>143126.13</v>
      </c>
      <c r="J1090" s="24" t="n">
        <v>23.26</v>
      </c>
      <c r="K1090" s="24" t="n">
        <v>23.35</v>
      </c>
      <c r="L1090" s="24" t="n">
        <v>23.4</v>
      </c>
      <c r="M1090" s="24" t="n">
        <v>24.61</v>
      </c>
      <c r="N1090" s="24" t="n">
        <v>24.71</v>
      </c>
      <c r="O1090" s="24" t="n">
        <v>24.77</v>
      </c>
    </row>
    <row r="1091">
      <c r="A1091" s="11" t="n">
        <v>2821</v>
      </c>
      <c r="B1091" s="3" t="n">
        <v>44692</v>
      </c>
      <c r="C1091" s="25" t="inlineStr">
        <is>
          <t>PYGELENEKSEL</t>
        </is>
      </c>
      <c r="D1091" s="3" t="n">
        <v>44693</v>
      </c>
      <c r="E1091" s="3" t="n">
        <v>47800</v>
      </c>
      <c r="F1091" s="25"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3" t="n">
        <v>44694</v>
      </c>
      <c r="C1092" s="22" t="inlineStr">
        <is>
          <t>PYGELENEKSEL</t>
        </is>
      </c>
      <c r="D1092" s="23" t="n">
        <v>44697</v>
      </c>
      <c r="E1092" s="23" t="n">
        <v>46610</v>
      </c>
      <c r="F1092" s="22" t="inlineStr">
        <is>
          <t>TRT110827T16</t>
        </is>
      </c>
      <c r="G1092" s="8" t="n">
        <v>508000</v>
      </c>
      <c r="H1092" s="8" t="n">
        <v>400000</v>
      </c>
      <c r="I1092" s="24" t="n">
        <v>251636.24</v>
      </c>
      <c r="J1092" s="24" t="n">
        <v>24.06</v>
      </c>
      <c r="K1092" s="24" t="n">
        <v>24.2</v>
      </c>
      <c r="L1092" s="24" t="n">
        <v>24.37</v>
      </c>
      <c r="M1092" s="24" t="n">
        <v>25.51</v>
      </c>
      <c r="N1092" s="24" t="n">
        <v>25.67</v>
      </c>
      <c r="O1092" s="24" t="n">
        <v>25.86</v>
      </c>
    </row>
    <row r="1093">
      <c r="A1093" s="11" t="n">
        <v>2823</v>
      </c>
      <c r="B1093" s="3" t="n">
        <v>44694</v>
      </c>
      <c r="C1093" s="25" t="inlineStr">
        <is>
          <t>PYGELENEKSEL</t>
        </is>
      </c>
      <c r="D1093" s="3" t="n">
        <v>44697</v>
      </c>
      <c r="E1093" s="3" t="n">
        <v>46820</v>
      </c>
      <c r="F1093" s="25"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3" t="n">
        <v>44694</v>
      </c>
      <c r="C1094" s="22" t="inlineStr">
        <is>
          <t>PYGELENEKSEL</t>
        </is>
      </c>
      <c r="D1094" s="23" t="n">
        <v>44697</v>
      </c>
      <c r="E1094" s="23" t="n">
        <v>47800</v>
      </c>
      <c r="F1094" s="22" t="inlineStr">
        <is>
          <t>TRT131130T14</t>
        </is>
      </c>
      <c r="G1094" s="8" t="n">
        <v>627000</v>
      </c>
      <c r="H1094" s="8" t="n">
        <v>400000</v>
      </c>
      <c r="I1094" s="24" t="n">
        <v>251122.2</v>
      </c>
      <c r="J1094" s="24" t="n">
        <v>23.51</v>
      </c>
      <c r="K1094" s="24" t="n">
        <v>23.54</v>
      </c>
      <c r="L1094" s="24" t="n">
        <v>23.61</v>
      </c>
      <c r="M1094" s="24" t="n">
        <v>24.89</v>
      </c>
      <c r="N1094" s="24" t="n">
        <v>24.93</v>
      </c>
      <c r="O1094" s="24" t="n">
        <v>25</v>
      </c>
    </row>
    <row r="1095">
      <c r="A1095" s="11" t="n">
        <v>2825</v>
      </c>
      <c r="B1095" s="3" t="n">
        <v>44697</v>
      </c>
      <c r="C1095" s="25" t="inlineStr">
        <is>
          <t>PYGELENEKSEL</t>
        </is>
      </c>
      <c r="D1095" s="3" t="n">
        <v>44698</v>
      </c>
      <c r="E1095" s="3" t="n">
        <v>45931</v>
      </c>
      <c r="F1095" s="25"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3" t="n">
        <v>44697</v>
      </c>
      <c r="C1096" s="22" t="inlineStr">
        <is>
          <t>PYGELENEKSEL</t>
        </is>
      </c>
      <c r="D1096" s="23" t="n">
        <v>44698</v>
      </c>
      <c r="E1096" s="23" t="n">
        <v>46064</v>
      </c>
      <c r="F1096" s="22" t="inlineStr">
        <is>
          <t>TRT110226T13</t>
        </is>
      </c>
      <c r="G1096" s="8" t="n">
        <v>540000</v>
      </c>
      <c r="H1096" s="8" t="n">
        <v>233000</v>
      </c>
      <c r="I1096" s="24" t="n">
        <v>160747.82</v>
      </c>
      <c r="J1096" s="24" t="n">
        <v>24.85</v>
      </c>
      <c r="K1096" s="24" t="n">
        <v>24.85</v>
      </c>
      <c r="L1096" s="24" t="n">
        <v>24.94</v>
      </c>
      <c r="M1096" s="24" t="n">
        <v>26.39</v>
      </c>
      <c r="N1096" s="24" t="n">
        <v>26.39</v>
      </c>
      <c r="O1096" s="24" t="n">
        <v>26.5</v>
      </c>
    </row>
    <row r="1097">
      <c r="A1097" s="11" t="n">
        <v>2827</v>
      </c>
      <c r="B1097" s="3" t="n">
        <v>44697</v>
      </c>
      <c r="C1097" s="25" t="inlineStr">
        <is>
          <t>PYGELENEKSEL</t>
        </is>
      </c>
      <c r="D1097" s="3" t="n">
        <v>44698</v>
      </c>
      <c r="E1097" s="3" t="n">
        <v>47800</v>
      </c>
      <c r="F1097" s="25"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3" t="n">
        <v>44699</v>
      </c>
      <c r="C1098" s="22" t="inlineStr">
        <is>
          <t>PYGELENEKSEL</t>
        </is>
      </c>
      <c r="D1098" s="23" t="n">
        <v>44701</v>
      </c>
      <c r="E1098" s="23" t="n">
        <v>46064</v>
      </c>
      <c r="F1098" s="22" t="inlineStr">
        <is>
          <t>TRT110226T13</t>
        </is>
      </c>
      <c r="G1098" s="8" t="n">
        <v>400000</v>
      </c>
      <c r="H1098" s="8" t="n">
        <v>300000</v>
      </c>
      <c r="I1098" s="24" t="n">
        <v>216285.58</v>
      </c>
      <c r="J1098" s="24" t="n">
        <v>23.19</v>
      </c>
      <c r="K1098" s="24" t="n">
        <v>23.26</v>
      </c>
      <c r="L1098" s="24" t="n">
        <v>23.29</v>
      </c>
      <c r="M1098" s="24" t="n">
        <v>24.54</v>
      </c>
      <c r="N1098" s="24" t="n">
        <v>24.61</v>
      </c>
      <c r="O1098" s="24" t="n">
        <v>24.64</v>
      </c>
    </row>
    <row r="1099">
      <c r="A1099" s="11" t="n">
        <v>2829</v>
      </c>
      <c r="B1099" s="3" t="n">
        <v>44699</v>
      </c>
      <c r="C1099" s="25" t="inlineStr">
        <is>
          <t>PYGELENEKSEL</t>
        </is>
      </c>
      <c r="D1099" s="3" t="n">
        <v>44701</v>
      </c>
      <c r="E1099" s="3" t="n">
        <v>46442</v>
      </c>
      <c r="F1099" s="25"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3" t="n">
        <v>44699</v>
      </c>
      <c r="C1100" s="22" t="inlineStr">
        <is>
          <t>PYGELENEKSEL</t>
        </is>
      </c>
      <c r="D1100" s="23" t="n">
        <v>44701</v>
      </c>
      <c r="E1100" s="23" t="n">
        <v>46820</v>
      </c>
      <c r="F1100" s="22" t="inlineStr">
        <is>
          <t>TRT080328T15</t>
        </is>
      </c>
      <c r="G1100" s="8" t="n">
        <v>308000</v>
      </c>
      <c r="H1100" s="8" t="n">
        <v>300000</v>
      </c>
      <c r="I1100" s="24" t="n">
        <v>212465.27</v>
      </c>
      <c r="J1100" s="24" t="n">
        <v>22.17</v>
      </c>
      <c r="K1100" s="24" t="n">
        <v>22.26</v>
      </c>
      <c r="L1100" s="24" t="n">
        <v>22.38</v>
      </c>
      <c r="M1100" s="24" t="n">
        <v>23.39</v>
      </c>
      <c r="N1100" s="24" t="n">
        <v>23.5</v>
      </c>
      <c r="O1100" s="24" t="n">
        <v>23.64</v>
      </c>
    </row>
    <row r="1101">
      <c r="A1101" s="11" t="n">
        <v>2831</v>
      </c>
      <c r="B1101" s="3" t="n">
        <v>44701</v>
      </c>
      <c r="C1101" s="25" t="inlineStr">
        <is>
          <t>PYGELENEKSEL</t>
        </is>
      </c>
      <c r="D1101" s="3" t="n">
        <v>44704</v>
      </c>
      <c r="E1101" s="3" t="n">
        <v>45728</v>
      </c>
      <c r="F1101" s="25" t="inlineStr">
        <is>
          <t>TRT120325T12</t>
        </is>
      </c>
      <c r="G1101" s="11" t="n">
        <v>334000</v>
      </c>
      <c r="H1101" s="11" t="n">
        <v>0</v>
      </c>
      <c r="I1101" s="13" t="n">
        <v>0</v>
      </c>
    </row>
    <row r="1102">
      <c r="A1102" s="8" t="n">
        <v>2832</v>
      </c>
      <c r="B1102" s="23" t="n">
        <v>44701</v>
      </c>
      <c r="C1102" s="22" t="inlineStr">
        <is>
          <t>PYGELENEKSEL</t>
        </is>
      </c>
      <c r="D1102" s="23" t="n">
        <v>44704</v>
      </c>
      <c r="E1102" s="23" t="n">
        <v>46610</v>
      </c>
      <c r="F1102" s="22" t="inlineStr">
        <is>
          <t>TRT110827T16</t>
        </is>
      </c>
      <c r="G1102" s="8" t="n">
        <v>297000</v>
      </c>
      <c r="H1102" s="8" t="n">
        <v>297000</v>
      </c>
      <c r="I1102" s="24" t="n">
        <v>192167.69</v>
      </c>
      <c r="J1102" s="24" t="n">
        <v>23.33</v>
      </c>
      <c r="K1102" s="24" t="n">
        <v>23.47</v>
      </c>
      <c r="L1102" s="24" t="n">
        <v>23.72</v>
      </c>
      <c r="M1102" s="24" t="n">
        <v>24.69</v>
      </c>
      <c r="N1102" s="24" t="n">
        <v>24.85</v>
      </c>
      <c r="O1102" s="24" t="n">
        <v>25.13</v>
      </c>
    </row>
    <row r="1103">
      <c r="A1103" s="11" t="n">
        <v>2833</v>
      </c>
      <c r="B1103" s="3" t="n">
        <v>44701</v>
      </c>
      <c r="C1103" s="25" t="inlineStr">
        <is>
          <t>PYGELENEKSEL</t>
        </is>
      </c>
      <c r="D1103" s="3" t="n">
        <v>44704</v>
      </c>
      <c r="E1103" s="3" t="n">
        <v>47800</v>
      </c>
      <c r="F1103" s="25"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3" t="n">
        <v>44704</v>
      </c>
      <c r="C1104" s="22" t="inlineStr">
        <is>
          <t>PYGELENEKSEL</t>
        </is>
      </c>
      <c r="D1104" s="23" t="n">
        <v>44705</v>
      </c>
      <c r="E1104" s="23" t="n">
        <v>45189</v>
      </c>
      <c r="F1104" s="22" t="inlineStr">
        <is>
          <t>TRT200923T18</t>
        </is>
      </c>
      <c r="G1104" s="8" t="n">
        <v>388000</v>
      </c>
      <c r="H1104" s="8" t="n">
        <v>300000</v>
      </c>
      <c r="I1104" s="24" t="n">
        <v>283763.93</v>
      </c>
      <c r="J1104" s="24" t="n">
        <v>24.76</v>
      </c>
      <c r="K1104" s="24" t="n">
        <v>24.82</v>
      </c>
      <c r="L1104" s="24" t="n">
        <v>24.89</v>
      </c>
      <c r="M1104" s="24" t="n">
        <v>26.3</v>
      </c>
      <c r="N1104" s="24" t="n">
        <v>26.37</v>
      </c>
      <c r="O1104" s="24" t="n">
        <v>26.44</v>
      </c>
    </row>
    <row r="1105">
      <c r="A1105" s="11" t="n">
        <v>2835</v>
      </c>
      <c r="B1105" s="3" t="n">
        <v>44704</v>
      </c>
      <c r="C1105" s="25" t="inlineStr">
        <is>
          <t>PYGELENEKSEL</t>
        </is>
      </c>
      <c r="D1105" s="3" t="n">
        <v>44705</v>
      </c>
      <c r="E1105" s="3" t="n">
        <v>45931</v>
      </c>
      <c r="F1105" s="25"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3" t="n">
        <v>44704</v>
      </c>
      <c r="C1106" s="22" t="inlineStr">
        <is>
          <t>PYGELENEKSEL</t>
        </is>
      </c>
      <c r="D1106" s="23" t="n">
        <v>44705</v>
      </c>
      <c r="E1106" s="23" t="n">
        <v>46820</v>
      </c>
      <c r="F1106" s="22" t="inlineStr">
        <is>
          <t>TRT080328T15</t>
        </is>
      </c>
      <c r="G1106" s="8" t="n">
        <v>121000</v>
      </c>
      <c r="H1106" s="8" t="n">
        <v>64000</v>
      </c>
      <c r="I1106" s="24" t="n">
        <v>46572.71</v>
      </c>
      <c r="J1106" s="24" t="n">
        <v>21.31</v>
      </c>
      <c r="K1106" s="24" t="n">
        <v>21.54</v>
      </c>
      <c r="L1106" s="24" t="n">
        <v>21.65</v>
      </c>
      <c r="M1106" s="24" t="n">
        <v>22.44</v>
      </c>
      <c r="N1106" s="24" t="n">
        <v>22.7</v>
      </c>
      <c r="O1106" s="24" t="n">
        <v>22.82</v>
      </c>
    </row>
    <row r="1107">
      <c r="A1107" s="11" t="n">
        <v>2837</v>
      </c>
      <c r="B1107" s="3" t="n">
        <v>44706</v>
      </c>
      <c r="C1107" s="25" t="inlineStr">
        <is>
          <t>PYGELENEKSEL</t>
        </is>
      </c>
      <c r="D1107" s="3" t="n">
        <v>44707</v>
      </c>
      <c r="E1107" s="3" t="n">
        <v>45728</v>
      </c>
      <c r="F1107" s="25"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3" t="n">
        <v>44706</v>
      </c>
      <c r="C1108" s="22" t="inlineStr">
        <is>
          <t>PYGELENEKSEL</t>
        </is>
      </c>
      <c r="D1108" s="23" t="n">
        <v>44707</v>
      </c>
      <c r="E1108" s="23" t="n">
        <v>46064</v>
      </c>
      <c r="F1108" s="22" t="inlineStr">
        <is>
          <t>TRT110226T13</t>
        </is>
      </c>
      <c r="G1108" s="8" t="n">
        <v>387000</v>
      </c>
      <c r="H1108" s="8" t="n">
        <v>300000</v>
      </c>
      <c r="I1108" s="24" t="n">
        <v>216173.79</v>
      </c>
      <c r="J1108" s="24" t="n">
        <v>23.32</v>
      </c>
      <c r="K1108" s="24" t="n">
        <v>23.41</v>
      </c>
      <c r="L1108" s="24" t="n">
        <v>23.47</v>
      </c>
      <c r="M1108" s="24" t="n">
        <v>24.68</v>
      </c>
      <c r="N1108" s="24" t="n">
        <v>24.78</v>
      </c>
      <c r="O1108" s="24" t="n">
        <v>24.85</v>
      </c>
    </row>
    <row r="1109">
      <c r="A1109" s="11" t="n">
        <v>2839</v>
      </c>
      <c r="B1109" s="3" t="n">
        <v>44706</v>
      </c>
      <c r="C1109" s="25" t="inlineStr">
        <is>
          <t>PYGELENEKSEL</t>
        </is>
      </c>
      <c r="D1109" s="3" t="n">
        <v>44707</v>
      </c>
      <c r="E1109" s="3" t="n">
        <v>47800</v>
      </c>
      <c r="F1109" s="25"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3" t="n">
        <v>44708</v>
      </c>
      <c r="C1110" s="22" t="inlineStr">
        <is>
          <t>PYGELENEKSEL</t>
        </is>
      </c>
      <c r="D1110" s="23" t="n">
        <v>44711</v>
      </c>
      <c r="E1110" s="23" t="n">
        <v>45931</v>
      </c>
      <c r="F1110" s="22" t="inlineStr">
        <is>
          <t>TRT011025T16</t>
        </is>
      </c>
      <c r="G1110" s="8" t="n">
        <v>378000</v>
      </c>
      <c r="H1110" s="8" t="n">
        <v>300000</v>
      </c>
      <c r="I1110" s="24" t="n">
        <v>230881.9</v>
      </c>
      <c r="J1110" s="24" t="n">
        <v>23.63</v>
      </c>
      <c r="K1110" s="24" t="n">
        <v>23.76</v>
      </c>
      <c r="L1110" s="24" t="n">
        <v>23.85</v>
      </c>
      <c r="M1110" s="24" t="n">
        <v>25.03</v>
      </c>
      <c r="N1110" s="24" t="n">
        <v>25.17</v>
      </c>
      <c r="O1110" s="24" t="n">
        <v>25.27</v>
      </c>
    </row>
    <row r="1111">
      <c r="A1111" s="11" t="n">
        <v>2841</v>
      </c>
      <c r="B1111" s="3" t="n">
        <v>44708</v>
      </c>
      <c r="C1111" s="25" t="inlineStr">
        <is>
          <t>PYGELENEKSEL</t>
        </is>
      </c>
      <c r="D1111" s="3" t="n">
        <v>44711</v>
      </c>
      <c r="E1111" s="3" t="n">
        <v>46064</v>
      </c>
      <c r="F1111" s="25"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3" t="n">
        <v>44708</v>
      </c>
      <c r="C1112" s="22" t="inlineStr">
        <is>
          <t>PYGELENEKSEL</t>
        </is>
      </c>
      <c r="D1112" s="23" t="n">
        <v>44711</v>
      </c>
      <c r="E1112" s="23" t="n">
        <v>46610</v>
      </c>
      <c r="F1112" s="22" t="inlineStr">
        <is>
          <t>TRT110827T16</t>
        </is>
      </c>
      <c r="G1112" s="8" t="n">
        <v>290000</v>
      </c>
      <c r="H1112" s="8" t="n">
        <v>0</v>
      </c>
      <c r="I1112" s="24" t="n">
        <v>0</v>
      </c>
    </row>
    <row r="1113">
      <c r="A1113" s="11" t="n">
        <v>2843</v>
      </c>
      <c r="B1113" s="3" t="n">
        <v>44711</v>
      </c>
      <c r="C1113" s="25" t="inlineStr">
        <is>
          <t>PYGELENEKSEL</t>
        </is>
      </c>
      <c r="D1113" s="3" t="n">
        <v>44712</v>
      </c>
      <c r="E1113" s="3" t="n">
        <v>45931</v>
      </c>
      <c r="F1113" s="25"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3" t="n">
        <v>44711</v>
      </c>
      <c r="C1114" s="22" t="inlineStr">
        <is>
          <t>PYGELENEKSEL</t>
        </is>
      </c>
      <c r="D1114" s="23" t="n">
        <v>44712</v>
      </c>
      <c r="E1114" s="23" t="n">
        <v>46610</v>
      </c>
      <c r="F1114" s="22" t="inlineStr">
        <is>
          <t>TRT110827T16</t>
        </is>
      </c>
      <c r="G1114" s="8" t="n">
        <v>300000</v>
      </c>
      <c r="H1114" s="8" t="n">
        <v>110000</v>
      </c>
      <c r="I1114" s="24" t="n">
        <v>75843.09</v>
      </c>
      <c r="J1114" s="24" t="n">
        <v>21.66</v>
      </c>
      <c r="K1114" s="24" t="n">
        <v>21.7</v>
      </c>
      <c r="L1114" s="24" t="n">
        <v>21.77</v>
      </c>
      <c r="M1114" s="24" t="n">
        <v>22.83</v>
      </c>
      <c r="N1114" s="24" t="n">
        <v>22.88</v>
      </c>
      <c r="O1114" s="24" t="n">
        <v>22.95</v>
      </c>
    </row>
    <row r="1115">
      <c r="A1115" s="11" t="n">
        <v>2845</v>
      </c>
      <c r="B1115" s="3" t="n">
        <v>44711</v>
      </c>
      <c r="C1115" s="25" t="inlineStr">
        <is>
          <t>PYGELENEKSEL</t>
        </is>
      </c>
      <c r="D1115" s="3" t="n">
        <v>44712</v>
      </c>
      <c r="E1115" s="3" t="n">
        <v>46820</v>
      </c>
      <c r="F1115" s="25"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3" t="n">
        <v>44713</v>
      </c>
      <c r="C1116" s="22" t="inlineStr">
        <is>
          <t>PYGELENEKSEL</t>
        </is>
      </c>
      <c r="D1116" s="23" t="n">
        <v>44714</v>
      </c>
      <c r="E1116" s="23" t="n">
        <v>46267</v>
      </c>
      <c r="F1116" s="22" t="inlineStr">
        <is>
          <t>TRT020926T17</t>
        </is>
      </c>
      <c r="G1116" s="8" t="n">
        <v>543000</v>
      </c>
      <c r="H1116" s="8" t="n">
        <v>400000</v>
      </c>
      <c r="I1116" s="24" t="n">
        <v>355709.21</v>
      </c>
      <c r="J1116" s="24" t="n">
        <v>22.45</v>
      </c>
      <c r="K1116" s="24" t="n">
        <v>22.52</v>
      </c>
      <c r="L1116" s="24" t="n">
        <v>22.59</v>
      </c>
      <c r="M1116" s="24" t="n">
        <v>23.71</v>
      </c>
      <c r="N1116" s="24" t="n">
        <v>23.79</v>
      </c>
      <c r="O1116" s="24" t="n">
        <v>23.86</v>
      </c>
    </row>
    <row r="1117">
      <c r="A1117" s="11" t="n">
        <v>2847</v>
      </c>
      <c r="B1117" s="3" t="n">
        <v>44713</v>
      </c>
      <c r="C1117" s="25" t="inlineStr">
        <is>
          <t>PYGELENEKSEL</t>
        </is>
      </c>
      <c r="D1117" s="3" t="n">
        <v>44714</v>
      </c>
      <c r="E1117" s="3" t="n">
        <v>46442</v>
      </c>
      <c r="F1117" s="25"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3" t="n">
        <v>44713</v>
      </c>
      <c r="C1118" s="22" t="inlineStr">
        <is>
          <t>PYGELENEKSEL</t>
        </is>
      </c>
      <c r="D1118" s="23" t="n">
        <v>44714</v>
      </c>
      <c r="E1118" s="23" t="n">
        <v>47800</v>
      </c>
      <c r="F1118" s="22" t="inlineStr">
        <is>
          <t>TRT131130T14</t>
        </is>
      </c>
      <c r="G1118" s="8" t="n">
        <v>306000</v>
      </c>
      <c r="H1118" s="8" t="n">
        <v>200000</v>
      </c>
      <c r="I1118" s="24" t="n">
        <v>135400.12</v>
      </c>
      <c r="J1118" s="24" t="n">
        <v>19.75</v>
      </c>
      <c r="K1118" s="24" t="n">
        <v>19.76</v>
      </c>
      <c r="L1118" s="24" t="n">
        <v>19.78</v>
      </c>
      <c r="M1118" s="24" t="n">
        <v>20.72</v>
      </c>
      <c r="N1118" s="24" t="n">
        <v>20.74</v>
      </c>
      <c r="O1118" s="24" t="n">
        <v>20.76</v>
      </c>
    </row>
    <row r="1119">
      <c r="A1119" s="11" t="n">
        <v>2849</v>
      </c>
      <c r="B1119" s="3" t="n">
        <v>44715</v>
      </c>
      <c r="C1119" s="25" t="inlineStr">
        <is>
          <t>PYGELENEKSEL</t>
        </is>
      </c>
      <c r="D1119" s="3" t="n">
        <v>44718</v>
      </c>
      <c r="E1119" s="3" t="n">
        <v>46267</v>
      </c>
      <c r="F1119" s="25"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3" t="n">
        <v>44715</v>
      </c>
      <c r="C1120" s="22" t="inlineStr">
        <is>
          <t>PYGELENEKSEL</t>
        </is>
      </c>
      <c r="D1120" s="23" t="n">
        <v>44718</v>
      </c>
      <c r="E1120" s="23" t="n">
        <v>46610</v>
      </c>
      <c r="F1120" s="22" t="inlineStr">
        <is>
          <t>TRT110827T16</t>
        </is>
      </c>
      <c r="G1120" s="8" t="n">
        <v>396000</v>
      </c>
      <c r="H1120" s="8" t="n">
        <v>336000</v>
      </c>
      <c r="I1120" s="24" t="n">
        <v>241498.99</v>
      </c>
      <c r="J1120" s="24" t="n">
        <v>20.41</v>
      </c>
      <c r="K1120" s="24" t="n">
        <v>20.56</v>
      </c>
      <c r="L1120" s="24" t="n">
        <v>20.84</v>
      </c>
      <c r="M1120" s="24" t="n">
        <v>21.45</v>
      </c>
      <c r="N1120" s="24" t="n">
        <v>21.62</v>
      </c>
      <c r="O1120" s="24" t="n">
        <v>21.93</v>
      </c>
    </row>
    <row r="1121">
      <c r="A1121" s="11" t="n">
        <v>2851</v>
      </c>
      <c r="B1121" s="3" t="n">
        <v>44715</v>
      </c>
      <c r="C1121" s="25" t="inlineStr">
        <is>
          <t>PYGELENEKSEL</t>
        </is>
      </c>
      <c r="D1121" s="3" t="n">
        <v>44718</v>
      </c>
      <c r="E1121" s="3" t="n">
        <v>47800</v>
      </c>
      <c r="F1121" s="25"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3" t="n">
        <v>44718</v>
      </c>
      <c r="C1122" s="22" t="inlineStr">
        <is>
          <t>PYGELENEKSEL</t>
        </is>
      </c>
      <c r="D1122" s="23" t="n">
        <v>44719</v>
      </c>
      <c r="E1122" s="23" t="n">
        <v>45931</v>
      </c>
      <c r="F1122" s="22" t="inlineStr">
        <is>
          <t>TRT011025T16</t>
        </is>
      </c>
      <c r="G1122" s="8" t="n">
        <v>441000</v>
      </c>
      <c r="H1122" s="8" t="n">
        <v>300000</v>
      </c>
      <c r="I1122" s="24" t="n">
        <v>243168.34</v>
      </c>
      <c r="J1122" s="24" t="n">
        <v>21.69</v>
      </c>
      <c r="K1122" s="24" t="n">
        <v>21.8</v>
      </c>
      <c r="L1122" s="24" t="n">
        <v>21.91</v>
      </c>
      <c r="M1122" s="24" t="n">
        <v>22.87</v>
      </c>
      <c r="N1122" s="24" t="n">
        <v>22.99</v>
      </c>
      <c r="O1122" s="24" t="n">
        <v>23.11</v>
      </c>
    </row>
    <row r="1123">
      <c r="A1123" s="11" t="n">
        <v>2853</v>
      </c>
      <c r="B1123" s="3" t="n">
        <v>44718</v>
      </c>
      <c r="C1123" s="25" t="inlineStr">
        <is>
          <t>PYGELENEKSEL</t>
        </is>
      </c>
      <c r="D1123" s="3" t="n">
        <v>44719</v>
      </c>
      <c r="E1123" s="3" t="n">
        <v>46267</v>
      </c>
      <c r="F1123" s="25"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3" t="n">
        <v>44718</v>
      </c>
      <c r="C1124" s="22" t="inlineStr">
        <is>
          <t>PYGELENEKSEL</t>
        </is>
      </c>
      <c r="D1124" s="23" t="n">
        <v>44719</v>
      </c>
      <c r="E1124" s="23" t="n">
        <v>46820</v>
      </c>
      <c r="F1124" s="22" t="inlineStr">
        <is>
          <t>TRT080328T15</t>
        </is>
      </c>
      <c r="G1124" s="8" t="n">
        <v>229000</v>
      </c>
      <c r="H1124" s="8" t="n">
        <v>218000</v>
      </c>
      <c r="I1124" s="24" t="n">
        <v>170828.22</v>
      </c>
      <c r="J1124" s="24" t="n">
        <v>19.52</v>
      </c>
      <c r="K1124" s="24" t="n">
        <v>19.65</v>
      </c>
      <c r="L1124" s="24" t="n">
        <v>19.84</v>
      </c>
      <c r="M1124" s="24" t="n">
        <v>20.48</v>
      </c>
      <c r="N1124" s="24" t="n">
        <v>20.62</v>
      </c>
      <c r="O1124" s="24" t="n">
        <v>20.82</v>
      </c>
    </row>
    <row r="1125">
      <c r="A1125" s="11" t="n">
        <v>2855</v>
      </c>
      <c r="B1125" s="3" t="n">
        <v>44720</v>
      </c>
      <c r="C1125" s="25" t="inlineStr">
        <is>
          <t>PYGELENEKSEL</t>
        </is>
      </c>
      <c r="D1125" s="3" t="n">
        <v>44721</v>
      </c>
      <c r="E1125" s="3" t="n">
        <v>45497</v>
      </c>
      <c r="F1125" s="25"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3" t="n">
        <v>44720</v>
      </c>
      <c r="C1126" s="22" t="inlineStr">
        <is>
          <t>PYGELENEKSEL</t>
        </is>
      </c>
      <c r="D1126" s="23" t="n">
        <v>44721</v>
      </c>
      <c r="E1126" s="23" t="n">
        <v>46267</v>
      </c>
      <c r="F1126" s="22" t="inlineStr">
        <is>
          <t>TRT020926T17</t>
        </is>
      </c>
      <c r="G1126" s="8" t="n">
        <v>460000</v>
      </c>
      <c r="H1126" s="8" t="n">
        <v>300000</v>
      </c>
      <c r="I1126" s="24" t="n">
        <v>259398.48</v>
      </c>
      <c r="J1126" s="24" t="n">
        <v>23.62</v>
      </c>
      <c r="K1126" s="24" t="n">
        <v>23.74</v>
      </c>
      <c r="L1126" s="24" t="n">
        <v>23.87</v>
      </c>
      <c r="M1126" s="24" t="n">
        <v>25.01</v>
      </c>
      <c r="N1126" s="24" t="n">
        <v>25.15</v>
      </c>
      <c r="O1126" s="24" t="n">
        <v>25.29</v>
      </c>
    </row>
    <row r="1127">
      <c r="A1127" s="11" t="n">
        <v>2857</v>
      </c>
      <c r="B1127" s="3" t="n">
        <v>44720</v>
      </c>
      <c r="C1127" s="25" t="inlineStr">
        <is>
          <t>PYGELENEKSEL</t>
        </is>
      </c>
      <c r="D1127" s="3" t="n">
        <v>44721</v>
      </c>
      <c r="E1127" s="3" t="n">
        <v>47800</v>
      </c>
      <c r="F1127" s="25"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3" t="n">
        <v>44722</v>
      </c>
      <c r="C1128" s="22" t="inlineStr">
        <is>
          <t>PYGELENEKSEL</t>
        </is>
      </c>
      <c r="D1128" s="23" t="n">
        <v>44725</v>
      </c>
      <c r="E1128" s="23" t="n">
        <v>45371</v>
      </c>
      <c r="F1128" s="22" t="inlineStr">
        <is>
          <t>TRT200324T13</t>
        </is>
      </c>
      <c r="G1128" s="8" t="n">
        <v>416000</v>
      </c>
      <c r="H1128" s="8" t="n">
        <v>142000</v>
      </c>
      <c r="I1128" s="24" t="n">
        <v>119341.16</v>
      </c>
      <c r="J1128" s="24" t="n">
        <v>23.52</v>
      </c>
      <c r="K1128" s="24" t="n">
        <v>23.56</v>
      </c>
      <c r="L1128" s="24" t="n">
        <v>23.71</v>
      </c>
      <c r="M1128" s="24" t="n">
        <v>24.91</v>
      </c>
      <c r="N1128" s="24" t="n">
        <v>24.94</v>
      </c>
      <c r="O1128" s="24" t="n">
        <v>25.12</v>
      </c>
    </row>
    <row r="1129">
      <c r="A1129" s="11" t="n">
        <v>2859</v>
      </c>
      <c r="B1129" s="3" t="n">
        <v>44722</v>
      </c>
      <c r="C1129" s="25" t="inlineStr">
        <is>
          <t>PYGELENEKSEL</t>
        </is>
      </c>
      <c r="D1129" s="3" t="n">
        <v>44725</v>
      </c>
      <c r="E1129" s="3" t="n">
        <v>46267</v>
      </c>
      <c r="F1129" s="25"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3" t="n">
        <v>44722</v>
      </c>
      <c r="C1130" s="22" t="inlineStr">
        <is>
          <t>PYGELENEKSEL</t>
        </is>
      </c>
      <c r="D1130" s="23" t="n">
        <v>44725</v>
      </c>
      <c r="E1130" s="23" t="n">
        <v>47800</v>
      </c>
      <c r="F1130" s="22" t="inlineStr">
        <is>
          <t>TRT131130T14</t>
        </is>
      </c>
      <c r="G1130" s="8" t="n">
        <v>514000</v>
      </c>
      <c r="H1130" s="8" t="n">
        <v>300000</v>
      </c>
      <c r="I1130" s="24" t="n">
        <v>206968.63</v>
      </c>
      <c r="J1130" s="24" t="n">
        <v>19.42</v>
      </c>
      <c r="K1130" s="24" t="n">
        <v>19.47</v>
      </c>
      <c r="L1130" s="24" t="n">
        <v>19.59</v>
      </c>
      <c r="M1130" s="24" t="n">
        <v>20.36</v>
      </c>
      <c r="N1130" s="24" t="n">
        <v>20.41</v>
      </c>
      <c r="O1130" s="24" t="n">
        <v>20.55</v>
      </c>
    </row>
    <row r="1131">
      <c r="A1131" s="11" t="n">
        <v>2861</v>
      </c>
      <c r="B1131" s="3" t="n">
        <v>44725</v>
      </c>
      <c r="C1131" s="25" t="inlineStr">
        <is>
          <t>PYGELENEKSEL</t>
        </is>
      </c>
      <c r="D1131" s="3" t="n">
        <v>44726</v>
      </c>
      <c r="E1131" s="3" t="n">
        <v>45931</v>
      </c>
      <c r="F1131" s="25"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3" t="n">
        <v>44725</v>
      </c>
      <c r="C1132" s="22" t="inlineStr">
        <is>
          <t>PYGELENEKSEL</t>
        </is>
      </c>
      <c r="D1132" s="23" t="n">
        <v>44726</v>
      </c>
      <c r="E1132" s="23" t="n">
        <v>46267</v>
      </c>
      <c r="F1132" s="22" t="inlineStr">
        <is>
          <t>TRT020926T17</t>
        </is>
      </c>
      <c r="G1132" s="8" t="n">
        <v>262000</v>
      </c>
      <c r="H1132" s="8" t="n">
        <v>200000</v>
      </c>
      <c r="I1132" s="24" t="n">
        <v>183378.4</v>
      </c>
      <c r="J1132" s="24" t="n">
        <v>21.59</v>
      </c>
      <c r="K1132" s="24" t="n">
        <v>21.63</v>
      </c>
      <c r="L1132" s="24" t="n">
        <v>21.65</v>
      </c>
      <c r="M1132" s="24" t="n">
        <v>22.75</v>
      </c>
      <c r="N1132" s="24" t="n">
        <v>22.8</v>
      </c>
      <c r="O1132" s="24" t="n">
        <v>22.82</v>
      </c>
    </row>
    <row r="1133">
      <c r="A1133" s="11" t="n">
        <v>2863</v>
      </c>
      <c r="B1133" s="3" t="n">
        <v>44725</v>
      </c>
      <c r="C1133" s="25" t="inlineStr">
        <is>
          <t>PYGELENEKSEL</t>
        </is>
      </c>
      <c r="D1133" s="3" t="n">
        <v>44726</v>
      </c>
      <c r="E1133" s="3" t="n">
        <v>47800</v>
      </c>
      <c r="F1133" s="25"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3" t="n">
        <v>44727</v>
      </c>
      <c r="C1134" s="22" t="inlineStr">
        <is>
          <t>PYGELENEKSEL</t>
        </is>
      </c>
      <c r="D1134" s="23" t="n">
        <v>44728</v>
      </c>
      <c r="E1134" s="23" t="n">
        <v>45931</v>
      </c>
      <c r="F1134" s="22" t="inlineStr">
        <is>
          <t>TRT011025T16</t>
        </is>
      </c>
      <c r="G1134" s="8" t="n">
        <v>211000</v>
      </c>
      <c r="H1134" s="8" t="n">
        <v>200000</v>
      </c>
      <c r="I1134" s="24" t="n">
        <v>159287.56</v>
      </c>
      <c r="J1134" s="24" t="n">
        <v>22.27</v>
      </c>
      <c r="K1134" s="24" t="n">
        <v>22.76</v>
      </c>
      <c r="L1134" s="24" t="n">
        <v>22.96</v>
      </c>
      <c r="M1134" s="24" t="n">
        <v>23.51</v>
      </c>
      <c r="N1134" s="24" t="n">
        <v>24.05</v>
      </c>
      <c r="O1134" s="24" t="n">
        <v>24.28</v>
      </c>
    </row>
    <row r="1135">
      <c r="A1135" s="11" t="n">
        <v>2865</v>
      </c>
      <c r="B1135" s="3" t="n">
        <v>44727</v>
      </c>
      <c r="C1135" s="25" t="inlineStr">
        <is>
          <t>PYGELENEKSEL</t>
        </is>
      </c>
      <c r="D1135" s="3" t="n">
        <v>44728</v>
      </c>
      <c r="E1135" s="3" t="n">
        <v>46267</v>
      </c>
      <c r="F1135" s="25"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3" t="n">
        <v>44729</v>
      </c>
      <c r="C1136" s="22" t="inlineStr">
        <is>
          <t>PYGELENEKSEL</t>
        </is>
      </c>
      <c r="D1136" s="23" t="n">
        <v>44732</v>
      </c>
      <c r="E1136" s="23" t="n">
        <v>45189</v>
      </c>
      <c r="F1136" s="22" t="inlineStr">
        <is>
          <t>TRT200923T18</t>
        </is>
      </c>
      <c r="G1136" s="8" t="n">
        <v>260000</v>
      </c>
      <c r="H1136" s="8" t="n">
        <v>200001</v>
      </c>
      <c r="I1136" s="24" t="n">
        <v>196204.03</v>
      </c>
      <c r="J1136" s="24" t="n">
        <v>22.86</v>
      </c>
      <c r="K1136" s="24" t="n">
        <v>22.95</v>
      </c>
      <c r="L1136" s="24" t="n">
        <v>23.11</v>
      </c>
      <c r="M1136" s="24" t="n">
        <v>24.16</v>
      </c>
      <c r="N1136" s="24" t="n">
        <v>24.27</v>
      </c>
      <c r="O1136" s="24" t="n">
        <v>24.44</v>
      </c>
    </row>
    <row r="1137">
      <c r="A1137" s="11" t="n">
        <v>2867</v>
      </c>
      <c r="B1137" s="3" t="n">
        <v>44729</v>
      </c>
      <c r="C1137" s="25" t="inlineStr">
        <is>
          <t>PYGELENEKSEL</t>
        </is>
      </c>
      <c r="D1137" s="3" t="n">
        <v>44732</v>
      </c>
      <c r="E1137" s="3" t="n">
        <v>46064</v>
      </c>
      <c r="F1137" s="25"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3" t="n">
        <v>44732</v>
      </c>
      <c r="C1138" s="22" t="inlineStr">
        <is>
          <t>PYGELENEKSEL</t>
        </is>
      </c>
      <c r="D1138" s="23" t="n">
        <v>44733</v>
      </c>
      <c r="E1138" s="23" t="n">
        <v>45196</v>
      </c>
      <c r="F1138" s="22" t="inlineStr">
        <is>
          <t>TRT270923T11</t>
        </is>
      </c>
      <c r="G1138" s="8" t="n">
        <v>216000</v>
      </c>
      <c r="H1138" s="8" t="n">
        <v>161000</v>
      </c>
      <c r="I1138" s="24" t="n">
        <v>140873.99</v>
      </c>
      <c r="J1138" s="24" t="n">
        <v>22.3</v>
      </c>
      <c r="K1138" s="24" t="n">
        <v>22.49</v>
      </c>
      <c r="L1138" s="24" t="n">
        <v>22.67</v>
      </c>
      <c r="M1138" s="24" t="n">
        <v>23.54</v>
      </c>
      <c r="N1138" s="24" t="n">
        <v>23.75</v>
      </c>
      <c r="O1138" s="24" t="n">
        <v>23.96</v>
      </c>
    </row>
    <row r="1139">
      <c r="A1139" s="11" t="n">
        <v>2869</v>
      </c>
      <c r="B1139" s="3" t="n">
        <v>44732</v>
      </c>
      <c r="C1139" s="25" t="inlineStr">
        <is>
          <t>PYGELENEKSEL</t>
        </is>
      </c>
      <c r="D1139" s="3" t="n">
        <v>44733</v>
      </c>
      <c r="E1139" s="3" t="n">
        <v>45497</v>
      </c>
      <c r="F1139" s="25"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3" t="n">
        <v>44734</v>
      </c>
      <c r="C1140" s="22" t="inlineStr">
        <is>
          <t>PYGELENEKSEL</t>
        </is>
      </c>
      <c r="D1140" s="23" t="n">
        <v>44735</v>
      </c>
      <c r="E1140" s="23" t="n">
        <v>45371</v>
      </c>
      <c r="F1140" s="22" t="inlineStr">
        <is>
          <t>TRT200324T13</t>
        </is>
      </c>
      <c r="G1140" s="8" t="n">
        <v>206000</v>
      </c>
      <c r="H1140" s="8" t="n">
        <v>200000</v>
      </c>
      <c r="I1140" s="24" t="n">
        <v>171923.82</v>
      </c>
      <c r="J1140" s="24" t="n">
        <v>22.27</v>
      </c>
      <c r="K1140" s="24" t="n">
        <v>22.4</v>
      </c>
      <c r="L1140" s="24" t="n">
        <v>22.52</v>
      </c>
      <c r="M1140" s="24" t="n">
        <v>23.52</v>
      </c>
      <c r="N1140" s="24" t="n">
        <v>23.65</v>
      </c>
      <c r="O1140" s="24" t="n">
        <v>23.79</v>
      </c>
    </row>
    <row r="1141">
      <c r="A1141" s="11" t="n">
        <v>2871</v>
      </c>
      <c r="B1141" s="3" t="n">
        <v>44734</v>
      </c>
      <c r="C1141" s="25" t="inlineStr">
        <is>
          <t>PYGELENEKSEL</t>
        </is>
      </c>
      <c r="D1141" s="3" t="n">
        <v>44735</v>
      </c>
      <c r="E1141" s="3" t="n">
        <v>45931</v>
      </c>
      <c r="F1141" s="25"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3" t="n">
        <v>44736</v>
      </c>
      <c r="C1142" s="22" t="inlineStr">
        <is>
          <t>PYGELENEKSEL</t>
        </is>
      </c>
      <c r="D1142" s="23" t="n">
        <v>44739</v>
      </c>
      <c r="E1142" s="23" t="n">
        <v>45497</v>
      </c>
      <c r="F1142" s="22" t="inlineStr">
        <is>
          <t>TRT240724T15</t>
        </is>
      </c>
      <c r="G1142" s="8" t="n">
        <v>196000</v>
      </c>
      <c r="H1142" s="8" t="n">
        <v>184000</v>
      </c>
      <c r="I1142" s="24" t="n">
        <v>151516.92</v>
      </c>
      <c r="J1142" s="24" t="n">
        <v>22.28</v>
      </c>
      <c r="K1142" s="24" t="n">
        <v>22.41</v>
      </c>
      <c r="L1142" s="24" t="n">
        <v>22.47</v>
      </c>
      <c r="M1142" s="24" t="n">
        <v>23.52</v>
      </c>
      <c r="N1142" s="24" t="n">
        <v>23.66</v>
      </c>
      <c r="O1142" s="24" t="n">
        <v>23.73</v>
      </c>
    </row>
    <row r="1143">
      <c r="A1143" s="11" t="n">
        <v>2873</v>
      </c>
      <c r="B1143" s="3" t="n">
        <v>44736</v>
      </c>
      <c r="C1143" s="25" t="inlineStr">
        <is>
          <t>PYGELENEKSEL</t>
        </is>
      </c>
      <c r="D1143" s="3" t="n">
        <v>44739</v>
      </c>
      <c r="E1143" s="3" t="n">
        <v>45728</v>
      </c>
      <c r="F1143" s="25"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3" t="n">
        <v>44739</v>
      </c>
      <c r="C1144" s="22" t="inlineStr">
        <is>
          <t>PYGELENEKSEL</t>
        </is>
      </c>
      <c r="D1144" s="23" t="n">
        <v>44740</v>
      </c>
      <c r="E1144" s="23" t="n">
        <v>45371</v>
      </c>
      <c r="F1144" s="22" t="inlineStr">
        <is>
          <t>TRT200324T13</t>
        </is>
      </c>
      <c r="G1144" s="8" t="n">
        <v>211000</v>
      </c>
      <c r="H1144" s="8" t="n">
        <v>198000</v>
      </c>
      <c r="I1144" s="24" t="n">
        <v>172098.88</v>
      </c>
      <c r="J1144" s="24" t="n">
        <v>21.71</v>
      </c>
      <c r="K1144" s="24" t="n">
        <v>21.84</v>
      </c>
      <c r="L1144" s="24" t="n">
        <v>22.02</v>
      </c>
      <c r="M1144" s="24" t="n">
        <v>22.89</v>
      </c>
      <c r="N1144" s="24" t="n">
        <v>23.03</v>
      </c>
      <c r="O1144" s="24" t="n">
        <v>23.24</v>
      </c>
    </row>
    <row r="1145">
      <c r="A1145" s="11" t="n">
        <v>2875</v>
      </c>
      <c r="B1145" s="3" t="n">
        <v>44739</v>
      </c>
      <c r="C1145" s="25" t="inlineStr">
        <is>
          <t>PYGELENEKSEL</t>
        </is>
      </c>
      <c r="D1145" s="3" t="n">
        <v>44740</v>
      </c>
      <c r="E1145" s="3" t="n">
        <v>45931</v>
      </c>
      <c r="F1145" s="25"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3" t="n">
        <v>44741</v>
      </c>
      <c r="C1146" s="22" t="inlineStr">
        <is>
          <t>PYGELENEKSEL</t>
        </is>
      </c>
      <c r="D1146" s="23" t="n">
        <v>44742</v>
      </c>
      <c r="E1146" s="23" t="n">
        <v>45497</v>
      </c>
      <c r="F1146" s="22" t="inlineStr">
        <is>
          <t>TRT240724T15</t>
        </is>
      </c>
      <c r="G1146" s="8" t="n">
        <v>200000</v>
      </c>
      <c r="H1146" s="8" t="n">
        <v>92000</v>
      </c>
      <c r="I1146" s="24" t="n">
        <v>77182.84</v>
      </c>
      <c r="J1146" s="24" t="n">
        <v>21.34</v>
      </c>
      <c r="K1146" s="24" t="n">
        <v>21.37</v>
      </c>
      <c r="L1146" s="24" t="n">
        <v>21.41</v>
      </c>
      <c r="M1146" s="24" t="n">
        <v>22.48</v>
      </c>
      <c r="N1146" s="24" t="n">
        <v>22.52</v>
      </c>
      <c r="O1146" s="24" t="n">
        <v>22.55</v>
      </c>
    </row>
    <row r="1147">
      <c r="A1147" s="11" t="n">
        <v>2877</v>
      </c>
      <c r="B1147" s="3" t="n">
        <v>44741</v>
      </c>
      <c r="C1147" s="25" t="inlineStr">
        <is>
          <t>PYGELENEKSEL</t>
        </is>
      </c>
      <c r="D1147" s="3" t="n">
        <v>44742</v>
      </c>
      <c r="E1147" s="3" t="n">
        <v>45728</v>
      </c>
      <c r="F1147" s="25"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3" t="n">
        <v>44743</v>
      </c>
      <c r="C1148" s="22" t="inlineStr">
        <is>
          <t>PYGELENEKSEL</t>
        </is>
      </c>
      <c r="D1148" s="23" t="n">
        <v>44746</v>
      </c>
      <c r="E1148" s="23" t="n">
        <v>45189</v>
      </c>
      <c r="F1148" s="22" t="inlineStr">
        <is>
          <t>TRT200923T18</t>
        </is>
      </c>
      <c r="G1148" s="8" t="n">
        <v>292000</v>
      </c>
      <c r="H1148" s="8" t="n">
        <v>200000</v>
      </c>
      <c r="I1148" s="24" t="n">
        <v>199561.51</v>
      </c>
      <c r="J1148" s="24" t="n">
        <v>22.01</v>
      </c>
      <c r="K1148" s="24" t="n">
        <v>22.07</v>
      </c>
      <c r="L1148" s="24" t="n">
        <v>22.14</v>
      </c>
      <c r="M1148" s="24" t="n">
        <v>23.22</v>
      </c>
      <c r="N1148" s="24" t="n">
        <v>23.29</v>
      </c>
      <c r="O1148" s="24" t="n">
        <v>23.36</v>
      </c>
    </row>
    <row r="1149">
      <c r="A1149" s="11" t="n">
        <v>2879</v>
      </c>
      <c r="B1149" s="3" t="n">
        <v>44743</v>
      </c>
      <c r="C1149" s="25" t="inlineStr">
        <is>
          <t>PYGELENEKSEL</t>
        </is>
      </c>
      <c r="D1149" s="3" t="n">
        <v>44746</v>
      </c>
      <c r="E1149" s="3" t="n">
        <v>45931</v>
      </c>
      <c r="F1149" s="25"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3" t="n">
        <v>44746</v>
      </c>
      <c r="C1150" s="22" t="inlineStr">
        <is>
          <t>PYGELENEKSEL</t>
        </is>
      </c>
      <c r="D1150" s="23" t="n">
        <v>44747</v>
      </c>
      <c r="E1150" s="23" t="n">
        <v>45196</v>
      </c>
      <c r="F1150" s="22" t="inlineStr">
        <is>
          <t>TRT270923T11</t>
        </is>
      </c>
      <c r="G1150" s="8" t="n">
        <v>181000</v>
      </c>
      <c r="H1150" s="8" t="n">
        <v>0</v>
      </c>
      <c r="I1150" s="24" t="n">
        <v>0</v>
      </c>
    </row>
    <row r="1151">
      <c r="A1151" s="11" t="n">
        <v>2881</v>
      </c>
      <c r="B1151" s="3" t="n">
        <v>44746</v>
      </c>
      <c r="C1151" s="25" t="inlineStr">
        <is>
          <t>PYGELENEKSEL</t>
        </is>
      </c>
      <c r="D1151" s="3" t="n">
        <v>44747</v>
      </c>
      <c r="E1151" s="3" t="n">
        <v>45931</v>
      </c>
      <c r="F1151" s="25"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3" t="n">
        <v>44748</v>
      </c>
      <c r="C1152" s="22" t="inlineStr">
        <is>
          <t>PYGELENEKSEL</t>
        </is>
      </c>
      <c r="D1152" s="23" t="n">
        <v>44749</v>
      </c>
      <c r="E1152" s="23" t="n">
        <v>45189</v>
      </c>
      <c r="F1152" s="22" t="inlineStr">
        <is>
          <t>TRT200923T18</t>
        </is>
      </c>
      <c r="G1152" s="8" t="n">
        <v>373000</v>
      </c>
      <c r="H1152" s="8" t="n">
        <v>300000</v>
      </c>
      <c r="I1152" s="24" t="n">
        <v>300097.11</v>
      </c>
      <c r="J1152" s="24" t="n">
        <v>21.89</v>
      </c>
      <c r="K1152" s="24" t="n">
        <v>22.01</v>
      </c>
      <c r="L1152" s="24" t="n">
        <v>22.07</v>
      </c>
      <c r="M1152" s="24" t="n">
        <v>23.09</v>
      </c>
      <c r="N1152" s="24" t="n">
        <v>23.22</v>
      </c>
      <c r="O1152" s="24" t="n">
        <v>23.29</v>
      </c>
    </row>
    <row r="1153">
      <c r="A1153" s="11" t="n">
        <v>2883</v>
      </c>
      <c r="B1153" s="3" t="n">
        <v>44748</v>
      </c>
      <c r="C1153" s="25" t="inlineStr">
        <is>
          <t>PYGELENEKSEL</t>
        </is>
      </c>
      <c r="D1153" s="3" t="n">
        <v>44749</v>
      </c>
      <c r="E1153" s="3" t="n">
        <v>46064</v>
      </c>
      <c r="F1153" s="25"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3" t="n">
        <v>44755</v>
      </c>
      <c r="C1154" s="22" t="inlineStr">
        <is>
          <t>PYGELENEKSEL</t>
        </is>
      </c>
      <c r="D1154" s="23" t="n">
        <v>44756</v>
      </c>
      <c r="E1154" s="23" t="n">
        <v>46064</v>
      </c>
      <c r="F1154" s="22" t="inlineStr">
        <is>
          <t>TRT110226T13</t>
        </is>
      </c>
      <c r="G1154" s="8" t="n">
        <v>256000</v>
      </c>
      <c r="H1154" s="8" t="n">
        <v>0</v>
      </c>
      <c r="I1154" s="24" t="n">
        <v>0</v>
      </c>
    </row>
    <row r="1155">
      <c r="A1155" s="11" t="n">
        <v>2885</v>
      </c>
      <c r="B1155" s="3" t="n">
        <v>44755</v>
      </c>
      <c r="C1155" s="25" t="inlineStr">
        <is>
          <t>PYGELENEKSEL</t>
        </is>
      </c>
      <c r="D1155" s="3" t="n">
        <v>44756</v>
      </c>
      <c r="E1155" s="3" t="n">
        <v>46267</v>
      </c>
      <c r="F1155" s="25"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3" t="n">
        <v>44760</v>
      </c>
      <c r="C1156" s="22" t="inlineStr">
        <is>
          <t>PYGELENEKSEL</t>
        </is>
      </c>
      <c r="D1156" s="23" t="n">
        <v>44761</v>
      </c>
      <c r="E1156" s="23" t="n">
        <v>45189</v>
      </c>
      <c r="F1156" s="22" t="inlineStr">
        <is>
          <t>TRT200923T18</t>
        </is>
      </c>
      <c r="G1156" s="8" t="n">
        <v>326000</v>
      </c>
      <c r="H1156" s="8" t="n">
        <v>113000</v>
      </c>
      <c r="I1156" s="24" t="n">
        <v>114190.63</v>
      </c>
      <c r="J1156" s="24" t="n">
        <v>21.64</v>
      </c>
      <c r="K1156" s="24" t="n">
        <v>21.64</v>
      </c>
      <c r="L1156" s="24" t="n">
        <v>21.7</v>
      </c>
      <c r="M1156" s="24" t="n">
        <v>22.81</v>
      </c>
      <c r="N1156" s="24" t="n">
        <v>22.81</v>
      </c>
      <c r="O1156" s="24" t="n">
        <v>22.88</v>
      </c>
    </row>
    <row r="1157">
      <c r="A1157" s="11" t="n">
        <v>2887</v>
      </c>
      <c r="B1157" s="3" t="n">
        <v>44760</v>
      </c>
      <c r="C1157" s="25" t="inlineStr">
        <is>
          <t>PYGELENEKSEL</t>
        </is>
      </c>
      <c r="D1157" s="3" t="n">
        <v>44761</v>
      </c>
      <c r="E1157" s="3" t="n">
        <v>45931</v>
      </c>
      <c r="F1157" s="25"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3" t="n">
        <v>44760</v>
      </c>
      <c r="C1158" s="22" t="inlineStr">
        <is>
          <t>PYGELENEKSEL</t>
        </is>
      </c>
      <c r="D1158" s="23" t="n">
        <v>44761</v>
      </c>
      <c r="E1158" s="23" t="n">
        <v>46267</v>
      </c>
      <c r="F1158" s="22" t="inlineStr">
        <is>
          <t>TRT020926T17</t>
        </is>
      </c>
      <c r="G1158" s="8" t="n">
        <v>280000</v>
      </c>
      <c r="H1158" s="8" t="n">
        <v>280000</v>
      </c>
      <c r="I1158" s="24" t="n">
        <v>270802.36</v>
      </c>
      <c r="J1158" s="24" t="n">
        <v>20.21</v>
      </c>
      <c r="K1158" s="24" t="n">
        <v>20.34</v>
      </c>
      <c r="L1158" s="24" t="n">
        <v>20.4</v>
      </c>
      <c r="M1158" s="24" t="n">
        <v>21.23</v>
      </c>
      <c r="N1158" s="24" t="n">
        <v>21.37</v>
      </c>
      <c r="O1158" s="24" t="n">
        <v>21.44</v>
      </c>
    </row>
    <row r="1159">
      <c r="A1159" s="11" t="n">
        <v>2889</v>
      </c>
      <c r="B1159" s="3" t="n">
        <v>44762</v>
      </c>
      <c r="C1159" s="25" t="inlineStr">
        <is>
          <t>PYGELENEKSEL</t>
        </is>
      </c>
      <c r="D1159" s="3" t="n">
        <v>44763</v>
      </c>
      <c r="E1159" s="3" t="n">
        <v>45217</v>
      </c>
      <c r="F1159" s="25"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3" t="n">
        <v>44762</v>
      </c>
      <c r="C1160" s="22" t="inlineStr">
        <is>
          <t>PYGELENEKSEL</t>
        </is>
      </c>
      <c r="D1160" s="23" t="n">
        <v>44763</v>
      </c>
      <c r="E1160" s="23" t="n">
        <v>45728</v>
      </c>
      <c r="F1160" s="22" t="inlineStr">
        <is>
          <t>TRT120325T12</t>
        </is>
      </c>
      <c r="G1160" s="8" t="n">
        <v>241000</v>
      </c>
      <c r="H1160" s="8" t="n">
        <v>241000</v>
      </c>
      <c r="I1160" s="24" t="n">
        <v>193949.67</v>
      </c>
      <c r="J1160" s="24" t="n">
        <v>19.03</v>
      </c>
      <c r="K1160" s="24" t="n">
        <v>19.09</v>
      </c>
      <c r="L1160" s="24" t="n">
        <v>19.2</v>
      </c>
      <c r="M1160" s="24" t="n">
        <v>19.94</v>
      </c>
      <c r="N1160" s="24" t="n">
        <v>20.01</v>
      </c>
      <c r="O1160" s="24" t="n">
        <v>20.13</v>
      </c>
    </row>
    <row r="1161">
      <c r="A1161" s="11" t="n">
        <v>2891</v>
      </c>
      <c r="B1161" s="3" t="n">
        <v>44762</v>
      </c>
      <c r="C1161" s="25" t="inlineStr">
        <is>
          <t>PYGELENEKSEL</t>
        </is>
      </c>
      <c r="D1161" s="3" t="n">
        <v>44763</v>
      </c>
      <c r="E1161" s="3" t="n">
        <v>46064</v>
      </c>
      <c r="F1161" s="25"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3" t="n">
        <v>44764</v>
      </c>
      <c r="C1162" s="22" t="inlineStr">
        <is>
          <t>PYGELENEKSEL</t>
        </is>
      </c>
      <c r="D1162" s="23" t="n">
        <v>44767</v>
      </c>
      <c r="E1162" s="23" t="n">
        <v>45189</v>
      </c>
      <c r="F1162" s="22" t="inlineStr">
        <is>
          <t>TRT200923T18</t>
        </is>
      </c>
      <c r="G1162" s="8" t="n">
        <v>291000</v>
      </c>
      <c r="H1162" s="8" t="n">
        <v>283000</v>
      </c>
      <c r="I1162" s="24" t="n">
        <v>287721.82</v>
      </c>
      <c r="J1162" s="24" t="n">
        <v>21.23</v>
      </c>
      <c r="K1162" s="24" t="n">
        <v>21.39</v>
      </c>
      <c r="L1162" s="24" t="n">
        <v>21.51</v>
      </c>
      <c r="M1162" s="24" t="n">
        <v>22.36</v>
      </c>
      <c r="N1162" s="24" t="n">
        <v>22.53</v>
      </c>
      <c r="O1162" s="24" t="n">
        <v>22.67</v>
      </c>
    </row>
    <row r="1163">
      <c r="A1163" s="11" t="n">
        <v>2893</v>
      </c>
      <c r="B1163" s="3" t="n">
        <v>44764</v>
      </c>
      <c r="C1163" s="25" t="inlineStr">
        <is>
          <t>PYGELENEKSEL</t>
        </is>
      </c>
      <c r="D1163" s="3" t="n">
        <v>44767</v>
      </c>
      <c r="E1163" s="3" t="n">
        <v>45497</v>
      </c>
      <c r="F1163" s="25"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3" t="n">
        <v>44764</v>
      </c>
      <c r="C1164" s="22" t="inlineStr">
        <is>
          <t>PYGELENEKSEL</t>
        </is>
      </c>
      <c r="D1164" s="23" t="n">
        <v>44767</v>
      </c>
      <c r="E1164" s="23" t="n">
        <v>45931</v>
      </c>
      <c r="F1164" s="22" t="inlineStr">
        <is>
          <t>TRT011025T16</t>
        </is>
      </c>
      <c r="G1164" s="8" t="n">
        <v>355000</v>
      </c>
      <c r="H1164" s="8" t="n">
        <v>300000</v>
      </c>
      <c r="I1164" s="24" t="n">
        <v>270517.07</v>
      </c>
      <c r="J1164" s="24" t="n">
        <v>18.29</v>
      </c>
      <c r="K1164" s="24" t="n">
        <v>18.4</v>
      </c>
      <c r="L1164" s="24" t="n">
        <v>18.44</v>
      </c>
      <c r="M1164" s="24" t="n">
        <v>19.12</v>
      </c>
      <c r="N1164" s="24" t="n">
        <v>19.24</v>
      </c>
      <c r="O1164" s="24" t="n">
        <v>19.29</v>
      </c>
    </row>
    <row r="1165">
      <c r="A1165" s="11" t="n">
        <v>2895</v>
      </c>
      <c r="B1165" s="3" t="n">
        <v>44767</v>
      </c>
      <c r="C1165" s="25" t="inlineStr">
        <is>
          <t>PYGELENEKSEL</t>
        </is>
      </c>
      <c r="D1165" s="3" t="n">
        <v>44768</v>
      </c>
      <c r="E1165" s="3" t="n">
        <v>45196</v>
      </c>
      <c r="F1165" s="25"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3" t="n">
        <v>44767</v>
      </c>
      <c r="C1166" s="22" t="inlineStr">
        <is>
          <t>PYGELENEKSEL</t>
        </is>
      </c>
      <c r="D1166" s="23" t="n">
        <v>44768</v>
      </c>
      <c r="E1166" s="23" t="n">
        <v>45371</v>
      </c>
      <c r="F1166" s="22" t="inlineStr">
        <is>
          <t>TRT200324T13</t>
        </is>
      </c>
      <c r="G1166" s="8" t="n">
        <v>280000</v>
      </c>
      <c r="H1166" s="8" t="n">
        <v>170000</v>
      </c>
      <c r="I1166" s="24" t="n">
        <v>153201.76</v>
      </c>
      <c r="J1166" s="24" t="n">
        <v>20.24</v>
      </c>
      <c r="K1166" s="24" t="n">
        <v>20.34</v>
      </c>
      <c r="L1166" s="24" t="n">
        <v>20.59</v>
      </c>
      <c r="M1166" s="24" t="n">
        <v>21.27</v>
      </c>
      <c r="N1166" s="24" t="n">
        <v>21.37</v>
      </c>
      <c r="O1166" s="24" t="n">
        <v>21.65</v>
      </c>
    </row>
    <row r="1167">
      <c r="A1167" s="11" t="n">
        <v>2897</v>
      </c>
      <c r="B1167" s="3" t="n">
        <v>44767</v>
      </c>
      <c r="C1167" s="25" t="inlineStr">
        <is>
          <t>PYGELENEKSEL</t>
        </is>
      </c>
      <c r="D1167" s="3" t="n">
        <v>44768</v>
      </c>
      <c r="E1167" s="3" t="n">
        <v>45728</v>
      </c>
      <c r="F1167" s="25"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3" t="n">
        <v>44769</v>
      </c>
      <c r="C1168" s="22" t="inlineStr">
        <is>
          <t>PYGELENEKSEL</t>
        </is>
      </c>
      <c r="D1168" s="23" t="n">
        <v>44770</v>
      </c>
      <c r="E1168" s="23" t="n">
        <v>45189</v>
      </c>
      <c r="F1168" s="22" t="inlineStr">
        <is>
          <t>TRT200923T18</t>
        </is>
      </c>
      <c r="G1168" s="8" t="n">
        <v>349000</v>
      </c>
      <c r="H1168" s="8" t="n">
        <v>300000</v>
      </c>
      <c r="I1168" s="24" t="n">
        <v>305368.12</v>
      </c>
      <c r="J1168" s="24" t="n">
        <v>21.36</v>
      </c>
      <c r="K1168" s="24" t="n">
        <v>21.45</v>
      </c>
      <c r="L1168" s="24" t="n">
        <v>21.57</v>
      </c>
      <c r="M1168" s="24" t="n">
        <v>22.5</v>
      </c>
      <c r="N1168" s="24" t="n">
        <v>22.6</v>
      </c>
      <c r="O1168" s="24" t="n">
        <v>22.74</v>
      </c>
    </row>
    <row r="1169">
      <c r="A1169" s="11" t="n">
        <v>2899</v>
      </c>
      <c r="B1169" s="3" t="n">
        <v>44769</v>
      </c>
      <c r="C1169" s="25" t="inlineStr">
        <is>
          <t>PYGELENEKSEL</t>
        </is>
      </c>
      <c r="D1169" s="3" t="n">
        <v>44770</v>
      </c>
      <c r="E1169" s="3" t="n">
        <v>45931</v>
      </c>
      <c r="F1169" s="25"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3" t="n">
        <v>44769</v>
      </c>
      <c r="C1170" s="22" t="inlineStr">
        <is>
          <t>PYGELENEKSEL</t>
        </is>
      </c>
      <c r="D1170" s="23" t="n">
        <v>44770</v>
      </c>
      <c r="E1170" s="23" t="n">
        <v>46267</v>
      </c>
      <c r="F1170" s="22" t="inlineStr">
        <is>
          <t>TRT020926T17</t>
        </is>
      </c>
      <c r="G1170" s="8" t="n">
        <v>357000</v>
      </c>
      <c r="H1170" s="8" t="n">
        <v>300000</v>
      </c>
      <c r="I1170" s="24" t="n">
        <v>299982.82</v>
      </c>
      <c r="J1170" s="24" t="n">
        <v>19.13</v>
      </c>
      <c r="K1170" s="24" t="n">
        <v>19.26</v>
      </c>
      <c r="L1170" s="24" t="n">
        <v>19.31</v>
      </c>
      <c r="M1170" s="24" t="n">
        <v>20.05</v>
      </c>
      <c r="N1170" s="24" t="n">
        <v>20.19</v>
      </c>
      <c r="O1170" s="24" t="n">
        <v>20.24</v>
      </c>
    </row>
    <row r="1171">
      <c r="A1171" s="11" t="n">
        <v>2901</v>
      </c>
      <c r="B1171" s="3" t="n">
        <v>44771</v>
      </c>
      <c r="C1171" s="25" t="inlineStr">
        <is>
          <t>PYGELENEKSEL</t>
        </is>
      </c>
      <c r="D1171" s="3" t="n">
        <v>44774</v>
      </c>
      <c r="E1171" s="3" t="n">
        <v>45497</v>
      </c>
      <c r="F1171" s="25"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3" t="n">
        <v>44771</v>
      </c>
      <c r="C1172" s="22" t="inlineStr">
        <is>
          <t>PYGELENEKSEL</t>
        </is>
      </c>
      <c r="D1172" s="23" t="n">
        <v>44774</v>
      </c>
      <c r="E1172" s="23" t="n">
        <v>45728</v>
      </c>
      <c r="F1172" s="22" t="inlineStr">
        <is>
          <t>TRT120325T12</t>
        </is>
      </c>
      <c r="G1172" s="8" t="n">
        <v>176000</v>
      </c>
      <c r="H1172" s="8" t="n">
        <v>126000</v>
      </c>
      <c r="I1172" s="24" t="n">
        <v>104653.3</v>
      </c>
      <c r="J1172" s="24" t="n">
        <v>17.75</v>
      </c>
      <c r="K1172" s="24" t="n">
        <v>17.84</v>
      </c>
      <c r="L1172" s="24" t="n">
        <v>18</v>
      </c>
      <c r="M1172" s="24" t="n">
        <v>18.54</v>
      </c>
      <c r="N1172" s="24" t="n">
        <v>18.64</v>
      </c>
      <c r="O1172" s="24" t="n">
        <v>18.81</v>
      </c>
    </row>
    <row r="1173">
      <c r="A1173" s="11" t="n">
        <v>2903</v>
      </c>
      <c r="B1173" s="3" t="n">
        <v>44771</v>
      </c>
      <c r="C1173" s="25" t="inlineStr">
        <is>
          <t>PYGELENEKSEL</t>
        </is>
      </c>
      <c r="D1173" s="3" t="n">
        <v>44774</v>
      </c>
      <c r="E1173" s="3" t="n">
        <v>46064</v>
      </c>
      <c r="F1173" s="25"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3" t="n">
        <v>44774</v>
      </c>
      <c r="C1174" s="22" t="inlineStr">
        <is>
          <t>PYGELENEKSEL</t>
        </is>
      </c>
      <c r="D1174" s="23" t="n">
        <v>44775</v>
      </c>
      <c r="E1174" s="23" t="n">
        <v>45217</v>
      </c>
      <c r="F1174" s="22" t="inlineStr">
        <is>
          <t>TRT181023T19</t>
        </is>
      </c>
      <c r="G1174" s="8" t="n">
        <v>351000</v>
      </c>
      <c r="H1174" s="8" t="n">
        <v>331000</v>
      </c>
      <c r="I1174" s="24" t="n">
        <v>345609.11</v>
      </c>
      <c r="J1174" s="24" t="n">
        <v>21.1</v>
      </c>
      <c r="K1174" s="24" t="n">
        <v>21.29</v>
      </c>
      <c r="L1174" s="24" t="n">
        <v>21.44</v>
      </c>
      <c r="M1174" s="24" t="n">
        <v>22.21</v>
      </c>
      <c r="N1174" s="24" t="n">
        <v>22.42</v>
      </c>
      <c r="O1174" s="24" t="n">
        <v>22.59</v>
      </c>
    </row>
    <row r="1175">
      <c r="A1175" s="11" t="n">
        <v>2905</v>
      </c>
      <c r="B1175" s="3" t="n">
        <v>44774</v>
      </c>
      <c r="C1175" s="25" t="inlineStr">
        <is>
          <t>PYGELENEKSEL</t>
        </is>
      </c>
      <c r="D1175" s="3" t="n">
        <v>44775</v>
      </c>
      <c r="E1175" s="3" t="n">
        <v>45931</v>
      </c>
      <c r="F1175" s="25"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3" t="n">
        <v>44774</v>
      </c>
      <c r="C1176" s="22" t="inlineStr">
        <is>
          <t>PYGELENEKSEL</t>
        </is>
      </c>
      <c r="D1176" s="23" t="n">
        <v>44775</v>
      </c>
      <c r="E1176" s="23" t="n">
        <v>46064</v>
      </c>
      <c r="F1176" s="22" t="inlineStr">
        <is>
          <t>TRT110226T13</t>
        </is>
      </c>
      <c r="G1176" s="8" t="n">
        <v>241000</v>
      </c>
      <c r="H1176" s="8" t="n">
        <v>231000</v>
      </c>
      <c r="I1176" s="24" t="n">
        <v>200534.08</v>
      </c>
      <c r="J1176" s="24" t="n">
        <v>17.51</v>
      </c>
      <c r="K1176" s="24" t="n">
        <v>17.66</v>
      </c>
      <c r="L1176" s="24" t="n">
        <v>17.79</v>
      </c>
      <c r="M1176" s="24" t="n">
        <v>18.27</v>
      </c>
      <c r="N1176" s="24" t="n">
        <v>18.44</v>
      </c>
      <c r="O1176" s="24" t="n">
        <v>18.58</v>
      </c>
    </row>
    <row r="1177">
      <c r="A1177" s="11" t="n">
        <v>2907</v>
      </c>
      <c r="B1177" s="3" t="n">
        <v>44776</v>
      </c>
      <c r="C1177" s="25" t="inlineStr">
        <is>
          <t>PYGELENEKSEL</t>
        </is>
      </c>
      <c r="D1177" s="3" t="n">
        <v>44777</v>
      </c>
      <c r="E1177" s="3" t="n">
        <v>45189</v>
      </c>
      <c r="F1177" s="25"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3" t="n">
        <v>44776</v>
      </c>
      <c r="C1178" s="22" t="inlineStr">
        <is>
          <t>PYGELENEKSEL</t>
        </is>
      </c>
      <c r="D1178" s="23" t="n">
        <v>44777</v>
      </c>
      <c r="E1178" s="23" t="n">
        <v>45728</v>
      </c>
      <c r="F1178" s="22" t="inlineStr">
        <is>
          <t>TRT120325T12</t>
        </is>
      </c>
      <c r="G1178" s="8" t="n">
        <v>101000</v>
      </c>
      <c r="H1178" s="8" t="n">
        <v>101000</v>
      </c>
      <c r="I1178" s="24" t="n">
        <v>85329.62</v>
      </c>
      <c r="J1178" s="24" t="n">
        <v>16.94</v>
      </c>
      <c r="K1178" s="24" t="n">
        <v>17.12</v>
      </c>
      <c r="L1178" s="24" t="n">
        <v>17.28</v>
      </c>
      <c r="M1178" s="24" t="n">
        <v>17.65</v>
      </c>
      <c r="N1178" s="24" t="n">
        <v>17.86</v>
      </c>
      <c r="O1178" s="24" t="n">
        <v>18.03</v>
      </c>
    </row>
    <row r="1179">
      <c r="A1179" s="11" t="n">
        <v>2909</v>
      </c>
      <c r="B1179" s="3" t="n">
        <v>44776</v>
      </c>
      <c r="C1179" s="25" t="inlineStr">
        <is>
          <t>PYGELENEKSEL</t>
        </is>
      </c>
      <c r="D1179" s="3" t="n">
        <v>44777</v>
      </c>
      <c r="E1179" s="3" t="n">
        <v>45931</v>
      </c>
      <c r="F1179" s="25"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3" t="n">
        <v>44778</v>
      </c>
      <c r="C1180" s="22" t="inlineStr">
        <is>
          <t>PYGELENEKSEL</t>
        </is>
      </c>
      <c r="D1180" s="23" t="n">
        <v>44781</v>
      </c>
      <c r="E1180" s="23" t="n">
        <v>45196</v>
      </c>
      <c r="F1180" s="22" t="inlineStr">
        <is>
          <t>TRT270923T11</t>
        </is>
      </c>
      <c r="G1180" s="8" t="n">
        <v>110000</v>
      </c>
      <c r="H1180" s="8" t="n">
        <v>98000</v>
      </c>
      <c r="I1180" s="24" t="n">
        <v>91042.72</v>
      </c>
      <c r="J1180" s="24" t="n">
        <v>19.05</v>
      </c>
      <c r="K1180" s="24" t="n">
        <v>19.21</v>
      </c>
      <c r="L1180" s="24" t="n">
        <v>19.3</v>
      </c>
      <c r="M1180" s="24" t="n">
        <v>19.96</v>
      </c>
      <c r="N1180" s="24" t="n">
        <v>20.13</v>
      </c>
      <c r="O1180" s="24" t="n">
        <v>20.23</v>
      </c>
    </row>
    <row r="1181">
      <c r="A1181" s="11" t="n">
        <v>2911</v>
      </c>
      <c r="B1181" s="3" t="n">
        <v>44778</v>
      </c>
      <c r="C1181" s="25" t="inlineStr">
        <is>
          <t>PYGELENEKSEL</t>
        </is>
      </c>
      <c r="D1181" s="3" t="n">
        <v>44781</v>
      </c>
      <c r="E1181" s="3" t="n">
        <v>45217</v>
      </c>
      <c r="F1181" s="25"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3" t="n">
        <v>44778</v>
      </c>
      <c r="C1182" s="22" t="inlineStr">
        <is>
          <t>PYGELENEKSEL</t>
        </is>
      </c>
      <c r="D1182" s="23" t="n">
        <v>44781</v>
      </c>
      <c r="E1182" s="23" t="n">
        <v>45931</v>
      </c>
      <c r="F1182" s="22" t="inlineStr">
        <is>
          <t>TRT011025T16</t>
        </is>
      </c>
      <c r="G1182" s="8" t="n">
        <v>311000</v>
      </c>
      <c r="H1182" s="8" t="n">
        <v>311000</v>
      </c>
      <c r="I1182" s="24" t="n">
        <v>290459.46</v>
      </c>
      <c r="J1182" s="24" t="n">
        <v>17.04</v>
      </c>
      <c r="K1182" s="24" t="n">
        <v>17.19</v>
      </c>
      <c r="L1182" s="24" t="n">
        <v>17.26</v>
      </c>
      <c r="M1182" s="24" t="n">
        <v>17.76</v>
      </c>
      <c r="N1182" s="24" t="n">
        <v>17.93</v>
      </c>
      <c r="O1182" s="24" t="n">
        <v>18</v>
      </c>
    </row>
    <row r="1183">
      <c r="A1183" s="11" t="n">
        <v>2913</v>
      </c>
      <c r="B1183" s="3" t="n">
        <v>44781</v>
      </c>
      <c r="C1183" s="25" t="inlineStr">
        <is>
          <t>PYGELENEKSEL</t>
        </is>
      </c>
      <c r="D1183" s="3" t="n">
        <v>44782</v>
      </c>
      <c r="E1183" s="3" t="n">
        <v>45371</v>
      </c>
      <c r="F1183" s="25"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3" t="n">
        <v>44781</v>
      </c>
      <c r="C1184" s="22" t="inlineStr">
        <is>
          <t>PYGELENEKSEL</t>
        </is>
      </c>
      <c r="D1184" s="23" t="n">
        <v>44782</v>
      </c>
      <c r="E1184" s="23" t="n">
        <v>45497</v>
      </c>
      <c r="F1184" s="22" t="inlineStr">
        <is>
          <t>TRT240724T15</t>
        </is>
      </c>
      <c r="G1184" s="8" t="n">
        <v>61000</v>
      </c>
      <c r="H1184" s="8" t="n">
        <v>25000</v>
      </c>
      <c r="I1184" s="24" t="n">
        <v>21690.25</v>
      </c>
      <c r="J1184" s="24" t="n">
        <v>17.41</v>
      </c>
      <c r="K1184" s="24" t="n">
        <v>17.44</v>
      </c>
      <c r="L1184" s="24" t="n">
        <v>17.47</v>
      </c>
      <c r="M1184" s="24" t="n">
        <v>18.16</v>
      </c>
      <c r="N1184" s="24" t="n">
        <v>18.2</v>
      </c>
      <c r="O1184" s="24" t="n">
        <v>18.23</v>
      </c>
    </row>
    <row r="1185">
      <c r="A1185" s="11" t="n">
        <v>2915</v>
      </c>
      <c r="B1185" s="3" t="n">
        <v>44781</v>
      </c>
      <c r="C1185" s="25" t="inlineStr">
        <is>
          <t>PYGELENEKSEL</t>
        </is>
      </c>
      <c r="D1185" s="3" t="n">
        <v>44782</v>
      </c>
      <c r="E1185" s="3" t="n">
        <v>46064</v>
      </c>
      <c r="F1185" s="25"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3" t="n">
        <v>44783</v>
      </c>
      <c r="C1186" s="22" t="inlineStr">
        <is>
          <t>PYGELENEKSEL</t>
        </is>
      </c>
      <c r="D1186" s="23" t="n">
        <v>44784</v>
      </c>
      <c r="E1186" s="23" t="n">
        <v>45497</v>
      </c>
      <c r="F1186" s="22" t="inlineStr">
        <is>
          <t>TRT240724T15</t>
        </is>
      </c>
      <c r="G1186" s="8" t="n">
        <v>63000</v>
      </c>
      <c r="H1186" s="8" t="n">
        <v>63000</v>
      </c>
      <c r="I1186" s="24" t="n">
        <v>55223.46</v>
      </c>
      <c r="J1186" s="24" t="n">
        <v>16.75</v>
      </c>
      <c r="K1186" s="24" t="n">
        <v>16.87</v>
      </c>
      <c r="L1186" s="24" t="n">
        <v>16.94</v>
      </c>
      <c r="M1186" s="24" t="n">
        <v>17.45</v>
      </c>
      <c r="N1186" s="24" t="n">
        <v>17.59</v>
      </c>
      <c r="O1186" s="24" t="n">
        <v>17.65</v>
      </c>
    </row>
    <row r="1187">
      <c r="A1187" s="11" t="n">
        <v>2917</v>
      </c>
      <c r="B1187" s="3" t="n">
        <v>44783</v>
      </c>
      <c r="C1187" s="25" t="inlineStr">
        <is>
          <t>PYGELENEKSEL</t>
        </is>
      </c>
      <c r="D1187" s="3" t="n">
        <v>44784</v>
      </c>
      <c r="E1187" s="3" t="n">
        <v>45931</v>
      </c>
      <c r="F1187" s="25"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3" t="n">
        <v>44783</v>
      </c>
      <c r="C1188" s="22" t="inlineStr">
        <is>
          <t>PYGELENEKSEL</t>
        </is>
      </c>
      <c r="D1188" s="23" t="n">
        <v>44784</v>
      </c>
      <c r="E1188" s="23" t="n">
        <v>46064</v>
      </c>
      <c r="F1188" s="22" t="inlineStr">
        <is>
          <t>TRT110226T13</t>
        </is>
      </c>
      <c r="G1188" s="8" t="n">
        <v>123000</v>
      </c>
      <c r="H1188" s="8" t="n">
        <v>123000</v>
      </c>
      <c r="I1188" s="24" t="n">
        <v>113962.6</v>
      </c>
      <c r="J1188" s="24" t="n">
        <v>15.26</v>
      </c>
      <c r="K1188" s="24" t="n">
        <v>15.32</v>
      </c>
      <c r="L1188" s="24" t="n">
        <v>15.38</v>
      </c>
      <c r="M1188" s="24" t="n">
        <v>15.84</v>
      </c>
      <c r="N1188" s="24" t="n">
        <v>15.91</v>
      </c>
      <c r="O1188" s="24" t="n">
        <v>15.97</v>
      </c>
    </row>
    <row r="1189">
      <c r="A1189" s="11" t="n">
        <v>2919</v>
      </c>
      <c r="B1189" s="3" t="n">
        <v>44785</v>
      </c>
      <c r="C1189" s="25" t="inlineStr">
        <is>
          <t>PYGELENEKSEL</t>
        </is>
      </c>
      <c r="D1189" s="3" t="n">
        <v>44788</v>
      </c>
      <c r="E1189" s="3" t="n">
        <v>45497</v>
      </c>
      <c r="F1189" s="25"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3" t="n">
        <v>44785</v>
      </c>
      <c r="C1190" s="22" t="inlineStr">
        <is>
          <t>PYGELENEKSEL</t>
        </is>
      </c>
      <c r="D1190" s="23" t="n">
        <v>44788</v>
      </c>
      <c r="E1190" s="23" t="n">
        <v>45728</v>
      </c>
      <c r="F1190" s="22" t="inlineStr">
        <is>
          <t>TRT120325T12</t>
        </is>
      </c>
      <c r="G1190" s="8" t="n">
        <v>48000</v>
      </c>
      <c r="H1190" s="8" t="n">
        <v>0</v>
      </c>
      <c r="I1190" s="24" t="n">
        <v>0</v>
      </c>
    </row>
    <row r="1191">
      <c r="A1191" s="11" t="n">
        <v>2921</v>
      </c>
      <c r="B1191" s="3" t="n">
        <v>44785</v>
      </c>
      <c r="C1191" s="25" t="inlineStr">
        <is>
          <t>PYGELENEKSEL</t>
        </is>
      </c>
      <c r="D1191" s="3" t="n">
        <v>44788</v>
      </c>
      <c r="E1191" s="3" t="n">
        <v>46064</v>
      </c>
      <c r="F1191" s="25"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3" t="n">
        <v>44788</v>
      </c>
      <c r="C1192" s="22" t="inlineStr">
        <is>
          <t>PYGELENEKSEL</t>
        </is>
      </c>
      <c r="D1192" s="23" t="n">
        <v>44789</v>
      </c>
      <c r="E1192" s="23" t="n">
        <v>45371</v>
      </c>
      <c r="F1192" s="22" t="inlineStr">
        <is>
          <t>TRT200324T13</t>
        </is>
      </c>
      <c r="G1192" s="8" t="n">
        <v>48000</v>
      </c>
      <c r="H1192" s="8" t="n">
        <v>0</v>
      </c>
      <c r="I1192" s="24" t="n">
        <v>0</v>
      </c>
    </row>
    <row r="1193">
      <c r="A1193" s="11" t="n">
        <v>2923</v>
      </c>
      <c r="B1193" s="3" t="n">
        <v>44788</v>
      </c>
      <c r="C1193" s="25" t="inlineStr">
        <is>
          <t>PYGELENEKSEL</t>
        </is>
      </c>
      <c r="D1193" s="3" t="n">
        <v>44789</v>
      </c>
      <c r="E1193" s="3" t="n">
        <v>45497</v>
      </c>
      <c r="F1193" s="25"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3" t="n">
        <v>44788</v>
      </c>
      <c r="C1194" s="22" t="inlineStr">
        <is>
          <t>PYGELENEKSEL</t>
        </is>
      </c>
      <c r="D1194" s="23" t="n">
        <v>44789</v>
      </c>
      <c r="E1194" s="23" t="n">
        <v>45931</v>
      </c>
      <c r="F1194" s="22" t="inlineStr">
        <is>
          <t>TRT011025T16</t>
        </is>
      </c>
      <c r="G1194" s="8" t="n">
        <v>457000</v>
      </c>
      <c r="H1194" s="8" t="n">
        <v>400000</v>
      </c>
      <c r="I1194" s="24" t="n">
        <v>389908.66</v>
      </c>
      <c r="J1194" s="24" t="n">
        <v>15.37</v>
      </c>
      <c r="K1194" s="24" t="n">
        <v>15.52</v>
      </c>
      <c r="L1194" s="24" t="n">
        <v>15.58</v>
      </c>
      <c r="M1194" s="24" t="n">
        <v>15.96</v>
      </c>
      <c r="N1194" s="24" t="n">
        <v>16.12</v>
      </c>
      <c r="O1194" s="24" t="n">
        <v>16.19</v>
      </c>
    </row>
    <row r="1195">
      <c r="A1195" s="11" t="n">
        <v>2925</v>
      </c>
      <c r="B1195" s="3" t="n">
        <v>44790</v>
      </c>
      <c r="C1195" s="25" t="inlineStr">
        <is>
          <t>PYGELENEKSEL</t>
        </is>
      </c>
      <c r="D1195" s="3" t="n">
        <v>44791</v>
      </c>
      <c r="E1195" s="3" t="n">
        <v>45497</v>
      </c>
      <c r="F1195" s="25"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3" t="n">
        <v>44790</v>
      </c>
      <c r="C1196" s="22" t="inlineStr">
        <is>
          <t>PYGELENEKSEL</t>
        </is>
      </c>
      <c r="D1196" s="23" t="n">
        <v>44791</v>
      </c>
      <c r="E1196" s="23" t="n">
        <v>45931</v>
      </c>
      <c r="F1196" s="22" t="inlineStr">
        <is>
          <t>TRT011025T16</t>
        </is>
      </c>
      <c r="G1196" s="8" t="n">
        <v>477000</v>
      </c>
      <c r="H1196" s="8" t="n">
        <v>400000</v>
      </c>
      <c r="I1196" s="24" t="n">
        <v>393646.26</v>
      </c>
      <c r="J1196" s="24" t="n">
        <v>15.1</v>
      </c>
      <c r="K1196" s="24" t="n">
        <v>15.15</v>
      </c>
      <c r="L1196" s="24" t="n">
        <v>15.22</v>
      </c>
      <c r="M1196" s="24" t="n">
        <v>15.67</v>
      </c>
      <c r="N1196" s="24" t="n">
        <v>15.72</v>
      </c>
      <c r="O1196" s="24" t="n">
        <v>15.8</v>
      </c>
    </row>
    <row r="1197">
      <c r="A1197" s="11" t="n">
        <v>2927</v>
      </c>
      <c r="B1197" s="3" t="n">
        <v>44790</v>
      </c>
      <c r="C1197" s="25" t="inlineStr">
        <is>
          <t>PYGELENEKSEL</t>
        </is>
      </c>
      <c r="D1197" s="3" t="n">
        <v>44791</v>
      </c>
      <c r="E1197" s="3" t="n">
        <v>46064</v>
      </c>
      <c r="F1197" s="25"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3" t="n">
        <v>44792</v>
      </c>
      <c r="C1198" s="22" t="inlineStr">
        <is>
          <t>PYGELENEKSEL</t>
        </is>
      </c>
      <c r="D1198" s="23" t="n">
        <v>44795</v>
      </c>
      <c r="E1198" s="23" t="n">
        <v>45371</v>
      </c>
      <c r="F1198" s="22" t="inlineStr">
        <is>
          <t>TRT200324T13</t>
        </is>
      </c>
      <c r="G1198" s="8" t="n">
        <v>57000</v>
      </c>
      <c r="H1198" s="8" t="n">
        <v>0</v>
      </c>
      <c r="I1198" s="24" t="n">
        <v>0</v>
      </c>
    </row>
    <row r="1199">
      <c r="A1199" s="11" t="n">
        <v>2929</v>
      </c>
      <c r="B1199" s="3" t="n">
        <v>44792</v>
      </c>
      <c r="C1199" s="25" t="inlineStr">
        <is>
          <t>PYGELENEKSEL</t>
        </is>
      </c>
      <c r="D1199" s="3" t="n">
        <v>44795</v>
      </c>
      <c r="E1199" s="3" t="n">
        <v>45728</v>
      </c>
      <c r="F1199" s="25"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3" t="n">
        <v>44792</v>
      </c>
      <c r="C1200" s="22" t="inlineStr">
        <is>
          <t>PYGELENEKSEL</t>
        </is>
      </c>
      <c r="D1200" s="23" t="n">
        <v>44795</v>
      </c>
      <c r="E1200" s="23" t="n">
        <v>46064</v>
      </c>
      <c r="F1200" s="22" t="inlineStr">
        <is>
          <t>TRT110226T13</t>
        </is>
      </c>
      <c r="G1200" s="8" t="n">
        <v>209000</v>
      </c>
      <c r="H1200" s="8" t="n">
        <v>178000</v>
      </c>
      <c r="I1200" s="24" t="n">
        <v>165926.52</v>
      </c>
      <c r="J1200" s="24" t="n">
        <v>13.08</v>
      </c>
      <c r="K1200" s="24" t="n">
        <v>13.13</v>
      </c>
      <c r="L1200" s="24" t="n">
        <v>13.29</v>
      </c>
      <c r="M1200" s="24" t="n">
        <v>13.51</v>
      </c>
      <c r="N1200" s="24" t="n">
        <v>13.56</v>
      </c>
      <c r="O1200" s="24" t="n">
        <v>13.73</v>
      </c>
    </row>
    <row r="1201">
      <c r="A1201" s="11" t="n">
        <v>2931</v>
      </c>
      <c r="B1201" s="3" t="n">
        <v>44795</v>
      </c>
      <c r="C1201" s="25" t="inlineStr">
        <is>
          <t>PYGELENEKSEL</t>
        </is>
      </c>
      <c r="D1201" s="3" t="n">
        <v>44796</v>
      </c>
      <c r="E1201" s="3" t="n">
        <v>45217</v>
      </c>
      <c r="F1201" s="25"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3" t="n">
        <v>44795</v>
      </c>
      <c r="C1202" s="22" t="inlineStr">
        <is>
          <t>PYGELENEKSEL</t>
        </is>
      </c>
      <c r="D1202" s="23" t="n">
        <v>44796</v>
      </c>
      <c r="E1202" s="23" t="n">
        <v>45497</v>
      </c>
      <c r="F1202" s="22" t="inlineStr">
        <is>
          <t>TRT240724T15</t>
        </is>
      </c>
      <c r="G1202" s="8" t="n">
        <v>124000</v>
      </c>
      <c r="H1202" s="8" t="n">
        <v>46000</v>
      </c>
      <c r="I1202" s="24" t="n">
        <v>43806.56</v>
      </c>
      <c r="J1202" s="24" t="n">
        <v>12.16</v>
      </c>
      <c r="K1202" s="24" t="n">
        <v>12.25</v>
      </c>
      <c r="L1202" s="24" t="n">
        <v>12.62</v>
      </c>
      <c r="M1202" s="24" t="n">
        <v>12.53</v>
      </c>
      <c r="N1202" s="24" t="n">
        <v>12.63</v>
      </c>
      <c r="O1202" s="24" t="n">
        <v>13.02</v>
      </c>
    </row>
    <row r="1203">
      <c r="A1203" s="11" t="n">
        <v>2933</v>
      </c>
      <c r="B1203" s="3" t="n">
        <v>44795</v>
      </c>
      <c r="C1203" s="25" t="inlineStr">
        <is>
          <t>PYGELENEKSEL</t>
        </is>
      </c>
      <c r="D1203" s="3" t="n">
        <v>44796</v>
      </c>
      <c r="E1203" s="3" t="n">
        <v>45931</v>
      </c>
      <c r="F1203" s="25"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3" t="n">
        <v>44797</v>
      </c>
      <c r="C1204" s="22" t="inlineStr">
        <is>
          <t>PYGELENEKSEL</t>
        </is>
      </c>
      <c r="D1204" s="23" t="n">
        <v>44798</v>
      </c>
      <c r="E1204" s="23" t="n">
        <v>45189</v>
      </c>
      <c r="F1204" s="22" t="inlineStr">
        <is>
          <t>TRT200923T18</t>
        </is>
      </c>
      <c r="G1204" s="8" t="n">
        <v>454000</v>
      </c>
      <c r="H1204" s="8" t="n">
        <v>400000</v>
      </c>
      <c r="I1204" s="24" t="n">
        <v>444425.87</v>
      </c>
      <c r="J1204" s="24" t="n">
        <v>13.14</v>
      </c>
      <c r="K1204" s="24" t="n">
        <v>13.26</v>
      </c>
      <c r="L1204" s="24" t="n">
        <v>13.39</v>
      </c>
      <c r="M1204" s="24" t="n">
        <v>13.57</v>
      </c>
      <c r="N1204" s="24" t="n">
        <v>13.7</v>
      </c>
      <c r="O1204" s="24" t="n">
        <v>13.84</v>
      </c>
    </row>
    <row r="1205">
      <c r="A1205" s="11" t="n">
        <v>2935</v>
      </c>
      <c r="B1205" s="3" t="n">
        <v>44797</v>
      </c>
      <c r="C1205" s="25" t="inlineStr">
        <is>
          <t>PYGELENEKSEL</t>
        </is>
      </c>
      <c r="D1205" s="3" t="n">
        <v>44798</v>
      </c>
      <c r="E1205" s="3" t="n">
        <v>45931</v>
      </c>
      <c r="F1205" s="25"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3" t="n">
        <v>44797</v>
      </c>
      <c r="C1206" s="22" t="inlineStr">
        <is>
          <t>PYGELENEKSEL</t>
        </is>
      </c>
      <c r="D1206" s="23" t="n">
        <v>44798</v>
      </c>
      <c r="E1206" s="23" t="n">
        <v>46064</v>
      </c>
      <c r="F1206" s="22" t="inlineStr">
        <is>
          <t>TRT110226T13</t>
        </is>
      </c>
      <c r="G1206" s="8" t="n">
        <v>442000</v>
      </c>
      <c r="H1206" s="8" t="n">
        <v>400000</v>
      </c>
      <c r="I1206" s="24" t="n">
        <v>393359.84</v>
      </c>
      <c r="J1206" s="24" t="n">
        <v>11.1</v>
      </c>
      <c r="K1206" s="24" t="n">
        <v>11.27</v>
      </c>
      <c r="L1206" s="24" t="n">
        <v>11.44</v>
      </c>
      <c r="M1206" s="24" t="n">
        <v>11.41</v>
      </c>
      <c r="N1206" s="24" t="n">
        <v>11.59</v>
      </c>
      <c r="O1206" s="24" t="n">
        <v>11.77</v>
      </c>
    </row>
    <row r="1207">
      <c r="A1207" s="11" t="n">
        <v>2937</v>
      </c>
      <c r="B1207" s="3" t="n">
        <v>44799</v>
      </c>
      <c r="C1207" s="25" t="inlineStr">
        <is>
          <t>PYGELENEKSEL</t>
        </is>
      </c>
      <c r="D1207" s="3" t="n">
        <v>44802</v>
      </c>
      <c r="E1207" s="3" t="n">
        <v>45217</v>
      </c>
      <c r="F1207" s="25"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3" t="n">
        <v>44799</v>
      </c>
      <c r="C1208" s="22" t="inlineStr">
        <is>
          <t>PYGELENEKSEL</t>
        </is>
      </c>
      <c r="D1208" s="23" t="n">
        <v>44802</v>
      </c>
      <c r="E1208" s="23" t="n">
        <v>45371</v>
      </c>
      <c r="F1208" s="22" t="inlineStr">
        <is>
          <t>TRT200324T13</t>
        </is>
      </c>
      <c r="G1208" s="8" t="n">
        <v>99000</v>
      </c>
      <c r="H1208" s="8" t="n">
        <v>40000</v>
      </c>
      <c r="I1208" s="24" t="n">
        <v>40352.6</v>
      </c>
      <c r="J1208" s="24" t="n">
        <v>12.99</v>
      </c>
      <c r="K1208" s="24" t="n">
        <v>13.06</v>
      </c>
      <c r="L1208" s="24" t="n">
        <v>13.31</v>
      </c>
      <c r="M1208" s="24" t="n">
        <v>13.42</v>
      </c>
      <c r="N1208" s="24" t="n">
        <v>13.48</v>
      </c>
      <c r="O1208" s="24" t="n">
        <v>13.75</v>
      </c>
    </row>
    <row r="1209">
      <c r="A1209" s="11" t="n">
        <v>2939</v>
      </c>
      <c r="B1209" s="3" t="n">
        <v>44799</v>
      </c>
      <c r="C1209" s="25" t="inlineStr">
        <is>
          <t>PYGELENEKSEL</t>
        </is>
      </c>
      <c r="D1209" s="3" t="n">
        <v>44802</v>
      </c>
      <c r="E1209" s="3" t="n">
        <v>45728</v>
      </c>
      <c r="F1209" s="25"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3" t="n">
        <v>44802</v>
      </c>
      <c r="C1210" s="22" t="inlineStr">
        <is>
          <t>PYGELENEKSEL</t>
        </is>
      </c>
      <c r="D1210" s="23" t="n">
        <v>44804</v>
      </c>
      <c r="E1210" s="23" t="n">
        <v>44993</v>
      </c>
      <c r="F1210" s="22" t="inlineStr">
        <is>
          <t>TRT080323T10</t>
        </is>
      </c>
      <c r="G1210" s="8" t="n">
        <v>373000</v>
      </c>
      <c r="H1210" s="8" t="n">
        <v>2000</v>
      </c>
      <c r="I1210" s="24" t="n">
        <v>2006.28</v>
      </c>
      <c r="J1210" s="24" t="n">
        <v>13.47</v>
      </c>
      <c r="K1210" s="24" t="n">
        <v>13.47</v>
      </c>
      <c r="L1210" s="24" t="n">
        <v>13.47</v>
      </c>
      <c r="M1210" s="24" t="n">
        <v>13.93</v>
      </c>
      <c r="N1210" s="24" t="n">
        <v>13.93</v>
      </c>
      <c r="O1210" s="24" t="n">
        <v>13.93</v>
      </c>
    </row>
    <row r="1211">
      <c r="A1211" s="11" t="n">
        <v>2941</v>
      </c>
      <c r="B1211" s="3" t="n">
        <v>44802</v>
      </c>
      <c r="C1211" s="25" t="inlineStr">
        <is>
          <t>PYGELENEKSEL</t>
        </is>
      </c>
      <c r="D1211" s="3" t="n">
        <v>44804</v>
      </c>
      <c r="E1211" s="3" t="n">
        <v>45497</v>
      </c>
      <c r="F1211" s="25"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3" t="n">
        <v>44802</v>
      </c>
      <c r="C1212" s="22" t="inlineStr">
        <is>
          <t>PYGELENEKSEL</t>
        </is>
      </c>
      <c r="D1212" s="23" t="n">
        <v>44804</v>
      </c>
      <c r="E1212" s="23" t="n">
        <v>46267</v>
      </c>
      <c r="F1212" s="22" t="inlineStr">
        <is>
          <t>TRT020926T17</t>
        </is>
      </c>
      <c r="G1212" s="8" t="n">
        <v>486000</v>
      </c>
      <c r="H1212" s="8" t="n">
        <v>400000</v>
      </c>
      <c r="I1212" s="24" t="n">
        <v>471836.07</v>
      </c>
      <c r="J1212" s="24" t="n">
        <v>13.52</v>
      </c>
      <c r="K1212" s="24" t="n">
        <v>13.63</v>
      </c>
      <c r="L1212" s="24" t="n">
        <v>13.7</v>
      </c>
      <c r="M1212" s="24" t="n">
        <v>13.98</v>
      </c>
      <c r="N1212" s="24" t="n">
        <v>14.1</v>
      </c>
      <c r="O1212" s="24" t="n">
        <v>14.17</v>
      </c>
    </row>
    <row r="1213">
      <c r="A1213" s="11" t="n">
        <v>2943</v>
      </c>
      <c r="B1213" s="3" t="n">
        <v>44804</v>
      </c>
      <c r="C1213" s="25" t="inlineStr">
        <is>
          <t>PYGELENEKSEL</t>
        </is>
      </c>
      <c r="D1213" s="3" t="n">
        <v>44805</v>
      </c>
      <c r="E1213" s="3" t="n">
        <v>45189</v>
      </c>
      <c r="F1213" s="25"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3" t="n">
        <v>44804</v>
      </c>
      <c r="C1214" s="22" t="inlineStr">
        <is>
          <t>PYGELENEKSEL</t>
        </is>
      </c>
      <c r="D1214" s="23" t="n">
        <v>44805</v>
      </c>
      <c r="E1214" s="23" t="n">
        <v>45931</v>
      </c>
      <c r="F1214" s="22" t="inlineStr">
        <is>
          <t>TRT011025T16</t>
        </is>
      </c>
      <c r="G1214" s="8" t="n">
        <v>412000</v>
      </c>
      <c r="H1214" s="8" t="n">
        <v>400000</v>
      </c>
      <c r="I1214" s="24" t="n">
        <v>427907.65</v>
      </c>
      <c r="J1214" s="24" t="n">
        <v>11.8</v>
      </c>
      <c r="K1214" s="24" t="n">
        <v>11.85</v>
      </c>
      <c r="L1214" s="24" t="n">
        <v>11.93</v>
      </c>
      <c r="M1214" s="24" t="n">
        <v>12.15</v>
      </c>
      <c r="N1214" s="24" t="n">
        <v>12.2</v>
      </c>
      <c r="O1214" s="24" t="n">
        <v>12.28</v>
      </c>
    </row>
    <row r="1215">
      <c r="A1215" s="11" t="n">
        <v>2945</v>
      </c>
      <c r="B1215" s="3" t="n">
        <v>44804</v>
      </c>
      <c r="C1215" s="25" t="inlineStr">
        <is>
          <t>PYGELENEKSEL</t>
        </is>
      </c>
      <c r="D1215" s="3" t="n">
        <v>44805</v>
      </c>
      <c r="E1215" s="3" t="n">
        <v>46267</v>
      </c>
      <c r="F1215" s="25"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3" t="n">
        <v>44806</v>
      </c>
      <c r="C1216" s="22" t="inlineStr">
        <is>
          <t>PYGELENEKSEL</t>
        </is>
      </c>
      <c r="D1216" s="23" t="n">
        <v>44809</v>
      </c>
      <c r="E1216" s="23" t="n">
        <v>45196</v>
      </c>
      <c r="F1216" s="22" t="inlineStr">
        <is>
          <t>TRT270923T11</t>
        </is>
      </c>
      <c r="G1216" s="8" t="n">
        <v>146000</v>
      </c>
      <c r="H1216" s="8" t="n">
        <v>23000</v>
      </c>
      <c r="I1216" s="24" t="n">
        <v>22962.59</v>
      </c>
      <c r="J1216" s="24" t="n">
        <v>12.92</v>
      </c>
      <c r="K1216" s="24" t="n">
        <v>12.92</v>
      </c>
      <c r="L1216" s="24" t="n">
        <v>13.11</v>
      </c>
      <c r="M1216" s="24" t="n">
        <v>13.34</v>
      </c>
      <c r="N1216" s="24" t="n">
        <v>13.34</v>
      </c>
      <c r="O1216" s="24" t="n">
        <v>13.54</v>
      </c>
    </row>
    <row r="1217">
      <c r="A1217" s="11" t="n">
        <v>2947</v>
      </c>
      <c r="B1217" s="3" t="n">
        <v>44806</v>
      </c>
      <c r="C1217" s="25" t="inlineStr">
        <is>
          <t>PYGELENEKSEL</t>
        </is>
      </c>
      <c r="D1217" s="3" t="n">
        <v>44809</v>
      </c>
      <c r="E1217" s="3" t="n">
        <v>46267</v>
      </c>
      <c r="F1217" s="25"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3" t="n">
        <v>44806</v>
      </c>
      <c r="C1218" s="22" t="inlineStr">
        <is>
          <t>PYGELENEKSEL</t>
        </is>
      </c>
      <c r="D1218" s="23" t="n">
        <v>44809</v>
      </c>
      <c r="E1218" s="23" t="n">
        <v>46442</v>
      </c>
      <c r="F1218" s="22" t="inlineStr">
        <is>
          <t>TRT240227T17</t>
        </is>
      </c>
      <c r="G1218" s="8" t="n">
        <v>50000</v>
      </c>
      <c r="H1218" s="8" t="n">
        <v>40000</v>
      </c>
      <c r="I1218" s="24" t="n">
        <v>38048.06</v>
      </c>
      <c r="J1218" s="24" t="n">
        <v>12.41</v>
      </c>
      <c r="K1218" s="24" t="n">
        <v>12.5</v>
      </c>
      <c r="L1218" s="24" t="n">
        <v>12.64</v>
      </c>
      <c r="M1218" s="24" t="n">
        <v>12.79</v>
      </c>
      <c r="N1218" s="24" t="n">
        <v>12.89</v>
      </c>
      <c r="O1218" s="24" t="n">
        <v>13.04</v>
      </c>
    </row>
    <row r="1219">
      <c r="A1219" s="11" t="n">
        <v>2949</v>
      </c>
      <c r="B1219" s="3" t="n">
        <v>44809</v>
      </c>
      <c r="C1219" s="25" t="inlineStr">
        <is>
          <t>PYGELENEKSEL</t>
        </is>
      </c>
      <c r="D1219" s="3" t="n">
        <v>44810</v>
      </c>
      <c r="E1219" s="3" t="n">
        <v>45217</v>
      </c>
      <c r="F1219" s="25" t="inlineStr">
        <is>
          <t>TRT181023T19</t>
        </is>
      </c>
      <c r="G1219" s="11" t="n">
        <v>221000</v>
      </c>
      <c r="H1219" s="11" t="n">
        <v>0</v>
      </c>
      <c r="I1219" s="13" t="n">
        <v>0</v>
      </c>
    </row>
    <row r="1220">
      <c r="A1220" s="8" t="n">
        <v>2950</v>
      </c>
      <c r="B1220" s="23" t="n">
        <v>44809</v>
      </c>
      <c r="C1220" s="22" t="inlineStr">
        <is>
          <t>PYGELENEKSEL</t>
        </is>
      </c>
      <c r="D1220" s="23" t="n">
        <v>44810</v>
      </c>
      <c r="E1220" s="23" t="n">
        <v>46064</v>
      </c>
      <c r="F1220" s="22" t="inlineStr">
        <is>
          <t>TRT110226T13</t>
        </is>
      </c>
      <c r="G1220" s="8" t="n">
        <v>122000</v>
      </c>
      <c r="H1220" s="8" t="n">
        <v>122000</v>
      </c>
      <c r="I1220" s="24" t="n">
        <v>121912.9</v>
      </c>
      <c r="J1220" s="24" t="n">
        <v>10.72</v>
      </c>
      <c r="K1220" s="24" t="n">
        <v>10.82</v>
      </c>
      <c r="L1220" s="24" t="n">
        <v>10.9</v>
      </c>
      <c r="M1220" s="24" t="n">
        <v>11.01</v>
      </c>
      <c r="N1220" s="24" t="n">
        <v>11.11</v>
      </c>
      <c r="O1220" s="24" t="n">
        <v>11.19</v>
      </c>
    </row>
    <row r="1221">
      <c r="A1221" s="11" t="n">
        <v>2951</v>
      </c>
      <c r="B1221" s="3" t="n">
        <v>44809</v>
      </c>
      <c r="C1221" s="25" t="inlineStr">
        <is>
          <t>PYGELENEKSEL</t>
        </is>
      </c>
      <c r="D1221" s="3" t="n">
        <v>44810</v>
      </c>
      <c r="E1221" s="3" t="n">
        <v>46267</v>
      </c>
      <c r="F1221" s="25"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3" t="n">
        <v>44811</v>
      </c>
      <c r="C1222" s="22" t="inlineStr">
        <is>
          <t>PYGELENEKSEL</t>
        </is>
      </c>
      <c r="D1222" s="23" t="n">
        <v>44812</v>
      </c>
      <c r="E1222" s="23" t="n">
        <v>45189</v>
      </c>
      <c r="F1222" s="22" t="inlineStr">
        <is>
          <t>TRT200923T18</t>
        </is>
      </c>
      <c r="G1222" s="8" t="n">
        <v>304000</v>
      </c>
      <c r="H1222" s="8" t="n">
        <v>200000</v>
      </c>
      <c r="I1222" s="24" t="n">
        <v>224269.32</v>
      </c>
      <c r="J1222" s="24" t="n">
        <v>12.7</v>
      </c>
      <c r="K1222" s="24" t="n">
        <v>12.76</v>
      </c>
      <c r="L1222" s="24" t="n">
        <v>12.89</v>
      </c>
      <c r="M1222" s="24" t="n">
        <v>13.1</v>
      </c>
      <c r="N1222" s="24" t="n">
        <v>13.17</v>
      </c>
      <c r="O1222" s="24" t="n">
        <v>13.3</v>
      </c>
    </row>
    <row r="1223">
      <c r="A1223" s="11" t="n">
        <v>2953</v>
      </c>
      <c r="B1223" s="3" t="n">
        <v>44811</v>
      </c>
      <c r="C1223" s="25" t="inlineStr">
        <is>
          <t>PYGELENEKSEL</t>
        </is>
      </c>
      <c r="D1223" s="3" t="n">
        <v>44812</v>
      </c>
      <c r="E1223" s="3" t="n">
        <v>45497</v>
      </c>
      <c r="F1223" s="25"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3" t="n">
        <v>44811</v>
      </c>
      <c r="C1224" s="22" t="inlineStr">
        <is>
          <t>PYGELENEKSEL</t>
        </is>
      </c>
      <c r="D1224" s="23" t="n">
        <v>44812</v>
      </c>
      <c r="E1224" s="23" t="n">
        <v>46267</v>
      </c>
      <c r="F1224" s="22" t="inlineStr">
        <is>
          <t>TRT020926T17</t>
        </is>
      </c>
      <c r="G1224" s="8" t="n">
        <v>225000</v>
      </c>
      <c r="H1224" s="8" t="n">
        <v>200000</v>
      </c>
      <c r="I1224" s="24" t="n">
        <v>232529.62</v>
      </c>
      <c r="J1224" s="24" t="n">
        <v>11.62</v>
      </c>
      <c r="K1224" s="24" t="n">
        <v>11.7</v>
      </c>
      <c r="L1224" s="24" t="n">
        <v>11.76</v>
      </c>
      <c r="M1224" s="24" t="n">
        <v>11.96</v>
      </c>
      <c r="N1224" s="24" t="n">
        <v>12.04</v>
      </c>
      <c r="O1224" s="24" t="n">
        <v>12.11</v>
      </c>
    </row>
    <row r="1225">
      <c r="A1225" s="11" t="n">
        <v>2955</v>
      </c>
      <c r="B1225" s="3" t="n">
        <v>44813</v>
      </c>
      <c r="C1225" s="25" t="inlineStr">
        <is>
          <t>PYGELENEKSEL</t>
        </is>
      </c>
      <c r="D1225" s="3" t="n">
        <v>44816</v>
      </c>
      <c r="E1225" s="3" t="n">
        <v>45189</v>
      </c>
      <c r="F1225" s="25"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3" t="n">
        <v>44813</v>
      </c>
      <c r="C1226" s="22" t="inlineStr">
        <is>
          <t>PYGELENEKSEL</t>
        </is>
      </c>
      <c r="D1226" s="23" t="n">
        <v>44816</v>
      </c>
      <c r="E1226" s="23" t="n">
        <v>45217</v>
      </c>
      <c r="F1226" s="22" t="inlineStr">
        <is>
          <t>TRT181023T19</t>
        </is>
      </c>
      <c r="G1226" s="8" t="n">
        <v>165000</v>
      </c>
      <c r="H1226" s="8" t="n">
        <v>138000</v>
      </c>
      <c r="I1226" s="24" t="n">
        <v>158842.4</v>
      </c>
      <c r="J1226" s="24" t="n">
        <v>12.85</v>
      </c>
      <c r="K1226" s="24" t="n">
        <v>12.91</v>
      </c>
      <c r="L1226" s="24" t="n">
        <v>13.04</v>
      </c>
      <c r="M1226" s="24" t="n">
        <v>13.26</v>
      </c>
      <c r="N1226" s="24" t="n">
        <v>13.33</v>
      </c>
      <c r="O1226" s="24" t="n">
        <v>13.46</v>
      </c>
    </row>
    <row r="1227">
      <c r="A1227" s="11" t="n">
        <v>2957</v>
      </c>
      <c r="B1227" s="3" t="n">
        <v>44813</v>
      </c>
      <c r="C1227" s="25" t="inlineStr">
        <is>
          <t>PYGELENEKSEL</t>
        </is>
      </c>
      <c r="D1227" s="3" t="n">
        <v>44816</v>
      </c>
      <c r="E1227" s="3" t="n">
        <v>46267</v>
      </c>
      <c r="F1227" s="25"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3" t="n">
        <v>44816</v>
      </c>
      <c r="C1228" s="22" t="inlineStr">
        <is>
          <t>PYGELENEKSEL</t>
        </is>
      </c>
      <c r="D1228" s="23" t="n">
        <v>44817</v>
      </c>
      <c r="E1228" s="23" t="n">
        <v>44993</v>
      </c>
      <c r="F1228" s="22" t="inlineStr">
        <is>
          <t>TRT080323T10</t>
        </is>
      </c>
      <c r="G1228" s="8" t="n">
        <v>262000</v>
      </c>
      <c r="H1228" s="8" t="n">
        <v>147000</v>
      </c>
      <c r="I1228" s="24" t="n">
        <v>142675.4</v>
      </c>
      <c r="J1228" s="24" t="n">
        <v>13.74</v>
      </c>
      <c r="K1228" s="24" t="n">
        <v>13.87</v>
      </c>
      <c r="L1228" s="24" t="n">
        <v>14.09</v>
      </c>
      <c r="M1228" s="24" t="n">
        <v>14.23</v>
      </c>
      <c r="N1228" s="24" t="n">
        <v>14.37</v>
      </c>
      <c r="O1228" s="24" t="n">
        <v>14.6</v>
      </c>
    </row>
    <row r="1229">
      <c r="A1229" s="11" t="n">
        <v>2959</v>
      </c>
      <c r="B1229" s="3" t="n">
        <v>44816</v>
      </c>
      <c r="C1229" s="25" t="inlineStr">
        <is>
          <t>PYGELENEKSEL</t>
        </is>
      </c>
      <c r="D1229" s="3" t="n">
        <v>44817</v>
      </c>
      <c r="E1229" s="3" t="n">
        <v>45497</v>
      </c>
      <c r="F1229" s="25"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3" t="n">
        <v>44816</v>
      </c>
      <c r="C1230" s="22" t="inlineStr">
        <is>
          <t>PYGELENEKSEL</t>
        </is>
      </c>
      <c r="D1230" s="23" t="n">
        <v>44817</v>
      </c>
      <c r="E1230" s="23" t="n">
        <v>46267</v>
      </c>
      <c r="F1230" s="22" t="inlineStr">
        <is>
          <t>TRT020926T17</t>
        </is>
      </c>
      <c r="G1230" s="8" t="n">
        <v>227000</v>
      </c>
      <c r="H1230" s="8" t="n">
        <v>200000</v>
      </c>
      <c r="I1230" s="24" t="n">
        <v>235633.46</v>
      </c>
      <c r="J1230" s="24" t="n">
        <v>11.26</v>
      </c>
      <c r="K1230" s="24" t="n">
        <v>11.31</v>
      </c>
      <c r="L1230" s="24" t="n">
        <v>11.37</v>
      </c>
      <c r="M1230" s="24" t="n">
        <v>11.58</v>
      </c>
      <c r="N1230" s="24" t="n">
        <v>11.63</v>
      </c>
      <c r="O1230" s="24" t="n">
        <v>11.69</v>
      </c>
    </row>
    <row r="1231">
      <c r="A1231" s="11" t="n">
        <v>2961</v>
      </c>
      <c r="B1231" s="3" t="n">
        <v>44818</v>
      </c>
      <c r="C1231" s="25" t="inlineStr">
        <is>
          <t>PYGELENEKSEL</t>
        </is>
      </c>
      <c r="D1231" s="3" t="n">
        <v>44819</v>
      </c>
      <c r="E1231" s="3" t="n">
        <v>45217</v>
      </c>
      <c r="F1231" s="25"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3" t="n">
        <v>44818</v>
      </c>
      <c r="C1232" s="22" t="inlineStr">
        <is>
          <t>PYGELENEKSEL</t>
        </is>
      </c>
      <c r="D1232" s="23" t="n">
        <v>44819</v>
      </c>
      <c r="E1232" s="23" t="n">
        <v>45371</v>
      </c>
      <c r="F1232" s="22" t="inlineStr">
        <is>
          <t>TRT200324T13</t>
        </is>
      </c>
      <c r="G1232" s="8" t="n">
        <v>69000</v>
      </c>
      <c r="H1232" s="8" t="n">
        <v>67000</v>
      </c>
      <c r="I1232" s="24" t="n">
        <v>69489.86</v>
      </c>
      <c r="J1232" s="24" t="n">
        <v>11.27</v>
      </c>
      <c r="K1232" s="24" t="n">
        <v>11.37</v>
      </c>
      <c r="L1232" s="24" t="n">
        <v>11.43</v>
      </c>
      <c r="M1232" s="24" t="n">
        <v>11.59</v>
      </c>
      <c r="N1232" s="24" t="n">
        <v>11.69</v>
      </c>
      <c r="O1232" s="24" t="n">
        <v>11.76</v>
      </c>
    </row>
    <row r="1233">
      <c r="A1233" s="11" t="n">
        <v>2963</v>
      </c>
      <c r="B1233" s="3" t="n">
        <v>44818</v>
      </c>
      <c r="C1233" s="25" t="inlineStr">
        <is>
          <t>PYGELENEKSEL</t>
        </is>
      </c>
      <c r="D1233" s="3" t="n">
        <v>44819</v>
      </c>
      <c r="E1233" s="3" t="n">
        <v>46267</v>
      </c>
      <c r="F1233" s="25"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3" t="n">
        <v>44820</v>
      </c>
      <c r="C1234" s="22" t="inlineStr">
        <is>
          <t>PYGELENEKSEL</t>
        </is>
      </c>
      <c r="D1234" s="23" t="n">
        <v>44823</v>
      </c>
      <c r="E1234" s="23" t="n">
        <v>45196</v>
      </c>
      <c r="F1234" s="22" t="inlineStr">
        <is>
          <t>TRT270923T11</t>
        </is>
      </c>
      <c r="G1234" s="8" t="n">
        <v>215000</v>
      </c>
      <c r="H1234" s="8" t="n">
        <v>196000</v>
      </c>
      <c r="I1234" s="24" t="n">
        <v>196326.43</v>
      </c>
      <c r="J1234" s="24" t="n">
        <v>12.86</v>
      </c>
      <c r="K1234" s="24" t="n">
        <v>13.11</v>
      </c>
      <c r="L1234" s="24" t="n">
        <v>13.17</v>
      </c>
      <c r="M1234" s="24" t="n">
        <v>13.28</v>
      </c>
      <c r="N1234" s="24" t="n">
        <v>13.54</v>
      </c>
      <c r="O1234" s="24" t="n">
        <v>13.61</v>
      </c>
    </row>
    <row r="1235">
      <c r="A1235" s="11" t="n">
        <v>2965</v>
      </c>
      <c r="B1235" s="3" t="n">
        <v>44820</v>
      </c>
      <c r="C1235" s="25" t="inlineStr">
        <is>
          <t>PYGELENEKSEL</t>
        </is>
      </c>
      <c r="D1235" s="3" t="n">
        <v>44823</v>
      </c>
      <c r="E1235" s="3" t="n">
        <v>45497</v>
      </c>
      <c r="F1235" s="25"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3" t="n">
        <v>44820</v>
      </c>
      <c r="C1236" s="22" t="inlineStr">
        <is>
          <t>PYGELENEKSEL</t>
        </is>
      </c>
      <c r="D1236" s="23" t="n">
        <v>44823</v>
      </c>
      <c r="E1236" s="23" t="n">
        <v>46267</v>
      </c>
      <c r="F1236" s="22" t="inlineStr">
        <is>
          <t>TRT020926T17</t>
        </is>
      </c>
      <c r="G1236" s="8" t="n">
        <v>263000</v>
      </c>
      <c r="H1236" s="8" t="n">
        <v>200000</v>
      </c>
      <c r="I1236" s="24" t="n">
        <v>233874.73</v>
      </c>
      <c r="J1236" s="24" t="n">
        <v>11.57</v>
      </c>
      <c r="K1236" s="24" t="n">
        <v>11.62</v>
      </c>
      <c r="L1236" s="24" t="n">
        <v>11.65</v>
      </c>
      <c r="M1236" s="24" t="n">
        <v>11.91</v>
      </c>
      <c r="N1236" s="24" t="n">
        <v>11.96</v>
      </c>
      <c r="O1236" s="24" t="n">
        <v>11.99</v>
      </c>
    </row>
    <row r="1237">
      <c r="A1237" s="11" t="n">
        <v>2967</v>
      </c>
      <c r="B1237" s="3" t="n">
        <v>44823</v>
      </c>
      <c r="C1237" s="25" t="inlineStr">
        <is>
          <t>PYGELENEKSEL</t>
        </is>
      </c>
      <c r="D1237" s="3" t="n">
        <v>44824</v>
      </c>
      <c r="E1237" s="3" t="n">
        <v>45217</v>
      </c>
      <c r="F1237" s="25"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3" t="n">
        <v>44823</v>
      </c>
      <c r="C1238" s="22" t="inlineStr">
        <is>
          <t>PYGELENEKSEL</t>
        </is>
      </c>
      <c r="D1238" s="23" t="n">
        <v>44824</v>
      </c>
      <c r="E1238" s="23" t="n">
        <v>45371</v>
      </c>
      <c r="F1238" s="22" t="inlineStr">
        <is>
          <t>TRT200324T13</t>
        </is>
      </c>
      <c r="G1238" s="8" t="n">
        <v>31000</v>
      </c>
      <c r="H1238" s="8" t="n">
        <v>31000</v>
      </c>
      <c r="I1238" s="24" t="n">
        <v>32467.37</v>
      </c>
      <c r="J1238" s="24" t="n">
        <v>10.65</v>
      </c>
      <c r="K1238" s="24" t="n">
        <v>10.71</v>
      </c>
      <c r="L1238" s="24" t="n">
        <v>10.84</v>
      </c>
      <c r="M1238" s="24" t="n">
        <v>10.93</v>
      </c>
      <c r="N1238" s="24" t="n">
        <v>11</v>
      </c>
      <c r="O1238" s="24" t="n">
        <v>11.13</v>
      </c>
    </row>
    <row r="1239">
      <c r="A1239" s="11" t="n">
        <v>2969</v>
      </c>
      <c r="B1239" s="3" t="n">
        <v>44823</v>
      </c>
      <c r="C1239" s="25" t="inlineStr">
        <is>
          <t>PYGELENEKSEL</t>
        </is>
      </c>
      <c r="D1239" s="3" t="n">
        <v>44824</v>
      </c>
      <c r="E1239" s="3" t="n">
        <v>46267</v>
      </c>
      <c r="F1239" s="25"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3" t="n">
        <v>44825</v>
      </c>
      <c r="C1240" s="22" t="inlineStr">
        <is>
          <t>PYGELENEKSEL</t>
        </is>
      </c>
      <c r="D1240" s="23" t="n">
        <v>44826</v>
      </c>
      <c r="E1240" s="23" t="n">
        <v>45189</v>
      </c>
      <c r="F1240" s="22" t="inlineStr">
        <is>
          <t>TRT200923T18</t>
        </is>
      </c>
      <c r="G1240" s="8" t="n">
        <v>228000</v>
      </c>
      <c r="H1240" s="8" t="n">
        <v>200000</v>
      </c>
      <c r="I1240" s="24" t="n">
        <v>207346.25</v>
      </c>
      <c r="J1240" s="24" t="n">
        <v>13.07</v>
      </c>
      <c r="K1240" s="24" t="n">
        <v>13.2</v>
      </c>
      <c r="L1240" s="24" t="n">
        <v>13.32</v>
      </c>
      <c r="M1240" s="24" t="n">
        <v>13.5</v>
      </c>
      <c r="N1240" s="24" t="n">
        <v>13.64</v>
      </c>
      <c r="O1240" s="24" t="n">
        <v>13.77</v>
      </c>
    </row>
    <row r="1241">
      <c r="A1241" s="11" t="n">
        <v>2971</v>
      </c>
      <c r="B1241" s="3" t="n">
        <v>44825</v>
      </c>
      <c r="C1241" s="25" t="inlineStr">
        <is>
          <t>PYGELENEKSEL</t>
        </is>
      </c>
      <c r="D1241" s="3" t="n">
        <v>44826</v>
      </c>
      <c r="E1241" s="3" t="n">
        <v>46267</v>
      </c>
      <c r="F1241" s="25"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3" t="n">
        <v>44825</v>
      </c>
      <c r="C1242" s="22" t="inlineStr">
        <is>
          <t>PYGELENEKSEL</t>
        </is>
      </c>
      <c r="D1242" s="23" t="n">
        <v>44826</v>
      </c>
      <c r="E1242" s="23" t="n">
        <v>46547</v>
      </c>
      <c r="F1242" s="22" t="inlineStr">
        <is>
          <t>TRT090627T12</t>
        </is>
      </c>
      <c r="G1242" s="8" t="n">
        <v>70000</v>
      </c>
      <c r="H1242" s="8" t="n">
        <v>70000</v>
      </c>
      <c r="I1242" s="24" t="n">
        <v>99898.86</v>
      </c>
      <c r="J1242" s="24" t="n">
        <v>9.92</v>
      </c>
      <c r="K1242" s="24" t="n">
        <v>10.09</v>
      </c>
      <c r="L1242" s="24" t="n">
        <v>10.14</v>
      </c>
      <c r="M1242" s="24" t="n">
        <v>10.16</v>
      </c>
      <c r="N1242" s="24" t="n">
        <v>10.35</v>
      </c>
      <c r="O1242" s="24" t="n">
        <v>10.39</v>
      </c>
    </row>
    <row r="1243">
      <c r="A1243" s="11" t="n">
        <v>2973</v>
      </c>
      <c r="B1243" s="3" t="n">
        <v>44827</v>
      </c>
      <c r="C1243" s="25" t="inlineStr">
        <is>
          <t>PYGELENEKSEL</t>
        </is>
      </c>
      <c r="D1243" s="3" t="n">
        <v>44830</v>
      </c>
      <c r="E1243" s="3" t="n">
        <v>45196</v>
      </c>
      <c r="F1243" s="25"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3" t="n">
        <v>44827</v>
      </c>
      <c r="C1244" s="22" t="inlineStr">
        <is>
          <t>PYGELENEKSEL</t>
        </is>
      </c>
      <c r="D1244" s="23" t="n">
        <v>44830</v>
      </c>
      <c r="E1244" s="23" t="n">
        <v>45497</v>
      </c>
      <c r="F1244" s="22" t="inlineStr">
        <is>
          <t>TRT240724T15</t>
        </is>
      </c>
      <c r="G1244" s="8" t="n">
        <v>247000</v>
      </c>
      <c r="H1244" s="8" t="n">
        <v>200000</v>
      </c>
      <c r="I1244" s="24" t="n">
        <v>199031.88</v>
      </c>
      <c r="J1244" s="24" t="n">
        <v>10.16</v>
      </c>
      <c r="K1244" s="24" t="n">
        <v>10.22</v>
      </c>
      <c r="L1244" s="24" t="n">
        <v>10.34</v>
      </c>
      <c r="M1244" s="24" t="n">
        <v>10.41</v>
      </c>
      <c r="N1244" s="24" t="n">
        <v>10.48</v>
      </c>
      <c r="O1244" s="24" t="n">
        <v>10.61</v>
      </c>
    </row>
    <row r="1245">
      <c r="A1245" s="11" t="n">
        <v>2975</v>
      </c>
      <c r="B1245" s="3" t="n">
        <v>44827</v>
      </c>
      <c r="C1245" s="25" t="inlineStr">
        <is>
          <t>PYGELENEKSEL</t>
        </is>
      </c>
      <c r="D1245" s="3" t="n">
        <v>44830</v>
      </c>
      <c r="E1245" s="3" t="n">
        <v>45931</v>
      </c>
      <c r="F1245" s="25"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3" t="n">
        <v>44830</v>
      </c>
      <c r="C1246" s="22" t="inlineStr">
        <is>
          <t>PYGELENEKSEL</t>
        </is>
      </c>
      <c r="D1246" s="23" t="n">
        <v>44831</v>
      </c>
      <c r="E1246" s="23" t="n">
        <v>45728</v>
      </c>
      <c r="F1246" s="22" t="inlineStr">
        <is>
          <t>TRT120325T12</t>
        </is>
      </c>
      <c r="G1246" s="8" t="n">
        <v>156000</v>
      </c>
      <c r="H1246" s="8" t="n">
        <v>156000</v>
      </c>
      <c r="I1246" s="24" t="n">
        <v>148007.99</v>
      </c>
      <c r="J1246" s="24" t="n">
        <v>10.48</v>
      </c>
      <c r="K1246" s="24" t="n">
        <v>10.55</v>
      </c>
      <c r="L1246" s="24" t="n">
        <v>10.69</v>
      </c>
      <c r="M1246" s="24" t="n">
        <v>10.76</v>
      </c>
      <c r="N1246" s="24" t="n">
        <v>10.82</v>
      </c>
      <c r="O1246" s="24" t="n">
        <v>10.97</v>
      </c>
    </row>
    <row r="1247">
      <c r="A1247" s="11" t="n">
        <v>2977</v>
      </c>
      <c r="B1247" s="3" t="n">
        <v>44830</v>
      </c>
      <c r="C1247" s="25" t="inlineStr">
        <is>
          <t>PYGELENEKSEL</t>
        </is>
      </c>
      <c r="D1247" s="3" t="n">
        <v>44831</v>
      </c>
      <c r="E1247" s="3" t="n">
        <v>45931</v>
      </c>
      <c r="F1247" s="25"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3" t="n">
        <v>44830</v>
      </c>
      <c r="C1248" s="22" t="inlineStr">
        <is>
          <t>PYGELENEKSEL</t>
        </is>
      </c>
      <c r="D1248" s="23" t="n">
        <v>44831</v>
      </c>
      <c r="E1248" s="23" t="n">
        <v>46064</v>
      </c>
      <c r="F1248" s="22" t="inlineStr">
        <is>
          <t>TRT110226T13</t>
        </is>
      </c>
      <c r="G1248" s="8" t="n">
        <v>235000</v>
      </c>
      <c r="H1248" s="8" t="n">
        <v>200000</v>
      </c>
      <c r="I1248" s="24" t="n">
        <v>203829.24</v>
      </c>
      <c r="J1248" s="24" t="n">
        <v>10.24</v>
      </c>
      <c r="K1248" s="24" t="n">
        <v>10.33</v>
      </c>
      <c r="L1248" s="24" t="n">
        <v>10.49</v>
      </c>
      <c r="M1248" s="24" t="n">
        <v>10.5</v>
      </c>
      <c r="N1248" s="24" t="n">
        <v>10.6</v>
      </c>
      <c r="O1248" s="24" t="n">
        <v>10.77</v>
      </c>
    </row>
    <row r="1249">
      <c r="A1249" s="11" t="n">
        <v>2979</v>
      </c>
      <c r="B1249" s="3" t="n">
        <v>44832</v>
      </c>
      <c r="C1249" s="25" t="inlineStr">
        <is>
          <t>PYGELENEKSEL</t>
        </is>
      </c>
      <c r="D1249" s="3" t="n">
        <v>44833</v>
      </c>
      <c r="E1249" s="3" t="n">
        <v>45371</v>
      </c>
      <c r="F1249" s="25"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3" t="n">
        <v>44832</v>
      </c>
      <c r="C1250" s="22" t="inlineStr">
        <is>
          <t>PYGELENEKSEL</t>
        </is>
      </c>
      <c r="D1250" s="23" t="n">
        <v>44833</v>
      </c>
      <c r="E1250" s="23" t="n">
        <v>45931</v>
      </c>
      <c r="F1250" s="22" t="inlineStr">
        <is>
          <t>TRT011025T16</t>
        </is>
      </c>
      <c r="G1250" s="8" t="n">
        <v>249000</v>
      </c>
      <c r="H1250" s="8" t="n">
        <v>200000</v>
      </c>
      <c r="I1250" s="24" t="n">
        <v>218215.38</v>
      </c>
      <c r="J1250" s="24" t="n">
        <v>11.35</v>
      </c>
      <c r="K1250" s="24" t="n">
        <v>11.38</v>
      </c>
      <c r="L1250" s="24" t="n">
        <v>11.44</v>
      </c>
      <c r="M1250" s="24" t="n">
        <v>11.67</v>
      </c>
      <c r="N1250" s="24" t="n">
        <v>11.71</v>
      </c>
      <c r="O1250" s="24" t="n">
        <v>11.77</v>
      </c>
    </row>
    <row r="1251">
      <c r="A1251" s="11" t="n">
        <v>2981</v>
      </c>
      <c r="B1251" s="3" t="n">
        <v>44832</v>
      </c>
      <c r="C1251" s="25" t="inlineStr">
        <is>
          <t>PYGELENEKSEL</t>
        </is>
      </c>
      <c r="D1251" s="3" t="n">
        <v>44833</v>
      </c>
      <c r="E1251" s="3" t="n">
        <v>46267</v>
      </c>
      <c r="F1251" s="25"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3" t="n">
        <v>44834</v>
      </c>
      <c r="C1252" s="22" t="inlineStr">
        <is>
          <t>PYGELENEKSEL</t>
        </is>
      </c>
      <c r="D1252" s="23" t="n">
        <v>44837</v>
      </c>
      <c r="E1252" s="23" t="n">
        <v>45497</v>
      </c>
      <c r="F1252" s="22" t="inlineStr">
        <is>
          <t>TRT240724T15</t>
        </is>
      </c>
      <c r="G1252" s="8" t="n">
        <v>181000</v>
      </c>
      <c r="H1252" s="8" t="n">
        <v>181000</v>
      </c>
      <c r="I1252" s="24" t="n">
        <v>178120.47</v>
      </c>
      <c r="J1252" s="24" t="n">
        <v>10.84</v>
      </c>
      <c r="K1252" s="24" t="n">
        <v>11.03</v>
      </c>
      <c r="L1252" s="24" t="n">
        <v>11.16</v>
      </c>
      <c r="M1252" s="24" t="n">
        <v>11.14</v>
      </c>
      <c r="N1252" s="24" t="n">
        <v>11.34</v>
      </c>
      <c r="O1252" s="24" t="n">
        <v>11.47</v>
      </c>
    </row>
    <row r="1253">
      <c r="A1253" s="11" t="n">
        <v>2983</v>
      </c>
      <c r="B1253" s="3" t="n">
        <v>44834</v>
      </c>
      <c r="C1253" s="25" t="inlineStr">
        <is>
          <t>PYGELENEKSEL</t>
        </is>
      </c>
      <c r="D1253" s="3" t="n">
        <v>44837</v>
      </c>
      <c r="E1253" s="3" t="n">
        <v>45728</v>
      </c>
      <c r="F1253" s="25"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3" t="n">
        <v>44834</v>
      </c>
      <c r="C1254" s="22" t="inlineStr">
        <is>
          <t>PYGELENEKSEL</t>
        </is>
      </c>
      <c r="D1254" s="23" t="n">
        <v>44837</v>
      </c>
      <c r="E1254" s="23" t="n">
        <v>46267</v>
      </c>
      <c r="F1254" s="22" t="inlineStr">
        <is>
          <t>TRT020926T17</t>
        </is>
      </c>
      <c r="G1254" s="8" t="n">
        <v>470000</v>
      </c>
      <c r="H1254" s="8" t="n">
        <v>400000</v>
      </c>
      <c r="I1254" s="24" t="n">
        <v>456303.38</v>
      </c>
      <c r="J1254" s="24" t="n">
        <v>12.54</v>
      </c>
      <c r="K1254" s="24" t="n">
        <v>12.63</v>
      </c>
      <c r="L1254" s="24" t="n">
        <v>12.68</v>
      </c>
      <c r="M1254" s="24" t="n">
        <v>12.93</v>
      </c>
      <c r="N1254" s="24" t="n">
        <v>13.03</v>
      </c>
      <c r="O1254" s="24" t="n">
        <v>13.08</v>
      </c>
    </row>
    <row r="1255">
      <c r="A1255" s="11" t="n">
        <v>2985</v>
      </c>
      <c r="B1255" s="3" t="n">
        <v>44837</v>
      </c>
      <c r="C1255" s="25" t="inlineStr">
        <is>
          <t>PYGELENEKSEL</t>
        </is>
      </c>
      <c r="D1255" s="3" t="n">
        <v>44838</v>
      </c>
      <c r="E1255" s="3" t="n">
        <v>45189</v>
      </c>
      <c r="F1255" s="25"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3" t="n">
        <v>44837</v>
      </c>
      <c r="C1256" s="22" t="inlineStr">
        <is>
          <t>PYGELENEKSEL</t>
        </is>
      </c>
      <c r="D1256" s="23" t="n">
        <v>44838</v>
      </c>
      <c r="E1256" s="23" t="n">
        <v>45931</v>
      </c>
      <c r="F1256" s="22" t="inlineStr">
        <is>
          <t>TRT011025T16</t>
        </is>
      </c>
      <c r="G1256" s="8" t="n">
        <v>248000</v>
      </c>
      <c r="H1256" s="8" t="n">
        <v>200000</v>
      </c>
      <c r="I1256" s="24" t="n">
        <v>215726.81</v>
      </c>
      <c r="J1256" s="24" t="n">
        <v>11.88</v>
      </c>
      <c r="K1256" s="24" t="n">
        <v>11.94</v>
      </c>
      <c r="L1256" s="24" t="n">
        <v>12.01</v>
      </c>
      <c r="M1256" s="24" t="n">
        <v>12.23</v>
      </c>
      <c r="N1256" s="24" t="n">
        <v>12.3</v>
      </c>
      <c r="O1256" s="24" t="n">
        <v>12.37</v>
      </c>
    </row>
    <row r="1257">
      <c r="A1257" s="11" t="n">
        <v>2987</v>
      </c>
      <c r="B1257" s="3" t="n">
        <v>44837</v>
      </c>
      <c r="C1257" s="25" t="inlineStr">
        <is>
          <t>PYGELENEKSEL</t>
        </is>
      </c>
      <c r="D1257" s="3" t="n">
        <v>44838</v>
      </c>
      <c r="E1257" s="3" t="n">
        <v>46267</v>
      </c>
      <c r="F1257" s="25"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3" t="n">
        <v>44839</v>
      </c>
      <c r="C1258" s="22" t="inlineStr">
        <is>
          <t>PYGELENEKSEL</t>
        </is>
      </c>
      <c r="D1258" s="23" t="n">
        <v>44840</v>
      </c>
      <c r="E1258" s="23" t="n">
        <v>45196</v>
      </c>
      <c r="F1258" s="22" t="inlineStr">
        <is>
          <t>TRT270923T11</t>
        </is>
      </c>
      <c r="G1258" s="8" t="n">
        <v>186000</v>
      </c>
      <c r="H1258" s="8" t="n">
        <v>186000</v>
      </c>
      <c r="I1258" s="24" t="n">
        <v>177423.66</v>
      </c>
      <c r="J1258" s="24" t="n">
        <v>14.14</v>
      </c>
      <c r="K1258" s="24" t="n">
        <v>14.24</v>
      </c>
      <c r="L1258" s="24" t="n">
        <v>14.3</v>
      </c>
      <c r="M1258" s="24" t="n">
        <v>14.64</v>
      </c>
      <c r="N1258" s="24" t="n">
        <v>14.74</v>
      </c>
      <c r="O1258" s="24" t="n">
        <v>14.81</v>
      </c>
    </row>
    <row r="1259">
      <c r="A1259" s="11" t="n">
        <v>2989</v>
      </c>
      <c r="B1259" s="3" t="n">
        <v>44839</v>
      </c>
      <c r="C1259" s="25" t="inlineStr">
        <is>
          <t>PYGELENEKSEL</t>
        </is>
      </c>
      <c r="D1259" s="3" t="n">
        <v>44840</v>
      </c>
      <c r="E1259" s="3" t="n">
        <v>45371</v>
      </c>
      <c r="F1259" s="25"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3" t="n">
        <v>44839</v>
      </c>
      <c r="C1260" s="22" t="inlineStr">
        <is>
          <t>PYGELENEKSEL</t>
        </is>
      </c>
      <c r="D1260" s="23" t="n">
        <v>44840</v>
      </c>
      <c r="E1260" s="23" t="n">
        <v>46267</v>
      </c>
      <c r="F1260" s="22" t="inlineStr">
        <is>
          <t>TRT020926T17</t>
        </is>
      </c>
      <c r="G1260" s="8" t="n">
        <v>271000</v>
      </c>
      <c r="H1260" s="8" t="n">
        <v>200000</v>
      </c>
      <c r="I1260" s="24" t="n">
        <v>226998.52</v>
      </c>
      <c r="J1260" s="24" t="n">
        <v>12.82</v>
      </c>
      <c r="K1260" s="24" t="n">
        <v>12.85</v>
      </c>
      <c r="L1260" s="24" t="n">
        <v>12.9</v>
      </c>
      <c r="M1260" s="24" t="n">
        <v>13.23</v>
      </c>
      <c r="N1260" s="24" t="n">
        <v>13.27</v>
      </c>
      <c r="O1260" s="24" t="n">
        <v>13.32</v>
      </c>
    </row>
    <row r="1261">
      <c r="A1261" s="11" t="n">
        <v>2991</v>
      </c>
      <c r="B1261" s="3" t="n">
        <v>44841</v>
      </c>
      <c r="C1261" s="25" t="inlineStr">
        <is>
          <t>PYGELENEKSEL</t>
        </is>
      </c>
      <c r="D1261" s="3" t="n">
        <v>44844</v>
      </c>
      <c r="E1261" s="3" t="n">
        <v>45497</v>
      </c>
      <c r="F1261" s="25"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3" t="n">
        <v>44841</v>
      </c>
      <c r="C1262" s="22" t="inlineStr">
        <is>
          <t>PYGELENEKSEL</t>
        </is>
      </c>
      <c r="D1262" s="23" t="n">
        <v>44844</v>
      </c>
      <c r="E1262" s="23" t="n">
        <v>45728</v>
      </c>
      <c r="F1262" s="22" t="inlineStr">
        <is>
          <t>TRT120325T12</t>
        </is>
      </c>
      <c r="G1262" s="8" t="n">
        <v>150000</v>
      </c>
      <c r="H1262" s="8" t="n">
        <v>150000</v>
      </c>
      <c r="I1262" s="24" t="n">
        <v>138552.21</v>
      </c>
      <c r="J1262" s="24" t="n">
        <v>11.87</v>
      </c>
      <c r="K1262" s="24" t="n">
        <v>11.98</v>
      </c>
      <c r="L1262" s="24" t="n">
        <v>12.03</v>
      </c>
      <c r="M1262" s="24" t="n">
        <v>12.23</v>
      </c>
      <c r="N1262" s="24" t="n">
        <v>12.34</v>
      </c>
      <c r="O1262" s="24" t="n">
        <v>12.39</v>
      </c>
    </row>
    <row r="1263">
      <c r="A1263" s="11" t="n">
        <v>2993</v>
      </c>
      <c r="B1263" s="3" t="n">
        <v>44841</v>
      </c>
      <c r="C1263" s="25" t="inlineStr">
        <is>
          <t>PYGELENEKSEL</t>
        </is>
      </c>
      <c r="D1263" s="3" t="n">
        <v>44844</v>
      </c>
      <c r="E1263" s="3" t="n">
        <v>46267</v>
      </c>
      <c r="F1263" s="25"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3" t="n">
        <v>44844</v>
      </c>
      <c r="C1264" s="22" t="inlineStr">
        <is>
          <t>PYGELENEKSEL</t>
        </is>
      </c>
      <c r="D1264" s="23" t="n">
        <v>44845</v>
      </c>
      <c r="E1264" s="23" t="n">
        <v>45189</v>
      </c>
      <c r="F1264" s="22" t="inlineStr">
        <is>
          <t>TRT200923T18</t>
        </is>
      </c>
      <c r="G1264" s="8" t="n">
        <v>250000</v>
      </c>
      <c r="H1264" s="8" t="n">
        <v>200000</v>
      </c>
      <c r="I1264" s="24" t="n">
        <v>206508.19</v>
      </c>
      <c r="J1264" s="24" t="n">
        <v>14.39</v>
      </c>
      <c r="K1264" s="24" t="n">
        <v>14.45</v>
      </c>
      <c r="L1264" s="24" t="n">
        <v>14.57</v>
      </c>
      <c r="M1264" s="24" t="n">
        <v>14.9</v>
      </c>
      <c r="N1264" s="24" t="n">
        <v>14.97</v>
      </c>
      <c r="O1264" s="24" t="n">
        <v>15.11</v>
      </c>
    </row>
    <row r="1265">
      <c r="A1265" s="11" t="n">
        <v>2995</v>
      </c>
      <c r="B1265" s="3" t="n">
        <v>44844</v>
      </c>
      <c r="C1265" s="25" t="inlineStr">
        <is>
          <t>PYGELENEKSEL</t>
        </is>
      </c>
      <c r="D1265" s="3" t="n">
        <v>44845</v>
      </c>
      <c r="E1265" s="3" t="n">
        <v>45931</v>
      </c>
      <c r="F1265" s="25"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3" t="n">
        <v>44844</v>
      </c>
      <c r="C1266" s="22" t="inlineStr">
        <is>
          <t>PYGELENEKSEL</t>
        </is>
      </c>
      <c r="D1266" s="23" t="n">
        <v>44845</v>
      </c>
      <c r="E1266" s="23" t="n">
        <v>46267</v>
      </c>
      <c r="F1266" s="22" t="inlineStr">
        <is>
          <t>TRT020926T17</t>
        </is>
      </c>
      <c r="G1266" s="8" t="n">
        <v>473000</v>
      </c>
      <c r="H1266" s="8" t="n">
        <v>400000</v>
      </c>
      <c r="I1266" s="24" t="n">
        <v>453331.2</v>
      </c>
      <c r="J1266" s="24" t="n">
        <v>12.93</v>
      </c>
      <c r="K1266" s="24" t="n">
        <v>12.96</v>
      </c>
      <c r="L1266" s="24" t="n">
        <v>12.99</v>
      </c>
      <c r="M1266" s="24" t="n">
        <v>13.35</v>
      </c>
      <c r="N1266" s="24" t="n">
        <v>13.38</v>
      </c>
      <c r="O1266" s="24" t="n">
        <v>13.42</v>
      </c>
    </row>
    <row r="1267">
      <c r="A1267" s="11" t="n">
        <v>2997</v>
      </c>
      <c r="B1267" s="3" t="n">
        <v>44846</v>
      </c>
      <c r="C1267" s="25" t="inlineStr">
        <is>
          <t>PYGELENEKSEL</t>
        </is>
      </c>
      <c r="D1267" s="3" t="n">
        <v>44847</v>
      </c>
      <c r="E1267" s="3" t="n">
        <v>46267</v>
      </c>
      <c r="F1267" s="25"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3" t="n">
        <v>44846</v>
      </c>
      <c r="C1268" s="22" t="inlineStr">
        <is>
          <t>PYGELENEKSEL</t>
        </is>
      </c>
      <c r="D1268" s="23" t="n">
        <v>44847</v>
      </c>
      <c r="E1268" s="23" t="n">
        <v>46547</v>
      </c>
      <c r="F1268" s="22" t="inlineStr">
        <is>
          <t>TRT090627T12</t>
        </is>
      </c>
      <c r="G1268" s="8" t="n">
        <v>172000</v>
      </c>
      <c r="H1268" s="8" t="n">
        <v>172000</v>
      </c>
      <c r="I1268" s="24" t="n">
        <v>245034.2</v>
      </c>
      <c r="J1268" s="24" t="n">
        <v>10.17</v>
      </c>
      <c r="K1268" s="24" t="n">
        <v>10.33</v>
      </c>
      <c r="L1268" s="24" t="n">
        <v>10.47</v>
      </c>
      <c r="M1268" s="24" t="n">
        <v>10.43</v>
      </c>
      <c r="N1268" s="24" t="n">
        <v>10.59</v>
      </c>
      <c r="O1268" s="24" t="n">
        <v>10.74</v>
      </c>
    </row>
    <row r="1269">
      <c r="A1269" s="11" t="n">
        <v>2999</v>
      </c>
      <c r="B1269" s="3" t="n">
        <v>44846</v>
      </c>
      <c r="C1269" s="25" t="inlineStr">
        <is>
          <t>PYGELENEKSEL</t>
        </is>
      </c>
      <c r="D1269" s="3" t="n">
        <v>44847</v>
      </c>
      <c r="E1269" s="3" t="n">
        <v>46820</v>
      </c>
      <c r="F1269" s="25"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3" t="n">
        <v>44848</v>
      </c>
      <c r="C1270" s="22" t="inlineStr">
        <is>
          <t>PYGELENEKSEL</t>
        </is>
      </c>
      <c r="D1270" s="23" t="n">
        <v>44851</v>
      </c>
      <c r="E1270" s="23" t="n">
        <v>46267</v>
      </c>
      <c r="F1270" s="22" t="inlineStr">
        <is>
          <t>TRT020926T17</t>
        </is>
      </c>
      <c r="G1270" s="8" t="n">
        <v>376000</v>
      </c>
      <c r="H1270" s="8" t="n">
        <v>300000</v>
      </c>
      <c r="I1270" s="24" t="n">
        <v>334779.38</v>
      </c>
      <c r="J1270" s="24" t="n">
        <v>13.56</v>
      </c>
      <c r="K1270" s="24" t="n">
        <v>13.59</v>
      </c>
      <c r="L1270" s="24" t="n">
        <v>13.59</v>
      </c>
      <c r="M1270" s="24" t="n">
        <v>14.02</v>
      </c>
      <c r="N1270" s="24" t="n">
        <v>14.05</v>
      </c>
      <c r="O1270" s="24" t="n">
        <v>14.05</v>
      </c>
    </row>
    <row r="1271">
      <c r="A1271" s="11" t="n">
        <v>3001</v>
      </c>
      <c r="B1271" s="3" t="n">
        <v>44848</v>
      </c>
      <c r="C1271" s="25" t="inlineStr">
        <is>
          <t>PYGELENEKSEL</t>
        </is>
      </c>
      <c r="D1271" s="3" t="n">
        <v>44851</v>
      </c>
      <c r="E1271" s="3" t="n">
        <v>46442</v>
      </c>
      <c r="F1271" s="25"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3" t="n">
        <v>44848</v>
      </c>
      <c r="C1272" s="22" t="inlineStr">
        <is>
          <t>PYGELENEKSEL</t>
        </is>
      </c>
      <c r="D1272" s="23" t="n">
        <v>44851</v>
      </c>
      <c r="E1272" s="23" t="n">
        <v>47800</v>
      </c>
      <c r="F1272" s="22" t="inlineStr">
        <is>
          <t>TRT131130T14</t>
        </is>
      </c>
      <c r="G1272" s="8" t="n">
        <v>341000</v>
      </c>
      <c r="H1272" s="8" t="n">
        <v>300000</v>
      </c>
      <c r="I1272" s="24" t="n">
        <v>340330.49</v>
      </c>
      <c r="J1272" s="24" t="n">
        <v>10.03</v>
      </c>
      <c r="K1272" s="24" t="n">
        <v>10.08</v>
      </c>
      <c r="L1272" s="24" t="n">
        <v>10.12</v>
      </c>
      <c r="M1272" s="24" t="n">
        <v>10.28</v>
      </c>
      <c r="N1272" s="24" t="n">
        <v>10.34</v>
      </c>
      <c r="O1272" s="24" t="n">
        <v>10.38</v>
      </c>
    </row>
    <row r="1273">
      <c r="A1273" s="11" t="n">
        <v>3003</v>
      </c>
      <c r="B1273" s="3" t="n">
        <v>44851</v>
      </c>
      <c r="C1273" s="25" t="inlineStr">
        <is>
          <t>PYGELENEKSEL</t>
        </is>
      </c>
      <c r="D1273" s="3" t="n">
        <v>44852</v>
      </c>
      <c r="E1273" s="3" t="n">
        <v>45371</v>
      </c>
      <c r="F1273" s="25"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3" t="n">
        <v>44851</v>
      </c>
      <c r="C1274" s="22" t="inlineStr">
        <is>
          <t>PYGELENEKSEL</t>
        </is>
      </c>
      <c r="D1274" s="23" t="n">
        <v>44852</v>
      </c>
      <c r="E1274" s="23" t="n">
        <v>45931</v>
      </c>
      <c r="F1274" s="22" t="inlineStr">
        <is>
          <t>TRT011025T16</t>
        </is>
      </c>
      <c r="G1274" s="8" t="n">
        <v>501000</v>
      </c>
      <c r="H1274" s="8" t="n">
        <v>400000</v>
      </c>
      <c r="I1274" s="24" t="n">
        <v>396996.82</v>
      </c>
      <c r="J1274" s="24" t="n">
        <v>13.04</v>
      </c>
      <c r="K1274" s="24" t="n">
        <v>13.1</v>
      </c>
      <c r="L1274" s="24" t="n">
        <v>13.13</v>
      </c>
      <c r="M1274" s="24" t="n">
        <v>13.46</v>
      </c>
      <c r="N1274" s="24" t="n">
        <v>13.53</v>
      </c>
      <c r="O1274" s="24" t="n">
        <v>13.56</v>
      </c>
    </row>
    <row r="1275">
      <c r="A1275" s="11" t="n">
        <v>3005</v>
      </c>
      <c r="B1275" s="3" t="n">
        <v>44851</v>
      </c>
      <c r="C1275" s="25" t="inlineStr">
        <is>
          <t>PYGELENEKSEL</t>
        </is>
      </c>
      <c r="D1275" s="3" t="n">
        <v>44852</v>
      </c>
      <c r="E1275" s="3" t="n">
        <v>47800</v>
      </c>
      <c r="F1275" s="25"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3" t="n">
        <v>44853</v>
      </c>
      <c r="C1276" s="22" t="inlineStr">
        <is>
          <t>PYGELENEKSEL</t>
        </is>
      </c>
      <c r="D1276" s="23" t="n">
        <v>44854</v>
      </c>
      <c r="E1276" s="23" t="n">
        <v>45189</v>
      </c>
      <c r="F1276" s="22" t="inlineStr">
        <is>
          <t>TRT200923T18</t>
        </is>
      </c>
      <c r="G1276" s="8" t="n">
        <v>418000</v>
      </c>
      <c r="H1276" s="8" t="n">
        <v>400000</v>
      </c>
      <c r="I1276" s="24" t="n">
        <v>415868.34</v>
      </c>
      <c r="J1276" s="24" t="n">
        <v>13.82</v>
      </c>
      <c r="K1276" s="24" t="n">
        <v>14.07</v>
      </c>
      <c r="L1276" s="24" t="n">
        <v>14.2</v>
      </c>
      <c r="M1276" s="24" t="n">
        <v>14.3</v>
      </c>
      <c r="N1276" s="24" t="n">
        <v>14.57</v>
      </c>
      <c r="O1276" s="24" t="n">
        <v>14.7</v>
      </c>
    </row>
    <row r="1277">
      <c r="A1277" s="11" t="n">
        <v>3007</v>
      </c>
      <c r="B1277" s="3" t="n">
        <v>44853</v>
      </c>
      <c r="C1277" s="25" t="inlineStr">
        <is>
          <t>PYGELENEKSEL</t>
        </is>
      </c>
      <c r="D1277" s="3" t="n">
        <v>44854</v>
      </c>
      <c r="E1277" s="3" t="n">
        <v>45931</v>
      </c>
      <c r="F1277" s="25"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3" t="n">
        <v>44853</v>
      </c>
      <c r="C1278" s="22" t="inlineStr">
        <is>
          <t>PYGELENEKSEL</t>
        </is>
      </c>
      <c r="D1278" s="23" t="n">
        <v>44854</v>
      </c>
      <c r="E1278" s="23" t="n">
        <v>46267</v>
      </c>
      <c r="F1278" s="22" t="inlineStr">
        <is>
          <t>TRT020926T17</t>
        </is>
      </c>
      <c r="G1278" s="8" t="n">
        <v>542000</v>
      </c>
      <c r="H1278" s="8" t="n">
        <v>400000</v>
      </c>
      <c r="I1278" s="24" t="n">
        <v>463488.42</v>
      </c>
      <c r="J1278" s="24" t="n">
        <v>12.26</v>
      </c>
      <c r="K1278" s="24" t="n">
        <v>12.29</v>
      </c>
      <c r="L1278" s="24" t="n">
        <v>12.32</v>
      </c>
      <c r="M1278" s="24" t="n">
        <v>12.64</v>
      </c>
      <c r="N1278" s="24" t="n">
        <v>12.67</v>
      </c>
      <c r="O1278" s="24" t="n">
        <v>12.7</v>
      </c>
    </row>
    <row r="1279">
      <c r="A1279" s="11" t="n">
        <v>3009</v>
      </c>
      <c r="B1279" s="3" t="n">
        <v>44855</v>
      </c>
      <c r="C1279" s="25" t="inlineStr">
        <is>
          <t>PYGELENEKSEL</t>
        </is>
      </c>
      <c r="D1279" s="3" t="n">
        <v>44858</v>
      </c>
      <c r="E1279" s="3" t="n">
        <v>45196</v>
      </c>
      <c r="F1279" s="25"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3" t="n">
        <v>44855</v>
      </c>
      <c r="C1280" s="22" t="inlineStr">
        <is>
          <t>PYGELENEKSEL</t>
        </is>
      </c>
      <c r="D1280" s="23" t="n">
        <v>44858</v>
      </c>
      <c r="E1280" s="23" t="n">
        <v>45728</v>
      </c>
      <c r="F1280" s="22" t="inlineStr">
        <is>
          <t>TRT120325T12</t>
        </is>
      </c>
      <c r="G1280" s="8" t="n">
        <v>295000</v>
      </c>
      <c r="H1280" s="8" t="n">
        <v>295000</v>
      </c>
      <c r="I1280" s="24" t="n">
        <v>275603.7</v>
      </c>
      <c r="J1280" s="24" t="n">
        <v>11.47</v>
      </c>
      <c r="K1280" s="24" t="n">
        <v>11.66</v>
      </c>
      <c r="L1280" s="24" t="n">
        <v>11.72</v>
      </c>
      <c r="M1280" s="24" t="n">
        <v>11.8</v>
      </c>
      <c r="N1280" s="24" t="n">
        <v>12</v>
      </c>
      <c r="O1280" s="24" t="n">
        <v>12.06</v>
      </c>
    </row>
    <row r="1281">
      <c r="A1281" s="11" t="n">
        <v>3011</v>
      </c>
      <c r="B1281" s="3" t="n">
        <v>44855</v>
      </c>
      <c r="C1281" s="25" t="inlineStr">
        <is>
          <t>PYGELENEKSEL</t>
        </is>
      </c>
      <c r="D1281" s="3" t="n">
        <v>44858</v>
      </c>
      <c r="E1281" s="3" t="n">
        <v>46267</v>
      </c>
      <c r="F1281" s="25"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3" t="n">
        <v>44858</v>
      </c>
      <c r="C1282" s="22" t="inlineStr">
        <is>
          <t>PYGELENEKSEL</t>
        </is>
      </c>
      <c r="D1282" s="23" t="n">
        <v>44859</v>
      </c>
      <c r="E1282" s="23" t="n">
        <v>45196</v>
      </c>
      <c r="F1282" s="22" t="inlineStr">
        <is>
          <t>TRT270923T11</t>
        </is>
      </c>
      <c r="G1282" s="8" t="n">
        <v>370000</v>
      </c>
      <c r="H1282" s="8" t="n">
        <v>238000</v>
      </c>
      <c r="I1282" s="24" t="n">
        <v>233106.76</v>
      </c>
      <c r="J1282" s="24" t="n">
        <v>11.86</v>
      </c>
      <c r="K1282" s="24" t="n">
        <v>11.99</v>
      </c>
      <c r="L1282" s="24" t="n">
        <v>11.99</v>
      </c>
      <c r="M1282" s="24" t="n">
        <v>12.21</v>
      </c>
      <c r="N1282" s="24" t="n">
        <v>12.35</v>
      </c>
      <c r="O1282" s="24" t="n">
        <v>12.35</v>
      </c>
    </row>
    <row r="1283">
      <c r="A1283" s="11" t="n">
        <v>3013</v>
      </c>
      <c r="B1283" s="3" t="n">
        <v>44858</v>
      </c>
      <c r="C1283" s="25" t="inlineStr">
        <is>
          <t>PYGELENEKSEL</t>
        </is>
      </c>
      <c r="D1283" s="3" t="n">
        <v>44859</v>
      </c>
      <c r="E1283" s="3" t="n">
        <v>45497</v>
      </c>
      <c r="F1283" s="25"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3" t="n">
        <v>44858</v>
      </c>
      <c r="C1284" s="22" t="inlineStr">
        <is>
          <t>PYGELENEKSEL</t>
        </is>
      </c>
      <c r="D1284" s="23" t="n">
        <v>44859</v>
      </c>
      <c r="E1284" s="23" t="n">
        <v>45931</v>
      </c>
      <c r="F1284" s="22" t="inlineStr">
        <is>
          <t>TRT011025T16</t>
        </is>
      </c>
      <c r="G1284" s="8" t="n">
        <v>439000</v>
      </c>
      <c r="H1284" s="8" t="n">
        <v>400000</v>
      </c>
      <c r="I1284" s="24" t="n">
        <v>414776.15</v>
      </c>
      <c r="J1284" s="24" t="n">
        <v>11.26</v>
      </c>
      <c r="K1284" s="24" t="n">
        <v>11.37</v>
      </c>
      <c r="L1284" s="24" t="n">
        <v>11.41</v>
      </c>
      <c r="M1284" s="24" t="n">
        <v>11.57</v>
      </c>
      <c r="N1284" s="24" t="n">
        <v>11.69</v>
      </c>
      <c r="O1284" s="24" t="n">
        <v>11.74</v>
      </c>
    </row>
    <row r="1285">
      <c r="A1285" s="11" t="n">
        <v>3015</v>
      </c>
      <c r="B1285" s="3" t="n">
        <v>44860</v>
      </c>
      <c r="C1285" s="25" t="inlineStr">
        <is>
          <t>PYGELENEKSEL</t>
        </is>
      </c>
      <c r="D1285" s="3" t="n">
        <v>44861</v>
      </c>
      <c r="E1285" s="3" t="n">
        <v>45189</v>
      </c>
      <c r="F1285" s="25"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3" t="n">
        <v>44860</v>
      </c>
      <c r="C1286" s="22" t="inlineStr">
        <is>
          <t>PYGELENEKSEL</t>
        </is>
      </c>
      <c r="D1286" s="23" t="n">
        <v>44861</v>
      </c>
      <c r="E1286" s="23" t="n">
        <v>45728</v>
      </c>
      <c r="F1286" s="22" t="inlineStr">
        <is>
          <t>TRT120325T12</t>
        </is>
      </c>
      <c r="G1286" s="8" t="n">
        <v>407000</v>
      </c>
      <c r="H1286" s="8" t="n">
        <v>400000</v>
      </c>
      <c r="I1286" s="24" t="n">
        <v>370112.16</v>
      </c>
      <c r="J1286" s="24" t="n">
        <v>12.03</v>
      </c>
      <c r="K1286" s="24" t="n">
        <v>12.16</v>
      </c>
      <c r="L1286" s="24" t="n">
        <v>12.25</v>
      </c>
      <c r="M1286" s="24" t="n">
        <v>12.39</v>
      </c>
      <c r="N1286" s="24" t="n">
        <v>12.53</v>
      </c>
      <c r="O1286" s="24" t="n">
        <v>12.63</v>
      </c>
    </row>
    <row r="1287">
      <c r="A1287" s="11" t="n">
        <v>3017</v>
      </c>
      <c r="B1287" s="3" t="n">
        <v>44860</v>
      </c>
      <c r="C1287" s="25" t="inlineStr">
        <is>
          <t>PYGELENEKSEL</t>
        </is>
      </c>
      <c r="D1287" s="3" t="n">
        <v>44861</v>
      </c>
      <c r="E1287" s="3" t="n">
        <v>46547</v>
      </c>
      <c r="F1287" s="25"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3" t="n">
        <v>44865</v>
      </c>
      <c r="C1288" s="22" t="inlineStr">
        <is>
          <t>PYGELENEKSEL</t>
        </is>
      </c>
      <c r="D1288" s="23" t="n">
        <v>44866</v>
      </c>
      <c r="E1288" s="23" t="n">
        <v>45189</v>
      </c>
      <c r="F1288" s="22" t="inlineStr">
        <is>
          <t>TRT200923T18</t>
        </is>
      </c>
      <c r="G1288" s="8" t="n">
        <v>368000</v>
      </c>
      <c r="H1288" s="8" t="n">
        <v>349000</v>
      </c>
      <c r="I1288" s="24" t="n">
        <v>368198.83</v>
      </c>
      <c r="J1288" s="24" t="n">
        <v>12.61</v>
      </c>
      <c r="K1288" s="24" t="n">
        <v>12.76</v>
      </c>
      <c r="L1288" s="24" t="n">
        <v>12.89</v>
      </c>
      <c r="M1288" s="24" t="n">
        <v>13</v>
      </c>
      <c r="N1288" s="24" t="n">
        <v>13.17</v>
      </c>
      <c r="O1288" s="24" t="n">
        <v>13.3</v>
      </c>
    </row>
    <row r="1289">
      <c r="A1289" s="11" t="n">
        <v>3019</v>
      </c>
      <c r="B1289" s="3" t="n">
        <v>44865</v>
      </c>
      <c r="C1289" s="25" t="inlineStr">
        <is>
          <t>PYGELENEKSEL</t>
        </is>
      </c>
      <c r="D1289" s="3" t="n">
        <v>44866</v>
      </c>
      <c r="E1289" s="3" t="n">
        <v>45931</v>
      </c>
      <c r="F1289" s="25"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3" t="n">
        <v>44865</v>
      </c>
      <c r="C1290" s="22" t="inlineStr">
        <is>
          <t>PYGELENEKSEL</t>
        </is>
      </c>
      <c r="D1290" s="23" t="n">
        <v>44866</v>
      </c>
      <c r="E1290" s="23" t="n">
        <v>46267</v>
      </c>
      <c r="F1290" s="22" t="inlineStr">
        <is>
          <t>TRT020926T17</t>
        </is>
      </c>
      <c r="G1290" s="8" t="n">
        <v>496000</v>
      </c>
      <c r="H1290" s="8" t="n">
        <v>400000</v>
      </c>
      <c r="I1290" s="24" t="n">
        <v>452149.99</v>
      </c>
      <c r="J1290" s="24" t="n">
        <v>13.29</v>
      </c>
      <c r="K1290" s="24" t="n">
        <v>13.31</v>
      </c>
      <c r="L1290" s="24" t="n">
        <v>13.35</v>
      </c>
      <c r="M1290" s="24" t="n">
        <v>13.73</v>
      </c>
      <c r="N1290" s="24" t="n">
        <v>13.75</v>
      </c>
      <c r="O1290" s="24" t="n">
        <v>13.8</v>
      </c>
    </row>
    <row r="1291">
      <c r="A1291" s="11" t="n">
        <v>3021</v>
      </c>
      <c r="B1291" s="3" t="n">
        <v>44867</v>
      </c>
      <c r="C1291" s="25" t="inlineStr">
        <is>
          <t>PYGELENEKSEL</t>
        </is>
      </c>
      <c r="D1291" s="3" t="n">
        <v>44868</v>
      </c>
      <c r="E1291" s="3" t="n">
        <v>45497</v>
      </c>
      <c r="F1291" s="25"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3" t="n">
        <v>44867</v>
      </c>
      <c r="C1292" s="22" t="inlineStr">
        <is>
          <t>PYGELENEKSEL</t>
        </is>
      </c>
      <c r="D1292" s="23" t="n">
        <v>44868</v>
      </c>
      <c r="E1292" s="23" t="n">
        <v>45728</v>
      </c>
      <c r="F1292" s="22" t="inlineStr">
        <is>
          <t>TRT120325T12</t>
        </is>
      </c>
      <c r="G1292" s="8" t="n">
        <v>407000</v>
      </c>
      <c r="H1292" s="8" t="n">
        <v>400000</v>
      </c>
      <c r="I1292" s="24" t="n">
        <v>370429.2</v>
      </c>
      <c r="J1292" s="24" t="n">
        <v>12.12</v>
      </c>
      <c r="K1292" s="24" t="n">
        <v>12.23</v>
      </c>
      <c r="L1292" s="24" t="n">
        <v>12.31</v>
      </c>
      <c r="M1292" s="24" t="n">
        <v>12.49</v>
      </c>
      <c r="N1292" s="24" t="n">
        <v>12.61</v>
      </c>
      <c r="O1292" s="24" t="n">
        <v>12.69</v>
      </c>
    </row>
    <row r="1293">
      <c r="A1293" s="11" t="n">
        <v>3023</v>
      </c>
      <c r="B1293" s="3" t="n">
        <v>44867</v>
      </c>
      <c r="C1293" s="25" t="inlineStr">
        <is>
          <t>PYGELENEKSEL</t>
        </is>
      </c>
      <c r="D1293" s="3" t="n">
        <v>44868</v>
      </c>
      <c r="E1293" s="3" t="n">
        <v>46267</v>
      </c>
      <c r="F1293" s="25"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3" t="n">
        <v>44869</v>
      </c>
      <c r="C1294" s="22" t="inlineStr">
        <is>
          <t>PYGELENEKSEL</t>
        </is>
      </c>
      <c r="D1294" s="23" t="n">
        <v>44872</v>
      </c>
      <c r="E1294" s="23" t="n">
        <v>45196</v>
      </c>
      <c r="F1294" s="22" t="inlineStr">
        <is>
          <t>TRT270923T11</t>
        </is>
      </c>
      <c r="G1294" s="8" t="n">
        <v>231000</v>
      </c>
      <c r="H1294" s="8" t="n">
        <v>162000</v>
      </c>
      <c r="I1294" s="24" t="n">
        <v>159354.6</v>
      </c>
      <c r="J1294" s="24" t="n">
        <v>11.67</v>
      </c>
      <c r="K1294" s="24" t="n">
        <v>11.92</v>
      </c>
      <c r="L1294" s="24" t="n">
        <v>12.92</v>
      </c>
      <c r="M1294" s="24" t="n">
        <v>12.02</v>
      </c>
      <c r="N1294" s="24" t="n">
        <v>12.28</v>
      </c>
      <c r="O1294" s="24" t="n">
        <v>13.34</v>
      </c>
    </row>
    <row r="1295">
      <c r="A1295" s="11" t="n">
        <v>3025</v>
      </c>
      <c r="B1295" s="3" t="n">
        <v>44869</v>
      </c>
      <c r="C1295" s="25" t="inlineStr">
        <is>
          <t>PYGELENEKSEL</t>
        </is>
      </c>
      <c r="D1295" s="3" t="n">
        <v>44872</v>
      </c>
      <c r="E1295" s="3" t="n">
        <v>45371</v>
      </c>
      <c r="F1295" s="25"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3" t="n">
        <v>44869</v>
      </c>
      <c r="C1296" s="22" t="inlineStr">
        <is>
          <t>PYGELENEKSEL</t>
        </is>
      </c>
      <c r="D1296" s="23" t="n">
        <v>44872</v>
      </c>
      <c r="E1296" s="23" t="n">
        <v>45931</v>
      </c>
      <c r="F1296" s="22" t="inlineStr">
        <is>
          <t>TRT011025T16</t>
        </is>
      </c>
      <c r="G1296" s="8" t="n">
        <v>459000</v>
      </c>
      <c r="H1296" s="8" t="n">
        <v>400000</v>
      </c>
      <c r="I1296" s="24" t="n">
        <v>410417.82</v>
      </c>
      <c r="J1296" s="24" t="n">
        <v>11.9</v>
      </c>
      <c r="K1296" s="24" t="n">
        <v>11.97</v>
      </c>
      <c r="L1296" s="24" t="n">
        <v>12.13</v>
      </c>
      <c r="M1296" s="24" t="n">
        <v>12.25</v>
      </c>
      <c r="N1296" s="24" t="n">
        <v>12.33</v>
      </c>
      <c r="O1296" s="24" t="n">
        <v>12.5</v>
      </c>
    </row>
    <row r="1297">
      <c r="A1297" s="11" t="n">
        <v>3027</v>
      </c>
      <c r="B1297" s="3" t="n">
        <v>44872</v>
      </c>
      <c r="C1297" s="25" t="inlineStr">
        <is>
          <t>PYGELENEKSEL</t>
        </is>
      </c>
      <c r="D1297" s="3" t="n">
        <v>44873</v>
      </c>
      <c r="E1297" s="3" t="n">
        <v>45497</v>
      </c>
      <c r="F1297" s="25"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3" t="n">
        <v>44872</v>
      </c>
      <c r="C1298" s="22" t="inlineStr">
        <is>
          <t>PYGELENEKSEL</t>
        </is>
      </c>
      <c r="D1298" s="23" t="n">
        <v>44873</v>
      </c>
      <c r="E1298" s="23" t="n">
        <v>45728</v>
      </c>
      <c r="F1298" s="22" t="inlineStr">
        <is>
          <t>TRT120325T12</t>
        </is>
      </c>
      <c r="G1298" s="8" t="n">
        <v>360000</v>
      </c>
      <c r="H1298" s="8" t="n">
        <v>340000</v>
      </c>
      <c r="I1298" s="24" t="n">
        <v>319320.98</v>
      </c>
      <c r="J1298" s="24" t="n">
        <v>11.31</v>
      </c>
      <c r="K1298" s="24" t="n">
        <v>11.62</v>
      </c>
      <c r="L1298" s="24" t="n">
        <v>11.78</v>
      </c>
      <c r="M1298" s="24" t="n">
        <v>11.63</v>
      </c>
      <c r="N1298" s="24" t="n">
        <v>11.96</v>
      </c>
      <c r="O1298" s="24" t="n">
        <v>12.13</v>
      </c>
    </row>
    <row r="1299">
      <c r="A1299" s="11" t="n">
        <v>3029</v>
      </c>
      <c r="B1299" s="3" t="n">
        <v>44872</v>
      </c>
      <c r="C1299" s="25" t="inlineStr">
        <is>
          <t>PYGELENEKSEL</t>
        </is>
      </c>
      <c r="D1299" s="3" t="n">
        <v>44873</v>
      </c>
      <c r="E1299" s="3" t="n">
        <v>46267</v>
      </c>
      <c r="F1299" s="25"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3" t="n">
        <v>44874</v>
      </c>
      <c r="C1300" s="22" t="inlineStr">
        <is>
          <t>PYGELENEKSEL</t>
        </is>
      </c>
      <c r="D1300" s="23" t="n">
        <v>44875</v>
      </c>
      <c r="E1300" s="23" t="n">
        <v>45196</v>
      </c>
      <c r="F1300" s="22" t="inlineStr">
        <is>
          <t>TRT270923T11</t>
        </is>
      </c>
      <c r="G1300" s="8" t="n">
        <v>212000</v>
      </c>
      <c r="H1300" s="8" t="n">
        <v>139000</v>
      </c>
      <c r="I1300" s="24" t="n">
        <v>137346.73</v>
      </c>
      <c r="J1300" s="24" t="n">
        <v>11.42</v>
      </c>
      <c r="K1300" s="24" t="n">
        <v>11.49</v>
      </c>
      <c r="L1300" s="24" t="n">
        <v>11.61</v>
      </c>
      <c r="M1300" s="24" t="n">
        <v>11.75</v>
      </c>
      <c r="N1300" s="24" t="n">
        <v>11.82</v>
      </c>
      <c r="O1300" s="24" t="n">
        <v>11.95</v>
      </c>
    </row>
    <row r="1301">
      <c r="A1301" s="11" t="n">
        <v>3031</v>
      </c>
      <c r="B1301" s="3" t="n">
        <v>44874</v>
      </c>
      <c r="C1301" s="25" t="inlineStr">
        <is>
          <t>PYGELENEKSEL</t>
        </is>
      </c>
      <c r="D1301" s="3" t="n">
        <v>44875</v>
      </c>
      <c r="E1301" s="3" t="n">
        <v>45931</v>
      </c>
      <c r="F1301" s="25"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3" t="n">
        <v>44874</v>
      </c>
      <c r="C1302" s="22" t="inlineStr">
        <is>
          <t>PYGELENEKSEL</t>
        </is>
      </c>
      <c r="D1302" s="23" t="n">
        <v>44875</v>
      </c>
      <c r="E1302" s="23" t="n">
        <v>46267</v>
      </c>
      <c r="F1302" s="22" t="inlineStr">
        <is>
          <t>TRT020926T17</t>
        </is>
      </c>
      <c r="G1302" s="8" t="n">
        <v>438000</v>
      </c>
      <c r="H1302" s="8" t="n">
        <v>400000</v>
      </c>
      <c r="I1302" s="24" t="n">
        <v>464587.51</v>
      </c>
      <c r="J1302" s="24" t="n">
        <v>12.42</v>
      </c>
      <c r="K1302" s="24" t="n">
        <v>12.45</v>
      </c>
      <c r="L1302" s="24" t="n">
        <v>12.49</v>
      </c>
      <c r="M1302" s="24" t="n">
        <v>12.8</v>
      </c>
      <c r="N1302" s="24" t="n">
        <v>12.83</v>
      </c>
      <c r="O1302" s="24" t="n">
        <v>12.88</v>
      </c>
    </row>
    <row r="1303">
      <c r="A1303" s="11" t="n">
        <v>3033</v>
      </c>
      <c r="B1303" s="3" t="n">
        <v>44876</v>
      </c>
      <c r="C1303" s="25" t="inlineStr">
        <is>
          <t>PYGELENEKSEL</t>
        </is>
      </c>
      <c r="D1303" s="3" t="n">
        <v>44879</v>
      </c>
      <c r="E1303" s="3" t="n">
        <v>46820</v>
      </c>
      <c r="F1303" s="25"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3" t="n">
        <v>44876</v>
      </c>
      <c r="C1304" s="22" t="inlineStr">
        <is>
          <t>PYGELENEKSEL</t>
        </is>
      </c>
      <c r="D1304" s="23" t="n">
        <v>44879</v>
      </c>
      <c r="E1304" s="23" t="n">
        <v>47800</v>
      </c>
      <c r="F1304" s="22" t="inlineStr">
        <is>
          <t>TRT131130T14</t>
        </is>
      </c>
      <c r="G1304" s="8" t="n">
        <v>551000</v>
      </c>
      <c r="H1304" s="8" t="n">
        <v>400000</v>
      </c>
      <c r="I1304" s="24" t="n">
        <v>462841.86</v>
      </c>
      <c r="J1304" s="24" t="n">
        <v>9.789999999999999</v>
      </c>
      <c r="K1304" s="24" t="n">
        <v>9.84</v>
      </c>
      <c r="L1304" s="24" t="n">
        <v>9.869999999999999</v>
      </c>
      <c r="M1304" s="24" t="n">
        <v>10.03</v>
      </c>
      <c r="N1304" s="24" t="n">
        <v>10.08</v>
      </c>
      <c r="O1304" s="24" t="n">
        <v>10.12</v>
      </c>
    </row>
    <row r="1305">
      <c r="A1305" s="11" t="n">
        <v>3035</v>
      </c>
      <c r="B1305" s="3" t="n">
        <v>44876</v>
      </c>
      <c r="C1305" s="25" t="inlineStr">
        <is>
          <t>PYGELENEKSEL</t>
        </is>
      </c>
      <c r="D1305" s="3" t="n">
        <v>44879</v>
      </c>
      <c r="E1305" s="3" t="n">
        <v>48332</v>
      </c>
      <c r="F1305" s="25"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3" t="n">
        <v>44879</v>
      </c>
      <c r="C1306" s="22" t="inlineStr">
        <is>
          <t>PYGELENEKSEL</t>
        </is>
      </c>
      <c r="D1306" s="23" t="n">
        <v>44880</v>
      </c>
      <c r="E1306" s="23" t="n">
        <v>45189</v>
      </c>
      <c r="F1306" s="22" t="inlineStr">
        <is>
          <t>TRT200923T18</t>
        </is>
      </c>
      <c r="G1306" s="8" t="n">
        <v>351000</v>
      </c>
      <c r="H1306" s="8" t="n">
        <v>351000</v>
      </c>
      <c r="I1306" s="24" t="n">
        <v>375157.51</v>
      </c>
      <c r="J1306" s="24" t="n">
        <v>11.39</v>
      </c>
      <c r="K1306" s="24" t="n">
        <v>11.7</v>
      </c>
      <c r="L1306" s="24" t="n">
        <v>11.89</v>
      </c>
      <c r="M1306" s="24" t="n">
        <v>11.71</v>
      </c>
      <c r="N1306" s="24" t="n">
        <v>12.04</v>
      </c>
      <c r="O1306" s="24" t="n">
        <v>12.24</v>
      </c>
    </row>
    <row r="1307">
      <c r="A1307" s="11" t="n">
        <v>3037</v>
      </c>
      <c r="B1307" s="3" t="n">
        <v>44879</v>
      </c>
      <c r="C1307" s="25" t="inlineStr">
        <is>
          <t>PYGELENEKSEL</t>
        </is>
      </c>
      <c r="D1307" s="3" t="n">
        <v>44880</v>
      </c>
      <c r="E1307" s="3" t="n">
        <v>45931</v>
      </c>
      <c r="F1307" s="25"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3" t="n">
        <v>44879</v>
      </c>
      <c r="C1308" s="22" t="inlineStr">
        <is>
          <t>PYGELENEKSEL</t>
        </is>
      </c>
      <c r="D1308" s="23" t="n">
        <v>44880</v>
      </c>
      <c r="E1308" s="23" t="n">
        <v>48332</v>
      </c>
      <c r="F1308" s="22" t="inlineStr">
        <is>
          <t>TRT280432T14</t>
        </is>
      </c>
      <c r="G1308" s="8" t="n">
        <v>75000</v>
      </c>
      <c r="H1308" s="8" t="n">
        <v>39000</v>
      </c>
      <c r="I1308" s="24" t="n">
        <v>61412.88</v>
      </c>
      <c r="J1308" s="24" t="n">
        <v>11.41</v>
      </c>
      <c r="K1308" s="24" t="n">
        <v>11.46</v>
      </c>
      <c r="L1308" s="24" t="n">
        <v>11.58</v>
      </c>
      <c r="M1308" s="24" t="n">
        <v>11.74</v>
      </c>
      <c r="N1308" s="24" t="n">
        <v>11.79</v>
      </c>
      <c r="O1308" s="24" t="n">
        <v>11.91</v>
      </c>
    </row>
    <row r="1309">
      <c r="A1309" s="11" t="n">
        <v>3039</v>
      </c>
      <c r="B1309" s="3" t="n">
        <v>44881</v>
      </c>
      <c r="C1309" s="25" t="inlineStr">
        <is>
          <t>PYGELENEKSEL</t>
        </is>
      </c>
      <c r="D1309" s="3" t="n">
        <v>44882</v>
      </c>
      <c r="E1309" s="3" t="n">
        <v>45728</v>
      </c>
      <c r="F1309" s="25"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3" t="n">
        <v>44881</v>
      </c>
      <c r="C1310" s="22" t="inlineStr">
        <is>
          <t>PYGELENEKSEL</t>
        </is>
      </c>
      <c r="D1310" s="23" t="n">
        <v>44882</v>
      </c>
      <c r="E1310" s="23" t="n">
        <v>45931</v>
      </c>
      <c r="F1310" s="22" t="inlineStr">
        <is>
          <t>TRT011025T16</t>
        </is>
      </c>
      <c r="G1310" s="8" t="n">
        <v>435000</v>
      </c>
      <c r="H1310" s="8" t="n">
        <v>400000</v>
      </c>
      <c r="I1310" s="24" t="n">
        <v>433166.2</v>
      </c>
      <c r="J1310" s="24" t="n">
        <v>9.74</v>
      </c>
      <c r="K1310" s="24" t="n">
        <v>9.82</v>
      </c>
      <c r="L1310" s="24" t="n">
        <v>9.880000000000001</v>
      </c>
      <c r="M1310" s="24" t="n">
        <v>9.98</v>
      </c>
      <c r="N1310" s="24" t="n">
        <v>10.06</v>
      </c>
      <c r="O1310" s="24" t="n">
        <v>10.13</v>
      </c>
    </row>
    <row r="1311">
      <c r="A1311" s="11" t="n">
        <v>3041</v>
      </c>
      <c r="B1311" s="3" t="n">
        <v>44881</v>
      </c>
      <c r="C1311" s="25" t="inlineStr">
        <is>
          <t>PYGELENEKSEL</t>
        </is>
      </c>
      <c r="D1311" s="3" t="n">
        <v>44882</v>
      </c>
      <c r="E1311" s="3" t="n">
        <v>46267</v>
      </c>
      <c r="F1311" s="25"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3" t="n">
        <v>44883</v>
      </c>
      <c r="C1312" s="22" t="inlineStr">
        <is>
          <t>PYGELENEKSEL</t>
        </is>
      </c>
      <c r="D1312" s="23" t="n">
        <v>44886</v>
      </c>
      <c r="E1312" s="23" t="n">
        <v>45196</v>
      </c>
      <c r="F1312" s="22" t="inlineStr">
        <is>
          <t>TRT270923T11</t>
        </is>
      </c>
      <c r="G1312" s="8" t="n">
        <v>184000</v>
      </c>
      <c r="H1312" s="8" t="n">
        <v>152000</v>
      </c>
      <c r="I1312" s="24" t="n">
        <v>151779.6</v>
      </c>
      <c r="J1312" s="24" t="n">
        <v>10.55</v>
      </c>
      <c r="K1312" s="24" t="n">
        <v>10.61</v>
      </c>
      <c r="L1312" s="24" t="n">
        <v>10.67</v>
      </c>
      <c r="M1312" s="24" t="n">
        <v>10.83</v>
      </c>
      <c r="N1312" s="24" t="n">
        <v>10.89</v>
      </c>
      <c r="O1312" s="24" t="n">
        <v>10.96</v>
      </c>
    </row>
    <row r="1313">
      <c r="A1313" s="11" t="n">
        <v>3043</v>
      </c>
      <c r="B1313" s="3" t="n">
        <v>44883</v>
      </c>
      <c r="C1313" s="25" t="inlineStr">
        <is>
          <t>PYGELENEKSEL</t>
        </is>
      </c>
      <c r="D1313" s="3" t="n">
        <v>44886</v>
      </c>
      <c r="E1313" s="3" t="n">
        <v>45728</v>
      </c>
      <c r="F1313" s="25"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3" t="n">
        <v>44883</v>
      </c>
      <c r="C1314" s="22" t="inlineStr">
        <is>
          <t>PYGELENEKSEL</t>
        </is>
      </c>
      <c r="D1314" s="23" t="n">
        <v>44886</v>
      </c>
      <c r="E1314" s="23" t="n">
        <v>46267</v>
      </c>
      <c r="F1314" s="22" t="inlineStr">
        <is>
          <t>TRT020926T17</t>
        </is>
      </c>
      <c r="G1314" s="8" t="n">
        <v>316000</v>
      </c>
      <c r="H1314" s="8" t="n">
        <v>316000</v>
      </c>
      <c r="I1314" s="24" t="n">
        <v>389798.65</v>
      </c>
      <c r="J1314" s="24" t="n">
        <v>10.32</v>
      </c>
      <c r="K1314" s="24" t="n">
        <v>10.42</v>
      </c>
      <c r="L1314" s="24" t="n">
        <v>10.77</v>
      </c>
      <c r="M1314" s="24" t="n">
        <v>10.59</v>
      </c>
      <c r="N1314" s="24" t="n">
        <v>10.69</v>
      </c>
      <c r="O1314" s="24" t="n">
        <v>11.07</v>
      </c>
    </row>
    <row r="1315">
      <c r="A1315" s="11" t="n">
        <v>3045</v>
      </c>
      <c r="B1315" s="3" t="n">
        <v>44886</v>
      </c>
      <c r="C1315" s="25" t="inlineStr">
        <is>
          <t>PYGELENEKSEL</t>
        </is>
      </c>
      <c r="D1315" s="3" t="n">
        <v>44887</v>
      </c>
      <c r="E1315" s="3" t="n">
        <v>45189</v>
      </c>
      <c r="F1315" s="25"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3" t="n">
        <v>44886</v>
      </c>
      <c r="C1316" s="22" t="inlineStr">
        <is>
          <t>PYGELENEKSEL</t>
        </is>
      </c>
      <c r="D1316" s="23" t="n">
        <v>44887</v>
      </c>
      <c r="E1316" s="23" t="n">
        <v>45728</v>
      </c>
      <c r="F1316" s="22" t="inlineStr">
        <is>
          <t>TRT120325T12</t>
        </is>
      </c>
      <c r="G1316" s="8" t="n">
        <v>321000</v>
      </c>
      <c r="H1316" s="8" t="n">
        <v>321000</v>
      </c>
      <c r="I1316" s="24" t="n">
        <v>324564.36</v>
      </c>
      <c r="J1316" s="24" t="n">
        <v>8</v>
      </c>
      <c r="K1316" s="24" t="n">
        <v>8.19</v>
      </c>
      <c r="L1316" s="24" t="n">
        <v>8.33</v>
      </c>
      <c r="M1316" s="24" t="n">
        <v>8.16</v>
      </c>
      <c r="N1316" s="24" t="n">
        <v>8.359999999999999</v>
      </c>
      <c r="O1316" s="24" t="n">
        <v>8.5</v>
      </c>
    </row>
    <row r="1317">
      <c r="A1317" s="11" t="n">
        <v>3047</v>
      </c>
      <c r="B1317" s="3" t="n">
        <v>44886</v>
      </c>
      <c r="C1317" s="25" t="inlineStr">
        <is>
          <t>PYGELENEKSEL</t>
        </is>
      </c>
      <c r="D1317" s="3" t="n">
        <v>44887</v>
      </c>
      <c r="E1317" s="3" t="n">
        <v>45931</v>
      </c>
      <c r="F1317" s="25"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3" t="n">
        <v>44888</v>
      </c>
      <c r="C1318" s="22" t="inlineStr">
        <is>
          <t>PYGELENEKSEL</t>
        </is>
      </c>
      <c r="D1318" s="23" t="n">
        <v>44889</v>
      </c>
      <c r="E1318" s="23" t="n">
        <v>45189</v>
      </c>
      <c r="F1318" s="22" t="inlineStr">
        <is>
          <t>TRT200923T18</t>
        </is>
      </c>
      <c r="G1318" s="8" t="n">
        <v>383000</v>
      </c>
      <c r="H1318" s="8" t="n">
        <v>311000</v>
      </c>
      <c r="I1318" s="24" t="n">
        <v>339168.65</v>
      </c>
      <c r="J1318" s="24" t="n">
        <v>9.199999999999999</v>
      </c>
      <c r="K1318" s="24" t="n">
        <v>9.390000000000001</v>
      </c>
      <c r="L1318" s="24" t="n">
        <v>9.51</v>
      </c>
      <c r="M1318" s="24" t="n">
        <v>9.41</v>
      </c>
      <c r="N1318" s="24" t="n">
        <v>9.609999999999999</v>
      </c>
      <c r="O1318" s="24" t="n">
        <v>9.74</v>
      </c>
    </row>
    <row r="1319">
      <c r="A1319" s="11" t="n">
        <v>3049</v>
      </c>
      <c r="B1319" s="3" t="n">
        <v>44888</v>
      </c>
      <c r="C1319" s="25" t="inlineStr">
        <is>
          <t>PYGELENEKSEL</t>
        </is>
      </c>
      <c r="D1319" s="3" t="n">
        <v>44889</v>
      </c>
      <c r="E1319" s="3" t="n">
        <v>45931</v>
      </c>
      <c r="F1319" s="25"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3" t="n">
        <v>44888</v>
      </c>
      <c r="C1320" s="22" t="inlineStr">
        <is>
          <t>PYGELENEKSEL</t>
        </is>
      </c>
      <c r="D1320" s="23" t="n">
        <v>44889</v>
      </c>
      <c r="E1320" s="23" t="n">
        <v>46267</v>
      </c>
      <c r="F1320" s="22" t="inlineStr">
        <is>
          <t>TRT020926T17</t>
        </is>
      </c>
      <c r="G1320" s="8" t="n">
        <v>328000</v>
      </c>
      <c r="H1320" s="8" t="n">
        <v>328000</v>
      </c>
      <c r="I1320" s="24" t="n">
        <v>420675.27</v>
      </c>
      <c r="J1320" s="24" t="n">
        <v>8.949999999999999</v>
      </c>
      <c r="K1320" s="24" t="n">
        <v>9.06</v>
      </c>
      <c r="L1320" s="24" t="n">
        <v>9.119999999999999</v>
      </c>
      <c r="M1320" s="24" t="n">
        <v>9.16</v>
      </c>
      <c r="N1320" s="24" t="n">
        <v>9.26</v>
      </c>
      <c r="O1320" s="24" t="n">
        <v>9.33</v>
      </c>
    </row>
    <row r="1321">
      <c r="A1321" s="11" t="n">
        <v>3051</v>
      </c>
      <c r="B1321" s="3" t="n">
        <v>44890</v>
      </c>
      <c r="C1321" s="25" t="inlineStr">
        <is>
          <t>PYGELENEKSEL</t>
        </is>
      </c>
      <c r="D1321" s="3" t="n">
        <v>44893</v>
      </c>
      <c r="E1321" s="3" t="n">
        <v>45189</v>
      </c>
      <c r="F1321" s="25"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3" t="n">
        <v>44890</v>
      </c>
      <c r="C1322" s="22" t="inlineStr">
        <is>
          <t>PYGELENEKSEL</t>
        </is>
      </c>
      <c r="D1322" s="23" t="n">
        <v>44893</v>
      </c>
      <c r="E1322" s="23" t="n">
        <v>45931</v>
      </c>
      <c r="F1322" s="22" t="inlineStr">
        <is>
          <t>TRT011025T16</t>
        </is>
      </c>
      <c r="G1322" s="8" t="n">
        <v>257000</v>
      </c>
      <c r="H1322" s="8" t="n">
        <v>257000</v>
      </c>
      <c r="I1322" s="24" t="n">
        <v>295459.31</v>
      </c>
      <c r="J1322" s="24" t="n">
        <v>7.26</v>
      </c>
      <c r="K1322" s="24" t="n">
        <v>7.41</v>
      </c>
      <c r="L1322" s="24" t="n">
        <v>7.51</v>
      </c>
      <c r="M1322" s="24" t="n">
        <v>7.39</v>
      </c>
      <c r="N1322" s="24" t="n">
        <v>7.55</v>
      </c>
      <c r="O1322" s="24" t="n">
        <v>7.65</v>
      </c>
    </row>
    <row r="1323">
      <c r="A1323" s="11" t="n">
        <v>3053</v>
      </c>
      <c r="B1323" s="3" t="n">
        <v>44890</v>
      </c>
      <c r="C1323" s="25" t="inlineStr">
        <is>
          <t>PYGELENEKSEL</t>
        </is>
      </c>
      <c r="D1323" s="3" t="n">
        <v>44893</v>
      </c>
      <c r="E1323" s="3" t="n">
        <v>46267</v>
      </c>
      <c r="F1323" s="25"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3" t="n">
        <v>44893</v>
      </c>
      <c r="C1324" s="22" t="inlineStr">
        <is>
          <t>PYGELENEKSEL</t>
        </is>
      </c>
      <c r="D1324" s="23" t="n">
        <v>44894</v>
      </c>
      <c r="E1324" s="23" t="n">
        <v>45196</v>
      </c>
      <c r="F1324" s="22" t="inlineStr">
        <is>
          <t>TRT270923T11</t>
        </is>
      </c>
      <c r="G1324" s="8" t="n">
        <v>215000</v>
      </c>
      <c r="H1324" s="8" t="n">
        <v>52000</v>
      </c>
      <c r="I1324" s="24" t="n">
        <v>52836.38</v>
      </c>
      <c r="J1324" s="24" t="n">
        <v>8.609999999999999</v>
      </c>
      <c r="K1324" s="24" t="n">
        <v>8.609999999999999</v>
      </c>
      <c r="L1324" s="24" t="n">
        <v>8.67</v>
      </c>
      <c r="M1324" s="24" t="n">
        <v>8.800000000000001</v>
      </c>
      <c r="N1324" s="24" t="n">
        <v>8.800000000000001</v>
      </c>
      <c r="O1324" s="24" t="n">
        <v>8.859999999999999</v>
      </c>
    </row>
    <row r="1325">
      <c r="A1325" s="11" t="n">
        <v>3055</v>
      </c>
      <c r="B1325" s="3" t="n">
        <v>44893</v>
      </c>
      <c r="C1325" s="25" t="inlineStr">
        <is>
          <t>PYGELENEKSEL</t>
        </is>
      </c>
      <c r="D1325" s="3" t="n">
        <v>44894</v>
      </c>
      <c r="E1325" s="3" t="n">
        <v>46267</v>
      </c>
      <c r="F1325" s="25"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3" t="n">
        <v>44893</v>
      </c>
      <c r="C1326" s="22" t="inlineStr">
        <is>
          <t>PYGELENEKSEL</t>
        </is>
      </c>
      <c r="D1326" s="23" t="n">
        <v>44894</v>
      </c>
      <c r="E1326" s="23" t="n">
        <v>46442</v>
      </c>
      <c r="F1326" s="22" t="inlineStr">
        <is>
          <t>TRT240227T17</t>
        </is>
      </c>
      <c r="G1326" s="8" t="n">
        <v>255000</v>
      </c>
      <c r="H1326" s="8" t="n">
        <v>219000</v>
      </c>
      <c r="I1326" s="24" t="n">
        <v>236655.81</v>
      </c>
      <c r="J1326" s="24" t="n">
        <v>9.359999999999999</v>
      </c>
      <c r="K1326" s="24" t="n">
        <v>9.44</v>
      </c>
      <c r="L1326" s="24" t="n">
        <v>9.550000000000001</v>
      </c>
      <c r="M1326" s="24" t="n">
        <v>9.58</v>
      </c>
      <c r="N1326" s="24" t="n">
        <v>9.66</v>
      </c>
      <c r="O1326" s="24" t="n">
        <v>9.77</v>
      </c>
    </row>
    <row r="1327">
      <c r="A1327" s="11" t="n">
        <v>3057</v>
      </c>
      <c r="B1327" s="3" t="n">
        <v>44895</v>
      </c>
      <c r="C1327" s="25" t="inlineStr">
        <is>
          <t>PYGELENEKSEL</t>
        </is>
      </c>
      <c r="D1327" s="3" t="n">
        <v>44896</v>
      </c>
      <c r="E1327" s="3" t="n">
        <v>45196</v>
      </c>
      <c r="F1327" s="25"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3" t="n">
        <v>44895</v>
      </c>
      <c r="C1328" s="22" t="inlineStr">
        <is>
          <t>PYGELENEKSEL</t>
        </is>
      </c>
      <c r="D1328" s="23" t="n">
        <v>44896</v>
      </c>
      <c r="E1328" s="23" t="n">
        <v>46267</v>
      </c>
      <c r="F1328" s="22" t="inlineStr">
        <is>
          <t>TRT020926T17</t>
        </is>
      </c>
      <c r="G1328" s="8" t="n">
        <v>491000</v>
      </c>
      <c r="H1328" s="8" t="n">
        <v>400000</v>
      </c>
      <c r="I1328" s="24" t="n">
        <v>550759.67</v>
      </c>
      <c r="J1328" s="24" t="n">
        <v>6.56</v>
      </c>
      <c r="K1328" s="24" t="n">
        <v>6.62</v>
      </c>
      <c r="L1328" s="24" t="n">
        <v>6.66</v>
      </c>
      <c r="M1328" s="24" t="n">
        <v>6.66</v>
      </c>
      <c r="N1328" s="24" t="n">
        <v>6.73</v>
      </c>
      <c r="O1328" s="24" t="n">
        <v>6.77</v>
      </c>
    </row>
    <row r="1329">
      <c r="A1329" s="11" t="n">
        <v>3059</v>
      </c>
      <c r="B1329" s="3" t="n">
        <v>44895</v>
      </c>
      <c r="C1329" s="25" t="inlineStr">
        <is>
          <t>PYGELENEKSEL</t>
        </is>
      </c>
      <c r="D1329" s="3" t="n">
        <v>44896</v>
      </c>
      <c r="E1329" s="3" t="n">
        <v>46442</v>
      </c>
      <c r="F1329" s="25"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3" t="n">
        <v>44897</v>
      </c>
      <c r="C1330" s="22" t="inlineStr">
        <is>
          <t>PYGELENEKSEL</t>
        </is>
      </c>
      <c r="D1330" s="23" t="n">
        <v>44900</v>
      </c>
      <c r="E1330" s="23" t="n">
        <v>45196</v>
      </c>
      <c r="F1330" s="22" t="inlineStr">
        <is>
          <t>TRT270923T11</t>
        </is>
      </c>
      <c r="G1330" s="8" t="n">
        <v>296000</v>
      </c>
      <c r="H1330" s="8" t="n">
        <v>174000</v>
      </c>
      <c r="I1330" s="24" t="n">
        <v>179416.46</v>
      </c>
      <c r="J1330" s="24" t="n">
        <v>6.74</v>
      </c>
      <c r="K1330" s="24" t="n">
        <v>6.86</v>
      </c>
      <c r="L1330" s="24" t="n">
        <v>7.11</v>
      </c>
      <c r="M1330" s="24" t="n">
        <v>6.85</v>
      </c>
      <c r="N1330" s="24" t="n">
        <v>6.98</v>
      </c>
      <c r="O1330" s="24" t="n">
        <v>7.24</v>
      </c>
    </row>
    <row r="1331">
      <c r="A1331" s="11" t="n">
        <v>3061</v>
      </c>
      <c r="B1331" s="3" t="n">
        <v>44897</v>
      </c>
      <c r="C1331" s="25" t="inlineStr">
        <is>
          <t>PYGELENEKSEL</t>
        </is>
      </c>
      <c r="D1331" s="3" t="n">
        <v>44900</v>
      </c>
      <c r="E1331" s="3" t="n">
        <v>46820</v>
      </c>
      <c r="F1331" s="25" t="inlineStr">
        <is>
          <t>TRT080328T15</t>
        </is>
      </c>
      <c r="G1331" s="11" t="n">
        <v>113000</v>
      </c>
      <c r="H1331" s="11" t="n">
        <v>0</v>
      </c>
      <c r="I1331" s="13" t="n">
        <v>0</v>
      </c>
    </row>
    <row r="1332">
      <c r="A1332" s="8" t="n">
        <v>3062</v>
      </c>
      <c r="B1332" s="23" t="n">
        <v>44897</v>
      </c>
      <c r="C1332" s="22" t="inlineStr">
        <is>
          <t>PYGELENEKSEL</t>
        </is>
      </c>
      <c r="D1332" s="23" t="n">
        <v>44900</v>
      </c>
      <c r="E1332" s="23" t="n">
        <v>48332</v>
      </c>
      <c r="F1332" s="22" t="inlineStr">
        <is>
          <t>TRT280432T14</t>
        </is>
      </c>
      <c r="G1332" s="8" t="n">
        <v>125000</v>
      </c>
      <c r="H1332" s="8" t="n">
        <v>74000</v>
      </c>
      <c r="I1332" s="24" t="n">
        <v>123796.82</v>
      </c>
      <c r="J1332" s="24" t="n">
        <v>10.36</v>
      </c>
      <c r="K1332" s="24" t="n">
        <v>10.39</v>
      </c>
      <c r="L1332" s="24" t="n">
        <v>10.45</v>
      </c>
      <c r="M1332" s="24" t="n">
        <v>10.63</v>
      </c>
      <c r="N1332" s="24" t="n">
        <v>10.66</v>
      </c>
      <c r="O1332" s="24" t="n">
        <v>10.72</v>
      </c>
    </row>
    <row r="1333">
      <c r="A1333" s="11" t="n">
        <v>3063</v>
      </c>
      <c r="B1333" s="3" t="n">
        <v>44900</v>
      </c>
      <c r="C1333" s="25" t="inlineStr">
        <is>
          <t>PYGELENEKSEL</t>
        </is>
      </c>
      <c r="D1333" s="3" t="n">
        <v>44901</v>
      </c>
      <c r="E1333" s="3" t="n">
        <v>44993</v>
      </c>
      <c r="F1333" s="25"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3" t="n">
        <v>44900</v>
      </c>
      <c r="C1334" s="22" t="inlineStr">
        <is>
          <t>PYGELENEKSEL</t>
        </is>
      </c>
      <c r="D1334" s="23" t="n">
        <v>44901</v>
      </c>
      <c r="E1334" s="23" t="n">
        <v>45931</v>
      </c>
      <c r="F1334" s="22" t="inlineStr">
        <is>
          <t>TRT011025T16</t>
        </is>
      </c>
      <c r="G1334" s="8" t="n">
        <v>244000</v>
      </c>
      <c r="H1334" s="8" t="n">
        <v>244000</v>
      </c>
      <c r="I1334" s="24" t="n">
        <v>283079.67</v>
      </c>
      <c r="J1334" s="24" t="n">
        <v>6.96</v>
      </c>
      <c r="K1334" s="24" t="n">
        <v>7.1</v>
      </c>
      <c r="L1334" s="24" t="n">
        <v>7.15</v>
      </c>
      <c r="M1334" s="24" t="n">
        <v>7.08</v>
      </c>
      <c r="N1334" s="24" t="n">
        <v>7.23</v>
      </c>
      <c r="O1334" s="24" t="n">
        <v>7.27</v>
      </c>
    </row>
    <row r="1335">
      <c r="A1335" s="11" t="n">
        <v>3065</v>
      </c>
      <c r="B1335" s="3" t="n">
        <v>44900</v>
      </c>
      <c r="C1335" s="25" t="inlineStr">
        <is>
          <t>PYGELENEKSEL</t>
        </is>
      </c>
      <c r="D1335" s="3" t="n">
        <v>44901</v>
      </c>
      <c r="E1335" s="3" t="n">
        <v>46267</v>
      </c>
      <c r="F1335" s="25"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3" t="n">
        <v>44902</v>
      </c>
      <c r="C1336" s="22" t="inlineStr">
        <is>
          <t>PYGELENEKSEL</t>
        </is>
      </c>
      <c r="D1336" s="23" t="n">
        <v>44903</v>
      </c>
      <c r="E1336" s="23" t="n">
        <v>45091</v>
      </c>
      <c r="F1336" s="22" t="inlineStr">
        <is>
          <t>TRT140623T19</t>
        </is>
      </c>
      <c r="G1336" s="8" t="n">
        <v>521000</v>
      </c>
      <c r="H1336" s="8" t="n">
        <v>400000</v>
      </c>
      <c r="I1336" s="24" t="n">
        <v>445026.8</v>
      </c>
      <c r="J1336" s="24" t="n">
        <v>9.08</v>
      </c>
      <c r="K1336" s="24" t="n">
        <v>9.199999999999999</v>
      </c>
      <c r="L1336" s="24" t="n">
        <v>9.33</v>
      </c>
      <c r="M1336" s="24" t="n">
        <v>9.279999999999999</v>
      </c>
      <c r="N1336" s="24" t="n">
        <v>9.41</v>
      </c>
      <c r="O1336" s="24" t="n">
        <v>9.539999999999999</v>
      </c>
    </row>
    <row r="1337">
      <c r="A1337" s="11" t="n">
        <v>3067</v>
      </c>
      <c r="B1337" s="3" t="n">
        <v>44902</v>
      </c>
      <c r="C1337" s="25" t="inlineStr">
        <is>
          <t>PYGELENEKSEL</t>
        </is>
      </c>
      <c r="D1337" s="3" t="n">
        <v>44903</v>
      </c>
      <c r="E1337" s="3" t="n">
        <v>45189</v>
      </c>
      <c r="F1337" s="25"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3" t="n">
        <v>44902</v>
      </c>
      <c r="C1338" s="22" t="inlineStr">
        <is>
          <t>PYGELENEKSEL</t>
        </is>
      </c>
      <c r="D1338" s="23" t="n">
        <v>44903</v>
      </c>
      <c r="E1338" s="23" t="n">
        <v>46267</v>
      </c>
      <c r="F1338" s="22" t="inlineStr">
        <is>
          <t>TRT020926T17</t>
        </is>
      </c>
      <c r="G1338" s="8" t="n">
        <v>398000</v>
      </c>
      <c r="H1338" s="8" t="n">
        <v>378000</v>
      </c>
      <c r="I1338" s="24" t="n">
        <v>524092.88</v>
      </c>
      <c r="J1338" s="24" t="n">
        <v>6.08</v>
      </c>
      <c r="K1338" s="24" t="n">
        <v>6.42</v>
      </c>
      <c r="L1338" s="24" t="n">
        <v>6.5</v>
      </c>
      <c r="M1338" s="24" t="n">
        <v>6.17</v>
      </c>
      <c r="N1338" s="24" t="n">
        <v>6.52</v>
      </c>
      <c r="O1338" s="24" t="n">
        <v>6.61</v>
      </c>
    </row>
    <row r="1339">
      <c r="A1339" s="11" t="n">
        <v>3069</v>
      </c>
      <c r="B1339" s="3" t="n">
        <v>44904</v>
      </c>
      <c r="C1339" s="25" t="inlineStr">
        <is>
          <t>GELENEKSEL</t>
        </is>
      </c>
      <c r="D1339" s="3" t="n">
        <v>44907</v>
      </c>
      <c r="E1339" s="3" t="n">
        <v>45154</v>
      </c>
      <c r="F1339" s="25" t="inlineStr">
        <is>
          <t>TRD160823T13</t>
        </is>
      </c>
      <c r="G1339" s="11" t="n">
        <v>15000</v>
      </c>
      <c r="H1339" s="11" t="n">
        <v>0</v>
      </c>
      <c r="I1339" s="13" t="n">
        <v>0</v>
      </c>
    </row>
    <row r="1340">
      <c r="A1340" s="8" t="n">
        <v>3070</v>
      </c>
      <c r="B1340" s="23" t="n">
        <v>44904</v>
      </c>
      <c r="C1340" s="22" t="inlineStr">
        <is>
          <t>GELENEKSEL</t>
        </is>
      </c>
      <c r="D1340" s="23" t="n">
        <v>44907</v>
      </c>
      <c r="E1340" s="23" t="n">
        <v>45336</v>
      </c>
      <c r="F1340" s="22" t="inlineStr">
        <is>
          <t>TRD140224T10</t>
        </is>
      </c>
      <c r="G1340" s="8" t="n">
        <v>11000</v>
      </c>
      <c r="H1340" s="8" t="n">
        <v>0</v>
      </c>
      <c r="I1340" s="24" t="n">
        <v>0</v>
      </c>
    </row>
    <row r="1341">
      <c r="A1341" s="11" t="n">
        <v>3071</v>
      </c>
      <c r="B1341" s="3" t="n">
        <v>44904</v>
      </c>
      <c r="C1341" s="25" t="inlineStr">
        <is>
          <t>GELENEKSEL</t>
        </is>
      </c>
      <c r="D1341" s="3" t="n">
        <v>44907</v>
      </c>
      <c r="E1341" s="3" t="n">
        <v>46638</v>
      </c>
      <c r="F1341" s="25"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3" t="n">
        <v>44907</v>
      </c>
      <c r="C1342" s="22" t="inlineStr">
        <is>
          <t>PYGELENEKSEL</t>
        </is>
      </c>
      <c r="D1342" s="23" t="n">
        <v>44908</v>
      </c>
      <c r="E1342" s="23" t="n">
        <v>45091</v>
      </c>
      <c r="F1342" s="22" t="inlineStr">
        <is>
          <t>TRT140623T19</t>
        </is>
      </c>
      <c r="G1342" s="8" t="n">
        <v>501000</v>
      </c>
      <c r="H1342" s="8" t="n">
        <v>400000</v>
      </c>
      <c r="I1342" s="24" t="n">
        <v>445468.35</v>
      </c>
      <c r="J1342" s="24" t="n">
        <v>9.140000000000001</v>
      </c>
      <c r="K1342" s="24" t="n">
        <v>9.33</v>
      </c>
      <c r="L1342" s="24" t="n">
        <v>9.449999999999999</v>
      </c>
      <c r="M1342" s="24" t="n">
        <v>9.35</v>
      </c>
      <c r="N1342" s="24" t="n">
        <v>9.539999999999999</v>
      </c>
      <c r="O1342" s="24" t="n">
        <v>9.67</v>
      </c>
    </row>
    <row r="1343">
      <c r="A1343" s="11" t="n">
        <v>3073</v>
      </c>
      <c r="B1343" s="3" t="n">
        <v>44907</v>
      </c>
      <c r="C1343" s="25" t="inlineStr">
        <is>
          <t>PYGELENEKSEL</t>
        </is>
      </c>
      <c r="D1343" s="3" t="n">
        <v>44908</v>
      </c>
      <c r="E1343" s="3" t="n">
        <v>45399</v>
      </c>
      <c r="F1343" s="25"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3" t="n">
        <v>44907</v>
      </c>
      <c r="C1344" s="22" t="inlineStr">
        <is>
          <t>PYGELENEKSEL</t>
        </is>
      </c>
      <c r="D1344" s="23" t="n">
        <v>44908</v>
      </c>
      <c r="E1344" s="23" t="n">
        <v>46267</v>
      </c>
      <c r="F1344" s="22" t="inlineStr">
        <is>
          <t>TRT020926T17</t>
        </is>
      </c>
      <c r="G1344" s="8" t="n">
        <v>354000</v>
      </c>
      <c r="H1344" s="8" t="n">
        <v>226000</v>
      </c>
      <c r="I1344" s="24" t="n">
        <v>312181.84</v>
      </c>
      <c r="J1344" s="24" t="n">
        <v>6.54</v>
      </c>
      <c r="K1344" s="24" t="n">
        <v>6.59</v>
      </c>
      <c r="L1344" s="24" t="n">
        <v>6.62</v>
      </c>
      <c r="M1344" s="24" t="n">
        <v>6.65</v>
      </c>
      <c r="N1344" s="24" t="n">
        <v>6.7</v>
      </c>
      <c r="O1344" s="24" t="n">
        <v>6.73</v>
      </c>
    </row>
    <row r="1345">
      <c r="A1345" s="11" t="n">
        <v>3075</v>
      </c>
      <c r="B1345" s="3" t="n">
        <v>44909</v>
      </c>
      <c r="C1345" s="25" t="inlineStr">
        <is>
          <t>PYGELENEKSEL</t>
        </is>
      </c>
      <c r="D1345" s="3" t="n">
        <v>44910</v>
      </c>
      <c r="E1345" s="3" t="n">
        <v>45399</v>
      </c>
      <c r="F1345" s="25"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3" t="n">
        <v>44909</v>
      </c>
      <c r="C1346" s="22" t="inlineStr">
        <is>
          <t>PYGELENEKSEL</t>
        </is>
      </c>
      <c r="D1346" s="23" t="n">
        <v>44910</v>
      </c>
      <c r="E1346" s="23" t="n">
        <v>46442</v>
      </c>
      <c r="F1346" s="22" t="inlineStr">
        <is>
          <t>TRT240227T17</t>
        </is>
      </c>
      <c r="G1346" s="8" t="n">
        <v>293000</v>
      </c>
      <c r="H1346" s="8" t="n">
        <v>293000</v>
      </c>
      <c r="I1346" s="24" t="n">
        <v>338028.88</v>
      </c>
      <c r="J1346" s="24" t="n">
        <v>7.34</v>
      </c>
      <c r="K1346" s="24" t="n">
        <v>7.56</v>
      </c>
      <c r="L1346" s="24" t="n">
        <v>7.67</v>
      </c>
      <c r="M1346" s="24" t="n">
        <v>7.48</v>
      </c>
      <c r="N1346" s="24" t="n">
        <v>7.71</v>
      </c>
      <c r="O1346" s="24" t="n">
        <v>7.82</v>
      </c>
    </row>
    <row r="1347">
      <c r="A1347" s="11" t="n">
        <v>3077</v>
      </c>
      <c r="B1347" s="3" t="n">
        <v>44909</v>
      </c>
      <c r="C1347" s="25" t="inlineStr">
        <is>
          <t>PYGELENEKSEL</t>
        </is>
      </c>
      <c r="D1347" s="3" t="n">
        <v>44910</v>
      </c>
      <c r="E1347" s="3" t="n">
        <v>48332</v>
      </c>
      <c r="F1347" s="25"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3" t="n">
        <v>44911</v>
      </c>
      <c r="C1348" s="22" t="inlineStr">
        <is>
          <t>PYGELENEKSEL</t>
        </is>
      </c>
      <c r="D1348" s="23" t="n">
        <v>44914</v>
      </c>
      <c r="E1348" s="23" t="n">
        <v>45189</v>
      </c>
      <c r="F1348" s="22" t="inlineStr">
        <is>
          <t>TRT200923T18</t>
        </is>
      </c>
      <c r="G1348" s="8" t="n">
        <v>354000</v>
      </c>
      <c r="H1348" s="8" t="n">
        <v>47000</v>
      </c>
      <c r="I1348" s="24" t="n">
        <v>51984.35</v>
      </c>
      <c r="J1348" s="24" t="n">
        <v>8.199999999999999</v>
      </c>
      <c r="K1348" s="24" t="n">
        <v>8.199999999999999</v>
      </c>
      <c r="L1348" s="24" t="n">
        <v>8.199999999999999</v>
      </c>
      <c r="M1348" s="24" t="n">
        <v>8.369999999999999</v>
      </c>
      <c r="N1348" s="24" t="n">
        <v>8.369999999999999</v>
      </c>
      <c r="O1348" s="24" t="n">
        <v>8.369999999999999</v>
      </c>
    </row>
    <row r="1349">
      <c r="A1349" s="11" t="n">
        <v>3079</v>
      </c>
      <c r="B1349" s="3" t="n">
        <v>44911</v>
      </c>
      <c r="C1349" s="25" t="inlineStr">
        <is>
          <t>PYGELENEKSEL</t>
        </is>
      </c>
      <c r="D1349" s="3" t="n">
        <v>44914</v>
      </c>
      <c r="E1349" s="3" t="n">
        <v>47800</v>
      </c>
      <c r="F1349" s="25"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3" t="n">
        <v>44911</v>
      </c>
      <c r="C1350" s="22" t="inlineStr">
        <is>
          <t>PYGELENEKSEL</t>
        </is>
      </c>
      <c r="D1350" s="23" t="n">
        <v>44914</v>
      </c>
      <c r="E1350" s="23" t="n">
        <v>48332</v>
      </c>
      <c r="F1350" s="22" t="inlineStr">
        <is>
          <t>TRT280432T14</t>
        </is>
      </c>
      <c r="G1350" s="8" t="n">
        <v>305000</v>
      </c>
      <c r="H1350" s="8" t="n">
        <v>305000</v>
      </c>
      <c r="I1350" s="24" t="n">
        <v>534227.14</v>
      </c>
      <c r="J1350" s="24" t="n">
        <v>9.380000000000001</v>
      </c>
      <c r="K1350" s="24" t="n">
        <v>9.57</v>
      </c>
      <c r="L1350" s="24" t="n">
        <v>9.640000000000001</v>
      </c>
      <c r="M1350" s="24" t="n">
        <v>9.6</v>
      </c>
      <c r="N1350" s="24" t="n">
        <v>9.800000000000001</v>
      </c>
      <c r="O1350" s="24" t="n">
        <v>9.869999999999999</v>
      </c>
    </row>
    <row r="1351">
      <c r="A1351" s="11" t="n">
        <v>3081</v>
      </c>
      <c r="B1351" s="3" t="n">
        <v>44914</v>
      </c>
      <c r="C1351" s="25" t="inlineStr">
        <is>
          <t>PYGELENEKSEL</t>
        </is>
      </c>
      <c r="D1351" s="3" t="n">
        <v>44915</v>
      </c>
      <c r="E1351" s="3" t="n">
        <v>45399</v>
      </c>
      <c r="F1351" s="25"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3" t="n">
        <v>44914</v>
      </c>
      <c r="C1352" s="22" t="inlineStr">
        <is>
          <t>PYGELENEKSEL</t>
        </is>
      </c>
      <c r="D1352" s="23" t="n">
        <v>44915</v>
      </c>
      <c r="E1352" s="23" t="n">
        <v>46442</v>
      </c>
      <c r="F1352" s="22" t="inlineStr">
        <is>
          <t>TRT240227T17</t>
        </is>
      </c>
      <c r="G1352" s="8" t="n">
        <v>151000</v>
      </c>
      <c r="H1352" s="8" t="n">
        <v>151000</v>
      </c>
      <c r="I1352" s="24" t="n">
        <v>178457.84</v>
      </c>
      <c r="J1352" s="24" t="n">
        <v>6.75</v>
      </c>
      <c r="K1352" s="24" t="n">
        <v>6.86</v>
      </c>
      <c r="L1352" s="24" t="n">
        <v>7.02</v>
      </c>
      <c r="M1352" s="24" t="n">
        <v>6.86</v>
      </c>
      <c r="N1352" s="24" t="n">
        <v>6.98</v>
      </c>
      <c r="O1352" s="24" t="n">
        <v>7.14</v>
      </c>
    </row>
    <row r="1353">
      <c r="A1353" s="11" t="n">
        <v>3083</v>
      </c>
      <c r="B1353" s="3" t="n">
        <v>44914</v>
      </c>
      <c r="C1353" s="25" t="inlineStr">
        <is>
          <t>PYGELENEKSEL</t>
        </is>
      </c>
      <c r="D1353" s="3" t="n">
        <v>44915</v>
      </c>
      <c r="E1353" s="3" t="n">
        <v>47800</v>
      </c>
      <c r="F1353" s="25"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3" t="n">
        <v>44916</v>
      </c>
      <c r="C1354" s="22" t="inlineStr">
        <is>
          <t>PYGELENEKSEL</t>
        </is>
      </c>
      <c r="D1354" s="23" t="n">
        <v>44917</v>
      </c>
      <c r="E1354" s="23" t="n">
        <v>45399</v>
      </c>
      <c r="F1354" s="22" t="inlineStr">
        <is>
          <t>TRT170424T17</t>
        </is>
      </c>
      <c r="G1354" s="8" t="n">
        <v>421000</v>
      </c>
      <c r="H1354" s="8" t="n">
        <v>201000</v>
      </c>
      <c r="I1354" s="24" t="n">
        <v>240654.98</v>
      </c>
      <c r="J1354" s="24" t="n">
        <v>7.78</v>
      </c>
      <c r="K1354" s="24" t="n">
        <v>7.87</v>
      </c>
      <c r="L1354" s="24" t="n">
        <v>7.93</v>
      </c>
      <c r="M1354" s="24" t="n">
        <v>7.93</v>
      </c>
      <c r="N1354" s="24" t="n">
        <v>8.02</v>
      </c>
      <c r="O1354" s="24" t="n">
        <v>8.09</v>
      </c>
    </row>
    <row r="1355">
      <c r="A1355" s="11" t="n">
        <v>3085</v>
      </c>
      <c r="B1355" s="3" t="n">
        <v>44916</v>
      </c>
      <c r="C1355" s="25" t="inlineStr">
        <is>
          <t>PYGELENEKSEL</t>
        </is>
      </c>
      <c r="D1355" s="3" t="n">
        <v>44917</v>
      </c>
      <c r="E1355" s="3" t="n">
        <v>46267</v>
      </c>
      <c r="F1355" s="25"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3" t="n">
        <v>44916</v>
      </c>
      <c r="C1356" s="22" t="inlineStr">
        <is>
          <t>PYGELENEKSEL</t>
        </is>
      </c>
      <c r="D1356" s="23" t="n">
        <v>44917</v>
      </c>
      <c r="E1356" s="23" t="n">
        <v>48332</v>
      </c>
      <c r="F1356" s="22" t="inlineStr">
        <is>
          <t>TRT280432T14</t>
        </is>
      </c>
      <c r="G1356" s="8" t="n">
        <v>91000</v>
      </c>
      <c r="H1356" s="8" t="n">
        <v>77000</v>
      </c>
      <c r="I1356" s="24" t="n">
        <v>144041.19</v>
      </c>
      <c r="J1356" s="24" t="n">
        <v>8.09</v>
      </c>
      <c r="K1356" s="24" t="n">
        <v>8.33</v>
      </c>
      <c r="L1356" s="24" t="n">
        <v>8.380000000000001</v>
      </c>
      <c r="M1356" s="24" t="n">
        <v>8.25</v>
      </c>
      <c r="N1356" s="24" t="n">
        <v>8.51</v>
      </c>
      <c r="O1356" s="24" t="n">
        <v>8.56</v>
      </c>
    </row>
    <row r="1357">
      <c r="A1357" s="11" t="n">
        <v>3087</v>
      </c>
      <c r="B1357" s="3" t="n">
        <v>44918</v>
      </c>
      <c r="C1357" s="25" t="inlineStr">
        <is>
          <t>PYGELENEKSEL</t>
        </is>
      </c>
      <c r="D1357" s="3" t="n">
        <v>44921</v>
      </c>
      <c r="E1357" s="3" t="n">
        <v>45399</v>
      </c>
      <c r="F1357" s="25"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3" t="n">
        <v>44918</v>
      </c>
      <c r="C1358" s="22" t="inlineStr">
        <is>
          <t>PYGELENEKSEL</t>
        </is>
      </c>
      <c r="D1358" s="23" t="n">
        <v>44921</v>
      </c>
      <c r="E1358" s="23" t="n">
        <v>46267</v>
      </c>
      <c r="F1358" s="22" t="inlineStr">
        <is>
          <t>TRT020926T17</t>
        </is>
      </c>
      <c r="G1358" s="8" t="n">
        <v>51000</v>
      </c>
      <c r="H1358" s="8" t="n">
        <v>50000</v>
      </c>
      <c r="I1358" s="24" t="n">
        <v>69403.22</v>
      </c>
      <c r="J1358" s="24" t="n">
        <v>6.35</v>
      </c>
      <c r="K1358" s="24" t="n">
        <v>6.49</v>
      </c>
      <c r="L1358" s="24" t="n">
        <v>6.59</v>
      </c>
      <c r="M1358" s="24" t="n">
        <v>6.45</v>
      </c>
      <c r="N1358" s="24" t="n">
        <v>6.6</v>
      </c>
      <c r="O1358" s="24" t="n">
        <v>6.7</v>
      </c>
    </row>
    <row r="1359">
      <c r="A1359" s="11" t="n">
        <v>3089</v>
      </c>
      <c r="B1359" s="3" t="n">
        <v>44918</v>
      </c>
      <c r="C1359" s="25" t="inlineStr">
        <is>
          <t>PYGELENEKSEL</t>
        </is>
      </c>
      <c r="D1359" s="3" t="n">
        <v>44921</v>
      </c>
      <c r="E1359" s="3" t="n">
        <v>46442</v>
      </c>
      <c r="F1359" s="25"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3" t="n">
        <v>44942</v>
      </c>
      <c r="C1360" s="22" t="inlineStr">
        <is>
          <t>PYGELENEKSEL</t>
        </is>
      </c>
      <c r="D1360" s="23" t="n">
        <v>44943</v>
      </c>
      <c r="E1360" s="23" t="n">
        <v>45931</v>
      </c>
      <c r="F1360" s="22" t="inlineStr">
        <is>
          <t>TRT011025T16</t>
        </is>
      </c>
      <c r="G1360" s="8" t="n">
        <v>375000</v>
      </c>
      <c r="H1360" s="8" t="n">
        <v>294000</v>
      </c>
      <c r="I1360" s="24" t="n">
        <v>335124.38</v>
      </c>
      <c r="J1360" s="24" t="n">
        <v>8.1</v>
      </c>
      <c r="K1360" s="24" t="n">
        <v>8.24</v>
      </c>
      <c r="L1360" s="24" t="n">
        <v>8.289999999999999</v>
      </c>
      <c r="M1360" s="24" t="n">
        <v>8.26</v>
      </c>
      <c r="N1360" s="24" t="n">
        <v>8.41</v>
      </c>
      <c r="O1360" s="24" t="n">
        <v>8.460000000000001</v>
      </c>
    </row>
    <row r="1361">
      <c r="A1361" s="11" t="n">
        <v>3091</v>
      </c>
      <c r="B1361" s="3" t="n">
        <v>44942</v>
      </c>
      <c r="C1361" s="25" t="inlineStr">
        <is>
          <t>PYGELENEKSEL</t>
        </is>
      </c>
      <c r="D1361" s="3" t="n">
        <v>44943</v>
      </c>
      <c r="E1361" s="3" t="n">
        <v>46820</v>
      </c>
      <c r="F1361" s="25"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3" t="n">
        <v>44942</v>
      </c>
      <c r="C1362" s="22" t="inlineStr">
        <is>
          <t>PYGELENEKSEL</t>
        </is>
      </c>
      <c r="D1362" s="23" t="n">
        <v>44943</v>
      </c>
      <c r="E1362" s="23" t="n">
        <v>48332</v>
      </c>
      <c r="F1362" s="22" t="inlineStr">
        <is>
          <t>TRT280432T14</t>
        </is>
      </c>
      <c r="G1362" s="8" t="n">
        <v>295000</v>
      </c>
      <c r="H1362" s="8" t="n">
        <v>276000</v>
      </c>
      <c r="I1362" s="24" t="n">
        <v>504933.47</v>
      </c>
      <c r="J1362" s="24" t="n">
        <v>8.65</v>
      </c>
      <c r="K1362" s="24" t="n">
        <v>8.869999999999999</v>
      </c>
      <c r="L1362" s="24" t="n">
        <v>8.960000000000001</v>
      </c>
      <c r="M1362" s="24" t="n">
        <v>8.84</v>
      </c>
      <c r="N1362" s="24" t="n">
        <v>9.06</v>
      </c>
      <c r="O1362" s="24" t="n">
        <v>9.16</v>
      </c>
    </row>
    <row r="1363">
      <c r="A1363" s="11" t="n">
        <v>3093</v>
      </c>
      <c r="B1363" s="3" t="n">
        <v>44944</v>
      </c>
      <c r="C1363" s="25" t="inlineStr">
        <is>
          <t>PYGELENEKSEL</t>
        </is>
      </c>
      <c r="D1363" s="3" t="n">
        <v>44945</v>
      </c>
      <c r="E1363" s="3" t="n">
        <v>45399</v>
      </c>
      <c r="F1363" s="25"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3" t="n">
        <v>44944</v>
      </c>
      <c r="C1364" s="22" t="inlineStr">
        <is>
          <t>PYGELENEKSEL</t>
        </is>
      </c>
      <c r="D1364" s="23" t="n">
        <v>44945</v>
      </c>
      <c r="E1364" s="23" t="n">
        <v>46442</v>
      </c>
      <c r="F1364" s="22" t="inlineStr">
        <is>
          <t>TRT240227T17</t>
        </is>
      </c>
      <c r="G1364" s="8" t="n">
        <v>324000</v>
      </c>
      <c r="H1364" s="8" t="n">
        <v>300000</v>
      </c>
      <c r="I1364" s="24" t="n">
        <v>339574.63</v>
      </c>
      <c r="J1364" s="24" t="n">
        <v>8.220000000000001</v>
      </c>
      <c r="K1364" s="24" t="n">
        <v>8.380000000000001</v>
      </c>
      <c r="L1364" s="24" t="n">
        <v>8.5</v>
      </c>
      <c r="M1364" s="24" t="n">
        <v>8.390000000000001</v>
      </c>
      <c r="N1364" s="24" t="n">
        <v>8.56</v>
      </c>
      <c r="O1364" s="24" t="n">
        <v>8.68</v>
      </c>
    </row>
    <row r="1365">
      <c r="A1365" s="11" t="n">
        <v>3095</v>
      </c>
      <c r="B1365" s="3" t="n">
        <v>44944</v>
      </c>
      <c r="C1365" s="25" t="inlineStr">
        <is>
          <t>PYGELENEKSEL</t>
        </is>
      </c>
      <c r="D1365" s="3" t="n">
        <v>44945</v>
      </c>
      <c r="E1365" s="3" t="n">
        <v>48332</v>
      </c>
      <c r="F1365" s="25"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3" t="n">
        <v>44946</v>
      </c>
      <c r="C1366" s="22" t="inlineStr">
        <is>
          <t>PYGELENEKSEL</t>
        </is>
      </c>
      <c r="D1366" s="23" t="n">
        <v>44949</v>
      </c>
      <c r="E1366" s="23" t="n">
        <v>45399</v>
      </c>
      <c r="F1366" s="22" t="inlineStr">
        <is>
          <t>TRT170424T17</t>
        </is>
      </c>
      <c r="G1366" s="8" t="n">
        <v>186000</v>
      </c>
      <c r="H1366" s="8" t="n">
        <v>182000</v>
      </c>
      <c r="I1366" s="24" t="n">
        <v>217100.35</v>
      </c>
      <c r="J1366" s="24" t="n">
        <v>8.77</v>
      </c>
      <c r="K1366" s="24" t="n">
        <v>8.84</v>
      </c>
      <c r="L1366" s="24" t="n">
        <v>8.9</v>
      </c>
      <c r="M1366" s="24" t="n">
        <v>8.970000000000001</v>
      </c>
      <c r="N1366" s="24" t="n">
        <v>9.029999999999999</v>
      </c>
      <c r="O1366" s="24" t="n">
        <v>9.1</v>
      </c>
    </row>
    <row r="1367">
      <c r="A1367" s="11" t="n">
        <v>3097</v>
      </c>
      <c r="B1367" s="3" t="n">
        <v>44946</v>
      </c>
      <c r="C1367" s="25" t="inlineStr">
        <is>
          <t>PYGELENEKSEL</t>
        </is>
      </c>
      <c r="D1367" s="3" t="n">
        <v>44949</v>
      </c>
      <c r="E1367" s="3" t="n">
        <v>46547</v>
      </c>
      <c r="F1367" s="25"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3" t="n">
        <v>44946</v>
      </c>
      <c r="C1368" s="22" t="inlineStr">
        <is>
          <t>PYGELENEKSEL</t>
        </is>
      </c>
      <c r="D1368" s="23" t="n">
        <v>44949</v>
      </c>
      <c r="E1368" s="23" t="n">
        <v>47800</v>
      </c>
      <c r="F1368" s="22" t="inlineStr">
        <is>
          <t>TRT131130T14</t>
        </is>
      </c>
      <c r="G1368" s="8" t="n">
        <v>278000</v>
      </c>
      <c r="H1368" s="8" t="n">
        <v>200000</v>
      </c>
      <c r="I1368" s="24" t="n">
        <v>261104.15</v>
      </c>
      <c r="J1368" s="24" t="n">
        <v>6.86</v>
      </c>
      <c r="K1368" s="24" t="n">
        <v>6.91</v>
      </c>
      <c r="L1368" s="24" t="n">
        <v>6.93</v>
      </c>
      <c r="M1368" s="24" t="n">
        <v>6.97</v>
      </c>
      <c r="N1368" s="24" t="n">
        <v>7.03</v>
      </c>
      <c r="O1368" s="24" t="n">
        <v>7.05</v>
      </c>
    </row>
    <row r="1369">
      <c r="A1369" s="11" t="n">
        <v>3099</v>
      </c>
      <c r="B1369" s="3" t="n">
        <v>44949</v>
      </c>
      <c r="C1369" s="25" t="inlineStr">
        <is>
          <t>PYGELENEKSEL</t>
        </is>
      </c>
      <c r="D1369" s="3" t="n">
        <v>44950</v>
      </c>
      <c r="E1369" s="3" t="n">
        <v>45497</v>
      </c>
      <c r="F1369" s="25"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3" t="n">
        <v>44949</v>
      </c>
      <c r="C1370" s="22" t="inlineStr">
        <is>
          <t>PYGELENEKSEL</t>
        </is>
      </c>
      <c r="D1370" s="23" t="n">
        <v>44950</v>
      </c>
      <c r="E1370" s="23" t="n">
        <v>46547</v>
      </c>
      <c r="F1370" s="22" t="inlineStr">
        <is>
          <t>TRT090627T12</t>
        </is>
      </c>
      <c r="G1370" s="8" t="n">
        <v>187000</v>
      </c>
      <c r="H1370" s="8" t="n">
        <v>186000</v>
      </c>
      <c r="I1370" s="24" t="n">
        <v>263517.31</v>
      </c>
      <c r="J1370" s="24" t="n">
        <v>8.83</v>
      </c>
      <c r="K1370" s="24" t="n">
        <v>9.1</v>
      </c>
      <c r="L1370" s="24" t="n">
        <v>9.220000000000001</v>
      </c>
      <c r="M1370" s="24" t="n">
        <v>9.02</v>
      </c>
      <c r="N1370" s="24" t="n">
        <v>9.31</v>
      </c>
      <c r="O1370" s="24" t="n">
        <v>9.43</v>
      </c>
    </row>
    <row r="1371">
      <c r="A1371" s="11" t="n">
        <v>3101</v>
      </c>
      <c r="B1371" s="3" t="n">
        <v>44949</v>
      </c>
      <c r="C1371" s="25" t="inlineStr">
        <is>
          <t>PYGELENEKSEL</t>
        </is>
      </c>
      <c r="D1371" s="3" t="n">
        <v>44950</v>
      </c>
      <c r="E1371" s="3" t="n">
        <v>48332</v>
      </c>
      <c r="F1371" s="25"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3" t="n">
        <v>44951</v>
      </c>
      <c r="C1372" s="22" t="inlineStr">
        <is>
          <t>PYGELENEKSEL</t>
        </is>
      </c>
      <c r="D1372" s="23" t="n">
        <v>44952</v>
      </c>
      <c r="E1372" s="23" t="n">
        <v>45399</v>
      </c>
      <c r="F1372" s="22" t="inlineStr">
        <is>
          <t>TRT170424T17</t>
        </is>
      </c>
      <c r="G1372" s="8" t="n">
        <v>197000</v>
      </c>
      <c r="H1372" s="8" t="n">
        <v>197000</v>
      </c>
      <c r="I1372" s="24" t="n">
        <v>235794.24</v>
      </c>
      <c r="J1372" s="24" t="n">
        <v>8.4</v>
      </c>
      <c r="K1372" s="24" t="n">
        <v>8.59</v>
      </c>
      <c r="L1372" s="24" t="n">
        <v>8.710000000000001</v>
      </c>
      <c r="M1372" s="24" t="n">
        <v>8.58</v>
      </c>
      <c r="N1372" s="24" t="n">
        <v>8.77</v>
      </c>
      <c r="O1372" s="24" t="n">
        <v>8.9</v>
      </c>
    </row>
    <row r="1373">
      <c r="A1373" s="11" t="n">
        <v>3103</v>
      </c>
      <c r="B1373" s="3" t="n">
        <v>44951</v>
      </c>
      <c r="C1373" s="25" t="inlineStr">
        <is>
          <t>PYGELENEKSEL</t>
        </is>
      </c>
      <c r="D1373" s="3" t="n">
        <v>44952</v>
      </c>
      <c r="E1373" s="3" t="n">
        <v>46442</v>
      </c>
      <c r="F1373" s="25"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3" t="n">
        <v>44951</v>
      </c>
      <c r="C1374" s="22" t="inlineStr">
        <is>
          <t>PYGELENEKSEL</t>
        </is>
      </c>
      <c r="D1374" s="23" t="n">
        <v>44952</v>
      </c>
      <c r="E1374" s="23" t="n">
        <v>47800</v>
      </c>
      <c r="F1374" s="22" t="inlineStr">
        <is>
          <t>TRT131130T14</t>
        </is>
      </c>
      <c r="G1374" s="8" t="n">
        <v>341000</v>
      </c>
      <c r="H1374" s="8" t="n">
        <v>200000</v>
      </c>
      <c r="I1374" s="24" t="n">
        <v>260153.17</v>
      </c>
      <c r="J1374" s="24" t="n">
        <v>6.97</v>
      </c>
      <c r="K1374" s="24" t="n">
        <v>6.99</v>
      </c>
      <c r="L1374" s="24" t="n">
        <v>7.01</v>
      </c>
      <c r="M1374" s="24" t="n">
        <v>7.09</v>
      </c>
      <c r="N1374" s="24" t="n">
        <v>7.11</v>
      </c>
      <c r="O1374" s="24" t="n">
        <v>7.14</v>
      </c>
    </row>
    <row r="1375">
      <c r="A1375" s="11" t="n">
        <v>3105</v>
      </c>
      <c r="B1375" s="3" t="n">
        <v>44953</v>
      </c>
      <c r="C1375" s="25" t="inlineStr">
        <is>
          <t>PYGELENEKSEL</t>
        </is>
      </c>
      <c r="D1375" s="3" t="n">
        <v>44956</v>
      </c>
      <c r="E1375" s="3" t="n">
        <v>45931</v>
      </c>
      <c r="F1375" s="25"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3" t="n">
        <v>44953</v>
      </c>
      <c r="C1376" s="22" t="inlineStr">
        <is>
          <t>PYGELENEKSEL</t>
        </is>
      </c>
      <c r="D1376" s="23" t="n">
        <v>44956</v>
      </c>
      <c r="E1376" s="23" t="n">
        <v>46547</v>
      </c>
      <c r="F1376" s="22" t="inlineStr">
        <is>
          <t>TRT090627T12</t>
        </is>
      </c>
      <c r="G1376" s="8" t="n">
        <v>285000</v>
      </c>
      <c r="H1376" s="8" t="n">
        <v>285000</v>
      </c>
      <c r="I1376" s="24" t="n">
        <v>389267.63</v>
      </c>
      <c r="J1376" s="24" t="n">
        <v>10.03</v>
      </c>
      <c r="K1376" s="24" t="n">
        <v>10.33</v>
      </c>
      <c r="L1376" s="24" t="n">
        <v>10.54</v>
      </c>
      <c r="M1376" s="24" t="n">
        <v>10.28</v>
      </c>
      <c r="N1376" s="24" t="n">
        <v>10.59</v>
      </c>
      <c r="O1376" s="24" t="n">
        <v>10.82</v>
      </c>
    </row>
    <row r="1377">
      <c r="A1377" s="11" t="n">
        <v>3107</v>
      </c>
      <c r="B1377" s="3" t="n">
        <v>44953</v>
      </c>
      <c r="C1377" s="25" t="inlineStr">
        <is>
          <t>PYGELENEKSEL</t>
        </is>
      </c>
      <c r="D1377" s="3" t="n">
        <v>44956</v>
      </c>
      <c r="E1377" s="3" t="n">
        <v>47800</v>
      </c>
      <c r="F1377" s="25"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3" t="n">
        <v>44956</v>
      </c>
      <c r="C1378" s="22" t="inlineStr">
        <is>
          <t>PYGELENEKSEL</t>
        </is>
      </c>
      <c r="D1378" s="23" t="n">
        <v>44957</v>
      </c>
      <c r="E1378" s="23" t="n">
        <v>45399</v>
      </c>
      <c r="F1378" s="22" t="inlineStr">
        <is>
          <t>TRT170424T17</t>
        </is>
      </c>
      <c r="G1378" s="8" t="n">
        <v>474000</v>
      </c>
      <c r="H1378" s="8" t="n">
        <v>394000</v>
      </c>
      <c r="I1378" s="24" t="n">
        <v>473436.87</v>
      </c>
      <c r="J1378" s="24" t="n">
        <v>8.15</v>
      </c>
      <c r="K1378" s="24" t="n">
        <v>8.34</v>
      </c>
      <c r="L1378" s="24" t="n">
        <v>8.56</v>
      </c>
      <c r="M1378" s="24" t="n">
        <v>8.32</v>
      </c>
      <c r="N1378" s="24" t="n">
        <v>8.51</v>
      </c>
      <c r="O1378" s="24" t="n">
        <v>8.74</v>
      </c>
    </row>
    <row r="1379">
      <c r="A1379" s="11" t="n">
        <v>3109</v>
      </c>
      <c r="B1379" s="3" t="n">
        <v>44956</v>
      </c>
      <c r="C1379" s="25" t="inlineStr">
        <is>
          <t>PYGELENEKSEL</t>
        </is>
      </c>
      <c r="D1379" s="3" t="n">
        <v>44957</v>
      </c>
      <c r="E1379" s="3" t="n">
        <v>46547</v>
      </c>
      <c r="F1379" s="25"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3" t="n">
        <v>44956</v>
      </c>
      <c r="C1380" s="22" t="inlineStr">
        <is>
          <t>PYGELENEKSEL</t>
        </is>
      </c>
      <c r="D1380" s="23" t="n">
        <v>44957</v>
      </c>
      <c r="E1380" s="23" t="n">
        <v>48332</v>
      </c>
      <c r="F1380" s="22" t="inlineStr">
        <is>
          <t>TRT280432T14</t>
        </is>
      </c>
      <c r="G1380" s="8" t="n">
        <v>398000</v>
      </c>
      <c r="H1380" s="8" t="n">
        <v>398000</v>
      </c>
      <c r="I1380" s="24" t="n">
        <v>713708.98</v>
      </c>
      <c r="J1380" s="24" t="n">
        <v>9.130000000000001</v>
      </c>
      <c r="K1380" s="24" t="n">
        <v>9.32</v>
      </c>
      <c r="L1380" s="24" t="n">
        <v>9.449999999999999</v>
      </c>
      <c r="M1380" s="24" t="n">
        <v>9.34</v>
      </c>
      <c r="N1380" s="24" t="n">
        <v>9.539999999999999</v>
      </c>
      <c r="O1380" s="24" t="n">
        <v>9.68</v>
      </c>
    </row>
    <row r="1381">
      <c r="A1381" s="11" t="n">
        <v>3111</v>
      </c>
      <c r="B1381" s="3" t="n">
        <v>44958</v>
      </c>
      <c r="C1381" s="25" t="inlineStr">
        <is>
          <t>PYGELENEKSEL</t>
        </is>
      </c>
      <c r="D1381" s="3" t="n">
        <v>44959</v>
      </c>
      <c r="E1381" s="3" t="n">
        <v>45399</v>
      </c>
      <c r="F1381" s="25"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3" t="n">
        <v>44958</v>
      </c>
      <c r="C1382" s="22" t="inlineStr">
        <is>
          <t>PYGELENEKSEL</t>
        </is>
      </c>
      <c r="D1382" s="23" t="n">
        <v>44959</v>
      </c>
      <c r="E1382" s="23" t="n">
        <v>46267</v>
      </c>
      <c r="F1382" s="22" t="inlineStr">
        <is>
          <t>TRT020926T17</t>
        </is>
      </c>
      <c r="G1382" s="8" t="n">
        <v>536000</v>
      </c>
      <c r="H1382" s="8" t="n">
        <v>400000</v>
      </c>
      <c r="I1382" s="24" t="n">
        <v>520701.77</v>
      </c>
      <c r="J1382" s="24" t="n">
        <v>8.98</v>
      </c>
      <c r="K1382" s="24" t="n">
        <v>9.130000000000001</v>
      </c>
      <c r="L1382" s="24" t="n">
        <v>9.26</v>
      </c>
      <c r="M1382" s="24" t="n">
        <v>9.18</v>
      </c>
      <c r="N1382" s="24" t="n">
        <v>9.34</v>
      </c>
      <c r="O1382" s="24" t="n">
        <v>9.470000000000001</v>
      </c>
    </row>
    <row r="1383">
      <c r="A1383" s="11" t="n">
        <v>3113</v>
      </c>
      <c r="B1383" s="3" t="n">
        <v>44958</v>
      </c>
      <c r="C1383" s="25" t="inlineStr">
        <is>
          <t>PYGELENEKSEL</t>
        </is>
      </c>
      <c r="D1383" s="3" t="n">
        <v>44959</v>
      </c>
      <c r="E1383" s="3" t="n">
        <v>48332</v>
      </c>
      <c r="F1383" s="25"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3" t="n">
        <v>44960</v>
      </c>
      <c r="C1384" s="22" t="inlineStr">
        <is>
          <t>PYGELENEKSEL</t>
        </is>
      </c>
      <c r="D1384" s="23" t="n">
        <v>44963</v>
      </c>
      <c r="E1384" s="23" t="n">
        <v>45399</v>
      </c>
      <c r="F1384" s="22" t="inlineStr">
        <is>
          <t>TRT170424T17</t>
        </is>
      </c>
      <c r="G1384" s="8" t="n">
        <v>389000</v>
      </c>
      <c r="H1384" s="8" t="n">
        <v>194000</v>
      </c>
      <c r="I1384" s="24" t="n">
        <v>237213.21</v>
      </c>
      <c r="J1384" s="24" t="n">
        <v>6.71</v>
      </c>
      <c r="K1384" s="24" t="n">
        <v>6.77</v>
      </c>
      <c r="L1384" s="24" t="n">
        <v>6.84</v>
      </c>
      <c r="M1384" s="24" t="n">
        <v>6.83</v>
      </c>
      <c r="N1384" s="24" t="n">
        <v>6.89</v>
      </c>
      <c r="O1384" s="24" t="n">
        <v>6.95</v>
      </c>
    </row>
    <row r="1385">
      <c r="A1385" s="11" t="n">
        <v>3115</v>
      </c>
      <c r="B1385" s="3" t="n">
        <v>44960</v>
      </c>
      <c r="C1385" s="25" t="inlineStr">
        <is>
          <t>PYGELENEKSEL</t>
        </is>
      </c>
      <c r="D1385" s="3" t="n">
        <v>44963</v>
      </c>
      <c r="E1385" s="3" t="n">
        <v>46547</v>
      </c>
      <c r="F1385" s="25"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3" t="n">
        <v>44960</v>
      </c>
      <c r="C1386" s="22" t="inlineStr">
        <is>
          <t>PYGELENEKSEL</t>
        </is>
      </c>
      <c r="D1386" s="23" t="n">
        <v>44963</v>
      </c>
      <c r="E1386" s="23" t="n">
        <v>48332</v>
      </c>
      <c r="F1386" s="22" t="inlineStr">
        <is>
          <t>TRT280432T14</t>
        </is>
      </c>
      <c r="G1386" s="8" t="n">
        <v>612000</v>
      </c>
      <c r="H1386" s="8" t="n">
        <v>400000</v>
      </c>
      <c r="I1386" s="24" t="n">
        <v>756689.52</v>
      </c>
      <c r="J1386" s="24" t="n">
        <v>8.26</v>
      </c>
      <c r="K1386" s="24" t="n">
        <v>8.31</v>
      </c>
      <c r="L1386" s="24" t="n">
        <v>8.380000000000001</v>
      </c>
      <c r="M1386" s="24" t="n">
        <v>8.43</v>
      </c>
      <c r="N1386" s="24" t="n">
        <v>8.49</v>
      </c>
      <c r="O1386" s="24" t="n">
        <v>8.56</v>
      </c>
    </row>
    <row r="1387">
      <c r="A1387" s="11" t="n">
        <v>3117</v>
      </c>
      <c r="B1387" s="3" t="n">
        <v>44963</v>
      </c>
      <c r="C1387" s="25" t="inlineStr">
        <is>
          <t>PYGELENEKSEL</t>
        </is>
      </c>
      <c r="D1387" s="3" t="n">
        <v>44964</v>
      </c>
      <c r="E1387" s="3" t="n">
        <v>46547</v>
      </c>
      <c r="F1387" s="25"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3" t="n">
        <v>44963</v>
      </c>
      <c r="C1388" s="22" t="inlineStr">
        <is>
          <t>PYGELENEKSEL</t>
        </is>
      </c>
      <c r="D1388" s="23" t="n">
        <v>44964</v>
      </c>
      <c r="E1388" s="23" t="n">
        <v>46610</v>
      </c>
      <c r="F1388" s="22" t="inlineStr">
        <is>
          <t>TRT110827T16</t>
        </is>
      </c>
      <c r="G1388" s="8" t="n">
        <v>367000</v>
      </c>
      <c r="H1388" s="8" t="n">
        <v>367000</v>
      </c>
      <c r="I1388" s="24" t="n">
        <v>401541.36</v>
      </c>
      <c r="J1388" s="24" t="n">
        <v>9.119999999999999</v>
      </c>
      <c r="K1388" s="24" t="n">
        <v>9.279999999999999</v>
      </c>
      <c r="L1388" s="24" t="n">
        <v>9.42</v>
      </c>
      <c r="M1388" s="24" t="n">
        <v>9.33</v>
      </c>
      <c r="N1388" s="24" t="n">
        <v>9.5</v>
      </c>
      <c r="O1388" s="24" t="n">
        <v>9.640000000000001</v>
      </c>
    </row>
    <row r="1389">
      <c r="A1389" s="11" t="n">
        <v>3119</v>
      </c>
      <c r="B1389" s="3" t="n">
        <v>44963</v>
      </c>
      <c r="C1389" s="25" t="inlineStr">
        <is>
          <t>PYGELENEKSEL</t>
        </is>
      </c>
      <c r="D1389" s="3" t="n">
        <v>44964</v>
      </c>
      <c r="E1389" s="3" t="n">
        <v>48332</v>
      </c>
      <c r="F1389" s="25"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3" t="n">
        <v>44965</v>
      </c>
      <c r="C1390" s="22" t="inlineStr">
        <is>
          <t>PYGELENEKSEL</t>
        </is>
      </c>
      <c r="D1390" s="23" t="n">
        <v>44966</v>
      </c>
      <c r="E1390" s="23" t="n">
        <v>46547</v>
      </c>
      <c r="F1390" s="22" t="inlineStr">
        <is>
          <t>TRT090627T12</t>
        </is>
      </c>
      <c r="G1390" s="8" t="n">
        <v>378000</v>
      </c>
      <c r="H1390" s="8" t="n">
        <v>358000</v>
      </c>
      <c r="I1390" s="24" t="n">
        <v>482083.93</v>
      </c>
      <c r="J1390" s="24" t="n">
        <v>10.76</v>
      </c>
      <c r="K1390" s="24" t="n">
        <v>10.89</v>
      </c>
      <c r="L1390" s="24" t="n">
        <v>10.97</v>
      </c>
      <c r="M1390" s="24" t="n">
        <v>11.05</v>
      </c>
      <c r="N1390" s="24" t="n">
        <v>11.18</v>
      </c>
      <c r="O1390" s="24" t="n">
        <v>11.27</v>
      </c>
    </row>
    <row r="1391">
      <c r="A1391" s="11" t="n">
        <v>3121</v>
      </c>
      <c r="B1391" s="3" t="n">
        <v>44965</v>
      </c>
      <c r="C1391" s="25" t="inlineStr">
        <is>
          <t>PYGELENEKSEL</t>
        </is>
      </c>
      <c r="D1391" s="3" t="n">
        <v>44966</v>
      </c>
      <c r="E1391" s="3" t="n">
        <v>46820</v>
      </c>
      <c r="F1391" s="25"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3" t="n">
        <v>44965</v>
      </c>
      <c r="C1392" s="22" t="inlineStr">
        <is>
          <t>PYGELENEKSEL</t>
        </is>
      </c>
      <c r="D1392" s="23" t="n">
        <v>44966</v>
      </c>
      <c r="E1392" s="23" t="n">
        <v>48332</v>
      </c>
      <c r="F1392" s="22" t="inlineStr">
        <is>
          <t>TRT280432T14</t>
        </is>
      </c>
      <c r="G1392" s="8" t="n">
        <v>218000</v>
      </c>
      <c r="H1392" s="8" t="n">
        <v>203000</v>
      </c>
      <c r="I1392" s="24" t="n">
        <v>402918.25</v>
      </c>
      <c r="J1392" s="24" t="n">
        <v>7.14</v>
      </c>
      <c r="K1392" s="24" t="n">
        <v>7.41</v>
      </c>
      <c r="L1392" s="24" t="n">
        <v>7.51</v>
      </c>
      <c r="M1392" s="24" t="n">
        <v>7.26</v>
      </c>
      <c r="N1392" s="24" t="n">
        <v>7.55</v>
      </c>
      <c r="O1392" s="24" t="n">
        <v>7.65</v>
      </c>
    </row>
    <row r="1393">
      <c r="A1393" s="11" t="n">
        <v>3123</v>
      </c>
      <c r="B1393" s="3" t="n">
        <v>44967</v>
      </c>
      <c r="C1393" s="25" t="inlineStr">
        <is>
          <t>PYGELENEKSEL</t>
        </is>
      </c>
      <c r="D1393" s="3" t="n">
        <v>44970</v>
      </c>
      <c r="E1393" s="3" t="n">
        <v>46547</v>
      </c>
      <c r="F1393" s="25"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3" t="n">
        <v>44967</v>
      </c>
      <c r="C1394" s="22" t="inlineStr">
        <is>
          <t>PYGELENEKSEL</t>
        </is>
      </c>
      <c r="D1394" s="23" t="n">
        <v>44970</v>
      </c>
      <c r="E1394" s="23" t="n">
        <v>46610</v>
      </c>
      <c r="F1394" s="22" t="inlineStr">
        <is>
          <t>TRT110827T16</t>
        </is>
      </c>
      <c r="G1394" s="8" t="n">
        <v>487000</v>
      </c>
      <c r="H1394" s="8" t="n">
        <v>400000</v>
      </c>
      <c r="I1394" s="24" t="n">
        <v>443128.7</v>
      </c>
      <c r="J1394" s="24" t="n">
        <v>8.859999999999999</v>
      </c>
      <c r="K1394" s="24" t="n">
        <v>8.970000000000001</v>
      </c>
      <c r="L1394" s="24" t="n">
        <v>9.02</v>
      </c>
      <c r="M1394" s="24" t="n">
        <v>9.06</v>
      </c>
      <c r="N1394" s="24" t="n">
        <v>9.17</v>
      </c>
      <c r="O1394" s="24" t="n">
        <v>9.220000000000001</v>
      </c>
    </row>
    <row r="1395">
      <c r="A1395" s="11" t="n">
        <v>3125</v>
      </c>
      <c r="B1395" s="3" t="n">
        <v>44967</v>
      </c>
      <c r="C1395" s="25" t="inlineStr">
        <is>
          <t>PYGELENEKSEL</t>
        </is>
      </c>
      <c r="D1395" s="3" t="n">
        <v>44970</v>
      </c>
      <c r="E1395" s="3" t="n">
        <v>47800</v>
      </c>
      <c r="F1395" s="25"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3" t="n">
        <v>44970</v>
      </c>
      <c r="C1396" s="22" t="inlineStr">
        <is>
          <t>PYGELENEKSEL</t>
        </is>
      </c>
      <c r="D1396" s="23" t="n">
        <v>44971</v>
      </c>
      <c r="E1396" s="23" t="n">
        <v>46547</v>
      </c>
      <c r="F1396" s="22" t="inlineStr">
        <is>
          <t>TRT090627T12</t>
        </is>
      </c>
      <c r="G1396" s="8" t="n">
        <v>403000</v>
      </c>
      <c r="H1396" s="8" t="n">
        <v>400000</v>
      </c>
      <c r="I1396" s="24" t="n">
        <v>552175.0600000001</v>
      </c>
      <c r="J1396" s="24" t="n">
        <v>10.03</v>
      </c>
      <c r="K1396" s="24" t="n">
        <v>10.12</v>
      </c>
      <c r="L1396" s="24" t="n">
        <v>10.2</v>
      </c>
      <c r="M1396" s="24" t="n">
        <v>10.28</v>
      </c>
      <c r="N1396" s="24" t="n">
        <v>10.38</v>
      </c>
      <c r="O1396" s="24" t="n">
        <v>10.46</v>
      </c>
    </row>
    <row r="1397">
      <c r="A1397" s="11" t="n">
        <v>3127</v>
      </c>
      <c r="B1397" s="3" t="n">
        <v>44970</v>
      </c>
      <c r="C1397" s="25" t="inlineStr">
        <is>
          <t>PYGELENEKSEL</t>
        </is>
      </c>
      <c r="D1397" s="3" t="n">
        <v>44971</v>
      </c>
      <c r="E1397" s="3" t="n">
        <v>46610</v>
      </c>
      <c r="F1397" s="25"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3" t="n">
        <v>44970</v>
      </c>
      <c r="C1398" s="22" t="inlineStr">
        <is>
          <t>PYGELENEKSEL</t>
        </is>
      </c>
      <c r="D1398" s="23" t="n">
        <v>44971</v>
      </c>
      <c r="E1398" s="23" t="n">
        <v>47800</v>
      </c>
      <c r="F1398" s="22" t="inlineStr">
        <is>
          <t>TRT131130T14</t>
        </is>
      </c>
      <c r="G1398" s="8" t="n">
        <v>494000</v>
      </c>
      <c r="H1398" s="8" t="n">
        <v>400000</v>
      </c>
      <c r="I1398" s="24" t="n">
        <v>501650.39</v>
      </c>
      <c r="J1398" s="24" t="n">
        <v>7.71</v>
      </c>
      <c r="K1398" s="24" t="n">
        <v>7.75</v>
      </c>
      <c r="L1398" s="24" t="n">
        <v>7.79</v>
      </c>
      <c r="M1398" s="24" t="n">
        <v>7.86</v>
      </c>
      <c r="N1398" s="24" t="n">
        <v>7.9</v>
      </c>
      <c r="O1398" s="24" t="n">
        <v>7.94</v>
      </c>
    </row>
    <row r="1399">
      <c r="A1399" s="11" t="n">
        <v>3129</v>
      </c>
      <c r="B1399" s="3" t="n">
        <v>44972</v>
      </c>
      <c r="C1399" s="25" t="inlineStr">
        <is>
          <t>PYGELENEKSEL</t>
        </is>
      </c>
      <c r="D1399" s="3" t="n">
        <v>44973</v>
      </c>
      <c r="E1399" s="3" t="n">
        <v>45399</v>
      </c>
      <c r="F1399" s="25"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3" t="n">
        <v>44972</v>
      </c>
      <c r="C1400" s="22" t="inlineStr">
        <is>
          <t>PYGELENEKSEL</t>
        </is>
      </c>
      <c r="D1400" s="23" t="n">
        <v>44973</v>
      </c>
      <c r="E1400" s="23" t="n">
        <v>46547</v>
      </c>
      <c r="F1400" s="22" t="inlineStr">
        <is>
          <t>TRT090627T12</t>
        </is>
      </c>
      <c r="G1400" s="8" t="n">
        <v>305000</v>
      </c>
      <c r="H1400" s="8" t="n">
        <v>213000</v>
      </c>
      <c r="I1400" s="24" t="n">
        <v>296579.61</v>
      </c>
      <c r="J1400" s="24" t="n">
        <v>9.800000000000001</v>
      </c>
      <c r="K1400" s="24" t="n">
        <v>9.85</v>
      </c>
      <c r="L1400" s="24" t="n">
        <v>9.9</v>
      </c>
      <c r="M1400" s="24" t="n">
        <v>10.04</v>
      </c>
      <c r="N1400" s="24" t="n">
        <v>10.09</v>
      </c>
      <c r="O1400" s="24" t="n">
        <v>10.15</v>
      </c>
    </row>
    <row r="1401">
      <c r="A1401" s="11" t="n">
        <v>3131</v>
      </c>
      <c r="B1401" s="3" t="n">
        <v>44972</v>
      </c>
      <c r="C1401" s="25" t="inlineStr">
        <is>
          <t>PYGELENEKSEL</t>
        </is>
      </c>
      <c r="D1401" s="3" t="n">
        <v>44973</v>
      </c>
      <c r="E1401" s="3" t="n">
        <v>47800</v>
      </c>
      <c r="F1401" s="25"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3" t="n">
        <v>44974</v>
      </c>
      <c r="C1402" s="22" t="inlineStr">
        <is>
          <t>PYGELENEKSEL</t>
        </is>
      </c>
      <c r="D1402" s="23" t="n">
        <v>44977</v>
      </c>
      <c r="E1402" s="23" t="n">
        <v>45399</v>
      </c>
      <c r="F1402" s="22" t="inlineStr">
        <is>
          <t>TRT170424T17</t>
        </is>
      </c>
      <c r="G1402" s="8" t="n">
        <v>240000</v>
      </c>
      <c r="H1402" s="8" t="n">
        <v>131000</v>
      </c>
      <c r="I1402" s="24" t="n">
        <v>160661.22</v>
      </c>
      <c r="J1402" s="24" t="n">
        <v>6.65</v>
      </c>
      <c r="K1402" s="24" t="n">
        <v>6.71</v>
      </c>
      <c r="L1402" s="24" t="n">
        <v>6.77</v>
      </c>
      <c r="M1402" s="24" t="n">
        <v>6.76</v>
      </c>
      <c r="N1402" s="24" t="n">
        <v>6.83</v>
      </c>
      <c r="O1402" s="24" t="n">
        <v>6.89</v>
      </c>
    </row>
    <row r="1403">
      <c r="A1403" s="11" t="n">
        <v>3133</v>
      </c>
      <c r="B1403" s="3" t="n">
        <v>44974</v>
      </c>
      <c r="C1403" s="25" t="inlineStr">
        <is>
          <t>PYGELENEKSEL</t>
        </is>
      </c>
      <c r="D1403" s="3" t="n">
        <v>44977</v>
      </c>
      <c r="E1403" s="3" t="n">
        <v>46547</v>
      </c>
      <c r="F1403" s="25"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3" t="n">
        <v>44974</v>
      </c>
      <c r="C1404" s="22" t="inlineStr">
        <is>
          <t>PYGELENEKSEL</t>
        </is>
      </c>
      <c r="D1404" s="23" t="n">
        <v>44977</v>
      </c>
      <c r="E1404" s="23" t="n">
        <v>47800</v>
      </c>
      <c r="F1404" s="22" t="inlineStr">
        <is>
          <t>TRT131130T14</t>
        </is>
      </c>
      <c r="G1404" s="8" t="n">
        <v>475000</v>
      </c>
      <c r="H1404" s="8" t="n">
        <v>400000</v>
      </c>
      <c r="I1404" s="24" t="n">
        <v>517665.62</v>
      </c>
      <c r="J1404" s="24" t="n">
        <v>7.11</v>
      </c>
      <c r="K1404" s="24" t="n">
        <v>7.17</v>
      </c>
      <c r="L1404" s="24" t="n">
        <v>7.22</v>
      </c>
      <c r="M1404" s="24" t="n">
        <v>7.23</v>
      </c>
      <c r="N1404" s="24" t="n">
        <v>7.3</v>
      </c>
      <c r="O1404" s="24" t="n">
        <v>7.35</v>
      </c>
    </row>
    <row r="1405">
      <c r="A1405" s="11" t="n">
        <v>3135</v>
      </c>
      <c r="B1405" s="3" t="n">
        <v>44977</v>
      </c>
      <c r="C1405" s="25" t="inlineStr">
        <is>
          <t>PYGELENEKSEL</t>
        </is>
      </c>
      <c r="D1405" s="3" t="n">
        <v>44978</v>
      </c>
      <c r="E1405" s="3" t="n">
        <v>46547</v>
      </c>
      <c r="F1405" s="25"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3" t="n">
        <v>44977</v>
      </c>
      <c r="C1406" s="22" t="inlineStr">
        <is>
          <t>PYGELENEKSEL</t>
        </is>
      </c>
      <c r="D1406" s="23" t="n">
        <v>44978</v>
      </c>
      <c r="E1406" s="23" t="n">
        <v>46645</v>
      </c>
      <c r="F1406" s="22" t="inlineStr">
        <is>
          <t>TRT150927T11</t>
        </is>
      </c>
      <c r="G1406" s="8" t="n">
        <v>445000</v>
      </c>
      <c r="H1406" s="8" t="n">
        <v>400000</v>
      </c>
      <c r="I1406" s="24" t="n">
        <v>436181.75</v>
      </c>
      <c r="J1406" s="24" t="n">
        <v>8.9</v>
      </c>
      <c r="K1406" s="24" t="n">
        <v>9</v>
      </c>
      <c r="L1406" s="24" t="n">
        <v>9.140000000000001</v>
      </c>
      <c r="M1406" s="24" t="n">
        <v>9.1</v>
      </c>
      <c r="N1406" s="24" t="n">
        <v>9.199999999999999</v>
      </c>
      <c r="O1406" s="24" t="n">
        <v>9.35</v>
      </c>
    </row>
    <row r="1407">
      <c r="A1407" s="11" t="n">
        <v>3137</v>
      </c>
      <c r="B1407" s="3" t="n">
        <v>44977</v>
      </c>
      <c r="C1407" s="25" t="inlineStr">
        <is>
          <t>PYGELENEKSEL</t>
        </is>
      </c>
      <c r="D1407" s="3" t="n">
        <v>44978</v>
      </c>
      <c r="E1407" s="3" t="n">
        <v>46820</v>
      </c>
      <c r="F1407" s="25"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3" t="n">
        <v>44979</v>
      </c>
      <c r="C1408" s="22" t="inlineStr">
        <is>
          <t>PYGELENEKSEL</t>
        </is>
      </c>
      <c r="D1408" s="23" t="n">
        <v>44980</v>
      </c>
      <c r="E1408" s="23" t="n">
        <v>46267</v>
      </c>
      <c r="F1408" s="22" t="inlineStr">
        <is>
          <t>TRT020926T17</t>
        </is>
      </c>
      <c r="G1408" s="8" t="n">
        <v>409000</v>
      </c>
      <c r="H1408" s="8" t="n">
        <v>399000</v>
      </c>
      <c r="I1408" s="24" t="n">
        <v>527197.8100000001</v>
      </c>
      <c r="J1408" s="24" t="n">
        <v>8.57</v>
      </c>
      <c r="K1408" s="24" t="n">
        <v>8.76</v>
      </c>
      <c r="L1408" s="24" t="n">
        <v>8.869999999999999</v>
      </c>
      <c r="M1408" s="24" t="n">
        <v>8.76</v>
      </c>
      <c r="N1408" s="24" t="n">
        <v>8.949999999999999</v>
      </c>
      <c r="O1408" s="24" t="n">
        <v>9.07</v>
      </c>
    </row>
    <row r="1409">
      <c r="A1409" s="11" t="n">
        <v>3139</v>
      </c>
      <c r="B1409" s="3" t="n">
        <v>44979</v>
      </c>
      <c r="C1409" s="25" t="inlineStr">
        <is>
          <t>PYGELENEKSEL</t>
        </is>
      </c>
      <c r="D1409" s="3" t="n">
        <v>44980</v>
      </c>
      <c r="E1409" s="3" t="n">
        <v>46645</v>
      </c>
      <c r="F1409" s="25"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3" t="n">
        <v>44979</v>
      </c>
      <c r="C1410" s="22" t="inlineStr">
        <is>
          <t>PYGELENEKSEL</t>
        </is>
      </c>
      <c r="D1410" s="23" t="n">
        <v>44980</v>
      </c>
      <c r="E1410" s="23" t="n">
        <v>48332</v>
      </c>
      <c r="F1410" s="22" t="inlineStr">
        <is>
          <t>TRT280432T14</t>
        </is>
      </c>
      <c r="G1410" s="8" t="n">
        <v>422000</v>
      </c>
      <c r="H1410" s="8" t="n">
        <v>400000</v>
      </c>
      <c r="I1410" s="24" t="n">
        <v>789961.62</v>
      </c>
      <c r="J1410" s="24" t="n">
        <v>7.33</v>
      </c>
      <c r="K1410" s="24" t="n">
        <v>7.56</v>
      </c>
      <c r="L1410" s="24" t="n">
        <v>7.66</v>
      </c>
      <c r="M1410" s="24" t="n">
        <v>7.47</v>
      </c>
      <c r="N1410" s="24" t="n">
        <v>7.71</v>
      </c>
      <c r="O1410" s="24" t="n">
        <v>7.8</v>
      </c>
    </row>
    <row r="1411">
      <c r="A1411" s="11" t="n">
        <v>3141</v>
      </c>
      <c r="B1411" s="3" t="n">
        <v>44981</v>
      </c>
      <c r="C1411" s="25" t="inlineStr">
        <is>
          <t>PYGELENEKSEL</t>
        </is>
      </c>
      <c r="D1411" s="3" t="n">
        <v>44984</v>
      </c>
      <c r="E1411" s="3" t="n">
        <v>46547</v>
      </c>
      <c r="F1411" s="25"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3" t="n">
        <v>44981</v>
      </c>
      <c r="C1412" s="22" t="inlineStr">
        <is>
          <t>PYGELENEKSEL</t>
        </is>
      </c>
      <c r="D1412" s="23" t="n">
        <v>44984</v>
      </c>
      <c r="E1412" s="23" t="n">
        <v>46645</v>
      </c>
      <c r="F1412" s="22" t="inlineStr">
        <is>
          <t>TRT150927T11</t>
        </is>
      </c>
      <c r="G1412" s="8" t="n">
        <v>450000</v>
      </c>
      <c r="H1412" s="8" t="n">
        <v>400000</v>
      </c>
      <c r="I1412" s="24" t="n">
        <v>437124.73</v>
      </c>
      <c r="J1412" s="24" t="n">
        <v>8.890000000000001</v>
      </c>
      <c r="K1412" s="24" t="n">
        <v>8.970000000000001</v>
      </c>
      <c r="L1412" s="24" t="n">
        <v>9.1</v>
      </c>
      <c r="M1412" s="24" t="n">
        <v>9.09</v>
      </c>
      <c r="N1412" s="24" t="n">
        <v>9.17</v>
      </c>
      <c r="O1412" s="24" t="n">
        <v>9.31</v>
      </c>
    </row>
    <row r="1413">
      <c r="A1413" s="11" t="n">
        <v>3143</v>
      </c>
      <c r="B1413" s="3" t="n">
        <v>44981</v>
      </c>
      <c r="C1413" s="25" t="inlineStr">
        <is>
          <t>PYGELENEKSEL</t>
        </is>
      </c>
      <c r="D1413" s="3" t="n">
        <v>44984</v>
      </c>
      <c r="E1413" s="3" t="n">
        <v>47800</v>
      </c>
      <c r="F1413" s="25"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3" t="n">
        <v>44984</v>
      </c>
      <c r="C1414" s="22" t="inlineStr">
        <is>
          <t>PYGELENEKSEL</t>
        </is>
      </c>
      <c r="D1414" s="23" t="n">
        <v>44985</v>
      </c>
      <c r="E1414" s="23" t="n">
        <v>45931</v>
      </c>
      <c r="F1414" s="22" t="inlineStr">
        <is>
          <t>TRT011025T16</t>
        </is>
      </c>
      <c r="G1414" s="8" t="n">
        <v>321000</v>
      </c>
      <c r="H1414" s="8" t="n">
        <v>314000</v>
      </c>
      <c r="I1414" s="24" t="n">
        <v>363440.77</v>
      </c>
      <c r="J1414" s="24" t="n">
        <v>7.83</v>
      </c>
      <c r="K1414" s="24" t="n">
        <v>7.96</v>
      </c>
      <c r="L1414" s="24" t="n">
        <v>8.1</v>
      </c>
      <c r="M1414" s="24" t="n">
        <v>7.99</v>
      </c>
      <c r="N1414" s="24" t="n">
        <v>8.119999999999999</v>
      </c>
      <c r="O1414" s="24" t="n">
        <v>8.26</v>
      </c>
    </row>
    <row r="1415">
      <c r="A1415" s="11" t="n">
        <v>3145</v>
      </c>
      <c r="B1415" s="3" t="n">
        <v>44984</v>
      </c>
      <c r="C1415" s="25" t="inlineStr">
        <is>
          <t>PYGELENEKSEL</t>
        </is>
      </c>
      <c r="D1415" s="3" t="n">
        <v>44985</v>
      </c>
      <c r="E1415" s="3" t="n">
        <v>46547</v>
      </c>
      <c r="F1415" s="25"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3" t="n">
        <v>44984</v>
      </c>
      <c r="C1416" s="22" t="inlineStr">
        <is>
          <t>PYGELENEKSEL</t>
        </is>
      </c>
      <c r="D1416" s="23" t="n">
        <v>44985</v>
      </c>
      <c r="E1416" s="23" t="n">
        <v>46610</v>
      </c>
      <c r="F1416" s="22" t="inlineStr">
        <is>
          <t>TRT110827T16</t>
        </is>
      </c>
      <c r="G1416" s="8" t="n">
        <v>340000</v>
      </c>
      <c r="H1416" s="8" t="n">
        <v>340000</v>
      </c>
      <c r="I1416" s="24" t="n">
        <v>364703.44</v>
      </c>
      <c r="J1416" s="24" t="n">
        <v>8.52</v>
      </c>
      <c r="K1416" s="24" t="n">
        <v>8.609999999999999</v>
      </c>
      <c r="L1416" s="24" t="n">
        <v>8.699999999999999</v>
      </c>
      <c r="M1416" s="24" t="n">
        <v>8.699999999999999</v>
      </c>
      <c r="N1416" s="24" t="n">
        <v>8.789999999999999</v>
      </c>
      <c r="O1416" s="24" t="n">
        <v>8.890000000000001</v>
      </c>
    </row>
    <row r="1417">
      <c r="A1417" s="11" t="n">
        <v>3147</v>
      </c>
      <c r="B1417" s="3" t="n">
        <v>44986</v>
      </c>
      <c r="C1417" s="25" t="inlineStr">
        <is>
          <t>PYGELENEKSEL</t>
        </is>
      </c>
      <c r="D1417" s="3" t="n">
        <v>44987</v>
      </c>
      <c r="E1417" s="3" t="n">
        <v>45371</v>
      </c>
      <c r="F1417" s="25"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3" t="n">
        <v>44986</v>
      </c>
      <c r="C1418" s="22" t="inlineStr">
        <is>
          <t>PYGELENEKSEL</t>
        </is>
      </c>
      <c r="D1418" s="23" t="n">
        <v>44987</v>
      </c>
      <c r="E1418" s="23" t="n">
        <v>46442</v>
      </c>
      <c r="F1418" s="22" t="inlineStr">
        <is>
          <t>TRT240227T17</t>
        </is>
      </c>
      <c r="G1418" s="8" t="n">
        <v>501000</v>
      </c>
      <c r="H1418" s="8" t="n">
        <v>400000</v>
      </c>
      <c r="I1418" s="24" t="n">
        <v>429667.16</v>
      </c>
      <c r="J1418" s="24" t="n">
        <v>8.59</v>
      </c>
      <c r="K1418" s="24" t="n">
        <v>8.77</v>
      </c>
      <c r="L1418" s="24" t="n">
        <v>8.890000000000001</v>
      </c>
      <c r="M1418" s="24" t="n">
        <v>8.779999999999999</v>
      </c>
      <c r="N1418" s="24" t="n">
        <v>8.960000000000001</v>
      </c>
      <c r="O1418" s="24" t="n">
        <v>9.09</v>
      </c>
    </row>
    <row r="1419">
      <c r="A1419" s="11" t="n">
        <v>3149</v>
      </c>
      <c r="B1419" s="3" t="n">
        <v>44986</v>
      </c>
      <c r="C1419" s="25" t="inlineStr">
        <is>
          <t>PYGELENEKSEL</t>
        </is>
      </c>
      <c r="D1419" s="3" t="n">
        <v>44987</v>
      </c>
      <c r="E1419" s="3" t="n">
        <v>46547</v>
      </c>
      <c r="F1419" s="25"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3" t="n">
        <v>44988</v>
      </c>
      <c r="C1420" s="22" t="inlineStr">
        <is>
          <t>PYGELENEKSEL</t>
        </is>
      </c>
      <c r="D1420" s="23" t="n">
        <v>44991</v>
      </c>
      <c r="E1420" s="23" t="n">
        <v>45728</v>
      </c>
      <c r="F1420" s="22" t="inlineStr">
        <is>
          <t>TRT120325T12</t>
        </is>
      </c>
      <c r="G1420" s="8" t="n">
        <v>486000</v>
      </c>
      <c r="H1420" s="8" t="n">
        <v>288000</v>
      </c>
      <c r="I1420" s="24" t="n">
        <v>292755.74</v>
      </c>
      <c r="J1420" s="24" t="n">
        <v>9</v>
      </c>
      <c r="K1420" s="24" t="n">
        <v>9.19</v>
      </c>
      <c r="L1420" s="24" t="n">
        <v>9.41</v>
      </c>
      <c r="M1420" s="24" t="n">
        <v>9.199999999999999</v>
      </c>
      <c r="N1420" s="24" t="n">
        <v>9.4</v>
      </c>
      <c r="O1420" s="24" t="n">
        <v>9.630000000000001</v>
      </c>
    </row>
    <row r="1421">
      <c r="A1421" s="11" t="n">
        <v>3151</v>
      </c>
      <c r="B1421" s="3" t="n">
        <v>44988</v>
      </c>
      <c r="C1421" s="25" t="inlineStr">
        <is>
          <t>PYGELENEKSEL</t>
        </is>
      </c>
      <c r="D1421" s="3" t="n">
        <v>44991</v>
      </c>
      <c r="E1421" s="3" t="n">
        <v>46064</v>
      </c>
      <c r="F1421" s="25"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3" t="n">
        <v>44988</v>
      </c>
      <c r="C1422" s="22" t="inlineStr">
        <is>
          <t>PYGELENEKSEL</t>
        </is>
      </c>
      <c r="D1422" s="23" t="n">
        <v>44991</v>
      </c>
      <c r="E1422" s="23" t="n">
        <v>46547</v>
      </c>
      <c r="F1422" s="22" t="inlineStr">
        <is>
          <t>TRT090627T12</t>
        </is>
      </c>
      <c r="G1422" s="8" t="n">
        <v>499000</v>
      </c>
      <c r="H1422" s="8" t="n">
        <v>400000</v>
      </c>
      <c r="I1422" s="24" t="n">
        <v>565672.6</v>
      </c>
      <c r="J1422" s="24" t="n">
        <v>9.449999999999999</v>
      </c>
      <c r="K1422" s="24" t="n">
        <v>9.49</v>
      </c>
      <c r="L1422" s="24" t="n">
        <v>9.57</v>
      </c>
      <c r="M1422" s="24" t="n">
        <v>9.67</v>
      </c>
      <c r="N1422" s="24" t="n">
        <v>9.710000000000001</v>
      </c>
      <c r="O1422" s="24" t="n">
        <v>9.800000000000001</v>
      </c>
    </row>
    <row r="1423">
      <c r="A1423" s="11" t="n">
        <v>3153</v>
      </c>
      <c r="B1423" s="3" t="n">
        <v>44991</v>
      </c>
      <c r="C1423" s="25" t="inlineStr">
        <is>
          <t>PYGELENEKSEL</t>
        </is>
      </c>
      <c r="D1423" s="3" t="n">
        <v>44992</v>
      </c>
      <c r="E1423" s="3" t="n">
        <v>46064</v>
      </c>
      <c r="F1423" s="25"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3" t="n">
        <v>44991</v>
      </c>
      <c r="C1424" s="22" t="inlineStr">
        <is>
          <t>PYGELENEKSEL</t>
        </is>
      </c>
      <c r="D1424" s="23" t="n">
        <v>44992</v>
      </c>
      <c r="E1424" s="23" t="n">
        <v>46547</v>
      </c>
      <c r="F1424" s="22" t="inlineStr">
        <is>
          <t>TRT090627T12</t>
        </is>
      </c>
      <c r="G1424" s="8" t="n">
        <v>517000</v>
      </c>
      <c r="H1424" s="8" t="n">
        <v>400000</v>
      </c>
      <c r="I1424" s="24" t="n">
        <v>566107.23</v>
      </c>
      <c r="J1424" s="24" t="n">
        <v>9.42</v>
      </c>
      <c r="K1424" s="24" t="n">
        <v>9.470000000000001</v>
      </c>
      <c r="L1424" s="24" t="n">
        <v>9.51</v>
      </c>
      <c r="M1424" s="24" t="n">
        <v>9.640000000000001</v>
      </c>
      <c r="N1424" s="24" t="n">
        <v>9.699999999999999</v>
      </c>
      <c r="O1424" s="24" t="n">
        <v>9.74</v>
      </c>
    </row>
    <row r="1425">
      <c r="A1425" s="11" t="n">
        <v>3155</v>
      </c>
      <c r="B1425" s="3" t="n">
        <v>44991</v>
      </c>
      <c r="C1425" s="25" t="inlineStr">
        <is>
          <t>PYGELENEKSEL</t>
        </is>
      </c>
      <c r="D1425" s="3" t="n">
        <v>44992</v>
      </c>
      <c r="E1425" s="3" t="n">
        <v>48332</v>
      </c>
      <c r="F1425" s="25"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3" t="n">
        <v>44993</v>
      </c>
      <c r="C1426" s="22" t="inlineStr">
        <is>
          <t>PYGELENEKSEL</t>
        </is>
      </c>
      <c r="D1426" s="23" t="n">
        <v>44994</v>
      </c>
      <c r="E1426" s="23" t="n">
        <v>45371</v>
      </c>
      <c r="F1426" s="22" t="inlineStr">
        <is>
          <t>TRT200324T13</t>
        </is>
      </c>
      <c r="G1426" s="8" t="n">
        <v>367000</v>
      </c>
      <c r="H1426" s="8" t="n">
        <v>98000</v>
      </c>
      <c r="I1426" s="24" t="n">
        <v>105052.74</v>
      </c>
      <c r="J1426" s="24" t="n">
        <v>7.9</v>
      </c>
      <c r="K1426" s="24" t="n">
        <v>7.96</v>
      </c>
      <c r="L1426" s="24" t="n">
        <v>8.15</v>
      </c>
      <c r="M1426" s="24" t="n">
        <v>8.06</v>
      </c>
      <c r="N1426" s="24" t="n">
        <v>8.119999999999999</v>
      </c>
      <c r="O1426" s="24" t="n">
        <v>8.32</v>
      </c>
    </row>
    <row r="1427">
      <c r="A1427" s="11" t="n">
        <v>3157</v>
      </c>
      <c r="B1427" s="3" t="n">
        <v>44993</v>
      </c>
      <c r="C1427" s="25" t="inlineStr">
        <is>
          <t>PYGELENEKSEL</t>
        </is>
      </c>
      <c r="D1427" s="3" t="n">
        <v>44994</v>
      </c>
      <c r="E1427" s="3" t="n">
        <v>46547</v>
      </c>
      <c r="F1427" s="25"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3" t="n">
        <v>44993</v>
      </c>
      <c r="C1428" s="22" t="inlineStr">
        <is>
          <t>PYGELENEKSEL</t>
        </is>
      </c>
      <c r="D1428" s="23" t="n">
        <v>44994</v>
      </c>
      <c r="E1428" s="23" t="n">
        <v>48332</v>
      </c>
      <c r="F1428" s="22" t="inlineStr">
        <is>
          <t>TRT280432T14</t>
        </is>
      </c>
      <c r="G1428" s="8" t="n">
        <v>383000</v>
      </c>
      <c r="H1428" s="8" t="n">
        <v>383000</v>
      </c>
      <c r="I1428" s="24" t="n">
        <v>700972.34</v>
      </c>
      <c r="J1428" s="24" t="n">
        <v>8.83</v>
      </c>
      <c r="K1428" s="24" t="n">
        <v>9.1</v>
      </c>
      <c r="L1428" s="24" t="n">
        <v>9.26</v>
      </c>
      <c r="M1428" s="24" t="n">
        <v>9.02</v>
      </c>
      <c r="N1428" s="24" t="n">
        <v>9.31</v>
      </c>
      <c r="O1428" s="24" t="n">
        <v>9.470000000000001</v>
      </c>
    </row>
    <row r="1429">
      <c r="A1429" s="11" t="n">
        <v>3159</v>
      </c>
      <c r="B1429" s="3" t="n">
        <v>44995</v>
      </c>
      <c r="C1429" s="25" t="inlineStr">
        <is>
          <t>PYGELENEKSEL</t>
        </is>
      </c>
      <c r="D1429" s="3" t="n">
        <v>44998</v>
      </c>
      <c r="E1429" s="3" t="n">
        <v>45497</v>
      </c>
      <c r="F1429" s="25"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3" t="n">
        <v>44995</v>
      </c>
      <c r="C1430" s="22" t="inlineStr">
        <is>
          <t>PYGELENEKSEL</t>
        </is>
      </c>
      <c r="D1430" s="23" t="n">
        <v>44998</v>
      </c>
      <c r="E1430" s="23" t="n">
        <v>46442</v>
      </c>
      <c r="F1430" s="22" t="inlineStr">
        <is>
          <t>TRT240227T17</t>
        </is>
      </c>
      <c r="G1430" s="8" t="n">
        <v>627000</v>
      </c>
      <c r="H1430" s="8" t="n">
        <v>400000</v>
      </c>
      <c r="I1430" s="24" t="n">
        <v>418334.92</v>
      </c>
      <c r="J1430" s="24" t="n">
        <v>9.640000000000001</v>
      </c>
      <c r="K1430" s="24" t="n">
        <v>9.69</v>
      </c>
      <c r="L1430" s="24" t="n">
        <v>9.77</v>
      </c>
      <c r="M1430" s="24" t="n">
        <v>9.869999999999999</v>
      </c>
      <c r="N1430" s="24" t="n">
        <v>9.92</v>
      </c>
      <c r="O1430" s="24" t="n">
        <v>10</v>
      </c>
    </row>
    <row r="1431">
      <c r="A1431" s="11" t="n">
        <v>3161</v>
      </c>
      <c r="B1431" s="3" t="n">
        <v>44995</v>
      </c>
      <c r="C1431" s="25" t="inlineStr">
        <is>
          <t>PYGELENEKSEL</t>
        </is>
      </c>
      <c r="D1431" s="3" t="n">
        <v>44998</v>
      </c>
      <c r="E1431" s="3" t="n">
        <v>48500</v>
      </c>
      <c r="F1431" s="25"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3" t="n">
        <v>44998</v>
      </c>
      <c r="C1432" s="22" t="inlineStr">
        <is>
          <t>PYGELENEKSEL</t>
        </is>
      </c>
      <c r="D1432" s="23" t="n">
        <v>44999</v>
      </c>
      <c r="E1432" s="23" t="n">
        <v>45497</v>
      </c>
      <c r="F1432" s="22" t="inlineStr">
        <is>
          <t>TRT240724T15</t>
        </is>
      </c>
      <c r="G1432" s="8" t="n">
        <v>397000</v>
      </c>
      <c r="H1432" s="8" t="n">
        <v>293000</v>
      </c>
      <c r="I1432" s="24" t="n">
        <v>294991.56</v>
      </c>
      <c r="J1432" s="24" t="n">
        <v>9.31</v>
      </c>
      <c r="K1432" s="24" t="n">
        <v>9.369999999999999</v>
      </c>
      <c r="L1432" s="24" t="n">
        <v>9.529999999999999</v>
      </c>
      <c r="M1432" s="24" t="n">
        <v>9.529999999999999</v>
      </c>
      <c r="N1432" s="24" t="n">
        <v>9.59</v>
      </c>
      <c r="O1432" s="24" t="n">
        <v>9.76</v>
      </c>
    </row>
    <row r="1433">
      <c r="A1433" s="11" t="n">
        <v>3163</v>
      </c>
      <c r="B1433" s="3" t="n">
        <v>44998</v>
      </c>
      <c r="C1433" s="25" t="inlineStr">
        <is>
          <t>PYGELENEKSEL</t>
        </is>
      </c>
      <c r="D1433" s="3" t="n">
        <v>44999</v>
      </c>
      <c r="E1433" s="3" t="n">
        <v>46547</v>
      </c>
      <c r="F1433" s="25"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3" t="n">
        <v>44998</v>
      </c>
      <c r="C1434" s="22" t="inlineStr">
        <is>
          <t>PYGELENEKSEL</t>
        </is>
      </c>
      <c r="D1434" s="23" t="n">
        <v>44999</v>
      </c>
      <c r="E1434" s="23" t="n">
        <v>48500</v>
      </c>
      <c r="F1434" s="22" t="inlineStr">
        <is>
          <t>TRT131032T13</t>
        </is>
      </c>
      <c r="G1434" s="8" t="n">
        <v>397000</v>
      </c>
      <c r="H1434" s="8" t="n">
        <v>377000</v>
      </c>
      <c r="I1434" s="24" t="n">
        <v>382259.79</v>
      </c>
      <c r="J1434" s="24" t="n">
        <v>10.65</v>
      </c>
      <c r="K1434" s="24" t="n">
        <v>10.84</v>
      </c>
      <c r="L1434" s="24" t="n">
        <v>10.92</v>
      </c>
      <c r="M1434" s="24" t="n">
        <v>10.93</v>
      </c>
      <c r="N1434" s="24" t="n">
        <v>11.13</v>
      </c>
      <c r="O1434" s="24" t="n">
        <v>11.21</v>
      </c>
    </row>
    <row r="1435">
      <c r="A1435" s="11" t="n">
        <v>3165</v>
      </c>
      <c r="B1435" s="3" t="n">
        <v>45000</v>
      </c>
      <c r="C1435" s="25" t="inlineStr">
        <is>
          <t>PYGELENEKSEL</t>
        </is>
      </c>
      <c r="D1435" s="3" t="n">
        <v>45001</v>
      </c>
      <c r="E1435" s="3" t="n">
        <v>45399</v>
      </c>
      <c r="F1435" s="25"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3" t="n">
        <v>45000</v>
      </c>
      <c r="C1436" s="22" t="inlineStr">
        <is>
          <t>PYGELENEKSEL</t>
        </is>
      </c>
      <c r="D1436" s="23" t="n">
        <v>45001</v>
      </c>
      <c r="E1436" s="23" t="n">
        <v>46442</v>
      </c>
      <c r="F1436" s="22" t="inlineStr">
        <is>
          <t>TRT240227T17</t>
        </is>
      </c>
      <c r="G1436" s="8" t="n">
        <v>475000</v>
      </c>
      <c r="H1436" s="8" t="n">
        <v>400000</v>
      </c>
      <c r="I1436" s="24" t="n">
        <v>405615.77</v>
      </c>
      <c r="J1436" s="24" t="n">
        <v>10.67</v>
      </c>
      <c r="K1436" s="24" t="n">
        <v>10.7</v>
      </c>
      <c r="L1436" s="24" t="n">
        <v>10.75</v>
      </c>
      <c r="M1436" s="24" t="n">
        <v>10.96</v>
      </c>
      <c r="N1436" s="24" t="n">
        <v>10.99</v>
      </c>
      <c r="O1436" s="24" t="n">
        <v>11.04</v>
      </c>
    </row>
    <row r="1437">
      <c r="A1437" s="11" t="n">
        <v>3167</v>
      </c>
      <c r="B1437" s="3" t="n">
        <v>45000</v>
      </c>
      <c r="C1437" s="25" t="inlineStr">
        <is>
          <t>PYGELENEKSEL</t>
        </is>
      </c>
      <c r="D1437" s="3" t="n">
        <v>45001</v>
      </c>
      <c r="E1437" s="3" t="n">
        <v>48500</v>
      </c>
      <c r="F1437" s="25"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3" t="n">
        <v>45002</v>
      </c>
      <c r="C1438" s="22" t="inlineStr">
        <is>
          <t>PYGELENEKSEL</t>
        </is>
      </c>
      <c r="D1438" s="23" t="n">
        <v>45005</v>
      </c>
      <c r="E1438" s="23" t="n">
        <v>45728</v>
      </c>
      <c r="F1438" s="22" t="inlineStr">
        <is>
          <t>TRT120325T12</t>
        </is>
      </c>
      <c r="G1438" s="8" t="n">
        <v>426000</v>
      </c>
      <c r="H1438" s="8" t="n">
        <v>185000</v>
      </c>
      <c r="I1438" s="24" t="n">
        <v>175982.72</v>
      </c>
      <c r="J1438" s="24" t="n">
        <v>10.81</v>
      </c>
      <c r="K1438" s="24" t="n">
        <v>10.84</v>
      </c>
      <c r="L1438" s="24" t="n">
        <v>11.16</v>
      </c>
      <c r="M1438" s="24" t="n">
        <v>11.1</v>
      </c>
      <c r="N1438" s="24" t="n">
        <v>11.14</v>
      </c>
      <c r="O1438" s="24" t="n">
        <v>11.47</v>
      </c>
    </row>
    <row r="1439">
      <c r="A1439" s="11" t="n">
        <v>3169</v>
      </c>
      <c r="B1439" s="3" t="n">
        <v>45002</v>
      </c>
      <c r="C1439" s="25" t="inlineStr">
        <is>
          <t>PYGELENEKSEL</t>
        </is>
      </c>
      <c r="D1439" s="3" t="n">
        <v>45005</v>
      </c>
      <c r="E1439" s="3" t="n">
        <v>46547</v>
      </c>
      <c r="F1439" s="25"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3" t="n">
        <v>45002</v>
      </c>
      <c r="C1440" s="22" t="inlineStr">
        <is>
          <t>PYGELENEKSEL</t>
        </is>
      </c>
      <c r="D1440" s="23" t="n">
        <v>45005</v>
      </c>
      <c r="E1440" s="23" t="n">
        <v>48332</v>
      </c>
      <c r="F1440" s="22" t="inlineStr">
        <is>
          <t>TRT280432T14</t>
        </is>
      </c>
      <c r="G1440" s="8" t="n">
        <v>440000</v>
      </c>
      <c r="H1440" s="8" t="n">
        <v>400000</v>
      </c>
      <c r="I1440" s="24" t="n">
        <v>674823.1899999999</v>
      </c>
      <c r="J1440" s="24" t="n">
        <v>10.64</v>
      </c>
      <c r="K1440" s="24" t="n">
        <v>10.82</v>
      </c>
      <c r="L1440" s="24" t="n">
        <v>10.94</v>
      </c>
      <c r="M1440" s="24" t="n">
        <v>10.92</v>
      </c>
      <c r="N1440" s="24" t="n">
        <v>11.11</v>
      </c>
      <c r="O1440" s="24" t="n">
        <v>11.24</v>
      </c>
    </row>
    <row r="1441">
      <c r="A1441" s="11" t="n">
        <v>3171</v>
      </c>
      <c r="B1441" s="3" t="n">
        <v>45005</v>
      </c>
      <c r="C1441" s="25" t="inlineStr">
        <is>
          <t>PYGELENEKSEL</t>
        </is>
      </c>
      <c r="D1441" s="3" t="n">
        <v>45006</v>
      </c>
      <c r="E1441" s="3" t="n">
        <v>45728</v>
      </c>
      <c r="F1441" s="25"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3" t="n">
        <v>45005</v>
      </c>
      <c r="C1442" s="22" t="inlineStr">
        <is>
          <t>PYGELENEKSEL</t>
        </is>
      </c>
      <c r="D1442" s="23" t="n">
        <v>45006</v>
      </c>
      <c r="E1442" s="23" t="n">
        <v>46547</v>
      </c>
      <c r="F1442" s="22" t="inlineStr">
        <is>
          <t>TRT090627T12</t>
        </is>
      </c>
      <c r="G1442" s="8" t="n">
        <v>390000</v>
      </c>
      <c r="H1442" s="8" t="n">
        <v>330000</v>
      </c>
      <c r="I1442" s="24" t="n">
        <v>445357.56</v>
      </c>
      <c r="J1442" s="24" t="n">
        <v>10.93</v>
      </c>
      <c r="K1442" s="24" t="n">
        <v>11.22</v>
      </c>
      <c r="L1442" s="24" t="n">
        <v>11.34</v>
      </c>
      <c r="M1442" s="24" t="n">
        <v>11.23</v>
      </c>
      <c r="N1442" s="24" t="n">
        <v>11.53</v>
      </c>
      <c r="O1442" s="24" t="n">
        <v>11.66</v>
      </c>
    </row>
    <row r="1443">
      <c r="A1443" s="11" t="n">
        <v>3173</v>
      </c>
      <c r="B1443" s="3" t="n">
        <v>45005</v>
      </c>
      <c r="C1443" s="25" t="inlineStr">
        <is>
          <t>PYGELENEKSEL</t>
        </is>
      </c>
      <c r="D1443" s="3" t="n">
        <v>45006</v>
      </c>
      <c r="E1443" s="3" t="n">
        <v>48500</v>
      </c>
      <c r="F1443" s="25"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3" t="n">
        <v>45007</v>
      </c>
      <c r="C1444" s="22" t="inlineStr">
        <is>
          <t>PYGELENEKSEL</t>
        </is>
      </c>
      <c r="D1444" s="23" t="n">
        <v>45008</v>
      </c>
      <c r="E1444" s="23" t="n">
        <v>45931</v>
      </c>
      <c r="F1444" s="22" t="inlineStr">
        <is>
          <t>TRT011025T16</t>
        </is>
      </c>
      <c r="G1444" s="8" t="n">
        <v>552000</v>
      </c>
      <c r="H1444" s="8" t="n">
        <v>400000</v>
      </c>
      <c r="I1444" s="24" t="n">
        <v>425825.32</v>
      </c>
      <c r="J1444" s="24" t="n">
        <v>12.05</v>
      </c>
      <c r="K1444" s="24" t="n">
        <v>12.32</v>
      </c>
      <c r="L1444" s="24" t="n">
        <v>12.49</v>
      </c>
      <c r="M1444" s="24" t="n">
        <v>12.42</v>
      </c>
      <c r="N1444" s="24" t="n">
        <v>12.7</v>
      </c>
      <c r="O1444" s="24" t="n">
        <v>12.88</v>
      </c>
    </row>
    <row r="1445">
      <c r="A1445" s="11" t="n">
        <v>3175</v>
      </c>
      <c r="B1445" s="3" t="n">
        <v>45007</v>
      </c>
      <c r="C1445" s="25" t="inlineStr">
        <is>
          <t>PYGELENEKSEL</t>
        </is>
      </c>
      <c r="D1445" s="3" t="n">
        <v>45008</v>
      </c>
      <c r="E1445" s="3" t="n">
        <v>46645</v>
      </c>
      <c r="F1445" s="25"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3" t="n">
        <v>45007</v>
      </c>
      <c r="C1446" s="22" t="inlineStr">
        <is>
          <t>PYGELENEKSEL</t>
        </is>
      </c>
      <c r="D1446" s="23" t="n">
        <v>45008</v>
      </c>
      <c r="E1446" s="23" t="n">
        <v>48500</v>
      </c>
      <c r="F1446" s="22" t="inlineStr">
        <is>
          <t>TRT131032T13</t>
        </is>
      </c>
      <c r="G1446" s="8" t="n">
        <v>390000</v>
      </c>
      <c r="H1446" s="8" t="n">
        <v>372000</v>
      </c>
      <c r="I1446" s="24" t="n">
        <v>359964.61</v>
      </c>
      <c r="J1446" s="24" t="n">
        <v>11.45</v>
      </c>
      <c r="K1446" s="24" t="n">
        <v>11.71</v>
      </c>
      <c r="L1446" s="24" t="n">
        <v>11.81</v>
      </c>
      <c r="M1446" s="24" t="n">
        <v>11.77</v>
      </c>
      <c r="N1446" s="24" t="n">
        <v>12.06</v>
      </c>
      <c r="O1446" s="24" t="n">
        <v>12.16</v>
      </c>
    </row>
    <row r="1447">
      <c r="A1447" s="11" t="n">
        <v>3177</v>
      </c>
      <c r="B1447" s="3" t="n">
        <v>45009</v>
      </c>
      <c r="C1447" s="25" t="inlineStr">
        <is>
          <t>PYGELENEKSEL</t>
        </is>
      </c>
      <c r="D1447" s="3" t="n">
        <v>45012</v>
      </c>
      <c r="E1447" s="3" t="n">
        <v>46064</v>
      </c>
      <c r="F1447" s="25"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3" t="n">
        <v>45009</v>
      </c>
      <c r="C1448" s="22" t="inlineStr">
        <is>
          <t>PYGELENEKSEL</t>
        </is>
      </c>
      <c r="D1448" s="23" t="n">
        <v>45012</v>
      </c>
      <c r="E1448" s="23" t="n">
        <v>46442</v>
      </c>
      <c r="F1448" s="22" t="inlineStr">
        <is>
          <t>TRT240227T17</t>
        </is>
      </c>
      <c r="G1448" s="8" t="n">
        <v>552000</v>
      </c>
      <c r="H1448" s="8" t="n">
        <v>237000</v>
      </c>
      <c r="I1448" s="24" t="n">
        <v>221630.42</v>
      </c>
      <c r="J1448" s="24" t="n">
        <v>13.34</v>
      </c>
      <c r="K1448" s="24" t="n">
        <v>13.44</v>
      </c>
      <c r="L1448" s="24" t="n">
        <v>13.52</v>
      </c>
      <c r="M1448" s="24" t="n">
        <v>13.79</v>
      </c>
      <c r="N1448" s="24" t="n">
        <v>13.89</v>
      </c>
      <c r="O1448" s="24" t="n">
        <v>13.97</v>
      </c>
    </row>
    <row r="1449">
      <c r="A1449" s="11" t="n">
        <v>3179</v>
      </c>
      <c r="B1449" s="3" t="n">
        <v>45009</v>
      </c>
      <c r="C1449" s="25" t="inlineStr">
        <is>
          <t>PYGELENEKSEL</t>
        </is>
      </c>
      <c r="D1449" s="3" t="n">
        <v>45012</v>
      </c>
      <c r="E1449" s="3" t="n">
        <v>48332</v>
      </c>
      <c r="F1449" s="25"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3" t="n">
        <v>45012</v>
      </c>
      <c r="C1450" s="22" t="inlineStr">
        <is>
          <t>PYGELENEKSEL</t>
        </is>
      </c>
      <c r="D1450" s="23" t="n">
        <v>45013</v>
      </c>
      <c r="E1450" s="23" t="n">
        <v>45630</v>
      </c>
      <c r="F1450" s="22" t="inlineStr">
        <is>
          <t>TRT041224T12</t>
        </is>
      </c>
      <c r="G1450" s="8" t="n">
        <v>517000</v>
      </c>
      <c r="H1450" s="8" t="n">
        <v>184000</v>
      </c>
      <c r="I1450" s="24" t="n">
        <v>178159.69</v>
      </c>
      <c r="J1450" s="24" t="n">
        <v>13.27</v>
      </c>
      <c r="K1450" s="24" t="n">
        <v>13.36</v>
      </c>
      <c r="L1450" s="24" t="n">
        <v>13.46</v>
      </c>
      <c r="M1450" s="24" t="n">
        <v>13.71</v>
      </c>
      <c r="N1450" s="24" t="n">
        <v>13.81</v>
      </c>
      <c r="O1450" s="24" t="n">
        <v>13.91</v>
      </c>
    </row>
    <row r="1451">
      <c r="A1451" s="11" t="n">
        <v>3181</v>
      </c>
      <c r="B1451" s="3" t="n">
        <v>45012</v>
      </c>
      <c r="C1451" s="25" t="inlineStr">
        <is>
          <t>PYGELENEKSEL</t>
        </is>
      </c>
      <c r="D1451" s="3" t="n">
        <v>45013</v>
      </c>
      <c r="E1451" s="3" t="n">
        <v>46799</v>
      </c>
      <c r="F1451" s="25"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3" t="n">
        <v>45012</v>
      </c>
      <c r="C1452" s="22" t="inlineStr">
        <is>
          <t>PYGELENEKSEL</t>
        </is>
      </c>
      <c r="D1452" s="23" t="n">
        <v>45013</v>
      </c>
      <c r="E1452" s="23" t="n">
        <v>48500</v>
      </c>
      <c r="F1452" s="22" t="inlineStr">
        <is>
          <t>TRT131032T13</t>
        </is>
      </c>
      <c r="G1452" s="8" t="n">
        <v>553000</v>
      </c>
      <c r="H1452" s="8" t="n">
        <v>500000</v>
      </c>
      <c r="I1452" s="24" t="n">
        <v>489045.13</v>
      </c>
      <c r="J1452" s="24" t="n">
        <v>11.35</v>
      </c>
      <c r="K1452" s="24" t="n">
        <v>11.55</v>
      </c>
      <c r="L1452" s="24" t="n">
        <v>11.67</v>
      </c>
      <c r="M1452" s="24" t="n">
        <v>11.68</v>
      </c>
      <c r="N1452" s="24" t="n">
        <v>11.88</v>
      </c>
      <c r="O1452" s="24" t="n">
        <v>12.01</v>
      </c>
    </row>
    <row r="1453">
      <c r="A1453" s="11" t="n">
        <v>3183</v>
      </c>
      <c r="B1453" s="3" t="n">
        <v>45013</v>
      </c>
      <c r="C1453" s="25" t="inlineStr">
        <is>
          <t>PYGELENEKSEL</t>
        </is>
      </c>
      <c r="D1453" s="3" t="n">
        <v>45014</v>
      </c>
      <c r="E1453" s="3" t="n">
        <v>45630</v>
      </c>
      <c r="F1453" s="25"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3" t="n">
        <v>45013</v>
      </c>
      <c r="C1454" s="22" t="inlineStr">
        <is>
          <t>PYGELENEKSEL</t>
        </is>
      </c>
      <c r="D1454" s="23" t="n">
        <v>45014</v>
      </c>
      <c r="E1454" s="23" t="n">
        <v>46820</v>
      </c>
      <c r="F1454" s="22" t="inlineStr">
        <is>
          <t>TRT080328T15</t>
        </is>
      </c>
      <c r="G1454" s="8" t="n">
        <v>22000</v>
      </c>
      <c r="H1454" s="8" t="n">
        <v>0</v>
      </c>
      <c r="I1454" s="24" t="n">
        <v>0</v>
      </c>
    </row>
    <row r="1455">
      <c r="A1455" s="11" t="n">
        <v>3185</v>
      </c>
      <c r="B1455" s="3" t="n">
        <v>45013</v>
      </c>
      <c r="C1455" s="25" t="inlineStr">
        <is>
          <t>PYGELENEKSEL</t>
        </is>
      </c>
      <c r="D1455" s="3" t="n">
        <v>45014</v>
      </c>
      <c r="E1455" s="3" t="n">
        <v>48332</v>
      </c>
      <c r="F1455" s="25"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3" t="n">
        <v>45014</v>
      </c>
      <c r="C1456" s="22" t="inlineStr">
        <is>
          <t>PYGELENEKSEL</t>
        </is>
      </c>
      <c r="D1456" s="23" t="n">
        <v>45015</v>
      </c>
      <c r="E1456" s="23" t="n">
        <v>45630</v>
      </c>
      <c r="F1456" s="22" t="inlineStr">
        <is>
          <t>TRT041224T12</t>
        </is>
      </c>
      <c r="G1456" s="8" t="n">
        <v>524000</v>
      </c>
      <c r="H1456" s="8" t="n">
        <v>0</v>
      </c>
      <c r="I1456" s="24" t="n">
        <v>0</v>
      </c>
    </row>
    <row r="1457">
      <c r="A1457" s="11" t="n">
        <v>3187</v>
      </c>
      <c r="B1457" s="3" t="n">
        <v>45014</v>
      </c>
      <c r="C1457" s="25" t="inlineStr">
        <is>
          <t>PYGELENEKSEL</t>
        </is>
      </c>
      <c r="D1457" s="3" t="n">
        <v>45015</v>
      </c>
      <c r="E1457" s="3" t="n">
        <v>46442</v>
      </c>
      <c r="F1457" s="25"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3" t="n">
        <v>45014</v>
      </c>
      <c r="C1458" s="22" t="inlineStr">
        <is>
          <t>PYGELENEKSEL</t>
        </is>
      </c>
      <c r="D1458" s="23" t="n">
        <v>45015</v>
      </c>
      <c r="E1458" s="23" t="n">
        <v>48500</v>
      </c>
      <c r="F1458" s="22" t="inlineStr">
        <is>
          <t>TRT131032T13</t>
        </is>
      </c>
      <c r="G1458" s="8" t="n">
        <v>438000</v>
      </c>
      <c r="H1458" s="8" t="n">
        <v>405000</v>
      </c>
      <c r="I1458" s="24" t="n">
        <v>423238.44</v>
      </c>
      <c r="J1458" s="24" t="n">
        <v>10.1</v>
      </c>
      <c r="K1458" s="24" t="n">
        <v>10.38</v>
      </c>
      <c r="L1458" s="24" t="n">
        <v>10.51</v>
      </c>
      <c r="M1458" s="24" t="n">
        <v>10.36</v>
      </c>
      <c r="N1458" s="24" t="n">
        <v>10.65</v>
      </c>
      <c r="O1458" s="24" t="n">
        <v>10.79</v>
      </c>
    </row>
    <row r="1459">
      <c r="A1459" s="11" t="n">
        <v>3189</v>
      </c>
      <c r="B1459" s="3" t="n">
        <v>45015</v>
      </c>
      <c r="C1459" s="25" t="inlineStr">
        <is>
          <t>PYGELENEKSEL</t>
        </is>
      </c>
      <c r="D1459" s="3" t="n">
        <v>45016</v>
      </c>
      <c r="E1459" s="3" t="n">
        <v>45497</v>
      </c>
      <c r="F1459" s="25"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3" t="n">
        <v>45015</v>
      </c>
      <c r="C1460" s="22" t="inlineStr">
        <is>
          <t>PYGELENEKSEL</t>
        </is>
      </c>
      <c r="D1460" s="23" t="n">
        <v>45016</v>
      </c>
      <c r="E1460" s="23" t="n">
        <v>45630</v>
      </c>
      <c r="F1460" s="22" t="inlineStr">
        <is>
          <t>TRT041224T12</t>
        </is>
      </c>
      <c r="G1460" s="8" t="n">
        <v>467000</v>
      </c>
      <c r="H1460" s="8" t="n">
        <v>18000</v>
      </c>
      <c r="I1460" s="24" t="n">
        <v>17786.34</v>
      </c>
      <c r="J1460" s="24" t="n">
        <v>12.05</v>
      </c>
      <c r="K1460" s="24" t="n">
        <v>12.05</v>
      </c>
      <c r="L1460" s="24" t="n">
        <v>12.05</v>
      </c>
      <c r="M1460" s="24" t="n">
        <v>12.41</v>
      </c>
      <c r="N1460" s="24" t="n">
        <v>12.41</v>
      </c>
      <c r="O1460" s="24" t="n">
        <v>12.41</v>
      </c>
    </row>
    <row r="1461">
      <c r="A1461" s="11" t="n">
        <v>3191</v>
      </c>
      <c r="B1461" s="3" t="n">
        <v>45015</v>
      </c>
      <c r="C1461" s="25" t="inlineStr">
        <is>
          <t>PYGELENEKSEL</t>
        </is>
      </c>
      <c r="D1461" s="3" t="n">
        <v>45016</v>
      </c>
      <c r="E1461" s="3" t="n">
        <v>46267</v>
      </c>
      <c r="F1461" s="25"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3" t="n">
        <v>45015</v>
      </c>
      <c r="C1462" s="22" t="inlineStr">
        <is>
          <t>PYGELENEKSEL</t>
        </is>
      </c>
      <c r="D1462" s="23" t="n">
        <v>45016</v>
      </c>
      <c r="E1462" s="23" t="n">
        <v>47800</v>
      </c>
      <c r="F1462" s="22" t="inlineStr">
        <is>
          <t>TRT131130T14</t>
        </is>
      </c>
      <c r="G1462" s="8" t="n">
        <v>449000</v>
      </c>
      <c r="H1462" s="8" t="n">
        <v>400000</v>
      </c>
      <c r="I1462" s="24" t="n">
        <v>459438.47</v>
      </c>
      <c r="J1462" s="24" t="n">
        <v>9.539999999999999</v>
      </c>
      <c r="K1462" s="24" t="n">
        <v>9.68</v>
      </c>
      <c r="L1462" s="24" t="n">
        <v>9.720000000000001</v>
      </c>
      <c r="M1462" s="24" t="n">
        <v>9.77</v>
      </c>
      <c r="N1462" s="24" t="n">
        <v>9.91</v>
      </c>
      <c r="O1462" s="24" t="n">
        <v>9.960000000000001</v>
      </c>
    </row>
    <row r="1463">
      <c r="A1463" s="11" t="n">
        <v>3193</v>
      </c>
      <c r="B1463" s="3" t="n">
        <v>45016</v>
      </c>
      <c r="C1463" s="25" t="inlineStr">
        <is>
          <t>PYGELENEKSEL</t>
        </is>
      </c>
      <c r="D1463" s="3" t="n">
        <v>45019</v>
      </c>
      <c r="E1463" s="3" t="n">
        <v>45497</v>
      </c>
      <c r="F1463" s="25"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3" t="n">
        <v>45016</v>
      </c>
      <c r="C1464" s="22" t="inlineStr">
        <is>
          <t>PYGELENEKSEL</t>
        </is>
      </c>
      <c r="D1464" s="23" t="n">
        <v>45019</v>
      </c>
      <c r="E1464" s="23" t="n">
        <v>45931</v>
      </c>
      <c r="F1464" s="22" t="inlineStr">
        <is>
          <t>TRT011025T16</t>
        </is>
      </c>
      <c r="G1464" s="8" t="n">
        <v>289000</v>
      </c>
      <c r="H1464" s="8" t="n">
        <v>266000</v>
      </c>
      <c r="I1464" s="24" t="n">
        <v>288541.98</v>
      </c>
      <c r="J1464" s="24" t="n">
        <v>11.38</v>
      </c>
      <c r="K1464" s="24" t="n">
        <v>11.54</v>
      </c>
      <c r="L1464" s="24" t="n">
        <v>11.72</v>
      </c>
      <c r="M1464" s="24" t="n">
        <v>11.71</v>
      </c>
      <c r="N1464" s="24" t="n">
        <v>11.87</v>
      </c>
      <c r="O1464" s="24" t="n">
        <v>12.07</v>
      </c>
    </row>
    <row r="1465">
      <c r="A1465" s="11" t="n">
        <v>3195</v>
      </c>
      <c r="B1465" s="3" t="n">
        <v>45016</v>
      </c>
      <c r="C1465" s="25" t="inlineStr">
        <is>
          <t>PYGELENEKSEL</t>
        </is>
      </c>
      <c r="D1465" s="3" t="n">
        <v>45019</v>
      </c>
      <c r="E1465" s="3" t="n">
        <v>46547</v>
      </c>
      <c r="F1465" s="25"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3" t="n">
        <v>45016</v>
      </c>
      <c r="C1466" s="22" t="inlineStr">
        <is>
          <t>PYGELENEKSEL</t>
        </is>
      </c>
      <c r="D1466" s="23" t="n">
        <v>45019</v>
      </c>
      <c r="E1466" s="23" t="n">
        <v>48332</v>
      </c>
      <c r="F1466" s="22" t="inlineStr">
        <is>
          <t>TRT280432T14</t>
        </is>
      </c>
      <c r="G1466" s="8" t="n">
        <v>415000</v>
      </c>
      <c r="H1466" s="8" t="n">
        <v>267000</v>
      </c>
      <c r="I1466" s="24" t="n">
        <v>501869.77</v>
      </c>
      <c r="J1466" s="24" t="n">
        <v>8.48</v>
      </c>
      <c r="K1466" s="24" t="n">
        <v>8.69</v>
      </c>
      <c r="L1466" s="24" t="n">
        <v>9.16</v>
      </c>
      <c r="M1466" s="24" t="n">
        <v>8.66</v>
      </c>
      <c r="N1466" s="24" t="n">
        <v>8.880000000000001</v>
      </c>
      <c r="O1466" s="24" t="n">
        <v>9.369999999999999</v>
      </c>
    </row>
    <row r="1467">
      <c r="A1467" s="11" t="n">
        <v>3197</v>
      </c>
      <c r="B1467" s="3" t="n">
        <v>45019</v>
      </c>
      <c r="C1467" s="25" t="inlineStr">
        <is>
          <t>PYGELENEKSEL</t>
        </is>
      </c>
      <c r="D1467" s="3" t="n">
        <v>45020</v>
      </c>
      <c r="E1467" s="3" t="n">
        <v>45497</v>
      </c>
      <c r="F1467" s="25"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3" t="n">
        <v>45019</v>
      </c>
      <c r="C1468" s="22" t="inlineStr">
        <is>
          <t>PYGELENEKSEL</t>
        </is>
      </c>
      <c r="D1468" s="23" t="n">
        <v>45020</v>
      </c>
      <c r="E1468" s="23" t="n">
        <v>46547</v>
      </c>
      <c r="F1468" s="22" t="inlineStr">
        <is>
          <t>TRT090627T12</t>
        </is>
      </c>
      <c r="G1468" s="8" t="n">
        <v>578000</v>
      </c>
      <c r="H1468" s="8" t="n">
        <v>400000</v>
      </c>
      <c r="I1468" s="24" t="n">
        <v>526607.47</v>
      </c>
      <c r="J1468" s="24" t="n">
        <v>12.09</v>
      </c>
      <c r="K1468" s="24" t="n">
        <v>12.23</v>
      </c>
      <c r="L1468" s="24" t="n">
        <v>12.33</v>
      </c>
      <c r="M1468" s="24" t="n">
        <v>12.46</v>
      </c>
      <c r="N1468" s="24" t="n">
        <v>12.61</v>
      </c>
      <c r="O1468" s="24" t="n">
        <v>12.7</v>
      </c>
    </row>
    <row r="1469">
      <c r="A1469" s="11" t="n">
        <v>3199</v>
      </c>
      <c r="B1469" s="3" t="n">
        <v>45019</v>
      </c>
      <c r="C1469" s="25" t="inlineStr">
        <is>
          <t>PYGELENEKSEL</t>
        </is>
      </c>
      <c r="D1469" s="3" t="n">
        <v>45020</v>
      </c>
      <c r="E1469" s="3" t="n">
        <v>46799</v>
      </c>
      <c r="F1469" s="25"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3" t="n">
        <v>45019</v>
      </c>
      <c r="C1470" s="22" t="inlineStr">
        <is>
          <t>PYGELENEKSEL</t>
        </is>
      </c>
      <c r="D1470" s="23" t="n">
        <v>45020</v>
      </c>
      <c r="E1470" s="23" t="n">
        <v>48500</v>
      </c>
      <c r="F1470" s="22" t="inlineStr">
        <is>
          <t>TRT131032T13</t>
        </is>
      </c>
      <c r="G1470" s="8" t="n">
        <v>329000</v>
      </c>
      <c r="H1470" s="8" t="n">
        <v>329000</v>
      </c>
      <c r="I1470" s="24" t="n">
        <v>353927.26</v>
      </c>
      <c r="J1470" s="24" t="n">
        <v>9.699999999999999</v>
      </c>
      <c r="K1470" s="24" t="n">
        <v>9.91</v>
      </c>
      <c r="L1470" s="24" t="n">
        <v>10.05</v>
      </c>
      <c r="M1470" s="24" t="n">
        <v>9.94</v>
      </c>
      <c r="N1470" s="24" t="n">
        <v>10.15</v>
      </c>
      <c r="O1470" s="24" t="n">
        <v>10.3</v>
      </c>
    </row>
    <row r="1471">
      <c r="A1471" s="11" t="n">
        <v>3201</v>
      </c>
      <c r="B1471" s="3" t="n">
        <v>45020</v>
      </c>
      <c r="C1471" s="25" t="inlineStr">
        <is>
          <t>PYGELENEKSEL</t>
        </is>
      </c>
      <c r="D1471" s="3" t="n">
        <v>45021</v>
      </c>
      <c r="E1471" s="3" t="n">
        <v>45728</v>
      </c>
      <c r="F1471" s="25"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3" t="n">
        <v>45020</v>
      </c>
      <c r="C1472" s="22" t="inlineStr">
        <is>
          <t>PYGELENEKSEL</t>
        </is>
      </c>
      <c r="D1472" s="23" t="n">
        <v>45021</v>
      </c>
      <c r="E1472" s="23" t="n">
        <v>46267</v>
      </c>
      <c r="F1472" s="22" t="inlineStr">
        <is>
          <t>TRT020926T17</t>
        </is>
      </c>
      <c r="G1472" s="8" t="n">
        <v>390000</v>
      </c>
      <c r="H1472" s="8" t="n">
        <v>166000</v>
      </c>
      <c r="I1472" s="24" t="n">
        <v>191249.32</v>
      </c>
      <c r="J1472" s="24" t="n">
        <v>11.81</v>
      </c>
      <c r="K1472" s="24" t="n">
        <v>11.84</v>
      </c>
      <c r="L1472" s="24" t="n">
        <v>11.88</v>
      </c>
      <c r="M1472" s="24" t="n">
        <v>12.15</v>
      </c>
      <c r="N1472" s="24" t="n">
        <v>12.19</v>
      </c>
      <c r="O1472" s="24" t="n">
        <v>12.24</v>
      </c>
    </row>
    <row r="1473">
      <c r="A1473" s="11" t="n">
        <v>3203</v>
      </c>
      <c r="B1473" s="3" t="n">
        <v>45020</v>
      </c>
      <c r="C1473" s="25" t="inlineStr">
        <is>
          <t>PYGELENEKSEL</t>
        </is>
      </c>
      <c r="D1473" s="3" t="n">
        <v>45021</v>
      </c>
      <c r="E1473" s="3" t="n">
        <v>48500</v>
      </c>
      <c r="F1473" s="25"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3" t="n">
        <v>45021</v>
      </c>
      <c r="C1474" s="22" t="inlineStr">
        <is>
          <t>PYGELENEKSEL</t>
        </is>
      </c>
      <c r="D1474" s="23" t="n">
        <v>45022</v>
      </c>
      <c r="E1474" s="23" t="n">
        <v>45371</v>
      </c>
      <c r="F1474" s="22" t="inlineStr">
        <is>
          <t>TRT200324T13</t>
        </is>
      </c>
      <c r="G1474" s="8" t="n">
        <v>244000</v>
      </c>
      <c r="H1474" s="8" t="n">
        <v>150000</v>
      </c>
      <c r="I1474" s="24" t="n">
        <v>145878.58</v>
      </c>
      <c r="J1474" s="24" t="n">
        <v>13.84</v>
      </c>
      <c r="K1474" s="24" t="n">
        <v>14.02</v>
      </c>
      <c r="L1474" s="24" t="n">
        <v>14.15</v>
      </c>
      <c r="M1474" s="24" t="n">
        <v>14.32</v>
      </c>
      <c r="N1474" s="24" t="n">
        <v>14.52</v>
      </c>
      <c r="O1474" s="24" t="n">
        <v>14.65</v>
      </c>
    </row>
    <row r="1475">
      <c r="A1475" s="11" t="n">
        <v>3205</v>
      </c>
      <c r="B1475" s="3" t="n">
        <v>45021</v>
      </c>
      <c r="C1475" s="25" t="inlineStr">
        <is>
          <t>PYGELENEKSEL</t>
        </is>
      </c>
      <c r="D1475" s="3" t="n">
        <v>45022</v>
      </c>
      <c r="E1475" s="3" t="n">
        <v>46547</v>
      </c>
      <c r="F1475" s="25"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3" t="n">
        <v>45021</v>
      </c>
      <c r="C1476" s="22" t="inlineStr">
        <is>
          <t>PYGELENEKSEL</t>
        </is>
      </c>
      <c r="D1476" s="23" t="n">
        <v>45022</v>
      </c>
      <c r="E1476" s="23" t="n">
        <v>48500</v>
      </c>
      <c r="F1476" s="22" t="inlineStr">
        <is>
          <t>TRT131032T13</t>
        </is>
      </c>
      <c r="G1476" s="8" t="n">
        <v>383000</v>
      </c>
      <c r="H1476" s="8" t="n">
        <v>363000</v>
      </c>
      <c r="I1476" s="24" t="n">
        <v>394781.88</v>
      </c>
      <c r="J1476" s="24" t="n">
        <v>9.51</v>
      </c>
      <c r="K1476" s="24" t="n">
        <v>9.73</v>
      </c>
      <c r="L1476" s="24" t="n">
        <v>9.869999999999999</v>
      </c>
      <c r="M1476" s="24" t="n">
        <v>9.74</v>
      </c>
      <c r="N1476" s="24" t="n">
        <v>9.960000000000001</v>
      </c>
      <c r="O1476" s="24" t="n">
        <v>10.11</v>
      </c>
    </row>
    <row r="1477">
      <c r="A1477" s="11" t="n">
        <v>3207</v>
      </c>
      <c r="B1477" s="3" t="n">
        <v>45022</v>
      </c>
      <c r="C1477" s="25" t="inlineStr">
        <is>
          <t>PYGELENEKSEL</t>
        </is>
      </c>
      <c r="D1477" s="3" t="n">
        <v>45023</v>
      </c>
      <c r="E1477" s="3" t="n">
        <v>45630</v>
      </c>
      <c r="F1477" s="25"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3" t="n">
        <v>45022</v>
      </c>
      <c r="C1478" s="22" t="inlineStr">
        <is>
          <t>PYGELENEKSEL</t>
        </is>
      </c>
      <c r="D1478" s="23" t="n">
        <v>45023</v>
      </c>
      <c r="E1478" s="23" t="n">
        <v>46547</v>
      </c>
      <c r="F1478" s="22" t="inlineStr">
        <is>
          <t>TRT090627T12</t>
        </is>
      </c>
      <c r="G1478" s="8" t="n">
        <v>343000</v>
      </c>
      <c r="H1478" s="8" t="n">
        <v>343000</v>
      </c>
      <c r="I1478" s="24" t="n">
        <v>431523.31</v>
      </c>
      <c r="J1478" s="24" t="n">
        <v>13.42</v>
      </c>
      <c r="K1478" s="24" t="n">
        <v>13.89</v>
      </c>
      <c r="L1478" s="24" t="n">
        <v>14.03</v>
      </c>
      <c r="M1478" s="24" t="n">
        <v>13.87</v>
      </c>
      <c r="N1478" s="24" t="n">
        <v>14.37</v>
      </c>
      <c r="O1478" s="24" t="n">
        <v>14.52</v>
      </c>
    </row>
    <row r="1479">
      <c r="A1479" s="11" t="n">
        <v>3209</v>
      </c>
      <c r="B1479" s="3" t="n">
        <v>45022</v>
      </c>
      <c r="C1479" s="25" t="inlineStr">
        <is>
          <t>PYGELENEKSEL</t>
        </is>
      </c>
      <c r="D1479" s="3" t="n">
        <v>45023</v>
      </c>
      <c r="E1479" s="3" t="n">
        <v>47800</v>
      </c>
      <c r="F1479" s="25"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3" t="n">
        <v>45023</v>
      </c>
      <c r="C1480" s="22" t="inlineStr">
        <is>
          <t>PYGELENEKSEL</t>
        </is>
      </c>
      <c r="D1480" s="23" t="n">
        <v>45026</v>
      </c>
      <c r="E1480" s="23" t="n">
        <v>45630</v>
      </c>
      <c r="F1480" s="22" t="inlineStr">
        <is>
          <t>TRT041224T12</t>
        </is>
      </c>
      <c r="G1480" s="8" t="n">
        <v>408000</v>
      </c>
      <c r="H1480" s="8" t="n">
        <v>136000</v>
      </c>
      <c r="I1480" s="24" t="n">
        <v>132337.99</v>
      </c>
      <c r="J1480" s="24" t="n">
        <v>13.27</v>
      </c>
      <c r="K1480" s="24" t="n">
        <v>13.33</v>
      </c>
      <c r="L1480" s="24" t="n">
        <v>13.46</v>
      </c>
      <c r="M1480" s="24" t="n">
        <v>13.71</v>
      </c>
      <c r="N1480" s="24" t="n">
        <v>13.78</v>
      </c>
      <c r="O1480" s="24" t="n">
        <v>13.91</v>
      </c>
    </row>
    <row r="1481">
      <c r="A1481" s="11" t="n">
        <v>3211</v>
      </c>
      <c r="B1481" s="3" t="n">
        <v>45023</v>
      </c>
      <c r="C1481" s="25" t="inlineStr">
        <is>
          <t>PYGELENEKSEL</t>
        </is>
      </c>
      <c r="D1481" s="3" t="n">
        <v>45026</v>
      </c>
      <c r="E1481" s="3" t="n">
        <v>46547</v>
      </c>
      <c r="F1481" s="25"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3" t="n">
        <v>45023</v>
      </c>
      <c r="C1482" s="22" t="inlineStr">
        <is>
          <t>PYGELENEKSEL</t>
        </is>
      </c>
      <c r="D1482" s="23" t="n">
        <v>45026</v>
      </c>
      <c r="E1482" s="23" t="n">
        <v>48500</v>
      </c>
      <c r="F1482" s="22" t="inlineStr">
        <is>
          <t>TRT131032T13</t>
        </is>
      </c>
      <c r="G1482" s="8" t="n">
        <v>324000</v>
      </c>
      <c r="H1482" s="8" t="n">
        <v>214000</v>
      </c>
      <c r="I1482" s="24" t="n">
        <v>230703.48</v>
      </c>
      <c r="J1482" s="24" t="n">
        <v>9.630000000000001</v>
      </c>
      <c r="K1482" s="24" t="n">
        <v>9.890000000000001</v>
      </c>
      <c r="L1482" s="24" t="n">
        <v>9.99</v>
      </c>
      <c r="M1482" s="24" t="n">
        <v>9.859999999999999</v>
      </c>
      <c r="N1482" s="24" t="n">
        <v>10.14</v>
      </c>
      <c r="O1482" s="24" t="n">
        <v>10.24</v>
      </c>
    </row>
    <row r="1483">
      <c r="A1483" s="11" t="n">
        <v>3213</v>
      </c>
      <c r="B1483" s="3" t="n">
        <v>45026</v>
      </c>
      <c r="C1483" s="25" t="inlineStr">
        <is>
          <t>PYGELENEKSEL</t>
        </is>
      </c>
      <c r="D1483" s="3" t="n">
        <v>45027</v>
      </c>
      <c r="E1483" s="3" t="n">
        <v>45497</v>
      </c>
      <c r="F1483" s="25"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3" t="n">
        <v>45026</v>
      </c>
      <c r="C1484" s="22" t="inlineStr">
        <is>
          <t>PYGELENEKSEL</t>
        </is>
      </c>
      <c r="D1484" s="23" t="n">
        <v>45027</v>
      </c>
      <c r="E1484" s="23" t="n">
        <v>46547</v>
      </c>
      <c r="F1484" s="22" t="inlineStr">
        <is>
          <t>TRT090627T12</t>
        </is>
      </c>
      <c r="G1484" s="8" t="n">
        <v>363000</v>
      </c>
      <c r="H1484" s="8" t="n">
        <v>363000</v>
      </c>
      <c r="I1484" s="24" t="n">
        <v>453499.88</v>
      </c>
      <c r="J1484" s="24" t="n">
        <v>14.01</v>
      </c>
      <c r="K1484" s="24" t="n">
        <v>14.18</v>
      </c>
      <c r="L1484" s="24" t="n">
        <v>14.37</v>
      </c>
      <c r="M1484" s="24" t="n">
        <v>14.5</v>
      </c>
      <c r="N1484" s="24" t="n">
        <v>14.69</v>
      </c>
      <c r="O1484" s="24" t="n">
        <v>14.89</v>
      </c>
    </row>
    <row r="1485">
      <c r="A1485" s="11" t="n">
        <v>3215</v>
      </c>
      <c r="B1485" s="3" t="n">
        <v>45026</v>
      </c>
      <c r="C1485" s="25" t="inlineStr">
        <is>
          <t>PYGELENEKSEL</t>
        </is>
      </c>
      <c r="D1485" s="3" t="n">
        <v>45027</v>
      </c>
      <c r="E1485" s="3" t="n">
        <v>48332</v>
      </c>
      <c r="F1485" s="25"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3" t="n">
        <v>45027</v>
      </c>
      <c r="C1486" s="22" t="inlineStr">
        <is>
          <t>PYGELENEKSEL</t>
        </is>
      </c>
      <c r="D1486" s="23" t="n">
        <v>45028</v>
      </c>
      <c r="E1486" s="23" t="n">
        <v>46064</v>
      </c>
      <c r="F1486" s="22" t="inlineStr">
        <is>
          <t>TRT110226T13</t>
        </is>
      </c>
      <c r="G1486" s="8" t="n">
        <v>463000</v>
      </c>
      <c r="H1486" s="8" t="n">
        <v>400000</v>
      </c>
      <c r="I1486" s="24" t="n">
        <v>375652.18</v>
      </c>
      <c r="J1486" s="24" t="n">
        <v>13.87</v>
      </c>
      <c r="K1486" s="24" t="n">
        <v>13.96</v>
      </c>
      <c r="L1486" s="24" t="n">
        <v>14.1</v>
      </c>
      <c r="M1486" s="24" t="n">
        <v>14.35</v>
      </c>
      <c r="N1486" s="24" t="n">
        <v>14.45</v>
      </c>
      <c r="O1486" s="24" t="n">
        <v>14.6</v>
      </c>
    </row>
    <row r="1487">
      <c r="A1487" s="11" t="n">
        <v>3217</v>
      </c>
      <c r="B1487" s="3" t="n">
        <v>45027</v>
      </c>
      <c r="C1487" s="25" t="inlineStr">
        <is>
          <t>PYGELENEKSEL</t>
        </is>
      </c>
      <c r="D1487" s="3" t="n">
        <v>45028</v>
      </c>
      <c r="E1487" s="3" t="n">
        <v>46610</v>
      </c>
      <c r="F1487" s="25"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3" t="n">
        <v>45027</v>
      </c>
      <c r="C1488" s="22" t="inlineStr">
        <is>
          <t>PYGELENEKSEL</t>
        </is>
      </c>
      <c r="D1488" s="23" t="n">
        <v>45028</v>
      </c>
      <c r="E1488" s="23" t="n">
        <v>48332</v>
      </c>
      <c r="F1488" s="22" t="inlineStr">
        <is>
          <t>TRT280432T14</t>
        </is>
      </c>
      <c r="G1488" s="8" t="n">
        <v>342000</v>
      </c>
      <c r="H1488" s="8" t="n">
        <v>320000</v>
      </c>
      <c r="I1488" s="24" t="n">
        <v>574815.24</v>
      </c>
      <c r="J1488" s="24" t="n">
        <v>9.51</v>
      </c>
      <c r="K1488" s="24" t="n">
        <v>9.66</v>
      </c>
      <c r="L1488" s="24" t="n">
        <v>9.699999999999999</v>
      </c>
      <c r="M1488" s="24" t="n">
        <v>9.73</v>
      </c>
      <c r="N1488" s="24" t="n">
        <v>9.890000000000001</v>
      </c>
      <c r="O1488" s="24" t="n">
        <v>9.93</v>
      </c>
    </row>
    <row r="1489">
      <c r="A1489" s="11" t="n">
        <v>3219</v>
      </c>
      <c r="B1489" s="3" t="n">
        <v>45028</v>
      </c>
      <c r="C1489" s="25" t="inlineStr">
        <is>
          <t>PYGELENEKSEL</t>
        </is>
      </c>
      <c r="D1489" s="3" t="n">
        <v>45029</v>
      </c>
      <c r="E1489" s="3" t="n">
        <v>45399</v>
      </c>
      <c r="F1489" s="25"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3" t="n">
        <v>45028</v>
      </c>
      <c r="C1490" s="22" t="inlineStr">
        <is>
          <t>PYGELENEKSEL</t>
        </is>
      </c>
      <c r="D1490" s="23" t="n">
        <v>45029</v>
      </c>
      <c r="E1490" s="23" t="n">
        <v>46547</v>
      </c>
      <c r="F1490" s="22" t="inlineStr">
        <is>
          <t>TRT090627T12</t>
        </is>
      </c>
      <c r="G1490" s="8" t="n">
        <v>403000</v>
      </c>
      <c r="H1490" s="8" t="n">
        <v>377000</v>
      </c>
      <c r="I1490" s="24" t="n">
        <v>456162.84</v>
      </c>
      <c r="J1490" s="24" t="n">
        <v>15.18</v>
      </c>
      <c r="K1490" s="24" t="n">
        <v>15.39</v>
      </c>
      <c r="L1490" s="24" t="n">
        <v>15.73</v>
      </c>
      <c r="M1490" s="24" t="n">
        <v>15.76</v>
      </c>
      <c r="N1490" s="24" t="n">
        <v>15.98</v>
      </c>
      <c r="O1490" s="24" t="n">
        <v>16.35</v>
      </c>
    </row>
    <row r="1491">
      <c r="A1491" s="11" t="n">
        <v>3221</v>
      </c>
      <c r="B1491" s="3" t="n">
        <v>45028</v>
      </c>
      <c r="C1491" s="25" t="inlineStr">
        <is>
          <t>PYGELENEKSEL</t>
        </is>
      </c>
      <c r="D1491" s="3" t="n">
        <v>45029</v>
      </c>
      <c r="E1491" s="3" t="n">
        <v>47800</v>
      </c>
      <c r="F1491" s="25"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3" t="n">
        <v>45029</v>
      </c>
      <c r="C1492" s="22" t="inlineStr">
        <is>
          <t>PYGELENEKSEL</t>
        </is>
      </c>
      <c r="D1492" s="23" t="n">
        <v>45030</v>
      </c>
      <c r="E1492" s="23" t="n">
        <v>45630</v>
      </c>
      <c r="F1492" s="22" t="inlineStr">
        <is>
          <t>TRT041224T12</t>
        </is>
      </c>
      <c r="G1492" s="8" t="n">
        <v>495000</v>
      </c>
      <c r="H1492" s="8" t="n">
        <v>368000</v>
      </c>
      <c r="I1492" s="24" t="n">
        <v>348407.3</v>
      </c>
      <c r="J1492" s="24" t="n">
        <v>15.24</v>
      </c>
      <c r="K1492" s="24" t="n">
        <v>15.36</v>
      </c>
      <c r="L1492" s="24" t="n">
        <v>15.46</v>
      </c>
      <c r="M1492" s="24" t="n">
        <v>15.82</v>
      </c>
      <c r="N1492" s="24" t="n">
        <v>15.95</v>
      </c>
      <c r="O1492" s="24" t="n">
        <v>16.05</v>
      </c>
    </row>
    <row r="1493">
      <c r="A1493" s="11" t="n">
        <v>3223</v>
      </c>
      <c r="B1493" s="3" t="n">
        <v>45029</v>
      </c>
      <c r="C1493" s="25" t="inlineStr">
        <is>
          <t>PYGELENEKSEL</t>
        </is>
      </c>
      <c r="D1493" s="3" t="n">
        <v>45030</v>
      </c>
      <c r="E1493" s="3" t="n">
        <v>46645</v>
      </c>
      <c r="F1493" s="25"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3" t="n">
        <v>45029</v>
      </c>
      <c r="C1494" s="22" t="inlineStr">
        <is>
          <t>PYGELENEKSEL</t>
        </is>
      </c>
      <c r="D1494" s="23" t="n">
        <v>45030</v>
      </c>
      <c r="E1494" s="23" t="n">
        <v>46799</v>
      </c>
      <c r="F1494" s="22" t="inlineStr">
        <is>
          <t>TRT160228T16</t>
        </is>
      </c>
      <c r="G1494" s="8" t="n">
        <v>312000</v>
      </c>
      <c r="H1494" s="8" t="n">
        <v>311000</v>
      </c>
      <c r="I1494" s="24" t="n">
        <v>262385.99</v>
      </c>
      <c r="J1494" s="24" t="n">
        <v>13.88</v>
      </c>
      <c r="K1494" s="24" t="n">
        <v>14.01</v>
      </c>
      <c r="L1494" s="24" t="n">
        <v>14.1</v>
      </c>
      <c r="M1494" s="24" t="n">
        <v>14.36</v>
      </c>
      <c r="N1494" s="24" t="n">
        <v>14.5</v>
      </c>
      <c r="O1494" s="24" t="n">
        <v>14.6</v>
      </c>
    </row>
    <row r="1495">
      <c r="A1495" s="11" t="n">
        <v>3225</v>
      </c>
      <c r="B1495" s="3" t="n">
        <v>45029</v>
      </c>
      <c r="C1495" s="25" t="inlineStr">
        <is>
          <t>PYGELENEKSEL</t>
        </is>
      </c>
      <c r="D1495" s="3" t="n">
        <v>45030</v>
      </c>
      <c r="E1495" s="3" t="n">
        <v>48500</v>
      </c>
      <c r="F1495" s="25"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3" t="n">
        <v>45030</v>
      </c>
      <c r="C1496" s="22" t="inlineStr">
        <is>
          <t>PYGELENEKSEL</t>
        </is>
      </c>
      <c r="D1496" s="23" t="n">
        <v>45033</v>
      </c>
      <c r="E1496" s="23" t="n">
        <v>45630</v>
      </c>
      <c r="F1496" s="22" t="inlineStr">
        <is>
          <t>TRT041224T12</t>
        </is>
      </c>
      <c r="G1496" s="8" t="n">
        <v>528000</v>
      </c>
      <c r="H1496" s="8" t="n">
        <v>329000</v>
      </c>
      <c r="I1496" s="24" t="n">
        <v>314519.06</v>
      </c>
      <c r="J1496" s="24" t="n">
        <v>14.67</v>
      </c>
      <c r="K1496" s="24" t="n">
        <v>14.77</v>
      </c>
      <c r="L1496" s="24" t="n">
        <v>14.96</v>
      </c>
      <c r="M1496" s="24" t="n">
        <v>15.21</v>
      </c>
      <c r="N1496" s="24" t="n">
        <v>15.31</v>
      </c>
      <c r="O1496" s="24" t="n">
        <v>15.52</v>
      </c>
    </row>
    <row r="1497">
      <c r="A1497" s="11" t="n">
        <v>3227</v>
      </c>
      <c r="B1497" s="3" t="n">
        <v>45030</v>
      </c>
      <c r="C1497" s="25" t="inlineStr">
        <is>
          <t>PYGELENEKSEL</t>
        </is>
      </c>
      <c r="D1497" s="3" t="n">
        <v>45033</v>
      </c>
      <c r="E1497" s="3" t="n">
        <v>45931</v>
      </c>
      <c r="F1497" s="25"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3" t="n">
        <v>45030</v>
      </c>
      <c r="C1498" s="22" t="inlineStr">
        <is>
          <t>PYGELENEKSEL</t>
        </is>
      </c>
      <c r="D1498" s="23" t="n">
        <v>45033</v>
      </c>
      <c r="E1498" s="23" t="n">
        <v>46442</v>
      </c>
      <c r="F1498" s="22" t="inlineStr">
        <is>
          <t>TRT240227T17</t>
        </is>
      </c>
      <c r="G1498" s="8" t="n">
        <v>417000</v>
      </c>
      <c r="H1498" s="8" t="n">
        <v>334000</v>
      </c>
      <c r="I1498" s="24" t="n">
        <v>290227.36</v>
      </c>
      <c r="J1498" s="24" t="n">
        <v>16.14</v>
      </c>
      <c r="K1498" s="24" t="n">
        <v>16.19</v>
      </c>
      <c r="L1498" s="24" t="n">
        <v>16.28</v>
      </c>
      <c r="M1498" s="24" t="n">
        <v>16.79</v>
      </c>
      <c r="N1498" s="24" t="n">
        <v>16.84</v>
      </c>
      <c r="O1498" s="24" t="n">
        <v>16.94</v>
      </c>
    </row>
    <row r="1499">
      <c r="A1499" s="11" t="n">
        <v>3229</v>
      </c>
      <c r="B1499" s="3" t="n">
        <v>45030</v>
      </c>
      <c r="C1499" s="25" t="inlineStr">
        <is>
          <t>PYGELENEKSEL</t>
        </is>
      </c>
      <c r="D1499" s="3" t="n">
        <v>45033</v>
      </c>
      <c r="E1499" s="3" t="n">
        <v>46799</v>
      </c>
      <c r="F1499" s="25"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3" t="n">
        <v>45030</v>
      </c>
      <c r="C1500" s="22" t="inlineStr">
        <is>
          <t>PYGELENEKSEL</t>
        </is>
      </c>
      <c r="D1500" s="23" t="n">
        <v>45033</v>
      </c>
      <c r="E1500" s="23" t="n">
        <v>48500</v>
      </c>
      <c r="F1500" s="22" t="inlineStr">
        <is>
          <t>TRT131032T13</t>
        </is>
      </c>
      <c r="G1500" s="8" t="n">
        <v>359000</v>
      </c>
      <c r="H1500" s="8" t="n">
        <v>195000</v>
      </c>
      <c r="I1500" s="24" t="n">
        <v>189375.52</v>
      </c>
      <c r="J1500" s="24" t="n">
        <v>11.73</v>
      </c>
      <c r="K1500" s="24" t="n">
        <v>11.79</v>
      </c>
      <c r="L1500" s="24" t="n">
        <v>11.82</v>
      </c>
      <c r="M1500" s="24" t="n">
        <v>12.07</v>
      </c>
      <c r="N1500" s="24" t="n">
        <v>12.14</v>
      </c>
      <c r="O1500" s="24" t="n">
        <v>12.17</v>
      </c>
    </row>
    <row r="1501">
      <c r="A1501" s="11" t="n">
        <v>3231</v>
      </c>
      <c r="B1501" s="3" t="n">
        <v>45033</v>
      </c>
      <c r="C1501" s="25" t="inlineStr">
        <is>
          <t>PYGELENEKSEL</t>
        </is>
      </c>
      <c r="D1501" s="3" t="n">
        <v>45034</v>
      </c>
      <c r="E1501" s="3" t="n">
        <v>45210</v>
      </c>
      <c r="F1501" s="25"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3" t="n">
        <v>45033</v>
      </c>
      <c r="C1502" s="22" t="inlineStr">
        <is>
          <t>PYGELENEKSEL</t>
        </is>
      </c>
      <c r="D1502" s="23" t="n">
        <v>45034</v>
      </c>
      <c r="E1502" s="23" t="n">
        <v>45931</v>
      </c>
      <c r="F1502" s="22" t="inlineStr">
        <is>
          <t>TRT011025T16</t>
        </is>
      </c>
      <c r="G1502" s="8" t="n">
        <v>349000</v>
      </c>
      <c r="H1502" s="8" t="n">
        <v>230000</v>
      </c>
      <c r="I1502" s="24" t="n">
        <v>222768.91</v>
      </c>
      <c r="J1502" s="24" t="n">
        <v>14.29</v>
      </c>
      <c r="K1502" s="24" t="n">
        <v>14.38</v>
      </c>
      <c r="L1502" s="24" t="n">
        <v>14.43</v>
      </c>
      <c r="M1502" s="24" t="n">
        <v>14.8</v>
      </c>
      <c r="N1502" s="24" t="n">
        <v>14.9</v>
      </c>
      <c r="O1502" s="24" t="n">
        <v>14.95</v>
      </c>
    </row>
    <row r="1503">
      <c r="A1503" s="11" t="n">
        <v>3233</v>
      </c>
      <c r="B1503" s="3" t="n">
        <v>45033</v>
      </c>
      <c r="C1503" s="25" t="inlineStr">
        <is>
          <t>PYGELENEKSEL</t>
        </is>
      </c>
      <c r="D1503" s="3" t="n">
        <v>45034</v>
      </c>
      <c r="E1503" s="3" t="n">
        <v>46064</v>
      </c>
      <c r="F1503" s="25"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3" t="n">
        <v>45033</v>
      </c>
      <c r="C1504" s="22" t="inlineStr">
        <is>
          <t>PYGELENEKSEL</t>
        </is>
      </c>
      <c r="D1504" s="23" t="n">
        <v>45034</v>
      </c>
      <c r="E1504" s="23" t="n">
        <v>46610</v>
      </c>
      <c r="F1504" s="22" t="inlineStr">
        <is>
          <t>TRT110827T16</t>
        </is>
      </c>
      <c r="G1504" s="8" t="n">
        <v>617000</v>
      </c>
      <c r="H1504" s="8" t="n">
        <v>593000</v>
      </c>
      <c r="I1504" s="24" t="n">
        <v>496464.03</v>
      </c>
      <c r="J1504" s="24" t="n">
        <v>16.28</v>
      </c>
      <c r="K1504" s="24" t="n">
        <v>16.48</v>
      </c>
      <c r="L1504" s="24" t="n">
        <v>16.66</v>
      </c>
      <c r="M1504" s="24" t="n">
        <v>16.94</v>
      </c>
      <c r="N1504" s="24" t="n">
        <v>17.16</v>
      </c>
      <c r="O1504" s="24" t="n">
        <v>17.35</v>
      </c>
    </row>
    <row r="1505">
      <c r="A1505" s="11" t="n">
        <v>3235</v>
      </c>
      <c r="B1505" s="3" t="n">
        <v>45033</v>
      </c>
      <c r="C1505" s="25" t="inlineStr">
        <is>
          <t>PYGELENEKSEL</t>
        </is>
      </c>
      <c r="D1505" s="3" t="n">
        <v>45034</v>
      </c>
      <c r="E1505" s="3" t="n">
        <v>46820</v>
      </c>
      <c r="F1505" s="25"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3" t="n">
        <v>45033</v>
      </c>
      <c r="C1506" s="22" t="inlineStr">
        <is>
          <t>PYGELENEKSEL</t>
        </is>
      </c>
      <c r="D1506" s="23" t="n">
        <v>45034</v>
      </c>
      <c r="E1506" s="23" t="n">
        <v>48332</v>
      </c>
      <c r="F1506" s="22" t="inlineStr">
        <is>
          <t>TRT280432T14</t>
        </is>
      </c>
      <c r="G1506" s="8" t="n">
        <v>508000</v>
      </c>
      <c r="H1506" s="8" t="n">
        <v>475000</v>
      </c>
      <c r="I1506" s="24" t="n">
        <v>815213.5600000001</v>
      </c>
      <c r="J1506" s="24" t="n">
        <v>10.54</v>
      </c>
      <c r="K1506" s="24" t="n">
        <v>10.63</v>
      </c>
      <c r="L1506" s="24" t="n">
        <v>10.91</v>
      </c>
      <c r="M1506" s="24" t="n">
        <v>10.82</v>
      </c>
      <c r="N1506" s="24" t="n">
        <v>10.92</v>
      </c>
      <c r="O1506" s="24" t="n">
        <v>11.2</v>
      </c>
    </row>
    <row r="1507">
      <c r="A1507" s="11" t="n">
        <v>3237</v>
      </c>
      <c r="B1507" s="3" t="n">
        <v>45034</v>
      </c>
      <c r="C1507" s="25" t="inlineStr">
        <is>
          <t>PYGELENEKSEL</t>
        </is>
      </c>
      <c r="D1507" s="3" t="n">
        <v>45035</v>
      </c>
      <c r="E1507" s="3" t="n">
        <v>45189</v>
      </c>
      <c r="F1507" s="25"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3" t="n">
        <v>45034</v>
      </c>
      <c r="C1508" s="22" t="inlineStr">
        <is>
          <t>PYGELENEKSEL</t>
        </is>
      </c>
      <c r="D1508" s="23" t="n">
        <v>45035</v>
      </c>
      <c r="E1508" s="23" t="n">
        <v>45273</v>
      </c>
      <c r="F1508" s="22" t="inlineStr">
        <is>
          <t>TRT131223T12</t>
        </is>
      </c>
      <c r="G1508" s="8" t="n">
        <v>159000</v>
      </c>
      <c r="H1508" s="8" t="n">
        <v>114000</v>
      </c>
      <c r="I1508" s="24" t="n">
        <v>101510.77</v>
      </c>
      <c r="J1508" s="24" t="n">
        <v>18.6</v>
      </c>
      <c r="K1508" s="24" t="n">
        <v>18.87</v>
      </c>
      <c r="L1508" s="24" t="n">
        <v>19</v>
      </c>
      <c r="M1508" s="24" t="n">
        <v>19.19</v>
      </c>
      <c r="N1508" s="24" t="n">
        <v>19.48</v>
      </c>
      <c r="O1508" s="24" t="n">
        <v>19.62</v>
      </c>
    </row>
    <row r="1509">
      <c r="A1509" s="11" t="n">
        <v>3239</v>
      </c>
      <c r="B1509" s="3" t="n">
        <v>45034</v>
      </c>
      <c r="C1509" s="25" t="inlineStr">
        <is>
          <t>PYGELENEKSEL</t>
        </is>
      </c>
      <c r="D1509" s="3" t="n">
        <v>45035</v>
      </c>
      <c r="E1509" s="3" t="n">
        <v>45630</v>
      </c>
      <c r="F1509" s="25"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3" t="n">
        <v>45034</v>
      </c>
      <c r="C1510" s="22" t="inlineStr">
        <is>
          <t>PYGELENEKSEL</t>
        </is>
      </c>
      <c r="D1510" s="23" t="n">
        <v>45035</v>
      </c>
      <c r="E1510" s="23" t="n">
        <v>46064</v>
      </c>
      <c r="F1510" s="22" t="inlineStr">
        <is>
          <t>TRT110226T13</t>
        </is>
      </c>
      <c r="G1510" s="8" t="n">
        <v>458000</v>
      </c>
      <c r="H1510" s="8" t="n">
        <v>357000</v>
      </c>
      <c r="I1510" s="24" t="n">
        <v>320554.88</v>
      </c>
      <c r="J1510" s="24" t="n">
        <v>15.88</v>
      </c>
      <c r="K1510" s="24" t="n">
        <v>16.04</v>
      </c>
      <c r="L1510" s="24" t="n">
        <v>16.27</v>
      </c>
      <c r="M1510" s="24" t="n">
        <v>16.51</v>
      </c>
      <c r="N1510" s="24" t="n">
        <v>16.68</v>
      </c>
      <c r="O1510" s="24" t="n">
        <v>16.93</v>
      </c>
    </row>
    <row r="1511">
      <c r="A1511" s="11" t="n">
        <v>3241</v>
      </c>
      <c r="B1511" s="3" t="n">
        <v>45034</v>
      </c>
      <c r="C1511" s="25" t="inlineStr">
        <is>
          <t>PYGELENEKSEL</t>
        </is>
      </c>
      <c r="D1511" s="3" t="n">
        <v>45035</v>
      </c>
      <c r="E1511" s="3" t="n">
        <v>46547</v>
      </c>
      <c r="F1511" s="25"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3" t="n">
        <v>45034</v>
      </c>
      <c r="C1512" s="22" t="inlineStr">
        <is>
          <t>PYGELENEKSEL</t>
        </is>
      </c>
      <c r="D1512" s="23" t="n">
        <v>45035</v>
      </c>
      <c r="E1512" s="23" t="n">
        <v>48332</v>
      </c>
      <c r="F1512" s="22" t="inlineStr">
        <is>
          <t>TRT280432T14</t>
        </is>
      </c>
      <c r="G1512" s="8" t="n">
        <v>519000</v>
      </c>
      <c r="H1512" s="8" t="n">
        <v>519000</v>
      </c>
      <c r="I1512" s="24" t="n">
        <v>884324.67</v>
      </c>
      <c r="J1512" s="24" t="n">
        <v>10.55</v>
      </c>
      <c r="K1512" s="24" t="n">
        <v>10.8</v>
      </c>
      <c r="L1512" s="24" t="n">
        <v>10.97</v>
      </c>
      <c r="M1512" s="24" t="n">
        <v>10.82</v>
      </c>
      <c r="N1512" s="24" t="n">
        <v>11.09</v>
      </c>
      <c r="O1512" s="24" t="n">
        <v>11.27</v>
      </c>
    </row>
    <row r="1513">
      <c r="A1513" s="11" t="n">
        <v>3243</v>
      </c>
      <c r="B1513" s="3" t="n">
        <v>45035</v>
      </c>
      <c r="C1513" s="25" t="inlineStr">
        <is>
          <t>GELENEKSEL</t>
        </is>
      </c>
      <c r="D1513" s="3" t="n">
        <v>45036</v>
      </c>
      <c r="E1513" s="3" t="n">
        <v>45273</v>
      </c>
      <c r="F1513" s="25"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3" t="n">
        <v>45035</v>
      </c>
      <c r="C1514" s="22" t="inlineStr">
        <is>
          <t>GELENEKSEL</t>
        </is>
      </c>
      <c r="D1514" s="23" t="n">
        <v>45036</v>
      </c>
      <c r="E1514" s="23" t="n">
        <v>45399</v>
      </c>
      <c r="F1514" s="22" t="inlineStr">
        <is>
          <t>TRT170424T17</t>
        </is>
      </c>
      <c r="G1514" s="8" t="n">
        <v>760000</v>
      </c>
      <c r="H1514" s="8" t="n">
        <v>151000</v>
      </c>
      <c r="I1514" s="24" t="n">
        <v>160721</v>
      </c>
      <c r="J1514" s="24" t="n">
        <v>13.71</v>
      </c>
      <c r="K1514" s="24" t="n">
        <v>13.84</v>
      </c>
      <c r="L1514" s="24" t="n">
        <v>13.84</v>
      </c>
      <c r="M1514" s="24" t="n">
        <v>14.18</v>
      </c>
      <c r="N1514" s="24" t="n">
        <v>14.32</v>
      </c>
      <c r="O1514" s="24" t="n">
        <v>14.32</v>
      </c>
    </row>
    <row r="1515">
      <c r="A1515" s="11" t="n">
        <v>3245</v>
      </c>
      <c r="B1515" s="3" t="n">
        <v>45035</v>
      </c>
      <c r="C1515" s="25" t="inlineStr">
        <is>
          <t>GELENEKSEL</t>
        </is>
      </c>
      <c r="D1515" s="3" t="n">
        <v>45036</v>
      </c>
      <c r="E1515" s="3" t="n">
        <v>45497</v>
      </c>
      <c r="F1515" s="25"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3" t="n">
        <v>45035</v>
      </c>
      <c r="C1516" s="22" t="inlineStr">
        <is>
          <t>PYGELENEKSEL</t>
        </is>
      </c>
      <c r="D1516" s="23" t="n">
        <v>45036</v>
      </c>
      <c r="E1516" s="23" t="n">
        <v>46547</v>
      </c>
      <c r="F1516" s="22" t="inlineStr">
        <is>
          <t>TRT090627T12</t>
        </is>
      </c>
      <c r="G1516" s="8" t="n">
        <v>665000</v>
      </c>
      <c r="H1516" s="8" t="n">
        <v>492000</v>
      </c>
      <c r="I1516" s="24" t="n">
        <v>566222.75</v>
      </c>
      <c r="J1516" s="24" t="n">
        <v>17.06</v>
      </c>
      <c r="K1516" s="24" t="n">
        <v>17.37</v>
      </c>
      <c r="L1516" s="24" t="n">
        <v>17.54</v>
      </c>
      <c r="M1516" s="24" t="n">
        <v>17.79</v>
      </c>
      <c r="N1516" s="24" t="n">
        <v>18.13</v>
      </c>
      <c r="O1516" s="24" t="n">
        <v>18.31</v>
      </c>
    </row>
    <row r="1517">
      <c r="A1517" s="11" t="n">
        <v>3247</v>
      </c>
      <c r="B1517" s="3" t="n">
        <v>45035</v>
      </c>
      <c r="C1517" s="25" t="inlineStr">
        <is>
          <t>PYGELENEKSEL</t>
        </is>
      </c>
      <c r="D1517" s="3" t="n">
        <v>45036</v>
      </c>
      <c r="E1517" s="3" t="n">
        <v>48500</v>
      </c>
      <c r="F1517" s="25"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3" t="n">
        <v>45040</v>
      </c>
      <c r="C1518" s="22" t="inlineStr">
        <is>
          <t>PYGELENEKSEL</t>
        </is>
      </c>
      <c r="D1518" s="23" t="n">
        <v>45041</v>
      </c>
      <c r="E1518" s="23" t="n">
        <v>45189</v>
      </c>
      <c r="F1518" s="22" t="inlineStr">
        <is>
          <t>TRT200923T18</t>
        </is>
      </c>
      <c r="G1518" s="8" t="n">
        <v>611000</v>
      </c>
      <c r="H1518" s="8" t="n">
        <v>600000</v>
      </c>
      <c r="I1518" s="24" t="n">
        <v>607381.8199999999</v>
      </c>
      <c r="J1518" s="24" t="n">
        <v>17.26</v>
      </c>
      <c r="K1518" s="24" t="n">
        <v>17.95</v>
      </c>
      <c r="L1518" s="24" t="n">
        <v>18.28</v>
      </c>
      <c r="M1518" s="24" t="n">
        <v>18.15</v>
      </c>
      <c r="N1518" s="24" t="n">
        <v>18.92</v>
      </c>
      <c r="O1518" s="24" t="n">
        <v>19.28</v>
      </c>
    </row>
    <row r="1519">
      <c r="A1519" s="11" t="n">
        <v>3249</v>
      </c>
      <c r="B1519" s="3" t="n">
        <v>45040</v>
      </c>
      <c r="C1519" s="25" t="inlineStr">
        <is>
          <t>PYGELENEKSEL</t>
        </is>
      </c>
      <c r="D1519" s="3" t="n">
        <v>45041</v>
      </c>
      <c r="E1519" s="3" t="n">
        <v>45630</v>
      </c>
      <c r="F1519" s="25"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3" t="n">
        <v>45040</v>
      </c>
      <c r="C1520" s="22" t="inlineStr">
        <is>
          <t>PYGELENEKSEL</t>
        </is>
      </c>
      <c r="D1520" s="23" t="n">
        <v>45041</v>
      </c>
      <c r="E1520" s="23" t="n">
        <v>46547</v>
      </c>
      <c r="F1520" s="22" t="inlineStr">
        <is>
          <t>TRT090627T12</t>
        </is>
      </c>
      <c r="G1520" s="8" t="n">
        <v>831000</v>
      </c>
      <c r="H1520" s="8" t="n">
        <v>600000</v>
      </c>
      <c r="I1520" s="24" t="n">
        <v>682584.74</v>
      </c>
      <c r="J1520" s="24" t="n">
        <v>17.72</v>
      </c>
      <c r="K1520" s="24" t="n">
        <v>17.9</v>
      </c>
      <c r="L1520" s="24" t="n">
        <v>18.07</v>
      </c>
      <c r="M1520" s="24" t="n">
        <v>18.5</v>
      </c>
      <c r="N1520" s="24" t="n">
        <v>18.7</v>
      </c>
      <c r="O1520" s="24" t="n">
        <v>18.89</v>
      </c>
    </row>
    <row r="1521">
      <c r="A1521" s="11" t="n">
        <v>3251</v>
      </c>
      <c r="B1521" s="3" t="n">
        <v>45040</v>
      </c>
      <c r="C1521" s="25" t="inlineStr">
        <is>
          <t>PYGELENEKSEL</t>
        </is>
      </c>
      <c r="D1521" s="3" t="n">
        <v>45041</v>
      </c>
      <c r="E1521" s="3" t="n">
        <v>46799</v>
      </c>
      <c r="F1521" s="25"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3" t="n">
        <v>45040</v>
      </c>
      <c r="C1522" s="22" t="inlineStr">
        <is>
          <t>PYGELENEKSEL</t>
        </is>
      </c>
      <c r="D1522" s="23" t="n">
        <v>45041</v>
      </c>
      <c r="E1522" s="23" t="n">
        <v>48500</v>
      </c>
      <c r="F1522" s="22" t="inlineStr">
        <is>
          <t>TRT131032T13</t>
        </is>
      </c>
      <c r="G1522" s="8" t="n">
        <v>166000</v>
      </c>
      <c r="H1522" s="8" t="n">
        <v>83000</v>
      </c>
      <c r="I1522" s="24" t="n">
        <v>81793.82000000001</v>
      </c>
      <c r="J1522" s="24" t="n">
        <v>11.45</v>
      </c>
      <c r="K1522" s="24" t="n">
        <v>11.56</v>
      </c>
      <c r="L1522" s="24" t="n">
        <v>11.63</v>
      </c>
      <c r="M1522" s="24" t="n">
        <v>11.78</v>
      </c>
      <c r="N1522" s="24" t="n">
        <v>11.9</v>
      </c>
      <c r="O1522" s="24" t="n">
        <v>11.97</v>
      </c>
    </row>
    <row r="1523">
      <c r="A1523" s="11" t="n">
        <v>3253</v>
      </c>
      <c r="B1523" s="3" t="n">
        <v>45041</v>
      </c>
      <c r="C1523" s="25" t="inlineStr">
        <is>
          <t>PYGELENEKSEL</t>
        </is>
      </c>
      <c r="D1523" s="3" t="n">
        <v>45042</v>
      </c>
      <c r="E1523" s="3" t="n">
        <v>45196</v>
      </c>
      <c r="F1523" s="25"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3" t="n">
        <v>45041</v>
      </c>
      <c r="C1524" s="22" t="inlineStr">
        <is>
          <t>PYGELENEKSEL</t>
        </is>
      </c>
      <c r="D1524" s="23" t="n">
        <v>45042</v>
      </c>
      <c r="E1524" s="23" t="n">
        <v>45630</v>
      </c>
      <c r="F1524" s="22" t="inlineStr">
        <is>
          <t>TRT041224T12</t>
        </is>
      </c>
      <c r="G1524" s="8" t="n">
        <v>112000</v>
      </c>
      <c r="H1524" s="8" t="n">
        <v>78000</v>
      </c>
      <c r="I1524" s="24" t="n">
        <v>76280.09</v>
      </c>
      <c r="J1524" s="24" t="n">
        <v>13.3</v>
      </c>
      <c r="K1524" s="24" t="n">
        <v>13.36</v>
      </c>
      <c r="L1524" s="24" t="n">
        <v>13.49</v>
      </c>
      <c r="M1524" s="24" t="n">
        <v>13.74</v>
      </c>
      <c r="N1524" s="24" t="n">
        <v>13.81</v>
      </c>
      <c r="O1524" s="24" t="n">
        <v>13.94</v>
      </c>
    </row>
    <row r="1525">
      <c r="A1525" s="11" t="n">
        <v>3255</v>
      </c>
      <c r="B1525" s="3" t="n">
        <v>45041</v>
      </c>
      <c r="C1525" s="25" t="inlineStr">
        <is>
          <t>PYGELENEKSEL</t>
        </is>
      </c>
      <c r="D1525" s="3" t="n">
        <v>45042</v>
      </c>
      <c r="E1525" s="3" t="n">
        <v>46547</v>
      </c>
      <c r="F1525" s="25"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3" t="n">
        <v>45041</v>
      </c>
      <c r="C1526" s="22" t="inlineStr">
        <is>
          <t>PYGELENEKSEL</t>
        </is>
      </c>
      <c r="D1526" s="23" t="n">
        <v>45042</v>
      </c>
      <c r="E1526" s="23" t="n">
        <v>46799</v>
      </c>
      <c r="F1526" s="22" t="inlineStr">
        <is>
          <t>TRT160228T16</t>
        </is>
      </c>
      <c r="G1526" s="8" t="n">
        <v>390000</v>
      </c>
      <c r="H1526" s="8" t="n">
        <v>100000</v>
      </c>
      <c r="I1526" s="24" t="n">
        <v>77200</v>
      </c>
      <c r="J1526" s="24" t="n">
        <v>16.63</v>
      </c>
      <c r="K1526" s="24" t="n">
        <v>16.63</v>
      </c>
      <c r="L1526" s="24" t="n">
        <v>16.63</v>
      </c>
      <c r="M1526" s="24" t="n">
        <v>17.32</v>
      </c>
      <c r="N1526" s="24" t="n">
        <v>17.32</v>
      </c>
      <c r="O1526" s="24" t="n">
        <v>17.32</v>
      </c>
    </row>
    <row r="1527">
      <c r="A1527" s="11" t="n">
        <v>3257</v>
      </c>
      <c r="B1527" s="3" t="n">
        <v>45041</v>
      </c>
      <c r="C1527" s="25" t="inlineStr">
        <is>
          <t>PYGELENEKSEL</t>
        </is>
      </c>
      <c r="D1527" s="3" t="n">
        <v>45042</v>
      </c>
      <c r="E1527" s="3" t="n">
        <v>47800</v>
      </c>
      <c r="F1527" s="25"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3" t="n">
        <v>45042</v>
      </c>
      <c r="C1528" s="22" t="inlineStr">
        <is>
          <t>PYGELENEKSEL</t>
        </is>
      </c>
      <c r="D1528" s="23" t="n">
        <v>45043</v>
      </c>
      <c r="E1528" s="23" t="n">
        <v>45189</v>
      </c>
      <c r="F1528" s="22" t="inlineStr">
        <is>
          <t>TRT200923T18</t>
        </is>
      </c>
      <c r="G1528" s="8" t="n">
        <v>197000</v>
      </c>
      <c r="H1528" s="8" t="n">
        <v>67000</v>
      </c>
      <c r="I1528" s="24" t="n">
        <v>67838.17</v>
      </c>
      <c r="J1528" s="24" t="n">
        <v>18.15</v>
      </c>
      <c r="K1528" s="24" t="n">
        <v>18.15</v>
      </c>
      <c r="L1528" s="24" t="n">
        <v>18.15</v>
      </c>
      <c r="M1528" s="24" t="n">
        <v>19.15</v>
      </c>
      <c r="N1528" s="24" t="n">
        <v>19.15</v>
      </c>
      <c r="O1528" s="24" t="n">
        <v>19.15</v>
      </c>
    </row>
    <row r="1529">
      <c r="A1529" s="11" t="n">
        <v>3259</v>
      </c>
      <c r="B1529" s="3" t="n">
        <v>45042</v>
      </c>
      <c r="C1529" s="25" t="inlineStr">
        <is>
          <t>PYGELENEKSEL</t>
        </is>
      </c>
      <c r="D1529" s="3" t="n">
        <v>45043</v>
      </c>
      <c r="E1529" s="3" t="n">
        <v>45630</v>
      </c>
      <c r="F1529" s="25"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3" t="n">
        <v>45042</v>
      </c>
      <c r="C1530" s="22" t="inlineStr">
        <is>
          <t>PYGELENEKSEL</t>
        </is>
      </c>
      <c r="D1530" s="23" t="n">
        <v>45043</v>
      </c>
      <c r="E1530" s="23" t="n">
        <v>45728</v>
      </c>
      <c r="F1530" s="22" t="inlineStr">
        <is>
          <t>TRT120325T12</t>
        </is>
      </c>
      <c r="G1530" s="8" t="n">
        <v>287000</v>
      </c>
      <c r="H1530" s="8" t="n">
        <v>122000</v>
      </c>
      <c r="I1530" s="24" t="n">
        <v>105800.97</v>
      </c>
      <c r="J1530" s="24" t="n">
        <v>17.12</v>
      </c>
      <c r="K1530" s="24" t="n">
        <v>17.12</v>
      </c>
      <c r="L1530" s="24" t="n">
        <v>17.12</v>
      </c>
      <c r="M1530" s="24" t="n">
        <v>17.86</v>
      </c>
      <c r="N1530" s="24" t="n">
        <v>17.86</v>
      </c>
      <c r="O1530" s="24" t="n">
        <v>17.86</v>
      </c>
    </row>
    <row r="1531">
      <c r="A1531" s="11" t="n">
        <v>3261</v>
      </c>
      <c r="B1531" s="3" t="n">
        <v>45042</v>
      </c>
      <c r="C1531" s="25" t="inlineStr">
        <is>
          <t>PYGELENEKSEL</t>
        </is>
      </c>
      <c r="D1531" s="3" t="n">
        <v>45043</v>
      </c>
      <c r="E1531" s="3" t="n">
        <v>46547</v>
      </c>
      <c r="F1531" s="25"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3" t="n">
        <v>45042</v>
      </c>
      <c r="C1532" s="22" t="inlineStr">
        <is>
          <t>PYGELENEKSEL</t>
        </is>
      </c>
      <c r="D1532" s="23" t="n">
        <v>45043</v>
      </c>
      <c r="E1532" s="23" t="n">
        <v>46799</v>
      </c>
      <c r="F1532" s="22" t="inlineStr">
        <is>
          <t>TRT160228T16</t>
        </is>
      </c>
      <c r="G1532" s="8" t="n">
        <v>467000</v>
      </c>
      <c r="H1532" s="8" t="n">
        <v>359000</v>
      </c>
      <c r="I1532" s="24" t="n">
        <v>278665</v>
      </c>
      <c r="J1532" s="24" t="n">
        <v>16.35</v>
      </c>
      <c r="K1532" s="24" t="n">
        <v>16.49</v>
      </c>
      <c r="L1532" s="24" t="n">
        <v>16.6</v>
      </c>
      <c r="M1532" s="24" t="n">
        <v>17.02</v>
      </c>
      <c r="N1532" s="24" t="n">
        <v>17.17</v>
      </c>
      <c r="O1532" s="24" t="n">
        <v>17.29</v>
      </c>
    </row>
    <row r="1533">
      <c r="A1533" s="11" t="n">
        <v>3263</v>
      </c>
      <c r="B1533" s="3" t="n">
        <v>45042</v>
      </c>
      <c r="C1533" s="25" t="inlineStr">
        <is>
          <t>PYGELENEKSEL</t>
        </is>
      </c>
      <c r="D1533" s="3" t="n">
        <v>45043</v>
      </c>
      <c r="E1533" s="3" t="n">
        <v>47800</v>
      </c>
      <c r="F1533" s="25"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3" t="n">
        <v>45043</v>
      </c>
      <c r="C1534" s="22" t="inlineStr">
        <is>
          <t>PYGELENEKSEL</t>
        </is>
      </c>
      <c r="D1534" s="23" t="n">
        <v>45044</v>
      </c>
      <c r="E1534" s="23" t="n">
        <v>45189</v>
      </c>
      <c r="F1534" s="22" t="inlineStr">
        <is>
          <t>TRT200923T18</t>
        </is>
      </c>
      <c r="G1534" s="8" t="n">
        <v>300000</v>
      </c>
      <c r="H1534" s="8" t="n">
        <v>90000</v>
      </c>
      <c r="I1534" s="24" t="n">
        <v>91280.7</v>
      </c>
      <c r="J1534" s="24" t="n">
        <v>17.75</v>
      </c>
      <c r="K1534" s="24" t="n">
        <v>17.81</v>
      </c>
      <c r="L1534" s="24" t="n">
        <v>17.88</v>
      </c>
      <c r="M1534" s="24" t="n">
        <v>18.71</v>
      </c>
      <c r="N1534" s="24" t="n">
        <v>18.78</v>
      </c>
      <c r="O1534" s="24" t="n">
        <v>18.85</v>
      </c>
    </row>
    <row r="1535">
      <c r="A1535" s="11" t="n">
        <v>3265</v>
      </c>
      <c r="B1535" s="3" t="n">
        <v>45043</v>
      </c>
      <c r="C1535" s="25" t="inlineStr">
        <is>
          <t>PYGELENEKSEL</t>
        </is>
      </c>
      <c r="D1535" s="3" t="n">
        <v>45044</v>
      </c>
      <c r="E1535" s="3" t="n">
        <v>45728</v>
      </c>
      <c r="F1535" s="25"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3" t="n">
        <v>45043</v>
      </c>
      <c r="C1536" s="22" t="inlineStr">
        <is>
          <t>PYGELENEKSEL</t>
        </is>
      </c>
      <c r="D1536" s="23" t="n">
        <v>45044</v>
      </c>
      <c r="E1536" s="23" t="n">
        <v>46547</v>
      </c>
      <c r="F1536" s="22" t="inlineStr">
        <is>
          <t>TRT090627T12</t>
        </is>
      </c>
      <c r="G1536" s="8" t="n">
        <v>563000</v>
      </c>
      <c r="H1536" s="8" t="n">
        <v>509000</v>
      </c>
      <c r="I1536" s="24" t="n">
        <v>578025.26</v>
      </c>
      <c r="J1536" s="24" t="n">
        <v>17.87</v>
      </c>
      <c r="K1536" s="24" t="n">
        <v>18.03</v>
      </c>
      <c r="L1536" s="24" t="n">
        <v>18.18</v>
      </c>
      <c r="M1536" s="24" t="n">
        <v>18.67</v>
      </c>
      <c r="N1536" s="24" t="n">
        <v>18.84</v>
      </c>
      <c r="O1536" s="24" t="n">
        <v>19.01</v>
      </c>
    </row>
    <row r="1537">
      <c r="A1537" s="11" t="n">
        <v>3267</v>
      </c>
      <c r="B1537" s="3" t="n">
        <v>45043</v>
      </c>
      <c r="C1537" s="25" t="inlineStr">
        <is>
          <t>PYGELENEKSEL</t>
        </is>
      </c>
      <c r="D1537" s="3" t="n">
        <v>45044</v>
      </c>
      <c r="E1537" s="3" t="n">
        <v>46645</v>
      </c>
      <c r="F1537" s="25"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3" t="n">
        <v>45043</v>
      </c>
      <c r="C1538" s="22" t="inlineStr">
        <is>
          <t>PYGELENEKSEL</t>
        </is>
      </c>
      <c r="D1538" s="23" t="n">
        <v>45044</v>
      </c>
      <c r="E1538" s="23" t="n">
        <v>47800</v>
      </c>
      <c r="F1538" s="22" t="inlineStr">
        <is>
          <t>TRT131130T14</t>
        </is>
      </c>
      <c r="G1538" s="8" t="n">
        <v>433000</v>
      </c>
      <c r="H1538" s="8" t="n">
        <v>333000</v>
      </c>
      <c r="I1538" s="24" t="n">
        <v>311347.75</v>
      </c>
      <c r="J1538" s="24" t="n">
        <v>14</v>
      </c>
      <c r="K1538" s="24" t="n">
        <v>14.23</v>
      </c>
      <c r="L1538" s="24" t="n">
        <v>14.44</v>
      </c>
      <c r="M1538" s="24" t="n">
        <v>14.5</v>
      </c>
      <c r="N1538" s="24" t="n">
        <v>14.74</v>
      </c>
      <c r="O1538" s="24" t="n">
        <v>14.96</v>
      </c>
    </row>
    <row r="1539">
      <c r="A1539" s="11" t="n">
        <v>3269</v>
      </c>
      <c r="B1539" s="3" t="n">
        <v>45044</v>
      </c>
      <c r="C1539" s="25" t="inlineStr">
        <is>
          <t>PYGELENEKSEL</t>
        </is>
      </c>
      <c r="D1539" s="3" t="n">
        <v>45048</v>
      </c>
      <c r="E1539" s="3" t="n">
        <v>45399</v>
      </c>
      <c r="F1539" s="25"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3" t="n">
        <v>45044</v>
      </c>
      <c r="C1540" s="22" t="inlineStr">
        <is>
          <t>PYGELENEKSEL</t>
        </is>
      </c>
      <c r="D1540" s="23" t="n">
        <v>45048</v>
      </c>
      <c r="E1540" s="23" t="n">
        <v>45630</v>
      </c>
      <c r="F1540" s="22" t="inlineStr">
        <is>
          <t>TRT041224T12</t>
        </is>
      </c>
      <c r="G1540" s="8" t="n">
        <v>132000</v>
      </c>
      <c r="H1540" s="8" t="n">
        <v>109000</v>
      </c>
      <c r="I1540" s="24" t="n">
        <v>103455.08</v>
      </c>
      <c r="J1540" s="24" t="n">
        <v>15.55</v>
      </c>
      <c r="K1540" s="24" t="n">
        <v>15.74</v>
      </c>
      <c r="L1540" s="24" t="n">
        <v>15.86</v>
      </c>
      <c r="M1540" s="24" t="n">
        <v>16.15</v>
      </c>
      <c r="N1540" s="24" t="n">
        <v>16.36</v>
      </c>
      <c r="O1540" s="24" t="n">
        <v>16.49</v>
      </c>
    </row>
    <row r="1541">
      <c r="A1541" s="11" t="n">
        <v>3271</v>
      </c>
      <c r="B1541" s="3" t="n">
        <v>45044</v>
      </c>
      <c r="C1541" s="25" t="inlineStr">
        <is>
          <t>PYGELENEKSEL</t>
        </is>
      </c>
      <c r="D1541" s="3" t="n">
        <v>45048</v>
      </c>
      <c r="E1541" s="3" t="n">
        <v>46610</v>
      </c>
      <c r="F1541" s="25"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3" t="n">
        <v>45044</v>
      </c>
      <c r="C1542" s="22" t="inlineStr">
        <is>
          <t>PYGELENEKSEL</t>
        </is>
      </c>
      <c r="D1542" s="23" t="n">
        <v>45048</v>
      </c>
      <c r="E1542" s="23" t="n">
        <v>46645</v>
      </c>
      <c r="F1542" s="22" t="inlineStr">
        <is>
          <t>TRT150927T11</t>
        </is>
      </c>
      <c r="G1542" s="8" t="n">
        <v>596000</v>
      </c>
      <c r="H1542" s="8" t="n">
        <v>596000</v>
      </c>
      <c r="I1542" s="24" t="n">
        <v>479981.8</v>
      </c>
      <c r="J1542" s="24" t="n">
        <v>16.9</v>
      </c>
      <c r="K1542" s="24" t="n">
        <v>17.15</v>
      </c>
      <c r="L1542" s="24" t="n">
        <v>17.25</v>
      </c>
      <c r="M1542" s="24" t="n">
        <v>17.62</v>
      </c>
      <c r="N1542" s="24" t="n">
        <v>17.89</v>
      </c>
      <c r="O1542" s="24" t="n">
        <v>17.99</v>
      </c>
    </row>
    <row r="1543">
      <c r="A1543" s="11" t="n">
        <v>3273</v>
      </c>
      <c r="B1543" s="3" t="n">
        <v>45044</v>
      </c>
      <c r="C1543" s="25" t="inlineStr">
        <is>
          <t>PYGELENEKSEL</t>
        </is>
      </c>
      <c r="D1543" s="3" t="n">
        <v>45048</v>
      </c>
      <c r="E1543" s="3" t="n">
        <v>46799</v>
      </c>
      <c r="F1543" s="25"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3" t="n">
        <v>45044</v>
      </c>
      <c r="C1544" s="22" t="inlineStr">
        <is>
          <t>PYGELENEKSEL</t>
        </is>
      </c>
      <c r="D1544" s="23" t="n">
        <v>45048</v>
      </c>
      <c r="E1544" s="23" t="n">
        <v>47800</v>
      </c>
      <c r="F1544" s="22" t="inlineStr">
        <is>
          <t>TRT131130T14</t>
        </is>
      </c>
      <c r="G1544" s="8" t="n">
        <v>420000</v>
      </c>
      <c r="H1544" s="8" t="n">
        <v>370000</v>
      </c>
      <c r="I1544" s="24" t="n">
        <v>344144.6</v>
      </c>
      <c r="J1544" s="24" t="n">
        <v>14.14</v>
      </c>
      <c r="K1544" s="24" t="n">
        <v>14.38</v>
      </c>
      <c r="L1544" s="24" t="n">
        <v>14.5</v>
      </c>
      <c r="M1544" s="24" t="n">
        <v>14.64</v>
      </c>
      <c r="N1544" s="24" t="n">
        <v>14.9</v>
      </c>
      <c r="O1544" s="24" t="n">
        <v>15.02</v>
      </c>
    </row>
    <row r="1545">
      <c r="A1545" s="11" t="n">
        <v>3275</v>
      </c>
      <c r="B1545" s="3" t="n">
        <v>45048</v>
      </c>
      <c r="C1545" s="25" t="inlineStr">
        <is>
          <t>GELENEKSEL</t>
        </is>
      </c>
      <c r="D1545" s="3" t="n">
        <v>45049</v>
      </c>
      <c r="E1545" s="3" t="n">
        <v>45189</v>
      </c>
      <c r="F1545" s="25"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3" t="n">
        <v>45048</v>
      </c>
      <c r="C1546" s="22" t="inlineStr">
        <is>
          <t>GELENEKSEL</t>
        </is>
      </c>
      <c r="D1546" s="23" t="n">
        <v>45049</v>
      </c>
      <c r="E1546" s="23" t="n">
        <v>45399</v>
      </c>
      <c r="F1546" s="22" t="inlineStr">
        <is>
          <t>TRT170424T17</t>
        </is>
      </c>
      <c r="G1546" s="8" t="n">
        <v>960000</v>
      </c>
      <c r="H1546" s="8" t="n">
        <v>0</v>
      </c>
      <c r="I1546" s="24" t="n">
        <v>0</v>
      </c>
    </row>
    <row r="1547">
      <c r="A1547" s="11" t="n">
        <v>3277</v>
      </c>
      <c r="B1547" s="3" t="n">
        <v>45048</v>
      </c>
      <c r="C1547" s="25" t="inlineStr">
        <is>
          <t>GELENEKSEL</t>
        </is>
      </c>
      <c r="D1547" s="3" t="n">
        <v>45049</v>
      </c>
      <c r="E1547" s="3" t="n">
        <v>45630</v>
      </c>
      <c r="F1547" s="25" t="inlineStr">
        <is>
          <t>TRT041224T12</t>
        </is>
      </c>
      <c r="G1547" s="11" t="n">
        <v>328000</v>
      </c>
      <c r="H1547" s="11" t="n">
        <v>0</v>
      </c>
      <c r="I1547" s="13" t="n">
        <v>0</v>
      </c>
    </row>
    <row r="1548">
      <c r="A1548" s="8" t="n">
        <v>3278</v>
      </c>
      <c r="B1548" s="23" t="n">
        <v>45048</v>
      </c>
      <c r="C1548" s="22" t="inlineStr">
        <is>
          <t>GELENEKSEL</t>
        </is>
      </c>
      <c r="D1548" s="23" t="n">
        <v>45049</v>
      </c>
      <c r="E1548" s="23" t="n">
        <v>46267</v>
      </c>
      <c r="F1548" s="22" t="inlineStr">
        <is>
          <t>TRT020926T17</t>
        </is>
      </c>
      <c r="G1548" s="8" t="n">
        <v>577000</v>
      </c>
      <c r="H1548" s="8" t="n">
        <v>500000</v>
      </c>
      <c r="I1548" s="24" t="n">
        <v>519000</v>
      </c>
      <c r="J1548" s="24" t="n">
        <v>16.4</v>
      </c>
      <c r="K1548" s="24" t="n">
        <v>16.4</v>
      </c>
      <c r="L1548" s="24" t="n">
        <v>16.4</v>
      </c>
      <c r="M1548" s="24" t="n">
        <v>17.07</v>
      </c>
      <c r="N1548" s="24" t="n">
        <v>17.07</v>
      </c>
      <c r="O1548" s="24" t="n">
        <v>17.07</v>
      </c>
    </row>
    <row r="1549">
      <c r="A1549" s="11" t="n">
        <v>3279</v>
      </c>
      <c r="B1549" s="3" t="n">
        <v>45048</v>
      </c>
      <c r="C1549" s="25" t="inlineStr">
        <is>
          <t>GELENEKSEL</t>
        </is>
      </c>
      <c r="D1549" s="3" t="n">
        <v>45049</v>
      </c>
      <c r="E1549" s="3" t="n">
        <v>46799</v>
      </c>
      <c r="F1549" s="25"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3" t="n">
        <v>45048</v>
      </c>
      <c r="C1550" s="22" t="inlineStr">
        <is>
          <t>GELENEKSEL</t>
        </is>
      </c>
      <c r="D1550" s="23" t="n">
        <v>45049</v>
      </c>
      <c r="E1550" s="23" t="n">
        <v>48332</v>
      </c>
      <c r="F1550" s="22" t="inlineStr">
        <is>
          <t>TRT280432T14</t>
        </is>
      </c>
      <c r="G1550" s="8" t="n">
        <v>1544000</v>
      </c>
      <c r="H1550" s="8" t="n">
        <v>500000</v>
      </c>
      <c r="I1550" s="24" t="n">
        <v>784210.6</v>
      </c>
      <c r="J1550" s="24" t="n">
        <v>12.63</v>
      </c>
      <c r="K1550" s="24" t="n">
        <v>12.7</v>
      </c>
      <c r="L1550" s="24" t="n">
        <v>12.77</v>
      </c>
      <c r="M1550" s="24" t="n">
        <v>13.02</v>
      </c>
      <c r="N1550" s="24" t="n">
        <v>13.1</v>
      </c>
      <c r="O1550" s="24" t="n">
        <v>13.17</v>
      </c>
    </row>
    <row r="1551">
      <c r="A1551" s="11" t="n">
        <v>3281</v>
      </c>
      <c r="B1551" s="3" t="n">
        <v>45049</v>
      </c>
      <c r="C1551" s="25" t="inlineStr">
        <is>
          <t>GELENEKSEL</t>
        </is>
      </c>
      <c r="D1551" s="3" t="n">
        <v>45050</v>
      </c>
      <c r="E1551" s="3" t="n">
        <v>45273</v>
      </c>
      <c r="F1551" s="25"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3" t="n">
        <v>45049</v>
      </c>
      <c r="C1552" s="22" t="inlineStr">
        <is>
          <t>GELENEKSEL</t>
        </is>
      </c>
      <c r="D1552" s="23" t="n">
        <v>45050</v>
      </c>
      <c r="E1552" s="23" t="n">
        <v>45630</v>
      </c>
      <c r="F1552" s="22" t="inlineStr">
        <is>
          <t>TRT041224T12</t>
        </is>
      </c>
      <c r="G1552" s="8" t="n">
        <v>370000</v>
      </c>
      <c r="H1552" s="8" t="n">
        <v>200000</v>
      </c>
      <c r="I1552" s="24" t="n">
        <v>211562</v>
      </c>
      <c r="J1552" s="24" t="n">
        <v>7.92</v>
      </c>
      <c r="K1552" s="24" t="n">
        <v>7.92</v>
      </c>
      <c r="L1552" s="24" t="n">
        <v>7.92</v>
      </c>
      <c r="M1552" s="24" t="n">
        <v>8.08</v>
      </c>
      <c r="N1552" s="24" t="n">
        <v>8.08</v>
      </c>
      <c r="O1552" s="24" t="n">
        <v>8.08</v>
      </c>
    </row>
    <row r="1553">
      <c r="A1553" s="11" t="n">
        <v>3283</v>
      </c>
      <c r="B1553" s="3" t="n">
        <v>45049</v>
      </c>
      <c r="C1553" s="25" t="inlineStr">
        <is>
          <t>GELENEKSEL</t>
        </is>
      </c>
      <c r="D1553" s="3" t="n">
        <v>45050</v>
      </c>
      <c r="E1553" s="3" t="n">
        <v>45931</v>
      </c>
      <c r="F1553" s="25"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3" t="n">
        <v>45049</v>
      </c>
      <c r="C1554" s="22" t="inlineStr">
        <is>
          <t>GELENEKSEL</t>
        </is>
      </c>
      <c r="D1554" s="23" t="n">
        <v>45050</v>
      </c>
      <c r="E1554" s="23" t="n">
        <v>46064</v>
      </c>
      <c r="F1554" s="22" t="inlineStr">
        <is>
          <t>TRT110226T13</t>
        </is>
      </c>
      <c r="G1554" s="8" t="n">
        <v>854000</v>
      </c>
      <c r="H1554" s="8" t="n">
        <v>600000</v>
      </c>
      <c r="I1554" s="24" t="n">
        <v>536445.9</v>
      </c>
      <c r="J1554" s="24" t="n">
        <v>16.35</v>
      </c>
      <c r="K1554" s="24" t="n">
        <v>16.52</v>
      </c>
      <c r="L1554" s="24" t="n">
        <v>16.6</v>
      </c>
      <c r="M1554" s="24" t="n">
        <v>17.02</v>
      </c>
      <c r="N1554" s="24" t="n">
        <v>17.2</v>
      </c>
      <c r="O1554" s="24" t="n">
        <v>17.29</v>
      </c>
    </row>
    <row r="1555">
      <c r="A1555" s="11" t="n">
        <v>3285</v>
      </c>
      <c r="B1555" s="3" t="n">
        <v>45049</v>
      </c>
      <c r="C1555" s="25" t="inlineStr">
        <is>
          <t>GELENEKSEL</t>
        </is>
      </c>
      <c r="D1555" s="3" t="n">
        <v>45050</v>
      </c>
      <c r="E1555" s="3" t="n">
        <v>46267</v>
      </c>
      <c r="F1555" s="25"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3" t="n">
        <v>45049</v>
      </c>
      <c r="C1556" s="22" t="inlineStr">
        <is>
          <t>GELENEKSEL</t>
        </is>
      </c>
      <c r="D1556" s="23" t="n">
        <v>45050</v>
      </c>
      <c r="E1556" s="23" t="n">
        <v>46799</v>
      </c>
      <c r="F1556" s="22" t="inlineStr">
        <is>
          <t>TRT160228T16</t>
        </is>
      </c>
      <c r="G1556" s="8" t="n">
        <v>749000</v>
      </c>
      <c r="H1556" s="8" t="n">
        <v>0</v>
      </c>
      <c r="I1556" s="24" t="n">
        <v>0</v>
      </c>
    </row>
    <row r="1557">
      <c r="A1557" s="11" t="n">
        <v>3287</v>
      </c>
      <c r="B1557" s="3" t="n">
        <v>45049</v>
      </c>
      <c r="C1557" s="25" t="inlineStr">
        <is>
          <t>GELENEKSEL</t>
        </is>
      </c>
      <c r="D1557" s="3" t="n">
        <v>45050</v>
      </c>
      <c r="E1557" s="3" t="n">
        <v>47800</v>
      </c>
      <c r="F1557" s="25"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3" t="n">
        <v>45050</v>
      </c>
      <c r="C1558" s="22" t="inlineStr">
        <is>
          <t>GELENEKSEL</t>
        </is>
      </c>
      <c r="D1558" s="23" t="n">
        <v>45051</v>
      </c>
      <c r="E1558" s="23" t="n">
        <v>45217</v>
      </c>
      <c r="F1558" s="22" t="inlineStr">
        <is>
          <t>TRT181023T19</t>
        </is>
      </c>
      <c r="G1558" s="8" t="n">
        <v>762000</v>
      </c>
      <c r="H1558" s="8" t="n">
        <v>200000</v>
      </c>
      <c r="I1558" s="24" t="n">
        <v>203018</v>
      </c>
      <c r="J1558" s="24" t="n">
        <v>18.44</v>
      </c>
      <c r="K1558" s="24" t="n">
        <v>18.5</v>
      </c>
      <c r="L1558" s="24" t="n">
        <v>18.56</v>
      </c>
      <c r="M1558" s="24" t="n">
        <v>19.37</v>
      </c>
      <c r="N1558" s="24" t="n">
        <v>19.44</v>
      </c>
      <c r="O1558" s="24" t="n">
        <v>19.5</v>
      </c>
    </row>
    <row r="1559">
      <c r="A1559" s="11" t="n">
        <v>3289</v>
      </c>
      <c r="B1559" s="3" t="n">
        <v>45050</v>
      </c>
      <c r="C1559" s="25" t="inlineStr">
        <is>
          <t>GELENEKSEL</t>
        </is>
      </c>
      <c r="D1559" s="3" t="n">
        <v>45051</v>
      </c>
      <c r="E1559" s="3" t="n">
        <v>45630</v>
      </c>
      <c r="F1559" s="25"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3" t="n">
        <v>45050</v>
      </c>
      <c r="C1560" s="22" t="inlineStr">
        <is>
          <t>GELENEKSEL</t>
        </is>
      </c>
      <c r="D1560" s="23" t="n">
        <v>45051</v>
      </c>
      <c r="E1560" s="23" t="n">
        <v>45931</v>
      </c>
      <c r="F1560" s="22" t="inlineStr">
        <is>
          <t>TRT011025T16</t>
        </is>
      </c>
      <c r="G1560" s="8" t="n">
        <v>1171000</v>
      </c>
      <c r="H1560" s="8" t="n">
        <v>600000</v>
      </c>
      <c r="I1560" s="24" t="n">
        <v>582081.04</v>
      </c>
      <c r="J1560" s="24" t="n">
        <v>14.57</v>
      </c>
      <c r="K1560" s="24" t="n">
        <v>14.63</v>
      </c>
      <c r="L1560" s="24" t="n">
        <v>14.66</v>
      </c>
      <c r="M1560" s="24" t="n">
        <v>15.1</v>
      </c>
      <c r="N1560" s="24" t="n">
        <v>15.17</v>
      </c>
      <c r="O1560" s="24" t="n">
        <v>15.2</v>
      </c>
    </row>
    <row r="1561">
      <c r="A1561" s="11" t="n">
        <v>3291</v>
      </c>
      <c r="B1561" s="3" t="n">
        <v>45050</v>
      </c>
      <c r="C1561" s="25" t="inlineStr">
        <is>
          <t>GELENEKSEL</t>
        </is>
      </c>
      <c r="D1561" s="3" t="n">
        <v>45051</v>
      </c>
      <c r="E1561" s="3" t="n">
        <v>46547</v>
      </c>
      <c r="F1561" s="25"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3" t="n">
        <v>45050</v>
      </c>
      <c r="C1562" s="22" t="inlineStr">
        <is>
          <t>GELENEKSEL</t>
        </is>
      </c>
      <c r="D1562" s="23" t="n">
        <v>45051</v>
      </c>
      <c r="E1562" s="23" t="n">
        <v>46799</v>
      </c>
      <c r="F1562" s="22" t="inlineStr">
        <is>
          <t>TRT160228T16</t>
        </is>
      </c>
      <c r="G1562" s="8" t="n">
        <v>698000</v>
      </c>
      <c r="H1562" s="8" t="n">
        <v>600000</v>
      </c>
      <c r="I1562" s="24" t="n">
        <v>474596.4</v>
      </c>
      <c r="J1562" s="24" t="n">
        <v>15.79</v>
      </c>
      <c r="K1562" s="24" t="n">
        <v>16.04</v>
      </c>
      <c r="L1562" s="24" t="n">
        <v>16.24</v>
      </c>
      <c r="M1562" s="24" t="n">
        <v>16.41</v>
      </c>
      <c r="N1562" s="24" t="n">
        <v>16.68</v>
      </c>
      <c r="O1562" s="24" t="n">
        <v>16.9</v>
      </c>
    </row>
    <row r="1563">
      <c r="A1563" s="11" t="n">
        <v>3293</v>
      </c>
      <c r="B1563" s="3" t="n">
        <v>45050</v>
      </c>
      <c r="C1563" s="25" t="inlineStr">
        <is>
          <t>GELENEKSEL</t>
        </is>
      </c>
      <c r="D1563" s="3" t="n">
        <v>45051</v>
      </c>
      <c r="E1563" s="3" t="n">
        <v>48500</v>
      </c>
      <c r="F1563" s="25"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3" t="n">
        <v>45051</v>
      </c>
      <c r="C1564" s="22" t="inlineStr">
        <is>
          <t>GELENEKSEL</t>
        </is>
      </c>
      <c r="D1564" s="23" t="n">
        <v>45054</v>
      </c>
      <c r="E1564" s="23" t="n">
        <v>45931</v>
      </c>
      <c r="F1564" s="22" t="inlineStr">
        <is>
          <t>TRT011025T16</t>
        </is>
      </c>
      <c r="G1564" s="8" t="n">
        <v>967000</v>
      </c>
      <c r="H1564" s="8" t="n">
        <v>600000</v>
      </c>
      <c r="I1564" s="24" t="n">
        <v>578484.3</v>
      </c>
      <c r="J1564" s="24" t="n">
        <v>14.97</v>
      </c>
      <c r="K1564" s="24" t="n">
        <v>14.99</v>
      </c>
      <c r="L1564" s="24" t="n">
        <v>15.04</v>
      </c>
      <c r="M1564" s="24" t="n">
        <v>15.54</v>
      </c>
      <c r="N1564" s="24" t="n">
        <v>15.55</v>
      </c>
      <c r="O1564" s="24" t="n">
        <v>15.6</v>
      </c>
    </row>
    <row r="1565">
      <c r="A1565" s="11" t="n">
        <v>3295</v>
      </c>
      <c r="B1565" s="3" t="n">
        <v>45051</v>
      </c>
      <c r="C1565" s="25" t="inlineStr">
        <is>
          <t>GELENEKSEL</t>
        </is>
      </c>
      <c r="D1565" s="3" t="n">
        <v>45054</v>
      </c>
      <c r="E1565" s="3" t="n">
        <v>46064</v>
      </c>
      <c r="F1565" s="25"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3" t="n">
        <v>45051</v>
      </c>
      <c r="C1566" s="22" t="inlineStr">
        <is>
          <t>GELENEKSEL</t>
        </is>
      </c>
      <c r="D1566" s="23" t="n">
        <v>45054</v>
      </c>
      <c r="E1566" s="23" t="n">
        <v>46799</v>
      </c>
      <c r="F1566" s="22" t="inlineStr">
        <is>
          <t>TRT160228T16</t>
        </is>
      </c>
      <c r="G1566" s="8" t="n">
        <v>600000</v>
      </c>
      <c r="H1566" s="8" t="n">
        <v>600000</v>
      </c>
      <c r="I1566" s="24" t="n">
        <v>494250</v>
      </c>
      <c r="J1566" s="24" t="n">
        <v>14.85</v>
      </c>
      <c r="K1566" s="24" t="n">
        <v>14.93</v>
      </c>
      <c r="L1566" s="24" t="n">
        <v>15.01</v>
      </c>
      <c r="M1566" s="24" t="n">
        <v>15.4</v>
      </c>
      <c r="N1566" s="24" t="n">
        <v>15.49</v>
      </c>
      <c r="O1566" s="24" t="n">
        <v>15.57</v>
      </c>
    </row>
    <row r="1567">
      <c r="A1567" s="11" t="n">
        <v>3297</v>
      </c>
      <c r="B1567" s="3" t="n">
        <v>45051</v>
      </c>
      <c r="C1567" s="25" t="inlineStr">
        <is>
          <t>GELENEKSEL</t>
        </is>
      </c>
      <c r="D1567" s="3" t="n">
        <v>45054</v>
      </c>
      <c r="E1567" s="3" t="n">
        <v>46820</v>
      </c>
      <c r="F1567" s="25"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3" t="n">
        <v>45051</v>
      </c>
      <c r="C1568" s="22" t="inlineStr">
        <is>
          <t>GELENEKSEL</t>
        </is>
      </c>
      <c r="D1568" s="23" t="n">
        <v>45054</v>
      </c>
      <c r="E1568" s="23" t="n">
        <v>48500</v>
      </c>
      <c r="F1568" s="22" t="inlineStr">
        <is>
          <t>TRT131032T13</t>
        </is>
      </c>
      <c r="G1568" s="8" t="n">
        <v>1771000</v>
      </c>
      <c r="H1568" s="8" t="n">
        <v>600000</v>
      </c>
      <c r="I1568" s="24" t="n">
        <v>523909.22</v>
      </c>
      <c r="J1568" s="24" t="n">
        <v>12.81</v>
      </c>
      <c r="K1568" s="24" t="n">
        <v>12.81</v>
      </c>
      <c r="L1568" s="24" t="n">
        <v>12.83</v>
      </c>
      <c r="M1568" s="24" t="n">
        <v>13.22</v>
      </c>
      <c r="N1568" s="24" t="n">
        <v>13.22</v>
      </c>
      <c r="O1568" s="24" t="n">
        <v>13.24</v>
      </c>
    </row>
    <row r="1569">
      <c r="A1569" s="11" t="n">
        <v>3299</v>
      </c>
      <c r="B1569" s="3" t="n">
        <v>45054</v>
      </c>
      <c r="C1569" s="25" t="inlineStr">
        <is>
          <t>GELENEKSEL</t>
        </is>
      </c>
      <c r="D1569" s="3" t="n">
        <v>45055</v>
      </c>
      <c r="E1569" s="3" t="n">
        <v>45399</v>
      </c>
      <c r="F1569" s="25"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3" t="n">
        <v>45054</v>
      </c>
      <c r="C1570" s="22" t="inlineStr">
        <is>
          <t>GELENEKSEL</t>
        </is>
      </c>
      <c r="D1570" s="23" t="n">
        <v>45055</v>
      </c>
      <c r="E1570" s="23" t="n">
        <v>45931</v>
      </c>
      <c r="F1570" s="22" t="inlineStr">
        <is>
          <t>TRT011025T16</t>
        </is>
      </c>
      <c r="G1570" s="8" t="n">
        <v>1007000</v>
      </c>
      <c r="H1570" s="8" t="n">
        <v>600000</v>
      </c>
      <c r="I1570" s="24" t="n">
        <v>574503.75</v>
      </c>
      <c r="J1570" s="24" t="n">
        <v>15.22</v>
      </c>
      <c r="K1570" s="24" t="n">
        <v>15.37</v>
      </c>
      <c r="L1570" s="24" t="n">
        <v>16.01</v>
      </c>
      <c r="M1570" s="24" t="n">
        <v>15.8</v>
      </c>
      <c r="N1570" s="24" t="n">
        <v>15.96</v>
      </c>
      <c r="O1570" s="24" t="n">
        <v>16.65</v>
      </c>
    </row>
    <row r="1571">
      <c r="A1571" s="11" t="n">
        <v>3301</v>
      </c>
      <c r="B1571" s="3" t="n">
        <v>45054</v>
      </c>
      <c r="C1571" s="25" t="inlineStr">
        <is>
          <t>GELENEKSEL</t>
        </is>
      </c>
      <c r="D1571" s="3" t="n">
        <v>45055</v>
      </c>
      <c r="E1571" s="3" t="n">
        <v>46547</v>
      </c>
      <c r="F1571" s="25"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3" t="n">
        <v>45054</v>
      </c>
      <c r="C1572" s="22" t="inlineStr">
        <is>
          <t>GELENEKSEL</t>
        </is>
      </c>
      <c r="D1572" s="23" t="n">
        <v>45055</v>
      </c>
      <c r="E1572" s="23" t="n">
        <v>46610</v>
      </c>
      <c r="F1572" s="22" t="inlineStr">
        <is>
          <t>TRT110827T16</t>
        </is>
      </c>
      <c r="G1572" s="8" t="n">
        <v>1389000</v>
      </c>
      <c r="H1572" s="8" t="n">
        <v>600000</v>
      </c>
      <c r="I1572" s="24" t="n">
        <v>498895.4</v>
      </c>
      <c r="J1572" s="24" t="n">
        <v>16.91</v>
      </c>
      <c r="K1572" s="24" t="n">
        <v>17</v>
      </c>
      <c r="L1572" s="24" t="n">
        <v>17.11</v>
      </c>
      <c r="M1572" s="24" t="n">
        <v>17.62</v>
      </c>
      <c r="N1572" s="24" t="n">
        <v>17.72</v>
      </c>
      <c r="O1572" s="24" t="n">
        <v>17.84</v>
      </c>
    </row>
    <row r="1573">
      <c r="A1573" s="11" t="n">
        <v>3303</v>
      </c>
      <c r="B1573" s="3" t="n">
        <v>45054</v>
      </c>
      <c r="C1573" s="25" t="inlineStr">
        <is>
          <t>GELENEKSEL</t>
        </is>
      </c>
      <c r="D1573" s="3" t="n">
        <v>45055</v>
      </c>
      <c r="E1573" s="3" t="n">
        <v>48500</v>
      </c>
      <c r="F1573" s="25"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3" t="n">
        <v>45055</v>
      </c>
      <c r="C1574" s="22" t="inlineStr">
        <is>
          <t>GELENEKSEL</t>
        </is>
      </c>
      <c r="D1574" s="23" t="n">
        <v>45056</v>
      </c>
      <c r="E1574" s="23" t="n">
        <v>45273</v>
      </c>
      <c r="F1574" s="22" t="inlineStr">
        <is>
          <t>TRT131223T12</t>
        </is>
      </c>
      <c r="G1574" s="8" t="n">
        <v>316000</v>
      </c>
      <c r="H1574" s="8" t="n">
        <v>181000</v>
      </c>
      <c r="I1574" s="24" t="n">
        <v>162693.09</v>
      </c>
      <c r="J1574" s="24" t="n">
        <v>18.7</v>
      </c>
      <c r="K1574" s="24" t="n">
        <v>18.93</v>
      </c>
      <c r="L1574" s="24" t="n">
        <v>19.21</v>
      </c>
      <c r="M1574" s="24" t="n">
        <v>19.4</v>
      </c>
      <c r="N1574" s="24" t="n">
        <v>19.64</v>
      </c>
      <c r="O1574" s="24" t="n">
        <v>19.95</v>
      </c>
    </row>
    <row r="1575">
      <c r="A1575" s="11" t="n">
        <v>3305</v>
      </c>
      <c r="B1575" s="3" t="n">
        <v>45055</v>
      </c>
      <c r="C1575" s="25" t="inlineStr">
        <is>
          <t>GELENEKSEL</t>
        </is>
      </c>
      <c r="D1575" s="3" t="n">
        <v>45056</v>
      </c>
      <c r="E1575" s="3" t="n">
        <v>45399</v>
      </c>
      <c r="F1575" s="25"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3" t="n">
        <v>45055</v>
      </c>
      <c r="C1576" s="22" t="inlineStr">
        <is>
          <t>GELENEKSEL</t>
        </is>
      </c>
      <c r="D1576" s="23" t="n">
        <v>45056</v>
      </c>
      <c r="E1576" s="23" t="n">
        <v>46267</v>
      </c>
      <c r="F1576" s="22" t="inlineStr">
        <is>
          <t>TRT020926T17</t>
        </is>
      </c>
      <c r="G1576" s="8" t="n">
        <v>766000</v>
      </c>
      <c r="H1576" s="8" t="n">
        <v>600000</v>
      </c>
      <c r="I1576" s="24" t="n">
        <v>644723.3</v>
      </c>
      <c r="J1576" s="24" t="n">
        <v>15.06</v>
      </c>
      <c r="K1576" s="24" t="n">
        <v>15.09</v>
      </c>
      <c r="L1576" s="24" t="n">
        <v>15.2</v>
      </c>
      <c r="M1576" s="24" t="n">
        <v>15.62</v>
      </c>
      <c r="N1576" s="24" t="n">
        <v>15.66</v>
      </c>
      <c r="O1576" s="24" t="n">
        <v>15.77</v>
      </c>
    </row>
    <row r="1577">
      <c r="A1577" s="11" t="n">
        <v>3307</v>
      </c>
      <c r="B1577" s="3" t="n">
        <v>45055</v>
      </c>
      <c r="C1577" s="25" t="inlineStr">
        <is>
          <t>GELENEKSEL</t>
        </is>
      </c>
      <c r="D1577" s="3" t="n">
        <v>45056</v>
      </c>
      <c r="E1577" s="3" t="n">
        <v>46610</v>
      </c>
      <c r="F1577" s="25"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3" t="n">
        <v>45055</v>
      </c>
      <c r="C1578" s="22" t="inlineStr">
        <is>
          <t>GELENEKSEL</t>
        </is>
      </c>
      <c r="D1578" s="23" t="n">
        <v>45056</v>
      </c>
      <c r="E1578" s="23" t="n">
        <v>47800</v>
      </c>
      <c r="F1578" s="22" t="inlineStr">
        <is>
          <t>TRT131130T14</t>
        </is>
      </c>
      <c r="G1578" s="8" t="n">
        <v>1429000</v>
      </c>
      <c r="H1578" s="8" t="n">
        <v>600000</v>
      </c>
      <c r="I1578" s="24" t="n">
        <v>550354.75</v>
      </c>
      <c r="J1578" s="24" t="n">
        <v>14.72</v>
      </c>
      <c r="K1578" s="24" t="n">
        <v>14.76</v>
      </c>
      <c r="L1578" s="24" t="n">
        <v>14.8</v>
      </c>
      <c r="M1578" s="24" t="n">
        <v>15.26</v>
      </c>
      <c r="N1578" s="24" t="n">
        <v>15.31</v>
      </c>
      <c r="O1578" s="24" t="n">
        <v>15.35</v>
      </c>
    </row>
    <row r="1579">
      <c r="A1579" s="11" t="n">
        <v>3309</v>
      </c>
      <c r="B1579" s="3" t="n">
        <v>45056</v>
      </c>
      <c r="C1579" s="25" t="inlineStr">
        <is>
          <t>GELENEKSEL</t>
        </is>
      </c>
      <c r="D1579" s="3" t="n">
        <v>45057</v>
      </c>
      <c r="E1579" s="3" t="n">
        <v>45399</v>
      </c>
      <c r="F1579" s="25"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3" t="n">
        <v>45056</v>
      </c>
      <c r="C1580" s="22" t="inlineStr">
        <is>
          <t>GELENEKSEL</t>
        </is>
      </c>
      <c r="D1580" s="23" t="n">
        <v>45057</v>
      </c>
      <c r="E1580" s="23" t="n">
        <v>46064</v>
      </c>
      <c r="F1580" s="22" t="inlineStr">
        <is>
          <t>TRT110226T13</t>
        </is>
      </c>
      <c r="G1580" s="8" t="n">
        <v>481000</v>
      </c>
      <c r="H1580" s="8" t="n">
        <v>480000</v>
      </c>
      <c r="I1580" s="24" t="n">
        <v>428335.85</v>
      </c>
      <c r="J1580" s="24" t="n">
        <v>16.41</v>
      </c>
      <c r="K1580" s="24" t="n">
        <v>16.76</v>
      </c>
      <c r="L1580" s="24" t="n">
        <v>16.97</v>
      </c>
      <c r="M1580" s="24" t="n">
        <v>17.09</v>
      </c>
      <c r="N1580" s="24" t="n">
        <v>17.46</v>
      </c>
      <c r="O1580" s="24" t="n">
        <v>17.7</v>
      </c>
    </row>
    <row r="1581">
      <c r="A1581" s="11" t="n">
        <v>3311</v>
      </c>
      <c r="B1581" s="3" t="n">
        <v>45056</v>
      </c>
      <c r="C1581" s="25" t="inlineStr">
        <is>
          <t>GELENEKSEL</t>
        </is>
      </c>
      <c r="D1581" s="3" t="n">
        <v>45057</v>
      </c>
      <c r="E1581" s="3" t="n">
        <v>46547</v>
      </c>
      <c r="F1581" s="25"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3" t="n">
        <v>45056</v>
      </c>
      <c r="C1582" s="22" t="inlineStr">
        <is>
          <t>GELENEKSEL</t>
        </is>
      </c>
      <c r="D1582" s="23" t="n">
        <v>45057</v>
      </c>
      <c r="E1582" s="23" t="n">
        <v>46610</v>
      </c>
      <c r="F1582" s="22" t="inlineStr">
        <is>
          <t>TRT110827T16</t>
        </is>
      </c>
      <c r="G1582" s="8" t="n">
        <v>1104000</v>
      </c>
      <c r="H1582" s="8" t="n">
        <v>600000</v>
      </c>
      <c r="I1582" s="24" t="n">
        <v>494447.85</v>
      </c>
      <c r="J1582" s="24" t="n">
        <v>17.3</v>
      </c>
      <c r="K1582" s="24" t="n">
        <v>17.31</v>
      </c>
      <c r="L1582" s="24" t="n">
        <v>17.41</v>
      </c>
      <c r="M1582" s="24" t="n">
        <v>18.04</v>
      </c>
      <c r="N1582" s="24" t="n">
        <v>18.06</v>
      </c>
      <c r="O1582" s="24" t="n">
        <v>18.16</v>
      </c>
    </row>
    <row r="1583">
      <c r="A1583" s="11" t="n">
        <v>3313</v>
      </c>
      <c r="B1583" s="3" t="n">
        <v>45056</v>
      </c>
      <c r="C1583" s="25" t="inlineStr">
        <is>
          <t>GELENEKSEL</t>
        </is>
      </c>
      <c r="D1583" s="3" t="n">
        <v>45057</v>
      </c>
      <c r="E1583" s="3" t="n">
        <v>48332</v>
      </c>
      <c r="F1583" s="25"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3" t="n">
        <v>45057</v>
      </c>
      <c r="C1584" s="22" t="inlineStr">
        <is>
          <t>GELENEKSEL</t>
        </is>
      </c>
      <c r="D1584" s="23" t="n">
        <v>45058</v>
      </c>
      <c r="E1584" s="23" t="n">
        <v>45189</v>
      </c>
      <c r="F1584" s="22" t="inlineStr">
        <is>
          <t>TRT200923T18</t>
        </is>
      </c>
      <c r="G1584" s="8" t="n">
        <v>1405000</v>
      </c>
      <c r="H1584" s="8" t="n">
        <v>600000</v>
      </c>
      <c r="I1584" s="24" t="n">
        <v>602130</v>
      </c>
      <c r="J1584" s="24" t="n">
        <v>22.76</v>
      </c>
      <c r="K1584" s="24" t="n">
        <v>22.89</v>
      </c>
      <c r="L1584" s="24" t="n">
        <v>23.03</v>
      </c>
      <c r="M1584" s="24" t="n">
        <v>24.45</v>
      </c>
      <c r="N1584" s="24" t="n">
        <v>24.61</v>
      </c>
      <c r="O1584" s="24" t="n">
        <v>24.76</v>
      </c>
    </row>
    <row r="1585">
      <c r="A1585" s="11" t="n">
        <v>3315</v>
      </c>
      <c r="B1585" s="3" t="n">
        <v>45057</v>
      </c>
      <c r="C1585" s="25" t="inlineStr">
        <is>
          <t>GELENEKSEL</t>
        </is>
      </c>
      <c r="D1585" s="3" t="n">
        <v>45058</v>
      </c>
      <c r="E1585" s="3" t="n">
        <v>45273</v>
      </c>
      <c r="F1585" s="25"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3" t="n">
        <v>45057</v>
      </c>
      <c r="C1586" s="22" t="inlineStr">
        <is>
          <t>GELENEKSEL</t>
        </is>
      </c>
      <c r="D1586" s="23" t="n">
        <v>45058</v>
      </c>
      <c r="E1586" s="23" t="n">
        <v>45399</v>
      </c>
      <c r="F1586" s="22" t="inlineStr">
        <is>
          <t>TRT170424T17</t>
        </is>
      </c>
      <c r="G1586" s="8" t="n">
        <v>160000</v>
      </c>
      <c r="H1586" s="8" t="n">
        <v>60000</v>
      </c>
      <c r="I1586" s="24" t="n">
        <v>62602.1</v>
      </c>
      <c r="J1586" s="24" t="n">
        <v>17.15</v>
      </c>
      <c r="K1586" s="24" t="n">
        <v>17.21</v>
      </c>
      <c r="L1586" s="24" t="n">
        <v>17.21</v>
      </c>
      <c r="M1586" s="24" t="n">
        <v>17.89</v>
      </c>
      <c r="N1586" s="24" t="n">
        <v>17.95</v>
      </c>
      <c r="O1586" s="24" t="n">
        <v>17.95</v>
      </c>
    </row>
    <row r="1587">
      <c r="A1587" s="11" t="n">
        <v>3317</v>
      </c>
      <c r="B1587" s="3" t="n">
        <v>45057</v>
      </c>
      <c r="C1587" s="25" t="inlineStr">
        <is>
          <t>GELENEKSEL</t>
        </is>
      </c>
      <c r="D1587" s="3" t="n">
        <v>45058</v>
      </c>
      <c r="E1587" s="3" t="n">
        <v>46645</v>
      </c>
      <c r="F1587" s="25"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3" t="n">
        <v>45057</v>
      </c>
      <c r="C1588" s="22" t="inlineStr">
        <is>
          <t>GELENEKSEL</t>
        </is>
      </c>
      <c r="D1588" s="23" t="n">
        <v>45058</v>
      </c>
      <c r="E1588" s="23" t="n">
        <v>48332</v>
      </c>
      <c r="F1588" s="22" t="inlineStr">
        <is>
          <t>TRT280432T14</t>
        </is>
      </c>
      <c r="G1588" s="8" t="n">
        <v>1157000</v>
      </c>
      <c r="H1588" s="8" t="n">
        <v>600000</v>
      </c>
      <c r="I1588" s="24" t="n">
        <v>766834.48</v>
      </c>
      <c r="J1588" s="24" t="n">
        <v>15.43</v>
      </c>
      <c r="K1588" s="24" t="n">
        <v>15.66</v>
      </c>
      <c r="L1588" s="24" t="n">
        <v>15.71</v>
      </c>
      <c r="M1588" s="24" t="n">
        <v>16.02</v>
      </c>
      <c r="N1588" s="24" t="n">
        <v>16.27</v>
      </c>
      <c r="O1588" s="24" t="n">
        <v>16.33</v>
      </c>
    </row>
    <row r="1589">
      <c r="A1589" s="11" t="n">
        <v>3319</v>
      </c>
      <c r="B1589" s="3" t="n">
        <v>45058</v>
      </c>
      <c r="C1589" s="25" t="inlineStr">
        <is>
          <t>GELENEKSEL</t>
        </is>
      </c>
      <c r="D1589" s="3" t="n">
        <v>45061</v>
      </c>
      <c r="E1589" s="3" t="n">
        <v>45189</v>
      </c>
      <c r="F1589" s="25"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3" t="n">
        <v>45058</v>
      </c>
      <c r="C1590" s="22" t="inlineStr">
        <is>
          <t>GELENEKSEL</t>
        </is>
      </c>
      <c r="D1590" s="23" t="n">
        <v>45061</v>
      </c>
      <c r="E1590" s="23" t="n">
        <v>45630</v>
      </c>
      <c r="F1590" s="22" t="inlineStr">
        <is>
          <t>TRT041224T12</t>
        </is>
      </c>
      <c r="G1590" s="8" t="n">
        <v>322000</v>
      </c>
      <c r="H1590" s="8" t="n">
        <v>200000</v>
      </c>
      <c r="I1590" s="24" t="n">
        <v>184700</v>
      </c>
      <c r="J1590" s="24" t="n">
        <v>18.24</v>
      </c>
      <c r="K1590" s="24" t="n">
        <v>18.24</v>
      </c>
      <c r="L1590" s="24" t="n">
        <v>18.24</v>
      </c>
      <c r="M1590" s="24" t="n">
        <v>19.07</v>
      </c>
      <c r="N1590" s="24" t="n">
        <v>19.07</v>
      </c>
      <c r="O1590" s="24" t="n">
        <v>19.07</v>
      </c>
    </row>
    <row r="1591">
      <c r="A1591" s="11" t="n">
        <v>3321</v>
      </c>
      <c r="B1591" s="3" t="n">
        <v>45058</v>
      </c>
      <c r="C1591" s="25" t="inlineStr">
        <is>
          <t>GELENEKSEL</t>
        </is>
      </c>
      <c r="D1591" s="3" t="n">
        <v>45061</v>
      </c>
      <c r="E1591" s="3" t="n">
        <v>45728</v>
      </c>
      <c r="F1591" s="25"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3" t="n">
        <v>45058</v>
      </c>
      <c r="C1592" s="22" t="inlineStr">
        <is>
          <t>GELENEKSEL</t>
        </is>
      </c>
      <c r="D1592" s="23" t="n">
        <v>45061</v>
      </c>
      <c r="E1592" s="23" t="n">
        <v>46547</v>
      </c>
      <c r="F1592" s="22" t="inlineStr">
        <is>
          <t>TRT090627T12</t>
        </is>
      </c>
      <c r="G1592" s="8" t="n">
        <v>1533000</v>
      </c>
      <c r="H1592" s="8" t="n">
        <v>600000</v>
      </c>
      <c r="I1592" s="24" t="n">
        <v>686396</v>
      </c>
      <c r="J1592" s="24" t="n">
        <v>18.04</v>
      </c>
      <c r="K1592" s="24" t="n">
        <v>18.04</v>
      </c>
      <c r="L1592" s="24" t="n">
        <v>18.23</v>
      </c>
      <c r="M1592" s="24" t="n">
        <v>18.86</v>
      </c>
      <c r="N1592" s="24" t="n">
        <v>18.86</v>
      </c>
      <c r="O1592" s="24" t="n">
        <v>19.06</v>
      </c>
    </row>
    <row r="1593">
      <c r="A1593" s="11" t="n">
        <v>3323</v>
      </c>
      <c r="B1593" s="3" t="n">
        <v>45058</v>
      </c>
      <c r="C1593" s="25" t="inlineStr">
        <is>
          <t>GELENEKSEL</t>
        </is>
      </c>
      <c r="D1593" s="3" t="n">
        <v>45061</v>
      </c>
      <c r="E1593" s="3" t="n">
        <v>46799</v>
      </c>
      <c r="F1593" s="25"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3" t="n">
        <v>45058</v>
      </c>
      <c r="C1594" s="22" t="inlineStr">
        <is>
          <t>GELENEKSEL</t>
        </is>
      </c>
      <c r="D1594" s="23" t="n">
        <v>45061</v>
      </c>
      <c r="E1594" s="23" t="n">
        <v>48500</v>
      </c>
      <c r="F1594" s="22" t="inlineStr">
        <is>
          <t>TRT131032T13</t>
        </is>
      </c>
      <c r="G1594" s="8" t="n">
        <v>1075000</v>
      </c>
      <c r="H1594" s="8" t="n">
        <v>600000</v>
      </c>
      <c r="I1594" s="24" t="n">
        <v>486300</v>
      </c>
      <c r="J1594" s="24" t="n">
        <v>14.2</v>
      </c>
      <c r="K1594" s="24" t="n">
        <v>14.21</v>
      </c>
      <c r="L1594" s="24" t="n">
        <v>14.22</v>
      </c>
      <c r="M1594" s="24" t="n">
        <v>14.7</v>
      </c>
      <c r="N1594" s="24" t="n">
        <v>14.72</v>
      </c>
      <c r="O1594" s="24" t="n">
        <v>14.73</v>
      </c>
    </row>
    <row r="1595">
      <c r="A1595" s="11" t="n">
        <v>3325</v>
      </c>
      <c r="B1595" s="3" t="n">
        <v>45061</v>
      </c>
      <c r="C1595" s="25" t="inlineStr">
        <is>
          <t>GELENEKSEL</t>
        </is>
      </c>
      <c r="D1595" s="3" t="n">
        <v>45062</v>
      </c>
      <c r="E1595" s="3" t="n">
        <v>45728</v>
      </c>
      <c r="F1595" s="25" t="inlineStr">
        <is>
          <t>TRT120325T12</t>
        </is>
      </c>
      <c r="G1595" s="11" t="n">
        <v>200000</v>
      </c>
      <c r="H1595" s="11" t="n">
        <v>0</v>
      </c>
      <c r="I1595" s="13" t="n">
        <v>0</v>
      </c>
    </row>
    <row r="1596">
      <c r="A1596" s="8" t="n">
        <v>3326</v>
      </c>
      <c r="B1596" s="23" t="n">
        <v>45061</v>
      </c>
      <c r="C1596" s="22" t="inlineStr">
        <is>
          <t>GELENEKSEL</t>
        </is>
      </c>
      <c r="D1596" s="23" t="n">
        <v>45062</v>
      </c>
      <c r="E1596" s="23" t="n">
        <v>45931</v>
      </c>
      <c r="F1596" s="22" t="inlineStr">
        <is>
          <t>TRT011025T16</t>
        </is>
      </c>
      <c r="G1596" s="8" t="n">
        <v>603000</v>
      </c>
      <c r="H1596" s="8" t="n">
        <v>0</v>
      </c>
      <c r="I1596" s="24" t="n">
        <v>0</v>
      </c>
    </row>
    <row r="1597">
      <c r="A1597" s="11" t="n">
        <v>3327</v>
      </c>
      <c r="B1597" s="3" t="n">
        <v>45061</v>
      </c>
      <c r="C1597" s="25" t="inlineStr">
        <is>
          <t>GELENEKSEL</t>
        </is>
      </c>
      <c r="D1597" s="3" t="n">
        <v>45062</v>
      </c>
      <c r="E1597" s="3" t="n">
        <v>46442</v>
      </c>
      <c r="F1597" s="25" t="inlineStr">
        <is>
          <t>TRT240227T17</t>
        </is>
      </c>
      <c r="G1597" s="11" t="n">
        <v>754000</v>
      </c>
      <c r="H1597" s="11" t="n">
        <v>0</v>
      </c>
      <c r="I1597" s="13" t="n">
        <v>0</v>
      </c>
    </row>
    <row r="1598">
      <c r="A1598" s="8" t="n">
        <v>3328</v>
      </c>
      <c r="B1598" s="23" t="n">
        <v>45061</v>
      </c>
      <c r="C1598" s="22" t="inlineStr">
        <is>
          <t>GELENEKSEL</t>
        </is>
      </c>
      <c r="D1598" s="23" t="n">
        <v>45062</v>
      </c>
      <c r="E1598" s="23" t="n">
        <v>46799</v>
      </c>
      <c r="F1598" s="22" t="inlineStr">
        <is>
          <t>TRT160228T16</t>
        </is>
      </c>
      <c r="G1598" s="8" t="n">
        <v>0</v>
      </c>
      <c r="H1598" s="8" t="n">
        <v>0</v>
      </c>
      <c r="I1598" s="24" t="n">
        <v>0</v>
      </c>
    </row>
    <row r="1599">
      <c r="A1599" s="11" t="n">
        <v>3329</v>
      </c>
      <c r="B1599" s="3" t="n">
        <v>45061</v>
      </c>
      <c r="C1599" s="25" t="inlineStr">
        <is>
          <t>GELENEKSEL</t>
        </is>
      </c>
      <c r="D1599" s="3" t="n">
        <v>45062</v>
      </c>
      <c r="E1599" s="3" t="n">
        <v>48500</v>
      </c>
      <c r="F1599" s="25" t="inlineStr">
        <is>
          <t>TRT131032T13</t>
        </is>
      </c>
      <c r="G1599" s="11" t="n">
        <v>200000</v>
      </c>
      <c r="H1599" s="11" t="n">
        <v>0</v>
      </c>
      <c r="I1599" s="13" t="n">
        <v>0</v>
      </c>
    </row>
    <row r="1600">
      <c r="A1600" s="8" t="n">
        <v>3330</v>
      </c>
      <c r="B1600" s="23" t="n">
        <v>45062</v>
      </c>
      <c r="C1600" s="22" t="inlineStr">
        <is>
          <t>GELENEKSEL</t>
        </is>
      </c>
      <c r="D1600" s="23" t="n">
        <v>45063</v>
      </c>
      <c r="E1600" s="23" t="n">
        <v>45497</v>
      </c>
      <c r="F1600" s="22" t="inlineStr">
        <is>
          <t>TRT240724T15</t>
        </is>
      </c>
      <c r="G1600" s="8" t="n">
        <v>112000</v>
      </c>
      <c r="H1600" s="8" t="n">
        <v>0</v>
      </c>
      <c r="I1600" s="24" t="n">
        <v>0</v>
      </c>
    </row>
    <row r="1601">
      <c r="A1601" s="11" t="n">
        <v>3331</v>
      </c>
      <c r="B1601" s="3" t="n">
        <v>45062</v>
      </c>
      <c r="C1601" s="25" t="inlineStr">
        <is>
          <t>GELENEKSEL</t>
        </is>
      </c>
      <c r="D1601" s="3" t="n">
        <v>45063</v>
      </c>
      <c r="E1601" s="3" t="n">
        <v>45728</v>
      </c>
      <c r="F1601" s="25" t="inlineStr">
        <is>
          <t>TRT120325T12</t>
        </is>
      </c>
      <c r="G1601" s="11" t="n">
        <v>100000</v>
      </c>
      <c r="H1601" s="11" t="n">
        <v>0</v>
      </c>
      <c r="I1601" s="13" t="n">
        <v>0</v>
      </c>
    </row>
    <row r="1602">
      <c r="A1602" s="8" t="n">
        <v>3332</v>
      </c>
      <c r="B1602" s="23" t="n">
        <v>45062</v>
      </c>
      <c r="C1602" s="22" t="inlineStr">
        <is>
          <t>GELENEKSEL</t>
        </is>
      </c>
      <c r="D1602" s="23" t="n">
        <v>45063</v>
      </c>
      <c r="E1602" s="23" t="n">
        <v>46645</v>
      </c>
      <c r="F1602" s="22" t="inlineStr">
        <is>
          <t>TRT150927T11</t>
        </is>
      </c>
      <c r="G1602" s="8" t="n">
        <v>50000</v>
      </c>
      <c r="H1602" s="8" t="n">
        <v>50000</v>
      </c>
      <c r="I1602" s="24" t="n">
        <v>50791</v>
      </c>
      <c r="J1602" s="24" t="n">
        <v>10.27</v>
      </c>
      <c r="K1602" s="24" t="n">
        <v>10.27</v>
      </c>
      <c r="L1602" s="24" t="n">
        <v>10.27</v>
      </c>
      <c r="M1602" s="24" t="n">
        <v>10.54</v>
      </c>
      <c r="N1602" s="24" t="n">
        <v>10.54</v>
      </c>
      <c r="O1602" s="24" t="n">
        <v>10.54</v>
      </c>
    </row>
    <row r="1603">
      <c r="A1603" s="11" t="n">
        <v>3333</v>
      </c>
      <c r="B1603" s="3" t="n">
        <v>45062</v>
      </c>
      <c r="C1603" s="25" t="inlineStr">
        <is>
          <t>GELENEKSEL</t>
        </is>
      </c>
      <c r="D1603" s="3" t="n">
        <v>45063</v>
      </c>
      <c r="E1603" s="3" t="n">
        <v>48500</v>
      </c>
      <c r="F1603" s="25" t="inlineStr">
        <is>
          <t>TRT131032T13</t>
        </is>
      </c>
      <c r="G1603" s="11" t="n">
        <v>200000</v>
      </c>
      <c r="H1603" s="11" t="n">
        <v>0</v>
      </c>
      <c r="I1603" s="13" t="n">
        <v>0</v>
      </c>
    </row>
    <row r="1604">
      <c r="A1604" s="8" t="n">
        <v>3334</v>
      </c>
      <c r="B1604" s="23" t="n">
        <v>45063</v>
      </c>
      <c r="C1604" s="22" t="inlineStr">
        <is>
          <t>GELENEKSEL</t>
        </is>
      </c>
      <c r="D1604" s="23" t="n">
        <v>45064</v>
      </c>
      <c r="E1604" s="23" t="n">
        <v>45371</v>
      </c>
      <c r="F1604" s="22" t="inlineStr">
        <is>
          <t>TRT200324T13</t>
        </is>
      </c>
      <c r="G1604" s="8" t="n">
        <v>177000</v>
      </c>
      <c r="H1604" s="8" t="n">
        <v>0</v>
      </c>
      <c r="I1604" s="24" t="n">
        <v>0</v>
      </c>
    </row>
    <row r="1605">
      <c r="A1605" s="11" t="n">
        <v>3335</v>
      </c>
      <c r="B1605" s="3" t="n">
        <v>45063</v>
      </c>
      <c r="C1605" s="25" t="inlineStr">
        <is>
          <t>GELENEKSEL</t>
        </is>
      </c>
      <c r="D1605" s="3" t="n">
        <v>45064</v>
      </c>
      <c r="E1605" s="3" t="n">
        <v>45728</v>
      </c>
      <c r="F1605" s="25"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3" t="n">
        <v>45063</v>
      </c>
      <c r="C1606" s="22" t="inlineStr">
        <is>
          <t>GELENEKSEL</t>
        </is>
      </c>
      <c r="D1606" s="23" t="n">
        <v>45064</v>
      </c>
      <c r="E1606" s="23" t="n">
        <v>46547</v>
      </c>
      <c r="F1606" s="22" t="inlineStr">
        <is>
          <t>TRT090627T12</t>
        </is>
      </c>
      <c r="G1606" s="8" t="n">
        <v>632000</v>
      </c>
      <c r="H1606" s="8" t="n">
        <v>600000</v>
      </c>
      <c r="I1606" s="24" t="n">
        <v>842010</v>
      </c>
      <c r="J1606" s="24" t="n">
        <v>10.34</v>
      </c>
      <c r="K1606" s="24" t="n">
        <v>10.43</v>
      </c>
      <c r="L1606" s="24" t="n">
        <v>10.5</v>
      </c>
      <c r="M1606" s="24" t="n">
        <v>10.61</v>
      </c>
      <c r="N1606" s="24" t="n">
        <v>10.71</v>
      </c>
      <c r="O1606" s="24" t="n">
        <v>10.77</v>
      </c>
    </row>
    <row r="1607">
      <c r="A1607" s="11" t="n">
        <v>3337</v>
      </c>
      <c r="B1607" s="3" t="n">
        <v>45063</v>
      </c>
      <c r="C1607" s="25" t="inlineStr">
        <is>
          <t>GELENEKSEL</t>
        </is>
      </c>
      <c r="D1607" s="3" t="n">
        <v>45064</v>
      </c>
      <c r="E1607" s="3" t="n">
        <v>48332</v>
      </c>
      <c r="F1607" s="25"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3" t="n">
        <v>45064</v>
      </c>
      <c r="C1608" s="22" t="inlineStr">
        <is>
          <t>GELENEKSEL</t>
        </is>
      </c>
      <c r="D1608" s="23" t="n">
        <v>45068</v>
      </c>
      <c r="E1608" s="23" t="n">
        <v>45399</v>
      </c>
      <c r="F1608" s="22" t="inlineStr">
        <is>
          <t>TRT170424T17</t>
        </is>
      </c>
      <c r="G1608" s="8" t="n">
        <v>6000</v>
      </c>
      <c r="H1608" s="8" t="n">
        <v>0</v>
      </c>
      <c r="I1608" s="24" t="n">
        <v>0</v>
      </c>
    </row>
    <row r="1609">
      <c r="A1609" s="11" t="n">
        <v>3339</v>
      </c>
      <c r="B1609" s="3" t="n">
        <v>45064</v>
      </c>
      <c r="C1609" s="25" t="inlineStr">
        <is>
          <t>GELENEKSEL</t>
        </is>
      </c>
      <c r="D1609" s="3" t="n">
        <v>45068</v>
      </c>
      <c r="E1609" s="3" t="n">
        <v>46442</v>
      </c>
      <c r="F1609" s="25"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3" t="n">
        <v>45064</v>
      </c>
      <c r="C1610" s="22" t="inlineStr">
        <is>
          <t>GELENEKSEL</t>
        </is>
      </c>
      <c r="D1610" s="23" t="n">
        <v>45068</v>
      </c>
      <c r="E1610" s="23" t="n">
        <v>46547</v>
      </c>
      <c r="F1610" s="22" t="inlineStr">
        <is>
          <t>TRT090627T12</t>
        </is>
      </c>
      <c r="G1610" s="8" t="n">
        <v>646000</v>
      </c>
      <c r="H1610" s="8" t="n">
        <v>600000</v>
      </c>
      <c r="I1610" s="24" t="n">
        <v>855105.3</v>
      </c>
      <c r="J1610" s="24" t="n">
        <v>9.859999999999999</v>
      </c>
      <c r="K1610" s="24" t="n">
        <v>9.92</v>
      </c>
      <c r="L1610" s="24" t="n">
        <v>9.970000000000001</v>
      </c>
      <c r="M1610" s="24" t="n">
        <v>10.11</v>
      </c>
      <c r="N1610" s="24" t="n">
        <v>10.16</v>
      </c>
      <c r="O1610" s="24" t="n">
        <v>10.21</v>
      </c>
    </row>
    <row r="1611">
      <c r="A1611" s="11" t="n">
        <v>3341</v>
      </c>
      <c r="B1611" s="3" t="n">
        <v>45064</v>
      </c>
      <c r="C1611" s="25" t="inlineStr">
        <is>
          <t>GELENEKSEL</t>
        </is>
      </c>
      <c r="D1611" s="3" t="n">
        <v>45068</v>
      </c>
      <c r="E1611" s="3" t="n">
        <v>48332</v>
      </c>
      <c r="F1611" s="25" t="inlineStr">
        <is>
          <t>TRT280432T14</t>
        </is>
      </c>
      <c r="G1611" s="11" t="n">
        <v>0</v>
      </c>
      <c r="H1611" s="11" t="n">
        <v>0</v>
      </c>
      <c r="I1611" s="13" t="n">
        <v>0</v>
      </c>
    </row>
    <row r="1612">
      <c r="A1612" s="8" t="n">
        <v>3342</v>
      </c>
      <c r="B1612" s="23" t="n">
        <v>45068</v>
      </c>
      <c r="C1612" s="22" t="inlineStr">
        <is>
          <t>GELENEKSEL</t>
        </is>
      </c>
      <c r="D1612" s="23" t="n">
        <v>45069</v>
      </c>
      <c r="E1612" s="23" t="n">
        <v>45931</v>
      </c>
      <c r="F1612" s="22" t="inlineStr">
        <is>
          <t>TRT011025T16</t>
        </is>
      </c>
      <c r="G1612" s="8" t="n">
        <v>987000</v>
      </c>
      <c r="H1612" s="8" t="n">
        <v>600000</v>
      </c>
      <c r="I1612" s="24" t="n">
        <v>659299.8</v>
      </c>
      <c r="J1612" s="24" t="n">
        <v>8.619999999999999</v>
      </c>
      <c r="K1612" s="24" t="n">
        <v>8.66</v>
      </c>
      <c r="L1612" s="24" t="n">
        <v>8.68</v>
      </c>
      <c r="M1612" s="24" t="n">
        <v>8.800000000000001</v>
      </c>
      <c r="N1612" s="24" t="n">
        <v>8.85</v>
      </c>
      <c r="O1612" s="24" t="n">
        <v>8.869999999999999</v>
      </c>
    </row>
    <row r="1613">
      <c r="A1613" s="11" t="n">
        <v>3343</v>
      </c>
      <c r="B1613" s="3" t="n">
        <v>45068</v>
      </c>
      <c r="C1613" s="25" t="inlineStr">
        <is>
          <t>GELENEKSEL</t>
        </is>
      </c>
      <c r="D1613" s="3" t="n">
        <v>45069</v>
      </c>
      <c r="E1613" s="3" t="n">
        <v>46064</v>
      </c>
      <c r="F1613" s="25" t="inlineStr">
        <is>
          <t>TRT110226T13</t>
        </is>
      </c>
      <c r="G1613" s="11" t="n">
        <v>55000</v>
      </c>
      <c r="H1613" s="11" t="n">
        <v>0</v>
      </c>
      <c r="I1613" s="13" t="n">
        <v>0</v>
      </c>
    </row>
    <row r="1614">
      <c r="A1614" s="8" t="n">
        <v>3344</v>
      </c>
      <c r="B1614" s="23" t="n">
        <v>45068</v>
      </c>
      <c r="C1614" s="22" t="inlineStr">
        <is>
          <t>GELENEKSEL</t>
        </is>
      </c>
      <c r="D1614" s="23" t="n">
        <v>45069</v>
      </c>
      <c r="E1614" s="23" t="n">
        <v>46547</v>
      </c>
      <c r="F1614" s="22" t="inlineStr">
        <is>
          <t>TRT090627T12</t>
        </is>
      </c>
      <c r="G1614" s="8" t="n">
        <v>754000</v>
      </c>
      <c r="H1614" s="8" t="n">
        <v>600000</v>
      </c>
      <c r="I1614" s="24" t="n">
        <v>857207.83</v>
      </c>
      <c r="J1614" s="24" t="n">
        <v>9.84</v>
      </c>
      <c r="K1614" s="24" t="n">
        <v>9.84</v>
      </c>
      <c r="L1614" s="24" t="n">
        <v>9.85</v>
      </c>
      <c r="M1614" s="24" t="n">
        <v>10.08</v>
      </c>
      <c r="N1614" s="24" t="n">
        <v>10.08</v>
      </c>
      <c r="O1614" s="24" t="n">
        <v>10.09</v>
      </c>
    </row>
    <row r="1615">
      <c r="A1615" s="11" t="n">
        <v>3345</v>
      </c>
      <c r="B1615" s="3" t="n">
        <v>45068</v>
      </c>
      <c r="C1615" s="25" t="inlineStr">
        <is>
          <t>GELENEKSEL</t>
        </is>
      </c>
      <c r="D1615" s="3" t="n">
        <v>45069</v>
      </c>
      <c r="E1615" s="3" t="n">
        <v>47800</v>
      </c>
      <c r="F1615" s="25"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3" t="n">
        <v>45069</v>
      </c>
      <c r="C1616" s="22" t="inlineStr">
        <is>
          <t>GELENEKSEL</t>
        </is>
      </c>
      <c r="D1616" s="23" t="n">
        <v>45070</v>
      </c>
      <c r="E1616" s="23" t="n">
        <v>45931</v>
      </c>
      <c r="F1616" s="22" t="inlineStr">
        <is>
          <t>TRT011025T16</t>
        </is>
      </c>
      <c r="G1616" s="8" t="n">
        <v>562000</v>
      </c>
      <c r="H1616" s="8" t="n">
        <v>400000</v>
      </c>
      <c r="I1616" s="24" t="n">
        <v>441708.22</v>
      </c>
      <c r="J1616" s="24" t="n">
        <v>8.41</v>
      </c>
      <c r="K1616" s="24" t="n">
        <v>8.44</v>
      </c>
      <c r="L1616" s="24" t="n">
        <v>8.51</v>
      </c>
      <c r="M1616" s="24" t="n">
        <v>8.59</v>
      </c>
      <c r="N1616" s="24" t="n">
        <v>8.619999999999999</v>
      </c>
      <c r="O1616" s="24" t="n">
        <v>8.69</v>
      </c>
    </row>
    <row r="1617">
      <c r="A1617" s="11" t="n">
        <v>3347</v>
      </c>
      <c r="B1617" s="3" t="n">
        <v>45069</v>
      </c>
      <c r="C1617" s="25" t="inlineStr">
        <is>
          <t>GELENEKSEL</t>
        </is>
      </c>
      <c r="D1617" s="3" t="n">
        <v>45070</v>
      </c>
      <c r="E1617" s="3" t="n">
        <v>46064</v>
      </c>
      <c r="F1617" s="25" t="inlineStr">
        <is>
          <t>TRT110226T13</t>
        </is>
      </c>
      <c r="G1617" s="11" t="n">
        <v>100000</v>
      </c>
      <c r="H1617" s="11" t="n">
        <v>0</v>
      </c>
      <c r="I1617" s="13" t="n">
        <v>0</v>
      </c>
    </row>
    <row r="1618">
      <c r="A1618" s="8" t="n">
        <v>3348</v>
      </c>
      <c r="B1618" s="23" t="n">
        <v>45069</v>
      </c>
      <c r="C1618" s="22" t="inlineStr">
        <is>
          <t>GELENEKSEL</t>
        </is>
      </c>
      <c r="D1618" s="23" t="n">
        <v>45070</v>
      </c>
      <c r="E1618" s="23" t="n">
        <v>46547</v>
      </c>
      <c r="F1618" s="22" t="inlineStr">
        <is>
          <t>TRT090627T12</t>
        </is>
      </c>
      <c r="G1618" s="8" t="n">
        <v>597000</v>
      </c>
      <c r="H1618" s="8" t="n">
        <v>400000</v>
      </c>
      <c r="I1618" s="24" t="n">
        <v>566320</v>
      </c>
      <c r="J1618" s="24" t="n">
        <v>10.16</v>
      </c>
      <c r="K1618" s="24" t="n">
        <v>10.17</v>
      </c>
      <c r="L1618" s="24" t="n">
        <v>10.22</v>
      </c>
      <c r="M1618" s="24" t="n">
        <v>10.42</v>
      </c>
      <c r="N1618" s="24" t="n">
        <v>10.43</v>
      </c>
      <c r="O1618" s="24" t="n">
        <v>10.48</v>
      </c>
    </row>
    <row r="1619">
      <c r="A1619" s="11" t="n">
        <v>3349</v>
      </c>
      <c r="B1619" s="3" t="n">
        <v>45070</v>
      </c>
      <c r="C1619" s="25" t="inlineStr">
        <is>
          <t>GELENEKSEL</t>
        </is>
      </c>
      <c r="D1619" s="3" t="n">
        <v>45071</v>
      </c>
      <c r="E1619" s="3" t="n">
        <v>45399</v>
      </c>
      <c r="F1619" s="25"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3" t="n">
        <v>45070</v>
      </c>
      <c r="C1620" s="22" t="inlineStr">
        <is>
          <t>GELENEKSEL</t>
        </is>
      </c>
      <c r="D1620" s="23" t="n">
        <v>45071</v>
      </c>
      <c r="E1620" s="23" t="n">
        <v>46267</v>
      </c>
      <c r="F1620" s="22" t="inlineStr">
        <is>
          <t>TRT020926T17</t>
        </is>
      </c>
      <c r="G1620" s="8" t="n">
        <v>100000</v>
      </c>
      <c r="H1620" s="8" t="n">
        <v>0</v>
      </c>
      <c r="I1620" s="24" t="n">
        <v>0</v>
      </c>
    </row>
    <row r="1621">
      <c r="A1621" s="11" t="n">
        <v>3351</v>
      </c>
      <c r="B1621" s="3" t="n">
        <v>45070</v>
      </c>
      <c r="C1621" s="25" t="inlineStr">
        <is>
          <t>GELENEKSEL</t>
        </is>
      </c>
      <c r="D1621" s="3" t="n">
        <v>45071</v>
      </c>
      <c r="E1621" s="3" t="n">
        <v>46547</v>
      </c>
      <c r="F1621" s="25"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3" t="n">
        <v>45071</v>
      </c>
      <c r="C1622" s="22" t="inlineStr">
        <is>
          <t>GELENEKSEL</t>
        </is>
      </c>
      <c r="D1622" s="23" t="n">
        <v>45072</v>
      </c>
      <c r="E1622" s="23" t="n">
        <v>45399</v>
      </c>
      <c r="F1622" s="22" t="inlineStr">
        <is>
          <t>TRT170424T17</t>
        </is>
      </c>
      <c r="G1622" s="8" t="n">
        <v>199000</v>
      </c>
      <c r="H1622" s="8" t="n">
        <v>193000</v>
      </c>
      <c r="I1622" s="24" t="n">
        <v>217847.83</v>
      </c>
      <c r="J1622" s="24" t="n">
        <v>7.93</v>
      </c>
      <c r="K1622" s="24" t="n">
        <v>8.210000000000001</v>
      </c>
      <c r="L1622" s="24" t="n">
        <v>8.369999999999999</v>
      </c>
      <c r="M1622" s="24" t="n">
        <v>8.09</v>
      </c>
      <c r="N1622" s="24" t="n">
        <v>8.380000000000001</v>
      </c>
      <c r="O1622" s="24" t="n">
        <v>8.539999999999999</v>
      </c>
    </row>
    <row r="1623">
      <c r="A1623" s="11" t="n">
        <v>3353</v>
      </c>
      <c r="B1623" s="3" t="n">
        <v>45071</v>
      </c>
      <c r="C1623" s="25" t="inlineStr">
        <is>
          <t>GELENEKSEL</t>
        </is>
      </c>
      <c r="D1623" s="3" t="n">
        <v>45072</v>
      </c>
      <c r="E1623" s="3" t="n">
        <v>46267</v>
      </c>
      <c r="F1623" s="25"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3" t="n">
        <v>45071</v>
      </c>
      <c r="C1624" s="22" t="inlineStr">
        <is>
          <t>GELENEKSEL</t>
        </is>
      </c>
      <c r="D1624" s="23" t="n">
        <v>45072</v>
      </c>
      <c r="E1624" s="23" t="n">
        <v>46547</v>
      </c>
      <c r="F1624" s="22" t="inlineStr">
        <is>
          <t>TRT090627T12</t>
        </is>
      </c>
      <c r="G1624" s="8" t="n">
        <v>685000</v>
      </c>
      <c r="H1624" s="8" t="n">
        <v>400000</v>
      </c>
      <c r="I1624" s="24" t="n">
        <v>568878.4</v>
      </c>
      <c r="J1624" s="24" t="n">
        <v>9.970000000000001</v>
      </c>
      <c r="K1624" s="24" t="n">
        <v>10.03</v>
      </c>
      <c r="L1624" s="24" t="n">
        <v>10.07</v>
      </c>
      <c r="M1624" s="24" t="n">
        <v>10.21</v>
      </c>
      <c r="N1624" s="24" t="n">
        <v>10.28</v>
      </c>
      <c r="O1624" s="24" t="n">
        <v>10.33</v>
      </c>
    </row>
    <row r="1625">
      <c r="A1625" s="11" t="n">
        <v>3355</v>
      </c>
      <c r="B1625" s="3" t="n">
        <v>45072</v>
      </c>
      <c r="C1625" s="25" t="inlineStr">
        <is>
          <t>GELENEKSEL</t>
        </is>
      </c>
      <c r="D1625" s="3" t="n">
        <v>45075</v>
      </c>
      <c r="E1625" s="3" t="n">
        <v>45399</v>
      </c>
      <c r="F1625" s="25" t="inlineStr">
        <is>
          <t>TRT170424T17</t>
        </is>
      </c>
      <c r="G1625" s="11" t="n">
        <v>135000</v>
      </c>
      <c r="H1625" s="11" t="n">
        <v>0</v>
      </c>
      <c r="I1625" s="13" t="n">
        <v>0</v>
      </c>
    </row>
    <row r="1626">
      <c r="A1626" s="8" t="n">
        <v>3356</v>
      </c>
      <c r="B1626" s="23" t="n">
        <v>45072</v>
      </c>
      <c r="C1626" s="22" t="inlineStr">
        <is>
          <t>GELENEKSEL</t>
        </is>
      </c>
      <c r="D1626" s="23" t="n">
        <v>45075</v>
      </c>
      <c r="E1626" s="23" t="n">
        <v>46547</v>
      </c>
      <c r="F1626" s="22" t="inlineStr">
        <is>
          <t>TRT090627T12</t>
        </is>
      </c>
      <c r="G1626" s="8" t="n">
        <v>524000</v>
      </c>
      <c r="H1626" s="8" t="n">
        <v>400000</v>
      </c>
      <c r="I1626" s="24" t="n">
        <v>568788</v>
      </c>
      <c r="J1626" s="24" t="n">
        <v>10.06</v>
      </c>
      <c r="K1626" s="24" t="n">
        <v>10.06</v>
      </c>
      <c r="L1626" s="24" t="n">
        <v>10.06</v>
      </c>
      <c r="M1626" s="24" t="n">
        <v>10.31</v>
      </c>
      <c r="N1626" s="24" t="n">
        <v>10.31</v>
      </c>
      <c r="O1626" s="24" t="n">
        <v>10.31</v>
      </c>
    </row>
    <row r="1627">
      <c r="A1627" s="11" t="n">
        <v>3357</v>
      </c>
      <c r="B1627" s="3" t="n">
        <v>45072</v>
      </c>
      <c r="C1627" s="25" t="inlineStr">
        <is>
          <t>GELENEKSEL</t>
        </is>
      </c>
      <c r="D1627" s="3" t="n">
        <v>45075</v>
      </c>
      <c r="E1627" s="3" t="n">
        <v>47800</v>
      </c>
      <c r="F1627" s="25"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3" t="n">
        <v>45075</v>
      </c>
      <c r="C1628" s="22" t="inlineStr">
        <is>
          <t>GELENEKSEL</t>
        </is>
      </c>
      <c r="D1628" s="23" t="n">
        <v>45076</v>
      </c>
      <c r="E1628" s="23" t="n">
        <v>45371</v>
      </c>
      <c r="F1628" s="22" t="inlineStr">
        <is>
          <t>TRT200324T13</t>
        </is>
      </c>
      <c r="G1628" s="8" t="n">
        <v>224000</v>
      </c>
      <c r="H1628" s="8" t="n">
        <v>29000</v>
      </c>
      <c r="I1628" s="24" t="n">
        <v>28762.95</v>
      </c>
      <c r="J1628" s="24" t="n">
        <v>14.02</v>
      </c>
      <c r="K1628" s="24" t="n">
        <v>14.09</v>
      </c>
      <c r="L1628" s="24" t="n">
        <v>14.15</v>
      </c>
      <c r="M1628" s="24" t="n">
        <v>14.52</v>
      </c>
      <c r="N1628" s="24" t="n">
        <v>14.58</v>
      </c>
      <c r="O1628" s="24" t="n">
        <v>14.65</v>
      </c>
    </row>
    <row r="1629">
      <c r="A1629" s="11" t="n">
        <v>3359</v>
      </c>
      <c r="B1629" s="3" t="n">
        <v>45075</v>
      </c>
      <c r="C1629" s="25" t="inlineStr">
        <is>
          <t>GELENEKSEL</t>
        </is>
      </c>
      <c r="D1629" s="3" t="n">
        <v>45076</v>
      </c>
      <c r="E1629" s="3" t="n">
        <v>46547</v>
      </c>
      <c r="F1629" s="25"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3" t="n">
        <v>45075</v>
      </c>
      <c r="C1630" s="22" t="inlineStr">
        <is>
          <t>GELENEKSEL</t>
        </is>
      </c>
      <c r="D1630" s="23" t="n">
        <v>45076</v>
      </c>
      <c r="E1630" s="23" t="n">
        <v>47800</v>
      </c>
      <c r="F1630" s="22" t="inlineStr">
        <is>
          <t>TRT131130T14</t>
        </is>
      </c>
      <c r="G1630" s="8" t="n">
        <v>248000</v>
      </c>
      <c r="H1630" s="8" t="n">
        <v>228000</v>
      </c>
      <c r="I1630" s="24" t="n">
        <v>282382.05</v>
      </c>
      <c r="J1630" s="24" t="n">
        <v>7.38</v>
      </c>
      <c r="K1630" s="24" t="n">
        <v>7.51</v>
      </c>
      <c r="L1630" s="24" t="n">
        <v>7.56</v>
      </c>
      <c r="M1630" s="24" t="n">
        <v>7.52</v>
      </c>
      <c r="N1630" s="24" t="n">
        <v>7.65</v>
      </c>
      <c r="O1630" s="24" t="n">
        <v>7.7</v>
      </c>
    </row>
    <row r="1631">
      <c r="A1631" s="11" t="n">
        <v>3361</v>
      </c>
      <c r="B1631" s="3" t="n">
        <v>45077</v>
      </c>
      <c r="C1631" s="25" t="inlineStr">
        <is>
          <t>GELENEKSEL</t>
        </is>
      </c>
      <c r="D1631" s="3" t="n">
        <v>45078</v>
      </c>
      <c r="E1631" s="3" t="n">
        <v>45931</v>
      </c>
      <c r="F1631" s="25"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3" t="n">
        <v>45077</v>
      </c>
      <c r="C1632" s="22" t="inlineStr">
        <is>
          <t>GELENEKSEL</t>
        </is>
      </c>
      <c r="D1632" s="23" t="n">
        <v>45078</v>
      </c>
      <c r="E1632" s="23" t="n">
        <v>46610</v>
      </c>
      <c r="F1632" s="22" t="inlineStr">
        <is>
          <t>TRT110827T16</t>
        </is>
      </c>
      <c r="G1632" s="8" t="n">
        <v>545000</v>
      </c>
      <c r="H1632" s="8" t="n">
        <v>400000</v>
      </c>
      <c r="I1632" s="24" t="n">
        <v>373736.95</v>
      </c>
      <c r="J1632" s="24" t="n">
        <v>13.44</v>
      </c>
      <c r="K1632" s="24" t="n">
        <v>13.56</v>
      </c>
      <c r="L1632" s="24" t="n">
        <v>13.69</v>
      </c>
      <c r="M1632" s="24" t="n">
        <v>13.89</v>
      </c>
      <c r="N1632" s="24" t="n">
        <v>14.02</v>
      </c>
      <c r="O1632" s="24" t="n">
        <v>14.16</v>
      </c>
    </row>
    <row r="1633">
      <c r="A1633" s="11" t="n">
        <v>3363</v>
      </c>
      <c r="B1633" s="3" t="n">
        <v>45077</v>
      </c>
      <c r="C1633" s="25" t="inlineStr">
        <is>
          <t>GELENEKSEL</t>
        </is>
      </c>
      <c r="D1633" s="3" t="n">
        <v>45078</v>
      </c>
      <c r="E1633" s="3" t="n">
        <v>46820</v>
      </c>
      <c r="F1633" s="25"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3" t="n">
        <v>45078</v>
      </c>
      <c r="C1634" s="22" t="inlineStr">
        <is>
          <t>GELENEKSEL</t>
        </is>
      </c>
      <c r="D1634" s="23" t="n">
        <v>45079</v>
      </c>
      <c r="E1634" s="23" t="n">
        <v>45399</v>
      </c>
      <c r="F1634" s="22" t="inlineStr">
        <is>
          <t>TRT170424T17</t>
        </is>
      </c>
      <c r="G1634" s="8" t="n">
        <v>42000</v>
      </c>
      <c r="H1634" s="8" t="n">
        <v>12000</v>
      </c>
      <c r="I1634" s="24" t="n">
        <v>13261.69</v>
      </c>
      <c r="J1634" s="24" t="n">
        <v>11.03</v>
      </c>
      <c r="K1634" s="24" t="n">
        <v>11.06</v>
      </c>
      <c r="L1634" s="24" t="n">
        <v>11.06</v>
      </c>
      <c r="M1634" s="24" t="n">
        <v>11.33</v>
      </c>
      <c r="N1634" s="24" t="n">
        <v>11.36</v>
      </c>
      <c r="O1634" s="24" t="n">
        <v>11.36</v>
      </c>
    </row>
    <row r="1635">
      <c r="A1635" s="11" t="n">
        <v>3365</v>
      </c>
      <c r="B1635" s="3" t="n">
        <v>45078</v>
      </c>
      <c r="C1635" s="25" t="inlineStr">
        <is>
          <t>GELENEKSEL</t>
        </is>
      </c>
      <c r="D1635" s="3" t="n">
        <v>45079</v>
      </c>
      <c r="E1635" s="3" t="n">
        <v>45931</v>
      </c>
      <c r="F1635" s="25"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3" t="n">
        <v>45078</v>
      </c>
      <c r="C1636" s="22" t="inlineStr">
        <is>
          <t>GELENEKSEL</t>
        </is>
      </c>
      <c r="D1636" s="23" t="n">
        <v>45079</v>
      </c>
      <c r="E1636" s="23" t="n">
        <v>46610</v>
      </c>
      <c r="F1636" s="22" t="inlineStr">
        <is>
          <t>TRT110827T16</t>
        </is>
      </c>
      <c r="G1636" s="8" t="n">
        <v>85000</v>
      </c>
      <c r="H1636" s="8" t="n">
        <v>65000</v>
      </c>
      <c r="I1636" s="24" t="n">
        <v>61141.55</v>
      </c>
      <c r="J1636" s="24" t="n">
        <v>13.36</v>
      </c>
      <c r="K1636" s="24" t="n">
        <v>13.36</v>
      </c>
      <c r="L1636" s="24" t="n">
        <v>13.42</v>
      </c>
      <c r="M1636" s="24" t="n">
        <v>13.81</v>
      </c>
      <c r="N1636" s="24" t="n">
        <v>13.81</v>
      </c>
      <c r="O1636" s="24" t="n">
        <v>13.87</v>
      </c>
    </row>
    <row r="1637">
      <c r="A1637" s="11" t="n">
        <v>3367</v>
      </c>
      <c r="B1637" s="3" t="n">
        <v>45079</v>
      </c>
      <c r="C1637" s="25" t="inlineStr">
        <is>
          <t>GELENEKSEL</t>
        </is>
      </c>
      <c r="D1637" s="3" t="n">
        <v>45082</v>
      </c>
      <c r="E1637" s="3" t="n">
        <v>45728</v>
      </c>
      <c r="F1637" s="25"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3" t="n">
        <v>45079</v>
      </c>
      <c r="C1638" s="22" t="inlineStr">
        <is>
          <t>GELENEKSEL</t>
        </is>
      </c>
      <c r="D1638" s="23" t="n">
        <v>45082</v>
      </c>
      <c r="E1638" s="23" t="n">
        <v>46064</v>
      </c>
      <c r="F1638" s="22" t="inlineStr">
        <is>
          <t>TRT110226T13</t>
        </is>
      </c>
      <c r="G1638" s="8" t="n">
        <v>20000</v>
      </c>
      <c r="H1638" s="8" t="n">
        <v>16000</v>
      </c>
      <c r="I1638" s="24" t="n">
        <v>15552.48</v>
      </c>
      <c r="J1638" s="24" t="n">
        <v>13.3</v>
      </c>
      <c r="K1638" s="24" t="n">
        <v>13.3</v>
      </c>
      <c r="L1638" s="24" t="n">
        <v>13.3</v>
      </c>
      <c r="M1638" s="24" t="n">
        <v>13.75</v>
      </c>
      <c r="N1638" s="24" t="n">
        <v>13.75</v>
      </c>
      <c r="O1638" s="24" t="n">
        <v>13.75</v>
      </c>
    </row>
    <row r="1639">
      <c r="A1639" s="11" t="n">
        <v>3369</v>
      </c>
      <c r="B1639" s="3" t="n">
        <v>45079</v>
      </c>
      <c r="C1639" s="25" t="inlineStr">
        <is>
          <t>GELENEKSEL</t>
        </is>
      </c>
      <c r="D1639" s="3" t="n">
        <v>45082</v>
      </c>
      <c r="E1639" s="3" t="n">
        <v>46610</v>
      </c>
      <c r="F1639" s="25"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3" t="n">
        <v>45082</v>
      </c>
      <c r="C1640" s="22" t="inlineStr">
        <is>
          <t>GELENEKSEL</t>
        </is>
      </c>
      <c r="D1640" s="23" t="n">
        <v>45083</v>
      </c>
      <c r="E1640" s="23" t="n">
        <v>45728</v>
      </c>
      <c r="F1640" s="22" t="inlineStr">
        <is>
          <t>TRT120325T12</t>
        </is>
      </c>
      <c r="G1640" s="8" t="n">
        <v>434000</v>
      </c>
      <c r="H1640" s="8" t="n">
        <v>400000</v>
      </c>
      <c r="I1640" s="24" t="n">
        <v>352066.5</v>
      </c>
      <c r="J1640" s="24" t="n">
        <v>17.19</v>
      </c>
      <c r="K1640" s="24" t="n">
        <v>17.34</v>
      </c>
      <c r="L1640" s="24" t="n">
        <v>19.03</v>
      </c>
      <c r="M1640" s="24" t="n">
        <v>17.93</v>
      </c>
      <c r="N1640" s="24" t="n">
        <v>18.1</v>
      </c>
      <c r="O1640" s="24" t="n">
        <v>19.94</v>
      </c>
    </row>
    <row r="1641">
      <c r="A1641" s="11" t="n">
        <v>3371</v>
      </c>
      <c r="B1641" s="3" t="n">
        <v>45082</v>
      </c>
      <c r="C1641" s="25" t="inlineStr">
        <is>
          <t>GELENEKSEL</t>
        </is>
      </c>
      <c r="D1641" s="3" t="n">
        <v>45083</v>
      </c>
      <c r="E1641" s="3" t="n">
        <v>46064</v>
      </c>
      <c r="F1641" s="25"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3" t="n">
        <v>45082</v>
      </c>
      <c r="C1642" s="22" t="inlineStr">
        <is>
          <t>GELENEKSEL</t>
        </is>
      </c>
      <c r="D1642" s="23" t="n">
        <v>45083</v>
      </c>
      <c r="E1642" s="23" t="n">
        <v>46610</v>
      </c>
      <c r="F1642" s="22" t="inlineStr">
        <is>
          <t>TRT110827T16</t>
        </is>
      </c>
      <c r="G1642" s="8" t="n">
        <v>130000</v>
      </c>
      <c r="H1642" s="8" t="n">
        <v>17000</v>
      </c>
      <c r="I1642" s="24" t="n">
        <v>15205.98</v>
      </c>
      <c r="J1642" s="24" t="n">
        <v>14.97</v>
      </c>
      <c r="K1642" s="24" t="n">
        <v>15.03</v>
      </c>
      <c r="L1642" s="24" t="n">
        <v>15.08</v>
      </c>
      <c r="M1642" s="24" t="n">
        <v>15.53</v>
      </c>
      <c r="N1642" s="24" t="n">
        <v>15.6</v>
      </c>
      <c r="O1642" s="24" t="n">
        <v>15.65</v>
      </c>
    </row>
    <row r="1643">
      <c r="A1643" s="11" t="n">
        <v>3373</v>
      </c>
      <c r="B1643" s="3" t="n">
        <v>45083</v>
      </c>
      <c r="C1643" s="25" t="inlineStr">
        <is>
          <t>GELENEKSEL</t>
        </is>
      </c>
      <c r="D1643" s="3" t="n">
        <v>45084</v>
      </c>
      <c r="E1643" s="3" t="n">
        <v>45728</v>
      </c>
      <c r="F1643" s="25"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3" t="n">
        <v>45083</v>
      </c>
      <c r="C1644" s="22" t="inlineStr">
        <is>
          <t>GELENEKSEL</t>
        </is>
      </c>
      <c r="D1644" s="23" t="n">
        <v>45084</v>
      </c>
      <c r="E1644" s="23" t="n">
        <v>46267</v>
      </c>
      <c r="F1644" s="22" t="inlineStr">
        <is>
          <t>TRT020926T17</t>
        </is>
      </c>
      <c r="G1644" s="8" t="n">
        <v>208000</v>
      </c>
      <c r="H1644" s="8" t="n">
        <v>208000</v>
      </c>
      <c r="I1644" s="24" t="n">
        <v>225027.92</v>
      </c>
      <c r="J1644" s="24" t="n">
        <v>14.87</v>
      </c>
      <c r="K1644" s="24" t="n">
        <v>15.27</v>
      </c>
      <c r="L1644" s="24" t="n">
        <v>15.96</v>
      </c>
      <c r="M1644" s="24" t="n">
        <v>15.42</v>
      </c>
      <c r="N1644" s="24" t="n">
        <v>15.86</v>
      </c>
      <c r="O1644" s="24" t="n">
        <v>16.6</v>
      </c>
    </row>
    <row r="1645">
      <c r="A1645" s="11" t="n">
        <v>3375</v>
      </c>
      <c r="B1645" s="3" t="n">
        <v>45083</v>
      </c>
      <c r="C1645" s="25" t="inlineStr">
        <is>
          <t>GELENEKSEL</t>
        </is>
      </c>
      <c r="D1645" s="3" t="n">
        <v>45084</v>
      </c>
      <c r="E1645" s="3" t="n">
        <v>46645</v>
      </c>
      <c r="F1645" s="25"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3" t="n">
        <v>45084</v>
      </c>
      <c r="C1646" s="22" t="inlineStr">
        <is>
          <t>GELENEKSEL</t>
        </is>
      </c>
      <c r="D1646" s="23" t="n">
        <v>45085</v>
      </c>
      <c r="E1646" s="23" t="n">
        <v>45728</v>
      </c>
      <c r="F1646" s="22" t="inlineStr">
        <is>
          <t>TRT120325T12</t>
        </is>
      </c>
      <c r="G1646" s="8" t="n">
        <v>114000</v>
      </c>
      <c r="H1646" s="8" t="n">
        <v>114000</v>
      </c>
      <c r="I1646" s="24" t="n">
        <v>100654.9</v>
      </c>
      <c r="J1646" s="24" t="n">
        <v>17.16</v>
      </c>
      <c r="K1646" s="24" t="n">
        <v>17.22</v>
      </c>
      <c r="L1646" s="24" t="n">
        <v>17.22</v>
      </c>
      <c r="M1646" s="24" t="n">
        <v>17.89</v>
      </c>
      <c r="N1646" s="24" t="n">
        <v>17.96</v>
      </c>
      <c r="O1646" s="24" t="n">
        <v>17.96</v>
      </c>
    </row>
    <row r="1647">
      <c r="A1647" s="11" t="n">
        <v>3377</v>
      </c>
      <c r="B1647" s="3" t="n">
        <v>45084</v>
      </c>
      <c r="C1647" s="25" t="inlineStr">
        <is>
          <t>GELENEKSEL</t>
        </is>
      </c>
      <c r="D1647" s="3" t="n">
        <v>45085</v>
      </c>
      <c r="E1647" s="3" t="n">
        <v>46442</v>
      </c>
      <c r="F1647" s="25"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3" t="n">
        <v>45084</v>
      </c>
      <c r="C1648" s="22" t="inlineStr">
        <is>
          <t>GELENEKSEL</t>
        </is>
      </c>
      <c r="D1648" s="23" t="n">
        <v>45085</v>
      </c>
      <c r="E1648" s="23" t="n">
        <v>46645</v>
      </c>
      <c r="F1648" s="22" t="inlineStr">
        <is>
          <t>TRT150927T11</t>
        </is>
      </c>
      <c r="G1648" s="8" t="n">
        <v>539000</v>
      </c>
      <c r="H1648" s="8" t="n">
        <v>400000</v>
      </c>
      <c r="I1648" s="24" t="n">
        <v>332210.4</v>
      </c>
      <c r="J1648" s="24" t="n">
        <v>16.55</v>
      </c>
      <c r="K1648" s="24" t="n">
        <v>16.69</v>
      </c>
      <c r="L1648" s="24" t="n">
        <v>16.83</v>
      </c>
      <c r="M1648" s="24" t="n">
        <v>17.23</v>
      </c>
      <c r="N1648" s="24" t="n">
        <v>17.38</v>
      </c>
      <c r="O1648" s="24" t="n">
        <v>17.53</v>
      </c>
    </row>
    <row r="1649">
      <c r="A1649" s="11" t="n">
        <v>3379</v>
      </c>
      <c r="B1649" s="3" t="n">
        <v>45085</v>
      </c>
      <c r="C1649" s="25" t="inlineStr">
        <is>
          <t>GELENEKSEL</t>
        </is>
      </c>
      <c r="D1649" s="3" t="n">
        <v>45086</v>
      </c>
      <c r="E1649" s="3" t="n">
        <v>46064</v>
      </c>
      <c r="F1649" s="25"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3" t="n">
        <v>45085</v>
      </c>
      <c r="C1650" s="22" t="inlineStr">
        <is>
          <t>GELENEKSEL</t>
        </is>
      </c>
      <c r="D1650" s="23" t="n">
        <v>45086</v>
      </c>
      <c r="E1650" s="23" t="n">
        <v>46442</v>
      </c>
      <c r="F1650" s="22" t="inlineStr">
        <is>
          <t>TRT240227T17</t>
        </is>
      </c>
      <c r="G1650" s="8" t="n">
        <v>646000</v>
      </c>
      <c r="H1650" s="8" t="n">
        <v>400000</v>
      </c>
      <c r="I1650" s="24" t="n">
        <v>363280</v>
      </c>
      <c r="J1650" s="24" t="n">
        <v>15.41</v>
      </c>
      <c r="K1650" s="24" t="n">
        <v>15.41</v>
      </c>
      <c r="L1650" s="24" t="n">
        <v>15.41</v>
      </c>
      <c r="M1650" s="24" t="n">
        <v>16</v>
      </c>
      <c r="N1650" s="24" t="n">
        <v>16</v>
      </c>
      <c r="O1650" s="24" t="n">
        <v>16</v>
      </c>
    </row>
    <row r="1651">
      <c r="A1651" s="11" t="n">
        <v>3381</v>
      </c>
      <c r="B1651" s="3" t="n">
        <v>45085</v>
      </c>
      <c r="C1651" s="25" t="inlineStr">
        <is>
          <t>GELENEKSEL</t>
        </is>
      </c>
      <c r="D1651" s="3" t="n">
        <v>45086</v>
      </c>
      <c r="E1651" s="3" t="n">
        <v>46610</v>
      </c>
      <c r="F1651" s="25"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3" t="n">
        <v>45086</v>
      </c>
      <c r="C1652" s="22" t="inlineStr">
        <is>
          <t>GELENEKSEL</t>
        </is>
      </c>
      <c r="D1652" s="23" t="n">
        <v>45089</v>
      </c>
      <c r="E1652" s="23" t="n">
        <v>45931</v>
      </c>
      <c r="F1652" s="22" t="inlineStr">
        <is>
          <t>TRT011025T16</t>
        </is>
      </c>
      <c r="G1652" s="8" t="n">
        <v>177000</v>
      </c>
      <c r="H1652" s="8" t="n">
        <v>0</v>
      </c>
      <c r="I1652" s="24" t="n">
        <v>0</v>
      </c>
    </row>
    <row r="1653">
      <c r="A1653" s="11" t="n">
        <v>3383</v>
      </c>
      <c r="B1653" s="3" t="n">
        <v>45086</v>
      </c>
      <c r="C1653" s="25" t="inlineStr">
        <is>
          <t>GELENEKSEL</t>
        </is>
      </c>
      <c r="D1653" s="3" t="n">
        <v>45089</v>
      </c>
      <c r="E1653" s="3" t="n">
        <v>46267</v>
      </c>
      <c r="F1653" s="25"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3" t="n">
        <v>45086</v>
      </c>
      <c r="C1654" s="22" t="inlineStr">
        <is>
          <t>GELENEKSEL</t>
        </is>
      </c>
      <c r="D1654" s="23" t="n">
        <v>45089</v>
      </c>
      <c r="E1654" s="23" t="n">
        <v>46547</v>
      </c>
      <c r="F1654" s="22" t="inlineStr">
        <is>
          <t>TRT090627T12</t>
        </is>
      </c>
      <c r="G1654" s="8" t="n">
        <v>527000</v>
      </c>
      <c r="H1654" s="8" t="n">
        <v>400000</v>
      </c>
      <c r="I1654" s="24" t="n">
        <v>490416</v>
      </c>
      <c r="J1654" s="24" t="n">
        <v>15.82</v>
      </c>
      <c r="K1654" s="24" t="n">
        <v>15.82</v>
      </c>
      <c r="L1654" s="24" t="n">
        <v>15.82</v>
      </c>
      <c r="M1654" s="24" t="n">
        <v>16.45</v>
      </c>
      <c r="N1654" s="24" t="n">
        <v>16.45</v>
      </c>
      <c r="O1654" s="24" t="n">
        <v>16.45</v>
      </c>
    </row>
    <row r="1655">
      <c r="A1655" s="11" t="n">
        <v>3385</v>
      </c>
      <c r="B1655" s="3" t="n">
        <v>45089</v>
      </c>
      <c r="C1655" s="25" t="inlineStr">
        <is>
          <t>GELENEKSEL</t>
        </is>
      </c>
      <c r="D1655" s="3" t="n">
        <v>45090</v>
      </c>
      <c r="E1655" s="3" t="n">
        <v>45497</v>
      </c>
      <c r="F1655" s="25"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3" t="n">
        <v>45089</v>
      </c>
      <c r="C1656" s="22" t="inlineStr">
        <is>
          <t>GELENEKSEL</t>
        </is>
      </c>
      <c r="D1656" s="23" t="n">
        <v>45090</v>
      </c>
      <c r="E1656" s="23" t="n">
        <v>46064</v>
      </c>
      <c r="F1656" s="22" t="inlineStr">
        <is>
          <t>TRT110226T13</t>
        </is>
      </c>
      <c r="G1656" s="8" t="n">
        <v>50000</v>
      </c>
      <c r="H1656" s="8" t="n">
        <v>50000</v>
      </c>
      <c r="I1656" s="24" t="n">
        <v>47968</v>
      </c>
      <c r="J1656" s="24" t="n">
        <v>14.04</v>
      </c>
      <c r="K1656" s="24" t="n">
        <v>14.04</v>
      </c>
      <c r="L1656" s="24" t="n">
        <v>14.04</v>
      </c>
      <c r="M1656" s="24" t="n">
        <v>14.53</v>
      </c>
      <c r="N1656" s="24" t="n">
        <v>14.53</v>
      </c>
      <c r="O1656" s="24" t="n">
        <v>14.53</v>
      </c>
    </row>
    <row r="1657">
      <c r="A1657" s="11" t="n">
        <v>3387</v>
      </c>
      <c r="B1657" s="3" t="n">
        <v>45089</v>
      </c>
      <c r="C1657" s="25" t="inlineStr">
        <is>
          <t>GELENEKSEL</t>
        </is>
      </c>
      <c r="D1657" s="3" t="n">
        <v>45090</v>
      </c>
      <c r="E1657" s="3" t="n">
        <v>46547</v>
      </c>
      <c r="F1657" s="25"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3" t="n">
        <v>45090</v>
      </c>
      <c r="C1658" s="22" t="inlineStr">
        <is>
          <t>GELENEKSEL</t>
        </is>
      </c>
      <c r="D1658" s="23" t="n">
        <v>45091</v>
      </c>
      <c r="E1658" s="23" t="n">
        <v>45497</v>
      </c>
      <c r="F1658" s="22" t="inlineStr">
        <is>
          <t>TRT240724T15</t>
        </is>
      </c>
      <c r="G1658" s="8" t="n">
        <v>4000</v>
      </c>
      <c r="H1658" s="8" t="n">
        <v>4000</v>
      </c>
      <c r="I1658" s="24" t="n">
        <v>3810.44</v>
      </c>
      <c r="J1658" s="24" t="n">
        <v>17.37</v>
      </c>
      <c r="K1658" s="24" t="n">
        <v>17.37</v>
      </c>
      <c r="L1658" s="24" t="n">
        <v>17.37</v>
      </c>
      <c r="M1658" s="24" t="n">
        <v>18.13</v>
      </c>
      <c r="N1658" s="24" t="n">
        <v>18.13</v>
      </c>
      <c r="O1658" s="24" t="n">
        <v>18.13</v>
      </c>
    </row>
    <row r="1659">
      <c r="A1659" s="11" t="n">
        <v>3389</v>
      </c>
      <c r="B1659" s="3" t="n">
        <v>45090</v>
      </c>
      <c r="C1659" s="25" t="inlineStr">
        <is>
          <t>GELENEKSEL</t>
        </is>
      </c>
      <c r="D1659" s="3" t="n">
        <v>45091</v>
      </c>
      <c r="E1659" s="3" t="n">
        <v>46267</v>
      </c>
      <c r="F1659" s="25"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3" t="n">
        <v>45090</v>
      </c>
      <c r="C1660" s="22" t="inlineStr">
        <is>
          <t>GELENEKSEL</t>
        </is>
      </c>
      <c r="D1660" s="23" t="n">
        <v>45091</v>
      </c>
      <c r="E1660" s="23" t="n">
        <v>46547</v>
      </c>
      <c r="F1660" s="22" t="inlineStr">
        <is>
          <t>TRT090627T12</t>
        </is>
      </c>
      <c r="G1660" s="8" t="n">
        <v>190000</v>
      </c>
      <c r="H1660" s="8" t="n">
        <v>190000</v>
      </c>
      <c r="I1660" s="24" t="n">
        <v>213500.5</v>
      </c>
      <c r="J1660" s="24" t="n">
        <v>15.75</v>
      </c>
      <c r="K1660" s="24" t="n">
        <v>15.9</v>
      </c>
      <c r="L1660" s="24" t="n">
        <v>16.03</v>
      </c>
      <c r="M1660" s="24" t="n">
        <v>16.37</v>
      </c>
      <c r="N1660" s="24" t="n">
        <v>16.54</v>
      </c>
      <c r="O1660" s="24" t="n">
        <v>16.67</v>
      </c>
    </row>
    <row r="1661">
      <c r="A1661" s="11" t="n">
        <v>3391</v>
      </c>
      <c r="B1661" s="3" t="n">
        <v>45091</v>
      </c>
      <c r="C1661" s="25" t="inlineStr">
        <is>
          <t>GELENEKSEL</t>
        </is>
      </c>
      <c r="D1661" s="3" t="n">
        <v>45092</v>
      </c>
      <c r="E1661" s="3" t="n">
        <v>45497</v>
      </c>
      <c r="F1661" s="25"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3" t="n">
        <v>45091</v>
      </c>
      <c r="C1662" s="22" t="inlineStr">
        <is>
          <t>GELENEKSEL</t>
        </is>
      </c>
      <c r="D1662" s="23" t="n">
        <v>45092</v>
      </c>
      <c r="E1662" s="23" t="n">
        <v>46442</v>
      </c>
      <c r="F1662" s="22" t="inlineStr">
        <is>
          <t>TRT240227T17</t>
        </is>
      </c>
      <c r="G1662" s="8" t="n">
        <v>500000</v>
      </c>
      <c r="H1662" s="8" t="n">
        <v>400000</v>
      </c>
      <c r="I1662" s="24" t="n">
        <v>371234.75</v>
      </c>
      <c r="J1662" s="24" t="n">
        <v>14.5</v>
      </c>
      <c r="K1662" s="24" t="n">
        <v>14.72</v>
      </c>
      <c r="L1662" s="24" t="n">
        <v>14.8</v>
      </c>
      <c r="M1662" s="24" t="n">
        <v>15.03</v>
      </c>
      <c r="N1662" s="24" t="n">
        <v>15.26</v>
      </c>
      <c r="O1662" s="24" t="n">
        <v>15.34</v>
      </c>
    </row>
    <row r="1663">
      <c r="A1663" s="11" t="n">
        <v>3393</v>
      </c>
      <c r="B1663" s="3" t="n">
        <v>45091</v>
      </c>
      <c r="C1663" s="25" t="inlineStr">
        <is>
          <t>GELENEKSEL</t>
        </is>
      </c>
      <c r="D1663" s="3" t="n">
        <v>45092</v>
      </c>
      <c r="E1663" s="3" t="n">
        <v>46547</v>
      </c>
      <c r="F1663" s="25" t="inlineStr">
        <is>
          <t>TRT090627T12</t>
        </is>
      </c>
      <c r="G1663" s="11" t="n">
        <v>0</v>
      </c>
      <c r="H1663" s="11" t="n">
        <v>0</v>
      </c>
      <c r="I1663" s="13" t="n">
        <v>0</v>
      </c>
    </row>
    <row r="1664">
      <c r="A1664" s="8" t="n">
        <v>3394</v>
      </c>
      <c r="B1664" s="23" t="n">
        <v>45092</v>
      </c>
      <c r="C1664" s="22" t="inlineStr">
        <is>
          <t>GELENEKSEL</t>
        </is>
      </c>
      <c r="D1664" s="23" t="n">
        <v>45093</v>
      </c>
      <c r="E1664" s="23" t="n">
        <v>45497</v>
      </c>
      <c r="F1664" s="22" t="inlineStr">
        <is>
          <t>TRT240724T15</t>
        </is>
      </c>
      <c r="G1664" s="8" t="n">
        <v>191000</v>
      </c>
      <c r="H1664" s="8" t="n">
        <v>41000</v>
      </c>
      <c r="I1664" s="24" t="n">
        <v>39566.57</v>
      </c>
      <c r="J1664" s="24" t="n">
        <v>16.12</v>
      </c>
      <c r="K1664" s="24" t="n">
        <v>16.12</v>
      </c>
      <c r="L1664" s="24" t="n">
        <v>16.12</v>
      </c>
      <c r="M1664" s="24" t="n">
        <v>16.78</v>
      </c>
      <c r="N1664" s="24" t="n">
        <v>16.78</v>
      </c>
      <c r="O1664" s="24" t="n">
        <v>16.78</v>
      </c>
    </row>
    <row r="1665">
      <c r="A1665" s="11" t="n">
        <v>3395</v>
      </c>
      <c r="B1665" s="3" t="n">
        <v>45092</v>
      </c>
      <c r="C1665" s="25" t="inlineStr">
        <is>
          <t>GELENEKSEL</t>
        </is>
      </c>
      <c r="D1665" s="3" t="n">
        <v>45093</v>
      </c>
      <c r="E1665" s="3" t="n">
        <v>46442</v>
      </c>
      <c r="F1665" s="25"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3" t="n">
        <v>45092</v>
      </c>
      <c r="C1666" s="22" t="inlineStr">
        <is>
          <t>GELENEKSEL</t>
        </is>
      </c>
      <c r="D1666" s="23" t="n">
        <v>45093</v>
      </c>
      <c r="E1666" s="23" t="n">
        <v>46610</v>
      </c>
      <c r="F1666" s="22" t="inlineStr">
        <is>
          <t>TRT110827T16</t>
        </is>
      </c>
      <c r="G1666" s="8" t="n">
        <v>291000</v>
      </c>
      <c r="H1666" s="8" t="n">
        <v>128000</v>
      </c>
      <c r="I1666" s="24" t="n">
        <v>119658.26</v>
      </c>
      <c r="J1666" s="24" t="n">
        <v>13.72</v>
      </c>
      <c r="K1666" s="24" t="n">
        <v>13.72</v>
      </c>
      <c r="L1666" s="24" t="n">
        <v>13.78</v>
      </c>
      <c r="M1666" s="24" t="n">
        <v>14.19</v>
      </c>
      <c r="N1666" s="24" t="n">
        <v>14.19</v>
      </c>
      <c r="O1666" s="24" t="n">
        <v>14.26</v>
      </c>
    </row>
    <row r="1667">
      <c r="A1667" s="11" t="n">
        <v>3397</v>
      </c>
      <c r="B1667" s="3" t="n">
        <v>45093</v>
      </c>
      <c r="C1667" s="25" t="inlineStr">
        <is>
          <t>GELENEKSEL</t>
        </is>
      </c>
      <c r="D1667" s="3" t="n">
        <v>45096</v>
      </c>
      <c r="E1667" s="3" t="n">
        <v>45497</v>
      </c>
      <c r="F1667" s="25"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3" t="n">
        <v>45093</v>
      </c>
      <c r="C1668" s="22" t="inlineStr">
        <is>
          <t>GELENEKSEL</t>
        </is>
      </c>
      <c r="D1668" s="23" t="n">
        <v>45096</v>
      </c>
      <c r="E1668" s="23" t="n">
        <v>46442</v>
      </c>
      <c r="F1668" s="22" t="inlineStr">
        <is>
          <t>TRT240227T17</t>
        </is>
      </c>
      <c r="G1668" s="8" t="n">
        <v>104000</v>
      </c>
      <c r="H1668" s="8" t="n">
        <v>104000</v>
      </c>
      <c r="I1668" s="24" t="n">
        <v>97549.46000000001</v>
      </c>
      <c r="J1668" s="24" t="n">
        <v>14.33</v>
      </c>
      <c r="K1668" s="24" t="n">
        <v>14.39</v>
      </c>
      <c r="L1668" s="24" t="n">
        <v>14.5</v>
      </c>
      <c r="M1668" s="24" t="n">
        <v>14.84</v>
      </c>
      <c r="N1668" s="24" t="n">
        <v>14.91</v>
      </c>
      <c r="O1668" s="24" t="n">
        <v>15.03</v>
      </c>
    </row>
    <row r="1669">
      <c r="A1669" s="11" t="n">
        <v>3399</v>
      </c>
      <c r="B1669" s="3" t="n">
        <v>45093</v>
      </c>
      <c r="C1669" s="25" t="inlineStr">
        <is>
          <t>GELENEKSEL</t>
        </is>
      </c>
      <c r="D1669" s="3" t="n">
        <v>45096</v>
      </c>
      <c r="E1669" s="3" t="n">
        <v>46610</v>
      </c>
      <c r="F1669" s="25"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3" t="n">
        <v>45096</v>
      </c>
      <c r="C1670" s="22" t="inlineStr">
        <is>
          <t>GELENEKSEL</t>
        </is>
      </c>
      <c r="D1670" s="23" t="n">
        <v>45097</v>
      </c>
      <c r="E1670" s="23" t="n">
        <v>45497</v>
      </c>
      <c r="F1670" s="22" t="inlineStr">
        <is>
          <t>TRT240724T15</t>
        </is>
      </c>
      <c r="G1670" s="8" t="n">
        <v>86000</v>
      </c>
      <c r="H1670" s="8" t="n">
        <v>56000</v>
      </c>
      <c r="I1670" s="24" t="n">
        <v>54504.34</v>
      </c>
      <c r="J1670" s="24" t="n">
        <v>15.37</v>
      </c>
      <c r="K1670" s="24" t="n">
        <v>15.41</v>
      </c>
      <c r="L1670" s="24" t="n">
        <v>16.41</v>
      </c>
      <c r="M1670" s="24" t="n">
        <v>15.97</v>
      </c>
      <c r="N1670" s="24" t="n">
        <v>16</v>
      </c>
      <c r="O1670" s="24" t="n">
        <v>17.08</v>
      </c>
    </row>
    <row r="1671">
      <c r="A1671" s="11" t="n">
        <v>3401</v>
      </c>
      <c r="B1671" s="3" t="n">
        <v>45096</v>
      </c>
      <c r="C1671" s="25" t="inlineStr">
        <is>
          <t>GELENEKSEL</t>
        </is>
      </c>
      <c r="D1671" s="3" t="n">
        <v>45097</v>
      </c>
      <c r="E1671" s="3" t="n">
        <v>46442</v>
      </c>
      <c r="F1671" s="25"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3" t="n">
        <v>45096</v>
      </c>
      <c r="C1672" s="22" t="inlineStr">
        <is>
          <t>GELENEKSEL</t>
        </is>
      </c>
      <c r="D1672" s="23" t="n">
        <v>45097</v>
      </c>
      <c r="E1672" s="23" t="n">
        <v>46610</v>
      </c>
      <c r="F1672" s="22" t="inlineStr">
        <is>
          <t>TRT110827T16</t>
        </is>
      </c>
      <c r="G1672" s="8" t="n">
        <v>103000</v>
      </c>
      <c r="H1672" s="8" t="n">
        <v>103000</v>
      </c>
      <c r="I1672" s="24" t="n">
        <v>98205.62</v>
      </c>
      <c r="J1672" s="24" t="n">
        <v>13.06</v>
      </c>
      <c r="K1672" s="24" t="n">
        <v>13.12</v>
      </c>
      <c r="L1672" s="24" t="n">
        <v>13.22</v>
      </c>
      <c r="M1672" s="24" t="n">
        <v>13.49</v>
      </c>
      <c r="N1672" s="24" t="n">
        <v>13.56</v>
      </c>
      <c r="O1672" s="24" t="n">
        <v>13.66</v>
      </c>
    </row>
    <row r="1673">
      <c r="A1673" s="11" t="n">
        <v>3403</v>
      </c>
      <c r="B1673" s="3" t="n">
        <v>45097</v>
      </c>
      <c r="C1673" s="25" t="inlineStr">
        <is>
          <t>GELENEKSEL</t>
        </is>
      </c>
      <c r="D1673" s="3" t="n">
        <v>45098</v>
      </c>
      <c r="E1673" s="3" t="n">
        <v>45497</v>
      </c>
      <c r="F1673" s="25"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3" t="n">
        <v>45097</v>
      </c>
      <c r="C1674" s="22" t="inlineStr">
        <is>
          <t>GELENEKSEL</t>
        </is>
      </c>
      <c r="D1674" s="23" t="n">
        <v>45098</v>
      </c>
      <c r="E1674" s="23" t="n">
        <v>46267</v>
      </c>
      <c r="F1674" s="22" t="inlineStr">
        <is>
          <t>TRT020926T17</t>
        </is>
      </c>
      <c r="G1674" s="8" t="n">
        <v>151000</v>
      </c>
      <c r="H1674" s="8" t="n">
        <v>150000</v>
      </c>
      <c r="I1674" s="24" t="n">
        <v>166312.5</v>
      </c>
      <c r="J1674" s="24" t="n">
        <v>14.46</v>
      </c>
      <c r="K1674" s="24" t="n">
        <v>14.46</v>
      </c>
      <c r="L1674" s="24" t="n">
        <v>14.46</v>
      </c>
      <c r="M1674" s="24" t="n">
        <v>14.99</v>
      </c>
      <c r="N1674" s="24" t="n">
        <v>14.99</v>
      </c>
      <c r="O1674" s="24" t="n">
        <v>14.99</v>
      </c>
    </row>
    <row r="1675">
      <c r="A1675" s="11" t="n">
        <v>3405</v>
      </c>
      <c r="B1675" s="3" t="n">
        <v>45097</v>
      </c>
      <c r="C1675" s="25" t="inlineStr">
        <is>
          <t>GELENEKSEL</t>
        </is>
      </c>
      <c r="D1675" s="3" t="n">
        <v>45098</v>
      </c>
      <c r="E1675" s="3" t="n">
        <v>46442</v>
      </c>
      <c r="F1675" s="25" t="inlineStr">
        <is>
          <t>TRT240227T17</t>
        </is>
      </c>
      <c r="G1675" s="11" t="n">
        <v>1000</v>
      </c>
      <c r="H1675" s="11" t="n">
        <v>0</v>
      </c>
      <c r="I1675" s="13" t="n">
        <v>0</v>
      </c>
    </row>
    <row r="1676">
      <c r="A1676" s="8" t="n">
        <v>3406</v>
      </c>
      <c r="B1676" s="23" t="n">
        <v>45098</v>
      </c>
      <c r="C1676" s="22" t="inlineStr">
        <is>
          <t>GELENEKSEL</t>
        </is>
      </c>
      <c r="D1676" s="23" t="n">
        <v>45099</v>
      </c>
      <c r="E1676" s="23" t="n">
        <v>45497</v>
      </c>
      <c r="F1676" s="22" t="inlineStr">
        <is>
          <t>TRT240724T15</t>
        </is>
      </c>
      <c r="G1676" s="8" t="n">
        <v>35000</v>
      </c>
      <c r="H1676" s="8" t="n">
        <v>35000</v>
      </c>
      <c r="I1676" s="24" t="n">
        <v>34331</v>
      </c>
      <c r="J1676" s="24" t="n">
        <v>14.62</v>
      </c>
      <c r="K1676" s="24" t="n">
        <v>14.69</v>
      </c>
      <c r="L1676" s="24" t="n">
        <v>14.75</v>
      </c>
      <c r="M1676" s="24" t="n">
        <v>15.16</v>
      </c>
      <c r="N1676" s="24" t="n">
        <v>15.23</v>
      </c>
      <c r="O1676" s="24" t="n">
        <v>15.29</v>
      </c>
    </row>
    <row r="1677">
      <c r="A1677" s="11" t="n">
        <v>3407</v>
      </c>
      <c r="B1677" s="3" t="n">
        <v>45098</v>
      </c>
      <c r="C1677" s="25" t="inlineStr">
        <is>
          <t>GELENEKSEL</t>
        </is>
      </c>
      <c r="D1677" s="3" t="n">
        <v>45099</v>
      </c>
      <c r="E1677" s="3" t="n">
        <v>45728</v>
      </c>
      <c r="F1677" s="25" t="inlineStr">
        <is>
          <t>TRT120325T12</t>
        </is>
      </c>
      <c r="G1677" s="11" t="n">
        <v>0</v>
      </c>
      <c r="H1677" s="11" t="n">
        <v>0</v>
      </c>
      <c r="I1677" s="13" t="n">
        <v>0</v>
      </c>
    </row>
    <row r="1678">
      <c r="A1678" s="8" t="n">
        <v>3408</v>
      </c>
      <c r="B1678" s="23" t="n">
        <v>45098</v>
      </c>
      <c r="C1678" s="22" t="inlineStr">
        <is>
          <t>GELENEKSEL</t>
        </is>
      </c>
      <c r="D1678" s="23" t="n">
        <v>45099</v>
      </c>
      <c r="E1678" s="23" t="n">
        <v>46267</v>
      </c>
      <c r="F1678" s="22" t="inlineStr">
        <is>
          <t>TRT020926T17</t>
        </is>
      </c>
      <c r="G1678" s="8" t="n">
        <v>136000</v>
      </c>
      <c r="H1678" s="8" t="n">
        <v>125000</v>
      </c>
      <c r="I1678" s="24" t="n">
        <v>139901.25</v>
      </c>
      <c r="J1678" s="24" t="n">
        <v>14.09</v>
      </c>
      <c r="K1678" s="24" t="n">
        <v>14.09</v>
      </c>
      <c r="L1678" s="24" t="n">
        <v>14.09</v>
      </c>
      <c r="M1678" s="24" t="n">
        <v>14.58</v>
      </c>
      <c r="N1678" s="24" t="n">
        <v>14.58</v>
      </c>
      <c r="O1678" s="24" t="n">
        <v>14.58</v>
      </c>
    </row>
    <row r="1679">
      <c r="A1679" s="11" t="n">
        <v>3409</v>
      </c>
      <c r="B1679" s="3" t="n">
        <v>45415</v>
      </c>
      <c r="C1679" s="25" t="inlineStr">
        <is>
          <t>GELENEKSEL</t>
        </is>
      </c>
      <c r="D1679" s="3" t="n">
        <v>45418</v>
      </c>
      <c r="E1679" s="3" t="n">
        <v>46127</v>
      </c>
      <c r="F1679" s="25"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3" t="n">
        <v>45415</v>
      </c>
      <c r="C1680" s="22" t="inlineStr">
        <is>
          <t>GELENEKSEL</t>
        </is>
      </c>
      <c r="D1680" s="23" t="n">
        <v>45418</v>
      </c>
      <c r="E1680" s="23" t="n">
        <v>47093</v>
      </c>
      <c r="F1680" s="22" t="inlineStr">
        <is>
          <t>TRD061228T14</t>
        </is>
      </c>
      <c r="G1680" s="8" t="n">
        <v>305000</v>
      </c>
      <c r="H1680" s="8" t="n">
        <v>100000</v>
      </c>
      <c r="I1680" s="24" t="n">
        <v>111375.5</v>
      </c>
      <c r="J1680" s="24" t="n">
        <v>28.5</v>
      </c>
      <c r="K1680" s="24" t="n">
        <v>28.5</v>
      </c>
      <c r="L1680" s="24" t="n">
        <v>28.5</v>
      </c>
      <c r="M1680" s="24" t="n">
        <v>30.53</v>
      </c>
      <c r="N1680" s="24" t="n">
        <v>30.53</v>
      </c>
      <c r="O1680" s="24" t="n">
        <v>30.53</v>
      </c>
    </row>
    <row r="1681">
      <c r="A1681" s="11" t="n">
        <v>3411</v>
      </c>
      <c r="B1681" s="3" t="n">
        <v>45415</v>
      </c>
      <c r="C1681" s="25" t="inlineStr">
        <is>
          <t>GELENEKSEL</t>
        </is>
      </c>
      <c r="D1681" s="3" t="n">
        <v>45418</v>
      </c>
      <c r="E1681" s="3" t="n">
        <v>47135</v>
      </c>
      <c r="F1681" s="25"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3" t="n">
        <v>45422</v>
      </c>
      <c r="C1682" s="22" t="inlineStr">
        <is>
          <t>GELENEKSEL</t>
        </is>
      </c>
      <c r="D1682" s="23" t="n">
        <v>45425</v>
      </c>
      <c r="E1682" s="23" t="n">
        <v>47037</v>
      </c>
      <c r="F1682" s="22" t="inlineStr">
        <is>
          <t>TRD111028T19</t>
        </is>
      </c>
      <c r="G1682" s="8" t="n">
        <v>650000</v>
      </c>
      <c r="H1682" s="8" t="n">
        <v>0</v>
      </c>
      <c r="I1682" s="24" t="n">
        <v>0</v>
      </c>
    </row>
    <row r="1683">
      <c r="A1683" s="11" t="n">
        <v>3413</v>
      </c>
      <c r="B1683" s="3" t="n">
        <v>45422</v>
      </c>
      <c r="C1683" s="25" t="inlineStr">
        <is>
          <t>GELENEKSEL</t>
        </is>
      </c>
      <c r="D1683" s="3" t="n">
        <v>45425</v>
      </c>
      <c r="E1683" s="3" t="n">
        <v>47093</v>
      </c>
      <c r="F1683" s="25"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3" t="n">
        <v>45422</v>
      </c>
      <c r="C1684" s="22" t="inlineStr">
        <is>
          <t>GELENEKSEL</t>
        </is>
      </c>
      <c r="D1684" s="23" t="n">
        <v>45425</v>
      </c>
      <c r="E1684" s="23" t="n">
        <v>47135</v>
      </c>
      <c r="F1684" s="22" t="inlineStr">
        <is>
          <t>TRD170129T13</t>
        </is>
      </c>
      <c r="G1684" s="8" t="n">
        <v>420000</v>
      </c>
      <c r="H1684" s="8" t="n">
        <v>0</v>
      </c>
      <c r="I1684" s="24" t="n">
        <v>0</v>
      </c>
    </row>
    <row r="1685">
      <c r="A1685" s="11" t="n">
        <v>3415</v>
      </c>
      <c r="B1685" s="3" t="n">
        <v>45428</v>
      </c>
      <c r="C1685" s="25" t="inlineStr">
        <is>
          <t>GELENEKSEL</t>
        </is>
      </c>
      <c r="D1685" s="3" t="n">
        <v>45429</v>
      </c>
      <c r="E1685" s="3" t="n">
        <v>47093</v>
      </c>
      <c r="F1685" s="25"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3" t="n">
        <v>45428</v>
      </c>
      <c r="C1686" s="22" t="inlineStr">
        <is>
          <t>GELENEKSEL</t>
        </is>
      </c>
      <c r="D1686" s="23" t="n">
        <v>45429</v>
      </c>
      <c r="E1686" s="23" t="n">
        <v>47163</v>
      </c>
      <c r="F1686" s="22" t="inlineStr">
        <is>
          <t>TRD140229T15</t>
        </is>
      </c>
      <c r="G1686" s="8" t="n">
        <v>300000</v>
      </c>
      <c r="H1686" s="8" t="n">
        <v>0</v>
      </c>
      <c r="I1686" s="24" t="n">
        <v>0</v>
      </c>
    </row>
    <row r="1687">
      <c r="A1687" s="11" t="n">
        <v>3417</v>
      </c>
      <c r="B1687" s="3" t="n">
        <v>45434</v>
      </c>
      <c r="C1687" s="25" t="inlineStr">
        <is>
          <t>GELENEKSEL</t>
        </is>
      </c>
      <c r="D1687" s="3" t="n">
        <v>45435</v>
      </c>
      <c r="E1687" s="3" t="n">
        <v>46127</v>
      </c>
      <c r="F1687" s="25" t="inlineStr">
        <is>
          <t>TRD150426T49</t>
        </is>
      </c>
      <c r="G1687" s="11" t="n">
        <v>0</v>
      </c>
      <c r="H1687" s="11" t="n">
        <v>0</v>
      </c>
      <c r="I1687" s="13" t="n">
        <v>0</v>
      </c>
    </row>
    <row r="1688">
      <c r="A1688" s="8" t="n">
        <v>3418</v>
      </c>
      <c r="B1688" s="23" t="n">
        <v>45434</v>
      </c>
      <c r="C1688" s="22" t="inlineStr">
        <is>
          <t>GELENEKSEL</t>
        </is>
      </c>
      <c r="D1688" s="23" t="n">
        <v>45435</v>
      </c>
      <c r="E1688" s="23" t="n">
        <v>46148</v>
      </c>
      <c r="F1688" s="22" t="inlineStr">
        <is>
          <t>TRD060526T15</t>
        </is>
      </c>
      <c r="G1688" s="8" t="n">
        <v>425000</v>
      </c>
      <c r="H1688" s="8" t="n">
        <v>300000</v>
      </c>
      <c r="I1688" s="24" t="n">
        <v>317025</v>
      </c>
      <c r="J1688" s="24" t="n">
        <v>37.65</v>
      </c>
      <c r="K1688" s="24" t="n">
        <v>37.74</v>
      </c>
      <c r="L1688" s="24" t="n">
        <v>37.81</v>
      </c>
      <c r="M1688" s="24" t="n">
        <v>41.19</v>
      </c>
      <c r="N1688" s="24" t="n">
        <v>41.31</v>
      </c>
      <c r="O1688" s="24" t="n">
        <v>41.38</v>
      </c>
    </row>
    <row r="1689">
      <c r="A1689" s="11" t="n">
        <v>3419</v>
      </c>
      <c r="B1689" s="3" t="n">
        <v>45434</v>
      </c>
      <c r="C1689" s="25" t="inlineStr">
        <is>
          <t>GELENEKSEL</t>
        </is>
      </c>
      <c r="D1689" s="3" t="n">
        <v>45435</v>
      </c>
      <c r="E1689" s="3" t="n">
        <v>47135</v>
      </c>
      <c r="F1689" s="25"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3" t="n">
        <v>45440</v>
      </c>
      <c r="C1690" s="22" t="inlineStr">
        <is>
          <t>GELENEKSEL</t>
        </is>
      </c>
      <c r="D1690" s="23" t="n">
        <v>45441</v>
      </c>
      <c r="E1690" s="23" t="n">
        <v>46148</v>
      </c>
      <c r="F1690" s="22" t="inlineStr">
        <is>
          <t>TRD060526T15</t>
        </is>
      </c>
      <c r="G1690" s="8" t="n">
        <v>453000</v>
      </c>
      <c r="H1690" s="8" t="n">
        <v>292000</v>
      </c>
      <c r="I1690" s="24" t="n">
        <v>313906.36</v>
      </c>
      <c r="J1690" s="24" t="n">
        <v>36.56</v>
      </c>
      <c r="K1690" s="24" t="n">
        <v>36.84</v>
      </c>
      <c r="L1690" s="24" t="n">
        <v>37.02</v>
      </c>
      <c r="M1690" s="24" t="n">
        <v>39.9</v>
      </c>
      <c r="N1690" s="24" t="n">
        <v>40.23</v>
      </c>
      <c r="O1690" s="24" t="n">
        <v>40.45</v>
      </c>
    </row>
    <row r="1691">
      <c r="A1691" s="11" t="n">
        <v>3421</v>
      </c>
      <c r="B1691" s="3" t="n">
        <v>45440</v>
      </c>
      <c r="C1691" s="25" t="inlineStr">
        <is>
          <t>GELENEKSEL</t>
        </is>
      </c>
      <c r="D1691" s="3" t="n">
        <v>45441</v>
      </c>
      <c r="E1691" s="3" t="n">
        <v>47037</v>
      </c>
      <c r="F1691" s="25"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3" t="n">
        <v>45440</v>
      </c>
      <c r="C1692" s="22" t="inlineStr">
        <is>
          <t>GELENEKSEL</t>
        </is>
      </c>
      <c r="D1692" s="23" t="n">
        <v>45441</v>
      </c>
      <c r="E1692" s="23" t="n">
        <v>47135</v>
      </c>
      <c r="F1692" s="22" t="inlineStr">
        <is>
          <t>TRD170129T13</t>
        </is>
      </c>
      <c r="G1692" s="8" t="n">
        <v>110000</v>
      </c>
      <c r="H1692" s="8" t="n">
        <v>110000</v>
      </c>
      <c r="I1692" s="24" t="n">
        <v>123090</v>
      </c>
      <c r="J1692" s="24" t="n">
        <v>27.82</v>
      </c>
      <c r="K1692" s="24" t="n">
        <v>27.82</v>
      </c>
      <c r="L1692" s="24" t="n">
        <v>27.82</v>
      </c>
      <c r="M1692" s="24" t="n">
        <v>29.76</v>
      </c>
      <c r="N1692" s="24" t="n">
        <v>29.76</v>
      </c>
      <c r="O1692" s="24" t="n">
        <v>29.76</v>
      </c>
    </row>
    <row r="1693">
      <c r="A1693" s="11" t="n">
        <v>3423</v>
      </c>
      <c r="B1693" s="3" t="n">
        <v>45440</v>
      </c>
      <c r="C1693" s="25" t="inlineStr">
        <is>
          <t>GELENEKSEL</t>
        </is>
      </c>
      <c r="D1693" s="3" t="n">
        <v>45441</v>
      </c>
      <c r="E1693" s="3" t="n">
        <v>47163</v>
      </c>
      <c r="F1693" s="25" t="inlineStr">
        <is>
          <t>TRD140229T15</t>
        </is>
      </c>
      <c r="G1693" s="11" t="n">
        <v>0</v>
      </c>
      <c r="H1693" s="11" t="n">
        <v>0</v>
      </c>
      <c r="I1693" s="13" t="n">
        <v>0</v>
      </c>
    </row>
    <row r="1694">
      <c r="A1694" s="8" t="n">
        <v>3424</v>
      </c>
      <c r="B1694" s="23" t="n">
        <v>45442</v>
      </c>
      <c r="C1694" s="22" t="inlineStr">
        <is>
          <t>GELENEKSEL</t>
        </is>
      </c>
      <c r="D1694" s="23" t="n">
        <v>45443</v>
      </c>
      <c r="E1694" s="23" t="n">
        <v>46127</v>
      </c>
      <c r="F1694" s="22" t="inlineStr">
        <is>
          <t>TRD150426T49</t>
        </is>
      </c>
      <c r="G1694" s="8" t="n">
        <v>400000</v>
      </c>
      <c r="H1694" s="8" t="n">
        <v>0</v>
      </c>
      <c r="I1694" s="24" t="n">
        <v>0</v>
      </c>
    </row>
    <row r="1695">
      <c r="A1695" s="11" t="n">
        <v>3425</v>
      </c>
      <c r="B1695" s="3" t="n">
        <v>45442</v>
      </c>
      <c r="C1695" s="25" t="inlineStr">
        <is>
          <t>GELENEKSEL</t>
        </is>
      </c>
      <c r="D1695" s="3" t="n">
        <v>45443</v>
      </c>
      <c r="E1695" s="3" t="n">
        <v>46148</v>
      </c>
      <c r="F1695" s="25"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3" t="n">
        <v>45455</v>
      </c>
      <c r="C1696" s="22" t="inlineStr">
        <is>
          <t>GELENEKSEL</t>
        </is>
      </c>
      <c r="D1696" s="23" t="n">
        <v>45456</v>
      </c>
      <c r="E1696" s="23" t="n">
        <v>46127</v>
      </c>
      <c r="F1696" s="22" t="inlineStr">
        <is>
          <t>TRD150426T49</t>
        </is>
      </c>
      <c r="G1696" s="8" t="n">
        <v>500000</v>
      </c>
      <c r="H1696" s="8" t="n">
        <v>0</v>
      </c>
      <c r="I1696" s="24" t="n">
        <v>0</v>
      </c>
    </row>
    <row r="1697">
      <c r="A1697" s="11" t="n">
        <v>3427</v>
      </c>
      <c r="B1697" s="3" t="n">
        <v>45455</v>
      </c>
      <c r="C1697" s="25" t="inlineStr">
        <is>
          <t>GELENEKSEL</t>
        </is>
      </c>
      <c r="D1697" s="3" t="n">
        <v>45456</v>
      </c>
      <c r="E1697" s="3" t="n">
        <v>46148</v>
      </c>
      <c r="F1697" s="25"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3" t="n">
        <v>45455</v>
      </c>
      <c r="C1698" s="22" t="inlineStr">
        <is>
          <t>GELENEKSEL</t>
        </is>
      </c>
      <c r="D1698" s="23" t="n">
        <v>45456</v>
      </c>
      <c r="E1698" s="23" t="n">
        <v>48829</v>
      </c>
      <c r="F1698" s="22" t="inlineStr">
        <is>
          <t>TRD070933T11</t>
        </is>
      </c>
      <c r="G1698" s="8" t="n">
        <v>1281000</v>
      </c>
      <c r="H1698" s="8" t="n">
        <v>500000</v>
      </c>
      <c r="I1698" s="24" t="n">
        <v>536780</v>
      </c>
      <c r="J1698" s="24" t="n">
        <v>25.9</v>
      </c>
      <c r="K1698" s="24" t="n">
        <v>25.97</v>
      </c>
      <c r="L1698" s="24" t="n">
        <v>26.04</v>
      </c>
      <c r="M1698" s="24" t="n">
        <v>27.57</v>
      </c>
      <c r="N1698" s="24" t="n">
        <v>27.66</v>
      </c>
      <c r="O1698" s="24" t="n">
        <v>27.73</v>
      </c>
    </row>
    <row r="1699">
      <c r="A1699" s="11" t="n">
        <v>3429</v>
      </c>
      <c r="B1699" s="3" t="n">
        <v>45456</v>
      </c>
      <c r="C1699" s="25" t="inlineStr">
        <is>
          <t>GELENEKSEL</t>
        </is>
      </c>
      <c r="D1699" s="3" t="n">
        <v>45457</v>
      </c>
      <c r="E1699" s="3" t="n">
        <v>46127</v>
      </c>
      <c r="F1699" s="25" t="inlineStr">
        <is>
          <t>TRD150426T49</t>
        </is>
      </c>
      <c r="G1699" s="11" t="n">
        <v>250000</v>
      </c>
      <c r="H1699" s="11" t="n">
        <v>0</v>
      </c>
      <c r="I1699" s="13" t="n">
        <v>0</v>
      </c>
    </row>
    <row r="1700">
      <c r="A1700" s="8" t="n">
        <v>3430</v>
      </c>
      <c r="B1700" s="23" t="n">
        <v>45456</v>
      </c>
      <c r="C1700" s="22" t="inlineStr">
        <is>
          <t>GELENEKSEL</t>
        </is>
      </c>
      <c r="D1700" s="23" t="n">
        <v>45457</v>
      </c>
      <c r="E1700" s="23" t="n">
        <v>46148</v>
      </c>
      <c r="F1700" s="22" t="inlineStr">
        <is>
          <t>TRD060526T15</t>
        </is>
      </c>
      <c r="G1700" s="8" t="n">
        <v>381000</v>
      </c>
      <c r="H1700" s="8" t="n">
        <v>117000</v>
      </c>
      <c r="I1700" s="24" t="n">
        <v>130286.68</v>
      </c>
      <c r="J1700" s="24" t="n">
        <v>34.93</v>
      </c>
      <c r="K1700" s="24" t="n">
        <v>35.18</v>
      </c>
      <c r="L1700" s="24" t="n">
        <v>35.46</v>
      </c>
      <c r="M1700" s="24" t="n">
        <v>37.98</v>
      </c>
      <c r="N1700" s="24" t="n">
        <v>38.28</v>
      </c>
      <c r="O1700" s="24" t="n">
        <v>38.61</v>
      </c>
    </row>
    <row r="1701">
      <c r="A1701" s="11" t="n">
        <v>3431</v>
      </c>
      <c r="B1701" s="3" t="n">
        <v>45457</v>
      </c>
      <c r="C1701" s="25" t="inlineStr">
        <is>
          <t>GELENEKSEL</t>
        </is>
      </c>
      <c r="D1701" s="3" t="n">
        <v>45463</v>
      </c>
      <c r="E1701" s="3" t="n">
        <v>46127</v>
      </c>
      <c r="F1701" s="25" t="inlineStr">
        <is>
          <t>TRD150426T49</t>
        </is>
      </c>
      <c r="G1701" s="11" t="n">
        <v>150000</v>
      </c>
      <c r="H1701" s="11" t="n">
        <v>0</v>
      </c>
      <c r="I1701" s="13" t="n">
        <v>0</v>
      </c>
    </row>
    <row r="1702">
      <c r="A1702" s="8" t="n">
        <v>3432</v>
      </c>
      <c r="B1702" s="23" t="n">
        <v>45457</v>
      </c>
      <c r="C1702" s="22" t="inlineStr">
        <is>
          <t>GELENEKSEL</t>
        </is>
      </c>
      <c r="D1702" s="23" t="n">
        <v>45463</v>
      </c>
      <c r="E1702" s="23" t="n">
        <v>46148</v>
      </c>
      <c r="F1702" s="22" t="inlineStr">
        <is>
          <t>TRD060526T15</t>
        </is>
      </c>
      <c r="G1702" s="8" t="n">
        <v>260000</v>
      </c>
      <c r="H1702" s="8" t="n">
        <v>0</v>
      </c>
      <c r="I1702" s="24" t="n">
        <v>0</v>
      </c>
    </row>
    <row r="1703">
      <c r="A1703" s="11" t="n">
        <v>3433</v>
      </c>
      <c r="B1703" s="3" t="n">
        <v>45457</v>
      </c>
      <c r="C1703" s="25" t="inlineStr">
        <is>
          <t>GELENEKSEL</t>
        </is>
      </c>
      <c r="D1703" s="3" t="n">
        <v>45463</v>
      </c>
      <c r="E1703" s="3" t="n">
        <v>48829</v>
      </c>
      <c r="F1703" s="25"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3" t="n">
        <v>45477</v>
      </c>
      <c r="C1704" s="22" t="inlineStr">
        <is>
          <t>GELENEKSEL</t>
        </is>
      </c>
      <c r="D1704" s="23" t="n">
        <v>45478</v>
      </c>
      <c r="E1704" s="23" t="n">
        <v>46967</v>
      </c>
      <c r="F1704" s="22" t="inlineStr">
        <is>
          <t>TRD020828T14</t>
        </is>
      </c>
      <c r="G1704" s="8" t="n">
        <v>0</v>
      </c>
      <c r="H1704" s="8" t="n">
        <v>0</v>
      </c>
      <c r="I1704" s="24" t="n">
        <v>0</v>
      </c>
    </row>
    <row r="1705">
      <c r="A1705" s="11" t="n">
        <v>3435</v>
      </c>
      <c r="B1705" s="3" t="n">
        <v>45477</v>
      </c>
      <c r="C1705" s="25" t="inlineStr">
        <is>
          <t>GELENEKSEL</t>
        </is>
      </c>
      <c r="D1705" s="3" t="n">
        <v>45478</v>
      </c>
      <c r="E1705" s="3" t="n">
        <v>47037</v>
      </c>
      <c r="F1705" s="25"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3" t="n">
        <v>45477</v>
      </c>
      <c r="C1706" s="22" t="inlineStr">
        <is>
          <t>GELENEKSEL</t>
        </is>
      </c>
      <c r="D1706" s="23" t="n">
        <v>45478</v>
      </c>
      <c r="E1706" s="23" t="n">
        <v>48388</v>
      </c>
      <c r="F1706" s="22" t="inlineStr">
        <is>
          <t>TRD230632T15</t>
        </is>
      </c>
      <c r="G1706" s="8" t="n">
        <v>0</v>
      </c>
      <c r="H1706" s="8" t="n">
        <v>0</v>
      </c>
      <c r="I1706" s="24" t="n">
        <v>0</v>
      </c>
    </row>
    <row r="1707">
      <c r="A1707" s="11" t="n">
        <v>3437</v>
      </c>
      <c r="B1707" s="3" t="n">
        <v>45477</v>
      </c>
      <c r="C1707" s="25" t="inlineStr">
        <is>
          <t>GELENEKSEL</t>
        </is>
      </c>
      <c r="D1707" s="3" t="n">
        <v>45478</v>
      </c>
      <c r="E1707" s="3" t="n">
        <v>48829</v>
      </c>
      <c r="F1707" s="25" t="inlineStr">
        <is>
          <t>TRD070933T11</t>
        </is>
      </c>
      <c r="G1707" s="11" t="n">
        <v>0</v>
      </c>
      <c r="H1707" s="11" t="n">
        <v>0</v>
      </c>
      <c r="I1707" s="13" t="n">
        <v>0</v>
      </c>
    </row>
    <row r="1708">
      <c r="A1708" s="8" t="n">
        <v>3438</v>
      </c>
      <c r="B1708" s="23" t="n">
        <v>45478</v>
      </c>
      <c r="C1708" s="22" t="inlineStr">
        <is>
          <t>GELENEKSEL</t>
        </is>
      </c>
      <c r="D1708" s="23" t="n">
        <v>45481</v>
      </c>
      <c r="E1708" s="23" t="n">
        <v>47135</v>
      </c>
      <c r="F1708" s="22" t="inlineStr">
        <is>
          <t>TRD170129T13</t>
        </is>
      </c>
      <c r="G1708" s="8" t="n">
        <v>120000</v>
      </c>
      <c r="H1708" s="8" t="n">
        <v>120000</v>
      </c>
      <c r="I1708" s="24" t="n">
        <v>138814.8</v>
      </c>
      <c r="J1708" s="24" t="n">
        <v>27.57</v>
      </c>
      <c r="K1708" s="24" t="n">
        <v>27.62</v>
      </c>
      <c r="L1708" s="24" t="n">
        <v>27.65</v>
      </c>
      <c r="M1708" s="24" t="n">
        <v>29.47</v>
      </c>
      <c r="N1708" s="24" t="n">
        <v>29.52</v>
      </c>
      <c r="O1708" s="24" t="n">
        <v>29.56</v>
      </c>
    </row>
    <row r="1709">
      <c r="A1709" s="11" t="n">
        <v>3439</v>
      </c>
      <c r="B1709" s="3" t="n">
        <v>45478</v>
      </c>
      <c r="C1709" s="25" t="inlineStr">
        <is>
          <t>GELENEKSEL</t>
        </is>
      </c>
      <c r="D1709" s="3" t="n">
        <v>45481</v>
      </c>
      <c r="E1709" s="3" t="n">
        <v>47163</v>
      </c>
      <c r="F1709" s="25"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3" t="n">
        <v>45478</v>
      </c>
      <c r="C1710" s="22" t="inlineStr">
        <is>
          <t>GELENEKSEL</t>
        </is>
      </c>
      <c r="D1710" s="23" t="n">
        <v>45481</v>
      </c>
      <c r="E1710" s="23" t="n">
        <v>48829</v>
      </c>
      <c r="F1710" s="22" t="inlineStr">
        <is>
          <t>TRD070933T11</t>
        </is>
      </c>
      <c r="G1710" s="8" t="n">
        <v>600000</v>
      </c>
      <c r="H1710" s="8" t="n">
        <v>360000</v>
      </c>
      <c r="I1710" s="24" t="n">
        <v>401351.7</v>
      </c>
      <c r="J1710" s="24" t="n">
        <v>25.25</v>
      </c>
      <c r="K1710" s="24" t="n">
        <v>25.33</v>
      </c>
      <c r="L1710" s="24" t="n">
        <v>25.47</v>
      </c>
      <c r="M1710" s="24" t="n">
        <v>26.85</v>
      </c>
      <c r="N1710" s="24" t="n">
        <v>26.93</v>
      </c>
      <c r="O1710" s="24" t="n">
        <v>27.1</v>
      </c>
    </row>
    <row r="1711">
      <c r="A1711" s="11" t="n">
        <v>3441</v>
      </c>
      <c r="B1711" s="3" t="n">
        <v>45483</v>
      </c>
      <c r="C1711" s="25" t="inlineStr">
        <is>
          <t>GELENEKSEL</t>
        </is>
      </c>
      <c r="D1711" s="3" t="n">
        <v>45484</v>
      </c>
      <c r="E1711" s="3" t="n">
        <v>47093</v>
      </c>
      <c r="F1711" s="25"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3" t="n">
        <v>45483</v>
      </c>
      <c r="C1712" s="22" t="inlineStr">
        <is>
          <t>GELENEKSEL</t>
        </is>
      </c>
      <c r="D1712" s="23" t="n">
        <v>45484</v>
      </c>
      <c r="E1712" s="23" t="n">
        <v>47135</v>
      </c>
      <c r="F1712" s="22" t="inlineStr">
        <is>
          <t>TRD170129T13</t>
        </is>
      </c>
      <c r="G1712" s="8" t="n">
        <v>30000</v>
      </c>
      <c r="H1712" s="8" t="n">
        <v>0</v>
      </c>
      <c r="I1712" s="24" t="n">
        <v>0</v>
      </c>
    </row>
    <row r="1713">
      <c r="A1713" s="11" t="n">
        <v>3443</v>
      </c>
      <c r="B1713" s="3" t="n">
        <v>45483</v>
      </c>
      <c r="C1713" s="25" t="inlineStr">
        <is>
          <t>GELENEKSEL</t>
        </is>
      </c>
      <c r="D1713" s="3" t="n">
        <v>45484</v>
      </c>
      <c r="E1713" s="3" t="n">
        <v>47163</v>
      </c>
      <c r="F1713" s="25" t="inlineStr">
        <is>
          <t>TRD140229T15</t>
        </is>
      </c>
      <c r="G1713" s="11" t="n">
        <v>75000</v>
      </c>
      <c r="H1713" s="11" t="n">
        <v>0</v>
      </c>
      <c r="I1713" s="13" t="n">
        <v>0</v>
      </c>
    </row>
    <row r="1714">
      <c r="A1714" s="8" t="n">
        <v>3444</v>
      </c>
      <c r="B1714" s="23" t="n">
        <v>45483</v>
      </c>
      <c r="C1714" s="22" t="inlineStr">
        <is>
          <t>GELENEKSEL</t>
        </is>
      </c>
      <c r="D1714" s="23" t="n">
        <v>45484</v>
      </c>
      <c r="E1714" s="23" t="n">
        <v>48829</v>
      </c>
      <c r="F1714" s="22" t="inlineStr">
        <is>
          <t>TRD070933T11</t>
        </is>
      </c>
      <c r="G1714" s="8" t="n">
        <v>435000</v>
      </c>
      <c r="H1714" s="8" t="n">
        <v>435000</v>
      </c>
      <c r="I1714" s="24" t="n">
        <v>486402.45</v>
      </c>
      <c r="J1714" s="24" t="n">
        <v>25.14</v>
      </c>
      <c r="K1714" s="24" t="n">
        <v>25.29</v>
      </c>
      <c r="L1714" s="24" t="n">
        <v>25.54</v>
      </c>
      <c r="M1714" s="24" t="n">
        <v>26.72</v>
      </c>
      <c r="N1714" s="24" t="n">
        <v>26.89</v>
      </c>
      <c r="O1714" s="24" t="n">
        <v>27.17</v>
      </c>
    </row>
    <row r="1715">
      <c r="A1715" s="11" t="n">
        <v>3445</v>
      </c>
      <c r="B1715" s="3" t="n">
        <v>45566</v>
      </c>
      <c r="C1715" s="25" t="inlineStr">
        <is>
          <t>GELENEKSEL</t>
        </is>
      </c>
      <c r="D1715" s="3" t="n">
        <v>45567</v>
      </c>
      <c r="E1715" s="3" t="n">
        <v>46225</v>
      </c>
      <c r="F1715" s="25"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3" t="n">
        <v>45566</v>
      </c>
      <c r="C1716" s="22" t="inlineStr">
        <is>
          <t>GELENEKSEL</t>
        </is>
      </c>
      <c r="D1716" s="23" t="n">
        <v>45567</v>
      </c>
      <c r="E1716" s="23" t="n">
        <v>46281</v>
      </c>
      <c r="F1716" s="22" t="inlineStr">
        <is>
          <t>TRD160926T35</t>
        </is>
      </c>
      <c r="G1716" s="8" t="n">
        <v>250000</v>
      </c>
      <c r="H1716" s="8" t="n">
        <v>0</v>
      </c>
      <c r="I1716" s="24" t="n">
        <v>0</v>
      </c>
    </row>
    <row r="1717">
      <c r="A1717" s="11" t="n">
        <v>3447</v>
      </c>
      <c r="B1717" s="3" t="n">
        <v>45566</v>
      </c>
      <c r="C1717" s="25" t="inlineStr">
        <is>
          <t>GELENEKSEL</t>
        </is>
      </c>
      <c r="D1717" s="3" t="n">
        <v>45567</v>
      </c>
      <c r="E1717" s="3" t="n">
        <v>48430</v>
      </c>
      <c r="F1717" s="25" t="inlineStr">
        <is>
          <t>TRD040832T16</t>
        </is>
      </c>
      <c r="G1717" s="11" t="n">
        <v>42000</v>
      </c>
      <c r="H1717" s="11" t="n">
        <v>0</v>
      </c>
      <c r="I1717" s="13" t="n">
        <v>0</v>
      </c>
    </row>
    <row r="1718">
      <c r="A1718" s="8" t="n">
        <v>3448</v>
      </c>
      <c r="B1718" s="23" t="n">
        <v>45568</v>
      </c>
      <c r="C1718" s="22" t="inlineStr">
        <is>
          <t>GELENEKSEL</t>
        </is>
      </c>
      <c r="D1718" s="23" t="n">
        <v>45569</v>
      </c>
      <c r="E1718" s="23" t="n">
        <v>46225</v>
      </c>
      <c r="F1718" s="22" t="inlineStr">
        <is>
          <t>TRD220726T13</t>
        </is>
      </c>
      <c r="G1718" s="8" t="n">
        <v>1500000</v>
      </c>
      <c r="H1718" s="8" t="n">
        <v>300000</v>
      </c>
      <c r="I1718" s="24" t="n">
        <v>332674.42</v>
      </c>
      <c r="J1718" s="24" t="n">
        <v>35.48</v>
      </c>
      <c r="K1718" s="24" t="n">
        <v>35.63</v>
      </c>
      <c r="L1718" s="24" t="n">
        <v>35.85</v>
      </c>
      <c r="M1718" s="24" t="n">
        <v>38.62</v>
      </c>
      <c r="N1718" s="24" t="n">
        <v>38.81</v>
      </c>
      <c r="O1718" s="24" t="n">
        <v>39.07</v>
      </c>
    </row>
    <row r="1719">
      <c r="A1719" s="11" t="n">
        <v>3449</v>
      </c>
      <c r="B1719" s="3" t="n">
        <v>45568</v>
      </c>
      <c r="C1719" s="25" t="inlineStr">
        <is>
          <t>GELENEKSEL</t>
        </is>
      </c>
      <c r="D1719" s="3" t="n">
        <v>45569</v>
      </c>
      <c r="E1719" s="3" t="n">
        <v>46281</v>
      </c>
      <c r="F1719" s="25" t="inlineStr">
        <is>
          <t>TRD160926T35</t>
        </is>
      </c>
      <c r="G1719" s="11" t="n">
        <v>410000</v>
      </c>
      <c r="H1719" s="11" t="n">
        <v>0</v>
      </c>
      <c r="I1719" s="13" t="n">
        <v>0</v>
      </c>
    </row>
    <row r="1720">
      <c r="A1720" s="8" t="n">
        <v>3450</v>
      </c>
      <c r="B1720" s="23" t="n">
        <v>45568</v>
      </c>
      <c r="C1720" s="22" t="inlineStr">
        <is>
          <t>GELENEKSEL</t>
        </is>
      </c>
      <c r="D1720" s="23" t="n">
        <v>45569</v>
      </c>
      <c r="E1720" s="23" t="n">
        <v>47191</v>
      </c>
      <c r="F1720" s="22" t="inlineStr">
        <is>
          <t>TRD140329T14</t>
        </is>
      </c>
      <c r="G1720" s="8" t="n">
        <v>150000</v>
      </c>
      <c r="H1720" s="8" t="n">
        <v>150000</v>
      </c>
      <c r="I1720" s="24" t="n">
        <v>152541</v>
      </c>
      <c r="J1720" s="24" t="n">
        <v>29.75</v>
      </c>
      <c r="K1720" s="24" t="n">
        <v>29.81</v>
      </c>
      <c r="L1720" s="24" t="n">
        <v>29.86</v>
      </c>
      <c r="M1720" s="24" t="n">
        <v>31.96</v>
      </c>
      <c r="N1720" s="24" t="n">
        <v>32.03</v>
      </c>
      <c r="O1720" s="24" t="n">
        <v>32.09</v>
      </c>
    </row>
    <row r="1721">
      <c r="A1721" s="11" t="n">
        <v>3451</v>
      </c>
      <c r="B1721" s="3" t="n">
        <v>45665</v>
      </c>
      <c r="C1721" s="25" t="inlineStr">
        <is>
          <t>GELENEKSEL</t>
        </is>
      </c>
      <c r="D1721" s="3" t="n">
        <v>45666</v>
      </c>
      <c r="E1721" s="3" t="n">
        <v>46225</v>
      </c>
      <c r="F1721" s="25"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3" t="n">
        <v>45665</v>
      </c>
      <c r="C1722" s="22" t="inlineStr">
        <is>
          <t>GELENEKSEL</t>
        </is>
      </c>
      <c r="D1722" s="23" t="n">
        <v>45666</v>
      </c>
      <c r="E1722" s="23" t="n">
        <v>46281</v>
      </c>
      <c r="F1722" s="22" t="inlineStr">
        <is>
          <t>TRD160926T35</t>
        </is>
      </c>
      <c r="G1722" s="8" t="n">
        <v>300000</v>
      </c>
      <c r="H1722" s="8" t="n">
        <v>100000</v>
      </c>
      <c r="I1722" s="24" t="n">
        <v>112796.5</v>
      </c>
      <c r="J1722" s="24" t="n">
        <v>36</v>
      </c>
      <c r="K1722" s="24" t="n">
        <v>36.13</v>
      </c>
      <c r="L1722" s="24" t="n">
        <v>36.28</v>
      </c>
      <c r="M1722" s="24" t="n">
        <v>39.24</v>
      </c>
      <c r="N1722" s="24" t="n">
        <v>39.39</v>
      </c>
      <c r="O1722" s="24" t="n">
        <v>39.58</v>
      </c>
    </row>
    <row r="1723">
      <c r="A1723" s="11" t="n">
        <v>3453</v>
      </c>
      <c r="B1723" s="3" t="n">
        <v>45665</v>
      </c>
      <c r="C1723" s="25" t="inlineStr">
        <is>
          <t>GELENEKSEL</t>
        </is>
      </c>
      <c r="D1723" s="3" t="n">
        <v>45666</v>
      </c>
      <c r="E1723" s="3" t="n">
        <v>47093</v>
      </c>
      <c r="F1723" s="25" t="inlineStr">
        <is>
          <t>TRD061228T14</t>
        </is>
      </c>
      <c r="G1723" s="11" t="n">
        <v>3495000</v>
      </c>
      <c r="H1723" s="11" t="n">
        <v>0</v>
      </c>
      <c r="I1723" s="13" t="n">
        <v>0</v>
      </c>
    </row>
    <row r="1724">
      <c r="A1724" s="8" t="n">
        <v>3454</v>
      </c>
      <c r="B1724" s="23" t="n">
        <v>45694</v>
      </c>
      <c r="C1724" s="22" t="inlineStr">
        <is>
          <t>GELENEKSEL</t>
        </is>
      </c>
      <c r="D1724" s="23" t="n">
        <v>45695</v>
      </c>
      <c r="E1724" s="23" t="n">
        <v>46246</v>
      </c>
      <c r="F1724" s="22" t="inlineStr">
        <is>
          <t>TRD120826T14</t>
        </is>
      </c>
      <c r="G1724" s="8" t="n">
        <v>300000</v>
      </c>
      <c r="H1724" s="8" t="n">
        <v>150000</v>
      </c>
      <c r="I1724" s="24" t="n">
        <v>180978</v>
      </c>
      <c r="J1724" s="24" t="n">
        <v>35.07</v>
      </c>
      <c r="K1724" s="24" t="n">
        <v>35.54</v>
      </c>
      <c r="L1724" s="24" t="n">
        <v>35.92</v>
      </c>
      <c r="M1724" s="24" t="n">
        <v>38.15</v>
      </c>
      <c r="N1724" s="24" t="n">
        <v>38.7</v>
      </c>
      <c r="O1724" s="24" t="n">
        <v>39.14</v>
      </c>
    </row>
    <row r="1725">
      <c r="A1725" s="11" t="n">
        <v>3455</v>
      </c>
      <c r="B1725" s="3" t="n">
        <v>45694</v>
      </c>
      <c r="C1725" s="25" t="inlineStr">
        <is>
          <t>GELENEKSEL</t>
        </is>
      </c>
      <c r="D1725" s="3" t="n">
        <v>45695</v>
      </c>
      <c r="E1725" s="3" t="n">
        <v>46309</v>
      </c>
      <c r="F1725" s="25"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3" t="n">
        <v>45694</v>
      </c>
      <c r="C1726" s="22" t="inlineStr">
        <is>
          <t>GELENEKSEL</t>
        </is>
      </c>
      <c r="D1726" s="23" t="n">
        <v>45695</v>
      </c>
      <c r="E1726" s="23" t="n">
        <v>46372</v>
      </c>
      <c r="F1726" s="22" t="inlineStr">
        <is>
          <t>TRD161226T14</t>
        </is>
      </c>
      <c r="G1726" s="8" t="n">
        <v>250000</v>
      </c>
      <c r="H1726" s="8" t="n">
        <v>150000</v>
      </c>
      <c r="I1726" s="24" t="n">
        <v>160388</v>
      </c>
      <c r="J1726" s="24" t="n">
        <v>34</v>
      </c>
      <c r="K1726" s="24" t="n">
        <v>35.41</v>
      </c>
      <c r="L1726" s="24" t="n">
        <v>36.44</v>
      </c>
      <c r="M1726" s="24" t="n">
        <v>36.89</v>
      </c>
      <c r="N1726" s="24" t="n">
        <v>38.54</v>
      </c>
      <c r="O1726" s="24" t="n">
        <v>39.76</v>
      </c>
    </row>
    <row r="1727">
      <c r="A1727" s="11" t="n">
        <v>3457</v>
      </c>
      <c r="B1727" s="3" t="n">
        <v>45694</v>
      </c>
      <c r="C1727" s="25" t="inlineStr">
        <is>
          <t>GELENEKSEL</t>
        </is>
      </c>
      <c r="D1727" s="3" t="n">
        <v>45695</v>
      </c>
      <c r="E1727" s="3" t="n">
        <v>47191</v>
      </c>
      <c r="F1727" s="25" t="inlineStr">
        <is>
          <t>TRD140329T14</t>
        </is>
      </c>
      <c r="G1727" s="11" t="n">
        <v>0</v>
      </c>
      <c r="H1727" s="11" t="n">
        <v>0</v>
      </c>
      <c r="I1727" s="13" t="n">
        <v>0</v>
      </c>
    </row>
    <row r="1728">
      <c r="A1728" s="8" t="n">
        <v>3458</v>
      </c>
      <c r="B1728" s="23" t="n">
        <v>45701</v>
      </c>
      <c r="C1728" s="22" t="inlineStr">
        <is>
          <t>GELENEKSEL</t>
        </is>
      </c>
      <c r="D1728" s="23" t="n">
        <v>45702</v>
      </c>
      <c r="E1728" s="23" t="n">
        <v>46309</v>
      </c>
      <c r="F1728" s="22" t="inlineStr">
        <is>
          <t>TRD141026T18</t>
        </is>
      </c>
      <c r="G1728" s="8" t="n">
        <v>250000</v>
      </c>
      <c r="H1728" s="8" t="n">
        <v>0</v>
      </c>
      <c r="I1728" s="24" t="n">
        <v>0</v>
      </c>
    </row>
    <row r="1729">
      <c r="A1729" s="11" t="n">
        <v>3459</v>
      </c>
      <c r="B1729" s="3" t="n">
        <v>45701</v>
      </c>
      <c r="C1729" s="25" t="inlineStr">
        <is>
          <t>GELENEKSEL</t>
        </is>
      </c>
      <c r="D1729" s="3" t="n">
        <v>45702</v>
      </c>
      <c r="E1729" s="3" t="n">
        <v>46337</v>
      </c>
      <c r="F1729" s="25" t="inlineStr">
        <is>
          <t>TRD111126T10</t>
        </is>
      </c>
      <c r="G1729" s="11" t="n">
        <v>255000</v>
      </c>
      <c r="H1729" s="11" t="n">
        <v>0</v>
      </c>
      <c r="I1729" s="13" t="n">
        <v>0</v>
      </c>
    </row>
    <row r="1730">
      <c r="A1730" s="8" t="n">
        <v>3460</v>
      </c>
      <c r="B1730" s="23" t="n">
        <v>45701</v>
      </c>
      <c r="C1730" s="22" t="inlineStr">
        <is>
          <t>GELENEKSEL</t>
        </is>
      </c>
      <c r="D1730" s="23" t="n">
        <v>45702</v>
      </c>
      <c r="E1730" s="23" t="n">
        <v>47191</v>
      </c>
      <c r="F1730" s="22" t="inlineStr">
        <is>
          <t>TRD140329T14</t>
        </is>
      </c>
      <c r="G1730" s="8" t="n">
        <v>0</v>
      </c>
      <c r="H1730" s="8" t="n">
        <v>0</v>
      </c>
      <c r="I1730" s="24" t="n">
        <v>0</v>
      </c>
    </row>
    <row r="1731">
      <c r="A1731" s="11" t="n">
        <v>3461</v>
      </c>
      <c r="B1731" s="3" t="n">
        <v>45729</v>
      </c>
      <c r="C1731" s="25" t="inlineStr">
        <is>
          <t>GELENEKSEL</t>
        </is>
      </c>
      <c r="D1731" s="3" t="n">
        <v>45730</v>
      </c>
      <c r="E1731" s="3" t="n">
        <v>46246</v>
      </c>
      <c r="F1731" s="25" t="inlineStr">
        <is>
          <t>TRD120826T14</t>
        </is>
      </c>
      <c r="G1731" s="11" t="n">
        <v>15000</v>
      </c>
      <c r="H1731" s="11" t="n">
        <v>0</v>
      </c>
      <c r="I1731" s="13" t="n">
        <v>0</v>
      </c>
    </row>
    <row r="1732">
      <c r="A1732" s="8" t="n">
        <v>3462</v>
      </c>
      <c r="B1732" s="23" t="n">
        <v>45729</v>
      </c>
      <c r="C1732" s="22" t="inlineStr">
        <is>
          <t>GELENEKSEL</t>
        </is>
      </c>
      <c r="D1732" s="23" t="n">
        <v>45730</v>
      </c>
      <c r="E1732" s="23" t="n">
        <v>46428</v>
      </c>
      <c r="F1732" s="22" t="inlineStr">
        <is>
          <t>TRD100227T11</t>
        </is>
      </c>
      <c r="G1732" s="8" t="n">
        <v>75000</v>
      </c>
      <c r="H1732" s="8" t="n">
        <v>75000</v>
      </c>
      <c r="I1732" s="24" t="n">
        <v>78645</v>
      </c>
      <c r="J1732" s="24" t="n">
        <v>33.09</v>
      </c>
      <c r="K1732" s="24" t="n">
        <v>33.09</v>
      </c>
      <c r="L1732" s="24" t="n">
        <v>33.09</v>
      </c>
      <c r="M1732" s="24" t="n">
        <v>35.83</v>
      </c>
      <c r="N1732" s="24" t="n">
        <v>35.83</v>
      </c>
      <c r="O1732" s="24" t="n">
        <v>35.83</v>
      </c>
    </row>
    <row r="1733">
      <c r="A1733" s="11" t="n">
        <v>3463</v>
      </c>
      <c r="B1733" s="3" t="n">
        <v>45729</v>
      </c>
      <c r="C1733" s="25" t="inlineStr">
        <is>
          <t>GELENEKSEL</t>
        </is>
      </c>
      <c r="D1733" s="3" t="n">
        <v>45730</v>
      </c>
      <c r="E1733" s="3" t="n">
        <v>47191</v>
      </c>
      <c r="F1733" s="25" t="inlineStr">
        <is>
          <t>TRD140329T14</t>
        </is>
      </c>
      <c r="G1733" s="11" t="n">
        <v>0</v>
      </c>
      <c r="H1733" s="11" t="n">
        <v>0</v>
      </c>
      <c r="I1733" s="13" t="n">
        <v>0</v>
      </c>
    </row>
    <row r="1734">
      <c r="A1734" s="8" t="n">
        <v>3464</v>
      </c>
      <c r="B1734" s="23" t="n">
        <v>45744</v>
      </c>
      <c r="C1734" s="22" t="inlineStr">
        <is>
          <t>GELENEKSEL</t>
        </is>
      </c>
      <c r="D1734" s="23" t="n">
        <v>45749</v>
      </c>
      <c r="E1734" s="23" t="n">
        <v>47002</v>
      </c>
      <c r="F1734" s="22" t="inlineStr">
        <is>
          <t>TRT060928T11</t>
        </is>
      </c>
      <c r="G1734" s="8" t="n">
        <v>2281000</v>
      </c>
      <c r="H1734" s="8" t="n">
        <v>961000</v>
      </c>
      <c r="I1734" s="24" t="n">
        <v>933821.78</v>
      </c>
      <c r="J1734" s="24" t="n">
        <v>45.05</v>
      </c>
      <c r="K1734" s="24" t="n">
        <v>45.27</v>
      </c>
      <c r="L1734" s="24" t="n">
        <v>45.4</v>
      </c>
      <c r="M1734" s="24" t="n">
        <v>53.25</v>
      </c>
      <c r="N1734" s="24" t="n">
        <v>53.55</v>
      </c>
      <c r="O1734" s="24" t="n">
        <v>53.73</v>
      </c>
    </row>
    <row r="1735">
      <c r="A1735" s="11" t="n">
        <v>3465</v>
      </c>
      <c r="B1735" s="3" t="n">
        <v>45744</v>
      </c>
      <c r="C1735" s="25" t="inlineStr">
        <is>
          <t>GELENEKSEL</t>
        </is>
      </c>
      <c r="D1735" s="3" t="n">
        <v>45749</v>
      </c>
      <c r="E1735" s="3" t="n">
        <v>47093</v>
      </c>
      <c r="F1735" s="25"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3" t="n">
        <v>45744</v>
      </c>
      <c r="C1736" s="22" t="inlineStr">
        <is>
          <t>GELENEKSEL</t>
        </is>
      </c>
      <c r="D1736" s="23" t="n">
        <v>45749</v>
      </c>
      <c r="E1736" s="23" t="n">
        <v>47184</v>
      </c>
      <c r="F1736" s="22" t="inlineStr">
        <is>
          <t>TRT070329T15</t>
        </is>
      </c>
      <c r="G1736" s="8" t="n">
        <v>2136000</v>
      </c>
      <c r="H1736" s="8" t="n">
        <v>1244000</v>
      </c>
      <c r="I1736" s="24" t="n">
        <v>1210223.94</v>
      </c>
      <c r="J1736" s="24" t="n">
        <v>45.2</v>
      </c>
      <c r="K1736" s="24" t="n">
        <v>45.29</v>
      </c>
      <c r="L1736" s="24" t="n">
        <v>45.39</v>
      </c>
      <c r="M1736" s="24" t="n">
        <v>53.45</v>
      </c>
      <c r="N1736" s="24" t="n">
        <v>53.58</v>
      </c>
      <c r="O1736" s="24" t="n">
        <v>53.71</v>
      </c>
    </row>
    <row r="1737">
      <c r="A1737" s="11" t="n">
        <v>3467</v>
      </c>
      <c r="B1737" s="3" t="n">
        <v>45749</v>
      </c>
      <c r="C1737" s="25" t="inlineStr">
        <is>
          <t>GELENEKSEL</t>
        </is>
      </c>
      <c r="D1737" s="3" t="n">
        <v>45750</v>
      </c>
      <c r="E1737" s="3" t="n">
        <v>46246</v>
      </c>
      <c r="F1737" s="25"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3" t="n">
        <v>45749</v>
      </c>
      <c r="C1738" s="22" t="inlineStr">
        <is>
          <t>GELENEKSEL</t>
        </is>
      </c>
      <c r="D1738" s="23" t="n">
        <v>45750</v>
      </c>
      <c r="E1738" s="23" t="n">
        <v>46890</v>
      </c>
      <c r="F1738" s="22" t="inlineStr">
        <is>
          <t>TRT170528T12</t>
        </is>
      </c>
      <c r="G1738" s="8" t="n">
        <v>6495000</v>
      </c>
      <c r="H1738" s="8" t="n">
        <v>4155000</v>
      </c>
      <c r="I1738" s="24" t="n">
        <v>4208744.9</v>
      </c>
      <c r="J1738" s="24" t="n">
        <v>46.4</v>
      </c>
      <c r="K1738" s="24" t="n">
        <v>46.77</v>
      </c>
      <c r="L1738" s="24" t="n">
        <v>46.93</v>
      </c>
      <c r="M1738" s="24" t="n">
        <v>55.12</v>
      </c>
      <c r="N1738" s="24" t="n">
        <v>55.64</v>
      </c>
      <c r="O1738" s="24" t="n">
        <v>55.86</v>
      </c>
    </row>
    <row r="1739">
      <c r="A1739" s="11" t="n">
        <v>3469</v>
      </c>
      <c r="B1739" s="3" t="n">
        <v>45749</v>
      </c>
      <c r="C1739" s="25" t="inlineStr">
        <is>
          <t>GELENEKSEL</t>
        </is>
      </c>
      <c r="D1739" s="3" t="n">
        <v>45750</v>
      </c>
      <c r="E1739" s="3" t="n">
        <v>47002</v>
      </c>
      <c r="F1739" s="25"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3" t="n">
        <v>45749</v>
      </c>
      <c r="C1740" s="22" t="inlineStr">
        <is>
          <t>GELENEKSEL</t>
        </is>
      </c>
      <c r="D1740" s="23" t="n">
        <v>45750</v>
      </c>
      <c r="E1740" s="23" t="n">
        <v>47065</v>
      </c>
      <c r="F1740" s="22" t="inlineStr">
        <is>
          <t>TRT081128T15</t>
        </is>
      </c>
      <c r="G1740" s="8" t="n">
        <v>5542000</v>
      </c>
      <c r="H1740" s="8" t="n">
        <v>3462000</v>
      </c>
      <c r="I1740" s="24" t="n">
        <v>3605813.18</v>
      </c>
      <c r="J1740" s="24" t="n">
        <v>34.83</v>
      </c>
      <c r="K1740" s="24" t="n">
        <v>34.99</v>
      </c>
      <c r="L1740" s="24" t="n">
        <v>35.08</v>
      </c>
      <c r="M1740" s="24" t="n">
        <v>37.86</v>
      </c>
      <c r="N1740" s="24" t="n">
        <v>38.05</v>
      </c>
      <c r="O1740" s="24" t="n">
        <v>38.16</v>
      </c>
    </row>
    <row r="1741">
      <c r="A1741" s="11" t="n">
        <v>3471</v>
      </c>
      <c r="B1741" s="3" t="n">
        <v>45749</v>
      </c>
      <c r="C1741" s="25" t="inlineStr">
        <is>
          <t>GELENEKSEL</t>
        </is>
      </c>
      <c r="D1741" s="3" t="n">
        <v>45750</v>
      </c>
      <c r="E1741" s="3" t="n">
        <v>47093</v>
      </c>
      <c r="F1741" s="25"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3" t="n">
        <v>45749</v>
      </c>
      <c r="C1742" s="22" t="inlineStr">
        <is>
          <t>GELENEKSEL</t>
        </is>
      </c>
      <c r="D1742" s="23" t="n">
        <v>45750</v>
      </c>
      <c r="E1742" s="23" t="n">
        <v>48857</v>
      </c>
      <c r="F1742" s="22" t="inlineStr">
        <is>
          <t>TRT051033T12</t>
        </is>
      </c>
      <c r="G1742" s="8" t="n">
        <v>6499000</v>
      </c>
      <c r="H1742" s="8" t="n">
        <v>1989000</v>
      </c>
      <c r="I1742" s="24" t="n">
        <v>2000690.96</v>
      </c>
      <c r="J1742" s="24" t="n">
        <v>29.87</v>
      </c>
      <c r="K1742" s="24" t="n">
        <v>30.01</v>
      </c>
      <c r="L1742" s="24" t="n">
        <v>30.04</v>
      </c>
      <c r="M1742" s="24" t="n">
        <v>32.1</v>
      </c>
      <c r="N1742" s="24" t="n">
        <v>32.26</v>
      </c>
      <c r="O1742" s="24" t="n">
        <v>32.3</v>
      </c>
    </row>
    <row r="1743">
      <c r="A1743" s="11" t="n">
        <v>3473</v>
      </c>
      <c r="B1743" s="3" t="n">
        <v>45750</v>
      </c>
      <c r="C1743" s="25" t="inlineStr">
        <is>
          <t>GELENEKSEL</t>
        </is>
      </c>
      <c r="D1743" s="3" t="n">
        <v>45751</v>
      </c>
      <c r="E1743" s="3" t="n">
        <v>46071</v>
      </c>
      <c r="F1743" s="25" t="inlineStr">
        <is>
          <t>TRT180226T16</t>
        </is>
      </c>
      <c r="G1743" s="11" t="n">
        <v>12863000</v>
      </c>
      <c r="H1743" s="11" t="n">
        <v>0</v>
      </c>
      <c r="I1743" s="13" t="n">
        <v>0</v>
      </c>
    </row>
    <row r="1744">
      <c r="A1744" s="8" t="n">
        <v>3474</v>
      </c>
      <c r="B1744" s="23" t="n">
        <v>45750</v>
      </c>
      <c r="C1744" s="22" t="inlineStr">
        <is>
          <t>GELENEKSEL</t>
        </is>
      </c>
      <c r="D1744" s="23" t="n">
        <v>45751</v>
      </c>
      <c r="E1744" s="23" t="n">
        <v>46890</v>
      </c>
      <c r="F1744" s="22" t="inlineStr">
        <is>
          <t>TRT170528T12</t>
        </is>
      </c>
      <c r="G1744" s="8" t="n">
        <v>4652000</v>
      </c>
      <c r="H1744" s="8" t="n">
        <v>3489000</v>
      </c>
      <c r="I1744" s="24" t="n">
        <v>3582642.83</v>
      </c>
      <c r="J1744" s="24" t="n">
        <v>45.77</v>
      </c>
      <c r="K1744" s="24" t="n">
        <v>45.96</v>
      </c>
      <c r="L1744" s="24" t="n">
        <v>46.12</v>
      </c>
      <c r="M1744" s="24" t="n">
        <v>54.25</v>
      </c>
      <c r="N1744" s="24" t="n">
        <v>54.51</v>
      </c>
      <c r="O1744" s="24" t="n">
        <v>54.73</v>
      </c>
    </row>
    <row r="1745">
      <c r="A1745" s="11" t="n">
        <v>3475</v>
      </c>
      <c r="B1745" s="3" t="n">
        <v>45750</v>
      </c>
      <c r="C1745" s="25" t="inlineStr">
        <is>
          <t>GELENEKSEL</t>
        </is>
      </c>
      <c r="D1745" s="3" t="n">
        <v>45751</v>
      </c>
      <c r="E1745" s="3" t="n">
        <v>47002</v>
      </c>
      <c r="F1745" s="25"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3" t="n">
        <v>45750</v>
      </c>
      <c r="C1746" s="22" t="inlineStr">
        <is>
          <t>GELENEKSEL</t>
        </is>
      </c>
      <c r="D1746" s="23" t="n">
        <v>45751</v>
      </c>
      <c r="E1746" s="23" t="n">
        <v>47065</v>
      </c>
      <c r="F1746" s="22" t="inlineStr">
        <is>
          <t>TRT081128T15</t>
        </is>
      </c>
      <c r="G1746" s="8" t="n">
        <v>8790000</v>
      </c>
      <c r="H1746" s="8" t="n">
        <v>7189000</v>
      </c>
      <c r="I1746" s="24" t="n">
        <v>7572809.5</v>
      </c>
      <c r="J1746" s="24" t="n">
        <v>34.11</v>
      </c>
      <c r="K1746" s="24" t="n">
        <v>34.39</v>
      </c>
      <c r="L1746" s="24" t="n">
        <v>34.49</v>
      </c>
      <c r="M1746" s="24" t="n">
        <v>37.02</v>
      </c>
      <c r="N1746" s="24" t="n">
        <v>37.35</v>
      </c>
      <c r="O1746" s="24" t="n">
        <v>37.46</v>
      </c>
    </row>
    <row r="1747">
      <c r="A1747" s="11" t="n">
        <v>3477</v>
      </c>
      <c r="B1747" s="3" t="n">
        <v>45750</v>
      </c>
      <c r="C1747" s="25" t="inlineStr">
        <is>
          <t>GELENEKSEL</t>
        </is>
      </c>
      <c r="D1747" s="3" t="n">
        <v>45751</v>
      </c>
      <c r="E1747" s="3" t="n">
        <v>47093</v>
      </c>
      <c r="F1747" s="25"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3" t="n">
        <v>45750</v>
      </c>
      <c r="C1748" s="22" t="inlineStr">
        <is>
          <t>GELENEKSEL</t>
        </is>
      </c>
      <c r="D1748" s="23" t="n">
        <v>45751</v>
      </c>
      <c r="E1748" s="23" t="n">
        <v>48857</v>
      </c>
      <c r="F1748" s="22" t="inlineStr">
        <is>
          <t>TRT051033T12</t>
        </is>
      </c>
      <c r="G1748" s="8" t="n">
        <v>10068000</v>
      </c>
      <c r="H1748" s="8" t="n">
        <v>9193000</v>
      </c>
      <c r="I1748" s="24" t="n">
        <v>9323177.49</v>
      </c>
      <c r="J1748" s="24" t="n">
        <v>29.43</v>
      </c>
      <c r="K1748" s="24" t="n">
        <v>29.73</v>
      </c>
      <c r="L1748" s="24" t="n">
        <v>29.82</v>
      </c>
      <c r="M1748" s="24" t="n">
        <v>31.6</v>
      </c>
      <c r="N1748" s="24" t="n">
        <v>31.94</v>
      </c>
      <c r="O1748" s="24" t="n">
        <v>32.05</v>
      </c>
    </row>
    <row r="1749">
      <c r="A1749" s="11" t="n">
        <v>3479</v>
      </c>
      <c r="B1749" s="3" t="n">
        <v>45751</v>
      </c>
      <c r="C1749" s="25" t="inlineStr">
        <is>
          <t>GELENEKSEL</t>
        </is>
      </c>
      <c r="D1749" s="3" t="n">
        <v>45754</v>
      </c>
      <c r="E1749" s="3" t="n">
        <v>46071</v>
      </c>
      <c r="F1749" s="25"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3" t="n">
        <v>45751</v>
      </c>
      <c r="C1750" s="22" t="inlineStr">
        <is>
          <t>GELENEKSEL</t>
        </is>
      </c>
      <c r="D1750" s="23" t="n">
        <v>45754</v>
      </c>
      <c r="E1750" s="23" t="n">
        <v>46673</v>
      </c>
      <c r="F1750" s="22" t="inlineStr">
        <is>
          <t>TRT131027T10</t>
        </is>
      </c>
      <c r="G1750" s="8" t="n">
        <v>11375000</v>
      </c>
      <c r="H1750" s="8" t="n">
        <v>0</v>
      </c>
      <c r="I1750" s="24" t="n">
        <v>0</v>
      </c>
    </row>
    <row r="1751">
      <c r="A1751" s="11" t="n">
        <v>3481</v>
      </c>
      <c r="B1751" s="3" t="n">
        <v>45751</v>
      </c>
      <c r="C1751" s="25" t="inlineStr">
        <is>
          <t>GELENEKSEL</t>
        </is>
      </c>
      <c r="D1751" s="3" t="n">
        <v>45754</v>
      </c>
      <c r="E1751" s="3" t="n">
        <v>46813</v>
      </c>
      <c r="F1751" s="25"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3" t="n">
        <v>45751</v>
      </c>
      <c r="C1752" s="22" t="inlineStr">
        <is>
          <t>GELENEKSEL</t>
        </is>
      </c>
      <c r="D1752" s="23" t="n">
        <v>45754</v>
      </c>
      <c r="E1752" s="23" t="n">
        <v>46953</v>
      </c>
      <c r="F1752" s="22" t="inlineStr">
        <is>
          <t>TRT190728T18</t>
        </is>
      </c>
      <c r="G1752" s="8" t="n">
        <v>1182000</v>
      </c>
      <c r="H1752" s="8" t="n">
        <v>645000</v>
      </c>
      <c r="I1752" s="24" t="n">
        <v>470642.05</v>
      </c>
      <c r="J1752" s="24" t="n">
        <v>33.11</v>
      </c>
      <c r="K1752" s="24" t="n">
        <v>33.17</v>
      </c>
      <c r="L1752" s="24" t="n">
        <v>33.42</v>
      </c>
      <c r="M1752" s="24" t="n">
        <v>35.85</v>
      </c>
      <c r="N1752" s="24" t="n">
        <v>35.93</v>
      </c>
      <c r="O1752" s="24" t="n">
        <v>36.22</v>
      </c>
    </row>
    <row r="1753">
      <c r="A1753" s="11" t="n">
        <v>3483</v>
      </c>
      <c r="B1753" s="3" t="n">
        <v>45751</v>
      </c>
      <c r="C1753" s="25" t="inlineStr">
        <is>
          <t>GELENEKSEL</t>
        </is>
      </c>
      <c r="D1753" s="3" t="n">
        <v>45754</v>
      </c>
      <c r="E1753" s="3" t="n">
        <v>47184</v>
      </c>
      <c r="F1753" s="25"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3" t="n">
        <v>45751</v>
      </c>
      <c r="C1754" s="22" t="inlineStr">
        <is>
          <t>GELENEKSEL</t>
        </is>
      </c>
      <c r="D1754" s="23" t="n">
        <v>45754</v>
      </c>
      <c r="E1754" s="23" t="n">
        <v>48857</v>
      </c>
      <c r="F1754" s="22" t="inlineStr">
        <is>
          <t>TRT051033T12</t>
        </is>
      </c>
      <c r="G1754" s="8" t="n">
        <v>17365000</v>
      </c>
      <c r="H1754" s="8" t="n">
        <v>14205000</v>
      </c>
      <c r="I1754" s="24" t="n">
        <v>14687725.7</v>
      </c>
      <c r="J1754" s="24" t="n">
        <v>28.84</v>
      </c>
      <c r="K1754" s="24" t="n">
        <v>29.11</v>
      </c>
      <c r="L1754" s="24" t="n">
        <v>29.23</v>
      </c>
      <c r="M1754" s="24" t="n">
        <v>30.92</v>
      </c>
      <c r="N1754" s="24" t="n">
        <v>31.22</v>
      </c>
      <c r="O1754" s="24" t="n">
        <v>31.37</v>
      </c>
    </row>
    <row r="1755">
      <c r="A1755" s="11" t="n">
        <v>3485</v>
      </c>
      <c r="B1755" s="3" t="n">
        <v>45758</v>
      </c>
      <c r="C1755" s="25" t="inlineStr">
        <is>
          <t>GELENEKSEL</t>
        </is>
      </c>
      <c r="D1755" s="3" t="n">
        <v>45761</v>
      </c>
      <c r="E1755" s="3" t="n">
        <v>47002</v>
      </c>
      <c r="F1755" s="25"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3" t="n">
        <v>45758</v>
      </c>
      <c r="C1756" s="22" t="inlineStr">
        <is>
          <t>GELENEKSEL</t>
        </is>
      </c>
      <c r="D1756" s="23" t="n">
        <v>45761</v>
      </c>
      <c r="E1756" s="23" t="n">
        <v>47093</v>
      </c>
      <c r="F1756" s="22" t="inlineStr">
        <is>
          <t>TRT061228T16</t>
        </is>
      </c>
      <c r="G1756" s="8" t="n">
        <v>36213000</v>
      </c>
      <c r="H1756" s="8" t="n">
        <v>1000000</v>
      </c>
      <c r="I1756" s="24" t="n">
        <v>986945</v>
      </c>
      <c r="J1756" s="24" t="n">
        <v>45.08</v>
      </c>
      <c r="K1756" s="24" t="n">
        <v>45.08</v>
      </c>
      <c r="L1756" s="24" t="n">
        <v>45.11</v>
      </c>
      <c r="M1756" s="24" t="n">
        <v>53.29</v>
      </c>
      <c r="N1756" s="24" t="n">
        <v>53.29</v>
      </c>
      <c r="O1756" s="24" t="n">
        <v>53.34</v>
      </c>
    </row>
    <row r="1757">
      <c r="A1757" s="11" t="n">
        <v>3487</v>
      </c>
      <c r="B1757" s="3" t="n">
        <v>46024</v>
      </c>
      <c r="C1757" s="25" t="inlineStr">
        <is>
          <t>GELENEKSEL</t>
        </is>
      </c>
      <c r="D1757" s="3" t="n">
        <v>46027</v>
      </c>
      <c r="E1757" s="3" t="n">
        <v>46582</v>
      </c>
      <c r="F1757" s="25"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3" t="n">
        <v>46024</v>
      </c>
      <c r="C1758" s="22" t="inlineStr">
        <is>
          <t>GELENEKSEL</t>
        </is>
      </c>
      <c r="D1758" s="23" t="n">
        <v>46027</v>
      </c>
      <c r="E1758" s="23" t="n">
        <v>47184</v>
      </c>
      <c r="F1758" s="22" t="inlineStr">
        <is>
          <t>TRT070329T15</t>
        </is>
      </c>
      <c r="G1758" s="8" t="n">
        <v>13515000</v>
      </c>
      <c r="H1758" s="8" t="n">
        <v>1250000</v>
      </c>
      <c r="I1758" s="24" t="n">
        <v>1281994</v>
      </c>
      <c r="J1758" s="24" t="n">
        <v>39.22</v>
      </c>
      <c r="K1758" s="24" t="n">
        <v>39.25</v>
      </c>
      <c r="L1758" s="24" t="n">
        <v>39.28</v>
      </c>
      <c r="M1758" s="24" t="n">
        <v>45.38</v>
      </c>
      <c r="N1758" s="24" t="n">
        <v>45.42</v>
      </c>
      <c r="O1758" s="24" t="n">
        <v>45.46</v>
      </c>
    </row>
    <row r="1759">
      <c r="A1759" s="11" t="n">
        <v>3489</v>
      </c>
      <c r="B1759" s="3" t="n">
        <v>46024</v>
      </c>
      <c r="C1759" s="25" t="inlineStr">
        <is>
          <t>GELENEKSEL</t>
        </is>
      </c>
      <c r="D1759" s="3" t="n">
        <v>46027</v>
      </c>
      <c r="E1759" s="3" t="n">
        <v>47282</v>
      </c>
      <c r="F1759" s="25"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3" t="n">
        <v>46024</v>
      </c>
      <c r="C1760" s="22" t="inlineStr">
        <is>
          <t>GELENEKSEL</t>
        </is>
      </c>
      <c r="D1760" s="23" t="n">
        <v>46027</v>
      </c>
      <c r="E1760" s="23" t="n">
        <v>47373</v>
      </c>
      <c r="F1760" s="22" t="inlineStr">
        <is>
          <t>TRT120929T12</t>
        </is>
      </c>
      <c r="G1760" s="8" t="n">
        <v>19530000</v>
      </c>
      <c r="H1760" s="8" t="n">
        <v>1250000</v>
      </c>
      <c r="I1760" s="24" t="n">
        <v>1344773</v>
      </c>
      <c r="J1760" s="24" t="n">
        <v>30.5</v>
      </c>
      <c r="K1760" s="24" t="n">
        <v>30.58</v>
      </c>
      <c r="L1760" s="24" t="n">
        <v>30.66</v>
      </c>
      <c r="M1760" s="24" t="n">
        <v>32.83</v>
      </c>
      <c r="N1760" s="24" t="n">
        <v>32.92</v>
      </c>
      <c r="O1760" s="24" t="n">
        <v>33.01</v>
      </c>
    </row>
    <row r="1761">
      <c r="A1761" s="11" t="n">
        <v>3491</v>
      </c>
      <c r="B1761" s="3" t="n">
        <v>46030</v>
      </c>
      <c r="C1761" s="25" t="inlineStr">
        <is>
          <t>GELENEKSEL</t>
        </is>
      </c>
      <c r="D1761" s="3" t="n">
        <v>46031</v>
      </c>
      <c r="E1761" s="3" t="n">
        <v>46512</v>
      </c>
      <c r="F1761" s="25"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3" t="n">
        <v>46030</v>
      </c>
      <c r="C1762" s="22" t="inlineStr">
        <is>
          <t>GELENEKSEL</t>
        </is>
      </c>
      <c r="D1762" s="23" t="n">
        <v>46031</v>
      </c>
      <c r="E1762" s="23" t="n">
        <v>46666</v>
      </c>
      <c r="F1762" s="22" t="inlineStr">
        <is>
          <t>TRD061027T33</t>
        </is>
      </c>
      <c r="G1762" s="8" t="n">
        <v>1980000</v>
      </c>
      <c r="H1762" s="8" t="n">
        <v>210000</v>
      </c>
      <c r="I1762" s="24" t="n">
        <v>232968.55</v>
      </c>
      <c r="J1762" s="24" t="n">
        <v>38.87</v>
      </c>
      <c r="K1762" s="24" t="n">
        <v>39</v>
      </c>
      <c r="L1762" s="24" t="n">
        <v>39.25</v>
      </c>
      <c r="M1762" s="24" t="n">
        <v>42.65</v>
      </c>
      <c r="N1762" s="24" t="n">
        <v>42.8</v>
      </c>
      <c r="O1762" s="24" t="n">
        <v>43.1</v>
      </c>
    </row>
    <row r="1763">
      <c r="A1763" s="11" t="n">
        <v>3493</v>
      </c>
      <c r="B1763" s="3" t="n">
        <v>46030</v>
      </c>
      <c r="C1763" s="25" t="inlineStr">
        <is>
          <t>GELENEKSEL</t>
        </is>
      </c>
      <c r="D1763" s="3" t="n">
        <v>46031</v>
      </c>
      <c r="E1763" s="3" t="n">
        <v>47303</v>
      </c>
      <c r="F1763" s="25"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3" t="n">
        <v>46030</v>
      </c>
      <c r="C1764" s="22" t="inlineStr">
        <is>
          <t>GELENEKSEL</t>
        </is>
      </c>
      <c r="D1764" s="23" t="n">
        <v>46031</v>
      </c>
      <c r="E1764" s="23" t="n">
        <v>47674</v>
      </c>
      <c r="F1764" s="22" t="inlineStr">
        <is>
          <t>TRT100730T13</t>
        </is>
      </c>
      <c r="G1764" s="8" t="n">
        <v>8555000</v>
      </c>
      <c r="H1764" s="8" t="n">
        <v>1250000</v>
      </c>
      <c r="I1764" s="24" t="n">
        <v>1555362.5</v>
      </c>
      <c r="J1764" s="24" t="n">
        <v>30.76</v>
      </c>
      <c r="K1764" s="24" t="n">
        <v>30.76</v>
      </c>
      <c r="L1764" s="24" t="n">
        <v>30.76</v>
      </c>
      <c r="M1764" s="24" t="n">
        <v>33.12</v>
      </c>
      <c r="N1764" s="24" t="n">
        <v>33.12</v>
      </c>
      <c r="O1764" s="24" t="n">
        <v>33.12</v>
      </c>
    </row>
    <row r="1765">
      <c r="A1765" s="11" t="n">
        <v>3495</v>
      </c>
      <c r="B1765" s="3" t="n">
        <v>46031</v>
      </c>
      <c r="C1765" s="25" t="inlineStr">
        <is>
          <t>GELENEKSEL</t>
        </is>
      </c>
      <c r="D1765" s="3" t="n">
        <v>46034</v>
      </c>
      <c r="E1765" s="3" t="n">
        <v>46512</v>
      </c>
      <c r="F1765" s="25"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3" t="n">
        <v>46031</v>
      </c>
      <c r="C1766" s="22" t="inlineStr">
        <is>
          <t>GELENEKSEL</t>
        </is>
      </c>
      <c r="D1766" s="23" t="n">
        <v>46034</v>
      </c>
      <c r="E1766" s="23" t="n">
        <v>47184</v>
      </c>
      <c r="F1766" s="22" t="inlineStr">
        <is>
          <t>TRT070329T15</t>
        </is>
      </c>
      <c r="G1766" s="8" t="n">
        <v>6846000</v>
      </c>
      <c r="H1766" s="8" t="n">
        <v>1250000</v>
      </c>
      <c r="I1766" s="24" t="n">
        <v>1292461.57</v>
      </c>
      <c r="J1766" s="24" t="n">
        <v>39.16</v>
      </c>
      <c r="K1766" s="24" t="n">
        <v>39.19</v>
      </c>
      <c r="L1766" s="24" t="n">
        <v>39.22</v>
      </c>
      <c r="M1766" s="24" t="n">
        <v>45.3</v>
      </c>
      <c r="N1766" s="24" t="n">
        <v>45.34</v>
      </c>
      <c r="O1766" s="24" t="n">
        <v>45.38</v>
      </c>
    </row>
    <row r="1767">
      <c r="A1767" s="11" t="n">
        <v>3497</v>
      </c>
      <c r="B1767" s="3" t="n">
        <v>46031</v>
      </c>
      <c r="C1767" s="25" t="inlineStr">
        <is>
          <t>GELENEKSEL</t>
        </is>
      </c>
      <c r="D1767" s="3" t="n">
        <v>46034</v>
      </c>
      <c r="E1767" s="3" t="n">
        <v>47303</v>
      </c>
      <c r="F1767" s="25"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3" t="n">
        <v>46031</v>
      </c>
      <c r="C1768" s="22" t="inlineStr">
        <is>
          <t>GELENEKSEL</t>
        </is>
      </c>
      <c r="D1768" s="23" t="n">
        <v>46034</v>
      </c>
      <c r="E1768" s="23" t="n">
        <v>47681</v>
      </c>
      <c r="F1768" s="22" t="inlineStr">
        <is>
          <t>TRD170730T14</t>
        </is>
      </c>
      <c r="G1768" s="8" t="n">
        <v>880000</v>
      </c>
      <c r="H1768" s="8" t="n">
        <v>690000</v>
      </c>
      <c r="I1768" s="24" t="n">
        <v>850074.8</v>
      </c>
      <c r="J1768" s="24" t="n">
        <v>30.08</v>
      </c>
      <c r="K1768" s="24" t="n">
        <v>30.25</v>
      </c>
      <c r="L1768" s="24" t="n">
        <v>30.47</v>
      </c>
      <c r="M1768" s="24" t="n">
        <v>32.34</v>
      </c>
      <c r="N1768" s="24" t="n">
        <v>32.54</v>
      </c>
      <c r="O1768" s="24" t="n">
        <v>32.79</v>
      </c>
    </row>
    <row r="1769">
      <c r="A1769" s="11" t="n">
        <v>3499</v>
      </c>
      <c r="B1769" s="3" t="n">
        <v>46037</v>
      </c>
      <c r="C1769" s="25" t="inlineStr">
        <is>
          <t>GELENEKSEL</t>
        </is>
      </c>
      <c r="D1769" s="3" t="n">
        <v>46038</v>
      </c>
      <c r="E1769" s="3" t="n">
        <v>46582</v>
      </c>
      <c r="F1769" s="25"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3" t="n">
        <v>46037</v>
      </c>
      <c r="C1770" s="22" t="inlineStr">
        <is>
          <t>GELENEKSEL</t>
        </is>
      </c>
      <c r="D1770" s="23" t="n">
        <v>46038</v>
      </c>
      <c r="E1770" s="23" t="n">
        <v>46890</v>
      </c>
      <c r="F1770" s="22" t="inlineStr">
        <is>
          <t>TRT170528T12</t>
        </is>
      </c>
      <c r="G1770" s="8" t="n">
        <v>3720000</v>
      </c>
      <c r="H1770" s="8" t="n">
        <v>1250000</v>
      </c>
      <c r="I1770" s="24" t="n">
        <v>1329661.1</v>
      </c>
      <c r="J1770" s="24" t="n">
        <v>39.05</v>
      </c>
      <c r="K1770" s="24" t="n">
        <v>39.08</v>
      </c>
      <c r="L1770" s="24" t="n">
        <v>39.11</v>
      </c>
      <c r="M1770" s="24" t="n">
        <v>45.15</v>
      </c>
      <c r="N1770" s="24" t="n">
        <v>45.19</v>
      </c>
      <c r="O1770" s="24" t="n">
        <v>45.24</v>
      </c>
    </row>
    <row r="1771">
      <c r="A1771" s="11" t="n">
        <v>3501</v>
      </c>
      <c r="B1771" s="3" t="n">
        <v>46037</v>
      </c>
      <c r="C1771" s="25" t="inlineStr">
        <is>
          <t>GELENEKSEL</t>
        </is>
      </c>
      <c r="D1771" s="3" t="n">
        <v>46038</v>
      </c>
      <c r="E1771" s="3" t="n">
        <v>47373</v>
      </c>
      <c r="F1771" s="25"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3" t="n">
        <v>46037</v>
      </c>
      <c r="C1772" s="22" t="inlineStr">
        <is>
          <t>GELENEKSEL</t>
        </is>
      </c>
      <c r="D1772" s="23" t="n">
        <v>46038</v>
      </c>
      <c r="E1772" s="23" t="n">
        <v>47681</v>
      </c>
      <c r="F1772" s="22" t="inlineStr">
        <is>
          <t>TRD170730T14</t>
        </is>
      </c>
      <c r="G1772" s="8" t="n">
        <v>2331000</v>
      </c>
      <c r="H1772" s="8" t="n">
        <v>750000</v>
      </c>
      <c r="I1772" s="24" t="n">
        <v>923785</v>
      </c>
      <c r="J1772" s="24" t="n">
        <v>30.25</v>
      </c>
      <c r="K1772" s="24" t="n">
        <v>30.42</v>
      </c>
      <c r="L1772" s="24" t="n">
        <v>30.5</v>
      </c>
      <c r="M1772" s="24" t="n">
        <v>32.54</v>
      </c>
      <c r="N1772" s="24" t="n">
        <v>32.74</v>
      </c>
      <c r="O1772" s="24" t="n">
        <v>32.83</v>
      </c>
    </row>
    <row r="1773">
      <c r="A1773" s="11" t="n">
        <v>3503</v>
      </c>
      <c r="B1773" s="3" t="n">
        <v>46038</v>
      </c>
      <c r="C1773" s="25" t="inlineStr">
        <is>
          <t>GELENEKSEL</t>
        </is>
      </c>
      <c r="D1773" s="3" t="n">
        <v>46041</v>
      </c>
      <c r="E1773" s="3" t="n">
        <v>46428</v>
      </c>
      <c r="F1773" s="25"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3" t="n">
        <v>46038</v>
      </c>
      <c r="C1774" s="22" t="inlineStr">
        <is>
          <t>GELENEKSEL</t>
        </is>
      </c>
      <c r="D1774" s="23" t="n">
        <v>46041</v>
      </c>
      <c r="E1774" s="23" t="n">
        <v>46771</v>
      </c>
      <c r="F1774" s="22" t="inlineStr">
        <is>
          <t>TRT190128T14</t>
        </is>
      </c>
      <c r="G1774" s="8" t="n">
        <v>5350000</v>
      </c>
      <c r="H1774" s="8" t="n">
        <v>1250000</v>
      </c>
      <c r="I1774" s="24" t="n">
        <v>1376223.5</v>
      </c>
      <c r="J1774" s="24" t="n">
        <v>39.91</v>
      </c>
      <c r="K1774" s="24" t="n">
        <v>39.94</v>
      </c>
      <c r="L1774" s="24" t="n">
        <v>39.97</v>
      </c>
      <c r="M1774" s="24" t="n">
        <v>46.29</v>
      </c>
      <c r="N1774" s="24" t="n">
        <v>46.33</v>
      </c>
      <c r="O1774" s="24" t="n">
        <v>46.37</v>
      </c>
    </row>
    <row r="1775">
      <c r="A1775" s="11" t="n">
        <v>3505</v>
      </c>
      <c r="B1775" s="3" t="n">
        <v>46038</v>
      </c>
      <c r="C1775" s="25" t="inlineStr">
        <is>
          <t>GELENEKSEL</t>
        </is>
      </c>
      <c r="D1775" s="3" t="n">
        <v>46041</v>
      </c>
      <c r="E1775" s="3" t="n">
        <v>47282</v>
      </c>
      <c r="F1775" s="25"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3" t="n">
        <v>46038</v>
      </c>
      <c r="C1776" s="22" t="inlineStr">
        <is>
          <t>GELENEKSEL</t>
        </is>
      </c>
      <c r="D1776" s="23" t="n">
        <v>46041</v>
      </c>
      <c r="E1776" s="23" t="n">
        <v>47674</v>
      </c>
      <c r="F1776" s="22" t="inlineStr">
        <is>
          <t>TRT100730T13</t>
        </is>
      </c>
      <c r="G1776" s="8" t="n">
        <v>4163000</v>
      </c>
      <c r="H1776" s="8" t="n">
        <v>1250000</v>
      </c>
      <c r="I1776" s="24" t="n">
        <v>1346350</v>
      </c>
      <c r="J1776" s="24" t="n">
        <v>30.99</v>
      </c>
      <c r="K1776" s="24" t="n">
        <v>30.99</v>
      </c>
      <c r="L1776" s="24" t="n">
        <v>30.99</v>
      </c>
      <c r="M1776" s="24" t="n">
        <v>33.39</v>
      </c>
      <c r="N1776" s="24" t="n">
        <v>33.39</v>
      </c>
      <c r="O1776" s="24" t="n">
        <v>33.39</v>
      </c>
    </row>
    <row r="1777">
      <c r="A1777" s="11" t="n">
        <v>3507</v>
      </c>
      <c r="B1777" s="3" t="n">
        <v>46044</v>
      </c>
      <c r="C1777" s="25" t="inlineStr">
        <is>
          <t>GELENEKSEL</t>
        </is>
      </c>
      <c r="D1777" s="3" t="n">
        <v>46045</v>
      </c>
      <c r="E1777" s="3" t="n">
        <v>46582</v>
      </c>
      <c r="F1777" s="25"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3" t="n">
        <v>46044</v>
      </c>
      <c r="C1778" s="22" t="inlineStr">
        <is>
          <t>GELENEKSEL</t>
        </is>
      </c>
      <c r="D1778" s="23" t="n">
        <v>46045</v>
      </c>
      <c r="E1778" s="23" t="n">
        <v>46757</v>
      </c>
      <c r="F1778" s="22" t="inlineStr">
        <is>
          <t>TRD050128T18</t>
        </is>
      </c>
      <c r="G1778" s="8" t="n">
        <v>3345000</v>
      </c>
      <c r="H1778" s="8" t="n">
        <v>1250000</v>
      </c>
      <c r="I1778" s="24" t="n">
        <v>1288536.19</v>
      </c>
      <c r="J1778" s="24" t="n">
        <v>32.15</v>
      </c>
      <c r="K1778" s="24" t="n">
        <v>32.15</v>
      </c>
      <c r="L1778" s="24" t="n">
        <v>32.24</v>
      </c>
      <c r="M1778" s="24" t="n">
        <v>34.73</v>
      </c>
      <c r="N1778" s="24" t="n">
        <v>34.73</v>
      </c>
      <c r="O1778" s="24" t="n">
        <v>34.84</v>
      </c>
    </row>
    <row r="1779">
      <c r="A1779" s="11" t="n">
        <v>3509</v>
      </c>
      <c r="B1779" s="3" t="n">
        <v>46044</v>
      </c>
      <c r="C1779" s="25" t="inlineStr">
        <is>
          <t>GELENEKSEL</t>
        </is>
      </c>
      <c r="D1779" s="3" t="n">
        <v>46045</v>
      </c>
      <c r="E1779" s="3" t="n">
        <v>47674</v>
      </c>
      <c r="F1779" s="25"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3" t="n">
        <v>46044</v>
      </c>
      <c r="C1780" s="22" t="inlineStr">
        <is>
          <t>GELENEKSEL</t>
        </is>
      </c>
      <c r="D1780" s="23" t="n">
        <v>46045</v>
      </c>
      <c r="E1780" s="23" t="n">
        <v>47681</v>
      </c>
      <c r="F1780" s="22" t="inlineStr">
        <is>
          <t>TRD170730T14</t>
        </is>
      </c>
      <c r="G1780" s="8" t="n">
        <v>631000</v>
      </c>
      <c r="H1780" s="8" t="n">
        <v>50000</v>
      </c>
      <c r="I1780" s="24" t="n">
        <v>54092</v>
      </c>
      <c r="J1780" s="24" t="n">
        <v>30</v>
      </c>
      <c r="K1780" s="24" t="n">
        <v>30</v>
      </c>
      <c r="L1780" s="24" t="n">
        <v>30</v>
      </c>
      <c r="M1780" s="24" t="n">
        <v>32.25</v>
      </c>
      <c r="N1780" s="24" t="n">
        <v>32.25</v>
      </c>
      <c r="O1780" s="24" t="n">
        <v>32.25</v>
      </c>
    </row>
    <row r="1781">
      <c r="A1781" s="11" t="n">
        <v>3511</v>
      </c>
      <c r="B1781" s="3" t="n">
        <v>46045</v>
      </c>
      <c r="C1781" s="25" t="inlineStr">
        <is>
          <t>GELENEKSEL</t>
        </is>
      </c>
      <c r="D1781" s="3" t="n">
        <v>46048</v>
      </c>
      <c r="E1781" s="3" t="n">
        <v>46512</v>
      </c>
      <c r="F1781" s="25"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3" t="n">
        <v>46045</v>
      </c>
      <c r="C1782" s="22" t="inlineStr">
        <is>
          <t>GELENEKSEL</t>
        </is>
      </c>
      <c r="D1782" s="23" t="n">
        <v>46048</v>
      </c>
      <c r="E1782" s="23" t="n">
        <v>46736</v>
      </c>
      <c r="F1782" s="22" t="inlineStr">
        <is>
          <t>TRD151227T14</t>
        </is>
      </c>
      <c r="G1782" s="8" t="n">
        <v>630000</v>
      </c>
      <c r="H1782" s="8" t="n">
        <v>570000</v>
      </c>
      <c r="I1782" s="24" t="n">
        <v>597591.7</v>
      </c>
      <c r="J1782" s="24" t="n">
        <v>35.62</v>
      </c>
      <c r="K1782" s="24" t="n">
        <v>35.66</v>
      </c>
      <c r="L1782" s="24" t="n">
        <v>35.75</v>
      </c>
      <c r="M1782" s="24" t="n">
        <v>38.8</v>
      </c>
      <c r="N1782" s="24" t="n">
        <v>38.83</v>
      </c>
      <c r="O1782" s="24" t="n">
        <v>38.95</v>
      </c>
    </row>
    <row r="1783">
      <c r="A1783" s="11" t="n">
        <v>3513</v>
      </c>
      <c r="B1783" s="3" t="n">
        <v>46045</v>
      </c>
      <c r="C1783" s="25" t="inlineStr">
        <is>
          <t>GELENEKSEL</t>
        </is>
      </c>
      <c r="D1783" s="3" t="n">
        <v>46048</v>
      </c>
      <c r="E1783" s="3" t="n">
        <v>47065</v>
      </c>
      <c r="F1783" s="25"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3" t="n">
        <v>46045</v>
      </c>
      <c r="C1784" s="22" t="inlineStr">
        <is>
          <t>GELENEKSEL</t>
        </is>
      </c>
      <c r="D1784" s="23" t="n">
        <v>46048</v>
      </c>
      <c r="E1784" s="23" t="n">
        <v>47373</v>
      </c>
      <c r="F1784" s="22" t="inlineStr">
        <is>
          <t>TRT120929T12</t>
        </is>
      </c>
      <c r="G1784" s="8" t="n">
        <v>5215000</v>
      </c>
      <c r="H1784" s="8" t="n">
        <v>1250000</v>
      </c>
      <c r="I1784" s="24" t="n">
        <v>1384336</v>
      </c>
      <c r="J1784" s="24" t="n">
        <v>29.91</v>
      </c>
      <c r="K1784" s="24" t="n">
        <v>29.92</v>
      </c>
      <c r="L1784" s="24" t="n">
        <v>29.94</v>
      </c>
      <c r="M1784" s="24" t="n">
        <v>32.14</v>
      </c>
      <c r="N1784" s="24" t="n">
        <v>32.16</v>
      </c>
      <c r="O1784" s="24" t="n">
        <v>32.18</v>
      </c>
    </row>
    <row r="1785">
      <c r="A1785" s="11" t="n">
        <v>3515</v>
      </c>
      <c r="B1785" s="3" t="n">
        <v>46051</v>
      </c>
      <c r="C1785" s="25" t="inlineStr">
        <is>
          <t>GELENEKSEL</t>
        </is>
      </c>
      <c r="D1785" s="3" t="n">
        <v>46052</v>
      </c>
      <c r="E1785" s="3" t="n">
        <v>47674</v>
      </c>
      <c r="F1785" s="25"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3" t="n">
        <v>46051</v>
      </c>
      <c r="C1786" s="22" t="inlineStr">
        <is>
          <t>GELENEKSEL</t>
        </is>
      </c>
      <c r="D1786" s="23" t="n">
        <v>46052</v>
      </c>
      <c r="E1786" s="23" t="n">
        <v>47681</v>
      </c>
      <c r="F1786" s="22" t="inlineStr">
        <is>
          <t>TRD170730T14</t>
        </is>
      </c>
      <c r="G1786" s="8" t="n">
        <v>486000</v>
      </c>
      <c r="H1786" s="8" t="n">
        <v>361000</v>
      </c>
      <c r="I1786" s="24" t="n">
        <v>395041.25</v>
      </c>
      <c r="J1786" s="24" t="n">
        <v>29.61</v>
      </c>
      <c r="K1786" s="24" t="n">
        <v>29.73</v>
      </c>
      <c r="L1786" s="24" t="n">
        <v>29.98</v>
      </c>
      <c r="M1786" s="24" t="n">
        <v>31.8</v>
      </c>
      <c r="N1786" s="24" t="n">
        <v>31.95</v>
      </c>
      <c r="O1786" s="24" t="n">
        <v>32.23</v>
      </c>
    </row>
    <row r="1787">
      <c r="A1787" s="11" t="n">
        <v>3517</v>
      </c>
      <c r="B1787" s="3" t="n">
        <v>46051</v>
      </c>
      <c r="C1787" s="25" t="inlineStr">
        <is>
          <t>GELENEKSEL</t>
        </is>
      </c>
      <c r="D1787" s="3" t="n">
        <v>46052</v>
      </c>
      <c r="E1787" s="3" t="n">
        <v>48773</v>
      </c>
      <c r="F1787" s="25"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3" t="n">
        <v>46051</v>
      </c>
      <c r="C1788" s="22" t="inlineStr">
        <is>
          <t>GELENEKSEL</t>
        </is>
      </c>
      <c r="D1788" s="23" t="n">
        <v>46052</v>
      </c>
      <c r="E1788" s="23" t="n">
        <v>48857</v>
      </c>
      <c r="F1788" s="22" t="inlineStr">
        <is>
          <t>TRT051033T12</t>
        </is>
      </c>
      <c r="G1788" s="8" t="n">
        <v>9010000</v>
      </c>
      <c r="H1788" s="8" t="n">
        <v>1250000</v>
      </c>
      <c r="I1788" s="24" t="n">
        <v>1288300</v>
      </c>
      <c r="J1788" s="24" t="n">
        <v>27.61</v>
      </c>
      <c r="K1788" s="24" t="n">
        <v>27.62</v>
      </c>
      <c r="L1788" s="24" t="n">
        <v>27.64</v>
      </c>
      <c r="M1788" s="24" t="n">
        <v>29.51</v>
      </c>
      <c r="N1788" s="24" t="n">
        <v>29.53</v>
      </c>
      <c r="O1788" s="24" t="n">
        <v>29.55</v>
      </c>
    </row>
    <row r="1789">
      <c r="A1789" s="11" t="n">
        <v>3519</v>
      </c>
      <c r="B1789" s="3" t="n">
        <v>46052</v>
      </c>
      <c r="C1789" s="25" t="inlineStr">
        <is>
          <t>GELENEKSEL</t>
        </is>
      </c>
      <c r="D1789" s="3" t="n">
        <v>46055</v>
      </c>
      <c r="E1789" s="3" t="n">
        <v>47373</v>
      </c>
      <c r="F1789" s="25"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3" t="n">
        <v>46052</v>
      </c>
      <c r="C1790" s="22" t="inlineStr">
        <is>
          <t>GELENEKSEL</t>
        </is>
      </c>
      <c r="D1790" s="23" t="n">
        <v>46055</v>
      </c>
      <c r="E1790" s="23" t="n">
        <v>47674</v>
      </c>
      <c r="F1790" s="22" t="inlineStr">
        <is>
          <t>TRT100730T13</t>
        </is>
      </c>
      <c r="G1790" s="8" t="n">
        <v>5610000</v>
      </c>
      <c r="H1790" s="8" t="n">
        <v>1250000</v>
      </c>
      <c r="I1790" s="24" t="n">
        <v>1380875</v>
      </c>
      <c r="J1790" s="24" t="n">
        <v>30.37</v>
      </c>
      <c r="K1790" s="24" t="n">
        <v>30.37</v>
      </c>
      <c r="L1790" s="24" t="n">
        <v>30.37</v>
      </c>
      <c r="M1790" s="24" t="n">
        <v>32.67</v>
      </c>
      <c r="N1790" s="24" t="n">
        <v>32.67</v>
      </c>
      <c r="O1790" s="24" t="n">
        <v>32.67</v>
      </c>
    </row>
    <row r="1791">
      <c r="A1791" s="11" t="n">
        <v>3521</v>
      </c>
      <c r="B1791" s="3" t="n">
        <v>46052</v>
      </c>
      <c r="C1791" s="25" t="inlineStr">
        <is>
          <t>GELENEKSEL</t>
        </is>
      </c>
      <c r="D1791" s="3" t="n">
        <v>46055</v>
      </c>
      <c r="E1791" s="3" t="n">
        <v>48857</v>
      </c>
      <c r="F1791" s="25"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3" t="n">
        <v>46052</v>
      </c>
      <c r="C1792" s="22" t="inlineStr">
        <is>
          <t>GELENEKSEL</t>
        </is>
      </c>
      <c r="D1792" s="23" t="n">
        <v>46055</v>
      </c>
      <c r="E1792" s="23" t="n">
        <v>49214</v>
      </c>
      <c r="F1792" s="22" t="inlineStr">
        <is>
          <t>TRT270934T18</t>
        </is>
      </c>
      <c r="G1792" s="8" t="n">
        <v>7296000</v>
      </c>
      <c r="H1792" s="8" t="n">
        <v>1250000</v>
      </c>
      <c r="I1792" s="24" t="n">
        <v>1357475</v>
      </c>
      <c r="J1792" s="24" t="n">
        <v>27.73</v>
      </c>
      <c r="K1792" s="24" t="n">
        <v>27.73</v>
      </c>
      <c r="L1792" s="24" t="n">
        <v>27.73</v>
      </c>
      <c r="M1792" s="24" t="n">
        <v>29.65</v>
      </c>
      <c r="N1792" s="24" t="n">
        <v>29.65</v>
      </c>
      <c r="O1792" s="24" t="n">
        <v>29.65</v>
      </c>
    </row>
    <row r="1793">
      <c r="A1793" s="11" t="n">
        <v>3523</v>
      </c>
      <c r="B1793" s="3" t="n">
        <v>46058</v>
      </c>
      <c r="C1793" s="25" t="inlineStr">
        <is>
          <t>GELENEKSEL</t>
        </is>
      </c>
      <c r="D1793" s="3" t="n">
        <v>46059</v>
      </c>
      <c r="E1793" s="3" t="n">
        <v>47373</v>
      </c>
      <c r="F1793" s="25"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3" t="n">
        <v>46058</v>
      </c>
      <c r="C1794" s="22" t="inlineStr">
        <is>
          <t>GELENEKSEL</t>
        </is>
      </c>
      <c r="D1794" s="23" t="n">
        <v>46059</v>
      </c>
      <c r="E1794" s="23" t="n">
        <v>47674</v>
      </c>
      <c r="F1794" s="22" t="inlineStr">
        <is>
          <t>TRT100730T13</t>
        </is>
      </c>
      <c r="G1794" s="8" t="n">
        <v>3885000</v>
      </c>
      <c r="H1794" s="8" t="n">
        <v>1250000</v>
      </c>
      <c r="I1794" s="24" t="n">
        <v>1369123.75</v>
      </c>
      <c r="J1794" s="24" t="n">
        <v>30.79</v>
      </c>
      <c r="K1794" s="24" t="n">
        <v>30.88</v>
      </c>
      <c r="L1794" s="24" t="n">
        <v>30.99</v>
      </c>
      <c r="M1794" s="24" t="n">
        <v>33.16</v>
      </c>
      <c r="N1794" s="24" t="n">
        <v>33.27</v>
      </c>
      <c r="O1794" s="24" t="n">
        <v>33.39</v>
      </c>
    </row>
    <row r="1795">
      <c r="A1795" s="11" t="n">
        <v>3525</v>
      </c>
      <c r="B1795" s="3" t="n">
        <v>46058</v>
      </c>
      <c r="C1795" s="25" t="inlineStr">
        <is>
          <t>GELENEKSEL</t>
        </is>
      </c>
      <c r="D1795" s="3" t="n">
        <v>46059</v>
      </c>
      <c r="E1795" s="3" t="n">
        <v>48773</v>
      </c>
      <c r="F1795" s="25"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3" t="n">
        <v>46058</v>
      </c>
      <c r="C1796" s="22" t="inlineStr">
        <is>
          <t>GELENEKSEL</t>
        </is>
      </c>
      <c r="D1796" s="23" t="n">
        <v>46059</v>
      </c>
      <c r="E1796" s="23" t="n">
        <v>49214</v>
      </c>
      <c r="F1796" s="22" t="inlineStr">
        <is>
          <t>TRT270934T18</t>
        </is>
      </c>
      <c r="G1796" s="8" t="n">
        <v>6880000</v>
      </c>
      <c r="H1796" s="8" t="n">
        <v>1250000</v>
      </c>
      <c r="I1796" s="24" t="n">
        <v>1332337.38</v>
      </c>
      <c r="J1796" s="24" t="n">
        <v>28.42</v>
      </c>
      <c r="K1796" s="24" t="n">
        <v>28.47</v>
      </c>
      <c r="L1796" s="24" t="n">
        <v>28.51</v>
      </c>
      <c r="M1796" s="24" t="n">
        <v>30.44</v>
      </c>
      <c r="N1796" s="24" t="n">
        <v>30.49</v>
      </c>
      <c r="O1796" s="24" t="n">
        <v>30.54</v>
      </c>
    </row>
    <row r="1797">
      <c r="A1797" s="11" t="n">
        <v>3527</v>
      </c>
      <c r="B1797" s="3" t="n">
        <v>46059</v>
      </c>
      <c r="C1797" s="25" t="inlineStr">
        <is>
          <t>GELENEKSEL</t>
        </is>
      </c>
      <c r="D1797" s="3" t="n">
        <v>46062</v>
      </c>
      <c r="E1797" s="3" t="n">
        <v>46708</v>
      </c>
      <c r="F1797" s="25"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3" t="n">
        <v>46059</v>
      </c>
      <c r="C1798" s="22" t="inlineStr">
        <is>
          <t>GELENEKSEL</t>
        </is>
      </c>
      <c r="D1798" s="23" t="n">
        <v>46062</v>
      </c>
      <c r="E1798" s="23" t="n">
        <v>47303</v>
      </c>
      <c r="F1798" s="22" t="inlineStr">
        <is>
          <t>TRT040729T14</t>
        </is>
      </c>
      <c r="G1798" s="8" t="n">
        <v>4320000</v>
      </c>
      <c r="H1798" s="8" t="n">
        <v>1250000</v>
      </c>
      <c r="I1798" s="24" t="n">
        <v>1301335.5</v>
      </c>
      <c r="J1798" s="24" t="n">
        <v>37.22</v>
      </c>
      <c r="K1798" s="24" t="n">
        <v>37.22</v>
      </c>
      <c r="L1798" s="24" t="n">
        <v>37.24</v>
      </c>
      <c r="M1798" s="24" t="n">
        <v>40.68</v>
      </c>
      <c r="N1798" s="24" t="n">
        <v>40.68</v>
      </c>
      <c r="O1798" s="24" t="n">
        <v>40.7</v>
      </c>
    </row>
    <row r="1799">
      <c r="A1799" s="11" t="n">
        <v>3529</v>
      </c>
      <c r="B1799" s="3" t="n">
        <v>46059</v>
      </c>
      <c r="C1799" s="25" t="inlineStr">
        <is>
          <t>GELENEKSEL</t>
        </is>
      </c>
      <c r="D1799" s="3" t="n">
        <v>46062</v>
      </c>
      <c r="E1799" s="3" t="n">
        <v>47674</v>
      </c>
      <c r="F1799" s="25"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3" t="n">
        <v>46059</v>
      </c>
      <c r="C1800" s="22" t="inlineStr">
        <is>
          <t>GELENEKSEL</t>
        </is>
      </c>
      <c r="D1800" s="23" t="n">
        <v>46062</v>
      </c>
      <c r="E1800" s="23" t="n">
        <v>49214</v>
      </c>
      <c r="F1800" s="22" t="inlineStr">
        <is>
          <t>TRT270934T18</t>
        </is>
      </c>
      <c r="G1800" s="8" t="n">
        <v>2200000</v>
      </c>
      <c r="H1800" s="8" t="n">
        <v>1250000</v>
      </c>
      <c r="I1800" s="24" t="n">
        <v>1344280.25</v>
      </c>
      <c r="J1800" s="24" t="n">
        <v>28.17</v>
      </c>
      <c r="K1800" s="24" t="n">
        <v>28.23</v>
      </c>
      <c r="L1800" s="24" t="n">
        <v>28.29</v>
      </c>
      <c r="M1800" s="24" t="n">
        <v>30.15</v>
      </c>
      <c r="N1800" s="24" t="n">
        <v>30.22</v>
      </c>
      <c r="O1800" s="24" t="n">
        <v>30.3</v>
      </c>
    </row>
    <row r="1801">
      <c r="A1801" s="11" t="n">
        <v>3531</v>
      </c>
      <c r="B1801" s="3" t="n">
        <v>46065</v>
      </c>
      <c r="C1801" s="25" t="inlineStr">
        <is>
          <t>GELENEKSEL</t>
        </is>
      </c>
      <c r="D1801" s="3" t="n">
        <v>46066</v>
      </c>
      <c r="E1801" s="3" t="n">
        <v>47282</v>
      </c>
      <c r="F1801" s="25"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3" t="n">
        <v>46065</v>
      </c>
      <c r="C1802" s="22" t="inlineStr">
        <is>
          <t>GELENEKSEL</t>
        </is>
      </c>
      <c r="D1802" s="23" t="n">
        <v>46066</v>
      </c>
      <c r="E1802" s="23" t="n">
        <v>47373</v>
      </c>
      <c r="F1802" s="22" t="inlineStr">
        <is>
          <t>TRT120929T12</t>
        </is>
      </c>
      <c r="G1802" s="8" t="n">
        <v>2610000</v>
      </c>
      <c r="H1802" s="8" t="n">
        <v>1250000</v>
      </c>
      <c r="I1802" s="24" t="n">
        <v>1376341.25</v>
      </c>
      <c r="J1802" s="24" t="n">
        <v>30.94</v>
      </c>
      <c r="K1802" s="24" t="n">
        <v>30.97</v>
      </c>
      <c r="L1802" s="24" t="n">
        <v>31</v>
      </c>
      <c r="M1802" s="24" t="n">
        <v>33.33</v>
      </c>
      <c r="N1802" s="24" t="n">
        <v>33.37</v>
      </c>
      <c r="O1802" s="24" t="n">
        <v>33.4</v>
      </c>
    </row>
    <row r="1803">
      <c r="A1803" s="11" t="n">
        <v>3533</v>
      </c>
      <c r="B1803" s="3" t="n">
        <v>46065</v>
      </c>
      <c r="C1803" s="25" t="inlineStr">
        <is>
          <t>GELENEKSEL</t>
        </is>
      </c>
      <c r="D1803" s="3" t="n">
        <v>46066</v>
      </c>
      <c r="E1803" s="3" t="n">
        <v>47674</v>
      </c>
      <c r="F1803" s="25"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3" t="n">
        <v>46065</v>
      </c>
      <c r="C1804" s="22" t="inlineStr">
        <is>
          <t>GELENEKSEL</t>
        </is>
      </c>
      <c r="D1804" s="23" t="n">
        <v>46066</v>
      </c>
      <c r="E1804" s="23" t="n">
        <v>49214</v>
      </c>
      <c r="F1804" s="22" t="inlineStr">
        <is>
          <t>TRT270934T18</t>
        </is>
      </c>
      <c r="G1804" s="8" t="n">
        <v>4875000</v>
      </c>
      <c r="H1804" s="8" t="n">
        <v>1250000</v>
      </c>
      <c r="I1804" s="24" t="n">
        <v>1345432.5</v>
      </c>
      <c r="J1804" s="24" t="n">
        <v>28.29</v>
      </c>
      <c r="K1804" s="24" t="n">
        <v>28.31</v>
      </c>
      <c r="L1804" s="24" t="n">
        <v>28.39</v>
      </c>
      <c r="M1804" s="24" t="n">
        <v>30.3</v>
      </c>
      <c r="N1804" s="24" t="n">
        <v>30.31</v>
      </c>
      <c r="O1804" s="24" t="n">
        <v>30.4</v>
      </c>
    </row>
    <row r="1805">
      <c r="A1805" s="11" t="n">
        <v>3535</v>
      </c>
      <c r="B1805" s="3" t="n">
        <v>46066</v>
      </c>
      <c r="C1805" s="25" t="inlineStr">
        <is>
          <t>GELENEKSEL</t>
        </is>
      </c>
      <c r="D1805" s="3" t="n">
        <v>46069</v>
      </c>
      <c r="E1805" s="3" t="n">
        <v>47303</v>
      </c>
      <c r="F1805" s="25"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3" t="n">
        <v>46066</v>
      </c>
      <c r="C1806" s="22" t="inlineStr">
        <is>
          <t>GELENEKSEL</t>
        </is>
      </c>
      <c r="D1806" s="23" t="n">
        <v>46069</v>
      </c>
      <c r="E1806" s="23" t="n">
        <v>47674</v>
      </c>
      <c r="F1806" s="22" t="inlineStr">
        <is>
          <t>TRT100730T13</t>
        </is>
      </c>
      <c r="G1806" s="8" t="n">
        <v>3705000</v>
      </c>
      <c r="H1806" s="8" t="n">
        <v>1250000</v>
      </c>
      <c r="I1806" s="24" t="n">
        <v>1385977.5</v>
      </c>
      <c r="J1806" s="24" t="n">
        <v>30.66</v>
      </c>
      <c r="K1806" s="24" t="n">
        <v>30.69</v>
      </c>
      <c r="L1806" s="24" t="n">
        <v>30.69</v>
      </c>
      <c r="M1806" s="24" t="n">
        <v>33.01</v>
      </c>
      <c r="N1806" s="24" t="n">
        <v>33.05</v>
      </c>
      <c r="O1806" s="24" t="n">
        <v>33.05</v>
      </c>
    </row>
    <row r="1807">
      <c r="A1807" s="11" t="n">
        <v>3537</v>
      </c>
      <c r="B1807" s="3" t="n">
        <v>46066</v>
      </c>
      <c r="C1807" s="25" t="inlineStr">
        <is>
          <t>GELENEKSEL</t>
        </is>
      </c>
      <c r="D1807" s="3" t="n">
        <v>46069</v>
      </c>
      <c r="E1807" s="3" t="n">
        <v>48773</v>
      </c>
      <c r="F1807" s="25"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3" t="n">
        <v>46066</v>
      </c>
      <c r="C1808" s="22" t="inlineStr">
        <is>
          <t>GELENEKSEL</t>
        </is>
      </c>
      <c r="D1808" s="23" t="n">
        <v>46069</v>
      </c>
      <c r="E1808" s="23" t="n">
        <v>49214</v>
      </c>
      <c r="F1808" s="22" t="inlineStr">
        <is>
          <t>TRT270934T18</t>
        </is>
      </c>
      <c r="G1808" s="8" t="n">
        <v>3665000</v>
      </c>
      <c r="H1808" s="8" t="n">
        <v>1250000</v>
      </c>
      <c r="I1808" s="24" t="n">
        <v>1356708.75</v>
      </c>
      <c r="J1808" s="24" t="n">
        <v>28.06</v>
      </c>
      <c r="K1808" s="24" t="n">
        <v>28.09</v>
      </c>
      <c r="L1808" s="24" t="n">
        <v>28.17</v>
      </c>
      <c r="M1808" s="24" t="n">
        <v>30.03</v>
      </c>
      <c r="N1808" s="24" t="n">
        <v>30.06</v>
      </c>
      <c r="O1808" s="24" t="n">
        <v>30.15</v>
      </c>
    </row>
    <row r="1809">
      <c r="A1809" s="11" t="n">
        <v>3539</v>
      </c>
      <c r="B1809" s="3" t="n">
        <v>46072</v>
      </c>
      <c r="C1809" s="25" t="inlineStr">
        <is>
          <t>GELENEKSEL</t>
        </is>
      </c>
      <c r="D1809" s="3" t="n">
        <v>46073</v>
      </c>
      <c r="E1809" s="3" t="n">
        <v>47282</v>
      </c>
      <c r="F1809" s="25"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3" t="n">
        <v>46072</v>
      </c>
      <c r="C1810" s="22" t="inlineStr">
        <is>
          <t>GELENEKSEL</t>
        </is>
      </c>
      <c r="D1810" s="23" t="n">
        <v>46073</v>
      </c>
      <c r="E1810" s="23" t="n">
        <v>47674</v>
      </c>
      <c r="F1810" s="22" t="inlineStr">
        <is>
          <t>TRT100730T13</t>
        </is>
      </c>
      <c r="G1810" s="8" t="n">
        <v>6178000</v>
      </c>
      <c r="H1810" s="8" t="n">
        <v>1250000</v>
      </c>
      <c r="I1810" s="24" t="n">
        <v>1378828.5</v>
      </c>
      <c r="J1810" s="24" t="n">
        <v>31.05</v>
      </c>
      <c r="K1810" s="24" t="n">
        <v>31.07</v>
      </c>
      <c r="L1810" s="24" t="n">
        <v>31.07</v>
      </c>
      <c r="M1810" s="24" t="n">
        <v>33.46</v>
      </c>
      <c r="N1810" s="24" t="n">
        <v>33.48</v>
      </c>
      <c r="O1810" s="24" t="n">
        <v>33.48</v>
      </c>
    </row>
    <row r="1811">
      <c r="A1811" s="11" t="n">
        <v>3541</v>
      </c>
      <c r="B1811" s="3" t="n">
        <v>46072</v>
      </c>
      <c r="C1811" s="25" t="inlineStr">
        <is>
          <t>GELENEKSEL</t>
        </is>
      </c>
      <c r="D1811" s="3" t="n">
        <v>46073</v>
      </c>
      <c r="E1811" s="3" t="n">
        <v>47884</v>
      </c>
      <c r="F1811" s="25"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3" t="n">
        <v>46072</v>
      </c>
      <c r="C1812" s="22" t="inlineStr">
        <is>
          <t>GELENEKSEL</t>
        </is>
      </c>
      <c r="D1812" s="23" t="n">
        <v>46073</v>
      </c>
      <c r="E1812" s="23" t="n">
        <v>48857</v>
      </c>
      <c r="F1812" s="22" t="inlineStr">
        <is>
          <t>TRT051033T12</t>
        </is>
      </c>
      <c r="G1812" s="8" t="n">
        <v>5700000</v>
      </c>
      <c r="H1812" s="8" t="n">
        <v>1250000</v>
      </c>
      <c r="I1812" s="24" t="n">
        <v>1265840</v>
      </c>
      <c r="J1812" s="24" t="n">
        <v>28.75</v>
      </c>
      <c r="K1812" s="24" t="n">
        <v>28.76</v>
      </c>
      <c r="L1812" s="24" t="n">
        <v>28.79</v>
      </c>
      <c r="M1812" s="24" t="n">
        <v>30.81</v>
      </c>
      <c r="N1812" s="24" t="n">
        <v>30.83</v>
      </c>
      <c r="O1812" s="24" t="n">
        <v>30.87</v>
      </c>
    </row>
    <row r="1813">
      <c r="A1813" s="11" t="n">
        <v>3543</v>
      </c>
      <c r="B1813" s="3" t="n">
        <v>46073</v>
      </c>
      <c r="C1813" s="25" t="inlineStr">
        <is>
          <t>GELENEKSEL</t>
        </is>
      </c>
      <c r="D1813" s="3" t="n">
        <v>46076</v>
      </c>
      <c r="E1813" s="3" t="n">
        <v>47184</v>
      </c>
      <c r="F1813" s="25"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3" t="n">
        <v>46073</v>
      </c>
      <c r="C1814" s="22" t="inlineStr">
        <is>
          <t>GELENEKSEL</t>
        </is>
      </c>
      <c r="D1814" s="23" t="n">
        <v>46076</v>
      </c>
      <c r="E1814" s="23" t="n">
        <v>47373</v>
      </c>
      <c r="F1814" s="22" t="inlineStr">
        <is>
          <t>TRT120929T12</t>
        </is>
      </c>
      <c r="G1814" s="8" t="n">
        <v>2850000</v>
      </c>
      <c r="H1814" s="8" t="n">
        <v>1250000</v>
      </c>
      <c r="I1814" s="24" t="n">
        <v>1381810.1</v>
      </c>
      <c r="J1814" s="24" t="n">
        <v>31.16</v>
      </c>
      <c r="K1814" s="24" t="n">
        <v>31.19</v>
      </c>
      <c r="L1814" s="24" t="n">
        <v>31.2</v>
      </c>
      <c r="M1814" s="24" t="n">
        <v>33.58</v>
      </c>
      <c r="N1814" s="24" t="n">
        <v>33.62</v>
      </c>
      <c r="O1814" s="24" t="n">
        <v>33.64</v>
      </c>
    </row>
    <row r="1815">
      <c r="A1815" s="11" t="n">
        <v>3545</v>
      </c>
      <c r="B1815" s="3" t="n">
        <v>46073</v>
      </c>
      <c r="C1815" s="25" t="inlineStr">
        <is>
          <t>GELENEKSEL</t>
        </is>
      </c>
      <c r="D1815" s="3" t="n">
        <v>46076</v>
      </c>
      <c r="E1815" s="3" t="n">
        <v>47884</v>
      </c>
      <c r="F1815" s="25"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3" t="n">
        <v>46073</v>
      </c>
      <c r="C1816" s="22" t="inlineStr">
        <is>
          <t>GELENEKSEL</t>
        </is>
      </c>
      <c r="D1816" s="23" t="n">
        <v>46076</v>
      </c>
      <c r="E1816" s="23" t="n">
        <v>48857</v>
      </c>
      <c r="F1816" s="22" t="inlineStr">
        <is>
          <t>TRT051033T12</t>
        </is>
      </c>
      <c r="G1816" s="8" t="n">
        <v>3110000</v>
      </c>
      <c r="H1816" s="8" t="n">
        <v>1250000</v>
      </c>
      <c r="I1816" s="24" t="n">
        <v>1263635</v>
      </c>
      <c r="J1816" s="24" t="n">
        <v>28.86</v>
      </c>
      <c r="K1816" s="24" t="n">
        <v>28.9</v>
      </c>
      <c r="L1816" s="24" t="n">
        <v>29.01</v>
      </c>
      <c r="M1816" s="24" t="n">
        <v>30.94</v>
      </c>
      <c r="N1816" s="24" t="n">
        <v>30.99</v>
      </c>
      <c r="O1816" s="24" t="n">
        <v>31.12</v>
      </c>
    </row>
    <row r="1817">
      <c r="A1817" s="11" t="n">
        <v>3547</v>
      </c>
      <c r="B1817" s="3" t="n">
        <v>46079</v>
      </c>
      <c r="C1817" s="25" t="inlineStr">
        <is>
          <t>GELENEKSEL</t>
        </is>
      </c>
      <c r="D1817" s="3" t="n">
        <v>46080</v>
      </c>
      <c r="E1817" s="3" t="n">
        <v>47282</v>
      </c>
      <c r="F1817" s="25"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3" t="n">
        <v>46079</v>
      </c>
      <c r="C1818" s="22" t="inlineStr">
        <is>
          <t>GELENEKSEL</t>
        </is>
      </c>
      <c r="D1818" s="23" t="n">
        <v>46080</v>
      </c>
      <c r="E1818" s="23" t="n">
        <v>47303</v>
      </c>
      <c r="F1818" s="22" t="inlineStr">
        <is>
          <t>TRT040729T14</t>
        </is>
      </c>
      <c r="G1818" s="8" t="n">
        <v>2753000</v>
      </c>
      <c r="H1818" s="8" t="n">
        <v>1250000</v>
      </c>
      <c r="I1818" s="24" t="n">
        <v>1324225</v>
      </c>
      <c r="J1818" s="24" t="n">
        <v>37.19</v>
      </c>
      <c r="K1818" s="24" t="n">
        <v>37.19</v>
      </c>
      <c r="L1818" s="24" t="n">
        <v>37.19</v>
      </c>
      <c r="M1818" s="24" t="n">
        <v>40.65</v>
      </c>
      <c r="N1818" s="24" t="n">
        <v>40.65</v>
      </c>
      <c r="O1818" s="24" t="n">
        <v>40.65</v>
      </c>
    </row>
    <row r="1819">
      <c r="A1819" s="11" t="n">
        <v>3549</v>
      </c>
      <c r="B1819" s="3" t="n">
        <v>46079</v>
      </c>
      <c r="C1819" s="25" t="inlineStr">
        <is>
          <t>GELENEKSEL</t>
        </is>
      </c>
      <c r="D1819" s="3" t="n">
        <v>46080</v>
      </c>
      <c r="E1819" s="3" t="n">
        <v>47884</v>
      </c>
      <c r="F1819" s="25"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3" t="n">
        <v>46079</v>
      </c>
      <c r="C1820" s="22" t="inlineStr">
        <is>
          <t>GELENEKSEL</t>
        </is>
      </c>
      <c r="D1820" s="23" t="n">
        <v>46080</v>
      </c>
      <c r="E1820" s="23" t="n">
        <v>49214</v>
      </c>
      <c r="F1820" s="22" t="inlineStr">
        <is>
          <t>TRT270934T18</t>
        </is>
      </c>
      <c r="G1820" s="8" t="n">
        <v>4001000</v>
      </c>
      <c r="H1820" s="8" t="n">
        <v>1250000</v>
      </c>
      <c r="I1820" s="24" t="n">
        <v>1351095.7</v>
      </c>
      <c r="J1820" s="24" t="n">
        <v>28.42</v>
      </c>
      <c r="K1820" s="24" t="n">
        <v>28.51</v>
      </c>
      <c r="L1820" s="24" t="n">
        <v>28.67</v>
      </c>
      <c r="M1820" s="24" t="n">
        <v>30.44</v>
      </c>
      <c r="N1820" s="24" t="n">
        <v>30.54</v>
      </c>
      <c r="O1820" s="24" t="n">
        <v>30.72</v>
      </c>
    </row>
    <row r="1821">
      <c r="A1821" s="11" t="n">
        <v>3551</v>
      </c>
      <c r="B1821" s="3" t="n">
        <v>46080</v>
      </c>
      <c r="C1821" s="25" t="inlineStr">
        <is>
          <t>GELENEKSEL</t>
        </is>
      </c>
      <c r="D1821" s="3" t="n">
        <v>46083</v>
      </c>
      <c r="E1821" s="3" t="n">
        <v>46666</v>
      </c>
      <c r="F1821" s="25"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3" t="n">
        <v>46080</v>
      </c>
      <c r="C1822" s="22" t="inlineStr">
        <is>
          <t>GELENEKSEL</t>
        </is>
      </c>
      <c r="D1822" s="23" t="n">
        <v>46083</v>
      </c>
      <c r="E1822" s="23" t="n">
        <v>47373</v>
      </c>
      <c r="F1822" s="22" t="inlineStr">
        <is>
          <t>TRT120929T12</t>
        </is>
      </c>
      <c r="G1822" s="8" t="n">
        <v>635000</v>
      </c>
      <c r="H1822" s="8" t="n">
        <v>635000</v>
      </c>
      <c r="I1822" s="24" t="n">
        <v>709981.65</v>
      </c>
      <c r="J1822" s="24" t="n">
        <v>30.62</v>
      </c>
      <c r="K1822" s="24" t="n">
        <v>30.87</v>
      </c>
      <c r="L1822" s="24" t="n">
        <v>30.97</v>
      </c>
      <c r="M1822" s="24" t="n">
        <v>32.97</v>
      </c>
      <c r="N1822" s="24" t="n">
        <v>33.26</v>
      </c>
      <c r="O1822" s="24" t="n">
        <v>33.37</v>
      </c>
    </row>
    <row r="1823">
      <c r="A1823" s="11" t="n">
        <v>3553</v>
      </c>
      <c r="B1823" s="3" t="n">
        <v>46080</v>
      </c>
      <c r="C1823" s="25" t="inlineStr">
        <is>
          <t>GELENEKSEL</t>
        </is>
      </c>
      <c r="D1823" s="3" t="n">
        <v>46083</v>
      </c>
      <c r="E1823" s="3" t="n">
        <v>47674</v>
      </c>
      <c r="F1823" s="25"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3" t="n">
        <v>46080</v>
      </c>
      <c r="C1824" s="22" t="inlineStr">
        <is>
          <t>GELENEKSEL</t>
        </is>
      </c>
      <c r="D1824" s="23" t="n">
        <v>46083</v>
      </c>
      <c r="E1824" s="23" t="n">
        <v>48773</v>
      </c>
      <c r="F1824" s="22" t="inlineStr">
        <is>
          <t>TRT130733T17</t>
        </is>
      </c>
      <c r="G1824" s="8" t="n">
        <v>1650000</v>
      </c>
      <c r="H1824" s="8" t="n">
        <v>1250000</v>
      </c>
      <c r="I1824" s="24" t="n">
        <v>876535</v>
      </c>
      <c r="J1824" s="24" t="n">
        <v>28.08</v>
      </c>
      <c r="K1824" s="24" t="n">
        <v>28.24</v>
      </c>
      <c r="L1824" s="24" t="n">
        <v>28.42</v>
      </c>
      <c r="M1824" s="24" t="n">
        <v>30.05</v>
      </c>
      <c r="N1824" s="24" t="n">
        <v>30.23</v>
      </c>
      <c r="O1824" s="24" t="n">
        <v>30.44</v>
      </c>
    </row>
    <row r="1825">
      <c r="A1825" s="11" t="n">
        <v>3555</v>
      </c>
      <c r="B1825" s="3" t="n">
        <v>46083</v>
      </c>
      <c r="C1825" s="25" t="inlineStr">
        <is>
          <t>GELENEKSEL</t>
        </is>
      </c>
      <c r="D1825" s="3" t="n">
        <v>46084</v>
      </c>
      <c r="E1825" s="3" t="n">
        <v>46554</v>
      </c>
      <c r="F1825" s="25"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3" t="n">
        <v>46083</v>
      </c>
      <c r="C1826" s="22" t="inlineStr">
        <is>
          <t>GELENEKSEL</t>
        </is>
      </c>
      <c r="D1826" s="23" t="n">
        <v>46084</v>
      </c>
      <c r="E1826" s="23" t="n">
        <v>46582</v>
      </c>
      <c r="F1826" s="22" t="inlineStr">
        <is>
          <t>TRT140727T14</t>
        </is>
      </c>
      <c r="G1826" s="8" t="n">
        <v>1172000</v>
      </c>
      <c r="H1826" s="8" t="n">
        <v>256000</v>
      </c>
      <c r="I1826" s="24" t="n">
        <v>277252</v>
      </c>
      <c r="J1826" s="24" t="n">
        <v>34.21</v>
      </c>
      <c r="K1826" s="24" t="n">
        <v>34.34</v>
      </c>
      <c r="L1826" s="24" t="n">
        <v>34.71</v>
      </c>
      <c r="M1826" s="24" t="n">
        <v>37.14</v>
      </c>
      <c r="N1826" s="24" t="n">
        <v>37.29</v>
      </c>
      <c r="O1826" s="24" t="n">
        <v>37.73</v>
      </c>
    </row>
    <row r="1827">
      <c r="A1827" s="11" t="n">
        <v>3557</v>
      </c>
      <c r="B1827" s="3" t="n">
        <v>46083</v>
      </c>
      <c r="C1827" s="25" t="inlineStr">
        <is>
          <t>GELENEKSEL</t>
        </is>
      </c>
      <c r="D1827" s="3" t="n">
        <v>46084</v>
      </c>
      <c r="E1827" s="3" t="n">
        <v>46890</v>
      </c>
      <c r="F1827" s="25"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3" t="n">
        <v>46083</v>
      </c>
      <c r="C1828" s="22" t="inlineStr">
        <is>
          <t>GELENEKSEL</t>
        </is>
      </c>
      <c r="D1828" s="23" t="n">
        <v>46084</v>
      </c>
      <c r="E1828" s="23" t="n">
        <v>47002</v>
      </c>
      <c r="F1828" s="22" t="inlineStr">
        <is>
          <t>TRT060928T11</t>
        </is>
      </c>
      <c r="G1828" s="8" t="n">
        <v>6878000</v>
      </c>
      <c r="H1828" s="8" t="n">
        <v>2500000</v>
      </c>
      <c r="I1828" s="24" t="n">
        <v>2748356</v>
      </c>
      <c r="J1828" s="24" t="n">
        <v>38.47</v>
      </c>
      <c r="K1828" s="24" t="n">
        <v>38.5</v>
      </c>
      <c r="L1828" s="24" t="n">
        <v>38.53</v>
      </c>
      <c r="M1828" s="24" t="n">
        <v>44.39</v>
      </c>
      <c r="N1828" s="24" t="n">
        <v>44.43</v>
      </c>
      <c r="O1828" s="24" t="n">
        <v>44.47</v>
      </c>
    </row>
    <row r="1829">
      <c r="A1829" s="11" t="n">
        <v>3559</v>
      </c>
      <c r="B1829" s="3" t="n">
        <v>46083</v>
      </c>
      <c r="C1829" s="25" t="inlineStr">
        <is>
          <t>GELENEKSEL</t>
        </is>
      </c>
      <c r="D1829" s="3" t="n">
        <v>46084</v>
      </c>
      <c r="E1829" s="3" t="n">
        <v>47065</v>
      </c>
      <c r="F1829" s="25"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3" t="n">
        <v>46083</v>
      </c>
      <c r="C1830" s="22" t="inlineStr">
        <is>
          <t>GELENEKSEL</t>
        </is>
      </c>
      <c r="D1830" s="23" t="n">
        <v>46084</v>
      </c>
      <c r="E1830" s="23" t="n">
        <v>47303</v>
      </c>
      <c r="F1830" s="22" t="inlineStr">
        <is>
          <t>TRT040729T14</t>
        </is>
      </c>
      <c r="G1830" s="8" t="n">
        <v>4284000</v>
      </c>
      <c r="H1830" s="8" t="n">
        <v>2500000</v>
      </c>
      <c r="I1830" s="24" t="n">
        <v>2658591.08</v>
      </c>
      <c r="J1830" s="24" t="n">
        <v>37.16</v>
      </c>
      <c r="K1830" s="24" t="n">
        <v>37.19</v>
      </c>
      <c r="L1830" s="24" t="n">
        <v>37.25</v>
      </c>
      <c r="M1830" s="24" t="n">
        <v>40.61</v>
      </c>
      <c r="N1830" s="24" t="n">
        <v>40.65</v>
      </c>
      <c r="O1830" s="24" t="n">
        <v>40.72</v>
      </c>
    </row>
    <row r="1831">
      <c r="A1831" s="11" t="n">
        <v>3561</v>
      </c>
      <c r="B1831" s="3" t="n">
        <v>46083</v>
      </c>
      <c r="C1831" s="25" t="inlineStr">
        <is>
          <t>GELENEKSEL</t>
        </is>
      </c>
      <c r="D1831" s="3" t="n">
        <v>46084</v>
      </c>
      <c r="E1831" s="3" t="n">
        <v>47373</v>
      </c>
      <c r="F1831" s="25"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3" t="n">
        <v>46083</v>
      </c>
      <c r="C1832" s="22" t="inlineStr">
        <is>
          <t>GELENEKSEL</t>
        </is>
      </c>
      <c r="D1832" s="23" t="n">
        <v>46084</v>
      </c>
      <c r="E1832" s="23" t="n">
        <v>48857</v>
      </c>
      <c r="F1832" s="22" t="inlineStr">
        <is>
          <t>TRT051033T12</t>
        </is>
      </c>
      <c r="G1832" s="8" t="n">
        <v>4780000</v>
      </c>
      <c r="H1832" s="8" t="n">
        <v>2500000</v>
      </c>
      <c r="I1832" s="24" t="n">
        <v>2518840</v>
      </c>
      <c r="J1832" s="24" t="n">
        <v>29.15</v>
      </c>
      <c r="K1832" s="24" t="n">
        <v>29.23</v>
      </c>
      <c r="L1832" s="24" t="n">
        <v>29.32</v>
      </c>
      <c r="M1832" s="24" t="n">
        <v>31.28</v>
      </c>
      <c r="N1832" s="24" t="n">
        <v>31.37</v>
      </c>
      <c r="O1832" s="24" t="n">
        <v>31.47</v>
      </c>
    </row>
    <row r="1833">
      <c r="A1833" s="11" t="n">
        <v>3563</v>
      </c>
      <c r="B1833" s="3" t="n">
        <v>46084</v>
      </c>
      <c r="C1833" s="25" t="inlineStr">
        <is>
          <t>GELENEKSEL</t>
        </is>
      </c>
      <c r="D1833" s="3" t="n">
        <v>46085</v>
      </c>
      <c r="E1833" s="3" t="n">
        <v>46673</v>
      </c>
      <c r="F1833" s="25"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3" t="n">
        <v>46084</v>
      </c>
      <c r="C1834" s="22" t="inlineStr">
        <is>
          <t>GELENEKSEL</t>
        </is>
      </c>
      <c r="D1834" s="23" t="n">
        <v>46085</v>
      </c>
      <c r="E1834" s="23" t="n">
        <v>46890</v>
      </c>
      <c r="F1834" s="22" t="inlineStr">
        <is>
          <t>TRT170528T12</t>
        </is>
      </c>
      <c r="G1834" s="8" t="n">
        <v>5414000</v>
      </c>
      <c r="H1834" s="8" t="n">
        <v>2500000</v>
      </c>
      <c r="I1834" s="24" t="n">
        <v>2565866.5</v>
      </c>
      <c r="J1834" s="24" t="n">
        <v>35.66</v>
      </c>
      <c r="K1834" s="24" t="n">
        <v>35.72</v>
      </c>
      <c r="L1834" s="24" t="n">
        <v>35.88</v>
      </c>
      <c r="M1834" s="24" t="n">
        <v>40.72</v>
      </c>
      <c r="N1834" s="24" t="n">
        <v>40.8</v>
      </c>
      <c r="O1834" s="24" t="n">
        <v>41</v>
      </c>
    </row>
    <row r="1835">
      <c r="A1835" s="11" t="n">
        <v>3565</v>
      </c>
      <c r="B1835" s="3" t="n">
        <v>46084</v>
      </c>
      <c r="C1835" s="25" t="inlineStr">
        <is>
          <t>GELENEKSEL</t>
        </is>
      </c>
      <c r="D1835" s="3" t="n">
        <v>46085</v>
      </c>
      <c r="E1835" s="3" t="n">
        <v>47065</v>
      </c>
      <c r="F1835" s="25"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3" t="n">
        <v>46084</v>
      </c>
      <c r="C1836" s="22" t="inlineStr">
        <is>
          <t>GELENEKSEL</t>
        </is>
      </c>
      <c r="D1836" s="23" t="n">
        <v>46085</v>
      </c>
      <c r="E1836" s="23" t="n">
        <v>47184</v>
      </c>
      <c r="F1836" s="22" t="inlineStr">
        <is>
          <t>TRT070329T15</t>
        </is>
      </c>
      <c r="G1836" s="8" t="n">
        <v>13953000</v>
      </c>
      <c r="H1836" s="8" t="n">
        <v>2500000</v>
      </c>
      <c r="I1836" s="24" t="n">
        <v>2739980</v>
      </c>
      <c r="J1836" s="24" t="n">
        <v>38.82</v>
      </c>
      <c r="K1836" s="24" t="n">
        <v>38.82</v>
      </c>
      <c r="L1836" s="24" t="n">
        <v>38.82</v>
      </c>
      <c r="M1836" s="24" t="n">
        <v>44.84</v>
      </c>
      <c r="N1836" s="24" t="n">
        <v>44.84</v>
      </c>
      <c r="O1836" s="24" t="n">
        <v>44.84</v>
      </c>
    </row>
    <row r="1837">
      <c r="A1837" s="11" t="n">
        <v>3567</v>
      </c>
      <c r="B1837" s="3" t="n">
        <v>46084</v>
      </c>
      <c r="C1837" s="25" t="inlineStr">
        <is>
          <t>GELENEKSEL</t>
        </is>
      </c>
      <c r="D1837" s="3" t="n">
        <v>46085</v>
      </c>
      <c r="E1837" s="3" t="n">
        <v>47282</v>
      </c>
      <c r="F1837" s="25"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3" t="n">
        <v>46084</v>
      </c>
      <c r="C1838" s="22" t="inlineStr">
        <is>
          <t>GELENEKSEL</t>
        </is>
      </c>
      <c r="D1838" s="23" t="n">
        <v>46085</v>
      </c>
      <c r="E1838" s="23" t="n">
        <v>47303</v>
      </c>
      <c r="F1838" s="22" t="inlineStr">
        <is>
          <t>TRT040729T14</t>
        </is>
      </c>
      <c r="G1838" s="8" t="n">
        <v>5250000</v>
      </c>
      <c r="H1838" s="8" t="n">
        <v>2500000</v>
      </c>
      <c r="I1838" s="24" t="n">
        <v>2661165</v>
      </c>
      <c r="J1838" s="24" t="n">
        <v>37.16</v>
      </c>
      <c r="K1838" s="24" t="n">
        <v>37.19</v>
      </c>
      <c r="L1838" s="24" t="n">
        <v>37.22</v>
      </c>
      <c r="M1838" s="24" t="n">
        <v>40.61</v>
      </c>
      <c r="N1838" s="24" t="n">
        <v>40.65</v>
      </c>
      <c r="O1838" s="24" t="n">
        <v>40.68</v>
      </c>
    </row>
    <row r="1839">
      <c r="A1839" s="11" t="n">
        <v>3569</v>
      </c>
      <c r="B1839" s="3" t="n">
        <v>46084</v>
      </c>
      <c r="C1839" s="25" t="inlineStr">
        <is>
          <t>GELENEKSEL</t>
        </is>
      </c>
      <c r="D1839" s="3" t="n">
        <v>46085</v>
      </c>
      <c r="E1839" s="3" t="n">
        <v>47373</v>
      </c>
      <c r="F1839" s="25"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3" t="n">
        <v>46084</v>
      </c>
      <c r="C1840" s="22" t="inlineStr">
        <is>
          <t>GELENEKSEL</t>
        </is>
      </c>
      <c r="D1840" s="23" t="n">
        <v>46085</v>
      </c>
      <c r="E1840" s="23" t="n">
        <v>49214</v>
      </c>
      <c r="F1840" s="22" t="inlineStr">
        <is>
          <t>TRT270934T18</t>
        </is>
      </c>
      <c r="G1840" s="8" t="n">
        <v>6241000</v>
      </c>
      <c r="H1840" s="8" t="n">
        <v>2500000</v>
      </c>
      <c r="I1840" s="24" t="n">
        <v>2704735.59</v>
      </c>
      <c r="J1840" s="24" t="n">
        <v>28.57</v>
      </c>
      <c r="K1840" s="24" t="n">
        <v>28.61</v>
      </c>
      <c r="L1840" s="24" t="n">
        <v>28.64</v>
      </c>
      <c r="M1840" s="24" t="n">
        <v>30.62</v>
      </c>
      <c r="N1840" s="24" t="n">
        <v>30.65</v>
      </c>
      <c r="O1840" s="24" t="n">
        <v>30.69</v>
      </c>
    </row>
    <row r="1841">
      <c r="A1841" s="11" t="n">
        <v>3571</v>
      </c>
      <c r="B1841" s="3" t="n">
        <v>46085</v>
      </c>
      <c r="C1841" s="25" t="inlineStr">
        <is>
          <t>GELENEKSEL</t>
        </is>
      </c>
      <c r="D1841" s="3" t="n">
        <v>46086</v>
      </c>
      <c r="E1841" s="3" t="n">
        <v>46673</v>
      </c>
      <c r="F1841" s="25"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3" t="n">
        <v>46085</v>
      </c>
      <c r="C1842" s="22" t="inlineStr">
        <is>
          <t>GELENEKSEL</t>
        </is>
      </c>
      <c r="D1842" s="23" t="n">
        <v>46086</v>
      </c>
      <c r="E1842" s="23" t="n">
        <v>47065</v>
      </c>
      <c r="F1842" s="22" t="inlineStr">
        <is>
          <t>TRT081128T15</t>
        </is>
      </c>
      <c r="G1842" s="8" t="n">
        <v>3536000</v>
      </c>
      <c r="H1842" s="8" t="n">
        <v>2500000</v>
      </c>
      <c r="I1842" s="24" t="n">
        <v>2671991.24</v>
      </c>
      <c r="J1842" s="24" t="n">
        <v>32.45</v>
      </c>
      <c r="K1842" s="24" t="n">
        <v>32.55</v>
      </c>
      <c r="L1842" s="24" t="n">
        <v>32.64</v>
      </c>
      <c r="M1842" s="24" t="n">
        <v>35.09</v>
      </c>
      <c r="N1842" s="24" t="n">
        <v>35.2</v>
      </c>
      <c r="O1842" s="24" t="n">
        <v>35.31</v>
      </c>
    </row>
    <row r="1843">
      <c r="A1843" s="11" t="n">
        <v>3573</v>
      </c>
      <c r="B1843" s="3" t="n">
        <v>46085</v>
      </c>
      <c r="C1843" s="25" t="inlineStr">
        <is>
          <t>GELENEKSEL</t>
        </is>
      </c>
      <c r="D1843" s="3" t="n">
        <v>46086</v>
      </c>
      <c r="E1843" s="3" t="n">
        <v>47184</v>
      </c>
      <c r="F1843" s="25"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3" t="n">
        <v>46085</v>
      </c>
      <c r="C1844" s="22" t="inlineStr">
        <is>
          <t>GELENEKSEL</t>
        </is>
      </c>
      <c r="D1844" s="23" t="n">
        <v>46086</v>
      </c>
      <c r="E1844" s="23" t="n">
        <v>47282</v>
      </c>
      <c r="F1844" s="22" t="inlineStr">
        <is>
          <t>TRT130629T30</t>
        </is>
      </c>
      <c r="G1844" s="8" t="n">
        <v>12147000</v>
      </c>
      <c r="H1844" s="8" t="n">
        <v>2500000</v>
      </c>
      <c r="I1844" s="24" t="n">
        <v>2712691.59</v>
      </c>
      <c r="J1844" s="24" t="n">
        <v>37.24</v>
      </c>
      <c r="K1844" s="24" t="n">
        <v>37.32</v>
      </c>
      <c r="L1844" s="24" t="n">
        <v>37.44</v>
      </c>
      <c r="M1844" s="24" t="n">
        <v>42.77</v>
      </c>
      <c r="N1844" s="24" t="n">
        <v>42.87</v>
      </c>
      <c r="O1844" s="24" t="n">
        <v>43.04</v>
      </c>
    </row>
    <row r="1845">
      <c r="A1845" s="11" t="n">
        <v>3575</v>
      </c>
      <c r="B1845" s="3" t="n">
        <v>46085</v>
      </c>
      <c r="C1845" s="25" t="inlineStr">
        <is>
          <t>GELENEKSEL</t>
        </is>
      </c>
      <c r="D1845" s="3" t="n">
        <v>46086</v>
      </c>
      <c r="E1845" s="3" t="n">
        <v>47303</v>
      </c>
      <c r="F1845" s="25"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3" t="n">
        <v>46085</v>
      </c>
      <c r="C1846" s="22" t="inlineStr">
        <is>
          <t>GELENEKSEL</t>
        </is>
      </c>
      <c r="D1846" s="23" t="n">
        <v>46086</v>
      </c>
      <c r="E1846" s="23" t="n">
        <v>47373</v>
      </c>
      <c r="F1846" s="22" t="inlineStr">
        <is>
          <t>TRT120929T12</t>
        </is>
      </c>
      <c r="G1846" s="8" t="n">
        <v>3660000</v>
      </c>
      <c r="H1846" s="8" t="n">
        <v>2500000</v>
      </c>
      <c r="I1846" s="24" t="n">
        <v>2756735</v>
      </c>
      <c r="J1846" s="24" t="n">
        <v>31.69</v>
      </c>
      <c r="K1846" s="24" t="n">
        <v>31.75</v>
      </c>
      <c r="L1846" s="24" t="n">
        <v>31.83</v>
      </c>
      <c r="M1846" s="24" t="n">
        <v>34.2</v>
      </c>
      <c r="N1846" s="24" t="n">
        <v>34.27</v>
      </c>
      <c r="O1846" s="24" t="n">
        <v>34.36</v>
      </c>
    </row>
    <row r="1847">
      <c r="A1847" s="11" t="n">
        <v>3577</v>
      </c>
      <c r="B1847" s="3" t="n">
        <v>46085</v>
      </c>
      <c r="C1847" s="25" t="inlineStr">
        <is>
          <t>GELENEKSEL</t>
        </is>
      </c>
      <c r="D1847" s="3" t="n">
        <v>46086</v>
      </c>
      <c r="E1847" s="3" t="n">
        <v>47674</v>
      </c>
      <c r="F1847" s="25"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3" t="n">
        <v>46085</v>
      </c>
      <c r="C1848" s="22" t="inlineStr">
        <is>
          <t>GELENEKSEL</t>
        </is>
      </c>
      <c r="D1848" s="23" t="n">
        <v>46086</v>
      </c>
      <c r="E1848" s="23" t="n">
        <v>49214</v>
      </c>
      <c r="F1848" s="22" t="inlineStr">
        <is>
          <t>TRT270934T18</t>
        </is>
      </c>
      <c r="G1848" s="8" t="n">
        <v>1809000</v>
      </c>
      <c r="H1848" s="8" t="n">
        <v>1809000</v>
      </c>
      <c r="I1848" s="24" t="n">
        <v>1924588.82</v>
      </c>
      <c r="J1848" s="24" t="n">
        <v>29.11</v>
      </c>
      <c r="K1848" s="24" t="n">
        <v>29.23</v>
      </c>
      <c r="L1848" s="24" t="n">
        <v>29.37</v>
      </c>
      <c r="M1848" s="24" t="n">
        <v>31.22</v>
      </c>
      <c r="N1848" s="24" t="n">
        <v>31.37</v>
      </c>
      <c r="O1848" s="24" t="n">
        <v>31.53</v>
      </c>
    </row>
    <row r="1849">
      <c r="A1849" s="11" t="n">
        <v>3579</v>
      </c>
      <c r="B1849" s="3" t="n">
        <v>46086</v>
      </c>
      <c r="C1849" s="25" t="inlineStr">
        <is>
          <t>GELENEKSEL</t>
        </is>
      </c>
      <c r="D1849" s="3" t="n">
        <v>46087</v>
      </c>
      <c r="E1849" s="3" t="n">
        <v>46673</v>
      </c>
      <c r="F1849" s="25"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3" t="n">
        <v>46086</v>
      </c>
      <c r="C1850" s="22" t="inlineStr">
        <is>
          <t>GELENEKSEL</t>
        </is>
      </c>
      <c r="D1850" s="23" t="n">
        <v>46087</v>
      </c>
      <c r="E1850" s="23" t="n">
        <v>47065</v>
      </c>
      <c r="F1850" s="22" t="inlineStr">
        <is>
          <t>TRT081128T15</t>
        </is>
      </c>
      <c r="G1850" s="8" t="n">
        <v>1410000</v>
      </c>
      <c r="H1850" s="8" t="n">
        <v>1310000</v>
      </c>
      <c r="I1850" s="24" t="n">
        <v>1412984.8</v>
      </c>
      <c r="J1850" s="24" t="n">
        <v>31.83</v>
      </c>
      <c r="K1850" s="24" t="n">
        <v>32.02</v>
      </c>
      <c r="L1850" s="24" t="n">
        <v>32.24</v>
      </c>
      <c r="M1850" s="24" t="n">
        <v>34.36</v>
      </c>
      <c r="N1850" s="24" t="n">
        <v>34.58</v>
      </c>
      <c r="O1850" s="24" t="n">
        <v>34.83</v>
      </c>
    </row>
    <row r="1851">
      <c r="A1851" s="11" t="n">
        <v>3581</v>
      </c>
      <c r="B1851" s="3" t="n">
        <v>46086</v>
      </c>
      <c r="C1851" s="25" t="inlineStr">
        <is>
          <t>GELENEKSEL</t>
        </is>
      </c>
      <c r="D1851" s="3" t="n">
        <v>46087</v>
      </c>
      <c r="E1851" s="3" t="n">
        <v>47093</v>
      </c>
      <c r="F1851" s="25"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3" t="n">
        <v>46086</v>
      </c>
      <c r="C1852" s="22" t="inlineStr">
        <is>
          <t>GELENEKSEL</t>
        </is>
      </c>
      <c r="D1852" s="23" t="n">
        <v>46087</v>
      </c>
      <c r="E1852" s="23" t="n">
        <v>47184</v>
      </c>
      <c r="F1852" s="22" t="inlineStr">
        <is>
          <t>TRT070329T15</t>
        </is>
      </c>
      <c r="G1852" s="8" t="n">
        <v>9100000</v>
      </c>
      <c r="H1852" s="8" t="n">
        <v>2500000</v>
      </c>
      <c r="I1852" s="24" t="n">
        <v>2732515.5</v>
      </c>
      <c r="J1852" s="24" t="n">
        <v>39.05</v>
      </c>
      <c r="K1852" s="24" t="n">
        <v>39.13</v>
      </c>
      <c r="L1852" s="24" t="n">
        <v>39.16</v>
      </c>
      <c r="M1852" s="24" t="n">
        <v>45.15</v>
      </c>
      <c r="N1852" s="24" t="n">
        <v>45.25</v>
      </c>
      <c r="O1852" s="24" t="n">
        <v>45.3</v>
      </c>
    </row>
    <row r="1853">
      <c r="A1853" s="11" t="n">
        <v>3583</v>
      </c>
      <c r="B1853" s="3" t="n">
        <v>46086</v>
      </c>
      <c r="C1853" s="25" t="inlineStr">
        <is>
          <t>GELENEKSEL</t>
        </is>
      </c>
      <c r="D1853" s="3" t="n">
        <v>46087</v>
      </c>
      <c r="E1853" s="3" t="n">
        <v>47303</v>
      </c>
      <c r="F1853" s="25"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3" t="n">
        <v>46086</v>
      </c>
      <c r="C1854" s="22" t="inlineStr">
        <is>
          <t>GELENEKSEL</t>
        </is>
      </c>
      <c r="D1854" s="23" t="n">
        <v>46087</v>
      </c>
      <c r="E1854" s="23" t="n">
        <v>47373</v>
      </c>
      <c r="F1854" s="22" t="inlineStr">
        <is>
          <t>TRT120929T12</t>
        </is>
      </c>
      <c r="G1854" s="8" t="n">
        <v>2443000</v>
      </c>
      <c r="H1854" s="8" t="n">
        <v>2143000</v>
      </c>
      <c r="I1854" s="24" t="n">
        <v>2389165.43</v>
      </c>
      <c r="J1854" s="24" t="n">
        <v>31.09</v>
      </c>
      <c r="K1854" s="24" t="n">
        <v>31.19</v>
      </c>
      <c r="L1854" s="24" t="n">
        <v>31.31</v>
      </c>
      <c r="M1854" s="24" t="n">
        <v>33.51</v>
      </c>
      <c r="N1854" s="24" t="n">
        <v>33.62</v>
      </c>
      <c r="O1854" s="24" t="n">
        <v>33.76</v>
      </c>
    </row>
    <row r="1855">
      <c r="A1855" s="11" t="n">
        <v>3585</v>
      </c>
      <c r="B1855" s="3" t="n">
        <v>46086</v>
      </c>
      <c r="C1855" s="25" t="inlineStr">
        <is>
          <t>GELENEKSEL</t>
        </is>
      </c>
      <c r="D1855" s="3" t="n">
        <v>46087</v>
      </c>
      <c r="E1855" s="3" t="n">
        <v>47674</v>
      </c>
      <c r="F1855" s="25"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3" t="n">
        <v>46086</v>
      </c>
      <c r="C1856" s="22" t="inlineStr">
        <is>
          <t>GELENEKSEL</t>
        </is>
      </c>
      <c r="D1856" s="23" t="n">
        <v>46087</v>
      </c>
      <c r="E1856" s="23" t="n">
        <v>48857</v>
      </c>
      <c r="F1856" s="22" t="inlineStr">
        <is>
          <t>TRT051033T12</t>
        </is>
      </c>
      <c r="G1856" s="8" t="n">
        <v>3300000</v>
      </c>
      <c r="H1856" s="8" t="n">
        <v>2500000</v>
      </c>
      <c r="I1856" s="24" t="n">
        <v>2540241.05</v>
      </c>
      <c r="J1856" s="24" t="n">
        <v>28.87</v>
      </c>
      <c r="K1856" s="24" t="n">
        <v>29.01</v>
      </c>
      <c r="L1856" s="24" t="n">
        <v>29.22</v>
      </c>
      <c r="M1856" s="24" t="n">
        <v>30.96</v>
      </c>
      <c r="N1856" s="24" t="n">
        <v>31.12</v>
      </c>
      <c r="O1856" s="24" t="n">
        <v>31.35</v>
      </c>
    </row>
    <row r="1857">
      <c r="A1857" s="11" t="n">
        <v>3587</v>
      </c>
      <c r="B1857" s="3" t="n">
        <v>46087</v>
      </c>
      <c r="C1857" s="25" t="inlineStr">
        <is>
          <t>GELENEKSEL</t>
        </is>
      </c>
      <c r="D1857" s="3" t="n">
        <v>46090</v>
      </c>
      <c r="E1857" s="3" t="n">
        <v>46582</v>
      </c>
      <c r="F1857" s="25"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3" t="n">
        <v>46087</v>
      </c>
      <c r="C1858" s="22" t="inlineStr">
        <is>
          <t>GELENEKSEL</t>
        </is>
      </c>
      <c r="D1858" s="23" t="n">
        <v>46090</v>
      </c>
      <c r="E1858" s="23" t="n">
        <v>46673</v>
      </c>
      <c r="F1858" s="22" t="inlineStr">
        <is>
          <t>TRT131027T36</t>
        </is>
      </c>
      <c r="G1858" s="8" t="n">
        <v>4760000</v>
      </c>
      <c r="H1858" s="8" t="n">
        <v>2500000</v>
      </c>
      <c r="I1858" s="24" t="n">
        <v>2924776.9</v>
      </c>
      <c r="J1858" s="24" t="n">
        <v>34.5</v>
      </c>
      <c r="K1858" s="24" t="n">
        <v>34.53</v>
      </c>
      <c r="L1858" s="24" t="n">
        <v>34.65</v>
      </c>
      <c r="M1858" s="24" t="n">
        <v>37.47</v>
      </c>
      <c r="N1858" s="24" t="n">
        <v>37.51</v>
      </c>
      <c r="O1858" s="24" t="n">
        <v>37.66</v>
      </c>
    </row>
    <row r="1859">
      <c r="A1859" s="11" t="n">
        <v>3589</v>
      </c>
      <c r="B1859" s="3" t="n">
        <v>46087</v>
      </c>
      <c r="C1859" s="25" t="inlineStr">
        <is>
          <t>GELENEKSEL</t>
        </is>
      </c>
      <c r="D1859" s="3" t="n">
        <v>46090</v>
      </c>
      <c r="E1859" s="3" t="n">
        <v>47065</v>
      </c>
      <c r="F1859" s="25"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3" t="n">
        <v>46087</v>
      </c>
      <c r="C1860" s="22" t="inlineStr">
        <is>
          <t>GELENEKSEL</t>
        </is>
      </c>
      <c r="D1860" s="23" t="n">
        <v>46090</v>
      </c>
      <c r="E1860" s="23" t="n">
        <v>47184</v>
      </c>
      <c r="F1860" s="22" t="inlineStr">
        <is>
          <t>TRT070329T15</t>
        </is>
      </c>
      <c r="G1860" s="8" t="n">
        <v>9085000</v>
      </c>
      <c r="H1860" s="8" t="n">
        <v>2500000</v>
      </c>
      <c r="I1860" s="24" t="n">
        <v>2740361</v>
      </c>
      <c r="J1860" s="24" t="n">
        <v>39.1</v>
      </c>
      <c r="K1860" s="24" t="n">
        <v>39.13</v>
      </c>
      <c r="L1860" s="24" t="n">
        <v>39.16</v>
      </c>
      <c r="M1860" s="24" t="n">
        <v>45.21</v>
      </c>
      <c r="N1860" s="24" t="n">
        <v>45.25</v>
      </c>
      <c r="O1860" s="24" t="n">
        <v>45.3</v>
      </c>
    </row>
    <row r="1861">
      <c r="A1861" s="11" t="n">
        <v>3591</v>
      </c>
      <c r="B1861" s="3" t="n">
        <v>46087</v>
      </c>
      <c r="C1861" s="25" t="inlineStr">
        <is>
          <t>GELENEKSEL</t>
        </is>
      </c>
      <c r="D1861" s="3" t="n">
        <v>46090</v>
      </c>
      <c r="E1861" s="3" t="n">
        <v>47282</v>
      </c>
      <c r="F1861" s="25"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3" t="n">
        <v>46087</v>
      </c>
      <c r="C1862" s="22" t="inlineStr">
        <is>
          <t>GELENEKSEL</t>
        </is>
      </c>
      <c r="D1862" s="23" t="n">
        <v>46090</v>
      </c>
      <c r="E1862" s="23" t="n">
        <v>47303</v>
      </c>
      <c r="F1862" s="22" t="inlineStr">
        <is>
          <t>TRT040729T14</t>
        </is>
      </c>
      <c r="G1862" s="8" t="n">
        <v>5000000</v>
      </c>
      <c r="H1862" s="8" t="n">
        <v>2500000</v>
      </c>
      <c r="I1862" s="24" t="n">
        <v>2669140</v>
      </c>
      <c r="J1862" s="24" t="n">
        <v>37.22</v>
      </c>
      <c r="K1862" s="24" t="n">
        <v>37.28</v>
      </c>
      <c r="L1862" s="24" t="n">
        <v>37.34</v>
      </c>
      <c r="M1862" s="24" t="n">
        <v>40.68</v>
      </c>
      <c r="N1862" s="24" t="n">
        <v>40.76</v>
      </c>
      <c r="O1862" s="24" t="n">
        <v>40.83</v>
      </c>
    </row>
    <row r="1863">
      <c r="A1863" s="11" t="n">
        <v>3593</v>
      </c>
      <c r="B1863" s="3" t="n">
        <v>46087</v>
      </c>
      <c r="C1863" s="25" t="inlineStr">
        <is>
          <t>GELENEKSEL</t>
        </is>
      </c>
      <c r="D1863" s="3" t="n">
        <v>46090</v>
      </c>
      <c r="E1863" s="3" t="n">
        <v>47373</v>
      </c>
      <c r="F1863" s="25"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3" t="n">
        <v>46087</v>
      </c>
      <c r="C1864" s="22" t="inlineStr">
        <is>
          <t>GELENEKSEL</t>
        </is>
      </c>
      <c r="D1864" s="23" t="n">
        <v>46090</v>
      </c>
      <c r="E1864" s="23" t="n">
        <v>47674</v>
      </c>
      <c r="F1864" s="22" t="inlineStr">
        <is>
          <t>TRT100730T13</t>
        </is>
      </c>
      <c r="G1864" s="8" t="n">
        <v>6298000</v>
      </c>
      <c r="H1864" s="8" t="n">
        <v>2500000</v>
      </c>
      <c r="I1864" s="24" t="n">
        <v>2760825</v>
      </c>
      <c r="J1864" s="24" t="n">
        <v>31.58</v>
      </c>
      <c r="K1864" s="24" t="n">
        <v>31.63</v>
      </c>
      <c r="L1864" s="24" t="n">
        <v>31.68</v>
      </c>
      <c r="M1864" s="24" t="n">
        <v>34.08</v>
      </c>
      <c r="N1864" s="24" t="n">
        <v>34.13</v>
      </c>
      <c r="O1864" s="24" t="n">
        <v>34.19</v>
      </c>
    </row>
    <row r="1865">
      <c r="A1865" s="11" t="n">
        <v>3595</v>
      </c>
      <c r="B1865" s="3" t="n">
        <v>46091</v>
      </c>
      <c r="C1865" s="25" t="inlineStr">
        <is>
          <t>GELENEKSEL</t>
        </is>
      </c>
      <c r="D1865" s="3" t="n">
        <v>46092</v>
      </c>
      <c r="E1865" s="3" t="n">
        <v>46582</v>
      </c>
      <c r="F1865" s="25"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3" t="n">
        <v>46091</v>
      </c>
      <c r="C1866" s="22" t="inlineStr">
        <is>
          <t>GELENEKSEL</t>
        </is>
      </c>
      <c r="D1866" s="23" t="n">
        <v>46092</v>
      </c>
      <c r="E1866" s="23" t="n">
        <v>46673</v>
      </c>
      <c r="F1866" s="22" t="inlineStr">
        <is>
          <t>TRT131027T36</t>
        </is>
      </c>
      <c r="G1866" s="8" t="n">
        <v>1740000</v>
      </c>
      <c r="H1866" s="8" t="n">
        <v>1430000</v>
      </c>
      <c r="I1866" s="24" t="n">
        <v>1664713.9</v>
      </c>
      <c r="J1866" s="24" t="n">
        <v>35.09</v>
      </c>
      <c r="K1866" s="24" t="n">
        <v>35.22</v>
      </c>
      <c r="L1866" s="24" t="n">
        <v>35.4</v>
      </c>
      <c r="M1866" s="24" t="n">
        <v>38.17</v>
      </c>
      <c r="N1866" s="24" t="n">
        <v>38.32</v>
      </c>
      <c r="O1866" s="24" t="n">
        <v>38.54</v>
      </c>
    </row>
    <row r="1867">
      <c r="A1867" s="11" t="n">
        <v>3597</v>
      </c>
      <c r="B1867" s="3" t="n">
        <v>46091</v>
      </c>
      <c r="C1867" s="25" t="inlineStr">
        <is>
          <t>GELENEKSEL</t>
        </is>
      </c>
      <c r="D1867" s="3" t="n">
        <v>46092</v>
      </c>
      <c r="E1867" s="3" t="n">
        <v>46890</v>
      </c>
      <c r="F1867" s="25"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3" t="n">
        <v>46091</v>
      </c>
      <c r="C1868" s="22" t="inlineStr">
        <is>
          <t>GELENEKSEL</t>
        </is>
      </c>
      <c r="D1868" s="23" t="n">
        <v>46092</v>
      </c>
      <c r="E1868" s="23" t="n">
        <v>47184</v>
      </c>
      <c r="F1868" s="22" t="inlineStr">
        <is>
          <t>TRT070329T15</t>
        </is>
      </c>
      <c r="G1868" s="8" t="n">
        <v>3428000</v>
      </c>
      <c r="H1868" s="8" t="n">
        <v>2500000</v>
      </c>
      <c r="I1868" s="24" t="n">
        <v>2497360</v>
      </c>
      <c r="J1868" s="24" t="n">
        <v>39.31</v>
      </c>
      <c r="K1868" s="24" t="n">
        <v>39.34</v>
      </c>
      <c r="L1868" s="24" t="n">
        <v>39.4</v>
      </c>
      <c r="M1868" s="24" t="n">
        <v>45.5</v>
      </c>
      <c r="N1868" s="24" t="n">
        <v>45.54</v>
      </c>
      <c r="O1868" s="24" t="n">
        <v>45.62</v>
      </c>
    </row>
    <row r="1869">
      <c r="A1869" s="11" t="n">
        <v>3599</v>
      </c>
      <c r="B1869" s="3" t="n">
        <v>46091</v>
      </c>
      <c r="C1869" s="25" t="inlineStr">
        <is>
          <t>GELENEKSEL</t>
        </is>
      </c>
      <c r="D1869" s="3" t="n">
        <v>46092</v>
      </c>
      <c r="E1869" s="3" t="n">
        <v>47303</v>
      </c>
      <c r="F1869" s="25"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3" t="n">
        <v>46091</v>
      </c>
      <c r="C1870" s="22" t="inlineStr">
        <is>
          <t>GELENEKSEL</t>
        </is>
      </c>
      <c r="D1870" s="23" t="n">
        <v>46092</v>
      </c>
      <c r="E1870" s="23" t="n">
        <v>47373</v>
      </c>
      <c r="F1870" s="22" t="inlineStr">
        <is>
          <t>TRT120929T12</t>
        </is>
      </c>
      <c r="G1870" s="8" t="n">
        <v>8050000</v>
      </c>
      <c r="H1870" s="8" t="n">
        <v>2500000</v>
      </c>
      <c r="I1870" s="24" t="n">
        <v>2711420</v>
      </c>
      <c r="J1870" s="24" t="n">
        <v>32.94</v>
      </c>
      <c r="K1870" s="24" t="n">
        <v>32.97</v>
      </c>
      <c r="L1870" s="24" t="n">
        <v>33</v>
      </c>
      <c r="M1870" s="24" t="n">
        <v>35.65</v>
      </c>
      <c r="N1870" s="24" t="n">
        <v>35.69</v>
      </c>
      <c r="O1870" s="24" t="n">
        <v>35.72</v>
      </c>
    </row>
    <row r="1871">
      <c r="A1871" s="11" t="n">
        <v>3601</v>
      </c>
      <c r="B1871" s="3" t="n">
        <v>46091</v>
      </c>
      <c r="C1871" s="25" t="inlineStr">
        <is>
          <t>GELENEKSEL</t>
        </is>
      </c>
      <c r="D1871" s="3" t="n">
        <v>46092</v>
      </c>
      <c r="E1871" s="3" t="n">
        <v>47674</v>
      </c>
      <c r="F1871" s="25"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3" t="n">
        <v>46091</v>
      </c>
      <c r="C1872" s="22" t="inlineStr">
        <is>
          <t>GELENEKSEL</t>
        </is>
      </c>
      <c r="D1872" s="23" t="n">
        <v>46092</v>
      </c>
      <c r="E1872" s="23" t="n">
        <v>48857</v>
      </c>
      <c r="F1872" s="22" t="inlineStr">
        <is>
          <t>TRT051033T12</t>
        </is>
      </c>
      <c r="G1872" s="8" t="n">
        <v>1948000</v>
      </c>
      <c r="H1872" s="8" t="n">
        <v>1948000</v>
      </c>
      <c r="I1872" s="24" t="n">
        <v>1955656.25</v>
      </c>
      <c r="J1872" s="24" t="n">
        <v>29.48</v>
      </c>
      <c r="K1872" s="24" t="n">
        <v>29.59</v>
      </c>
      <c r="L1872" s="24" t="n">
        <v>29.81</v>
      </c>
      <c r="M1872" s="24" t="n">
        <v>31.65</v>
      </c>
      <c r="N1872" s="24" t="n">
        <v>31.78</v>
      </c>
      <c r="O1872" s="24" t="n">
        <v>32.03</v>
      </c>
    </row>
    <row r="1873">
      <c r="A1873" s="11" t="n">
        <v>3603</v>
      </c>
      <c r="B1873" s="3" t="n">
        <v>46105</v>
      </c>
      <c r="C1873" s="25" t="inlineStr">
        <is>
          <t>GELENEKSEL</t>
        </is>
      </c>
      <c r="D1873" s="3" t="n">
        <v>46106</v>
      </c>
      <c r="E1873" s="3" t="n">
        <v>46673</v>
      </c>
      <c r="F1873" s="25"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3" t="n">
        <v>46105</v>
      </c>
      <c r="C1874" s="22" t="inlineStr">
        <is>
          <t>GELENEKSEL</t>
        </is>
      </c>
      <c r="D1874" s="23" t="n">
        <v>46106</v>
      </c>
      <c r="E1874" s="23" t="n">
        <v>46771</v>
      </c>
      <c r="F1874" s="22" t="inlineStr">
        <is>
          <t>TRT190128T14</t>
        </is>
      </c>
      <c r="G1874" s="8" t="n">
        <v>2401000</v>
      </c>
      <c r="H1874" s="8" t="n">
        <v>500000</v>
      </c>
      <c r="I1874" s="24" t="n">
        <v>534487.5</v>
      </c>
      <c r="J1874" s="24" t="n">
        <v>37.18</v>
      </c>
      <c r="K1874" s="24" t="n">
        <v>37.18</v>
      </c>
      <c r="L1874" s="24" t="n">
        <v>37.18</v>
      </c>
      <c r="M1874" s="24" t="n">
        <v>42.7</v>
      </c>
      <c r="N1874" s="24" t="n">
        <v>42.7</v>
      </c>
      <c r="O1874" s="24" t="n">
        <v>42.7</v>
      </c>
    </row>
    <row r="1875">
      <c r="A1875" s="11" t="n">
        <v>3605</v>
      </c>
      <c r="B1875" s="3" t="n">
        <v>46105</v>
      </c>
      <c r="C1875" s="25" t="inlineStr">
        <is>
          <t>GELENEKSEL</t>
        </is>
      </c>
      <c r="D1875" s="3" t="n">
        <v>46106</v>
      </c>
      <c r="E1875" s="3" t="n">
        <v>46890</v>
      </c>
      <c r="F1875" s="25"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3" t="n">
        <v>46105</v>
      </c>
      <c r="C1876" s="22" t="inlineStr">
        <is>
          <t>GELENEKSEL</t>
        </is>
      </c>
      <c r="D1876" s="23" t="n">
        <v>46106</v>
      </c>
      <c r="E1876" s="23" t="n">
        <v>47065</v>
      </c>
      <c r="F1876" s="22" t="inlineStr">
        <is>
          <t>TRT081128T15</t>
        </is>
      </c>
      <c r="G1876" s="8" t="n">
        <v>1700000</v>
      </c>
      <c r="H1876" s="8" t="n">
        <v>500000</v>
      </c>
      <c r="I1876" s="24" t="n">
        <v>505562</v>
      </c>
      <c r="J1876" s="24" t="n">
        <v>37.33</v>
      </c>
      <c r="K1876" s="24" t="n">
        <v>37.36</v>
      </c>
      <c r="L1876" s="24" t="n">
        <v>37.36</v>
      </c>
      <c r="M1876" s="24" t="n">
        <v>40.81</v>
      </c>
      <c r="N1876" s="24" t="n">
        <v>40.85</v>
      </c>
      <c r="O1876" s="24" t="n">
        <v>40.85</v>
      </c>
    </row>
    <row r="1877">
      <c r="A1877" s="11" t="n">
        <v>3607</v>
      </c>
      <c r="B1877" s="3" t="n">
        <v>46105</v>
      </c>
      <c r="C1877" s="25" t="inlineStr">
        <is>
          <t>GELENEKSEL</t>
        </is>
      </c>
      <c r="D1877" s="3" t="n">
        <v>46106</v>
      </c>
      <c r="E1877" s="3" t="n">
        <v>47303</v>
      </c>
      <c r="F1877" s="25"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3" t="n">
        <v>46105</v>
      </c>
      <c r="C1878" s="22" t="inlineStr">
        <is>
          <t>GELENEKSEL</t>
        </is>
      </c>
      <c r="D1878" s="23" t="n">
        <v>46106</v>
      </c>
      <c r="E1878" s="23" t="n">
        <v>47373</v>
      </c>
      <c r="F1878" s="22" t="inlineStr">
        <is>
          <t>TRT120929T12</t>
        </is>
      </c>
      <c r="G1878" s="8" t="n">
        <v>1935000</v>
      </c>
      <c r="H1878" s="8" t="n">
        <v>500000</v>
      </c>
      <c r="I1878" s="24" t="n">
        <v>437005</v>
      </c>
      <c r="J1878" s="24" t="n">
        <v>37</v>
      </c>
      <c r="K1878" s="24" t="n">
        <v>37</v>
      </c>
      <c r="L1878" s="24" t="n">
        <v>37</v>
      </c>
      <c r="M1878" s="24" t="n">
        <v>40.42</v>
      </c>
      <c r="N1878" s="24" t="n">
        <v>40.42</v>
      </c>
      <c r="O1878" s="24" t="n">
        <v>40.42</v>
      </c>
    </row>
    <row r="1879">
      <c r="A1879" s="11" t="n">
        <v>3609</v>
      </c>
      <c r="B1879" s="3" t="n">
        <v>46105</v>
      </c>
      <c r="C1879" s="25" t="inlineStr">
        <is>
          <t>GELENEKSEL</t>
        </is>
      </c>
      <c r="D1879" s="3" t="n">
        <v>46106</v>
      </c>
      <c r="E1879" s="3" t="n">
        <v>48857</v>
      </c>
      <c r="F1879" s="25"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3" t="n">
        <v>46105</v>
      </c>
      <c r="C1880" s="22" t="inlineStr">
        <is>
          <t>GELENEKSEL</t>
        </is>
      </c>
      <c r="D1880" s="23" t="n">
        <v>46106</v>
      </c>
      <c r="E1880" s="23" t="n">
        <v>49214</v>
      </c>
      <c r="F1880" s="22" t="inlineStr">
        <is>
          <t>TRT270934T18</t>
        </is>
      </c>
      <c r="G1880" s="8" t="n">
        <v>1125000</v>
      </c>
      <c r="H1880" s="8" t="n">
        <v>500000</v>
      </c>
      <c r="I1880" s="24" t="n">
        <v>497400</v>
      </c>
      <c r="J1880" s="24" t="n">
        <v>32.34</v>
      </c>
      <c r="K1880" s="24" t="n">
        <v>32.34</v>
      </c>
      <c r="L1880" s="24" t="n">
        <v>32.34</v>
      </c>
      <c r="M1880" s="24" t="n">
        <v>34.96</v>
      </c>
      <c r="N1880" s="24" t="n">
        <v>34.96</v>
      </c>
      <c r="O1880" s="24" t="n">
        <v>34.96</v>
      </c>
    </row>
    <row r="1881">
      <c r="A1881" s="11" t="n">
        <v>3611</v>
      </c>
      <c r="B1881" s="3" t="n">
        <v>46106</v>
      </c>
      <c r="C1881" s="25" t="inlineStr">
        <is>
          <t>GELENEKSEL</t>
        </is>
      </c>
      <c r="D1881" s="3" t="n">
        <v>46107</v>
      </c>
      <c r="E1881" s="3" t="n">
        <v>46512</v>
      </c>
      <c r="F1881" s="25"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3" t="n">
        <v>46106</v>
      </c>
      <c r="C1882" s="22" t="inlineStr">
        <is>
          <t>GELENEKSEL</t>
        </is>
      </c>
      <c r="D1882" s="23" t="n">
        <v>46107</v>
      </c>
      <c r="E1882" s="23" t="n">
        <v>46771</v>
      </c>
      <c r="F1882" s="22" t="inlineStr">
        <is>
          <t>TRT190128T14</t>
        </is>
      </c>
      <c r="G1882" s="8" t="n">
        <v>2440000</v>
      </c>
      <c r="H1882" s="8" t="n">
        <v>500000</v>
      </c>
      <c r="I1882" s="24" t="n">
        <v>534855</v>
      </c>
      <c r="J1882" s="24" t="n">
        <v>37.22</v>
      </c>
      <c r="K1882" s="24" t="n">
        <v>37.22</v>
      </c>
      <c r="L1882" s="24" t="n">
        <v>37.22</v>
      </c>
      <c r="M1882" s="24" t="n">
        <v>42.74</v>
      </c>
      <c r="N1882" s="24" t="n">
        <v>42.74</v>
      </c>
      <c r="O1882" s="24" t="n">
        <v>42.74</v>
      </c>
    </row>
    <row r="1883">
      <c r="A1883" s="11" t="n">
        <v>3613</v>
      </c>
      <c r="B1883" s="3" t="n">
        <v>46106</v>
      </c>
      <c r="C1883" s="25" t="inlineStr">
        <is>
          <t>GELENEKSEL</t>
        </is>
      </c>
      <c r="D1883" s="3" t="n">
        <v>46107</v>
      </c>
      <c r="E1883" s="3" t="n">
        <v>46890</v>
      </c>
      <c r="F1883" s="25"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3" t="n">
        <v>46106</v>
      </c>
      <c r="C1884" s="22" t="inlineStr">
        <is>
          <t>GELENEKSEL</t>
        </is>
      </c>
      <c r="D1884" s="23" t="n">
        <v>46107</v>
      </c>
      <c r="E1884" s="23" t="n">
        <v>47282</v>
      </c>
      <c r="F1884" s="22" t="inlineStr">
        <is>
          <t>TRT130629T30</t>
        </is>
      </c>
      <c r="G1884" s="8" t="n">
        <v>2216000</v>
      </c>
      <c r="H1884" s="8" t="n">
        <v>500000</v>
      </c>
      <c r="I1884" s="24" t="n">
        <v>502739.12</v>
      </c>
      <c r="J1884" s="24" t="n">
        <v>39.99</v>
      </c>
      <c r="K1884" s="24" t="n">
        <v>40.04</v>
      </c>
      <c r="L1884" s="24" t="n">
        <v>40.07</v>
      </c>
      <c r="M1884" s="24" t="n">
        <v>46.4</v>
      </c>
      <c r="N1884" s="24" t="n">
        <v>46.46</v>
      </c>
      <c r="O1884" s="24" t="n">
        <v>46.5</v>
      </c>
    </row>
    <row r="1885">
      <c r="A1885" s="11" t="n">
        <v>3615</v>
      </c>
      <c r="B1885" s="3" t="n">
        <v>46106</v>
      </c>
      <c r="C1885" s="25" t="inlineStr">
        <is>
          <t>GELENEKSEL</t>
        </is>
      </c>
      <c r="D1885" s="3" t="n">
        <v>46107</v>
      </c>
      <c r="E1885" s="3" t="n">
        <v>47303</v>
      </c>
      <c r="F1885" s="25"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3" t="n">
        <v>46106</v>
      </c>
      <c r="C1886" s="22" t="inlineStr">
        <is>
          <t>GELENEKSEL</t>
        </is>
      </c>
      <c r="D1886" s="23" t="n">
        <v>46107</v>
      </c>
      <c r="E1886" s="23" t="n">
        <v>47373</v>
      </c>
      <c r="F1886" s="22" t="inlineStr">
        <is>
          <t>TRT120929T12</t>
        </is>
      </c>
      <c r="G1886" s="8" t="n">
        <v>2260000</v>
      </c>
      <c r="H1886" s="8" t="n">
        <v>500000</v>
      </c>
      <c r="I1886" s="24" t="n">
        <v>438150</v>
      </c>
      <c r="J1886" s="24" t="n">
        <v>36.92</v>
      </c>
      <c r="K1886" s="24" t="n">
        <v>36.92</v>
      </c>
      <c r="L1886" s="24" t="n">
        <v>36.92</v>
      </c>
      <c r="M1886" s="24" t="n">
        <v>40.33</v>
      </c>
      <c r="N1886" s="24" t="n">
        <v>40.33</v>
      </c>
      <c r="O1886" s="24" t="n">
        <v>40.33</v>
      </c>
    </row>
    <row r="1887">
      <c r="A1887" s="11" t="n">
        <v>3617</v>
      </c>
      <c r="B1887" s="3" t="n">
        <v>46106</v>
      </c>
      <c r="C1887" s="25" t="inlineStr">
        <is>
          <t>GELENEKSEL</t>
        </is>
      </c>
      <c r="D1887" s="3" t="n">
        <v>46107</v>
      </c>
      <c r="E1887" s="3" t="n">
        <v>47674</v>
      </c>
      <c r="F1887" s="25"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3" t="n">
        <v>46106</v>
      </c>
      <c r="C1888" s="22" t="inlineStr">
        <is>
          <t>GELENEKSEL</t>
        </is>
      </c>
      <c r="D1888" s="23" t="n">
        <v>46107</v>
      </c>
      <c r="E1888" s="23" t="n">
        <v>48857</v>
      </c>
      <c r="F1888" s="22" t="inlineStr">
        <is>
          <t>TRT051033T12</t>
        </is>
      </c>
      <c r="G1888" s="8" t="n">
        <v>1287000</v>
      </c>
      <c r="H1888" s="8" t="n">
        <v>500000</v>
      </c>
      <c r="I1888" s="24" t="n">
        <v>474529.74</v>
      </c>
      <c r="J1888" s="24" t="n">
        <v>32.15</v>
      </c>
      <c r="K1888" s="24" t="n">
        <v>32.2</v>
      </c>
      <c r="L1888" s="24" t="n">
        <v>32.26</v>
      </c>
      <c r="M1888" s="24" t="n">
        <v>34.74</v>
      </c>
      <c r="N1888" s="24" t="n">
        <v>34.79</v>
      </c>
      <c r="O1888" s="24" t="n">
        <v>34.86</v>
      </c>
    </row>
    <row r="1889">
      <c r="A1889" s="11" t="n">
        <v>3619</v>
      </c>
      <c r="B1889" s="3" t="n">
        <v>46107</v>
      </c>
      <c r="C1889" s="25" t="inlineStr">
        <is>
          <t>GELENEKSEL</t>
        </is>
      </c>
      <c r="D1889" s="3" t="n">
        <v>46108</v>
      </c>
      <c r="E1889" s="3" t="n">
        <v>46582</v>
      </c>
      <c r="F1889" s="25"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3" t="n">
        <v>46107</v>
      </c>
      <c r="C1890" s="22" t="inlineStr">
        <is>
          <t>GELENEKSEL</t>
        </is>
      </c>
      <c r="D1890" s="23" t="n">
        <v>46108</v>
      </c>
      <c r="E1890" s="23" t="n">
        <v>46673</v>
      </c>
      <c r="F1890" s="22" t="inlineStr">
        <is>
          <t>TRT131027T10</t>
        </is>
      </c>
      <c r="G1890" s="8" t="n">
        <v>2075000</v>
      </c>
      <c r="H1890" s="8" t="n">
        <v>500000</v>
      </c>
      <c r="I1890" s="24" t="n">
        <v>539138</v>
      </c>
      <c r="J1890" s="24" t="n">
        <v>37.2</v>
      </c>
      <c r="K1890" s="24" t="n">
        <v>37.26</v>
      </c>
      <c r="L1890" s="24" t="n">
        <v>37.3</v>
      </c>
      <c r="M1890" s="24" t="n">
        <v>42.72</v>
      </c>
      <c r="N1890" s="24" t="n">
        <v>42.8</v>
      </c>
      <c r="O1890" s="24" t="n">
        <v>42.84</v>
      </c>
    </row>
    <row r="1891">
      <c r="A1891" s="11" t="n">
        <v>3621</v>
      </c>
      <c r="B1891" s="3" t="n">
        <v>46107</v>
      </c>
      <c r="C1891" s="25" t="inlineStr">
        <is>
          <t>GELENEKSEL</t>
        </is>
      </c>
      <c r="D1891" s="3" t="n">
        <v>46108</v>
      </c>
      <c r="E1891" s="3" t="n">
        <v>46673</v>
      </c>
      <c r="F1891" s="25"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3" t="n">
        <v>46107</v>
      </c>
      <c r="C1892" s="22" t="inlineStr">
        <is>
          <t>GELENEKSEL</t>
        </is>
      </c>
      <c r="D1892" s="23" t="n">
        <v>46108</v>
      </c>
      <c r="E1892" s="23" t="n">
        <v>46890</v>
      </c>
      <c r="F1892" s="22" t="inlineStr">
        <is>
          <t>TRT170528T12</t>
        </is>
      </c>
      <c r="G1892" s="8" t="n">
        <v>1075000</v>
      </c>
      <c r="H1892" s="8" t="n">
        <v>500000</v>
      </c>
      <c r="I1892" s="24" t="n">
        <v>519552.5</v>
      </c>
      <c r="J1892" s="24" t="n">
        <v>36.41</v>
      </c>
      <c r="K1892" s="24" t="n">
        <v>36.41</v>
      </c>
      <c r="L1892" s="24" t="n">
        <v>36.44</v>
      </c>
      <c r="M1892" s="24" t="n">
        <v>41.69</v>
      </c>
      <c r="N1892" s="24" t="n">
        <v>41.69</v>
      </c>
      <c r="O1892" s="24" t="n">
        <v>41.73</v>
      </c>
    </row>
    <row r="1893">
      <c r="A1893" s="11" t="n">
        <v>3623</v>
      </c>
      <c r="B1893" s="3" t="n">
        <v>46107</v>
      </c>
      <c r="C1893" s="25" t="inlineStr">
        <is>
          <t>GELENEKSEL</t>
        </is>
      </c>
      <c r="D1893" s="3" t="n">
        <v>46108</v>
      </c>
      <c r="E1893" s="3" t="n">
        <v>47184</v>
      </c>
      <c r="F1893" s="25"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3" t="n">
        <v>46107</v>
      </c>
      <c r="C1894" s="22" t="inlineStr">
        <is>
          <t>GELENEKSEL</t>
        </is>
      </c>
      <c r="D1894" s="23" t="n">
        <v>46108</v>
      </c>
      <c r="E1894" s="23" t="n">
        <v>47303</v>
      </c>
      <c r="F1894" s="22" t="inlineStr">
        <is>
          <t>TRT040729T14</t>
        </is>
      </c>
      <c r="G1894" s="8" t="n">
        <v>2684000</v>
      </c>
      <c r="H1894" s="8" t="n">
        <v>500000</v>
      </c>
      <c r="I1894" s="24" t="n">
        <v>537735</v>
      </c>
      <c r="J1894" s="24" t="n">
        <v>37.84</v>
      </c>
      <c r="K1894" s="24" t="n">
        <v>37.84</v>
      </c>
      <c r="L1894" s="24" t="n">
        <v>37.84</v>
      </c>
      <c r="M1894" s="24" t="n">
        <v>41.43</v>
      </c>
      <c r="N1894" s="24" t="n">
        <v>41.43</v>
      </c>
      <c r="O1894" s="24" t="n">
        <v>41.43</v>
      </c>
    </row>
    <row r="1895">
      <c r="A1895" s="11" t="n">
        <v>3625</v>
      </c>
      <c r="B1895" s="3" t="n">
        <v>46107</v>
      </c>
      <c r="C1895" s="25" t="inlineStr">
        <is>
          <t>GELENEKSEL</t>
        </is>
      </c>
      <c r="D1895" s="3" t="n">
        <v>46108</v>
      </c>
      <c r="E1895" s="3" t="n">
        <v>47373</v>
      </c>
      <c r="F1895" s="25"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3" t="n">
        <v>46107</v>
      </c>
      <c r="C1896" s="22" t="inlineStr">
        <is>
          <t>GELENEKSEL</t>
        </is>
      </c>
      <c r="D1896" s="23" t="n">
        <v>46108</v>
      </c>
      <c r="E1896" s="23" t="n">
        <v>48857</v>
      </c>
      <c r="F1896" s="22" t="inlineStr">
        <is>
          <t>TRT051033T12</t>
        </is>
      </c>
      <c r="G1896" s="8" t="n">
        <v>875000</v>
      </c>
      <c r="H1896" s="8" t="n">
        <v>500000</v>
      </c>
      <c r="I1896" s="24" t="n">
        <v>476593</v>
      </c>
      <c r="J1896" s="24" t="n">
        <v>32.03</v>
      </c>
      <c r="K1896" s="24" t="n">
        <v>32.04</v>
      </c>
      <c r="L1896" s="24" t="n">
        <v>32.07</v>
      </c>
      <c r="M1896" s="24" t="n">
        <v>34.59</v>
      </c>
      <c r="N1896" s="24" t="n">
        <v>34.61</v>
      </c>
      <c r="O1896" s="24" t="n">
        <v>34.65</v>
      </c>
    </row>
    <row r="1897">
      <c r="A1897" s="11" t="n">
        <v>3627</v>
      </c>
      <c r="B1897" s="3" t="n">
        <v>46108</v>
      </c>
      <c r="C1897" s="25" t="inlineStr">
        <is>
          <t>GELENEKSEL</t>
        </is>
      </c>
      <c r="D1897" s="3" t="n">
        <v>46111</v>
      </c>
      <c r="E1897" s="3" t="n">
        <v>46582</v>
      </c>
      <c r="F1897" s="25"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3" t="n">
        <v>46108</v>
      </c>
      <c r="C1898" s="22" t="inlineStr">
        <is>
          <t>GELENEKSEL</t>
        </is>
      </c>
      <c r="D1898" s="23" t="n">
        <v>46111</v>
      </c>
      <c r="E1898" s="23" t="n">
        <v>46638</v>
      </c>
      <c r="F1898" s="22" t="inlineStr">
        <is>
          <t>TRD080927T34</t>
        </is>
      </c>
      <c r="G1898" s="8" t="n">
        <v>3855000</v>
      </c>
      <c r="H1898" s="8" t="n">
        <v>500000</v>
      </c>
      <c r="I1898" s="24" t="n">
        <v>513136.75</v>
      </c>
      <c r="J1898" s="24" t="n">
        <v>39.15</v>
      </c>
      <c r="K1898" s="24" t="n">
        <v>39.15</v>
      </c>
      <c r="L1898" s="24" t="n">
        <v>39.18</v>
      </c>
      <c r="M1898" s="24" t="n">
        <v>42.98</v>
      </c>
      <c r="N1898" s="24" t="n">
        <v>42.98</v>
      </c>
      <c r="O1898" s="24" t="n">
        <v>43.02</v>
      </c>
    </row>
    <row r="1899">
      <c r="A1899" s="11" t="n">
        <v>3629</v>
      </c>
      <c r="B1899" s="3" t="n">
        <v>46108</v>
      </c>
      <c r="C1899" s="25" t="inlineStr">
        <is>
          <t>GELENEKSEL</t>
        </is>
      </c>
      <c r="D1899" s="3" t="n">
        <v>46111</v>
      </c>
      <c r="E1899" s="3" t="n">
        <v>46673</v>
      </c>
      <c r="F1899" s="25"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3" t="n">
        <v>46108</v>
      </c>
      <c r="C1900" s="22" t="inlineStr">
        <is>
          <t>GELENEKSEL</t>
        </is>
      </c>
      <c r="D1900" s="23" t="n">
        <v>46111</v>
      </c>
      <c r="E1900" s="23" t="n">
        <v>46890</v>
      </c>
      <c r="F1900" s="22" t="inlineStr">
        <is>
          <t>TRT170528T12</t>
        </is>
      </c>
      <c r="G1900" s="8" t="n">
        <v>1000000</v>
      </c>
      <c r="H1900" s="8" t="n">
        <v>500000</v>
      </c>
      <c r="I1900" s="24" t="n">
        <v>521630</v>
      </c>
      <c r="J1900" s="24" t="n">
        <v>36.29</v>
      </c>
      <c r="K1900" s="24" t="n">
        <v>36.32</v>
      </c>
      <c r="L1900" s="24" t="n">
        <v>36.38</v>
      </c>
      <c r="M1900" s="24" t="n">
        <v>41.53</v>
      </c>
      <c r="N1900" s="24" t="n">
        <v>41.57</v>
      </c>
      <c r="O1900" s="24" t="n">
        <v>41.65</v>
      </c>
    </row>
    <row r="1901">
      <c r="A1901" s="11" t="n">
        <v>3631</v>
      </c>
      <c r="B1901" s="3" t="n">
        <v>46108</v>
      </c>
      <c r="C1901" s="25" t="inlineStr">
        <is>
          <t>GELENEKSEL</t>
        </is>
      </c>
      <c r="D1901" s="3" t="n">
        <v>46111</v>
      </c>
      <c r="E1901" s="3" t="n">
        <v>47002</v>
      </c>
      <c r="F1901" s="25"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3" t="n">
        <v>46108</v>
      </c>
      <c r="C1902" s="22" t="inlineStr">
        <is>
          <t>GELENEKSEL</t>
        </is>
      </c>
      <c r="D1902" s="23" t="n">
        <v>46111</v>
      </c>
      <c r="E1902" s="23" t="n">
        <v>47303</v>
      </c>
      <c r="F1902" s="22" t="inlineStr">
        <is>
          <t>TRT040729T14</t>
        </is>
      </c>
      <c r="G1902" s="8" t="n">
        <v>1354000</v>
      </c>
      <c r="H1902" s="8" t="n">
        <v>500000</v>
      </c>
      <c r="I1902" s="24" t="n">
        <v>538995</v>
      </c>
      <c r="J1902" s="24" t="n">
        <v>37.88</v>
      </c>
      <c r="K1902" s="24" t="n">
        <v>37.88</v>
      </c>
      <c r="L1902" s="24" t="n">
        <v>37.88</v>
      </c>
      <c r="M1902" s="24" t="n">
        <v>41.46</v>
      </c>
      <c r="N1902" s="24" t="n">
        <v>41.46</v>
      </c>
      <c r="O1902" s="24" t="n">
        <v>41.46</v>
      </c>
    </row>
    <row r="1903">
      <c r="A1903" s="11" t="n">
        <v>3633</v>
      </c>
      <c r="B1903" s="3" t="n">
        <v>46108</v>
      </c>
      <c r="C1903" s="25" t="inlineStr">
        <is>
          <t>GELENEKSEL</t>
        </is>
      </c>
      <c r="D1903" s="3" t="n">
        <v>46111</v>
      </c>
      <c r="E1903" s="3" t="n">
        <v>47373</v>
      </c>
      <c r="F1903" s="25"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3" t="n">
        <v>46108</v>
      </c>
      <c r="C1904" s="22" t="inlineStr">
        <is>
          <t>GELENEKSEL</t>
        </is>
      </c>
      <c r="D1904" s="23" t="n">
        <v>46111</v>
      </c>
      <c r="E1904" s="23" t="n">
        <v>49214</v>
      </c>
      <c r="F1904" s="22" t="inlineStr">
        <is>
          <t>TRT270934T18</t>
        </is>
      </c>
      <c r="G1904" s="8" t="n">
        <v>1994000</v>
      </c>
      <c r="H1904" s="8" t="n">
        <v>500000</v>
      </c>
      <c r="I1904" s="24" t="n">
        <v>502900</v>
      </c>
      <c r="J1904" s="24" t="n">
        <v>32.07</v>
      </c>
      <c r="K1904" s="24" t="n">
        <v>32.07</v>
      </c>
      <c r="L1904" s="24" t="n">
        <v>32.07</v>
      </c>
      <c r="M1904" s="24" t="n">
        <v>34.65</v>
      </c>
      <c r="N1904" s="24" t="n">
        <v>34.65</v>
      </c>
      <c r="O1904" s="24" t="n">
        <v>34.65</v>
      </c>
    </row>
    <row r="1905">
      <c r="A1905" s="11" t="n">
        <v>3635</v>
      </c>
      <c r="B1905" s="3" t="n">
        <v>46111</v>
      </c>
      <c r="C1905" s="25" t="inlineStr">
        <is>
          <t>GELENEKSEL</t>
        </is>
      </c>
      <c r="D1905" s="3" t="n">
        <v>46112</v>
      </c>
      <c r="E1905" s="3" t="n">
        <v>46673</v>
      </c>
      <c r="F1905" s="25"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3" t="n">
        <v>46111</v>
      </c>
      <c r="C1906" s="22" t="inlineStr">
        <is>
          <t>GELENEKSEL</t>
        </is>
      </c>
      <c r="D1906" s="23" t="n">
        <v>46112</v>
      </c>
      <c r="E1906" s="23" t="n">
        <v>46673</v>
      </c>
      <c r="F1906" s="22" t="inlineStr">
        <is>
          <t>TRT131027T36</t>
        </is>
      </c>
      <c r="G1906" s="8" t="n">
        <v>1117000</v>
      </c>
      <c r="H1906" s="8" t="n">
        <v>500000</v>
      </c>
      <c r="I1906" s="24" t="n">
        <v>566111.9</v>
      </c>
      <c r="J1906" s="24" t="n">
        <v>40</v>
      </c>
      <c r="K1906" s="24" t="n">
        <v>40.06</v>
      </c>
      <c r="L1906" s="24" t="n">
        <v>40.09</v>
      </c>
      <c r="M1906" s="24" t="n">
        <v>44</v>
      </c>
      <c r="N1906" s="24" t="n">
        <v>44.07</v>
      </c>
      <c r="O1906" s="24" t="n">
        <v>44.11</v>
      </c>
    </row>
    <row r="1907">
      <c r="A1907" s="11" t="n">
        <v>3637</v>
      </c>
      <c r="B1907" s="3" t="n">
        <v>46111</v>
      </c>
      <c r="C1907" s="25" t="inlineStr">
        <is>
          <t>GELENEKSEL</t>
        </is>
      </c>
      <c r="D1907" s="3" t="n">
        <v>46112</v>
      </c>
      <c r="E1907" s="3" t="n">
        <v>46771</v>
      </c>
      <c r="F1907" s="25"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3" t="n">
        <v>46111</v>
      </c>
      <c r="C1908" s="22" t="inlineStr">
        <is>
          <t>GELENEKSEL</t>
        </is>
      </c>
      <c r="D1908" s="23" t="n">
        <v>46112</v>
      </c>
      <c r="E1908" s="23" t="n">
        <v>46890</v>
      </c>
      <c r="F1908" s="22" t="inlineStr">
        <is>
          <t>TRT170528T12</t>
        </is>
      </c>
      <c r="G1908" s="8" t="n">
        <v>875000</v>
      </c>
      <c r="H1908" s="8" t="n">
        <v>500000</v>
      </c>
      <c r="I1908" s="24" t="n">
        <v>521710</v>
      </c>
      <c r="J1908" s="24" t="n">
        <v>36.29</v>
      </c>
      <c r="K1908" s="24" t="n">
        <v>36.38</v>
      </c>
      <c r="L1908" s="24" t="n">
        <v>36.54</v>
      </c>
      <c r="M1908" s="24" t="n">
        <v>41.53</v>
      </c>
      <c r="N1908" s="24" t="n">
        <v>41.65</v>
      </c>
      <c r="O1908" s="24" t="n">
        <v>41.86</v>
      </c>
    </row>
    <row r="1909">
      <c r="A1909" s="11" t="n">
        <v>3639</v>
      </c>
      <c r="B1909" s="3" t="n">
        <v>46111</v>
      </c>
      <c r="C1909" s="25" t="inlineStr">
        <is>
          <t>GELENEKSEL</t>
        </is>
      </c>
      <c r="D1909" s="3" t="n">
        <v>46112</v>
      </c>
      <c r="E1909" s="3" t="n">
        <v>47303</v>
      </c>
      <c r="F1909" s="25"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3" t="n">
        <v>46111</v>
      </c>
      <c r="C1910" s="22" t="inlineStr">
        <is>
          <t>GELENEKSEL</t>
        </is>
      </c>
      <c r="D1910" s="23" t="n">
        <v>46112</v>
      </c>
      <c r="E1910" s="23" t="n">
        <v>47373</v>
      </c>
      <c r="F1910" s="22" t="inlineStr">
        <is>
          <t>TRT120929T12</t>
        </is>
      </c>
      <c r="G1910" s="8" t="n">
        <v>2385000</v>
      </c>
      <c r="H1910" s="8" t="n">
        <v>500000</v>
      </c>
      <c r="I1910" s="24" t="n">
        <v>433854.5</v>
      </c>
      <c r="J1910" s="24" t="n">
        <v>37.69</v>
      </c>
      <c r="K1910" s="24" t="n">
        <v>37.69</v>
      </c>
      <c r="L1910" s="24" t="n">
        <v>37.69</v>
      </c>
      <c r="M1910" s="24" t="n">
        <v>41.24</v>
      </c>
      <c r="N1910" s="24" t="n">
        <v>41.24</v>
      </c>
      <c r="O1910" s="24" t="n">
        <v>41.24</v>
      </c>
    </row>
    <row r="1911">
      <c r="A1911" s="11" t="n">
        <v>3641</v>
      </c>
      <c r="B1911" s="3" t="n">
        <v>46111</v>
      </c>
      <c r="C1911" s="25" t="inlineStr">
        <is>
          <t>GELENEKSEL</t>
        </is>
      </c>
      <c r="D1911" s="3" t="n">
        <v>46112</v>
      </c>
      <c r="E1911" s="3" t="n">
        <v>47674</v>
      </c>
      <c r="F1911" s="25"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3" t="n">
        <v>46111</v>
      </c>
      <c r="C1912" s="22" t="inlineStr">
        <is>
          <t>GELENEKSEL</t>
        </is>
      </c>
      <c r="D1912" s="23" t="n">
        <v>46112</v>
      </c>
      <c r="E1912" s="23" t="n">
        <v>48857</v>
      </c>
      <c r="F1912" s="22" t="inlineStr">
        <is>
          <t>TRT051033T12</t>
        </is>
      </c>
      <c r="G1912" s="8" t="n">
        <v>960000</v>
      </c>
      <c r="H1912" s="8" t="n">
        <v>500000</v>
      </c>
      <c r="I1912" s="24" t="n">
        <v>474746.75</v>
      </c>
      <c r="J1912" s="24" t="n">
        <v>32.31</v>
      </c>
      <c r="K1912" s="24" t="n">
        <v>32.34</v>
      </c>
      <c r="L1912" s="24" t="n">
        <v>32.37</v>
      </c>
      <c r="M1912" s="24" t="n">
        <v>34.92</v>
      </c>
      <c r="N1912" s="24" t="n">
        <v>34.96</v>
      </c>
      <c r="O1912" s="24" t="n">
        <v>34.99</v>
      </c>
    </row>
    <row r="1913">
      <c r="A1913" s="11" t="n">
        <v>3643</v>
      </c>
      <c r="B1913" s="3" t="n">
        <v>46112</v>
      </c>
      <c r="C1913" s="25" t="inlineStr">
        <is>
          <t>GELENEKSEL</t>
        </is>
      </c>
      <c r="D1913" s="3" t="n">
        <v>46113</v>
      </c>
      <c r="E1913" s="3" t="n">
        <v>46554</v>
      </c>
      <c r="F1913" s="25"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3" t="n">
        <v>46112</v>
      </c>
      <c r="C1914" s="22" t="inlineStr">
        <is>
          <t>GELENEKSEL</t>
        </is>
      </c>
      <c r="D1914" s="23" t="n">
        <v>46113</v>
      </c>
      <c r="E1914" s="23" t="n">
        <v>46582</v>
      </c>
      <c r="F1914" s="22" t="inlineStr">
        <is>
          <t>TRT140727T14</t>
        </is>
      </c>
      <c r="G1914" s="8" t="n">
        <v>1135000</v>
      </c>
      <c r="H1914" s="8" t="n">
        <v>500000</v>
      </c>
      <c r="I1914" s="24" t="n">
        <v>527080</v>
      </c>
      <c r="J1914" s="24" t="n">
        <v>40.15</v>
      </c>
      <c r="K1914" s="24" t="n">
        <v>40.15</v>
      </c>
      <c r="L1914" s="24" t="n">
        <v>40.15</v>
      </c>
      <c r="M1914" s="24" t="n">
        <v>44.18</v>
      </c>
      <c r="N1914" s="24" t="n">
        <v>44.18</v>
      </c>
      <c r="O1914" s="24" t="n">
        <v>44.18</v>
      </c>
    </row>
    <row r="1915">
      <c r="A1915" s="11" t="n">
        <v>3645</v>
      </c>
      <c r="B1915" s="3" t="n">
        <v>46112</v>
      </c>
      <c r="C1915" s="25" t="inlineStr">
        <is>
          <t>GELENEKSEL</t>
        </is>
      </c>
      <c r="D1915" s="3" t="n">
        <v>46113</v>
      </c>
      <c r="E1915" s="3" t="n">
        <v>46673</v>
      </c>
      <c r="F1915" s="25"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3" t="n">
        <v>46112</v>
      </c>
      <c r="C1916" s="22" t="inlineStr">
        <is>
          <t>GELENEKSEL</t>
        </is>
      </c>
      <c r="D1916" s="23" t="n">
        <v>46113</v>
      </c>
      <c r="E1916" s="23" t="n">
        <v>46953</v>
      </c>
      <c r="F1916" s="22" t="inlineStr">
        <is>
          <t>TRT190728T18</t>
        </is>
      </c>
      <c r="G1916" s="8" t="n">
        <v>1340000</v>
      </c>
      <c r="H1916" s="8" t="n">
        <v>500000</v>
      </c>
      <c r="I1916" s="24" t="n">
        <v>367059.5</v>
      </c>
      <c r="J1916" s="24" t="n">
        <v>37.64</v>
      </c>
      <c r="K1916" s="24" t="n">
        <v>37.71</v>
      </c>
      <c r="L1916" s="24" t="n">
        <v>37.8</v>
      </c>
      <c r="M1916" s="24" t="n">
        <v>41.19</v>
      </c>
      <c r="N1916" s="24" t="n">
        <v>41.26</v>
      </c>
      <c r="O1916" s="24" t="n">
        <v>41.37</v>
      </c>
    </row>
    <row r="1917">
      <c r="A1917" s="11" t="n">
        <v>3647</v>
      </c>
      <c r="B1917" s="3" t="n">
        <v>46112</v>
      </c>
      <c r="C1917" s="25" t="inlineStr">
        <is>
          <t>GELENEKSEL</t>
        </is>
      </c>
      <c r="D1917" s="3" t="n">
        <v>46113</v>
      </c>
      <c r="E1917" s="3" t="n">
        <v>47184</v>
      </c>
      <c r="F1917" s="25"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3" t="n">
        <v>46112</v>
      </c>
      <c r="C1918" s="22" t="inlineStr">
        <is>
          <t>GELENEKSEL</t>
        </is>
      </c>
      <c r="D1918" s="23" t="n">
        <v>46113</v>
      </c>
      <c r="E1918" s="23" t="n">
        <v>47303</v>
      </c>
      <c r="F1918" s="22" t="inlineStr">
        <is>
          <t>TRT040729T14</t>
        </is>
      </c>
      <c r="G1918" s="8" t="n">
        <v>1854000</v>
      </c>
      <c r="H1918" s="8" t="n">
        <v>500000</v>
      </c>
      <c r="I1918" s="24" t="n">
        <v>538415</v>
      </c>
      <c r="J1918" s="24" t="n">
        <v>38.06</v>
      </c>
      <c r="K1918" s="24" t="n">
        <v>38.06</v>
      </c>
      <c r="L1918" s="24" t="n">
        <v>38.06</v>
      </c>
      <c r="M1918" s="24" t="n">
        <v>41.69</v>
      </c>
      <c r="N1918" s="24" t="n">
        <v>41.69</v>
      </c>
      <c r="O1918" s="24" t="n">
        <v>41.69</v>
      </c>
    </row>
    <row r="1919">
      <c r="A1919" s="11" t="n">
        <v>3649</v>
      </c>
      <c r="B1919" s="3" t="n">
        <v>46112</v>
      </c>
      <c r="C1919" s="25" t="inlineStr">
        <is>
          <t>GELENEKSEL</t>
        </is>
      </c>
      <c r="D1919" s="3" t="n">
        <v>46113</v>
      </c>
      <c r="E1919" s="3" t="n">
        <v>47373</v>
      </c>
      <c r="F1919" s="25"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3" t="n">
        <v>46112</v>
      </c>
      <c r="C1920" s="22" t="inlineStr">
        <is>
          <t>GELENEKSEL</t>
        </is>
      </c>
      <c r="D1920" s="23" t="n">
        <v>46113</v>
      </c>
      <c r="E1920" s="23" t="n">
        <v>49214</v>
      </c>
      <c r="F1920" s="22" t="inlineStr">
        <is>
          <t>TRT270934T18</t>
        </is>
      </c>
      <c r="G1920" s="8" t="n">
        <v>1625000</v>
      </c>
      <c r="H1920" s="8" t="n">
        <v>500000</v>
      </c>
      <c r="I1920" s="24" t="n">
        <v>511263.5</v>
      </c>
      <c r="J1920" s="24" t="n">
        <v>31.45</v>
      </c>
      <c r="K1920" s="24" t="n">
        <v>31.48</v>
      </c>
      <c r="L1920" s="24" t="n">
        <v>31.51</v>
      </c>
      <c r="M1920" s="24" t="n">
        <v>33.92</v>
      </c>
      <c r="N1920" s="24" t="n">
        <v>33.96</v>
      </c>
      <c r="O1920" s="24" t="n">
        <v>34</v>
      </c>
    </row>
    <row r="1921">
      <c r="A1921" s="11" t="n">
        <v>3651</v>
      </c>
      <c r="B1921" s="3" t="n">
        <v>46113</v>
      </c>
      <c r="C1921" s="25" t="inlineStr">
        <is>
          <t>GELENEKSEL</t>
        </is>
      </c>
      <c r="D1921" s="3" t="n">
        <v>46114</v>
      </c>
      <c r="E1921" s="3" t="n">
        <v>46512</v>
      </c>
      <c r="F1921" s="25"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3" t="n">
        <v>46113</v>
      </c>
      <c r="C1922" s="22" t="inlineStr">
        <is>
          <t>GELENEKSEL</t>
        </is>
      </c>
      <c r="D1922" s="23" t="n">
        <v>46114</v>
      </c>
      <c r="E1922" s="23" t="n">
        <v>46554</v>
      </c>
      <c r="F1922" s="22" t="inlineStr">
        <is>
          <t>TRT160627T13</t>
        </is>
      </c>
      <c r="G1922" s="8" t="n">
        <v>350000</v>
      </c>
      <c r="H1922" s="8" t="n">
        <v>100000</v>
      </c>
      <c r="I1922" s="24" t="n">
        <v>102380</v>
      </c>
      <c r="J1922" s="24" t="n">
        <v>39</v>
      </c>
      <c r="K1922" s="24" t="n">
        <v>39</v>
      </c>
      <c r="L1922" s="24" t="n">
        <v>39</v>
      </c>
      <c r="M1922" s="24" t="n">
        <v>45.09</v>
      </c>
      <c r="N1922" s="24" t="n">
        <v>45.09</v>
      </c>
      <c r="O1922" s="24" t="n">
        <v>45.09</v>
      </c>
    </row>
    <row r="1923">
      <c r="A1923" s="11" t="n">
        <v>3653</v>
      </c>
      <c r="B1923" s="3" t="n">
        <v>46113</v>
      </c>
      <c r="C1923" s="25" t="inlineStr">
        <is>
          <t>GELENEKSEL</t>
        </is>
      </c>
      <c r="D1923" s="3" t="n">
        <v>46114</v>
      </c>
      <c r="E1923" s="3" t="n">
        <v>46673</v>
      </c>
      <c r="F1923" s="25"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3" t="n">
        <v>46113</v>
      </c>
      <c r="C1924" s="22" t="inlineStr">
        <is>
          <t>GELENEKSEL</t>
        </is>
      </c>
      <c r="D1924" s="23" t="n">
        <v>46114</v>
      </c>
      <c r="E1924" s="23" t="n">
        <v>46890</v>
      </c>
      <c r="F1924" s="22" t="inlineStr">
        <is>
          <t>TRT170528T12</t>
        </is>
      </c>
      <c r="G1924" s="8" t="n">
        <v>625000</v>
      </c>
      <c r="H1924" s="8" t="n">
        <v>0</v>
      </c>
      <c r="I1924" s="24" t="n">
        <v>0</v>
      </c>
    </row>
    <row r="1925">
      <c r="A1925" s="11" t="n">
        <v>3655</v>
      </c>
      <c r="B1925" s="3" t="n">
        <v>46113</v>
      </c>
      <c r="C1925" s="25" t="inlineStr">
        <is>
          <t>GELENEKSEL</t>
        </is>
      </c>
      <c r="D1925" s="3" t="n">
        <v>46114</v>
      </c>
      <c r="E1925" s="3" t="n">
        <v>47093</v>
      </c>
      <c r="F1925" s="25"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3" t="n">
        <v>46113</v>
      </c>
      <c r="C1926" s="22" t="inlineStr">
        <is>
          <t>GELENEKSEL</t>
        </is>
      </c>
      <c r="D1926" s="23" t="n">
        <v>46114</v>
      </c>
      <c r="E1926" s="23" t="n">
        <v>47373</v>
      </c>
      <c r="F1926" s="22" t="inlineStr">
        <is>
          <t>TRT120929T12</t>
        </is>
      </c>
      <c r="G1926" s="8" t="n">
        <v>2085000</v>
      </c>
      <c r="H1926" s="8" t="n">
        <v>500000</v>
      </c>
      <c r="I1926" s="24" t="n">
        <v>445411</v>
      </c>
      <c r="J1926" s="24" t="n">
        <v>36.37</v>
      </c>
      <c r="K1926" s="24" t="n">
        <v>36.41</v>
      </c>
      <c r="L1926" s="24" t="n">
        <v>36.44</v>
      </c>
      <c r="M1926" s="24" t="n">
        <v>39.68</v>
      </c>
      <c r="N1926" s="24" t="n">
        <v>39.72</v>
      </c>
      <c r="O1926" s="24" t="n">
        <v>39.76</v>
      </c>
    </row>
    <row r="1927">
      <c r="A1927" s="11" t="n">
        <v>3657</v>
      </c>
      <c r="B1927" s="3" t="n">
        <v>46113</v>
      </c>
      <c r="C1927" s="25" t="inlineStr">
        <is>
          <t>GELENEKSEL</t>
        </is>
      </c>
      <c r="D1927" s="3" t="n">
        <v>46114</v>
      </c>
      <c r="E1927" s="3" t="n">
        <v>47758</v>
      </c>
      <c r="F1927" s="25"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3" t="n">
        <v>46113</v>
      </c>
      <c r="C1928" s="22" t="inlineStr">
        <is>
          <t>GELENEKSEL</t>
        </is>
      </c>
      <c r="D1928" s="23" t="n">
        <v>46114</v>
      </c>
      <c r="E1928" s="23" t="n">
        <v>48773</v>
      </c>
      <c r="F1928" s="22" t="inlineStr">
        <is>
          <t>TRT130733T17</t>
        </is>
      </c>
      <c r="G1928" s="8" t="n">
        <v>1150000</v>
      </c>
      <c r="H1928" s="8" t="n">
        <v>500000</v>
      </c>
      <c r="I1928" s="24" t="n">
        <v>337345</v>
      </c>
      <c r="J1928" s="24" t="n">
        <v>30.24</v>
      </c>
      <c r="K1928" s="24" t="n">
        <v>30.24</v>
      </c>
      <c r="L1928" s="24" t="n">
        <v>30.24</v>
      </c>
      <c r="M1928" s="24" t="n">
        <v>32.52</v>
      </c>
      <c r="N1928" s="24" t="n">
        <v>32.52</v>
      </c>
      <c r="O1928" s="24" t="n">
        <v>32.52</v>
      </c>
    </row>
    <row r="1929">
      <c r="A1929" s="11" t="n">
        <v>3659</v>
      </c>
      <c r="B1929" s="3" t="n">
        <v>46114</v>
      </c>
      <c r="C1929" s="25" t="inlineStr">
        <is>
          <t>GELENEKSEL</t>
        </is>
      </c>
      <c r="D1929" s="3" t="n">
        <v>46115</v>
      </c>
      <c r="E1929" s="3" t="n">
        <v>46582</v>
      </c>
      <c r="F1929" s="25"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3" t="n">
        <v>46114</v>
      </c>
      <c r="C1930" s="22" t="inlineStr">
        <is>
          <t>GELENEKSEL</t>
        </is>
      </c>
      <c r="D1930" s="23" t="n">
        <v>46115</v>
      </c>
      <c r="E1930" s="23" t="n">
        <v>46666</v>
      </c>
      <c r="F1930" s="22" t="inlineStr">
        <is>
          <t>TRD061027T33</t>
        </is>
      </c>
      <c r="G1930" s="8" t="n">
        <v>1427000</v>
      </c>
      <c r="H1930" s="8" t="n">
        <v>500000</v>
      </c>
      <c r="I1930" s="24" t="n">
        <v>597836.6</v>
      </c>
      <c r="J1930" s="24" t="n">
        <v>39.81</v>
      </c>
      <c r="K1930" s="24" t="n">
        <v>39.84</v>
      </c>
      <c r="L1930" s="24" t="n">
        <v>39.87</v>
      </c>
      <c r="M1930" s="24" t="n">
        <v>43.78</v>
      </c>
      <c r="N1930" s="24" t="n">
        <v>43.81</v>
      </c>
      <c r="O1930" s="24" t="n">
        <v>43.85</v>
      </c>
    </row>
    <row r="1931">
      <c r="A1931" s="11" t="n">
        <v>3661</v>
      </c>
      <c r="B1931" s="3" t="n">
        <v>46114</v>
      </c>
      <c r="C1931" s="25" t="inlineStr">
        <is>
          <t>GELENEKSEL</t>
        </is>
      </c>
      <c r="D1931" s="3" t="n">
        <v>46115</v>
      </c>
      <c r="E1931" s="3" t="n">
        <v>46673</v>
      </c>
      <c r="F1931" s="25"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3" t="n">
        <v>46114</v>
      </c>
      <c r="C1932" s="22" t="inlineStr">
        <is>
          <t>GELENEKSEL</t>
        </is>
      </c>
      <c r="D1932" s="23" t="n">
        <v>46115</v>
      </c>
      <c r="E1932" s="23" t="n">
        <v>46771</v>
      </c>
      <c r="F1932" s="22" t="inlineStr">
        <is>
          <t>TRT190128T14</t>
        </is>
      </c>
      <c r="G1932" s="8" t="n">
        <v>936000</v>
      </c>
      <c r="H1932" s="8" t="n">
        <v>500000</v>
      </c>
      <c r="I1932" s="24" t="n">
        <v>537958</v>
      </c>
      <c r="J1932" s="24" t="n">
        <v>37.34</v>
      </c>
      <c r="K1932" s="24" t="n">
        <v>37.37</v>
      </c>
      <c r="L1932" s="24" t="n">
        <v>37.4</v>
      </c>
      <c r="M1932" s="24" t="n">
        <v>42.9</v>
      </c>
      <c r="N1932" s="24" t="n">
        <v>42.94</v>
      </c>
      <c r="O1932" s="24" t="n">
        <v>42.98</v>
      </c>
    </row>
    <row r="1933">
      <c r="A1933" s="11" t="n">
        <v>3663</v>
      </c>
      <c r="B1933" s="3" t="n">
        <v>46114</v>
      </c>
      <c r="C1933" s="25" t="inlineStr">
        <is>
          <t>GELENEKSEL</t>
        </is>
      </c>
      <c r="D1933" s="3" t="n">
        <v>46115</v>
      </c>
      <c r="E1933" s="3" t="n">
        <v>47184</v>
      </c>
      <c r="F1933" s="25"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3" t="n">
        <v>46114</v>
      </c>
      <c r="C1934" s="22" t="inlineStr">
        <is>
          <t>GELENEKSEL</t>
        </is>
      </c>
      <c r="D1934" s="23" t="n">
        <v>46115</v>
      </c>
      <c r="E1934" s="23" t="n">
        <v>47373</v>
      </c>
      <c r="F1934" s="22" t="inlineStr">
        <is>
          <t>TRT120929T12</t>
        </is>
      </c>
      <c r="G1934" s="8" t="n">
        <v>1665000</v>
      </c>
      <c r="H1934" s="8" t="n">
        <v>500000</v>
      </c>
      <c r="I1934" s="24" t="n">
        <v>443179.7</v>
      </c>
      <c r="J1934" s="24" t="n">
        <v>36.66</v>
      </c>
      <c r="K1934" s="24" t="n">
        <v>36.72</v>
      </c>
      <c r="L1934" s="24" t="n">
        <v>36.75</v>
      </c>
      <c r="M1934" s="24" t="n">
        <v>40.02</v>
      </c>
      <c r="N1934" s="24" t="n">
        <v>40.09</v>
      </c>
      <c r="O1934" s="24" t="n">
        <v>40.13</v>
      </c>
    </row>
    <row r="1935">
      <c r="A1935" s="11" t="n">
        <v>3665</v>
      </c>
      <c r="B1935" s="3" t="n">
        <v>46114</v>
      </c>
      <c r="C1935" s="25" t="inlineStr">
        <is>
          <t>GELENEKSEL</t>
        </is>
      </c>
      <c r="D1935" s="3" t="n">
        <v>46115</v>
      </c>
      <c r="E1935" s="3" t="n">
        <v>47758</v>
      </c>
      <c r="F1935" s="25"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3" t="n">
        <v>46114</v>
      </c>
      <c r="C1936" s="22" t="inlineStr">
        <is>
          <t>GELENEKSEL</t>
        </is>
      </c>
      <c r="D1936" s="23" t="n">
        <v>46115</v>
      </c>
      <c r="E1936" s="23" t="n">
        <v>49214</v>
      </c>
      <c r="F1936" s="22" t="inlineStr">
        <is>
          <t>TRT270934T18</t>
        </is>
      </c>
      <c r="G1936" s="8" t="n">
        <v>1423000</v>
      </c>
      <c r="H1936" s="8" t="n">
        <v>500000</v>
      </c>
      <c r="I1936" s="24" t="n">
        <v>519477.56</v>
      </c>
      <c r="J1936" s="24" t="n">
        <v>30.92</v>
      </c>
      <c r="K1936" s="24" t="n">
        <v>30.93</v>
      </c>
      <c r="L1936" s="24" t="n">
        <v>30.93</v>
      </c>
      <c r="M1936" s="24" t="n">
        <v>33.31</v>
      </c>
      <c r="N1936" s="24" t="n">
        <v>33.33</v>
      </c>
      <c r="O1936" s="24" t="n">
        <v>33.33</v>
      </c>
    </row>
    <row r="1937">
      <c r="A1937" s="11" t="n">
        <v>3667</v>
      </c>
      <c r="B1937" s="3" t="n">
        <v>46115</v>
      </c>
      <c r="C1937" s="25" t="inlineStr">
        <is>
          <t>GELENEKSEL</t>
        </is>
      </c>
      <c r="D1937" s="3" t="n">
        <v>46118</v>
      </c>
      <c r="E1937" s="3" t="n">
        <v>46512</v>
      </c>
      <c r="F1937" s="25"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3" t="n">
        <v>46115</v>
      </c>
      <c r="C1938" s="22" t="inlineStr">
        <is>
          <t>GELENEKSEL</t>
        </is>
      </c>
      <c r="D1938" s="23" t="n">
        <v>46118</v>
      </c>
      <c r="E1938" s="23" t="n">
        <v>46582</v>
      </c>
      <c r="F1938" s="22" t="inlineStr">
        <is>
          <t>TRT140727T14</t>
        </is>
      </c>
      <c r="G1938" s="8" t="n">
        <v>985000</v>
      </c>
      <c r="H1938" s="8" t="n">
        <v>500000</v>
      </c>
      <c r="I1938" s="24" t="n">
        <v>533721.5</v>
      </c>
      <c r="J1938" s="24" t="n">
        <v>39.28</v>
      </c>
      <c r="K1938" s="24" t="n">
        <v>39.28</v>
      </c>
      <c r="L1938" s="24" t="n">
        <v>39.34</v>
      </c>
      <c r="M1938" s="24" t="n">
        <v>43.13</v>
      </c>
      <c r="N1938" s="24" t="n">
        <v>43.13</v>
      </c>
      <c r="O1938" s="24" t="n">
        <v>43.21</v>
      </c>
    </row>
    <row r="1939">
      <c r="A1939" s="11" t="n">
        <v>3669</v>
      </c>
      <c r="B1939" s="3" t="n">
        <v>46115</v>
      </c>
      <c r="C1939" s="25" t="inlineStr">
        <is>
          <t>GELENEKSEL</t>
        </is>
      </c>
      <c r="D1939" s="3" t="n">
        <v>46118</v>
      </c>
      <c r="E1939" s="3" t="n">
        <v>46638</v>
      </c>
      <c r="F1939" s="25"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3" t="n">
        <v>46115</v>
      </c>
      <c r="C1940" s="22" t="inlineStr">
        <is>
          <t>GELENEKSEL</t>
        </is>
      </c>
      <c r="D1940" s="23" t="n">
        <v>46118</v>
      </c>
      <c r="E1940" s="23" t="n">
        <v>46813</v>
      </c>
      <c r="F1940" s="22" t="inlineStr">
        <is>
          <t>TRT010328T12</t>
        </is>
      </c>
      <c r="G1940" s="8" t="n">
        <v>537000</v>
      </c>
      <c r="H1940" s="8" t="n">
        <v>500000</v>
      </c>
      <c r="I1940" s="24" t="n">
        <v>517778.86</v>
      </c>
      <c r="J1940" s="24" t="n">
        <v>39.56</v>
      </c>
      <c r="K1940" s="24" t="n">
        <v>39.81</v>
      </c>
      <c r="L1940" s="24" t="n">
        <v>39.87</v>
      </c>
      <c r="M1940" s="24" t="n">
        <v>45.82</v>
      </c>
      <c r="N1940" s="24" t="n">
        <v>46.16</v>
      </c>
      <c r="O1940" s="24" t="n">
        <v>46.24</v>
      </c>
    </row>
    <row r="1941">
      <c r="A1941" s="11" t="n">
        <v>3671</v>
      </c>
      <c r="B1941" s="3" t="n">
        <v>46115</v>
      </c>
      <c r="C1941" s="25" t="inlineStr">
        <is>
          <t>GELENEKSEL</t>
        </is>
      </c>
      <c r="D1941" s="3" t="n">
        <v>46118</v>
      </c>
      <c r="E1941" s="3" t="n">
        <v>47093</v>
      </c>
      <c r="F1941" s="25"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3" t="n">
        <v>46115</v>
      </c>
      <c r="C1942" s="22" t="inlineStr">
        <is>
          <t>GELENEKSEL</t>
        </is>
      </c>
      <c r="D1942" s="23" t="n">
        <v>46118</v>
      </c>
      <c r="E1942" s="23" t="n">
        <v>47303</v>
      </c>
      <c r="F1942" s="22" t="inlineStr">
        <is>
          <t>TRT040729T14</t>
        </is>
      </c>
      <c r="G1942" s="8" t="n">
        <v>650000</v>
      </c>
      <c r="H1942" s="8" t="n">
        <v>500000</v>
      </c>
      <c r="I1942" s="24" t="n">
        <v>544730</v>
      </c>
      <c r="J1942" s="24" t="n">
        <v>37.47</v>
      </c>
      <c r="K1942" s="24" t="n">
        <v>37.66</v>
      </c>
      <c r="L1942" s="24" t="n">
        <v>37.72</v>
      </c>
      <c r="M1942" s="24" t="n">
        <v>40.98</v>
      </c>
      <c r="N1942" s="24" t="n">
        <v>41.2</v>
      </c>
      <c r="O1942" s="24" t="n">
        <v>41.28</v>
      </c>
    </row>
    <row r="1943">
      <c r="A1943" s="11" t="n">
        <v>3673</v>
      </c>
      <c r="B1943" s="3" t="n">
        <v>46115</v>
      </c>
      <c r="C1943" s="25" t="inlineStr">
        <is>
          <t>GELENEKSEL</t>
        </is>
      </c>
      <c r="D1943" s="3" t="n">
        <v>46118</v>
      </c>
      <c r="E1943" s="3" t="n">
        <v>47758</v>
      </c>
      <c r="F1943" s="25"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3" t="n">
        <v>46115</v>
      </c>
      <c r="C1944" s="22" t="inlineStr">
        <is>
          <t>GELENEKSEL</t>
        </is>
      </c>
      <c r="D1944" s="23" t="n">
        <v>46118</v>
      </c>
      <c r="E1944" s="23" t="n">
        <v>48773</v>
      </c>
      <c r="F1944" s="22" t="inlineStr">
        <is>
          <t>TRT130733T17</t>
        </is>
      </c>
      <c r="G1944" s="8" t="n">
        <v>1150000</v>
      </c>
      <c r="H1944" s="8" t="n">
        <v>500000</v>
      </c>
      <c r="I1944" s="24" t="n">
        <v>339357.2</v>
      </c>
      <c r="J1944" s="24" t="n">
        <v>30.11</v>
      </c>
      <c r="K1944" s="24" t="n">
        <v>30.14</v>
      </c>
      <c r="L1944" s="24" t="n">
        <v>30.17</v>
      </c>
      <c r="M1944" s="24" t="n">
        <v>32.38</v>
      </c>
      <c r="N1944" s="24" t="n">
        <v>32.42</v>
      </c>
      <c r="O1944" s="24" t="n">
        <v>32.45</v>
      </c>
    </row>
  </sheetData>
  <autoFilter ref="A1:O194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İşlemleri'!$B$2:$B$1944)=$A$4)*1)</f>
        <v/>
      </c>
      <c r="C4" s="8">
        <f>SUMPRODUCT((YEAR('Doğrudan Alım İşlemleri'!$B$2:$B$1944)=$A$4)*('Doğrudan Alım İşlemleri'!$G$2:$G$1944&lt;&gt;"")*'Doğrudan Alım İşlemleri'!$G$2:$G$1944)</f>
        <v/>
      </c>
      <c r="D4" s="8">
        <f>SUMPRODUCT((YEAR('Doğrudan Alım İşlemleri'!$B$2:$B$1944)=$A$4)*('Doğrudan Alım İşlemleri'!$H$2:$H$1944&lt;&gt;"")*'Doğrudan Alım İşlemleri'!$H$2:$H$1944)</f>
        <v/>
      </c>
      <c r="E4" s="24">
        <f>SUMPRODUCT((YEAR('Doğrudan Alım İşlemleri'!$B$2:$B$1944)=$A$4)*('Doğrudan Alım İşlemleri'!$I$2:$I$1944&lt;&gt;"")*'Doğrudan Alım İşlemleri'!$I$2:$I$1944)</f>
        <v/>
      </c>
      <c r="F4" s="12">
        <f>IFERROR(D4/C4*100,"")</f>
        <v/>
      </c>
      <c r="G4" s="24">
        <f>IFERROR(SUMPRODUCT((YEAR('Doğrudan Alım İşlemleri'!$B$2:$B$1944)=$A$4)*ISNUMBER('Doğrudan Alım İşlemleri'!$K$2:$K$1944)*'Doğrudan Alım İşlemleri'!$K$2:$K$1944*('Doğrudan Alım İşlemleri'!$H$2:$H$1944&lt;&gt;"")*'Doğrudan Alım İşlemleri'!$H$2:$H$1944)/SUMPRODUCT((YEAR('Doğrudan Alım İşlemleri'!$B$2:$B$1944)=$A$4)*ISNUMBER('Doğrudan Alım İşlemleri'!$K$2:$K$1944)*('Doğrudan Alım İşlemleri'!$H$2:$H$1944&lt;&gt;"")*'Doğrudan Alım İşlemleri'!$H$2:$H$1944),"")</f>
        <v/>
      </c>
      <c r="H4" s="24">
        <f>IFERROR(SUMPRODUCT((YEAR('Doğrudan Alım İşlemleri'!$B$2:$B$1944)=$A$4)*ISNUMBER('Doğrudan Alım İşlemleri'!$N$2:$N$1944)*'Doğrudan Alım İşlemleri'!$N$2:$N$1944*('Doğrudan Alım İşlemleri'!$H$2:$H$1944&lt;&gt;"")*'Doğrudan Alım İşlemleri'!$H$2:$H$1944)/SUMPRODUCT((YEAR('Doğrudan Alım İşlemleri'!$B$2:$B$1944)=$A$4)*ISNUMBER('Doğrudan Alım İşlemleri'!$N$2:$N$1944)*('Doğrudan Alım İşlemleri'!$H$2:$H$1944&lt;&gt;"")*'Doğrudan Alım İşlemleri'!$H$2:$H$1944),"")</f>
        <v/>
      </c>
      <c r="I4" s="8">
        <f>IFERROR(SUMPRODUCT((YEAR('Doğrudan Alım İşlemleri'!$B$2:$B$1944)=$A$4)*('Doğrudan Alım İşlemleri'!$E$2:$E$1944-'Doğrudan Alım İşlemleri'!$D$2:$D$1944)*('Doğrudan Alım İşlemleri'!$H$2:$H$1944&lt;&gt;"")*'Doğrudan Alım İşlemleri'!$H$2:$H$1944)/SUMPRODUCT((YEAR('Doğrudan Alım İşlemleri'!$B$2:$B$1944)=$A$4)*('Doğrudan Alım İşlemleri'!$H$2:$H$1944&lt;&gt;"")*'Doğrudan Alım İşlemleri'!$H$2:$H$1944),"")</f>
        <v/>
      </c>
    </row>
    <row r="5">
      <c r="A5" s="16" t="n">
        <v>2010</v>
      </c>
      <c r="B5" s="11">
        <f>SUMPRODUCT((YEAR('Doğrudan Alım İşlemleri'!$B$2:$B$1944)=$A$5)*1)</f>
        <v/>
      </c>
      <c r="C5" s="11">
        <f>SUMPRODUCT((YEAR('Doğrudan Alım İşlemleri'!$B$2:$B$1944)=$A$5)*('Doğrudan Alım İşlemleri'!$G$2:$G$1944&lt;&gt;"")*'Doğrudan Alım İşlemleri'!$G$2:$G$1944)</f>
        <v/>
      </c>
      <c r="D5" s="11">
        <f>SUMPRODUCT((YEAR('Doğrudan Alım İşlemleri'!$B$2:$B$1944)=$A$5)*('Doğrudan Alım İşlemleri'!$H$2:$H$1944&lt;&gt;"")*'Doğrudan Alım İşlemleri'!$H$2:$H$1944)</f>
        <v/>
      </c>
      <c r="E5" s="13">
        <f>SUMPRODUCT((YEAR('Doğrudan Alım İşlemleri'!$B$2:$B$1944)=$A$5)*('Doğrudan Alım İşlemleri'!$I$2:$I$1944&lt;&gt;"")*'Doğrudan Alım İşlemleri'!$I$2:$I$1944)</f>
        <v/>
      </c>
      <c r="F5" s="17">
        <f>IFERROR(D5/C5*100,"")</f>
        <v/>
      </c>
      <c r="G5" s="13">
        <f>IFERROR(SUMPRODUCT((YEAR('Doğrudan Alım İşlemleri'!$B$2:$B$1944)=$A$5)*ISNUMBER('Doğrudan Alım İşlemleri'!$K$2:$K$1944)*'Doğrudan Alım İşlemleri'!$K$2:$K$1944*('Doğrudan Alım İşlemleri'!$H$2:$H$1944&lt;&gt;"")*'Doğrudan Alım İşlemleri'!$H$2:$H$1944)/SUMPRODUCT((YEAR('Doğrudan Alım İşlemleri'!$B$2:$B$1944)=$A$5)*ISNUMBER('Doğrudan Alım İşlemleri'!$K$2:$K$1944)*('Doğrudan Alım İşlemleri'!$H$2:$H$1944&lt;&gt;"")*'Doğrudan Alım İşlemleri'!$H$2:$H$1944),"")</f>
        <v/>
      </c>
      <c r="H5" s="13">
        <f>IFERROR(SUMPRODUCT((YEAR('Doğrudan Alım İşlemleri'!$B$2:$B$1944)=$A$5)*ISNUMBER('Doğrudan Alım İşlemleri'!$N$2:$N$1944)*'Doğrudan Alım İşlemleri'!$N$2:$N$1944*('Doğrudan Alım İşlemleri'!$H$2:$H$1944&lt;&gt;"")*'Doğrudan Alım İşlemleri'!$H$2:$H$1944)/SUMPRODUCT((YEAR('Doğrudan Alım İşlemleri'!$B$2:$B$1944)=$A$5)*ISNUMBER('Doğrudan Alım İşlemleri'!$N$2:$N$1944)*('Doğrudan Alım İşlemleri'!$H$2:$H$1944&lt;&gt;"")*'Doğrudan Alım İşlemleri'!$H$2:$H$1944),"")</f>
        <v/>
      </c>
      <c r="I5" s="11">
        <f>IFERROR(SUMPRODUCT((YEAR('Doğrudan Alım İşlemleri'!$B$2:$B$1944)=$A$5)*('Doğrudan Alım İşlemleri'!$E$2:$E$1944-'Doğrudan Alım İşlemleri'!$D$2:$D$1944)*('Doğrudan Alım İşlemleri'!$H$2:$H$1944&lt;&gt;"")*'Doğrudan Alım İşlemleri'!$H$2:$H$1944)/SUMPRODUCT((YEAR('Doğrudan Alım İşlemleri'!$B$2:$B$1944)=$A$5)*('Doğrudan Alım İşlemleri'!$H$2:$H$1944&lt;&gt;"")*'Doğrudan Alım İşlemleri'!$H$2:$H$1944),"")</f>
        <v/>
      </c>
    </row>
    <row r="6">
      <c r="A6" s="15" t="n">
        <v>2011</v>
      </c>
      <c r="B6" s="8">
        <f>SUMPRODUCT((YEAR('Doğrudan Alım İşlemleri'!$B$2:$B$1944)=$A$6)*1)</f>
        <v/>
      </c>
      <c r="C6" s="8">
        <f>SUMPRODUCT((YEAR('Doğrudan Alım İşlemleri'!$B$2:$B$1944)=$A$6)*('Doğrudan Alım İşlemleri'!$G$2:$G$1944&lt;&gt;"")*'Doğrudan Alım İşlemleri'!$G$2:$G$1944)</f>
        <v/>
      </c>
      <c r="D6" s="8">
        <f>SUMPRODUCT((YEAR('Doğrudan Alım İşlemleri'!$B$2:$B$1944)=$A$6)*('Doğrudan Alım İşlemleri'!$H$2:$H$1944&lt;&gt;"")*'Doğrudan Alım İşlemleri'!$H$2:$H$1944)</f>
        <v/>
      </c>
      <c r="E6" s="24">
        <f>SUMPRODUCT((YEAR('Doğrudan Alım İşlemleri'!$B$2:$B$1944)=$A$6)*('Doğrudan Alım İşlemleri'!$I$2:$I$1944&lt;&gt;"")*'Doğrudan Alım İşlemleri'!$I$2:$I$1944)</f>
        <v/>
      </c>
      <c r="F6" s="12">
        <f>IFERROR(D6/C6*100,"")</f>
        <v/>
      </c>
      <c r="G6" s="24">
        <f>IFERROR(SUMPRODUCT((YEAR('Doğrudan Alım İşlemleri'!$B$2:$B$1944)=$A$6)*ISNUMBER('Doğrudan Alım İşlemleri'!$K$2:$K$1944)*'Doğrudan Alım İşlemleri'!$K$2:$K$1944*('Doğrudan Alım İşlemleri'!$H$2:$H$1944&lt;&gt;"")*'Doğrudan Alım İşlemleri'!$H$2:$H$1944)/SUMPRODUCT((YEAR('Doğrudan Alım İşlemleri'!$B$2:$B$1944)=$A$6)*ISNUMBER('Doğrudan Alım İşlemleri'!$K$2:$K$1944)*('Doğrudan Alım İşlemleri'!$H$2:$H$1944&lt;&gt;"")*'Doğrudan Alım İşlemleri'!$H$2:$H$1944),"")</f>
        <v/>
      </c>
      <c r="H6" s="24">
        <f>IFERROR(SUMPRODUCT((YEAR('Doğrudan Alım İşlemleri'!$B$2:$B$1944)=$A$6)*ISNUMBER('Doğrudan Alım İşlemleri'!$N$2:$N$1944)*'Doğrudan Alım İşlemleri'!$N$2:$N$1944*('Doğrudan Alım İşlemleri'!$H$2:$H$1944&lt;&gt;"")*'Doğrudan Alım İşlemleri'!$H$2:$H$1944)/SUMPRODUCT((YEAR('Doğrudan Alım İşlemleri'!$B$2:$B$1944)=$A$6)*ISNUMBER('Doğrudan Alım İşlemleri'!$N$2:$N$1944)*('Doğrudan Alım İşlemleri'!$H$2:$H$1944&lt;&gt;"")*'Doğrudan Alım İşlemleri'!$H$2:$H$1944),"")</f>
        <v/>
      </c>
      <c r="I6" s="8">
        <f>IFERROR(SUMPRODUCT((YEAR('Doğrudan Alım İşlemleri'!$B$2:$B$1944)=$A$6)*('Doğrudan Alım İşlemleri'!$E$2:$E$1944-'Doğrudan Alım İşlemleri'!$D$2:$D$1944)*('Doğrudan Alım İşlemleri'!$H$2:$H$1944&lt;&gt;"")*'Doğrudan Alım İşlemleri'!$H$2:$H$1944)/SUMPRODUCT((YEAR('Doğrudan Alım İşlemleri'!$B$2:$B$1944)=$A$6)*('Doğrudan Alım İşlemleri'!$H$2:$H$1944&lt;&gt;"")*'Doğrudan Alım İşlemleri'!$H$2:$H$1944),"")</f>
        <v/>
      </c>
    </row>
    <row r="7">
      <c r="A7" s="16" t="n">
        <v>2012</v>
      </c>
      <c r="B7" s="11">
        <f>SUMPRODUCT((YEAR('Doğrudan Alım İşlemleri'!$B$2:$B$1944)=$A$7)*1)</f>
        <v/>
      </c>
      <c r="C7" s="11">
        <f>SUMPRODUCT((YEAR('Doğrudan Alım İşlemleri'!$B$2:$B$1944)=$A$7)*('Doğrudan Alım İşlemleri'!$G$2:$G$1944&lt;&gt;"")*'Doğrudan Alım İşlemleri'!$G$2:$G$1944)</f>
        <v/>
      </c>
      <c r="D7" s="11">
        <f>SUMPRODUCT((YEAR('Doğrudan Alım İşlemleri'!$B$2:$B$1944)=$A$7)*('Doğrudan Alım İşlemleri'!$H$2:$H$1944&lt;&gt;"")*'Doğrudan Alım İşlemleri'!$H$2:$H$1944)</f>
        <v/>
      </c>
      <c r="E7" s="13">
        <f>SUMPRODUCT((YEAR('Doğrudan Alım İşlemleri'!$B$2:$B$1944)=$A$7)*('Doğrudan Alım İşlemleri'!$I$2:$I$1944&lt;&gt;"")*'Doğrudan Alım İşlemleri'!$I$2:$I$1944)</f>
        <v/>
      </c>
      <c r="F7" s="17">
        <f>IFERROR(D7/C7*100,"")</f>
        <v/>
      </c>
      <c r="G7" s="13">
        <f>IFERROR(SUMPRODUCT((YEAR('Doğrudan Alım İşlemleri'!$B$2:$B$1944)=$A$7)*ISNUMBER('Doğrudan Alım İşlemleri'!$K$2:$K$1944)*'Doğrudan Alım İşlemleri'!$K$2:$K$1944*('Doğrudan Alım İşlemleri'!$H$2:$H$1944&lt;&gt;"")*'Doğrudan Alım İşlemleri'!$H$2:$H$1944)/SUMPRODUCT((YEAR('Doğrudan Alım İşlemleri'!$B$2:$B$1944)=$A$7)*ISNUMBER('Doğrudan Alım İşlemleri'!$K$2:$K$1944)*('Doğrudan Alım İşlemleri'!$H$2:$H$1944&lt;&gt;"")*'Doğrudan Alım İşlemleri'!$H$2:$H$1944),"")</f>
        <v/>
      </c>
      <c r="H7" s="13">
        <f>IFERROR(SUMPRODUCT((YEAR('Doğrudan Alım İşlemleri'!$B$2:$B$1944)=$A$7)*ISNUMBER('Doğrudan Alım İşlemleri'!$N$2:$N$1944)*'Doğrudan Alım İşlemleri'!$N$2:$N$1944*('Doğrudan Alım İşlemleri'!$H$2:$H$1944&lt;&gt;"")*'Doğrudan Alım İşlemleri'!$H$2:$H$1944)/SUMPRODUCT((YEAR('Doğrudan Alım İşlemleri'!$B$2:$B$1944)=$A$7)*ISNUMBER('Doğrudan Alım İşlemleri'!$N$2:$N$1944)*('Doğrudan Alım İşlemleri'!$H$2:$H$1944&lt;&gt;"")*'Doğrudan Alım İşlemleri'!$H$2:$H$1944),"")</f>
        <v/>
      </c>
      <c r="I7" s="11">
        <f>IFERROR(SUMPRODUCT((YEAR('Doğrudan Alım İşlemleri'!$B$2:$B$1944)=$A$7)*('Doğrudan Alım İşlemleri'!$E$2:$E$1944-'Doğrudan Alım İşlemleri'!$D$2:$D$1944)*('Doğrudan Alım İşlemleri'!$H$2:$H$1944&lt;&gt;"")*'Doğrudan Alım İşlemleri'!$H$2:$H$1944)/SUMPRODUCT((YEAR('Doğrudan Alım İşlemleri'!$B$2:$B$1944)=$A$7)*('Doğrudan Alım İşlemleri'!$H$2:$H$1944&lt;&gt;"")*'Doğrudan Alım İşlemleri'!$H$2:$H$1944),"")</f>
        <v/>
      </c>
    </row>
    <row r="8">
      <c r="A8" s="15" t="n">
        <v>2013</v>
      </c>
      <c r="B8" s="8">
        <f>SUMPRODUCT((YEAR('Doğrudan Alım İşlemleri'!$B$2:$B$1944)=$A$8)*1)</f>
        <v/>
      </c>
      <c r="C8" s="8">
        <f>SUMPRODUCT((YEAR('Doğrudan Alım İşlemleri'!$B$2:$B$1944)=$A$8)*('Doğrudan Alım İşlemleri'!$G$2:$G$1944&lt;&gt;"")*'Doğrudan Alım İşlemleri'!$G$2:$G$1944)</f>
        <v/>
      </c>
      <c r="D8" s="8">
        <f>SUMPRODUCT((YEAR('Doğrudan Alım İşlemleri'!$B$2:$B$1944)=$A$8)*('Doğrudan Alım İşlemleri'!$H$2:$H$1944&lt;&gt;"")*'Doğrudan Alım İşlemleri'!$H$2:$H$1944)</f>
        <v/>
      </c>
      <c r="E8" s="24">
        <f>SUMPRODUCT((YEAR('Doğrudan Alım İşlemleri'!$B$2:$B$1944)=$A$8)*('Doğrudan Alım İşlemleri'!$I$2:$I$1944&lt;&gt;"")*'Doğrudan Alım İşlemleri'!$I$2:$I$1944)</f>
        <v/>
      </c>
      <c r="F8" s="12">
        <f>IFERROR(D8/C8*100,"")</f>
        <v/>
      </c>
      <c r="G8" s="24">
        <f>IFERROR(SUMPRODUCT((YEAR('Doğrudan Alım İşlemleri'!$B$2:$B$1944)=$A$8)*ISNUMBER('Doğrudan Alım İşlemleri'!$K$2:$K$1944)*'Doğrudan Alım İşlemleri'!$K$2:$K$1944*('Doğrudan Alım İşlemleri'!$H$2:$H$1944&lt;&gt;"")*'Doğrudan Alım İşlemleri'!$H$2:$H$1944)/SUMPRODUCT((YEAR('Doğrudan Alım İşlemleri'!$B$2:$B$1944)=$A$8)*ISNUMBER('Doğrudan Alım İşlemleri'!$K$2:$K$1944)*('Doğrudan Alım İşlemleri'!$H$2:$H$1944&lt;&gt;"")*'Doğrudan Alım İşlemleri'!$H$2:$H$1944),"")</f>
        <v/>
      </c>
      <c r="H8" s="24">
        <f>IFERROR(SUMPRODUCT((YEAR('Doğrudan Alım İşlemleri'!$B$2:$B$1944)=$A$8)*ISNUMBER('Doğrudan Alım İşlemleri'!$N$2:$N$1944)*'Doğrudan Alım İşlemleri'!$N$2:$N$1944*('Doğrudan Alım İşlemleri'!$H$2:$H$1944&lt;&gt;"")*'Doğrudan Alım İşlemleri'!$H$2:$H$1944)/SUMPRODUCT((YEAR('Doğrudan Alım İşlemleri'!$B$2:$B$1944)=$A$8)*ISNUMBER('Doğrudan Alım İşlemleri'!$N$2:$N$1944)*('Doğrudan Alım İşlemleri'!$H$2:$H$1944&lt;&gt;"")*'Doğrudan Alım İşlemleri'!$H$2:$H$1944),"")</f>
        <v/>
      </c>
      <c r="I8" s="8">
        <f>IFERROR(SUMPRODUCT((YEAR('Doğrudan Alım İşlemleri'!$B$2:$B$1944)=$A$8)*('Doğrudan Alım İşlemleri'!$E$2:$E$1944-'Doğrudan Alım İşlemleri'!$D$2:$D$1944)*('Doğrudan Alım İşlemleri'!$H$2:$H$1944&lt;&gt;"")*'Doğrudan Alım İşlemleri'!$H$2:$H$1944)/SUMPRODUCT((YEAR('Doğrudan Alım İşlemleri'!$B$2:$B$1944)=$A$8)*('Doğrudan Alım İşlemleri'!$H$2:$H$1944&lt;&gt;"")*'Doğrudan Alım İşlemleri'!$H$2:$H$1944),"")</f>
        <v/>
      </c>
    </row>
    <row r="9">
      <c r="A9" s="16" t="n">
        <v>2014</v>
      </c>
      <c r="B9" s="11">
        <f>SUMPRODUCT((YEAR('Doğrudan Alım İşlemleri'!$B$2:$B$1944)=$A$9)*1)</f>
        <v/>
      </c>
      <c r="C9" s="11">
        <f>SUMPRODUCT((YEAR('Doğrudan Alım İşlemleri'!$B$2:$B$1944)=$A$9)*('Doğrudan Alım İşlemleri'!$G$2:$G$1944&lt;&gt;"")*'Doğrudan Alım İşlemleri'!$G$2:$G$1944)</f>
        <v/>
      </c>
      <c r="D9" s="11">
        <f>SUMPRODUCT((YEAR('Doğrudan Alım İşlemleri'!$B$2:$B$1944)=$A$9)*('Doğrudan Alım İşlemleri'!$H$2:$H$1944&lt;&gt;"")*'Doğrudan Alım İşlemleri'!$H$2:$H$1944)</f>
        <v/>
      </c>
      <c r="E9" s="13">
        <f>SUMPRODUCT((YEAR('Doğrudan Alım İşlemleri'!$B$2:$B$1944)=$A$9)*('Doğrudan Alım İşlemleri'!$I$2:$I$1944&lt;&gt;"")*'Doğrudan Alım İşlemleri'!$I$2:$I$1944)</f>
        <v/>
      </c>
      <c r="F9" s="17">
        <f>IFERROR(D9/C9*100,"")</f>
        <v/>
      </c>
      <c r="G9" s="13">
        <f>IFERROR(SUMPRODUCT((YEAR('Doğrudan Alım İşlemleri'!$B$2:$B$1944)=$A$9)*ISNUMBER('Doğrudan Alım İşlemleri'!$K$2:$K$1944)*'Doğrudan Alım İşlemleri'!$K$2:$K$1944*('Doğrudan Alım İşlemleri'!$H$2:$H$1944&lt;&gt;"")*'Doğrudan Alım İşlemleri'!$H$2:$H$1944)/SUMPRODUCT((YEAR('Doğrudan Alım İşlemleri'!$B$2:$B$1944)=$A$9)*ISNUMBER('Doğrudan Alım İşlemleri'!$K$2:$K$1944)*('Doğrudan Alım İşlemleri'!$H$2:$H$1944&lt;&gt;"")*'Doğrudan Alım İşlemleri'!$H$2:$H$1944),"")</f>
        <v/>
      </c>
      <c r="H9" s="13">
        <f>IFERROR(SUMPRODUCT((YEAR('Doğrudan Alım İşlemleri'!$B$2:$B$1944)=$A$9)*ISNUMBER('Doğrudan Alım İşlemleri'!$N$2:$N$1944)*'Doğrudan Alım İşlemleri'!$N$2:$N$1944*('Doğrudan Alım İşlemleri'!$H$2:$H$1944&lt;&gt;"")*'Doğrudan Alım İşlemleri'!$H$2:$H$1944)/SUMPRODUCT((YEAR('Doğrudan Alım İşlemleri'!$B$2:$B$1944)=$A$9)*ISNUMBER('Doğrudan Alım İşlemleri'!$N$2:$N$1944)*('Doğrudan Alım İşlemleri'!$H$2:$H$1944&lt;&gt;"")*'Doğrudan Alım İşlemleri'!$H$2:$H$1944),"")</f>
        <v/>
      </c>
      <c r="I9" s="11">
        <f>IFERROR(SUMPRODUCT((YEAR('Doğrudan Alım İşlemleri'!$B$2:$B$1944)=$A$9)*('Doğrudan Alım İşlemleri'!$E$2:$E$1944-'Doğrudan Alım İşlemleri'!$D$2:$D$1944)*('Doğrudan Alım İşlemleri'!$H$2:$H$1944&lt;&gt;"")*'Doğrudan Alım İşlemleri'!$H$2:$H$1944)/SUMPRODUCT((YEAR('Doğrudan Alım İşlemleri'!$B$2:$B$1944)=$A$9)*('Doğrudan Alım İşlemleri'!$H$2:$H$1944&lt;&gt;"")*'Doğrudan Alım İşlemleri'!$H$2:$H$1944),"")</f>
        <v/>
      </c>
    </row>
    <row r="10">
      <c r="A10" s="15" t="n">
        <v>2015</v>
      </c>
      <c r="B10" s="8">
        <f>SUMPRODUCT((YEAR('Doğrudan Alım İşlemleri'!$B$2:$B$1944)=$A$10)*1)</f>
        <v/>
      </c>
      <c r="C10" s="8">
        <f>SUMPRODUCT((YEAR('Doğrudan Alım İşlemleri'!$B$2:$B$1944)=$A$10)*('Doğrudan Alım İşlemleri'!$G$2:$G$1944&lt;&gt;"")*'Doğrudan Alım İşlemleri'!$G$2:$G$1944)</f>
        <v/>
      </c>
      <c r="D10" s="8">
        <f>SUMPRODUCT((YEAR('Doğrudan Alım İşlemleri'!$B$2:$B$1944)=$A$10)*('Doğrudan Alım İşlemleri'!$H$2:$H$1944&lt;&gt;"")*'Doğrudan Alım İşlemleri'!$H$2:$H$1944)</f>
        <v/>
      </c>
      <c r="E10" s="24">
        <f>SUMPRODUCT((YEAR('Doğrudan Alım İşlemleri'!$B$2:$B$1944)=$A$10)*('Doğrudan Alım İşlemleri'!$I$2:$I$1944&lt;&gt;"")*'Doğrudan Alım İşlemleri'!$I$2:$I$1944)</f>
        <v/>
      </c>
      <c r="F10" s="12">
        <f>IFERROR(D10/C10*100,"")</f>
        <v/>
      </c>
      <c r="G10" s="24">
        <f>IFERROR(SUMPRODUCT((YEAR('Doğrudan Alım İşlemleri'!$B$2:$B$1944)=$A$10)*ISNUMBER('Doğrudan Alım İşlemleri'!$K$2:$K$1944)*'Doğrudan Alım İşlemleri'!$K$2:$K$1944*('Doğrudan Alım İşlemleri'!$H$2:$H$1944&lt;&gt;"")*'Doğrudan Alım İşlemleri'!$H$2:$H$1944)/SUMPRODUCT((YEAR('Doğrudan Alım İşlemleri'!$B$2:$B$1944)=$A$10)*ISNUMBER('Doğrudan Alım İşlemleri'!$K$2:$K$1944)*('Doğrudan Alım İşlemleri'!$H$2:$H$1944&lt;&gt;"")*'Doğrudan Alım İşlemleri'!$H$2:$H$1944),"")</f>
        <v/>
      </c>
      <c r="H10" s="24">
        <f>IFERROR(SUMPRODUCT((YEAR('Doğrudan Alım İşlemleri'!$B$2:$B$1944)=$A$10)*ISNUMBER('Doğrudan Alım İşlemleri'!$N$2:$N$1944)*'Doğrudan Alım İşlemleri'!$N$2:$N$1944*('Doğrudan Alım İşlemleri'!$H$2:$H$1944&lt;&gt;"")*'Doğrudan Alım İşlemleri'!$H$2:$H$1944)/SUMPRODUCT((YEAR('Doğrudan Alım İşlemleri'!$B$2:$B$1944)=$A$10)*ISNUMBER('Doğrudan Alım İşlemleri'!$N$2:$N$1944)*('Doğrudan Alım İşlemleri'!$H$2:$H$1944&lt;&gt;"")*'Doğrudan Alım İşlemleri'!$H$2:$H$1944),"")</f>
        <v/>
      </c>
      <c r="I10" s="8">
        <f>IFERROR(SUMPRODUCT((YEAR('Doğrudan Alım İşlemleri'!$B$2:$B$1944)=$A$10)*('Doğrudan Alım İşlemleri'!$E$2:$E$1944-'Doğrudan Alım İşlemleri'!$D$2:$D$1944)*('Doğrudan Alım İşlemleri'!$H$2:$H$1944&lt;&gt;"")*'Doğrudan Alım İşlemleri'!$H$2:$H$1944)/SUMPRODUCT((YEAR('Doğrudan Alım İşlemleri'!$B$2:$B$1944)=$A$10)*('Doğrudan Alım İşlemleri'!$H$2:$H$1944&lt;&gt;"")*'Doğrudan Alım İşlemleri'!$H$2:$H$1944),"")</f>
        <v/>
      </c>
    </row>
    <row r="11">
      <c r="A11" s="16" t="n">
        <v>2016</v>
      </c>
      <c r="B11" s="11">
        <f>SUMPRODUCT((YEAR('Doğrudan Alım İşlemleri'!$B$2:$B$1944)=$A$11)*1)</f>
        <v/>
      </c>
      <c r="C11" s="11">
        <f>SUMPRODUCT((YEAR('Doğrudan Alım İşlemleri'!$B$2:$B$1944)=$A$11)*('Doğrudan Alım İşlemleri'!$G$2:$G$1944&lt;&gt;"")*'Doğrudan Alım İşlemleri'!$G$2:$G$1944)</f>
        <v/>
      </c>
      <c r="D11" s="11">
        <f>SUMPRODUCT((YEAR('Doğrudan Alım İşlemleri'!$B$2:$B$1944)=$A$11)*('Doğrudan Alım İşlemleri'!$H$2:$H$1944&lt;&gt;"")*'Doğrudan Alım İşlemleri'!$H$2:$H$1944)</f>
        <v/>
      </c>
      <c r="E11" s="13">
        <f>SUMPRODUCT((YEAR('Doğrudan Alım İşlemleri'!$B$2:$B$1944)=$A$11)*('Doğrudan Alım İşlemleri'!$I$2:$I$1944&lt;&gt;"")*'Doğrudan Alım İşlemleri'!$I$2:$I$1944)</f>
        <v/>
      </c>
      <c r="F11" s="17">
        <f>IFERROR(D11/C11*100,"")</f>
        <v/>
      </c>
      <c r="G11" s="13">
        <f>IFERROR(SUMPRODUCT((YEAR('Doğrudan Alım İşlemleri'!$B$2:$B$1944)=$A$11)*ISNUMBER('Doğrudan Alım İşlemleri'!$K$2:$K$1944)*'Doğrudan Alım İşlemleri'!$K$2:$K$1944*('Doğrudan Alım İşlemleri'!$H$2:$H$1944&lt;&gt;"")*'Doğrudan Alım İşlemleri'!$H$2:$H$1944)/SUMPRODUCT((YEAR('Doğrudan Alım İşlemleri'!$B$2:$B$1944)=$A$11)*ISNUMBER('Doğrudan Alım İşlemleri'!$K$2:$K$1944)*('Doğrudan Alım İşlemleri'!$H$2:$H$1944&lt;&gt;"")*'Doğrudan Alım İşlemleri'!$H$2:$H$1944),"")</f>
        <v/>
      </c>
      <c r="H11" s="13">
        <f>IFERROR(SUMPRODUCT((YEAR('Doğrudan Alım İşlemleri'!$B$2:$B$1944)=$A$11)*ISNUMBER('Doğrudan Alım İşlemleri'!$N$2:$N$1944)*'Doğrudan Alım İşlemleri'!$N$2:$N$1944*('Doğrudan Alım İşlemleri'!$H$2:$H$1944&lt;&gt;"")*'Doğrudan Alım İşlemleri'!$H$2:$H$1944)/SUMPRODUCT((YEAR('Doğrudan Alım İşlemleri'!$B$2:$B$1944)=$A$11)*ISNUMBER('Doğrudan Alım İşlemleri'!$N$2:$N$1944)*('Doğrudan Alım İşlemleri'!$H$2:$H$1944&lt;&gt;"")*'Doğrudan Alım İşlemleri'!$H$2:$H$1944),"")</f>
        <v/>
      </c>
      <c r="I11" s="11">
        <f>IFERROR(SUMPRODUCT((YEAR('Doğrudan Alım İşlemleri'!$B$2:$B$1944)=$A$11)*('Doğrudan Alım İşlemleri'!$E$2:$E$1944-'Doğrudan Alım İşlemleri'!$D$2:$D$1944)*('Doğrudan Alım İşlemleri'!$H$2:$H$1944&lt;&gt;"")*'Doğrudan Alım İşlemleri'!$H$2:$H$1944)/SUMPRODUCT((YEAR('Doğrudan Alım İşlemleri'!$B$2:$B$1944)=$A$11)*('Doğrudan Alım İşlemleri'!$H$2:$H$1944&lt;&gt;"")*'Doğrudan Alım İşlemleri'!$H$2:$H$1944),"")</f>
        <v/>
      </c>
    </row>
    <row r="12">
      <c r="A12" s="15" t="n">
        <v>2017</v>
      </c>
      <c r="B12" s="8">
        <f>SUMPRODUCT((YEAR('Doğrudan Alım İşlemleri'!$B$2:$B$1944)=$A$12)*1)</f>
        <v/>
      </c>
      <c r="C12" s="8">
        <f>SUMPRODUCT((YEAR('Doğrudan Alım İşlemleri'!$B$2:$B$1944)=$A$12)*('Doğrudan Alım İşlemleri'!$G$2:$G$1944&lt;&gt;"")*'Doğrudan Alım İşlemleri'!$G$2:$G$1944)</f>
        <v/>
      </c>
      <c r="D12" s="8">
        <f>SUMPRODUCT((YEAR('Doğrudan Alım İşlemleri'!$B$2:$B$1944)=$A$12)*('Doğrudan Alım İşlemleri'!$H$2:$H$1944&lt;&gt;"")*'Doğrudan Alım İşlemleri'!$H$2:$H$1944)</f>
        <v/>
      </c>
      <c r="E12" s="24">
        <f>SUMPRODUCT((YEAR('Doğrudan Alım İşlemleri'!$B$2:$B$1944)=$A$12)*('Doğrudan Alım İşlemleri'!$I$2:$I$1944&lt;&gt;"")*'Doğrudan Alım İşlemleri'!$I$2:$I$1944)</f>
        <v/>
      </c>
      <c r="F12" s="12">
        <f>IFERROR(D12/C12*100,"")</f>
        <v/>
      </c>
      <c r="G12" s="24">
        <f>IFERROR(SUMPRODUCT((YEAR('Doğrudan Alım İşlemleri'!$B$2:$B$1944)=$A$12)*ISNUMBER('Doğrudan Alım İşlemleri'!$K$2:$K$1944)*'Doğrudan Alım İşlemleri'!$K$2:$K$1944*('Doğrudan Alım İşlemleri'!$H$2:$H$1944&lt;&gt;"")*'Doğrudan Alım İşlemleri'!$H$2:$H$1944)/SUMPRODUCT((YEAR('Doğrudan Alım İşlemleri'!$B$2:$B$1944)=$A$12)*ISNUMBER('Doğrudan Alım İşlemleri'!$K$2:$K$1944)*('Doğrudan Alım İşlemleri'!$H$2:$H$1944&lt;&gt;"")*'Doğrudan Alım İşlemleri'!$H$2:$H$1944),"")</f>
        <v/>
      </c>
      <c r="H12" s="24">
        <f>IFERROR(SUMPRODUCT((YEAR('Doğrudan Alım İşlemleri'!$B$2:$B$1944)=$A$12)*ISNUMBER('Doğrudan Alım İşlemleri'!$N$2:$N$1944)*'Doğrudan Alım İşlemleri'!$N$2:$N$1944*('Doğrudan Alım İşlemleri'!$H$2:$H$1944&lt;&gt;"")*'Doğrudan Alım İşlemleri'!$H$2:$H$1944)/SUMPRODUCT((YEAR('Doğrudan Alım İşlemleri'!$B$2:$B$1944)=$A$12)*ISNUMBER('Doğrudan Alım İşlemleri'!$N$2:$N$1944)*('Doğrudan Alım İşlemleri'!$H$2:$H$1944&lt;&gt;"")*'Doğrudan Alım İşlemleri'!$H$2:$H$1944),"")</f>
        <v/>
      </c>
      <c r="I12" s="8">
        <f>IFERROR(SUMPRODUCT((YEAR('Doğrudan Alım İşlemleri'!$B$2:$B$1944)=$A$12)*('Doğrudan Alım İşlemleri'!$E$2:$E$1944-'Doğrudan Alım İşlemleri'!$D$2:$D$1944)*('Doğrudan Alım İşlemleri'!$H$2:$H$1944&lt;&gt;"")*'Doğrudan Alım İşlemleri'!$H$2:$H$1944)/SUMPRODUCT((YEAR('Doğrudan Alım İşlemleri'!$B$2:$B$1944)=$A$12)*('Doğrudan Alım İşlemleri'!$H$2:$H$1944&lt;&gt;"")*'Doğrudan Alım İşlemleri'!$H$2:$H$1944),"")</f>
        <v/>
      </c>
    </row>
    <row r="13">
      <c r="A13" s="16" t="n">
        <v>2018</v>
      </c>
      <c r="B13" s="11">
        <f>SUMPRODUCT((YEAR('Doğrudan Alım İşlemleri'!$B$2:$B$1944)=$A$13)*1)</f>
        <v/>
      </c>
      <c r="C13" s="11">
        <f>SUMPRODUCT((YEAR('Doğrudan Alım İşlemleri'!$B$2:$B$1944)=$A$13)*('Doğrudan Alım İşlemleri'!$G$2:$G$1944&lt;&gt;"")*'Doğrudan Alım İşlemleri'!$G$2:$G$1944)</f>
        <v/>
      </c>
      <c r="D13" s="11">
        <f>SUMPRODUCT((YEAR('Doğrudan Alım İşlemleri'!$B$2:$B$1944)=$A$13)*('Doğrudan Alım İşlemleri'!$H$2:$H$1944&lt;&gt;"")*'Doğrudan Alım İşlemleri'!$H$2:$H$1944)</f>
        <v/>
      </c>
      <c r="E13" s="13">
        <f>SUMPRODUCT((YEAR('Doğrudan Alım İşlemleri'!$B$2:$B$1944)=$A$13)*('Doğrudan Alım İşlemleri'!$I$2:$I$1944&lt;&gt;"")*'Doğrudan Alım İşlemleri'!$I$2:$I$1944)</f>
        <v/>
      </c>
      <c r="F13" s="17">
        <f>IFERROR(D13/C13*100,"")</f>
        <v/>
      </c>
      <c r="G13" s="13">
        <f>IFERROR(SUMPRODUCT((YEAR('Doğrudan Alım İşlemleri'!$B$2:$B$1944)=$A$13)*ISNUMBER('Doğrudan Alım İşlemleri'!$K$2:$K$1944)*'Doğrudan Alım İşlemleri'!$K$2:$K$1944*('Doğrudan Alım İşlemleri'!$H$2:$H$1944&lt;&gt;"")*'Doğrudan Alım İşlemleri'!$H$2:$H$1944)/SUMPRODUCT((YEAR('Doğrudan Alım İşlemleri'!$B$2:$B$1944)=$A$13)*ISNUMBER('Doğrudan Alım İşlemleri'!$K$2:$K$1944)*('Doğrudan Alım İşlemleri'!$H$2:$H$1944&lt;&gt;"")*'Doğrudan Alım İşlemleri'!$H$2:$H$1944),"")</f>
        <v/>
      </c>
      <c r="H13" s="13">
        <f>IFERROR(SUMPRODUCT((YEAR('Doğrudan Alım İşlemleri'!$B$2:$B$1944)=$A$13)*ISNUMBER('Doğrudan Alım İşlemleri'!$N$2:$N$1944)*'Doğrudan Alım İşlemleri'!$N$2:$N$1944*('Doğrudan Alım İşlemleri'!$H$2:$H$1944&lt;&gt;"")*'Doğrudan Alım İşlemleri'!$H$2:$H$1944)/SUMPRODUCT((YEAR('Doğrudan Alım İşlemleri'!$B$2:$B$1944)=$A$13)*ISNUMBER('Doğrudan Alım İşlemleri'!$N$2:$N$1944)*('Doğrudan Alım İşlemleri'!$H$2:$H$1944&lt;&gt;"")*'Doğrudan Alım İşlemleri'!$H$2:$H$1944),"")</f>
        <v/>
      </c>
      <c r="I13" s="11">
        <f>IFERROR(SUMPRODUCT((YEAR('Doğrudan Alım İşlemleri'!$B$2:$B$1944)=$A$13)*('Doğrudan Alım İşlemleri'!$E$2:$E$1944-'Doğrudan Alım İşlemleri'!$D$2:$D$1944)*('Doğrudan Alım İşlemleri'!$H$2:$H$1944&lt;&gt;"")*'Doğrudan Alım İşlemleri'!$H$2:$H$1944)/SUMPRODUCT((YEAR('Doğrudan Alım İşlemleri'!$B$2:$B$1944)=$A$13)*('Doğrudan Alım İşlemleri'!$H$2:$H$1944&lt;&gt;"")*'Doğrudan Alım İşlemleri'!$H$2:$H$1944),"")</f>
        <v/>
      </c>
    </row>
    <row r="14">
      <c r="A14" s="15" t="n">
        <v>2019</v>
      </c>
      <c r="B14" s="8">
        <f>SUMPRODUCT((YEAR('Doğrudan Alım İşlemleri'!$B$2:$B$1944)=$A$14)*1)</f>
        <v/>
      </c>
      <c r="C14" s="8">
        <f>SUMPRODUCT((YEAR('Doğrudan Alım İşlemleri'!$B$2:$B$1944)=$A$14)*('Doğrudan Alım İşlemleri'!$G$2:$G$1944&lt;&gt;"")*'Doğrudan Alım İşlemleri'!$G$2:$G$1944)</f>
        <v/>
      </c>
      <c r="D14" s="8">
        <f>SUMPRODUCT((YEAR('Doğrudan Alım İşlemleri'!$B$2:$B$1944)=$A$14)*('Doğrudan Alım İşlemleri'!$H$2:$H$1944&lt;&gt;"")*'Doğrudan Alım İşlemleri'!$H$2:$H$1944)</f>
        <v/>
      </c>
      <c r="E14" s="24">
        <f>SUMPRODUCT((YEAR('Doğrudan Alım İşlemleri'!$B$2:$B$1944)=$A$14)*('Doğrudan Alım İşlemleri'!$I$2:$I$1944&lt;&gt;"")*'Doğrudan Alım İşlemleri'!$I$2:$I$1944)</f>
        <v/>
      </c>
      <c r="F14" s="12">
        <f>IFERROR(D14/C14*100,"")</f>
        <v/>
      </c>
      <c r="G14" s="24">
        <f>IFERROR(SUMPRODUCT((YEAR('Doğrudan Alım İşlemleri'!$B$2:$B$1944)=$A$14)*ISNUMBER('Doğrudan Alım İşlemleri'!$K$2:$K$1944)*'Doğrudan Alım İşlemleri'!$K$2:$K$1944*('Doğrudan Alım İşlemleri'!$H$2:$H$1944&lt;&gt;"")*'Doğrudan Alım İşlemleri'!$H$2:$H$1944)/SUMPRODUCT((YEAR('Doğrudan Alım İşlemleri'!$B$2:$B$1944)=$A$14)*ISNUMBER('Doğrudan Alım İşlemleri'!$K$2:$K$1944)*('Doğrudan Alım İşlemleri'!$H$2:$H$1944&lt;&gt;"")*'Doğrudan Alım İşlemleri'!$H$2:$H$1944),"")</f>
        <v/>
      </c>
      <c r="H14" s="24">
        <f>IFERROR(SUMPRODUCT((YEAR('Doğrudan Alım İşlemleri'!$B$2:$B$1944)=$A$14)*ISNUMBER('Doğrudan Alım İşlemleri'!$N$2:$N$1944)*'Doğrudan Alım İşlemleri'!$N$2:$N$1944*('Doğrudan Alım İşlemleri'!$H$2:$H$1944&lt;&gt;"")*'Doğrudan Alım İşlemleri'!$H$2:$H$1944)/SUMPRODUCT((YEAR('Doğrudan Alım İşlemleri'!$B$2:$B$1944)=$A$14)*ISNUMBER('Doğrudan Alım İşlemleri'!$N$2:$N$1944)*('Doğrudan Alım İşlemleri'!$H$2:$H$1944&lt;&gt;"")*'Doğrudan Alım İşlemleri'!$H$2:$H$1944),"")</f>
        <v/>
      </c>
      <c r="I14" s="8">
        <f>IFERROR(SUMPRODUCT((YEAR('Doğrudan Alım İşlemleri'!$B$2:$B$1944)=$A$14)*('Doğrudan Alım İşlemleri'!$E$2:$E$1944-'Doğrudan Alım İşlemleri'!$D$2:$D$1944)*('Doğrudan Alım İşlemleri'!$H$2:$H$1944&lt;&gt;"")*'Doğrudan Alım İşlemleri'!$H$2:$H$1944)/SUMPRODUCT((YEAR('Doğrudan Alım İşlemleri'!$B$2:$B$1944)=$A$14)*('Doğrudan Alım İşlemleri'!$H$2:$H$1944&lt;&gt;"")*'Doğrudan Alım İşlemleri'!$H$2:$H$1944),"")</f>
        <v/>
      </c>
    </row>
    <row r="15">
      <c r="A15" s="16" t="n">
        <v>2020</v>
      </c>
      <c r="B15" s="11">
        <f>SUMPRODUCT((YEAR('Doğrudan Alım İşlemleri'!$B$2:$B$1944)=$A$15)*1)</f>
        <v/>
      </c>
      <c r="C15" s="11">
        <f>SUMPRODUCT((YEAR('Doğrudan Alım İşlemleri'!$B$2:$B$1944)=$A$15)*('Doğrudan Alım İşlemleri'!$G$2:$G$1944&lt;&gt;"")*'Doğrudan Alım İşlemleri'!$G$2:$G$1944)</f>
        <v/>
      </c>
      <c r="D15" s="11">
        <f>SUMPRODUCT((YEAR('Doğrudan Alım İşlemleri'!$B$2:$B$1944)=$A$15)*('Doğrudan Alım İşlemleri'!$H$2:$H$1944&lt;&gt;"")*'Doğrudan Alım İşlemleri'!$H$2:$H$1944)</f>
        <v/>
      </c>
      <c r="E15" s="13">
        <f>SUMPRODUCT((YEAR('Doğrudan Alım İşlemleri'!$B$2:$B$1944)=$A$15)*('Doğrudan Alım İşlemleri'!$I$2:$I$1944&lt;&gt;"")*'Doğrudan Alım İşlemleri'!$I$2:$I$1944)</f>
        <v/>
      </c>
      <c r="F15" s="17">
        <f>IFERROR(D15/C15*100,"")</f>
        <v/>
      </c>
      <c r="G15" s="13">
        <f>IFERROR(SUMPRODUCT((YEAR('Doğrudan Alım İşlemleri'!$B$2:$B$1944)=$A$15)*ISNUMBER('Doğrudan Alım İşlemleri'!$K$2:$K$1944)*'Doğrudan Alım İşlemleri'!$K$2:$K$1944*('Doğrudan Alım İşlemleri'!$H$2:$H$1944&lt;&gt;"")*'Doğrudan Alım İşlemleri'!$H$2:$H$1944)/SUMPRODUCT((YEAR('Doğrudan Alım İşlemleri'!$B$2:$B$1944)=$A$15)*ISNUMBER('Doğrudan Alım İşlemleri'!$K$2:$K$1944)*('Doğrudan Alım İşlemleri'!$H$2:$H$1944&lt;&gt;"")*'Doğrudan Alım İşlemleri'!$H$2:$H$1944),"")</f>
        <v/>
      </c>
      <c r="H15" s="13">
        <f>IFERROR(SUMPRODUCT((YEAR('Doğrudan Alım İşlemleri'!$B$2:$B$1944)=$A$15)*ISNUMBER('Doğrudan Alım İşlemleri'!$N$2:$N$1944)*'Doğrudan Alım İşlemleri'!$N$2:$N$1944*('Doğrudan Alım İşlemleri'!$H$2:$H$1944&lt;&gt;"")*'Doğrudan Alım İşlemleri'!$H$2:$H$1944)/SUMPRODUCT((YEAR('Doğrudan Alım İşlemleri'!$B$2:$B$1944)=$A$15)*ISNUMBER('Doğrudan Alım İşlemleri'!$N$2:$N$1944)*('Doğrudan Alım İşlemleri'!$H$2:$H$1944&lt;&gt;"")*'Doğrudan Alım İşlemleri'!$H$2:$H$1944),"")</f>
        <v/>
      </c>
      <c r="I15" s="11">
        <f>IFERROR(SUMPRODUCT((YEAR('Doğrudan Alım İşlemleri'!$B$2:$B$1944)=$A$15)*('Doğrudan Alım İşlemleri'!$E$2:$E$1944-'Doğrudan Alım İşlemleri'!$D$2:$D$1944)*('Doğrudan Alım İşlemleri'!$H$2:$H$1944&lt;&gt;"")*'Doğrudan Alım İşlemleri'!$H$2:$H$1944)/SUMPRODUCT((YEAR('Doğrudan Alım İşlemleri'!$B$2:$B$1944)=$A$15)*('Doğrudan Alım İşlemleri'!$H$2:$H$1944&lt;&gt;"")*'Doğrudan Alım İşlemleri'!$H$2:$H$1944),"")</f>
        <v/>
      </c>
    </row>
    <row r="16">
      <c r="A16" s="15" t="n">
        <v>2021</v>
      </c>
      <c r="B16" s="8">
        <f>SUMPRODUCT((YEAR('Doğrudan Alım İşlemleri'!$B$2:$B$1944)=$A$16)*1)</f>
        <v/>
      </c>
      <c r="C16" s="8">
        <f>SUMPRODUCT((YEAR('Doğrudan Alım İşlemleri'!$B$2:$B$1944)=$A$16)*('Doğrudan Alım İşlemleri'!$G$2:$G$1944&lt;&gt;"")*'Doğrudan Alım İşlemleri'!$G$2:$G$1944)</f>
        <v/>
      </c>
      <c r="D16" s="8">
        <f>SUMPRODUCT((YEAR('Doğrudan Alım İşlemleri'!$B$2:$B$1944)=$A$16)*('Doğrudan Alım İşlemleri'!$H$2:$H$1944&lt;&gt;"")*'Doğrudan Alım İşlemleri'!$H$2:$H$1944)</f>
        <v/>
      </c>
      <c r="E16" s="24">
        <f>SUMPRODUCT((YEAR('Doğrudan Alım İşlemleri'!$B$2:$B$1944)=$A$16)*('Doğrudan Alım İşlemleri'!$I$2:$I$1944&lt;&gt;"")*'Doğrudan Alım İşlemleri'!$I$2:$I$1944)</f>
        <v/>
      </c>
      <c r="F16" s="12">
        <f>IFERROR(D16/C16*100,"")</f>
        <v/>
      </c>
      <c r="G16" s="24">
        <f>IFERROR(SUMPRODUCT((YEAR('Doğrudan Alım İşlemleri'!$B$2:$B$1944)=$A$16)*ISNUMBER('Doğrudan Alım İşlemleri'!$K$2:$K$1944)*'Doğrudan Alım İşlemleri'!$K$2:$K$1944*('Doğrudan Alım İşlemleri'!$H$2:$H$1944&lt;&gt;"")*'Doğrudan Alım İşlemleri'!$H$2:$H$1944)/SUMPRODUCT((YEAR('Doğrudan Alım İşlemleri'!$B$2:$B$1944)=$A$16)*ISNUMBER('Doğrudan Alım İşlemleri'!$K$2:$K$1944)*('Doğrudan Alım İşlemleri'!$H$2:$H$1944&lt;&gt;"")*'Doğrudan Alım İşlemleri'!$H$2:$H$1944),"")</f>
        <v/>
      </c>
      <c r="H16" s="24">
        <f>IFERROR(SUMPRODUCT((YEAR('Doğrudan Alım İşlemleri'!$B$2:$B$1944)=$A$16)*ISNUMBER('Doğrudan Alım İşlemleri'!$N$2:$N$1944)*'Doğrudan Alım İşlemleri'!$N$2:$N$1944*('Doğrudan Alım İşlemleri'!$H$2:$H$1944&lt;&gt;"")*'Doğrudan Alım İşlemleri'!$H$2:$H$1944)/SUMPRODUCT((YEAR('Doğrudan Alım İşlemleri'!$B$2:$B$1944)=$A$16)*ISNUMBER('Doğrudan Alım İşlemleri'!$N$2:$N$1944)*('Doğrudan Alım İşlemleri'!$H$2:$H$1944&lt;&gt;"")*'Doğrudan Alım İşlemleri'!$H$2:$H$1944),"")</f>
        <v/>
      </c>
      <c r="I16" s="8">
        <f>IFERROR(SUMPRODUCT((YEAR('Doğrudan Alım İşlemleri'!$B$2:$B$1944)=$A$16)*('Doğrudan Alım İşlemleri'!$E$2:$E$1944-'Doğrudan Alım İşlemleri'!$D$2:$D$1944)*('Doğrudan Alım İşlemleri'!$H$2:$H$1944&lt;&gt;"")*'Doğrudan Alım İşlemleri'!$H$2:$H$1944)/SUMPRODUCT((YEAR('Doğrudan Alım İşlemleri'!$B$2:$B$1944)=$A$16)*('Doğrudan Alım İşlemleri'!$H$2:$H$1944&lt;&gt;"")*'Doğrudan Alım İşlemleri'!$H$2:$H$1944),"")</f>
        <v/>
      </c>
    </row>
    <row r="17">
      <c r="A17" s="16" t="n">
        <v>2022</v>
      </c>
      <c r="B17" s="11">
        <f>SUMPRODUCT((YEAR('Doğrudan Alım İşlemleri'!$B$2:$B$1944)=$A$17)*1)</f>
        <v/>
      </c>
      <c r="C17" s="11">
        <f>SUMPRODUCT((YEAR('Doğrudan Alım İşlemleri'!$B$2:$B$1944)=$A$17)*('Doğrudan Alım İşlemleri'!$G$2:$G$1944&lt;&gt;"")*'Doğrudan Alım İşlemleri'!$G$2:$G$1944)</f>
        <v/>
      </c>
      <c r="D17" s="11">
        <f>SUMPRODUCT((YEAR('Doğrudan Alım İşlemleri'!$B$2:$B$1944)=$A$17)*('Doğrudan Alım İşlemleri'!$H$2:$H$1944&lt;&gt;"")*'Doğrudan Alım İşlemleri'!$H$2:$H$1944)</f>
        <v/>
      </c>
      <c r="E17" s="13">
        <f>SUMPRODUCT((YEAR('Doğrudan Alım İşlemleri'!$B$2:$B$1944)=$A$17)*('Doğrudan Alım İşlemleri'!$I$2:$I$1944&lt;&gt;"")*'Doğrudan Alım İşlemleri'!$I$2:$I$1944)</f>
        <v/>
      </c>
      <c r="F17" s="17">
        <f>IFERROR(D17/C17*100,"")</f>
        <v/>
      </c>
      <c r="G17" s="13">
        <f>IFERROR(SUMPRODUCT((YEAR('Doğrudan Alım İşlemleri'!$B$2:$B$1944)=$A$17)*ISNUMBER('Doğrudan Alım İşlemleri'!$K$2:$K$1944)*'Doğrudan Alım İşlemleri'!$K$2:$K$1944*('Doğrudan Alım İşlemleri'!$H$2:$H$1944&lt;&gt;"")*'Doğrudan Alım İşlemleri'!$H$2:$H$1944)/SUMPRODUCT((YEAR('Doğrudan Alım İşlemleri'!$B$2:$B$1944)=$A$17)*ISNUMBER('Doğrudan Alım İşlemleri'!$K$2:$K$1944)*('Doğrudan Alım İşlemleri'!$H$2:$H$1944&lt;&gt;"")*'Doğrudan Alım İşlemleri'!$H$2:$H$1944),"")</f>
        <v/>
      </c>
      <c r="H17" s="13">
        <f>IFERROR(SUMPRODUCT((YEAR('Doğrudan Alım İşlemleri'!$B$2:$B$1944)=$A$17)*ISNUMBER('Doğrudan Alım İşlemleri'!$N$2:$N$1944)*'Doğrudan Alım İşlemleri'!$N$2:$N$1944*('Doğrudan Alım İşlemleri'!$H$2:$H$1944&lt;&gt;"")*'Doğrudan Alım İşlemleri'!$H$2:$H$1944)/SUMPRODUCT((YEAR('Doğrudan Alım İşlemleri'!$B$2:$B$1944)=$A$17)*ISNUMBER('Doğrudan Alım İşlemleri'!$N$2:$N$1944)*('Doğrudan Alım İşlemleri'!$H$2:$H$1944&lt;&gt;"")*'Doğrudan Alım İşlemleri'!$H$2:$H$1944),"")</f>
        <v/>
      </c>
      <c r="I17" s="11">
        <f>IFERROR(SUMPRODUCT((YEAR('Doğrudan Alım İşlemleri'!$B$2:$B$1944)=$A$17)*('Doğrudan Alım İşlemleri'!$E$2:$E$1944-'Doğrudan Alım İşlemleri'!$D$2:$D$1944)*('Doğrudan Alım İşlemleri'!$H$2:$H$1944&lt;&gt;"")*'Doğrudan Alım İşlemleri'!$H$2:$H$1944)/SUMPRODUCT((YEAR('Doğrudan Alım İşlemleri'!$B$2:$B$1944)=$A$17)*('Doğrudan Alım İşlemleri'!$H$2:$H$1944&lt;&gt;"")*'Doğrudan Alım İşlemleri'!$H$2:$H$1944),"")</f>
        <v/>
      </c>
    </row>
    <row r="18">
      <c r="A18" s="15" t="n">
        <v>2023</v>
      </c>
      <c r="B18" s="8">
        <f>SUMPRODUCT((YEAR('Doğrudan Alım İşlemleri'!$B$2:$B$1944)=$A$18)*1)</f>
        <v/>
      </c>
      <c r="C18" s="8">
        <f>SUMPRODUCT((YEAR('Doğrudan Alım İşlemleri'!$B$2:$B$1944)=$A$18)*('Doğrudan Alım İşlemleri'!$G$2:$G$1944&lt;&gt;"")*'Doğrudan Alım İşlemleri'!$G$2:$G$1944)</f>
        <v/>
      </c>
      <c r="D18" s="8">
        <f>SUMPRODUCT((YEAR('Doğrudan Alım İşlemleri'!$B$2:$B$1944)=$A$18)*('Doğrudan Alım İşlemleri'!$H$2:$H$1944&lt;&gt;"")*'Doğrudan Alım İşlemleri'!$H$2:$H$1944)</f>
        <v/>
      </c>
      <c r="E18" s="24">
        <f>SUMPRODUCT((YEAR('Doğrudan Alım İşlemleri'!$B$2:$B$1944)=$A$18)*('Doğrudan Alım İşlemleri'!$I$2:$I$1944&lt;&gt;"")*'Doğrudan Alım İşlemleri'!$I$2:$I$1944)</f>
        <v/>
      </c>
      <c r="F18" s="12">
        <f>IFERROR(D18/C18*100,"")</f>
        <v/>
      </c>
      <c r="G18" s="24">
        <f>IFERROR(SUMPRODUCT((YEAR('Doğrudan Alım İşlemleri'!$B$2:$B$1944)=$A$18)*ISNUMBER('Doğrudan Alım İşlemleri'!$K$2:$K$1944)*'Doğrudan Alım İşlemleri'!$K$2:$K$1944*('Doğrudan Alım İşlemleri'!$H$2:$H$1944&lt;&gt;"")*'Doğrudan Alım İşlemleri'!$H$2:$H$1944)/SUMPRODUCT((YEAR('Doğrudan Alım İşlemleri'!$B$2:$B$1944)=$A$18)*ISNUMBER('Doğrudan Alım İşlemleri'!$K$2:$K$1944)*('Doğrudan Alım İşlemleri'!$H$2:$H$1944&lt;&gt;"")*'Doğrudan Alım İşlemleri'!$H$2:$H$1944),"")</f>
        <v/>
      </c>
      <c r="H18" s="24">
        <f>IFERROR(SUMPRODUCT((YEAR('Doğrudan Alım İşlemleri'!$B$2:$B$1944)=$A$18)*ISNUMBER('Doğrudan Alım İşlemleri'!$N$2:$N$1944)*'Doğrudan Alım İşlemleri'!$N$2:$N$1944*('Doğrudan Alım İşlemleri'!$H$2:$H$1944&lt;&gt;"")*'Doğrudan Alım İşlemleri'!$H$2:$H$1944)/SUMPRODUCT((YEAR('Doğrudan Alım İşlemleri'!$B$2:$B$1944)=$A$18)*ISNUMBER('Doğrudan Alım İşlemleri'!$N$2:$N$1944)*('Doğrudan Alım İşlemleri'!$H$2:$H$1944&lt;&gt;"")*'Doğrudan Alım İşlemleri'!$H$2:$H$1944),"")</f>
        <v/>
      </c>
      <c r="I18" s="8">
        <f>IFERROR(SUMPRODUCT((YEAR('Doğrudan Alım İşlemleri'!$B$2:$B$1944)=$A$18)*('Doğrudan Alım İşlemleri'!$E$2:$E$1944-'Doğrudan Alım İşlemleri'!$D$2:$D$1944)*('Doğrudan Alım İşlemleri'!$H$2:$H$1944&lt;&gt;"")*'Doğrudan Alım İşlemleri'!$H$2:$H$1944)/SUMPRODUCT((YEAR('Doğrudan Alım İşlemleri'!$B$2:$B$1944)=$A$18)*('Doğrudan Alım İşlemleri'!$H$2:$H$1944&lt;&gt;"")*'Doğrudan Alım İşlemleri'!$H$2:$H$1944),"")</f>
        <v/>
      </c>
    </row>
    <row r="19">
      <c r="A19" s="16" t="n">
        <v>2024</v>
      </c>
      <c r="B19" s="11">
        <f>SUMPRODUCT((YEAR('Doğrudan Alım İşlemleri'!$B$2:$B$1944)=$A$19)*1)</f>
        <v/>
      </c>
      <c r="C19" s="11">
        <f>SUMPRODUCT((YEAR('Doğrudan Alım İşlemleri'!$B$2:$B$1944)=$A$19)*('Doğrudan Alım İşlemleri'!$G$2:$G$1944&lt;&gt;"")*'Doğrudan Alım İşlemleri'!$G$2:$G$1944)</f>
        <v/>
      </c>
      <c r="D19" s="11">
        <f>SUMPRODUCT((YEAR('Doğrudan Alım İşlemleri'!$B$2:$B$1944)=$A$19)*('Doğrudan Alım İşlemleri'!$H$2:$H$1944&lt;&gt;"")*'Doğrudan Alım İşlemleri'!$H$2:$H$1944)</f>
        <v/>
      </c>
      <c r="E19" s="13">
        <f>SUMPRODUCT((YEAR('Doğrudan Alım İşlemleri'!$B$2:$B$1944)=$A$19)*('Doğrudan Alım İşlemleri'!$I$2:$I$1944&lt;&gt;"")*'Doğrudan Alım İşlemleri'!$I$2:$I$1944)</f>
        <v/>
      </c>
      <c r="F19" s="17">
        <f>IFERROR(D19/C19*100,"")</f>
        <v/>
      </c>
      <c r="G19" s="13">
        <f>IFERROR(SUMPRODUCT((YEAR('Doğrudan Alım İşlemleri'!$B$2:$B$1944)=$A$19)*ISNUMBER('Doğrudan Alım İşlemleri'!$K$2:$K$1944)*'Doğrudan Alım İşlemleri'!$K$2:$K$1944*('Doğrudan Alım İşlemleri'!$H$2:$H$1944&lt;&gt;"")*'Doğrudan Alım İşlemleri'!$H$2:$H$1944)/SUMPRODUCT((YEAR('Doğrudan Alım İşlemleri'!$B$2:$B$1944)=$A$19)*ISNUMBER('Doğrudan Alım İşlemleri'!$K$2:$K$1944)*('Doğrudan Alım İşlemleri'!$H$2:$H$1944&lt;&gt;"")*'Doğrudan Alım İşlemleri'!$H$2:$H$1944),"")</f>
        <v/>
      </c>
      <c r="H19" s="13">
        <f>IFERROR(SUMPRODUCT((YEAR('Doğrudan Alım İşlemleri'!$B$2:$B$1944)=$A$19)*ISNUMBER('Doğrudan Alım İşlemleri'!$N$2:$N$1944)*'Doğrudan Alım İşlemleri'!$N$2:$N$1944*('Doğrudan Alım İşlemleri'!$H$2:$H$1944&lt;&gt;"")*'Doğrudan Alım İşlemleri'!$H$2:$H$1944)/SUMPRODUCT((YEAR('Doğrudan Alım İşlemleri'!$B$2:$B$1944)=$A$19)*ISNUMBER('Doğrudan Alım İşlemleri'!$N$2:$N$1944)*('Doğrudan Alım İşlemleri'!$H$2:$H$1944&lt;&gt;"")*'Doğrudan Alım İşlemleri'!$H$2:$H$1944),"")</f>
        <v/>
      </c>
      <c r="I19" s="11">
        <f>IFERROR(SUMPRODUCT((YEAR('Doğrudan Alım İşlemleri'!$B$2:$B$1944)=$A$19)*('Doğrudan Alım İşlemleri'!$E$2:$E$1944-'Doğrudan Alım İşlemleri'!$D$2:$D$1944)*('Doğrudan Alım İşlemleri'!$H$2:$H$1944&lt;&gt;"")*'Doğrudan Alım İşlemleri'!$H$2:$H$1944)/SUMPRODUCT((YEAR('Doğrudan Alım İşlemleri'!$B$2:$B$1944)=$A$19)*('Doğrudan Alım İşlemleri'!$H$2:$H$1944&lt;&gt;"")*'Doğrudan Alım İşlemleri'!$H$2:$H$1944),"")</f>
        <v/>
      </c>
    </row>
    <row r="20">
      <c r="A20" s="15" t="n">
        <v>2025</v>
      </c>
      <c r="B20" s="8">
        <f>SUMPRODUCT((YEAR('Doğrudan Alım İşlemleri'!$B$2:$B$1944)=$A$20)*1)</f>
        <v/>
      </c>
      <c r="C20" s="8">
        <f>SUMPRODUCT((YEAR('Doğrudan Alım İşlemleri'!$B$2:$B$1944)=$A$20)*('Doğrudan Alım İşlemleri'!$G$2:$G$1944&lt;&gt;"")*'Doğrudan Alım İşlemleri'!$G$2:$G$1944)</f>
        <v/>
      </c>
      <c r="D20" s="8">
        <f>SUMPRODUCT((YEAR('Doğrudan Alım İşlemleri'!$B$2:$B$1944)=$A$20)*('Doğrudan Alım İşlemleri'!$H$2:$H$1944&lt;&gt;"")*'Doğrudan Alım İşlemleri'!$H$2:$H$1944)</f>
        <v/>
      </c>
      <c r="E20" s="24">
        <f>SUMPRODUCT((YEAR('Doğrudan Alım İşlemleri'!$B$2:$B$1944)=$A$20)*('Doğrudan Alım İşlemleri'!$I$2:$I$1944&lt;&gt;"")*'Doğrudan Alım İşlemleri'!$I$2:$I$1944)</f>
        <v/>
      </c>
      <c r="F20" s="12">
        <f>IFERROR(D20/C20*100,"")</f>
        <v/>
      </c>
      <c r="G20" s="24">
        <f>IFERROR(SUMPRODUCT((YEAR('Doğrudan Alım İşlemleri'!$B$2:$B$1944)=$A$20)*ISNUMBER('Doğrudan Alım İşlemleri'!$K$2:$K$1944)*'Doğrudan Alım İşlemleri'!$K$2:$K$1944*('Doğrudan Alım İşlemleri'!$H$2:$H$1944&lt;&gt;"")*'Doğrudan Alım İşlemleri'!$H$2:$H$1944)/SUMPRODUCT((YEAR('Doğrudan Alım İşlemleri'!$B$2:$B$1944)=$A$20)*ISNUMBER('Doğrudan Alım İşlemleri'!$K$2:$K$1944)*('Doğrudan Alım İşlemleri'!$H$2:$H$1944&lt;&gt;"")*'Doğrudan Alım İşlemleri'!$H$2:$H$1944),"")</f>
        <v/>
      </c>
      <c r="H20" s="24">
        <f>IFERROR(SUMPRODUCT((YEAR('Doğrudan Alım İşlemleri'!$B$2:$B$1944)=$A$20)*ISNUMBER('Doğrudan Alım İşlemleri'!$N$2:$N$1944)*'Doğrudan Alım İşlemleri'!$N$2:$N$1944*('Doğrudan Alım İşlemleri'!$H$2:$H$1944&lt;&gt;"")*'Doğrudan Alım İşlemleri'!$H$2:$H$1944)/SUMPRODUCT((YEAR('Doğrudan Alım İşlemleri'!$B$2:$B$1944)=$A$20)*ISNUMBER('Doğrudan Alım İşlemleri'!$N$2:$N$1944)*('Doğrudan Alım İşlemleri'!$H$2:$H$1944&lt;&gt;"")*'Doğrudan Alım İşlemleri'!$H$2:$H$1944),"")</f>
        <v/>
      </c>
      <c r="I20" s="8">
        <f>IFERROR(SUMPRODUCT((YEAR('Doğrudan Alım İşlemleri'!$B$2:$B$1944)=$A$20)*('Doğrudan Alım İşlemleri'!$E$2:$E$1944-'Doğrudan Alım İşlemleri'!$D$2:$D$1944)*('Doğrudan Alım İşlemleri'!$H$2:$H$1944&lt;&gt;"")*'Doğrudan Alım İşlemleri'!$H$2:$H$1944)/SUMPRODUCT((YEAR('Doğrudan Alım İşlemleri'!$B$2:$B$1944)=$A$20)*('Doğrudan Alım İşlemleri'!$H$2:$H$1944&lt;&gt;"")*'Doğrudan Alım İşlemleri'!$H$2:$H$1944),"")</f>
        <v/>
      </c>
    </row>
    <row r="21">
      <c r="A21" s="16" t="n">
        <v>2026</v>
      </c>
      <c r="B21" s="11">
        <f>SUMPRODUCT((YEAR('Doğrudan Alım İşlemleri'!$B$2:$B$1944)=$A$21)*1)</f>
        <v/>
      </c>
      <c r="C21" s="11">
        <f>SUMPRODUCT((YEAR('Doğrudan Alım İşlemleri'!$B$2:$B$1944)=$A$21)*('Doğrudan Alım İşlemleri'!$G$2:$G$1944&lt;&gt;"")*'Doğrudan Alım İşlemleri'!$G$2:$G$1944)</f>
        <v/>
      </c>
      <c r="D21" s="11">
        <f>SUMPRODUCT((YEAR('Doğrudan Alım İşlemleri'!$B$2:$B$1944)=$A$21)*('Doğrudan Alım İşlemleri'!$H$2:$H$1944&lt;&gt;"")*'Doğrudan Alım İşlemleri'!$H$2:$H$1944)</f>
        <v/>
      </c>
      <c r="E21" s="13">
        <f>SUMPRODUCT((YEAR('Doğrudan Alım İşlemleri'!$B$2:$B$1944)=$A$21)*('Doğrudan Alım İşlemleri'!$I$2:$I$1944&lt;&gt;"")*'Doğrudan Alım İşlemleri'!$I$2:$I$1944)</f>
        <v/>
      </c>
      <c r="F21" s="17">
        <f>IFERROR(D21/C21*100,"")</f>
        <v/>
      </c>
      <c r="G21" s="13">
        <f>IFERROR(SUMPRODUCT((YEAR('Doğrudan Alım İşlemleri'!$B$2:$B$1944)=$A$21)*ISNUMBER('Doğrudan Alım İşlemleri'!$K$2:$K$1944)*'Doğrudan Alım İşlemleri'!$K$2:$K$1944*('Doğrudan Alım İşlemleri'!$H$2:$H$1944&lt;&gt;"")*'Doğrudan Alım İşlemleri'!$H$2:$H$1944)/SUMPRODUCT((YEAR('Doğrudan Alım İşlemleri'!$B$2:$B$1944)=$A$21)*ISNUMBER('Doğrudan Alım İşlemleri'!$K$2:$K$1944)*('Doğrudan Alım İşlemleri'!$H$2:$H$1944&lt;&gt;"")*'Doğrudan Alım İşlemleri'!$H$2:$H$1944),"")</f>
        <v/>
      </c>
      <c r="H21" s="13">
        <f>IFERROR(SUMPRODUCT((YEAR('Doğrudan Alım İşlemleri'!$B$2:$B$1944)=$A$21)*ISNUMBER('Doğrudan Alım İşlemleri'!$N$2:$N$1944)*'Doğrudan Alım İşlemleri'!$N$2:$N$1944*('Doğrudan Alım İşlemleri'!$H$2:$H$1944&lt;&gt;"")*'Doğrudan Alım İşlemleri'!$H$2:$H$1944)/SUMPRODUCT((YEAR('Doğrudan Alım İşlemleri'!$B$2:$B$1944)=$A$21)*ISNUMBER('Doğrudan Alım İşlemleri'!$N$2:$N$1944)*('Doğrudan Alım İşlemleri'!$H$2:$H$1944&lt;&gt;"")*'Doğrudan Alım İşlemleri'!$H$2:$H$1944),"")</f>
        <v/>
      </c>
      <c r="I21" s="11">
        <f>IFERROR(SUMPRODUCT((YEAR('Doğrudan Alım İşlemleri'!$B$2:$B$1944)=$A$21)*('Doğrudan Alım İşlemleri'!$E$2:$E$1944-'Doğrudan Alım İşlemleri'!$D$2:$D$1944)*('Doğrudan Alım İşlemleri'!$H$2:$H$1944&lt;&gt;"")*'Doğrudan Alım İşlemleri'!$H$2:$H$1944)/SUMPRODUCT((YEAR('Doğrudan Alım İşlemleri'!$B$2:$B$1944)=$A$21)*('Doğrudan Alım İşlemleri'!$H$2:$H$1944&lt;&gt;"")*'Doğrudan Alım İşlemleri'!$H$2:$H$1944),"")</f>
        <v/>
      </c>
    </row>
    <row r="22">
      <c r="A22" s="26" t="inlineStr">
        <is>
          <t>TOPLAM</t>
        </is>
      </c>
      <c r="B22" s="27">
        <f>SUM(B4:B21)</f>
        <v/>
      </c>
      <c r="C22" s="27">
        <f>SUM(C4:C21)</f>
        <v/>
      </c>
      <c r="D22" s="27">
        <f>SUM(D4:D21)</f>
        <v/>
      </c>
      <c r="E22" s="28">
        <f>SUM(E4:E21)</f>
        <v/>
      </c>
      <c r="F22" s="29">
        <f>IFERROR(D22/C22*100,"")</f>
        <v/>
      </c>
      <c r="G22" s="28">
        <f>IFERROR(SUMPRODUCT(G4:G21,D4:D21)/SUM(D4:D21),"")</f>
        <v/>
      </c>
      <c r="H22" s="28">
        <f>IFERROR(SUMPRODUCT(H4:H21,D4:D21)/SUM(D4:D21),"")</f>
        <v/>
      </c>
      <c r="I22" s="27">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İşlemleri'!$E$2:$E$1944)=$A$4)*('Doğrudan Alım İşlemleri'!$H$2:$H$1944&lt;&gt;"")*'Doğrudan Alım İşlemleri'!$H$2:$H$1944)</f>
        <v/>
      </c>
      <c r="C4" s="24">
        <f>SUMPRODUCT((YEAR('Doğrudan Alım İşlemleri'!$E$2:$E$1944)=$A$4)*('Doğrudan Alım İşlemleri'!$I$2:$I$1944&lt;&gt;"")*'Doğrudan Alım İşlemleri'!$I$2:$I$1944)</f>
        <v/>
      </c>
      <c r="D4" s="8">
        <f>SUMPRODUCT((YEAR('Doğrudan Alım İşlemleri'!$E$2:$E$1944)=$A$4)*1)</f>
        <v/>
      </c>
      <c r="E4" s="24">
        <f>IFERROR(SUMPRODUCT((YEAR('Doğrudan Alım İşlemleri'!$E$2:$E$1944)=$A$4)*ISNUMBER('Doğrudan Alım İşlemleri'!$N$2:$N$1944)*'Doğrudan Alım İşlemleri'!$N$2:$N$1944*('Doğrudan Alım İşlemleri'!$H$2:$H$1944&lt;&gt;"")*'Doğrudan Alım İşlemleri'!$H$2:$H$1944)/SUMPRODUCT((YEAR('Doğrudan Alım İşlemleri'!$E$2:$E$1944)=$A$4)*ISNUMBER('Doğrudan Alım İşlemleri'!$N$2:$N$1944)*('Doğrudan Alım İşlemleri'!$H$2:$H$1944&lt;&gt;"")*'Doğrudan Alım İşlemleri'!$H$2:$H$1944),"")</f>
        <v/>
      </c>
    </row>
    <row r="5">
      <c r="A5" s="16" t="n">
        <v>2011</v>
      </c>
      <c r="B5" s="11">
        <f>SUMPRODUCT((YEAR('Doğrudan Alım İşlemleri'!$E$2:$E$1944)=$A$5)*('Doğrudan Alım İşlemleri'!$H$2:$H$1944&lt;&gt;"")*'Doğrudan Alım İşlemleri'!$H$2:$H$1944)</f>
        <v/>
      </c>
      <c r="C5" s="13">
        <f>SUMPRODUCT((YEAR('Doğrudan Alım İşlemleri'!$E$2:$E$1944)=$A$5)*('Doğrudan Alım İşlemleri'!$I$2:$I$1944&lt;&gt;"")*'Doğrudan Alım İşlemleri'!$I$2:$I$1944)</f>
        <v/>
      </c>
      <c r="D5" s="11">
        <f>SUMPRODUCT((YEAR('Doğrudan Alım İşlemleri'!$E$2:$E$1944)=$A$5)*1)</f>
        <v/>
      </c>
      <c r="E5" s="13">
        <f>IFERROR(SUMPRODUCT((YEAR('Doğrudan Alım İşlemleri'!$E$2:$E$1944)=$A$5)*ISNUMBER('Doğrudan Alım İşlemleri'!$N$2:$N$1944)*'Doğrudan Alım İşlemleri'!$N$2:$N$1944*('Doğrudan Alım İşlemleri'!$H$2:$H$1944&lt;&gt;"")*'Doğrudan Alım İşlemleri'!$H$2:$H$1944)/SUMPRODUCT((YEAR('Doğrudan Alım İşlemleri'!$E$2:$E$1944)=$A$5)*ISNUMBER('Doğrudan Alım İşlemleri'!$N$2:$N$1944)*('Doğrudan Alım İşlemleri'!$H$2:$H$1944&lt;&gt;"")*'Doğrudan Alım İşlemleri'!$H$2:$H$1944),"")</f>
        <v/>
      </c>
    </row>
    <row r="6">
      <c r="A6" s="15" t="n">
        <v>2012</v>
      </c>
      <c r="B6" s="8">
        <f>SUMPRODUCT((YEAR('Doğrudan Alım İşlemleri'!$E$2:$E$1944)=$A$6)*('Doğrudan Alım İşlemleri'!$H$2:$H$1944&lt;&gt;"")*'Doğrudan Alım İşlemleri'!$H$2:$H$1944)</f>
        <v/>
      </c>
      <c r="C6" s="24">
        <f>SUMPRODUCT((YEAR('Doğrudan Alım İşlemleri'!$E$2:$E$1944)=$A$6)*('Doğrudan Alım İşlemleri'!$I$2:$I$1944&lt;&gt;"")*'Doğrudan Alım İşlemleri'!$I$2:$I$1944)</f>
        <v/>
      </c>
      <c r="D6" s="8">
        <f>SUMPRODUCT((YEAR('Doğrudan Alım İşlemleri'!$E$2:$E$1944)=$A$6)*1)</f>
        <v/>
      </c>
      <c r="E6" s="24">
        <f>IFERROR(SUMPRODUCT((YEAR('Doğrudan Alım İşlemleri'!$E$2:$E$1944)=$A$6)*ISNUMBER('Doğrudan Alım İşlemleri'!$N$2:$N$1944)*'Doğrudan Alım İşlemleri'!$N$2:$N$1944*('Doğrudan Alım İşlemleri'!$H$2:$H$1944&lt;&gt;"")*'Doğrudan Alım İşlemleri'!$H$2:$H$1944)/SUMPRODUCT((YEAR('Doğrudan Alım İşlemleri'!$E$2:$E$1944)=$A$6)*ISNUMBER('Doğrudan Alım İşlemleri'!$N$2:$N$1944)*('Doğrudan Alım İşlemleri'!$H$2:$H$1944&lt;&gt;"")*'Doğrudan Alım İşlemleri'!$H$2:$H$1944),"")</f>
        <v/>
      </c>
    </row>
    <row r="7">
      <c r="A7" s="16" t="n">
        <v>2013</v>
      </c>
      <c r="B7" s="11">
        <f>SUMPRODUCT((YEAR('Doğrudan Alım İşlemleri'!$E$2:$E$1944)=$A$7)*('Doğrudan Alım İşlemleri'!$H$2:$H$1944&lt;&gt;"")*'Doğrudan Alım İşlemleri'!$H$2:$H$1944)</f>
        <v/>
      </c>
      <c r="C7" s="13">
        <f>SUMPRODUCT((YEAR('Doğrudan Alım İşlemleri'!$E$2:$E$1944)=$A$7)*('Doğrudan Alım İşlemleri'!$I$2:$I$1944&lt;&gt;"")*'Doğrudan Alım İşlemleri'!$I$2:$I$1944)</f>
        <v/>
      </c>
      <c r="D7" s="11">
        <f>SUMPRODUCT((YEAR('Doğrudan Alım İşlemleri'!$E$2:$E$1944)=$A$7)*1)</f>
        <v/>
      </c>
      <c r="E7" s="13">
        <f>IFERROR(SUMPRODUCT((YEAR('Doğrudan Alım İşlemleri'!$E$2:$E$1944)=$A$7)*ISNUMBER('Doğrudan Alım İşlemleri'!$N$2:$N$1944)*'Doğrudan Alım İşlemleri'!$N$2:$N$1944*('Doğrudan Alım İşlemleri'!$H$2:$H$1944&lt;&gt;"")*'Doğrudan Alım İşlemleri'!$H$2:$H$1944)/SUMPRODUCT((YEAR('Doğrudan Alım İşlemleri'!$E$2:$E$1944)=$A$7)*ISNUMBER('Doğrudan Alım İşlemleri'!$N$2:$N$1944)*('Doğrudan Alım İşlemleri'!$H$2:$H$1944&lt;&gt;"")*'Doğrudan Alım İşlemleri'!$H$2:$H$1944),"")</f>
        <v/>
      </c>
    </row>
    <row r="8">
      <c r="A8" s="15" t="n">
        <v>2014</v>
      </c>
      <c r="B8" s="8">
        <f>SUMPRODUCT((YEAR('Doğrudan Alım İşlemleri'!$E$2:$E$1944)=$A$8)*('Doğrudan Alım İşlemleri'!$H$2:$H$1944&lt;&gt;"")*'Doğrudan Alım İşlemleri'!$H$2:$H$1944)</f>
        <v/>
      </c>
      <c r="C8" s="24">
        <f>SUMPRODUCT((YEAR('Doğrudan Alım İşlemleri'!$E$2:$E$1944)=$A$8)*('Doğrudan Alım İşlemleri'!$I$2:$I$1944&lt;&gt;"")*'Doğrudan Alım İşlemleri'!$I$2:$I$1944)</f>
        <v/>
      </c>
      <c r="D8" s="8">
        <f>SUMPRODUCT((YEAR('Doğrudan Alım İşlemleri'!$E$2:$E$1944)=$A$8)*1)</f>
        <v/>
      </c>
      <c r="E8" s="24">
        <f>IFERROR(SUMPRODUCT((YEAR('Doğrudan Alım İşlemleri'!$E$2:$E$1944)=$A$8)*ISNUMBER('Doğrudan Alım İşlemleri'!$N$2:$N$1944)*'Doğrudan Alım İşlemleri'!$N$2:$N$1944*('Doğrudan Alım İşlemleri'!$H$2:$H$1944&lt;&gt;"")*'Doğrudan Alım İşlemleri'!$H$2:$H$1944)/SUMPRODUCT((YEAR('Doğrudan Alım İşlemleri'!$E$2:$E$1944)=$A$8)*ISNUMBER('Doğrudan Alım İşlemleri'!$N$2:$N$1944)*('Doğrudan Alım İşlemleri'!$H$2:$H$1944&lt;&gt;"")*'Doğrudan Alım İşlemleri'!$H$2:$H$1944),"")</f>
        <v/>
      </c>
    </row>
    <row r="9">
      <c r="A9" s="16" t="n">
        <v>2015</v>
      </c>
      <c r="B9" s="11">
        <f>SUMPRODUCT((YEAR('Doğrudan Alım İşlemleri'!$E$2:$E$1944)=$A$9)*('Doğrudan Alım İşlemleri'!$H$2:$H$1944&lt;&gt;"")*'Doğrudan Alım İşlemleri'!$H$2:$H$1944)</f>
        <v/>
      </c>
      <c r="C9" s="13">
        <f>SUMPRODUCT((YEAR('Doğrudan Alım İşlemleri'!$E$2:$E$1944)=$A$9)*('Doğrudan Alım İşlemleri'!$I$2:$I$1944&lt;&gt;"")*'Doğrudan Alım İşlemleri'!$I$2:$I$1944)</f>
        <v/>
      </c>
      <c r="D9" s="11">
        <f>SUMPRODUCT((YEAR('Doğrudan Alım İşlemleri'!$E$2:$E$1944)=$A$9)*1)</f>
        <v/>
      </c>
      <c r="E9" s="13">
        <f>IFERROR(SUMPRODUCT((YEAR('Doğrudan Alım İşlemleri'!$E$2:$E$1944)=$A$9)*ISNUMBER('Doğrudan Alım İşlemleri'!$N$2:$N$1944)*'Doğrudan Alım İşlemleri'!$N$2:$N$1944*('Doğrudan Alım İşlemleri'!$H$2:$H$1944&lt;&gt;"")*'Doğrudan Alım İşlemleri'!$H$2:$H$1944)/SUMPRODUCT((YEAR('Doğrudan Alım İşlemleri'!$E$2:$E$1944)=$A$9)*ISNUMBER('Doğrudan Alım İşlemleri'!$N$2:$N$1944)*('Doğrudan Alım İşlemleri'!$H$2:$H$1944&lt;&gt;"")*'Doğrudan Alım İşlemleri'!$H$2:$H$1944),"")</f>
        <v/>
      </c>
    </row>
    <row r="10">
      <c r="A10" s="15" t="n">
        <v>2016</v>
      </c>
      <c r="B10" s="8">
        <f>SUMPRODUCT((YEAR('Doğrudan Alım İşlemleri'!$E$2:$E$1944)=$A$10)*('Doğrudan Alım İşlemleri'!$H$2:$H$1944&lt;&gt;"")*'Doğrudan Alım İşlemleri'!$H$2:$H$1944)</f>
        <v/>
      </c>
      <c r="C10" s="24">
        <f>SUMPRODUCT((YEAR('Doğrudan Alım İşlemleri'!$E$2:$E$1944)=$A$10)*('Doğrudan Alım İşlemleri'!$I$2:$I$1944&lt;&gt;"")*'Doğrudan Alım İşlemleri'!$I$2:$I$1944)</f>
        <v/>
      </c>
      <c r="D10" s="8">
        <f>SUMPRODUCT((YEAR('Doğrudan Alım İşlemleri'!$E$2:$E$1944)=$A$10)*1)</f>
        <v/>
      </c>
      <c r="E10" s="24">
        <f>IFERROR(SUMPRODUCT((YEAR('Doğrudan Alım İşlemleri'!$E$2:$E$1944)=$A$10)*ISNUMBER('Doğrudan Alım İşlemleri'!$N$2:$N$1944)*'Doğrudan Alım İşlemleri'!$N$2:$N$1944*('Doğrudan Alım İşlemleri'!$H$2:$H$1944&lt;&gt;"")*'Doğrudan Alım İşlemleri'!$H$2:$H$1944)/SUMPRODUCT((YEAR('Doğrudan Alım İşlemleri'!$E$2:$E$1944)=$A$10)*ISNUMBER('Doğrudan Alım İşlemleri'!$N$2:$N$1944)*('Doğrudan Alım İşlemleri'!$H$2:$H$1944&lt;&gt;"")*'Doğrudan Alım İşlemleri'!$H$2:$H$1944),"")</f>
        <v/>
      </c>
    </row>
    <row r="11">
      <c r="A11" s="16" t="n">
        <v>2017</v>
      </c>
      <c r="B11" s="11">
        <f>SUMPRODUCT((YEAR('Doğrudan Alım İşlemleri'!$E$2:$E$1944)=$A$11)*('Doğrudan Alım İşlemleri'!$H$2:$H$1944&lt;&gt;"")*'Doğrudan Alım İşlemleri'!$H$2:$H$1944)</f>
        <v/>
      </c>
      <c r="C11" s="13">
        <f>SUMPRODUCT((YEAR('Doğrudan Alım İşlemleri'!$E$2:$E$1944)=$A$11)*('Doğrudan Alım İşlemleri'!$I$2:$I$1944&lt;&gt;"")*'Doğrudan Alım İşlemleri'!$I$2:$I$1944)</f>
        <v/>
      </c>
      <c r="D11" s="11">
        <f>SUMPRODUCT((YEAR('Doğrudan Alım İşlemleri'!$E$2:$E$1944)=$A$11)*1)</f>
        <v/>
      </c>
      <c r="E11" s="13">
        <f>IFERROR(SUMPRODUCT((YEAR('Doğrudan Alım İşlemleri'!$E$2:$E$1944)=$A$11)*ISNUMBER('Doğrudan Alım İşlemleri'!$N$2:$N$1944)*'Doğrudan Alım İşlemleri'!$N$2:$N$1944*('Doğrudan Alım İşlemleri'!$H$2:$H$1944&lt;&gt;"")*'Doğrudan Alım İşlemleri'!$H$2:$H$1944)/SUMPRODUCT((YEAR('Doğrudan Alım İşlemleri'!$E$2:$E$1944)=$A$11)*ISNUMBER('Doğrudan Alım İşlemleri'!$N$2:$N$1944)*('Doğrudan Alım İşlemleri'!$H$2:$H$1944&lt;&gt;"")*'Doğrudan Alım İşlemleri'!$H$2:$H$1944),"")</f>
        <v/>
      </c>
    </row>
    <row r="12">
      <c r="A12" s="15" t="n">
        <v>2018</v>
      </c>
      <c r="B12" s="8">
        <f>SUMPRODUCT((YEAR('Doğrudan Alım İşlemleri'!$E$2:$E$1944)=$A$12)*('Doğrudan Alım İşlemleri'!$H$2:$H$1944&lt;&gt;"")*'Doğrudan Alım İşlemleri'!$H$2:$H$1944)</f>
        <v/>
      </c>
      <c r="C12" s="24">
        <f>SUMPRODUCT((YEAR('Doğrudan Alım İşlemleri'!$E$2:$E$1944)=$A$12)*('Doğrudan Alım İşlemleri'!$I$2:$I$1944&lt;&gt;"")*'Doğrudan Alım İşlemleri'!$I$2:$I$1944)</f>
        <v/>
      </c>
      <c r="D12" s="8">
        <f>SUMPRODUCT((YEAR('Doğrudan Alım İşlemleri'!$E$2:$E$1944)=$A$12)*1)</f>
        <v/>
      </c>
      <c r="E12" s="24">
        <f>IFERROR(SUMPRODUCT((YEAR('Doğrudan Alım İşlemleri'!$E$2:$E$1944)=$A$12)*ISNUMBER('Doğrudan Alım İşlemleri'!$N$2:$N$1944)*'Doğrudan Alım İşlemleri'!$N$2:$N$1944*('Doğrudan Alım İşlemleri'!$H$2:$H$1944&lt;&gt;"")*'Doğrudan Alım İşlemleri'!$H$2:$H$1944)/SUMPRODUCT((YEAR('Doğrudan Alım İşlemleri'!$E$2:$E$1944)=$A$12)*ISNUMBER('Doğrudan Alım İşlemleri'!$N$2:$N$1944)*('Doğrudan Alım İşlemleri'!$H$2:$H$1944&lt;&gt;"")*'Doğrudan Alım İşlemleri'!$H$2:$H$1944),"")</f>
        <v/>
      </c>
    </row>
    <row r="13">
      <c r="A13" s="16" t="n">
        <v>2019</v>
      </c>
      <c r="B13" s="11">
        <f>SUMPRODUCT((YEAR('Doğrudan Alım İşlemleri'!$E$2:$E$1944)=$A$13)*('Doğrudan Alım İşlemleri'!$H$2:$H$1944&lt;&gt;"")*'Doğrudan Alım İşlemleri'!$H$2:$H$1944)</f>
        <v/>
      </c>
      <c r="C13" s="13">
        <f>SUMPRODUCT((YEAR('Doğrudan Alım İşlemleri'!$E$2:$E$1944)=$A$13)*('Doğrudan Alım İşlemleri'!$I$2:$I$1944&lt;&gt;"")*'Doğrudan Alım İşlemleri'!$I$2:$I$1944)</f>
        <v/>
      </c>
      <c r="D13" s="11">
        <f>SUMPRODUCT((YEAR('Doğrudan Alım İşlemleri'!$E$2:$E$1944)=$A$13)*1)</f>
        <v/>
      </c>
      <c r="E13" s="13">
        <f>IFERROR(SUMPRODUCT((YEAR('Doğrudan Alım İşlemleri'!$E$2:$E$1944)=$A$13)*ISNUMBER('Doğrudan Alım İşlemleri'!$N$2:$N$1944)*'Doğrudan Alım İşlemleri'!$N$2:$N$1944*('Doğrudan Alım İşlemleri'!$H$2:$H$1944&lt;&gt;"")*'Doğrudan Alım İşlemleri'!$H$2:$H$1944)/SUMPRODUCT((YEAR('Doğrudan Alım İşlemleri'!$E$2:$E$1944)=$A$13)*ISNUMBER('Doğrudan Alım İşlemleri'!$N$2:$N$1944)*('Doğrudan Alım İşlemleri'!$H$2:$H$1944&lt;&gt;"")*'Doğrudan Alım İşlemleri'!$H$2:$H$1944),"")</f>
        <v/>
      </c>
    </row>
    <row r="14">
      <c r="A14" s="15" t="n">
        <v>2020</v>
      </c>
      <c r="B14" s="8">
        <f>SUMPRODUCT((YEAR('Doğrudan Alım İşlemleri'!$E$2:$E$1944)=$A$14)*('Doğrudan Alım İşlemleri'!$H$2:$H$1944&lt;&gt;"")*'Doğrudan Alım İşlemleri'!$H$2:$H$1944)</f>
        <v/>
      </c>
      <c r="C14" s="24">
        <f>SUMPRODUCT((YEAR('Doğrudan Alım İşlemleri'!$E$2:$E$1944)=$A$14)*('Doğrudan Alım İşlemleri'!$I$2:$I$1944&lt;&gt;"")*'Doğrudan Alım İşlemleri'!$I$2:$I$1944)</f>
        <v/>
      </c>
      <c r="D14" s="8">
        <f>SUMPRODUCT((YEAR('Doğrudan Alım İşlemleri'!$E$2:$E$1944)=$A$14)*1)</f>
        <v/>
      </c>
      <c r="E14" s="24">
        <f>IFERROR(SUMPRODUCT((YEAR('Doğrudan Alım İşlemleri'!$E$2:$E$1944)=$A$14)*ISNUMBER('Doğrudan Alım İşlemleri'!$N$2:$N$1944)*'Doğrudan Alım İşlemleri'!$N$2:$N$1944*('Doğrudan Alım İşlemleri'!$H$2:$H$1944&lt;&gt;"")*'Doğrudan Alım İşlemleri'!$H$2:$H$1944)/SUMPRODUCT((YEAR('Doğrudan Alım İşlemleri'!$E$2:$E$1944)=$A$14)*ISNUMBER('Doğrudan Alım İşlemleri'!$N$2:$N$1944)*('Doğrudan Alım İşlemleri'!$H$2:$H$1944&lt;&gt;"")*'Doğrudan Alım İşlemleri'!$H$2:$H$1944),"")</f>
        <v/>
      </c>
    </row>
    <row r="15">
      <c r="A15" s="16" t="n">
        <v>2021</v>
      </c>
      <c r="B15" s="11">
        <f>SUMPRODUCT((YEAR('Doğrudan Alım İşlemleri'!$E$2:$E$1944)=$A$15)*('Doğrudan Alım İşlemleri'!$H$2:$H$1944&lt;&gt;"")*'Doğrudan Alım İşlemleri'!$H$2:$H$1944)</f>
        <v/>
      </c>
      <c r="C15" s="13">
        <f>SUMPRODUCT((YEAR('Doğrudan Alım İşlemleri'!$E$2:$E$1944)=$A$15)*('Doğrudan Alım İşlemleri'!$I$2:$I$1944&lt;&gt;"")*'Doğrudan Alım İşlemleri'!$I$2:$I$1944)</f>
        <v/>
      </c>
      <c r="D15" s="11">
        <f>SUMPRODUCT((YEAR('Doğrudan Alım İşlemleri'!$E$2:$E$1944)=$A$15)*1)</f>
        <v/>
      </c>
      <c r="E15" s="13">
        <f>IFERROR(SUMPRODUCT((YEAR('Doğrudan Alım İşlemleri'!$E$2:$E$1944)=$A$15)*ISNUMBER('Doğrudan Alım İşlemleri'!$N$2:$N$1944)*'Doğrudan Alım İşlemleri'!$N$2:$N$1944*('Doğrudan Alım İşlemleri'!$H$2:$H$1944&lt;&gt;"")*'Doğrudan Alım İşlemleri'!$H$2:$H$1944)/SUMPRODUCT((YEAR('Doğrudan Alım İşlemleri'!$E$2:$E$1944)=$A$15)*ISNUMBER('Doğrudan Alım İşlemleri'!$N$2:$N$1944)*('Doğrudan Alım İşlemleri'!$H$2:$H$1944&lt;&gt;"")*'Doğrudan Alım İşlemleri'!$H$2:$H$1944),"")</f>
        <v/>
      </c>
    </row>
    <row r="16">
      <c r="A16" s="15" t="n">
        <v>2022</v>
      </c>
      <c r="B16" s="8">
        <f>SUMPRODUCT((YEAR('Doğrudan Alım İşlemleri'!$E$2:$E$1944)=$A$16)*('Doğrudan Alım İşlemleri'!$H$2:$H$1944&lt;&gt;"")*'Doğrudan Alım İşlemleri'!$H$2:$H$1944)</f>
        <v/>
      </c>
      <c r="C16" s="24">
        <f>SUMPRODUCT((YEAR('Doğrudan Alım İşlemleri'!$E$2:$E$1944)=$A$16)*('Doğrudan Alım İşlemleri'!$I$2:$I$1944&lt;&gt;"")*'Doğrudan Alım İşlemleri'!$I$2:$I$1944)</f>
        <v/>
      </c>
      <c r="D16" s="8">
        <f>SUMPRODUCT((YEAR('Doğrudan Alım İşlemleri'!$E$2:$E$1944)=$A$16)*1)</f>
        <v/>
      </c>
      <c r="E16" s="24">
        <f>IFERROR(SUMPRODUCT((YEAR('Doğrudan Alım İşlemleri'!$E$2:$E$1944)=$A$16)*ISNUMBER('Doğrudan Alım İşlemleri'!$N$2:$N$1944)*'Doğrudan Alım İşlemleri'!$N$2:$N$1944*('Doğrudan Alım İşlemleri'!$H$2:$H$1944&lt;&gt;"")*'Doğrudan Alım İşlemleri'!$H$2:$H$1944)/SUMPRODUCT((YEAR('Doğrudan Alım İşlemleri'!$E$2:$E$1944)=$A$16)*ISNUMBER('Doğrudan Alım İşlemleri'!$N$2:$N$1944)*('Doğrudan Alım İşlemleri'!$H$2:$H$1944&lt;&gt;"")*'Doğrudan Alım İşlemleri'!$H$2:$H$1944),"")</f>
        <v/>
      </c>
    </row>
    <row r="17">
      <c r="A17" s="16" t="n">
        <v>2023</v>
      </c>
      <c r="B17" s="11">
        <f>SUMPRODUCT((YEAR('Doğrudan Alım İşlemleri'!$E$2:$E$1944)=$A$17)*('Doğrudan Alım İşlemleri'!$H$2:$H$1944&lt;&gt;"")*'Doğrudan Alım İşlemleri'!$H$2:$H$1944)</f>
        <v/>
      </c>
      <c r="C17" s="13">
        <f>SUMPRODUCT((YEAR('Doğrudan Alım İşlemleri'!$E$2:$E$1944)=$A$17)*('Doğrudan Alım İşlemleri'!$I$2:$I$1944&lt;&gt;"")*'Doğrudan Alım İşlemleri'!$I$2:$I$1944)</f>
        <v/>
      </c>
      <c r="D17" s="11">
        <f>SUMPRODUCT((YEAR('Doğrudan Alım İşlemleri'!$E$2:$E$1944)=$A$17)*1)</f>
        <v/>
      </c>
      <c r="E17" s="13">
        <f>IFERROR(SUMPRODUCT((YEAR('Doğrudan Alım İşlemleri'!$E$2:$E$1944)=$A$17)*ISNUMBER('Doğrudan Alım İşlemleri'!$N$2:$N$1944)*'Doğrudan Alım İşlemleri'!$N$2:$N$1944*('Doğrudan Alım İşlemleri'!$H$2:$H$1944&lt;&gt;"")*'Doğrudan Alım İşlemleri'!$H$2:$H$1944)/SUMPRODUCT((YEAR('Doğrudan Alım İşlemleri'!$E$2:$E$1944)=$A$17)*ISNUMBER('Doğrudan Alım İşlemleri'!$N$2:$N$1944)*('Doğrudan Alım İşlemleri'!$H$2:$H$1944&lt;&gt;"")*'Doğrudan Alım İşlemleri'!$H$2:$H$1944),"")</f>
        <v/>
      </c>
    </row>
    <row r="18">
      <c r="A18" s="15" t="n">
        <v>2024</v>
      </c>
      <c r="B18" s="8">
        <f>SUMPRODUCT((YEAR('Doğrudan Alım İşlemleri'!$E$2:$E$1944)=$A$18)*('Doğrudan Alım İşlemleri'!$H$2:$H$1944&lt;&gt;"")*'Doğrudan Alım İşlemleri'!$H$2:$H$1944)</f>
        <v/>
      </c>
      <c r="C18" s="24">
        <f>SUMPRODUCT((YEAR('Doğrudan Alım İşlemleri'!$E$2:$E$1944)=$A$18)*('Doğrudan Alım İşlemleri'!$I$2:$I$1944&lt;&gt;"")*'Doğrudan Alım İşlemleri'!$I$2:$I$1944)</f>
        <v/>
      </c>
      <c r="D18" s="8">
        <f>SUMPRODUCT((YEAR('Doğrudan Alım İşlemleri'!$E$2:$E$1944)=$A$18)*1)</f>
        <v/>
      </c>
      <c r="E18" s="24">
        <f>IFERROR(SUMPRODUCT((YEAR('Doğrudan Alım İşlemleri'!$E$2:$E$1944)=$A$18)*ISNUMBER('Doğrudan Alım İşlemleri'!$N$2:$N$1944)*'Doğrudan Alım İşlemleri'!$N$2:$N$1944*('Doğrudan Alım İşlemleri'!$H$2:$H$1944&lt;&gt;"")*'Doğrudan Alım İşlemleri'!$H$2:$H$1944)/SUMPRODUCT((YEAR('Doğrudan Alım İşlemleri'!$E$2:$E$1944)=$A$18)*ISNUMBER('Doğrudan Alım İşlemleri'!$N$2:$N$1944)*('Doğrudan Alım İşlemleri'!$H$2:$H$1944&lt;&gt;"")*'Doğrudan Alım İşlemleri'!$H$2:$H$1944),"")</f>
        <v/>
      </c>
    </row>
    <row r="19">
      <c r="A19" s="16" t="n">
        <v>2025</v>
      </c>
      <c r="B19" s="11">
        <f>SUMPRODUCT((YEAR('Doğrudan Alım İşlemleri'!$E$2:$E$1944)=$A$19)*('Doğrudan Alım İşlemleri'!$H$2:$H$1944&lt;&gt;"")*'Doğrudan Alım İşlemleri'!$H$2:$H$1944)</f>
        <v/>
      </c>
      <c r="C19" s="13">
        <f>SUMPRODUCT((YEAR('Doğrudan Alım İşlemleri'!$E$2:$E$1944)=$A$19)*('Doğrudan Alım İşlemleri'!$I$2:$I$1944&lt;&gt;"")*'Doğrudan Alım İşlemleri'!$I$2:$I$1944)</f>
        <v/>
      </c>
      <c r="D19" s="11">
        <f>SUMPRODUCT((YEAR('Doğrudan Alım İşlemleri'!$E$2:$E$1944)=$A$19)*1)</f>
        <v/>
      </c>
      <c r="E19" s="13">
        <f>IFERROR(SUMPRODUCT((YEAR('Doğrudan Alım İşlemleri'!$E$2:$E$1944)=$A$19)*ISNUMBER('Doğrudan Alım İşlemleri'!$N$2:$N$1944)*'Doğrudan Alım İşlemleri'!$N$2:$N$1944*('Doğrudan Alım İşlemleri'!$H$2:$H$1944&lt;&gt;"")*'Doğrudan Alım İşlemleri'!$H$2:$H$1944)/SUMPRODUCT((YEAR('Doğrudan Alım İşlemleri'!$E$2:$E$1944)=$A$19)*ISNUMBER('Doğrudan Alım İşlemleri'!$N$2:$N$1944)*('Doğrudan Alım İşlemleri'!$H$2:$H$1944&lt;&gt;"")*'Doğrudan Alım İşlemleri'!$H$2:$H$1944),"")</f>
        <v/>
      </c>
    </row>
    <row r="20">
      <c r="A20" s="15" t="n">
        <v>2026</v>
      </c>
      <c r="B20" s="8">
        <f>SUMPRODUCT((YEAR('Doğrudan Alım İşlemleri'!$E$2:$E$1944)=$A$20)*('Doğrudan Alım İşlemleri'!$H$2:$H$1944&lt;&gt;"")*'Doğrudan Alım İşlemleri'!$H$2:$H$1944)</f>
        <v/>
      </c>
      <c r="C20" s="24">
        <f>SUMPRODUCT((YEAR('Doğrudan Alım İşlemleri'!$E$2:$E$1944)=$A$20)*('Doğrudan Alım İşlemleri'!$I$2:$I$1944&lt;&gt;"")*'Doğrudan Alım İşlemleri'!$I$2:$I$1944)</f>
        <v/>
      </c>
      <c r="D20" s="8">
        <f>SUMPRODUCT((YEAR('Doğrudan Alım İşlemleri'!$E$2:$E$1944)=$A$20)*1)</f>
        <v/>
      </c>
      <c r="E20" s="24">
        <f>IFERROR(SUMPRODUCT((YEAR('Doğrudan Alım İşlemleri'!$E$2:$E$1944)=$A$20)*ISNUMBER('Doğrudan Alım İşlemleri'!$N$2:$N$1944)*'Doğrudan Alım İşlemleri'!$N$2:$N$1944*('Doğrudan Alım İşlemleri'!$H$2:$H$1944&lt;&gt;"")*'Doğrudan Alım İşlemleri'!$H$2:$H$1944)/SUMPRODUCT((YEAR('Doğrudan Alım İşlemleri'!$E$2:$E$1944)=$A$20)*ISNUMBER('Doğrudan Alım İşlemleri'!$N$2:$N$1944)*('Doğrudan Alım İşlemleri'!$H$2:$H$1944&lt;&gt;"")*'Doğrudan Alım İşlemleri'!$H$2:$H$1944),"")</f>
        <v/>
      </c>
    </row>
    <row r="21">
      <c r="A21" s="16" t="n">
        <v>2027</v>
      </c>
      <c r="B21" s="11">
        <f>SUMPRODUCT((YEAR('Doğrudan Alım İşlemleri'!$E$2:$E$1944)=$A$21)*('Doğrudan Alım İşlemleri'!$H$2:$H$1944&lt;&gt;"")*'Doğrudan Alım İşlemleri'!$H$2:$H$1944)</f>
        <v/>
      </c>
      <c r="C21" s="13">
        <f>SUMPRODUCT((YEAR('Doğrudan Alım İşlemleri'!$E$2:$E$1944)=$A$21)*('Doğrudan Alım İşlemleri'!$I$2:$I$1944&lt;&gt;"")*'Doğrudan Alım İşlemleri'!$I$2:$I$1944)</f>
        <v/>
      </c>
      <c r="D21" s="11">
        <f>SUMPRODUCT((YEAR('Doğrudan Alım İşlemleri'!$E$2:$E$1944)=$A$21)*1)</f>
        <v/>
      </c>
      <c r="E21" s="13">
        <f>IFERROR(SUMPRODUCT((YEAR('Doğrudan Alım İşlemleri'!$E$2:$E$1944)=$A$21)*ISNUMBER('Doğrudan Alım İşlemleri'!$N$2:$N$1944)*'Doğrudan Alım İşlemleri'!$N$2:$N$1944*('Doğrudan Alım İşlemleri'!$H$2:$H$1944&lt;&gt;"")*'Doğrudan Alım İşlemleri'!$H$2:$H$1944)/SUMPRODUCT((YEAR('Doğrudan Alım İşlemleri'!$E$2:$E$1944)=$A$21)*ISNUMBER('Doğrudan Alım İşlemleri'!$N$2:$N$1944)*('Doğrudan Alım İşlemleri'!$H$2:$H$1944&lt;&gt;"")*'Doğrudan Alım İşlemleri'!$H$2:$H$1944),"")</f>
        <v/>
      </c>
    </row>
    <row r="22">
      <c r="A22" s="15" t="n">
        <v>2028</v>
      </c>
      <c r="B22" s="8">
        <f>SUMPRODUCT((YEAR('Doğrudan Alım İşlemleri'!$E$2:$E$1944)=$A$22)*('Doğrudan Alım İşlemleri'!$H$2:$H$1944&lt;&gt;"")*'Doğrudan Alım İşlemleri'!$H$2:$H$1944)</f>
        <v/>
      </c>
      <c r="C22" s="24">
        <f>SUMPRODUCT((YEAR('Doğrudan Alım İşlemleri'!$E$2:$E$1944)=$A$22)*('Doğrudan Alım İşlemleri'!$I$2:$I$1944&lt;&gt;"")*'Doğrudan Alım İşlemleri'!$I$2:$I$1944)</f>
        <v/>
      </c>
      <c r="D22" s="8">
        <f>SUMPRODUCT((YEAR('Doğrudan Alım İşlemleri'!$E$2:$E$1944)=$A$22)*1)</f>
        <v/>
      </c>
      <c r="E22" s="24">
        <f>IFERROR(SUMPRODUCT((YEAR('Doğrudan Alım İşlemleri'!$E$2:$E$1944)=$A$22)*ISNUMBER('Doğrudan Alım İşlemleri'!$N$2:$N$1944)*'Doğrudan Alım İşlemleri'!$N$2:$N$1944*('Doğrudan Alım İşlemleri'!$H$2:$H$1944&lt;&gt;"")*'Doğrudan Alım İşlemleri'!$H$2:$H$1944)/SUMPRODUCT((YEAR('Doğrudan Alım İşlemleri'!$E$2:$E$1944)=$A$22)*ISNUMBER('Doğrudan Alım İşlemleri'!$N$2:$N$1944)*('Doğrudan Alım İşlemleri'!$H$2:$H$1944&lt;&gt;"")*'Doğrudan Alım İşlemleri'!$H$2:$H$1944),"")</f>
        <v/>
      </c>
    </row>
    <row r="23">
      <c r="A23" s="16" t="n">
        <v>2029</v>
      </c>
      <c r="B23" s="11">
        <f>SUMPRODUCT((YEAR('Doğrudan Alım İşlemleri'!$E$2:$E$1944)=$A$23)*('Doğrudan Alım İşlemleri'!$H$2:$H$1944&lt;&gt;"")*'Doğrudan Alım İşlemleri'!$H$2:$H$1944)</f>
        <v/>
      </c>
      <c r="C23" s="13">
        <f>SUMPRODUCT((YEAR('Doğrudan Alım İşlemleri'!$E$2:$E$1944)=$A$23)*('Doğrudan Alım İşlemleri'!$I$2:$I$1944&lt;&gt;"")*'Doğrudan Alım İşlemleri'!$I$2:$I$1944)</f>
        <v/>
      </c>
      <c r="D23" s="11">
        <f>SUMPRODUCT((YEAR('Doğrudan Alım İşlemleri'!$E$2:$E$1944)=$A$23)*1)</f>
        <v/>
      </c>
      <c r="E23" s="13">
        <f>IFERROR(SUMPRODUCT((YEAR('Doğrudan Alım İşlemleri'!$E$2:$E$1944)=$A$23)*ISNUMBER('Doğrudan Alım İşlemleri'!$N$2:$N$1944)*'Doğrudan Alım İşlemleri'!$N$2:$N$1944*('Doğrudan Alım İşlemleri'!$H$2:$H$1944&lt;&gt;"")*'Doğrudan Alım İşlemleri'!$H$2:$H$1944)/SUMPRODUCT((YEAR('Doğrudan Alım İşlemleri'!$E$2:$E$1944)=$A$23)*ISNUMBER('Doğrudan Alım İşlemleri'!$N$2:$N$1944)*('Doğrudan Alım İşlemleri'!$H$2:$H$1944&lt;&gt;"")*'Doğrudan Alım İşlemleri'!$H$2:$H$1944),"")</f>
        <v/>
      </c>
    </row>
    <row r="24">
      <c r="A24" s="15" t="n">
        <v>2030</v>
      </c>
      <c r="B24" s="8">
        <f>SUMPRODUCT((YEAR('Doğrudan Alım İşlemleri'!$E$2:$E$1944)=$A$24)*('Doğrudan Alım İşlemleri'!$H$2:$H$1944&lt;&gt;"")*'Doğrudan Alım İşlemleri'!$H$2:$H$1944)</f>
        <v/>
      </c>
      <c r="C24" s="24">
        <f>SUMPRODUCT((YEAR('Doğrudan Alım İşlemleri'!$E$2:$E$1944)=$A$24)*('Doğrudan Alım İşlemleri'!$I$2:$I$1944&lt;&gt;"")*'Doğrudan Alım İşlemleri'!$I$2:$I$1944)</f>
        <v/>
      </c>
      <c r="D24" s="8">
        <f>SUMPRODUCT((YEAR('Doğrudan Alım İşlemleri'!$E$2:$E$1944)=$A$24)*1)</f>
        <v/>
      </c>
      <c r="E24" s="24">
        <f>IFERROR(SUMPRODUCT((YEAR('Doğrudan Alım İşlemleri'!$E$2:$E$1944)=$A$24)*ISNUMBER('Doğrudan Alım İşlemleri'!$N$2:$N$1944)*'Doğrudan Alım İşlemleri'!$N$2:$N$1944*('Doğrudan Alım İşlemleri'!$H$2:$H$1944&lt;&gt;"")*'Doğrudan Alım İşlemleri'!$H$2:$H$1944)/SUMPRODUCT((YEAR('Doğrudan Alım İşlemleri'!$E$2:$E$1944)=$A$24)*ISNUMBER('Doğrudan Alım İşlemleri'!$N$2:$N$1944)*('Doğrudan Alım İşlemleri'!$H$2:$H$1944&lt;&gt;"")*'Doğrudan Alım İşlemleri'!$H$2:$H$1944),"")</f>
        <v/>
      </c>
    </row>
    <row r="25">
      <c r="A25" s="16" t="n">
        <v>2031</v>
      </c>
      <c r="B25" s="11">
        <f>SUMPRODUCT((YEAR('Doğrudan Alım İşlemleri'!$E$2:$E$1944)=$A$25)*('Doğrudan Alım İşlemleri'!$H$2:$H$1944&lt;&gt;"")*'Doğrudan Alım İşlemleri'!$H$2:$H$1944)</f>
        <v/>
      </c>
      <c r="C25" s="13">
        <f>SUMPRODUCT((YEAR('Doğrudan Alım İşlemleri'!$E$2:$E$1944)=$A$25)*('Doğrudan Alım İşlemleri'!$I$2:$I$1944&lt;&gt;"")*'Doğrudan Alım İşlemleri'!$I$2:$I$1944)</f>
        <v/>
      </c>
      <c r="D25" s="11">
        <f>SUMPRODUCT((YEAR('Doğrudan Alım İşlemleri'!$E$2:$E$1944)=$A$25)*1)</f>
        <v/>
      </c>
      <c r="E25" s="13">
        <f>IFERROR(SUMPRODUCT((YEAR('Doğrudan Alım İşlemleri'!$E$2:$E$1944)=$A$25)*ISNUMBER('Doğrudan Alım İşlemleri'!$N$2:$N$1944)*'Doğrudan Alım İşlemleri'!$N$2:$N$1944*('Doğrudan Alım İşlemleri'!$H$2:$H$1944&lt;&gt;"")*'Doğrudan Alım İşlemleri'!$H$2:$H$1944)/SUMPRODUCT((YEAR('Doğrudan Alım İşlemleri'!$E$2:$E$1944)=$A$25)*ISNUMBER('Doğrudan Alım İşlemleri'!$N$2:$N$1944)*('Doğrudan Alım İşlemleri'!$H$2:$H$1944&lt;&gt;"")*'Doğrudan Alım İşlemleri'!$H$2:$H$1944),"")</f>
        <v/>
      </c>
    </row>
    <row r="26">
      <c r="A26" s="15" t="n">
        <v>2032</v>
      </c>
      <c r="B26" s="8">
        <f>SUMPRODUCT((YEAR('Doğrudan Alım İşlemleri'!$E$2:$E$1944)=$A$26)*('Doğrudan Alım İşlemleri'!$H$2:$H$1944&lt;&gt;"")*'Doğrudan Alım İşlemleri'!$H$2:$H$1944)</f>
        <v/>
      </c>
      <c r="C26" s="24">
        <f>SUMPRODUCT((YEAR('Doğrudan Alım İşlemleri'!$E$2:$E$1944)=$A$26)*('Doğrudan Alım İşlemleri'!$I$2:$I$1944&lt;&gt;"")*'Doğrudan Alım İşlemleri'!$I$2:$I$1944)</f>
        <v/>
      </c>
      <c r="D26" s="8">
        <f>SUMPRODUCT((YEAR('Doğrudan Alım İşlemleri'!$E$2:$E$1944)=$A$26)*1)</f>
        <v/>
      </c>
      <c r="E26" s="24">
        <f>IFERROR(SUMPRODUCT((YEAR('Doğrudan Alım İşlemleri'!$E$2:$E$1944)=$A$26)*ISNUMBER('Doğrudan Alım İşlemleri'!$N$2:$N$1944)*'Doğrudan Alım İşlemleri'!$N$2:$N$1944*('Doğrudan Alım İşlemleri'!$H$2:$H$1944&lt;&gt;"")*'Doğrudan Alım İşlemleri'!$H$2:$H$1944)/SUMPRODUCT((YEAR('Doğrudan Alım İşlemleri'!$E$2:$E$1944)=$A$26)*ISNUMBER('Doğrudan Alım İşlemleri'!$N$2:$N$1944)*('Doğrudan Alım İşlemleri'!$H$2:$H$1944&lt;&gt;"")*'Doğrudan Alım İşlemleri'!$H$2:$H$1944),"")</f>
        <v/>
      </c>
    </row>
    <row r="27">
      <c r="A27" s="16" t="n">
        <v>2033</v>
      </c>
      <c r="B27" s="11">
        <f>SUMPRODUCT((YEAR('Doğrudan Alım İşlemleri'!$E$2:$E$1944)=$A$27)*('Doğrudan Alım İşlemleri'!$H$2:$H$1944&lt;&gt;"")*'Doğrudan Alım İşlemleri'!$H$2:$H$1944)</f>
        <v/>
      </c>
      <c r="C27" s="13">
        <f>SUMPRODUCT((YEAR('Doğrudan Alım İşlemleri'!$E$2:$E$1944)=$A$27)*('Doğrudan Alım İşlemleri'!$I$2:$I$1944&lt;&gt;"")*'Doğrudan Alım İşlemleri'!$I$2:$I$1944)</f>
        <v/>
      </c>
      <c r="D27" s="11">
        <f>SUMPRODUCT((YEAR('Doğrudan Alım İşlemleri'!$E$2:$E$1944)=$A$27)*1)</f>
        <v/>
      </c>
      <c r="E27" s="13">
        <f>IFERROR(SUMPRODUCT((YEAR('Doğrudan Alım İşlemleri'!$E$2:$E$1944)=$A$27)*ISNUMBER('Doğrudan Alım İşlemleri'!$N$2:$N$1944)*'Doğrudan Alım İşlemleri'!$N$2:$N$1944*('Doğrudan Alım İşlemleri'!$H$2:$H$1944&lt;&gt;"")*'Doğrudan Alım İşlemleri'!$H$2:$H$1944)/SUMPRODUCT((YEAR('Doğrudan Alım İşlemleri'!$E$2:$E$1944)=$A$27)*ISNUMBER('Doğrudan Alım İşlemleri'!$N$2:$N$1944)*('Doğrudan Alım İşlemleri'!$H$2:$H$1944&lt;&gt;"")*'Doğrudan Alım İşlemleri'!$H$2:$H$1944),"")</f>
        <v/>
      </c>
    </row>
    <row r="28">
      <c r="A28" s="15" t="n">
        <v>2034</v>
      </c>
      <c r="B28" s="8">
        <f>SUMPRODUCT((YEAR('Doğrudan Alım İşlemleri'!$E$2:$E$1944)=$A$28)*('Doğrudan Alım İşlemleri'!$H$2:$H$1944&lt;&gt;"")*'Doğrudan Alım İşlemleri'!$H$2:$H$1944)</f>
        <v/>
      </c>
      <c r="C28" s="24">
        <f>SUMPRODUCT((YEAR('Doğrudan Alım İşlemleri'!$E$2:$E$1944)=$A$28)*('Doğrudan Alım İşlemleri'!$I$2:$I$1944&lt;&gt;"")*'Doğrudan Alım İşlemleri'!$I$2:$I$1944)</f>
        <v/>
      </c>
      <c r="D28" s="8">
        <f>SUMPRODUCT((YEAR('Doğrudan Alım İşlemleri'!$E$2:$E$1944)=$A$28)*1)</f>
        <v/>
      </c>
      <c r="E28" s="24">
        <f>IFERROR(SUMPRODUCT((YEAR('Doğrudan Alım İşlemleri'!$E$2:$E$1944)=$A$28)*ISNUMBER('Doğrudan Alım İşlemleri'!$N$2:$N$1944)*'Doğrudan Alım İşlemleri'!$N$2:$N$1944*('Doğrudan Alım İşlemleri'!$H$2:$H$1944&lt;&gt;"")*'Doğrudan Alım İşlemleri'!$H$2:$H$1944)/SUMPRODUCT((YEAR('Doğrudan Alım İşlemleri'!$E$2:$E$1944)=$A$28)*ISNUMBER('Doğrudan Alım İşlemleri'!$N$2:$N$1944)*('Doğrudan Alım İşlemleri'!$H$2:$H$1944&lt;&gt;"")*'Doğrudan Alım İşlemleri'!$H$2:$H$1944),"")</f>
        <v/>
      </c>
    </row>
    <row r="29">
      <c r="A29" s="26" t="inlineStr">
        <is>
          <t>TOPLAM</t>
        </is>
      </c>
      <c r="B29" s="27">
        <f>SUM(B4:B28)</f>
        <v/>
      </c>
      <c r="C29" s="28">
        <f>SUM(C4:C28)</f>
        <v/>
      </c>
      <c r="D29" s="27">
        <f>SUM(D4:D28)</f>
        <v/>
      </c>
      <c r="E29" s="26"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İşlemleri'!$B$2:$B$1944)=$A$4)*('Doğrudan Alım İşlemleri'!$H$2:$H$1944&lt;&gt;"")*'Doğrudan Alım İşlemleri'!$H$2:$H$1944)</f>
        <v/>
      </c>
      <c r="C4" s="8">
        <f>SUMPRODUCT((YEAR('Doğrudan Alım İşlemleri'!$B$2:$B$1944)=$A$4)*(('Doğrudan Alım İşlemleri'!$E$2:$E$1944-'Doğrudan Alım İşlemleri'!$D$2:$D$1944)&gt;=0)*(('Doğrudan Alım İşlemleri'!$E$2:$E$1944-'Doğrudan Alım İşlemleri'!$D$2:$D$1944)&lt;=365)*('Doğrudan Alım İşlemleri'!$H$2:$H$1944&lt;&gt;"")*'Doğrudan Alım İşlemleri'!$H$2:$H$1944)</f>
        <v/>
      </c>
      <c r="D4" s="8">
        <f>SUMPRODUCT((YEAR('Doğrudan Alım İşlemleri'!$B$2:$B$1944)=$A$4)*(('Doğrudan Alım İşlemleri'!$E$2:$E$1944-'Doğrudan Alım İşlemleri'!$D$2:$D$1944)&gt;=366)*(('Doğrudan Alım İşlemleri'!$E$2:$E$1944-'Doğrudan Alım İşlemleri'!$D$2:$D$1944)&lt;=730)*('Doğrudan Alım İşlemleri'!$H$2:$H$1944&lt;&gt;"")*'Doğrudan Alım İşlemleri'!$H$2:$H$1944)</f>
        <v/>
      </c>
      <c r="E4" s="8">
        <f>SUMPRODUCT((YEAR('Doğrudan Alım İşlemleri'!$B$2:$B$1944)=$A$4)*(('Doğrudan Alım İşlemleri'!$E$2:$E$1944-'Doğrudan Alım İşlemleri'!$D$2:$D$1944)&gt;=731)*(('Doğrudan Alım İşlemleri'!$E$2:$E$1944-'Doğrudan Alım İşlemleri'!$D$2:$D$1944)&lt;=1095)*('Doğrudan Alım İşlemleri'!$H$2:$H$1944&lt;&gt;"")*'Doğrudan Alım İşlemleri'!$H$2:$H$1944)</f>
        <v/>
      </c>
      <c r="F4" s="8">
        <f>SUMPRODUCT((YEAR('Doğrudan Alım İşlemleri'!$B$2:$B$1944)=$A$4)*(('Doğrudan Alım İşlemleri'!$E$2:$E$1944-'Doğrudan Alım İşlemleri'!$D$2:$D$1944)&gt;=1096)*(('Doğrudan Alım İşlemleri'!$E$2:$E$1944-'Doğrudan Alım İşlemleri'!$D$2:$D$1944)&lt;=1825)*('Doğrudan Alım İşlemleri'!$H$2:$H$1944&lt;&gt;"")*'Doğrudan Alım İşlemleri'!$H$2:$H$1944)</f>
        <v/>
      </c>
      <c r="G4" s="8">
        <f>SUMPRODUCT((YEAR('Doğrudan Alım İşlemleri'!$B$2:$B$1944)=$A$4)*(('Doğrudan Alım İşlemleri'!$E$2:$E$1944-'Doğrudan Alım İşlemleri'!$D$2:$D$1944)&gt;=1826)*(('Doğrudan Alım İşlemleri'!$E$2:$E$1944-'Doğrudan Alım İşlemleri'!$D$2:$D$1944)&lt;=2555)*('Doğrudan Alım İşlemleri'!$H$2:$H$1944&lt;&gt;"")*'Doğrudan Alım İşlemleri'!$H$2:$H$1944)</f>
        <v/>
      </c>
      <c r="H4" s="8">
        <f>SUMPRODUCT((YEAR('Doğrudan Alım İşlemleri'!$B$2:$B$1944)=$A$4)*(('Doğrudan Alım İşlemleri'!$E$2:$E$1944-'Doğrudan Alım İşlemleri'!$D$2:$D$1944)&gt;=2556)*('Doğrudan Alım İşlemleri'!$H$2:$H$1944&lt;&gt;"")*'Doğrudan Alım İşlemleri'!$H$2:$H$1944)</f>
        <v/>
      </c>
    </row>
    <row r="5">
      <c r="A5" s="30" t="n"/>
      <c r="B5" s="30" t="n"/>
      <c r="C5" s="31">
        <f>IFERROR(C4/$B$4*100,"")</f>
        <v/>
      </c>
      <c r="D5" s="31">
        <f>IFERROR(D4/$B$4*100,"")</f>
        <v/>
      </c>
      <c r="E5" s="31">
        <f>IFERROR(E4/$B$4*100,"")</f>
        <v/>
      </c>
      <c r="F5" s="31">
        <f>IFERROR(F4/$B$4*100,"")</f>
        <v/>
      </c>
      <c r="G5" s="31">
        <f>IFERROR(G4/$B$4*100,"")</f>
        <v/>
      </c>
      <c r="H5" s="31">
        <f>IFERROR(H4/$B$4*100,"")</f>
        <v/>
      </c>
    </row>
    <row r="6">
      <c r="A6" s="16" t="n">
        <v>2010</v>
      </c>
      <c r="B6" s="11">
        <f>SUMPRODUCT((YEAR('Doğrudan Alım İşlemleri'!$B$2:$B$1944)=$A$6)*('Doğrudan Alım İşlemleri'!$H$2:$H$1944&lt;&gt;"")*'Doğrudan Alım İşlemleri'!$H$2:$H$1944)</f>
        <v/>
      </c>
      <c r="C6" s="11">
        <f>SUMPRODUCT((YEAR('Doğrudan Alım İşlemleri'!$B$2:$B$1944)=$A$6)*(('Doğrudan Alım İşlemleri'!$E$2:$E$1944-'Doğrudan Alım İşlemleri'!$D$2:$D$1944)&gt;=0)*(('Doğrudan Alım İşlemleri'!$E$2:$E$1944-'Doğrudan Alım İşlemleri'!$D$2:$D$1944)&lt;=365)*('Doğrudan Alım İşlemleri'!$H$2:$H$1944&lt;&gt;"")*'Doğrudan Alım İşlemleri'!$H$2:$H$1944)</f>
        <v/>
      </c>
      <c r="D6" s="11">
        <f>SUMPRODUCT((YEAR('Doğrudan Alım İşlemleri'!$B$2:$B$1944)=$A$6)*(('Doğrudan Alım İşlemleri'!$E$2:$E$1944-'Doğrudan Alım İşlemleri'!$D$2:$D$1944)&gt;=366)*(('Doğrudan Alım İşlemleri'!$E$2:$E$1944-'Doğrudan Alım İşlemleri'!$D$2:$D$1944)&lt;=730)*('Doğrudan Alım İşlemleri'!$H$2:$H$1944&lt;&gt;"")*'Doğrudan Alım İşlemleri'!$H$2:$H$1944)</f>
        <v/>
      </c>
      <c r="E6" s="11">
        <f>SUMPRODUCT((YEAR('Doğrudan Alım İşlemleri'!$B$2:$B$1944)=$A$6)*(('Doğrudan Alım İşlemleri'!$E$2:$E$1944-'Doğrudan Alım İşlemleri'!$D$2:$D$1944)&gt;=731)*(('Doğrudan Alım İşlemleri'!$E$2:$E$1944-'Doğrudan Alım İşlemleri'!$D$2:$D$1944)&lt;=1095)*('Doğrudan Alım İşlemleri'!$H$2:$H$1944&lt;&gt;"")*'Doğrudan Alım İşlemleri'!$H$2:$H$1944)</f>
        <v/>
      </c>
      <c r="F6" s="11">
        <f>SUMPRODUCT((YEAR('Doğrudan Alım İşlemleri'!$B$2:$B$1944)=$A$6)*(('Doğrudan Alım İşlemleri'!$E$2:$E$1944-'Doğrudan Alım İşlemleri'!$D$2:$D$1944)&gt;=1096)*(('Doğrudan Alım İşlemleri'!$E$2:$E$1944-'Doğrudan Alım İşlemleri'!$D$2:$D$1944)&lt;=1825)*('Doğrudan Alım İşlemleri'!$H$2:$H$1944&lt;&gt;"")*'Doğrudan Alım İşlemleri'!$H$2:$H$1944)</f>
        <v/>
      </c>
      <c r="G6" s="11">
        <f>SUMPRODUCT((YEAR('Doğrudan Alım İşlemleri'!$B$2:$B$1944)=$A$6)*(('Doğrudan Alım İşlemleri'!$E$2:$E$1944-'Doğrudan Alım İşlemleri'!$D$2:$D$1944)&gt;=1826)*(('Doğrudan Alım İşlemleri'!$E$2:$E$1944-'Doğrudan Alım İşlemleri'!$D$2:$D$1944)&lt;=2555)*('Doğrudan Alım İşlemleri'!$H$2:$H$1944&lt;&gt;"")*'Doğrudan Alım İşlemleri'!$H$2:$H$1944)</f>
        <v/>
      </c>
      <c r="H6" s="11">
        <f>SUMPRODUCT((YEAR('Doğrudan Alım İşlemleri'!$B$2:$B$1944)=$A$6)*(('Doğrudan Alım İşlemleri'!$E$2:$E$1944-'Doğrudan Alım İşlemleri'!$D$2:$D$1944)&gt;=2556)*('Doğrudan Alım İşlemleri'!$H$2:$H$1944&lt;&gt;"")*'Doğrudan Alım İşlemleri'!$H$2:$H$1944)</f>
        <v/>
      </c>
    </row>
    <row r="7">
      <c r="A7" s="32" t="n"/>
      <c r="B7" s="32" t="n"/>
      <c r="C7" s="33">
        <f>IFERROR(C6/$B$6*100,"")</f>
        <v/>
      </c>
      <c r="D7" s="33">
        <f>IFERROR(D6/$B$6*100,"")</f>
        <v/>
      </c>
      <c r="E7" s="33">
        <f>IFERROR(E6/$B$6*100,"")</f>
        <v/>
      </c>
      <c r="F7" s="33">
        <f>IFERROR(F6/$B$6*100,"")</f>
        <v/>
      </c>
      <c r="G7" s="33">
        <f>IFERROR(G6/$B$6*100,"")</f>
        <v/>
      </c>
      <c r="H7" s="33">
        <f>IFERROR(H6/$B$6*100,"")</f>
        <v/>
      </c>
    </row>
    <row r="8">
      <c r="A8" s="15" t="n">
        <v>2011</v>
      </c>
      <c r="B8" s="8">
        <f>SUMPRODUCT((YEAR('Doğrudan Alım İşlemleri'!$B$2:$B$1944)=$A$8)*('Doğrudan Alım İşlemleri'!$H$2:$H$1944&lt;&gt;"")*'Doğrudan Alım İşlemleri'!$H$2:$H$1944)</f>
        <v/>
      </c>
      <c r="C8" s="8">
        <f>SUMPRODUCT((YEAR('Doğrudan Alım İşlemleri'!$B$2:$B$1944)=$A$8)*(('Doğrudan Alım İşlemleri'!$E$2:$E$1944-'Doğrudan Alım İşlemleri'!$D$2:$D$1944)&gt;=0)*(('Doğrudan Alım İşlemleri'!$E$2:$E$1944-'Doğrudan Alım İşlemleri'!$D$2:$D$1944)&lt;=365)*('Doğrudan Alım İşlemleri'!$H$2:$H$1944&lt;&gt;"")*'Doğrudan Alım İşlemleri'!$H$2:$H$1944)</f>
        <v/>
      </c>
      <c r="D8" s="8">
        <f>SUMPRODUCT((YEAR('Doğrudan Alım İşlemleri'!$B$2:$B$1944)=$A$8)*(('Doğrudan Alım İşlemleri'!$E$2:$E$1944-'Doğrudan Alım İşlemleri'!$D$2:$D$1944)&gt;=366)*(('Doğrudan Alım İşlemleri'!$E$2:$E$1944-'Doğrudan Alım İşlemleri'!$D$2:$D$1944)&lt;=730)*('Doğrudan Alım İşlemleri'!$H$2:$H$1944&lt;&gt;"")*'Doğrudan Alım İşlemleri'!$H$2:$H$1944)</f>
        <v/>
      </c>
      <c r="E8" s="8">
        <f>SUMPRODUCT((YEAR('Doğrudan Alım İşlemleri'!$B$2:$B$1944)=$A$8)*(('Doğrudan Alım İşlemleri'!$E$2:$E$1944-'Doğrudan Alım İşlemleri'!$D$2:$D$1944)&gt;=731)*(('Doğrudan Alım İşlemleri'!$E$2:$E$1944-'Doğrudan Alım İşlemleri'!$D$2:$D$1944)&lt;=1095)*('Doğrudan Alım İşlemleri'!$H$2:$H$1944&lt;&gt;"")*'Doğrudan Alım İşlemleri'!$H$2:$H$1944)</f>
        <v/>
      </c>
      <c r="F8" s="8">
        <f>SUMPRODUCT((YEAR('Doğrudan Alım İşlemleri'!$B$2:$B$1944)=$A$8)*(('Doğrudan Alım İşlemleri'!$E$2:$E$1944-'Doğrudan Alım İşlemleri'!$D$2:$D$1944)&gt;=1096)*(('Doğrudan Alım İşlemleri'!$E$2:$E$1944-'Doğrudan Alım İşlemleri'!$D$2:$D$1944)&lt;=1825)*('Doğrudan Alım İşlemleri'!$H$2:$H$1944&lt;&gt;"")*'Doğrudan Alım İşlemleri'!$H$2:$H$1944)</f>
        <v/>
      </c>
      <c r="G8" s="8">
        <f>SUMPRODUCT((YEAR('Doğrudan Alım İşlemleri'!$B$2:$B$1944)=$A$8)*(('Doğrudan Alım İşlemleri'!$E$2:$E$1944-'Doğrudan Alım İşlemleri'!$D$2:$D$1944)&gt;=1826)*(('Doğrudan Alım İşlemleri'!$E$2:$E$1944-'Doğrudan Alım İşlemleri'!$D$2:$D$1944)&lt;=2555)*('Doğrudan Alım İşlemleri'!$H$2:$H$1944&lt;&gt;"")*'Doğrudan Alım İşlemleri'!$H$2:$H$1944)</f>
        <v/>
      </c>
      <c r="H8" s="8">
        <f>SUMPRODUCT((YEAR('Doğrudan Alım İşlemleri'!$B$2:$B$1944)=$A$8)*(('Doğrudan Alım İşlemleri'!$E$2:$E$1944-'Doğrudan Alım İşlemleri'!$D$2:$D$1944)&gt;=2556)*('Doğrudan Alım İşlemleri'!$H$2:$H$1944&lt;&gt;"")*'Doğrudan Alım İşlemleri'!$H$2:$H$1944)</f>
        <v/>
      </c>
    </row>
    <row r="9">
      <c r="A9" s="30" t="n"/>
      <c r="B9" s="30" t="n"/>
      <c r="C9" s="31">
        <f>IFERROR(C8/$B$8*100,"")</f>
        <v/>
      </c>
      <c r="D9" s="31">
        <f>IFERROR(D8/$B$8*100,"")</f>
        <v/>
      </c>
      <c r="E9" s="31">
        <f>IFERROR(E8/$B$8*100,"")</f>
        <v/>
      </c>
      <c r="F9" s="31">
        <f>IFERROR(F8/$B$8*100,"")</f>
        <v/>
      </c>
      <c r="G9" s="31">
        <f>IFERROR(G8/$B$8*100,"")</f>
        <v/>
      </c>
      <c r="H9" s="31">
        <f>IFERROR(H8/$B$8*100,"")</f>
        <v/>
      </c>
    </row>
    <row r="10">
      <c r="A10" s="16" t="n">
        <v>2012</v>
      </c>
      <c r="B10" s="11">
        <f>SUMPRODUCT((YEAR('Doğrudan Alım İşlemleri'!$B$2:$B$1944)=$A$10)*('Doğrudan Alım İşlemleri'!$H$2:$H$1944&lt;&gt;"")*'Doğrudan Alım İşlemleri'!$H$2:$H$1944)</f>
        <v/>
      </c>
      <c r="C10" s="11">
        <f>SUMPRODUCT((YEAR('Doğrudan Alım İşlemleri'!$B$2:$B$1944)=$A$10)*(('Doğrudan Alım İşlemleri'!$E$2:$E$1944-'Doğrudan Alım İşlemleri'!$D$2:$D$1944)&gt;=0)*(('Doğrudan Alım İşlemleri'!$E$2:$E$1944-'Doğrudan Alım İşlemleri'!$D$2:$D$1944)&lt;=365)*('Doğrudan Alım İşlemleri'!$H$2:$H$1944&lt;&gt;"")*'Doğrudan Alım İşlemleri'!$H$2:$H$1944)</f>
        <v/>
      </c>
      <c r="D10" s="11">
        <f>SUMPRODUCT((YEAR('Doğrudan Alım İşlemleri'!$B$2:$B$1944)=$A$10)*(('Doğrudan Alım İşlemleri'!$E$2:$E$1944-'Doğrudan Alım İşlemleri'!$D$2:$D$1944)&gt;=366)*(('Doğrudan Alım İşlemleri'!$E$2:$E$1944-'Doğrudan Alım İşlemleri'!$D$2:$D$1944)&lt;=730)*('Doğrudan Alım İşlemleri'!$H$2:$H$1944&lt;&gt;"")*'Doğrudan Alım İşlemleri'!$H$2:$H$1944)</f>
        <v/>
      </c>
      <c r="E10" s="11">
        <f>SUMPRODUCT((YEAR('Doğrudan Alım İşlemleri'!$B$2:$B$1944)=$A$10)*(('Doğrudan Alım İşlemleri'!$E$2:$E$1944-'Doğrudan Alım İşlemleri'!$D$2:$D$1944)&gt;=731)*(('Doğrudan Alım İşlemleri'!$E$2:$E$1944-'Doğrudan Alım İşlemleri'!$D$2:$D$1944)&lt;=1095)*('Doğrudan Alım İşlemleri'!$H$2:$H$1944&lt;&gt;"")*'Doğrudan Alım İşlemleri'!$H$2:$H$1944)</f>
        <v/>
      </c>
      <c r="F10" s="11">
        <f>SUMPRODUCT((YEAR('Doğrudan Alım İşlemleri'!$B$2:$B$1944)=$A$10)*(('Doğrudan Alım İşlemleri'!$E$2:$E$1944-'Doğrudan Alım İşlemleri'!$D$2:$D$1944)&gt;=1096)*(('Doğrudan Alım İşlemleri'!$E$2:$E$1944-'Doğrudan Alım İşlemleri'!$D$2:$D$1944)&lt;=1825)*('Doğrudan Alım İşlemleri'!$H$2:$H$1944&lt;&gt;"")*'Doğrudan Alım İşlemleri'!$H$2:$H$1944)</f>
        <v/>
      </c>
      <c r="G10" s="11">
        <f>SUMPRODUCT((YEAR('Doğrudan Alım İşlemleri'!$B$2:$B$1944)=$A$10)*(('Doğrudan Alım İşlemleri'!$E$2:$E$1944-'Doğrudan Alım İşlemleri'!$D$2:$D$1944)&gt;=1826)*(('Doğrudan Alım İşlemleri'!$E$2:$E$1944-'Doğrudan Alım İşlemleri'!$D$2:$D$1944)&lt;=2555)*('Doğrudan Alım İşlemleri'!$H$2:$H$1944&lt;&gt;"")*'Doğrudan Alım İşlemleri'!$H$2:$H$1944)</f>
        <v/>
      </c>
      <c r="H10" s="11">
        <f>SUMPRODUCT((YEAR('Doğrudan Alım İşlemleri'!$B$2:$B$1944)=$A$10)*(('Doğrudan Alım İşlemleri'!$E$2:$E$1944-'Doğrudan Alım İşlemleri'!$D$2:$D$1944)&gt;=2556)*('Doğrudan Alım İşlemleri'!$H$2:$H$1944&lt;&gt;"")*'Doğrudan Alım İşlemleri'!$H$2:$H$1944)</f>
        <v/>
      </c>
    </row>
    <row r="11">
      <c r="A11" s="32" t="n"/>
      <c r="B11" s="32" t="n"/>
      <c r="C11" s="33">
        <f>IFERROR(C10/$B$10*100,"")</f>
        <v/>
      </c>
      <c r="D11" s="33">
        <f>IFERROR(D10/$B$10*100,"")</f>
        <v/>
      </c>
      <c r="E11" s="33">
        <f>IFERROR(E10/$B$10*100,"")</f>
        <v/>
      </c>
      <c r="F11" s="33">
        <f>IFERROR(F10/$B$10*100,"")</f>
        <v/>
      </c>
      <c r="G11" s="33">
        <f>IFERROR(G10/$B$10*100,"")</f>
        <v/>
      </c>
      <c r="H11" s="33">
        <f>IFERROR(H10/$B$10*100,"")</f>
        <v/>
      </c>
    </row>
    <row r="12">
      <c r="A12" s="15" t="n">
        <v>2013</v>
      </c>
      <c r="B12" s="8">
        <f>SUMPRODUCT((YEAR('Doğrudan Alım İşlemleri'!$B$2:$B$1944)=$A$12)*('Doğrudan Alım İşlemleri'!$H$2:$H$1944&lt;&gt;"")*'Doğrudan Alım İşlemleri'!$H$2:$H$1944)</f>
        <v/>
      </c>
      <c r="C12" s="8">
        <f>SUMPRODUCT((YEAR('Doğrudan Alım İşlemleri'!$B$2:$B$1944)=$A$12)*(('Doğrudan Alım İşlemleri'!$E$2:$E$1944-'Doğrudan Alım İşlemleri'!$D$2:$D$1944)&gt;=0)*(('Doğrudan Alım İşlemleri'!$E$2:$E$1944-'Doğrudan Alım İşlemleri'!$D$2:$D$1944)&lt;=365)*('Doğrudan Alım İşlemleri'!$H$2:$H$1944&lt;&gt;"")*'Doğrudan Alım İşlemleri'!$H$2:$H$1944)</f>
        <v/>
      </c>
      <c r="D12" s="8">
        <f>SUMPRODUCT((YEAR('Doğrudan Alım İşlemleri'!$B$2:$B$1944)=$A$12)*(('Doğrudan Alım İşlemleri'!$E$2:$E$1944-'Doğrudan Alım İşlemleri'!$D$2:$D$1944)&gt;=366)*(('Doğrudan Alım İşlemleri'!$E$2:$E$1944-'Doğrudan Alım İşlemleri'!$D$2:$D$1944)&lt;=730)*('Doğrudan Alım İşlemleri'!$H$2:$H$1944&lt;&gt;"")*'Doğrudan Alım İşlemleri'!$H$2:$H$1944)</f>
        <v/>
      </c>
      <c r="E12" s="8">
        <f>SUMPRODUCT((YEAR('Doğrudan Alım İşlemleri'!$B$2:$B$1944)=$A$12)*(('Doğrudan Alım İşlemleri'!$E$2:$E$1944-'Doğrudan Alım İşlemleri'!$D$2:$D$1944)&gt;=731)*(('Doğrudan Alım İşlemleri'!$E$2:$E$1944-'Doğrudan Alım İşlemleri'!$D$2:$D$1944)&lt;=1095)*('Doğrudan Alım İşlemleri'!$H$2:$H$1944&lt;&gt;"")*'Doğrudan Alım İşlemleri'!$H$2:$H$1944)</f>
        <v/>
      </c>
      <c r="F12" s="8">
        <f>SUMPRODUCT((YEAR('Doğrudan Alım İşlemleri'!$B$2:$B$1944)=$A$12)*(('Doğrudan Alım İşlemleri'!$E$2:$E$1944-'Doğrudan Alım İşlemleri'!$D$2:$D$1944)&gt;=1096)*(('Doğrudan Alım İşlemleri'!$E$2:$E$1944-'Doğrudan Alım İşlemleri'!$D$2:$D$1944)&lt;=1825)*('Doğrudan Alım İşlemleri'!$H$2:$H$1944&lt;&gt;"")*'Doğrudan Alım İşlemleri'!$H$2:$H$1944)</f>
        <v/>
      </c>
      <c r="G12" s="8">
        <f>SUMPRODUCT((YEAR('Doğrudan Alım İşlemleri'!$B$2:$B$1944)=$A$12)*(('Doğrudan Alım İşlemleri'!$E$2:$E$1944-'Doğrudan Alım İşlemleri'!$D$2:$D$1944)&gt;=1826)*(('Doğrudan Alım İşlemleri'!$E$2:$E$1944-'Doğrudan Alım İşlemleri'!$D$2:$D$1944)&lt;=2555)*('Doğrudan Alım İşlemleri'!$H$2:$H$1944&lt;&gt;"")*'Doğrudan Alım İşlemleri'!$H$2:$H$1944)</f>
        <v/>
      </c>
      <c r="H12" s="8">
        <f>SUMPRODUCT((YEAR('Doğrudan Alım İşlemleri'!$B$2:$B$1944)=$A$12)*(('Doğrudan Alım İşlemleri'!$E$2:$E$1944-'Doğrudan Alım İşlemleri'!$D$2:$D$1944)&gt;=2556)*('Doğrudan Alım İşlemleri'!$H$2:$H$1944&lt;&gt;"")*'Doğrudan Alım İşlemleri'!$H$2:$H$1944)</f>
        <v/>
      </c>
    </row>
    <row r="13">
      <c r="A13" s="30" t="n"/>
      <c r="B13" s="30" t="n"/>
      <c r="C13" s="31">
        <f>IFERROR(C12/$B$12*100,"")</f>
        <v/>
      </c>
      <c r="D13" s="31">
        <f>IFERROR(D12/$B$12*100,"")</f>
        <v/>
      </c>
      <c r="E13" s="31">
        <f>IFERROR(E12/$B$12*100,"")</f>
        <v/>
      </c>
      <c r="F13" s="31">
        <f>IFERROR(F12/$B$12*100,"")</f>
        <v/>
      </c>
      <c r="G13" s="31">
        <f>IFERROR(G12/$B$12*100,"")</f>
        <v/>
      </c>
      <c r="H13" s="31">
        <f>IFERROR(H12/$B$12*100,"")</f>
        <v/>
      </c>
    </row>
    <row r="14">
      <c r="A14" s="16" t="n">
        <v>2014</v>
      </c>
      <c r="B14" s="11">
        <f>SUMPRODUCT((YEAR('Doğrudan Alım İşlemleri'!$B$2:$B$1944)=$A$14)*('Doğrudan Alım İşlemleri'!$H$2:$H$1944&lt;&gt;"")*'Doğrudan Alım İşlemleri'!$H$2:$H$1944)</f>
        <v/>
      </c>
      <c r="C14" s="11">
        <f>SUMPRODUCT((YEAR('Doğrudan Alım İşlemleri'!$B$2:$B$1944)=$A$14)*(('Doğrudan Alım İşlemleri'!$E$2:$E$1944-'Doğrudan Alım İşlemleri'!$D$2:$D$1944)&gt;=0)*(('Doğrudan Alım İşlemleri'!$E$2:$E$1944-'Doğrudan Alım İşlemleri'!$D$2:$D$1944)&lt;=365)*('Doğrudan Alım İşlemleri'!$H$2:$H$1944&lt;&gt;"")*'Doğrudan Alım İşlemleri'!$H$2:$H$1944)</f>
        <v/>
      </c>
      <c r="D14" s="11">
        <f>SUMPRODUCT((YEAR('Doğrudan Alım İşlemleri'!$B$2:$B$1944)=$A$14)*(('Doğrudan Alım İşlemleri'!$E$2:$E$1944-'Doğrudan Alım İşlemleri'!$D$2:$D$1944)&gt;=366)*(('Doğrudan Alım İşlemleri'!$E$2:$E$1944-'Doğrudan Alım İşlemleri'!$D$2:$D$1944)&lt;=730)*('Doğrudan Alım İşlemleri'!$H$2:$H$1944&lt;&gt;"")*'Doğrudan Alım İşlemleri'!$H$2:$H$1944)</f>
        <v/>
      </c>
      <c r="E14" s="11">
        <f>SUMPRODUCT((YEAR('Doğrudan Alım İşlemleri'!$B$2:$B$1944)=$A$14)*(('Doğrudan Alım İşlemleri'!$E$2:$E$1944-'Doğrudan Alım İşlemleri'!$D$2:$D$1944)&gt;=731)*(('Doğrudan Alım İşlemleri'!$E$2:$E$1944-'Doğrudan Alım İşlemleri'!$D$2:$D$1944)&lt;=1095)*('Doğrudan Alım İşlemleri'!$H$2:$H$1944&lt;&gt;"")*'Doğrudan Alım İşlemleri'!$H$2:$H$1944)</f>
        <v/>
      </c>
      <c r="F14" s="11">
        <f>SUMPRODUCT((YEAR('Doğrudan Alım İşlemleri'!$B$2:$B$1944)=$A$14)*(('Doğrudan Alım İşlemleri'!$E$2:$E$1944-'Doğrudan Alım İşlemleri'!$D$2:$D$1944)&gt;=1096)*(('Doğrudan Alım İşlemleri'!$E$2:$E$1944-'Doğrudan Alım İşlemleri'!$D$2:$D$1944)&lt;=1825)*('Doğrudan Alım İşlemleri'!$H$2:$H$1944&lt;&gt;"")*'Doğrudan Alım İşlemleri'!$H$2:$H$1944)</f>
        <v/>
      </c>
      <c r="G14" s="11">
        <f>SUMPRODUCT((YEAR('Doğrudan Alım İşlemleri'!$B$2:$B$1944)=$A$14)*(('Doğrudan Alım İşlemleri'!$E$2:$E$1944-'Doğrudan Alım İşlemleri'!$D$2:$D$1944)&gt;=1826)*(('Doğrudan Alım İşlemleri'!$E$2:$E$1944-'Doğrudan Alım İşlemleri'!$D$2:$D$1944)&lt;=2555)*('Doğrudan Alım İşlemleri'!$H$2:$H$1944&lt;&gt;"")*'Doğrudan Alım İşlemleri'!$H$2:$H$1944)</f>
        <v/>
      </c>
      <c r="H14" s="11">
        <f>SUMPRODUCT((YEAR('Doğrudan Alım İşlemleri'!$B$2:$B$1944)=$A$14)*(('Doğrudan Alım İşlemleri'!$E$2:$E$1944-'Doğrudan Alım İşlemleri'!$D$2:$D$1944)&gt;=2556)*('Doğrudan Alım İşlemleri'!$H$2:$H$1944&lt;&gt;"")*'Doğrudan Alım İşlemleri'!$H$2:$H$1944)</f>
        <v/>
      </c>
    </row>
    <row r="15">
      <c r="A15" s="32" t="n"/>
      <c r="B15" s="32" t="n"/>
      <c r="C15" s="33">
        <f>IFERROR(C14/$B$14*100,"")</f>
        <v/>
      </c>
      <c r="D15" s="33">
        <f>IFERROR(D14/$B$14*100,"")</f>
        <v/>
      </c>
      <c r="E15" s="33">
        <f>IFERROR(E14/$B$14*100,"")</f>
        <v/>
      </c>
      <c r="F15" s="33">
        <f>IFERROR(F14/$B$14*100,"")</f>
        <v/>
      </c>
      <c r="G15" s="33">
        <f>IFERROR(G14/$B$14*100,"")</f>
        <v/>
      </c>
      <c r="H15" s="33">
        <f>IFERROR(H14/$B$14*100,"")</f>
        <v/>
      </c>
    </row>
    <row r="16">
      <c r="A16" s="15" t="n">
        <v>2015</v>
      </c>
      <c r="B16" s="8">
        <f>SUMPRODUCT((YEAR('Doğrudan Alım İşlemleri'!$B$2:$B$1944)=$A$16)*('Doğrudan Alım İşlemleri'!$H$2:$H$1944&lt;&gt;"")*'Doğrudan Alım İşlemleri'!$H$2:$H$1944)</f>
        <v/>
      </c>
      <c r="C16" s="8">
        <f>SUMPRODUCT((YEAR('Doğrudan Alım İşlemleri'!$B$2:$B$1944)=$A$16)*(('Doğrudan Alım İşlemleri'!$E$2:$E$1944-'Doğrudan Alım İşlemleri'!$D$2:$D$1944)&gt;=0)*(('Doğrudan Alım İşlemleri'!$E$2:$E$1944-'Doğrudan Alım İşlemleri'!$D$2:$D$1944)&lt;=365)*('Doğrudan Alım İşlemleri'!$H$2:$H$1944&lt;&gt;"")*'Doğrudan Alım İşlemleri'!$H$2:$H$1944)</f>
        <v/>
      </c>
      <c r="D16" s="8">
        <f>SUMPRODUCT((YEAR('Doğrudan Alım İşlemleri'!$B$2:$B$1944)=$A$16)*(('Doğrudan Alım İşlemleri'!$E$2:$E$1944-'Doğrudan Alım İşlemleri'!$D$2:$D$1944)&gt;=366)*(('Doğrudan Alım İşlemleri'!$E$2:$E$1944-'Doğrudan Alım İşlemleri'!$D$2:$D$1944)&lt;=730)*('Doğrudan Alım İşlemleri'!$H$2:$H$1944&lt;&gt;"")*'Doğrudan Alım İşlemleri'!$H$2:$H$1944)</f>
        <v/>
      </c>
      <c r="E16" s="8">
        <f>SUMPRODUCT((YEAR('Doğrudan Alım İşlemleri'!$B$2:$B$1944)=$A$16)*(('Doğrudan Alım İşlemleri'!$E$2:$E$1944-'Doğrudan Alım İşlemleri'!$D$2:$D$1944)&gt;=731)*(('Doğrudan Alım İşlemleri'!$E$2:$E$1944-'Doğrudan Alım İşlemleri'!$D$2:$D$1944)&lt;=1095)*('Doğrudan Alım İşlemleri'!$H$2:$H$1944&lt;&gt;"")*'Doğrudan Alım İşlemleri'!$H$2:$H$1944)</f>
        <v/>
      </c>
      <c r="F16" s="8">
        <f>SUMPRODUCT((YEAR('Doğrudan Alım İşlemleri'!$B$2:$B$1944)=$A$16)*(('Doğrudan Alım İşlemleri'!$E$2:$E$1944-'Doğrudan Alım İşlemleri'!$D$2:$D$1944)&gt;=1096)*(('Doğrudan Alım İşlemleri'!$E$2:$E$1944-'Doğrudan Alım İşlemleri'!$D$2:$D$1944)&lt;=1825)*('Doğrudan Alım İşlemleri'!$H$2:$H$1944&lt;&gt;"")*'Doğrudan Alım İşlemleri'!$H$2:$H$1944)</f>
        <v/>
      </c>
      <c r="G16" s="8">
        <f>SUMPRODUCT((YEAR('Doğrudan Alım İşlemleri'!$B$2:$B$1944)=$A$16)*(('Doğrudan Alım İşlemleri'!$E$2:$E$1944-'Doğrudan Alım İşlemleri'!$D$2:$D$1944)&gt;=1826)*(('Doğrudan Alım İşlemleri'!$E$2:$E$1944-'Doğrudan Alım İşlemleri'!$D$2:$D$1944)&lt;=2555)*('Doğrudan Alım İşlemleri'!$H$2:$H$1944&lt;&gt;"")*'Doğrudan Alım İşlemleri'!$H$2:$H$1944)</f>
        <v/>
      </c>
      <c r="H16" s="8">
        <f>SUMPRODUCT((YEAR('Doğrudan Alım İşlemleri'!$B$2:$B$1944)=$A$16)*(('Doğrudan Alım İşlemleri'!$E$2:$E$1944-'Doğrudan Alım İşlemleri'!$D$2:$D$1944)&gt;=2556)*('Doğrudan Alım İşlemleri'!$H$2:$H$1944&lt;&gt;"")*'Doğrudan Alım İşlemleri'!$H$2:$H$1944)</f>
        <v/>
      </c>
    </row>
    <row r="17">
      <c r="A17" s="30" t="n"/>
      <c r="B17" s="30" t="n"/>
      <c r="C17" s="31">
        <f>IFERROR(C16/$B$16*100,"")</f>
        <v/>
      </c>
      <c r="D17" s="31">
        <f>IFERROR(D16/$B$16*100,"")</f>
        <v/>
      </c>
      <c r="E17" s="31">
        <f>IFERROR(E16/$B$16*100,"")</f>
        <v/>
      </c>
      <c r="F17" s="31">
        <f>IFERROR(F16/$B$16*100,"")</f>
        <v/>
      </c>
      <c r="G17" s="31">
        <f>IFERROR(G16/$B$16*100,"")</f>
        <v/>
      </c>
      <c r="H17" s="31">
        <f>IFERROR(H16/$B$16*100,"")</f>
        <v/>
      </c>
    </row>
    <row r="18">
      <c r="A18" s="16" t="n">
        <v>2016</v>
      </c>
      <c r="B18" s="11">
        <f>SUMPRODUCT((YEAR('Doğrudan Alım İşlemleri'!$B$2:$B$1944)=$A$18)*('Doğrudan Alım İşlemleri'!$H$2:$H$1944&lt;&gt;"")*'Doğrudan Alım İşlemleri'!$H$2:$H$1944)</f>
        <v/>
      </c>
      <c r="C18" s="11">
        <f>SUMPRODUCT((YEAR('Doğrudan Alım İşlemleri'!$B$2:$B$1944)=$A$18)*(('Doğrudan Alım İşlemleri'!$E$2:$E$1944-'Doğrudan Alım İşlemleri'!$D$2:$D$1944)&gt;=0)*(('Doğrudan Alım İşlemleri'!$E$2:$E$1944-'Doğrudan Alım İşlemleri'!$D$2:$D$1944)&lt;=365)*('Doğrudan Alım İşlemleri'!$H$2:$H$1944&lt;&gt;"")*'Doğrudan Alım İşlemleri'!$H$2:$H$1944)</f>
        <v/>
      </c>
      <c r="D18" s="11">
        <f>SUMPRODUCT((YEAR('Doğrudan Alım İşlemleri'!$B$2:$B$1944)=$A$18)*(('Doğrudan Alım İşlemleri'!$E$2:$E$1944-'Doğrudan Alım İşlemleri'!$D$2:$D$1944)&gt;=366)*(('Doğrudan Alım İşlemleri'!$E$2:$E$1944-'Doğrudan Alım İşlemleri'!$D$2:$D$1944)&lt;=730)*('Doğrudan Alım İşlemleri'!$H$2:$H$1944&lt;&gt;"")*'Doğrudan Alım İşlemleri'!$H$2:$H$1944)</f>
        <v/>
      </c>
      <c r="E18" s="11">
        <f>SUMPRODUCT((YEAR('Doğrudan Alım İşlemleri'!$B$2:$B$1944)=$A$18)*(('Doğrudan Alım İşlemleri'!$E$2:$E$1944-'Doğrudan Alım İşlemleri'!$D$2:$D$1944)&gt;=731)*(('Doğrudan Alım İşlemleri'!$E$2:$E$1944-'Doğrudan Alım İşlemleri'!$D$2:$D$1944)&lt;=1095)*('Doğrudan Alım İşlemleri'!$H$2:$H$1944&lt;&gt;"")*'Doğrudan Alım İşlemleri'!$H$2:$H$1944)</f>
        <v/>
      </c>
      <c r="F18" s="11">
        <f>SUMPRODUCT((YEAR('Doğrudan Alım İşlemleri'!$B$2:$B$1944)=$A$18)*(('Doğrudan Alım İşlemleri'!$E$2:$E$1944-'Doğrudan Alım İşlemleri'!$D$2:$D$1944)&gt;=1096)*(('Doğrudan Alım İşlemleri'!$E$2:$E$1944-'Doğrudan Alım İşlemleri'!$D$2:$D$1944)&lt;=1825)*('Doğrudan Alım İşlemleri'!$H$2:$H$1944&lt;&gt;"")*'Doğrudan Alım İşlemleri'!$H$2:$H$1944)</f>
        <v/>
      </c>
      <c r="G18" s="11">
        <f>SUMPRODUCT((YEAR('Doğrudan Alım İşlemleri'!$B$2:$B$1944)=$A$18)*(('Doğrudan Alım İşlemleri'!$E$2:$E$1944-'Doğrudan Alım İşlemleri'!$D$2:$D$1944)&gt;=1826)*(('Doğrudan Alım İşlemleri'!$E$2:$E$1944-'Doğrudan Alım İşlemleri'!$D$2:$D$1944)&lt;=2555)*('Doğrudan Alım İşlemleri'!$H$2:$H$1944&lt;&gt;"")*'Doğrudan Alım İşlemleri'!$H$2:$H$1944)</f>
        <v/>
      </c>
      <c r="H18" s="11">
        <f>SUMPRODUCT((YEAR('Doğrudan Alım İşlemleri'!$B$2:$B$1944)=$A$18)*(('Doğrudan Alım İşlemleri'!$E$2:$E$1944-'Doğrudan Alım İşlemleri'!$D$2:$D$1944)&gt;=2556)*('Doğrudan Alım İşlemleri'!$H$2:$H$1944&lt;&gt;"")*'Doğrudan Alım İşlemleri'!$H$2:$H$1944)</f>
        <v/>
      </c>
    </row>
    <row r="19">
      <c r="A19" s="32" t="n"/>
      <c r="B19" s="32" t="n"/>
      <c r="C19" s="33">
        <f>IFERROR(C18/$B$18*100,"")</f>
        <v/>
      </c>
      <c r="D19" s="33">
        <f>IFERROR(D18/$B$18*100,"")</f>
        <v/>
      </c>
      <c r="E19" s="33">
        <f>IFERROR(E18/$B$18*100,"")</f>
        <v/>
      </c>
      <c r="F19" s="33">
        <f>IFERROR(F18/$B$18*100,"")</f>
        <v/>
      </c>
      <c r="G19" s="33">
        <f>IFERROR(G18/$B$18*100,"")</f>
        <v/>
      </c>
      <c r="H19" s="33">
        <f>IFERROR(H18/$B$18*100,"")</f>
        <v/>
      </c>
    </row>
    <row r="20">
      <c r="A20" s="15" t="n">
        <v>2017</v>
      </c>
      <c r="B20" s="8">
        <f>SUMPRODUCT((YEAR('Doğrudan Alım İşlemleri'!$B$2:$B$1944)=$A$20)*('Doğrudan Alım İşlemleri'!$H$2:$H$1944&lt;&gt;"")*'Doğrudan Alım İşlemleri'!$H$2:$H$1944)</f>
        <v/>
      </c>
      <c r="C20" s="8">
        <f>SUMPRODUCT((YEAR('Doğrudan Alım İşlemleri'!$B$2:$B$1944)=$A$20)*(('Doğrudan Alım İşlemleri'!$E$2:$E$1944-'Doğrudan Alım İşlemleri'!$D$2:$D$1944)&gt;=0)*(('Doğrudan Alım İşlemleri'!$E$2:$E$1944-'Doğrudan Alım İşlemleri'!$D$2:$D$1944)&lt;=365)*('Doğrudan Alım İşlemleri'!$H$2:$H$1944&lt;&gt;"")*'Doğrudan Alım İşlemleri'!$H$2:$H$1944)</f>
        <v/>
      </c>
      <c r="D20" s="8">
        <f>SUMPRODUCT((YEAR('Doğrudan Alım İşlemleri'!$B$2:$B$1944)=$A$20)*(('Doğrudan Alım İşlemleri'!$E$2:$E$1944-'Doğrudan Alım İşlemleri'!$D$2:$D$1944)&gt;=366)*(('Doğrudan Alım İşlemleri'!$E$2:$E$1944-'Doğrudan Alım İşlemleri'!$D$2:$D$1944)&lt;=730)*('Doğrudan Alım İşlemleri'!$H$2:$H$1944&lt;&gt;"")*'Doğrudan Alım İşlemleri'!$H$2:$H$1944)</f>
        <v/>
      </c>
      <c r="E20" s="8">
        <f>SUMPRODUCT((YEAR('Doğrudan Alım İşlemleri'!$B$2:$B$1944)=$A$20)*(('Doğrudan Alım İşlemleri'!$E$2:$E$1944-'Doğrudan Alım İşlemleri'!$D$2:$D$1944)&gt;=731)*(('Doğrudan Alım İşlemleri'!$E$2:$E$1944-'Doğrudan Alım İşlemleri'!$D$2:$D$1944)&lt;=1095)*('Doğrudan Alım İşlemleri'!$H$2:$H$1944&lt;&gt;"")*'Doğrudan Alım İşlemleri'!$H$2:$H$1944)</f>
        <v/>
      </c>
      <c r="F20" s="8">
        <f>SUMPRODUCT((YEAR('Doğrudan Alım İşlemleri'!$B$2:$B$1944)=$A$20)*(('Doğrudan Alım İşlemleri'!$E$2:$E$1944-'Doğrudan Alım İşlemleri'!$D$2:$D$1944)&gt;=1096)*(('Doğrudan Alım İşlemleri'!$E$2:$E$1944-'Doğrudan Alım İşlemleri'!$D$2:$D$1944)&lt;=1825)*('Doğrudan Alım İşlemleri'!$H$2:$H$1944&lt;&gt;"")*'Doğrudan Alım İşlemleri'!$H$2:$H$1944)</f>
        <v/>
      </c>
      <c r="G20" s="8">
        <f>SUMPRODUCT((YEAR('Doğrudan Alım İşlemleri'!$B$2:$B$1944)=$A$20)*(('Doğrudan Alım İşlemleri'!$E$2:$E$1944-'Doğrudan Alım İşlemleri'!$D$2:$D$1944)&gt;=1826)*(('Doğrudan Alım İşlemleri'!$E$2:$E$1944-'Doğrudan Alım İşlemleri'!$D$2:$D$1944)&lt;=2555)*('Doğrudan Alım İşlemleri'!$H$2:$H$1944&lt;&gt;"")*'Doğrudan Alım İşlemleri'!$H$2:$H$1944)</f>
        <v/>
      </c>
      <c r="H20" s="8">
        <f>SUMPRODUCT((YEAR('Doğrudan Alım İşlemleri'!$B$2:$B$1944)=$A$20)*(('Doğrudan Alım İşlemleri'!$E$2:$E$1944-'Doğrudan Alım İşlemleri'!$D$2:$D$1944)&gt;=2556)*('Doğrudan Alım İşlemleri'!$H$2:$H$1944&lt;&gt;"")*'Doğrudan Alım İşlemleri'!$H$2:$H$1944)</f>
        <v/>
      </c>
    </row>
    <row r="21">
      <c r="A21" s="30" t="n"/>
      <c r="B21" s="30" t="n"/>
      <c r="C21" s="31">
        <f>IFERROR(C20/$B$20*100,"")</f>
        <v/>
      </c>
      <c r="D21" s="31">
        <f>IFERROR(D20/$B$20*100,"")</f>
        <v/>
      </c>
      <c r="E21" s="31">
        <f>IFERROR(E20/$B$20*100,"")</f>
        <v/>
      </c>
      <c r="F21" s="31">
        <f>IFERROR(F20/$B$20*100,"")</f>
        <v/>
      </c>
      <c r="G21" s="31">
        <f>IFERROR(G20/$B$20*100,"")</f>
        <v/>
      </c>
      <c r="H21" s="31">
        <f>IFERROR(H20/$B$20*100,"")</f>
        <v/>
      </c>
    </row>
    <row r="22">
      <c r="A22" s="16" t="n">
        <v>2018</v>
      </c>
      <c r="B22" s="11">
        <f>SUMPRODUCT((YEAR('Doğrudan Alım İşlemleri'!$B$2:$B$1944)=$A$22)*('Doğrudan Alım İşlemleri'!$H$2:$H$1944&lt;&gt;"")*'Doğrudan Alım İşlemleri'!$H$2:$H$1944)</f>
        <v/>
      </c>
      <c r="C22" s="11">
        <f>SUMPRODUCT((YEAR('Doğrudan Alım İşlemleri'!$B$2:$B$1944)=$A$22)*(('Doğrudan Alım İşlemleri'!$E$2:$E$1944-'Doğrudan Alım İşlemleri'!$D$2:$D$1944)&gt;=0)*(('Doğrudan Alım İşlemleri'!$E$2:$E$1944-'Doğrudan Alım İşlemleri'!$D$2:$D$1944)&lt;=365)*('Doğrudan Alım İşlemleri'!$H$2:$H$1944&lt;&gt;"")*'Doğrudan Alım İşlemleri'!$H$2:$H$1944)</f>
        <v/>
      </c>
      <c r="D22" s="11">
        <f>SUMPRODUCT((YEAR('Doğrudan Alım İşlemleri'!$B$2:$B$1944)=$A$22)*(('Doğrudan Alım İşlemleri'!$E$2:$E$1944-'Doğrudan Alım İşlemleri'!$D$2:$D$1944)&gt;=366)*(('Doğrudan Alım İşlemleri'!$E$2:$E$1944-'Doğrudan Alım İşlemleri'!$D$2:$D$1944)&lt;=730)*('Doğrudan Alım İşlemleri'!$H$2:$H$1944&lt;&gt;"")*'Doğrudan Alım İşlemleri'!$H$2:$H$1944)</f>
        <v/>
      </c>
      <c r="E22" s="11">
        <f>SUMPRODUCT((YEAR('Doğrudan Alım İşlemleri'!$B$2:$B$1944)=$A$22)*(('Doğrudan Alım İşlemleri'!$E$2:$E$1944-'Doğrudan Alım İşlemleri'!$D$2:$D$1944)&gt;=731)*(('Doğrudan Alım İşlemleri'!$E$2:$E$1944-'Doğrudan Alım İşlemleri'!$D$2:$D$1944)&lt;=1095)*('Doğrudan Alım İşlemleri'!$H$2:$H$1944&lt;&gt;"")*'Doğrudan Alım İşlemleri'!$H$2:$H$1944)</f>
        <v/>
      </c>
      <c r="F22" s="11">
        <f>SUMPRODUCT((YEAR('Doğrudan Alım İşlemleri'!$B$2:$B$1944)=$A$22)*(('Doğrudan Alım İşlemleri'!$E$2:$E$1944-'Doğrudan Alım İşlemleri'!$D$2:$D$1944)&gt;=1096)*(('Doğrudan Alım İşlemleri'!$E$2:$E$1944-'Doğrudan Alım İşlemleri'!$D$2:$D$1944)&lt;=1825)*('Doğrudan Alım İşlemleri'!$H$2:$H$1944&lt;&gt;"")*'Doğrudan Alım İşlemleri'!$H$2:$H$1944)</f>
        <v/>
      </c>
      <c r="G22" s="11">
        <f>SUMPRODUCT((YEAR('Doğrudan Alım İşlemleri'!$B$2:$B$1944)=$A$22)*(('Doğrudan Alım İşlemleri'!$E$2:$E$1944-'Doğrudan Alım İşlemleri'!$D$2:$D$1944)&gt;=1826)*(('Doğrudan Alım İşlemleri'!$E$2:$E$1944-'Doğrudan Alım İşlemleri'!$D$2:$D$1944)&lt;=2555)*('Doğrudan Alım İşlemleri'!$H$2:$H$1944&lt;&gt;"")*'Doğrudan Alım İşlemleri'!$H$2:$H$1944)</f>
        <v/>
      </c>
      <c r="H22" s="11">
        <f>SUMPRODUCT((YEAR('Doğrudan Alım İşlemleri'!$B$2:$B$1944)=$A$22)*(('Doğrudan Alım İşlemleri'!$E$2:$E$1944-'Doğrudan Alım İşlemleri'!$D$2:$D$1944)&gt;=2556)*('Doğrudan Alım İşlemleri'!$H$2:$H$1944&lt;&gt;"")*'Doğrudan Alım İşlemleri'!$H$2:$H$1944)</f>
        <v/>
      </c>
    </row>
    <row r="23">
      <c r="A23" s="32" t="n"/>
      <c r="B23" s="32" t="n"/>
      <c r="C23" s="33">
        <f>IFERROR(C22/$B$22*100,"")</f>
        <v/>
      </c>
      <c r="D23" s="33">
        <f>IFERROR(D22/$B$22*100,"")</f>
        <v/>
      </c>
      <c r="E23" s="33">
        <f>IFERROR(E22/$B$22*100,"")</f>
        <v/>
      </c>
      <c r="F23" s="33">
        <f>IFERROR(F22/$B$22*100,"")</f>
        <v/>
      </c>
      <c r="G23" s="33">
        <f>IFERROR(G22/$B$22*100,"")</f>
        <v/>
      </c>
      <c r="H23" s="33">
        <f>IFERROR(H22/$B$22*100,"")</f>
        <v/>
      </c>
    </row>
    <row r="24">
      <c r="A24" s="15" t="n">
        <v>2019</v>
      </c>
      <c r="B24" s="8">
        <f>SUMPRODUCT((YEAR('Doğrudan Alım İşlemleri'!$B$2:$B$1944)=$A$24)*('Doğrudan Alım İşlemleri'!$H$2:$H$1944&lt;&gt;"")*'Doğrudan Alım İşlemleri'!$H$2:$H$1944)</f>
        <v/>
      </c>
      <c r="C24" s="8">
        <f>SUMPRODUCT((YEAR('Doğrudan Alım İşlemleri'!$B$2:$B$1944)=$A$24)*(('Doğrudan Alım İşlemleri'!$E$2:$E$1944-'Doğrudan Alım İşlemleri'!$D$2:$D$1944)&gt;=0)*(('Doğrudan Alım İşlemleri'!$E$2:$E$1944-'Doğrudan Alım İşlemleri'!$D$2:$D$1944)&lt;=365)*('Doğrudan Alım İşlemleri'!$H$2:$H$1944&lt;&gt;"")*'Doğrudan Alım İşlemleri'!$H$2:$H$1944)</f>
        <v/>
      </c>
      <c r="D24" s="8">
        <f>SUMPRODUCT((YEAR('Doğrudan Alım İşlemleri'!$B$2:$B$1944)=$A$24)*(('Doğrudan Alım İşlemleri'!$E$2:$E$1944-'Doğrudan Alım İşlemleri'!$D$2:$D$1944)&gt;=366)*(('Doğrudan Alım İşlemleri'!$E$2:$E$1944-'Doğrudan Alım İşlemleri'!$D$2:$D$1944)&lt;=730)*('Doğrudan Alım İşlemleri'!$H$2:$H$1944&lt;&gt;"")*'Doğrudan Alım İşlemleri'!$H$2:$H$1944)</f>
        <v/>
      </c>
      <c r="E24" s="8">
        <f>SUMPRODUCT((YEAR('Doğrudan Alım İşlemleri'!$B$2:$B$1944)=$A$24)*(('Doğrudan Alım İşlemleri'!$E$2:$E$1944-'Doğrudan Alım İşlemleri'!$D$2:$D$1944)&gt;=731)*(('Doğrudan Alım İşlemleri'!$E$2:$E$1944-'Doğrudan Alım İşlemleri'!$D$2:$D$1944)&lt;=1095)*('Doğrudan Alım İşlemleri'!$H$2:$H$1944&lt;&gt;"")*'Doğrudan Alım İşlemleri'!$H$2:$H$1944)</f>
        <v/>
      </c>
      <c r="F24" s="8">
        <f>SUMPRODUCT((YEAR('Doğrudan Alım İşlemleri'!$B$2:$B$1944)=$A$24)*(('Doğrudan Alım İşlemleri'!$E$2:$E$1944-'Doğrudan Alım İşlemleri'!$D$2:$D$1944)&gt;=1096)*(('Doğrudan Alım İşlemleri'!$E$2:$E$1944-'Doğrudan Alım İşlemleri'!$D$2:$D$1944)&lt;=1825)*('Doğrudan Alım İşlemleri'!$H$2:$H$1944&lt;&gt;"")*'Doğrudan Alım İşlemleri'!$H$2:$H$1944)</f>
        <v/>
      </c>
      <c r="G24" s="8">
        <f>SUMPRODUCT((YEAR('Doğrudan Alım İşlemleri'!$B$2:$B$1944)=$A$24)*(('Doğrudan Alım İşlemleri'!$E$2:$E$1944-'Doğrudan Alım İşlemleri'!$D$2:$D$1944)&gt;=1826)*(('Doğrudan Alım İşlemleri'!$E$2:$E$1944-'Doğrudan Alım İşlemleri'!$D$2:$D$1944)&lt;=2555)*('Doğrudan Alım İşlemleri'!$H$2:$H$1944&lt;&gt;"")*'Doğrudan Alım İşlemleri'!$H$2:$H$1944)</f>
        <v/>
      </c>
      <c r="H24" s="8">
        <f>SUMPRODUCT((YEAR('Doğrudan Alım İşlemleri'!$B$2:$B$1944)=$A$24)*(('Doğrudan Alım İşlemleri'!$E$2:$E$1944-'Doğrudan Alım İşlemleri'!$D$2:$D$1944)&gt;=2556)*('Doğrudan Alım İşlemleri'!$H$2:$H$1944&lt;&gt;"")*'Doğrudan Alım İşlemleri'!$H$2:$H$1944)</f>
        <v/>
      </c>
    </row>
    <row r="25">
      <c r="A25" s="30" t="n"/>
      <c r="B25" s="30" t="n"/>
      <c r="C25" s="31">
        <f>IFERROR(C24/$B$24*100,"")</f>
        <v/>
      </c>
      <c r="D25" s="31">
        <f>IFERROR(D24/$B$24*100,"")</f>
        <v/>
      </c>
      <c r="E25" s="31">
        <f>IFERROR(E24/$B$24*100,"")</f>
        <v/>
      </c>
      <c r="F25" s="31">
        <f>IFERROR(F24/$B$24*100,"")</f>
        <v/>
      </c>
      <c r="G25" s="31">
        <f>IFERROR(G24/$B$24*100,"")</f>
        <v/>
      </c>
      <c r="H25" s="31">
        <f>IFERROR(H24/$B$24*100,"")</f>
        <v/>
      </c>
    </row>
    <row r="26">
      <c r="A26" s="16" t="n">
        <v>2020</v>
      </c>
      <c r="B26" s="11">
        <f>SUMPRODUCT((YEAR('Doğrudan Alım İşlemleri'!$B$2:$B$1944)=$A$26)*('Doğrudan Alım İşlemleri'!$H$2:$H$1944&lt;&gt;"")*'Doğrudan Alım İşlemleri'!$H$2:$H$1944)</f>
        <v/>
      </c>
      <c r="C26" s="11">
        <f>SUMPRODUCT((YEAR('Doğrudan Alım İşlemleri'!$B$2:$B$1944)=$A$26)*(('Doğrudan Alım İşlemleri'!$E$2:$E$1944-'Doğrudan Alım İşlemleri'!$D$2:$D$1944)&gt;=0)*(('Doğrudan Alım İşlemleri'!$E$2:$E$1944-'Doğrudan Alım İşlemleri'!$D$2:$D$1944)&lt;=365)*('Doğrudan Alım İşlemleri'!$H$2:$H$1944&lt;&gt;"")*'Doğrudan Alım İşlemleri'!$H$2:$H$1944)</f>
        <v/>
      </c>
      <c r="D26" s="11">
        <f>SUMPRODUCT((YEAR('Doğrudan Alım İşlemleri'!$B$2:$B$1944)=$A$26)*(('Doğrudan Alım İşlemleri'!$E$2:$E$1944-'Doğrudan Alım İşlemleri'!$D$2:$D$1944)&gt;=366)*(('Doğrudan Alım İşlemleri'!$E$2:$E$1944-'Doğrudan Alım İşlemleri'!$D$2:$D$1944)&lt;=730)*('Doğrudan Alım İşlemleri'!$H$2:$H$1944&lt;&gt;"")*'Doğrudan Alım İşlemleri'!$H$2:$H$1944)</f>
        <v/>
      </c>
      <c r="E26" s="11">
        <f>SUMPRODUCT((YEAR('Doğrudan Alım İşlemleri'!$B$2:$B$1944)=$A$26)*(('Doğrudan Alım İşlemleri'!$E$2:$E$1944-'Doğrudan Alım İşlemleri'!$D$2:$D$1944)&gt;=731)*(('Doğrudan Alım İşlemleri'!$E$2:$E$1944-'Doğrudan Alım İşlemleri'!$D$2:$D$1944)&lt;=1095)*('Doğrudan Alım İşlemleri'!$H$2:$H$1944&lt;&gt;"")*'Doğrudan Alım İşlemleri'!$H$2:$H$1944)</f>
        <v/>
      </c>
      <c r="F26" s="11">
        <f>SUMPRODUCT((YEAR('Doğrudan Alım İşlemleri'!$B$2:$B$1944)=$A$26)*(('Doğrudan Alım İşlemleri'!$E$2:$E$1944-'Doğrudan Alım İşlemleri'!$D$2:$D$1944)&gt;=1096)*(('Doğrudan Alım İşlemleri'!$E$2:$E$1944-'Doğrudan Alım İşlemleri'!$D$2:$D$1944)&lt;=1825)*('Doğrudan Alım İşlemleri'!$H$2:$H$1944&lt;&gt;"")*'Doğrudan Alım İşlemleri'!$H$2:$H$1944)</f>
        <v/>
      </c>
      <c r="G26" s="11">
        <f>SUMPRODUCT((YEAR('Doğrudan Alım İşlemleri'!$B$2:$B$1944)=$A$26)*(('Doğrudan Alım İşlemleri'!$E$2:$E$1944-'Doğrudan Alım İşlemleri'!$D$2:$D$1944)&gt;=1826)*(('Doğrudan Alım İşlemleri'!$E$2:$E$1944-'Doğrudan Alım İşlemleri'!$D$2:$D$1944)&lt;=2555)*('Doğrudan Alım İşlemleri'!$H$2:$H$1944&lt;&gt;"")*'Doğrudan Alım İşlemleri'!$H$2:$H$1944)</f>
        <v/>
      </c>
      <c r="H26" s="11">
        <f>SUMPRODUCT((YEAR('Doğrudan Alım İşlemleri'!$B$2:$B$1944)=$A$26)*(('Doğrudan Alım İşlemleri'!$E$2:$E$1944-'Doğrudan Alım İşlemleri'!$D$2:$D$1944)&gt;=2556)*('Doğrudan Alım İşlemleri'!$H$2:$H$1944&lt;&gt;"")*'Doğrudan Alım İşlemleri'!$H$2:$H$1944)</f>
        <v/>
      </c>
    </row>
    <row r="27">
      <c r="A27" s="32" t="n"/>
      <c r="B27" s="32" t="n"/>
      <c r="C27" s="33">
        <f>IFERROR(C26/$B$26*100,"")</f>
        <v/>
      </c>
      <c r="D27" s="33">
        <f>IFERROR(D26/$B$26*100,"")</f>
        <v/>
      </c>
      <c r="E27" s="33">
        <f>IFERROR(E26/$B$26*100,"")</f>
        <v/>
      </c>
      <c r="F27" s="33">
        <f>IFERROR(F26/$B$26*100,"")</f>
        <v/>
      </c>
      <c r="G27" s="33">
        <f>IFERROR(G26/$B$26*100,"")</f>
        <v/>
      </c>
      <c r="H27" s="33">
        <f>IFERROR(H26/$B$26*100,"")</f>
        <v/>
      </c>
    </row>
    <row r="28">
      <c r="A28" s="15" t="n">
        <v>2021</v>
      </c>
      <c r="B28" s="8">
        <f>SUMPRODUCT((YEAR('Doğrudan Alım İşlemleri'!$B$2:$B$1944)=$A$28)*('Doğrudan Alım İşlemleri'!$H$2:$H$1944&lt;&gt;"")*'Doğrudan Alım İşlemleri'!$H$2:$H$1944)</f>
        <v/>
      </c>
      <c r="C28" s="8">
        <f>SUMPRODUCT((YEAR('Doğrudan Alım İşlemleri'!$B$2:$B$1944)=$A$28)*(('Doğrudan Alım İşlemleri'!$E$2:$E$1944-'Doğrudan Alım İşlemleri'!$D$2:$D$1944)&gt;=0)*(('Doğrudan Alım İşlemleri'!$E$2:$E$1944-'Doğrudan Alım İşlemleri'!$D$2:$D$1944)&lt;=365)*('Doğrudan Alım İşlemleri'!$H$2:$H$1944&lt;&gt;"")*'Doğrudan Alım İşlemleri'!$H$2:$H$1944)</f>
        <v/>
      </c>
      <c r="D28" s="8">
        <f>SUMPRODUCT((YEAR('Doğrudan Alım İşlemleri'!$B$2:$B$1944)=$A$28)*(('Doğrudan Alım İşlemleri'!$E$2:$E$1944-'Doğrudan Alım İşlemleri'!$D$2:$D$1944)&gt;=366)*(('Doğrudan Alım İşlemleri'!$E$2:$E$1944-'Doğrudan Alım İşlemleri'!$D$2:$D$1944)&lt;=730)*('Doğrudan Alım İşlemleri'!$H$2:$H$1944&lt;&gt;"")*'Doğrudan Alım İşlemleri'!$H$2:$H$1944)</f>
        <v/>
      </c>
      <c r="E28" s="8">
        <f>SUMPRODUCT((YEAR('Doğrudan Alım İşlemleri'!$B$2:$B$1944)=$A$28)*(('Doğrudan Alım İşlemleri'!$E$2:$E$1944-'Doğrudan Alım İşlemleri'!$D$2:$D$1944)&gt;=731)*(('Doğrudan Alım İşlemleri'!$E$2:$E$1944-'Doğrudan Alım İşlemleri'!$D$2:$D$1944)&lt;=1095)*('Doğrudan Alım İşlemleri'!$H$2:$H$1944&lt;&gt;"")*'Doğrudan Alım İşlemleri'!$H$2:$H$1944)</f>
        <v/>
      </c>
      <c r="F28" s="8">
        <f>SUMPRODUCT((YEAR('Doğrudan Alım İşlemleri'!$B$2:$B$1944)=$A$28)*(('Doğrudan Alım İşlemleri'!$E$2:$E$1944-'Doğrudan Alım İşlemleri'!$D$2:$D$1944)&gt;=1096)*(('Doğrudan Alım İşlemleri'!$E$2:$E$1944-'Doğrudan Alım İşlemleri'!$D$2:$D$1944)&lt;=1825)*('Doğrudan Alım İşlemleri'!$H$2:$H$1944&lt;&gt;"")*'Doğrudan Alım İşlemleri'!$H$2:$H$1944)</f>
        <v/>
      </c>
      <c r="G28" s="8">
        <f>SUMPRODUCT((YEAR('Doğrudan Alım İşlemleri'!$B$2:$B$1944)=$A$28)*(('Doğrudan Alım İşlemleri'!$E$2:$E$1944-'Doğrudan Alım İşlemleri'!$D$2:$D$1944)&gt;=1826)*(('Doğrudan Alım İşlemleri'!$E$2:$E$1944-'Doğrudan Alım İşlemleri'!$D$2:$D$1944)&lt;=2555)*('Doğrudan Alım İşlemleri'!$H$2:$H$1944&lt;&gt;"")*'Doğrudan Alım İşlemleri'!$H$2:$H$1944)</f>
        <v/>
      </c>
      <c r="H28" s="8">
        <f>SUMPRODUCT((YEAR('Doğrudan Alım İşlemleri'!$B$2:$B$1944)=$A$28)*(('Doğrudan Alım İşlemleri'!$E$2:$E$1944-'Doğrudan Alım İşlemleri'!$D$2:$D$1944)&gt;=2556)*('Doğrudan Alım İşlemleri'!$H$2:$H$1944&lt;&gt;"")*'Doğrudan Alım İşlemleri'!$H$2:$H$1944)</f>
        <v/>
      </c>
    </row>
    <row r="29">
      <c r="A29" s="30" t="n"/>
      <c r="B29" s="30" t="n"/>
      <c r="C29" s="31">
        <f>IFERROR(C28/$B$28*100,"")</f>
        <v/>
      </c>
      <c r="D29" s="31">
        <f>IFERROR(D28/$B$28*100,"")</f>
        <v/>
      </c>
      <c r="E29" s="31">
        <f>IFERROR(E28/$B$28*100,"")</f>
        <v/>
      </c>
      <c r="F29" s="31">
        <f>IFERROR(F28/$B$28*100,"")</f>
        <v/>
      </c>
      <c r="G29" s="31">
        <f>IFERROR(G28/$B$28*100,"")</f>
        <v/>
      </c>
      <c r="H29" s="31">
        <f>IFERROR(H28/$B$28*100,"")</f>
        <v/>
      </c>
    </row>
    <row r="30">
      <c r="A30" s="16" t="n">
        <v>2022</v>
      </c>
      <c r="B30" s="11">
        <f>SUMPRODUCT((YEAR('Doğrudan Alım İşlemleri'!$B$2:$B$1944)=$A$30)*('Doğrudan Alım İşlemleri'!$H$2:$H$1944&lt;&gt;"")*'Doğrudan Alım İşlemleri'!$H$2:$H$1944)</f>
        <v/>
      </c>
      <c r="C30" s="11">
        <f>SUMPRODUCT((YEAR('Doğrudan Alım İşlemleri'!$B$2:$B$1944)=$A$30)*(('Doğrudan Alım İşlemleri'!$E$2:$E$1944-'Doğrudan Alım İşlemleri'!$D$2:$D$1944)&gt;=0)*(('Doğrudan Alım İşlemleri'!$E$2:$E$1944-'Doğrudan Alım İşlemleri'!$D$2:$D$1944)&lt;=365)*('Doğrudan Alım İşlemleri'!$H$2:$H$1944&lt;&gt;"")*'Doğrudan Alım İşlemleri'!$H$2:$H$1944)</f>
        <v/>
      </c>
      <c r="D30" s="11">
        <f>SUMPRODUCT((YEAR('Doğrudan Alım İşlemleri'!$B$2:$B$1944)=$A$30)*(('Doğrudan Alım İşlemleri'!$E$2:$E$1944-'Doğrudan Alım İşlemleri'!$D$2:$D$1944)&gt;=366)*(('Doğrudan Alım İşlemleri'!$E$2:$E$1944-'Doğrudan Alım İşlemleri'!$D$2:$D$1944)&lt;=730)*('Doğrudan Alım İşlemleri'!$H$2:$H$1944&lt;&gt;"")*'Doğrudan Alım İşlemleri'!$H$2:$H$1944)</f>
        <v/>
      </c>
      <c r="E30" s="11">
        <f>SUMPRODUCT((YEAR('Doğrudan Alım İşlemleri'!$B$2:$B$1944)=$A$30)*(('Doğrudan Alım İşlemleri'!$E$2:$E$1944-'Doğrudan Alım İşlemleri'!$D$2:$D$1944)&gt;=731)*(('Doğrudan Alım İşlemleri'!$E$2:$E$1944-'Doğrudan Alım İşlemleri'!$D$2:$D$1944)&lt;=1095)*('Doğrudan Alım İşlemleri'!$H$2:$H$1944&lt;&gt;"")*'Doğrudan Alım İşlemleri'!$H$2:$H$1944)</f>
        <v/>
      </c>
      <c r="F30" s="11">
        <f>SUMPRODUCT((YEAR('Doğrudan Alım İşlemleri'!$B$2:$B$1944)=$A$30)*(('Doğrudan Alım İşlemleri'!$E$2:$E$1944-'Doğrudan Alım İşlemleri'!$D$2:$D$1944)&gt;=1096)*(('Doğrudan Alım İşlemleri'!$E$2:$E$1944-'Doğrudan Alım İşlemleri'!$D$2:$D$1944)&lt;=1825)*('Doğrudan Alım İşlemleri'!$H$2:$H$1944&lt;&gt;"")*'Doğrudan Alım İşlemleri'!$H$2:$H$1944)</f>
        <v/>
      </c>
      <c r="G30" s="11">
        <f>SUMPRODUCT((YEAR('Doğrudan Alım İşlemleri'!$B$2:$B$1944)=$A$30)*(('Doğrudan Alım İşlemleri'!$E$2:$E$1944-'Doğrudan Alım İşlemleri'!$D$2:$D$1944)&gt;=1826)*(('Doğrudan Alım İşlemleri'!$E$2:$E$1944-'Doğrudan Alım İşlemleri'!$D$2:$D$1944)&lt;=2555)*('Doğrudan Alım İşlemleri'!$H$2:$H$1944&lt;&gt;"")*'Doğrudan Alım İşlemleri'!$H$2:$H$1944)</f>
        <v/>
      </c>
      <c r="H30" s="11">
        <f>SUMPRODUCT((YEAR('Doğrudan Alım İşlemleri'!$B$2:$B$1944)=$A$30)*(('Doğrudan Alım İşlemleri'!$E$2:$E$1944-'Doğrudan Alım İşlemleri'!$D$2:$D$1944)&gt;=2556)*('Doğrudan Alım İşlemleri'!$H$2:$H$1944&lt;&gt;"")*'Doğrudan Alım İşlemleri'!$H$2:$H$1944)</f>
        <v/>
      </c>
    </row>
    <row r="31">
      <c r="A31" s="32" t="n"/>
      <c r="B31" s="32" t="n"/>
      <c r="C31" s="33">
        <f>IFERROR(C30/$B$30*100,"")</f>
        <v/>
      </c>
      <c r="D31" s="33">
        <f>IFERROR(D30/$B$30*100,"")</f>
        <v/>
      </c>
      <c r="E31" s="33">
        <f>IFERROR(E30/$B$30*100,"")</f>
        <v/>
      </c>
      <c r="F31" s="33">
        <f>IFERROR(F30/$B$30*100,"")</f>
        <v/>
      </c>
      <c r="G31" s="33">
        <f>IFERROR(G30/$B$30*100,"")</f>
        <v/>
      </c>
      <c r="H31" s="33">
        <f>IFERROR(H30/$B$30*100,"")</f>
        <v/>
      </c>
    </row>
    <row r="32">
      <c r="A32" s="15" t="n">
        <v>2023</v>
      </c>
      <c r="B32" s="8">
        <f>SUMPRODUCT((YEAR('Doğrudan Alım İşlemleri'!$B$2:$B$1944)=$A$32)*('Doğrudan Alım İşlemleri'!$H$2:$H$1944&lt;&gt;"")*'Doğrudan Alım İşlemleri'!$H$2:$H$1944)</f>
        <v/>
      </c>
      <c r="C32" s="8">
        <f>SUMPRODUCT((YEAR('Doğrudan Alım İşlemleri'!$B$2:$B$1944)=$A$32)*(('Doğrudan Alım İşlemleri'!$E$2:$E$1944-'Doğrudan Alım İşlemleri'!$D$2:$D$1944)&gt;=0)*(('Doğrudan Alım İşlemleri'!$E$2:$E$1944-'Doğrudan Alım İşlemleri'!$D$2:$D$1944)&lt;=365)*('Doğrudan Alım İşlemleri'!$H$2:$H$1944&lt;&gt;"")*'Doğrudan Alım İşlemleri'!$H$2:$H$1944)</f>
        <v/>
      </c>
      <c r="D32" s="8">
        <f>SUMPRODUCT((YEAR('Doğrudan Alım İşlemleri'!$B$2:$B$1944)=$A$32)*(('Doğrudan Alım İşlemleri'!$E$2:$E$1944-'Doğrudan Alım İşlemleri'!$D$2:$D$1944)&gt;=366)*(('Doğrudan Alım İşlemleri'!$E$2:$E$1944-'Doğrudan Alım İşlemleri'!$D$2:$D$1944)&lt;=730)*('Doğrudan Alım İşlemleri'!$H$2:$H$1944&lt;&gt;"")*'Doğrudan Alım İşlemleri'!$H$2:$H$1944)</f>
        <v/>
      </c>
      <c r="E32" s="8">
        <f>SUMPRODUCT((YEAR('Doğrudan Alım İşlemleri'!$B$2:$B$1944)=$A$32)*(('Doğrudan Alım İşlemleri'!$E$2:$E$1944-'Doğrudan Alım İşlemleri'!$D$2:$D$1944)&gt;=731)*(('Doğrudan Alım İşlemleri'!$E$2:$E$1944-'Doğrudan Alım İşlemleri'!$D$2:$D$1944)&lt;=1095)*('Doğrudan Alım İşlemleri'!$H$2:$H$1944&lt;&gt;"")*'Doğrudan Alım İşlemleri'!$H$2:$H$1944)</f>
        <v/>
      </c>
      <c r="F32" s="8">
        <f>SUMPRODUCT((YEAR('Doğrudan Alım İşlemleri'!$B$2:$B$1944)=$A$32)*(('Doğrudan Alım İşlemleri'!$E$2:$E$1944-'Doğrudan Alım İşlemleri'!$D$2:$D$1944)&gt;=1096)*(('Doğrudan Alım İşlemleri'!$E$2:$E$1944-'Doğrudan Alım İşlemleri'!$D$2:$D$1944)&lt;=1825)*('Doğrudan Alım İşlemleri'!$H$2:$H$1944&lt;&gt;"")*'Doğrudan Alım İşlemleri'!$H$2:$H$1944)</f>
        <v/>
      </c>
      <c r="G32" s="8">
        <f>SUMPRODUCT((YEAR('Doğrudan Alım İşlemleri'!$B$2:$B$1944)=$A$32)*(('Doğrudan Alım İşlemleri'!$E$2:$E$1944-'Doğrudan Alım İşlemleri'!$D$2:$D$1944)&gt;=1826)*(('Doğrudan Alım İşlemleri'!$E$2:$E$1944-'Doğrudan Alım İşlemleri'!$D$2:$D$1944)&lt;=2555)*('Doğrudan Alım İşlemleri'!$H$2:$H$1944&lt;&gt;"")*'Doğrudan Alım İşlemleri'!$H$2:$H$1944)</f>
        <v/>
      </c>
      <c r="H32" s="8">
        <f>SUMPRODUCT((YEAR('Doğrudan Alım İşlemleri'!$B$2:$B$1944)=$A$32)*(('Doğrudan Alım İşlemleri'!$E$2:$E$1944-'Doğrudan Alım İşlemleri'!$D$2:$D$1944)&gt;=2556)*('Doğrudan Alım İşlemleri'!$H$2:$H$1944&lt;&gt;"")*'Doğrudan Alım İşlemleri'!$H$2:$H$1944)</f>
        <v/>
      </c>
    </row>
    <row r="33">
      <c r="A33" s="30" t="n"/>
      <c r="B33" s="30" t="n"/>
      <c r="C33" s="31">
        <f>IFERROR(C32/$B$32*100,"")</f>
        <v/>
      </c>
      <c r="D33" s="31">
        <f>IFERROR(D32/$B$32*100,"")</f>
        <v/>
      </c>
      <c r="E33" s="31">
        <f>IFERROR(E32/$B$32*100,"")</f>
        <v/>
      </c>
      <c r="F33" s="31">
        <f>IFERROR(F32/$B$32*100,"")</f>
        <v/>
      </c>
      <c r="G33" s="31">
        <f>IFERROR(G32/$B$32*100,"")</f>
        <v/>
      </c>
      <c r="H33" s="31">
        <f>IFERROR(H32/$B$32*100,"")</f>
        <v/>
      </c>
    </row>
    <row r="34">
      <c r="A34" s="16" t="n">
        <v>2024</v>
      </c>
      <c r="B34" s="11">
        <f>SUMPRODUCT((YEAR('Doğrudan Alım İşlemleri'!$B$2:$B$1944)=$A$34)*('Doğrudan Alım İşlemleri'!$H$2:$H$1944&lt;&gt;"")*'Doğrudan Alım İşlemleri'!$H$2:$H$1944)</f>
        <v/>
      </c>
      <c r="C34" s="11">
        <f>SUMPRODUCT((YEAR('Doğrudan Alım İşlemleri'!$B$2:$B$1944)=$A$34)*(('Doğrudan Alım İşlemleri'!$E$2:$E$1944-'Doğrudan Alım İşlemleri'!$D$2:$D$1944)&gt;=0)*(('Doğrudan Alım İşlemleri'!$E$2:$E$1944-'Doğrudan Alım İşlemleri'!$D$2:$D$1944)&lt;=365)*('Doğrudan Alım İşlemleri'!$H$2:$H$1944&lt;&gt;"")*'Doğrudan Alım İşlemleri'!$H$2:$H$1944)</f>
        <v/>
      </c>
      <c r="D34" s="11">
        <f>SUMPRODUCT((YEAR('Doğrudan Alım İşlemleri'!$B$2:$B$1944)=$A$34)*(('Doğrudan Alım İşlemleri'!$E$2:$E$1944-'Doğrudan Alım İşlemleri'!$D$2:$D$1944)&gt;=366)*(('Doğrudan Alım İşlemleri'!$E$2:$E$1944-'Doğrudan Alım İşlemleri'!$D$2:$D$1944)&lt;=730)*('Doğrudan Alım İşlemleri'!$H$2:$H$1944&lt;&gt;"")*'Doğrudan Alım İşlemleri'!$H$2:$H$1944)</f>
        <v/>
      </c>
      <c r="E34" s="11">
        <f>SUMPRODUCT((YEAR('Doğrudan Alım İşlemleri'!$B$2:$B$1944)=$A$34)*(('Doğrudan Alım İşlemleri'!$E$2:$E$1944-'Doğrudan Alım İşlemleri'!$D$2:$D$1944)&gt;=731)*(('Doğrudan Alım İşlemleri'!$E$2:$E$1944-'Doğrudan Alım İşlemleri'!$D$2:$D$1944)&lt;=1095)*('Doğrudan Alım İşlemleri'!$H$2:$H$1944&lt;&gt;"")*'Doğrudan Alım İşlemleri'!$H$2:$H$1944)</f>
        <v/>
      </c>
      <c r="F34" s="11">
        <f>SUMPRODUCT((YEAR('Doğrudan Alım İşlemleri'!$B$2:$B$1944)=$A$34)*(('Doğrudan Alım İşlemleri'!$E$2:$E$1944-'Doğrudan Alım İşlemleri'!$D$2:$D$1944)&gt;=1096)*(('Doğrudan Alım İşlemleri'!$E$2:$E$1944-'Doğrudan Alım İşlemleri'!$D$2:$D$1944)&lt;=1825)*('Doğrudan Alım İşlemleri'!$H$2:$H$1944&lt;&gt;"")*'Doğrudan Alım İşlemleri'!$H$2:$H$1944)</f>
        <v/>
      </c>
      <c r="G34" s="11">
        <f>SUMPRODUCT((YEAR('Doğrudan Alım İşlemleri'!$B$2:$B$1944)=$A$34)*(('Doğrudan Alım İşlemleri'!$E$2:$E$1944-'Doğrudan Alım İşlemleri'!$D$2:$D$1944)&gt;=1826)*(('Doğrudan Alım İşlemleri'!$E$2:$E$1944-'Doğrudan Alım İşlemleri'!$D$2:$D$1944)&lt;=2555)*('Doğrudan Alım İşlemleri'!$H$2:$H$1944&lt;&gt;"")*'Doğrudan Alım İşlemleri'!$H$2:$H$1944)</f>
        <v/>
      </c>
      <c r="H34" s="11">
        <f>SUMPRODUCT((YEAR('Doğrudan Alım İşlemleri'!$B$2:$B$1944)=$A$34)*(('Doğrudan Alım İşlemleri'!$E$2:$E$1944-'Doğrudan Alım İşlemleri'!$D$2:$D$1944)&gt;=2556)*('Doğrudan Alım İşlemleri'!$H$2:$H$1944&lt;&gt;"")*'Doğrudan Alım İşlemleri'!$H$2:$H$1944)</f>
        <v/>
      </c>
    </row>
    <row r="35">
      <c r="A35" s="32" t="n"/>
      <c r="B35" s="32" t="n"/>
      <c r="C35" s="33">
        <f>IFERROR(C34/$B$34*100,"")</f>
        <v/>
      </c>
      <c r="D35" s="33">
        <f>IFERROR(D34/$B$34*100,"")</f>
        <v/>
      </c>
      <c r="E35" s="33">
        <f>IFERROR(E34/$B$34*100,"")</f>
        <v/>
      </c>
      <c r="F35" s="33">
        <f>IFERROR(F34/$B$34*100,"")</f>
        <v/>
      </c>
      <c r="G35" s="33">
        <f>IFERROR(G34/$B$34*100,"")</f>
        <v/>
      </c>
      <c r="H35" s="33">
        <f>IFERROR(H34/$B$34*100,"")</f>
        <v/>
      </c>
    </row>
    <row r="36">
      <c r="A36" s="15" t="n">
        <v>2025</v>
      </c>
      <c r="B36" s="8">
        <f>SUMPRODUCT((YEAR('Doğrudan Alım İşlemleri'!$B$2:$B$1944)=$A$36)*('Doğrudan Alım İşlemleri'!$H$2:$H$1944&lt;&gt;"")*'Doğrudan Alım İşlemleri'!$H$2:$H$1944)</f>
        <v/>
      </c>
      <c r="C36" s="8">
        <f>SUMPRODUCT((YEAR('Doğrudan Alım İşlemleri'!$B$2:$B$1944)=$A$36)*(('Doğrudan Alım İşlemleri'!$E$2:$E$1944-'Doğrudan Alım İşlemleri'!$D$2:$D$1944)&gt;=0)*(('Doğrudan Alım İşlemleri'!$E$2:$E$1944-'Doğrudan Alım İşlemleri'!$D$2:$D$1944)&lt;=365)*('Doğrudan Alım İşlemleri'!$H$2:$H$1944&lt;&gt;"")*'Doğrudan Alım İşlemleri'!$H$2:$H$1944)</f>
        <v/>
      </c>
      <c r="D36" s="8">
        <f>SUMPRODUCT((YEAR('Doğrudan Alım İşlemleri'!$B$2:$B$1944)=$A$36)*(('Doğrudan Alım İşlemleri'!$E$2:$E$1944-'Doğrudan Alım İşlemleri'!$D$2:$D$1944)&gt;=366)*(('Doğrudan Alım İşlemleri'!$E$2:$E$1944-'Doğrudan Alım İşlemleri'!$D$2:$D$1944)&lt;=730)*('Doğrudan Alım İşlemleri'!$H$2:$H$1944&lt;&gt;"")*'Doğrudan Alım İşlemleri'!$H$2:$H$1944)</f>
        <v/>
      </c>
      <c r="E36" s="8">
        <f>SUMPRODUCT((YEAR('Doğrudan Alım İşlemleri'!$B$2:$B$1944)=$A$36)*(('Doğrudan Alım İşlemleri'!$E$2:$E$1944-'Doğrudan Alım İşlemleri'!$D$2:$D$1944)&gt;=731)*(('Doğrudan Alım İşlemleri'!$E$2:$E$1944-'Doğrudan Alım İşlemleri'!$D$2:$D$1944)&lt;=1095)*('Doğrudan Alım İşlemleri'!$H$2:$H$1944&lt;&gt;"")*'Doğrudan Alım İşlemleri'!$H$2:$H$1944)</f>
        <v/>
      </c>
      <c r="F36" s="8">
        <f>SUMPRODUCT((YEAR('Doğrudan Alım İşlemleri'!$B$2:$B$1944)=$A$36)*(('Doğrudan Alım İşlemleri'!$E$2:$E$1944-'Doğrudan Alım İşlemleri'!$D$2:$D$1944)&gt;=1096)*(('Doğrudan Alım İşlemleri'!$E$2:$E$1944-'Doğrudan Alım İşlemleri'!$D$2:$D$1944)&lt;=1825)*('Doğrudan Alım İşlemleri'!$H$2:$H$1944&lt;&gt;"")*'Doğrudan Alım İşlemleri'!$H$2:$H$1944)</f>
        <v/>
      </c>
      <c r="G36" s="8">
        <f>SUMPRODUCT((YEAR('Doğrudan Alım İşlemleri'!$B$2:$B$1944)=$A$36)*(('Doğrudan Alım İşlemleri'!$E$2:$E$1944-'Doğrudan Alım İşlemleri'!$D$2:$D$1944)&gt;=1826)*(('Doğrudan Alım İşlemleri'!$E$2:$E$1944-'Doğrudan Alım İşlemleri'!$D$2:$D$1944)&lt;=2555)*('Doğrudan Alım İşlemleri'!$H$2:$H$1944&lt;&gt;"")*'Doğrudan Alım İşlemleri'!$H$2:$H$1944)</f>
        <v/>
      </c>
      <c r="H36" s="8">
        <f>SUMPRODUCT((YEAR('Doğrudan Alım İşlemleri'!$B$2:$B$1944)=$A$36)*(('Doğrudan Alım İşlemleri'!$E$2:$E$1944-'Doğrudan Alım İşlemleri'!$D$2:$D$1944)&gt;=2556)*('Doğrudan Alım İşlemleri'!$H$2:$H$1944&lt;&gt;"")*'Doğrudan Alım İşlemleri'!$H$2:$H$1944)</f>
        <v/>
      </c>
    </row>
    <row r="37">
      <c r="A37" s="30" t="n"/>
      <c r="B37" s="30" t="n"/>
      <c r="C37" s="31">
        <f>IFERROR(C36/$B$36*100,"")</f>
        <v/>
      </c>
      <c r="D37" s="31">
        <f>IFERROR(D36/$B$36*100,"")</f>
        <v/>
      </c>
      <c r="E37" s="31">
        <f>IFERROR(E36/$B$36*100,"")</f>
        <v/>
      </c>
      <c r="F37" s="31">
        <f>IFERROR(F36/$B$36*100,"")</f>
        <v/>
      </c>
      <c r="G37" s="31">
        <f>IFERROR(G36/$B$36*100,"")</f>
        <v/>
      </c>
      <c r="H37" s="31">
        <f>IFERROR(H36/$B$36*100,"")</f>
        <v/>
      </c>
    </row>
    <row r="38">
      <c r="A38" s="16" t="n">
        <v>2026</v>
      </c>
      <c r="B38" s="11">
        <f>SUMPRODUCT((YEAR('Doğrudan Alım İşlemleri'!$B$2:$B$1944)=$A$38)*('Doğrudan Alım İşlemleri'!$H$2:$H$1944&lt;&gt;"")*'Doğrudan Alım İşlemleri'!$H$2:$H$1944)</f>
        <v/>
      </c>
      <c r="C38" s="11">
        <f>SUMPRODUCT((YEAR('Doğrudan Alım İşlemleri'!$B$2:$B$1944)=$A$38)*(('Doğrudan Alım İşlemleri'!$E$2:$E$1944-'Doğrudan Alım İşlemleri'!$D$2:$D$1944)&gt;=0)*(('Doğrudan Alım İşlemleri'!$E$2:$E$1944-'Doğrudan Alım İşlemleri'!$D$2:$D$1944)&lt;=365)*('Doğrudan Alım İşlemleri'!$H$2:$H$1944&lt;&gt;"")*'Doğrudan Alım İşlemleri'!$H$2:$H$1944)</f>
        <v/>
      </c>
      <c r="D38" s="11">
        <f>SUMPRODUCT((YEAR('Doğrudan Alım İşlemleri'!$B$2:$B$1944)=$A$38)*(('Doğrudan Alım İşlemleri'!$E$2:$E$1944-'Doğrudan Alım İşlemleri'!$D$2:$D$1944)&gt;=366)*(('Doğrudan Alım İşlemleri'!$E$2:$E$1944-'Doğrudan Alım İşlemleri'!$D$2:$D$1944)&lt;=730)*('Doğrudan Alım İşlemleri'!$H$2:$H$1944&lt;&gt;"")*'Doğrudan Alım İşlemleri'!$H$2:$H$1944)</f>
        <v/>
      </c>
      <c r="E38" s="11">
        <f>SUMPRODUCT((YEAR('Doğrudan Alım İşlemleri'!$B$2:$B$1944)=$A$38)*(('Doğrudan Alım İşlemleri'!$E$2:$E$1944-'Doğrudan Alım İşlemleri'!$D$2:$D$1944)&gt;=731)*(('Doğrudan Alım İşlemleri'!$E$2:$E$1944-'Doğrudan Alım İşlemleri'!$D$2:$D$1944)&lt;=1095)*('Doğrudan Alım İşlemleri'!$H$2:$H$1944&lt;&gt;"")*'Doğrudan Alım İşlemleri'!$H$2:$H$1944)</f>
        <v/>
      </c>
      <c r="F38" s="11">
        <f>SUMPRODUCT((YEAR('Doğrudan Alım İşlemleri'!$B$2:$B$1944)=$A$38)*(('Doğrudan Alım İşlemleri'!$E$2:$E$1944-'Doğrudan Alım İşlemleri'!$D$2:$D$1944)&gt;=1096)*(('Doğrudan Alım İşlemleri'!$E$2:$E$1944-'Doğrudan Alım İşlemleri'!$D$2:$D$1944)&lt;=1825)*('Doğrudan Alım İşlemleri'!$H$2:$H$1944&lt;&gt;"")*'Doğrudan Alım İşlemleri'!$H$2:$H$1944)</f>
        <v/>
      </c>
      <c r="G38" s="11">
        <f>SUMPRODUCT((YEAR('Doğrudan Alım İşlemleri'!$B$2:$B$1944)=$A$38)*(('Doğrudan Alım İşlemleri'!$E$2:$E$1944-'Doğrudan Alım İşlemleri'!$D$2:$D$1944)&gt;=1826)*(('Doğrudan Alım İşlemleri'!$E$2:$E$1944-'Doğrudan Alım İşlemleri'!$D$2:$D$1944)&lt;=2555)*('Doğrudan Alım İşlemleri'!$H$2:$H$1944&lt;&gt;"")*'Doğrudan Alım İşlemleri'!$H$2:$H$1944)</f>
        <v/>
      </c>
      <c r="H38" s="11">
        <f>SUMPRODUCT((YEAR('Doğrudan Alım İşlemleri'!$B$2:$B$1944)=$A$38)*(('Doğrudan Alım İşlemleri'!$E$2:$E$1944-'Doğrudan Alım İşlemleri'!$D$2:$D$1944)&gt;=2556)*('Doğrudan Alım İşlemleri'!$H$2:$H$1944&lt;&gt;"")*'Doğrudan Alım İşlemleri'!$H$2:$H$1944)</f>
        <v/>
      </c>
    </row>
    <row r="39">
      <c r="A39" s="32" t="n"/>
      <c r="B39" s="32" t="n"/>
      <c r="C39" s="33">
        <f>IFERROR(C38/$B$38*100,"")</f>
        <v/>
      </c>
      <c r="D39" s="33">
        <f>IFERROR(D38/$B$38*100,"")</f>
        <v/>
      </c>
      <c r="E39" s="33">
        <f>IFERROR(E38/$B$38*100,"")</f>
        <v/>
      </c>
      <c r="F39" s="33">
        <f>IFERROR(F38/$B$38*100,"")</f>
        <v/>
      </c>
      <c r="G39" s="33">
        <f>IFERROR(G38/$B$38*100,"")</f>
        <v/>
      </c>
      <c r="H39" s="33">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İşlemleri'!$B$2:$B$1944)=$A$4)*('Doğrudan Alım İşlemleri'!$H$2:$H$1944&lt;&gt;"")*'Doğrudan Alım İşlemleri'!$H$2:$H$1944)</f>
        <v/>
      </c>
      <c r="C4" s="8">
        <f>SUMPRODUCT((YEAR('Doğrudan Alım İşlemleri'!$E$2:$E$1944)=$A$4)*('Doğrudan Alım İşlemleri'!$H$2:$H$1944&lt;&gt;"")*'Doğrudan Alım İşlemleri'!$H$2:$H$1944)</f>
        <v/>
      </c>
      <c r="D4" s="8">
        <f>B4-C4</f>
        <v/>
      </c>
      <c r="E4" s="24">
        <f>SUMPRODUCT((YEAR('Doğrudan Alım İşlemleri'!$B$2:$B$1944)=$A$4)*('Doğrudan Alım İşlemleri'!$I$2:$I$1944&lt;&gt;"")*'Doğrudan Alım İşlemleri'!$I$2:$I$1944)</f>
        <v/>
      </c>
      <c r="F4" s="12">
        <f>IFERROR(C4/B4*100,"")</f>
        <v/>
      </c>
      <c r="G4" s="8">
        <f>D4</f>
        <v/>
      </c>
    </row>
    <row r="5">
      <c r="A5" s="16" t="n">
        <v>2010</v>
      </c>
      <c r="B5" s="11">
        <f>SUMPRODUCT((YEAR('Doğrudan Alım İşlemleri'!$B$2:$B$1944)=$A$5)*('Doğrudan Alım İşlemleri'!$H$2:$H$1944&lt;&gt;"")*'Doğrudan Alım İşlemleri'!$H$2:$H$1944)</f>
        <v/>
      </c>
      <c r="C5" s="11">
        <f>SUMPRODUCT((YEAR('Doğrudan Alım İşlemleri'!$E$2:$E$1944)=$A$5)*('Doğrudan Alım İşlemleri'!$H$2:$H$1944&lt;&gt;"")*'Doğrudan Alım İşlemleri'!$H$2:$H$1944)</f>
        <v/>
      </c>
      <c r="D5" s="11">
        <f>B5-C5</f>
        <v/>
      </c>
      <c r="E5" s="13">
        <f>SUMPRODUCT((YEAR('Doğrudan Alım İşlemleri'!$B$2:$B$1944)=$A$5)*('Doğrudan Alım İşlemleri'!$I$2:$I$1944&lt;&gt;"")*'Doğrudan Alım İşlemleri'!$I$2:$I$1944)</f>
        <v/>
      </c>
      <c r="F5" s="17">
        <f>IFERROR(C5/B5*100,"")</f>
        <v/>
      </c>
      <c r="G5" s="11">
        <f>G4+D5</f>
        <v/>
      </c>
    </row>
    <row r="6">
      <c r="A6" s="15" t="n">
        <v>2011</v>
      </c>
      <c r="B6" s="8">
        <f>SUMPRODUCT((YEAR('Doğrudan Alım İşlemleri'!$B$2:$B$1944)=$A$6)*('Doğrudan Alım İşlemleri'!$H$2:$H$1944&lt;&gt;"")*'Doğrudan Alım İşlemleri'!$H$2:$H$1944)</f>
        <v/>
      </c>
      <c r="C6" s="8">
        <f>SUMPRODUCT((YEAR('Doğrudan Alım İşlemleri'!$E$2:$E$1944)=$A$6)*('Doğrudan Alım İşlemleri'!$H$2:$H$1944&lt;&gt;"")*'Doğrudan Alım İşlemleri'!$H$2:$H$1944)</f>
        <v/>
      </c>
      <c r="D6" s="8">
        <f>B6-C6</f>
        <v/>
      </c>
      <c r="E6" s="24">
        <f>SUMPRODUCT((YEAR('Doğrudan Alım İşlemleri'!$B$2:$B$1944)=$A$6)*('Doğrudan Alım İşlemleri'!$I$2:$I$1944&lt;&gt;"")*'Doğrudan Alım İşlemleri'!$I$2:$I$1944)</f>
        <v/>
      </c>
      <c r="F6" s="12">
        <f>IFERROR(C6/B6*100,"")</f>
        <v/>
      </c>
      <c r="G6" s="8">
        <f>G5+D6</f>
        <v/>
      </c>
    </row>
    <row r="7">
      <c r="A7" s="16" t="n">
        <v>2012</v>
      </c>
      <c r="B7" s="11">
        <f>SUMPRODUCT((YEAR('Doğrudan Alım İşlemleri'!$B$2:$B$1944)=$A$7)*('Doğrudan Alım İşlemleri'!$H$2:$H$1944&lt;&gt;"")*'Doğrudan Alım İşlemleri'!$H$2:$H$1944)</f>
        <v/>
      </c>
      <c r="C7" s="11">
        <f>SUMPRODUCT((YEAR('Doğrudan Alım İşlemleri'!$E$2:$E$1944)=$A$7)*('Doğrudan Alım İşlemleri'!$H$2:$H$1944&lt;&gt;"")*'Doğrudan Alım İşlemleri'!$H$2:$H$1944)</f>
        <v/>
      </c>
      <c r="D7" s="11">
        <f>B7-C7</f>
        <v/>
      </c>
      <c r="E7" s="13">
        <f>SUMPRODUCT((YEAR('Doğrudan Alım İşlemleri'!$B$2:$B$1944)=$A$7)*('Doğrudan Alım İşlemleri'!$I$2:$I$1944&lt;&gt;"")*'Doğrudan Alım İşlemleri'!$I$2:$I$1944)</f>
        <v/>
      </c>
      <c r="F7" s="17">
        <f>IFERROR(C7/B7*100,"")</f>
        <v/>
      </c>
      <c r="G7" s="11">
        <f>G6+D7</f>
        <v/>
      </c>
    </row>
    <row r="8">
      <c r="A8" s="15" t="n">
        <v>2013</v>
      </c>
      <c r="B8" s="8">
        <f>SUMPRODUCT((YEAR('Doğrudan Alım İşlemleri'!$B$2:$B$1944)=$A$8)*('Doğrudan Alım İşlemleri'!$H$2:$H$1944&lt;&gt;"")*'Doğrudan Alım İşlemleri'!$H$2:$H$1944)</f>
        <v/>
      </c>
      <c r="C8" s="8">
        <f>SUMPRODUCT((YEAR('Doğrudan Alım İşlemleri'!$E$2:$E$1944)=$A$8)*('Doğrudan Alım İşlemleri'!$H$2:$H$1944&lt;&gt;"")*'Doğrudan Alım İşlemleri'!$H$2:$H$1944)</f>
        <v/>
      </c>
      <c r="D8" s="8">
        <f>B8-C8</f>
        <v/>
      </c>
      <c r="E8" s="24">
        <f>SUMPRODUCT((YEAR('Doğrudan Alım İşlemleri'!$B$2:$B$1944)=$A$8)*('Doğrudan Alım İşlemleri'!$I$2:$I$1944&lt;&gt;"")*'Doğrudan Alım İşlemleri'!$I$2:$I$1944)</f>
        <v/>
      </c>
      <c r="F8" s="12">
        <f>IFERROR(C8/B8*100,"")</f>
        <v/>
      </c>
      <c r="G8" s="8">
        <f>G7+D8</f>
        <v/>
      </c>
    </row>
    <row r="9">
      <c r="A9" s="16" t="n">
        <v>2014</v>
      </c>
      <c r="B9" s="11">
        <f>SUMPRODUCT((YEAR('Doğrudan Alım İşlemleri'!$B$2:$B$1944)=$A$9)*('Doğrudan Alım İşlemleri'!$H$2:$H$1944&lt;&gt;"")*'Doğrudan Alım İşlemleri'!$H$2:$H$1944)</f>
        <v/>
      </c>
      <c r="C9" s="11">
        <f>SUMPRODUCT((YEAR('Doğrudan Alım İşlemleri'!$E$2:$E$1944)=$A$9)*('Doğrudan Alım İşlemleri'!$H$2:$H$1944&lt;&gt;"")*'Doğrudan Alım İşlemleri'!$H$2:$H$1944)</f>
        <v/>
      </c>
      <c r="D9" s="11">
        <f>B9-C9</f>
        <v/>
      </c>
      <c r="E9" s="13">
        <f>SUMPRODUCT((YEAR('Doğrudan Alım İşlemleri'!$B$2:$B$1944)=$A$9)*('Doğrudan Alım İşlemleri'!$I$2:$I$1944&lt;&gt;"")*'Doğrudan Alım İşlemleri'!$I$2:$I$1944)</f>
        <v/>
      </c>
      <c r="F9" s="17">
        <f>IFERROR(C9/B9*100,"")</f>
        <v/>
      </c>
      <c r="G9" s="11">
        <f>G8+D9</f>
        <v/>
      </c>
    </row>
    <row r="10">
      <c r="A10" s="15" t="n">
        <v>2015</v>
      </c>
      <c r="B10" s="8">
        <f>SUMPRODUCT((YEAR('Doğrudan Alım İşlemleri'!$B$2:$B$1944)=$A$10)*('Doğrudan Alım İşlemleri'!$H$2:$H$1944&lt;&gt;"")*'Doğrudan Alım İşlemleri'!$H$2:$H$1944)</f>
        <v/>
      </c>
      <c r="C10" s="8">
        <f>SUMPRODUCT((YEAR('Doğrudan Alım İşlemleri'!$E$2:$E$1944)=$A$10)*('Doğrudan Alım İşlemleri'!$H$2:$H$1944&lt;&gt;"")*'Doğrudan Alım İşlemleri'!$H$2:$H$1944)</f>
        <v/>
      </c>
      <c r="D10" s="8">
        <f>B10-C10</f>
        <v/>
      </c>
      <c r="E10" s="24">
        <f>SUMPRODUCT((YEAR('Doğrudan Alım İşlemleri'!$B$2:$B$1944)=$A$10)*('Doğrudan Alım İşlemleri'!$I$2:$I$1944&lt;&gt;"")*'Doğrudan Alım İşlemleri'!$I$2:$I$1944)</f>
        <v/>
      </c>
      <c r="F10" s="12">
        <f>IFERROR(C10/B10*100,"")</f>
        <v/>
      </c>
      <c r="G10" s="8">
        <f>G9+D10</f>
        <v/>
      </c>
    </row>
    <row r="11">
      <c r="A11" s="16" t="n">
        <v>2016</v>
      </c>
      <c r="B11" s="11">
        <f>SUMPRODUCT((YEAR('Doğrudan Alım İşlemleri'!$B$2:$B$1944)=$A$11)*('Doğrudan Alım İşlemleri'!$H$2:$H$1944&lt;&gt;"")*'Doğrudan Alım İşlemleri'!$H$2:$H$1944)</f>
        <v/>
      </c>
      <c r="C11" s="11">
        <f>SUMPRODUCT((YEAR('Doğrudan Alım İşlemleri'!$E$2:$E$1944)=$A$11)*('Doğrudan Alım İşlemleri'!$H$2:$H$1944&lt;&gt;"")*'Doğrudan Alım İşlemleri'!$H$2:$H$1944)</f>
        <v/>
      </c>
      <c r="D11" s="11">
        <f>B11-C11</f>
        <v/>
      </c>
      <c r="E11" s="13">
        <f>SUMPRODUCT((YEAR('Doğrudan Alım İşlemleri'!$B$2:$B$1944)=$A$11)*('Doğrudan Alım İşlemleri'!$I$2:$I$1944&lt;&gt;"")*'Doğrudan Alım İşlemleri'!$I$2:$I$1944)</f>
        <v/>
      </c>
      <c r="F11" s="17">
        <f>IFERROR(C11/B11*100,"")</f>
        <v/>
      </c>
      <c r="G11" s="11">
        <f>G10+D11</f>
        <v/>
      </c>
    </row>
    <row r="12">
      <c r="A12" s="15" t="n">
        <v>2017</v>
      </c>
      <c r="B12" s="8">
        <f>SUMPRODUCT((YEAR('Doğrudan Alım İşlemleri'!$B$2:$B$1944)=$A$12)*('Doğrudan Alım İşlemleri'!$H$2:$H$1944&lt;&gt;"")*'Doğrudan Alım İşlemleri'!$H$2:$H$1944)</f>
        <v/>
      </c>
      <c r="C12" s="8">
        <f>SUMPRODUCT((YEAR('Doğrudan Alım İşlemleri'!$E$2:$E$1944)=$A$12)*('Doğrudan Alım İşlemleri'!$H$2:$H$1944&lt;&gt;"")*'Doğrudan Alım İşlemleri'!$H$2:$H$1944)</f>
        <v/>
      </c>
      <c r="D12" s="8">
        <f>B12-C12</f>
        <v/>
      </c>
      <c r="E12" s="24">
        <f>SUMPRODUCT((YEAR('Doğrudan Alım İşlemleri'!$B$2:$B$1944)=$A$12)*('Doğrudan Alım İşlemleri'!$I$2:$I$1944&lt;&gt;"")*'Doğrudan Alım İşlemleri'!$I$2:$I$1944)</f>
        <v/>
      </c>
      <c r="F12" s="12">
        <f>IFERROR(C12/B12*100,"")</f>
        <v/>
      </c>
      <c r="G12" s="8">
        <f>G11+D12</f>
        <v/>
      </c>
    </row>
    <row r="13">
      <c r="A13" s="16" t="n">
        <v>2018</v>
      </c>
      <c r="B13" s="11">
        <f>SUMPRODUCT((YEAR('Doğrudan Alım İşlemleri'!$B$2:$B$1944)=$A$13)*('Doğrudan Alım İşlemleri'!$H$2:$H$1944&lt;&gt;"")*'Doğrudan Alım İşlemleri'!$H$2:$H$1944)</f>
        <v/>
      </c>
      <c r="C13" s="11">
        <f>SUMPRODUCT((YEAR('Doğrudan Alım İşlemleri'!$E$2:$E$1944)=$A$13)*('Doğrudan Alım İşlemleri'!$H$2:$H$1944&lt;&gt;"")*'Doğrudan Alım İşlemleri'!$H$2:$H$1944)</f>
        <v/>
      </c>
      <c r="D13" s="11">
        <f>B13-C13</f>
        <v/>
      </c>
      <c r="E13" s="13">
        <f>SUMPRODUCT((YEAR('Doğrudan Alım İşlemleri'!$B$2:$B$1944)=$A$13)*('Doğrudan Alım İşlemleri'!$I$2:$I$1944&lt;&gt;"")*'Doğrudan Alım İşlemleri'!$I$2:$I$1944)</f>
        <v/>
      </c>
      <c r="F13" s="17">
        <f>IFERROR(C13/B13*100,"")</f>
        <v/>
      </c>
      <c r="G13" s="11">
        <f>G12+D13</f>
        <v/>
      </c>
    </row>
    <row r="14">
      <c r="A14" s="15" t="n">
        <v>2019</v>
      </c>
      <c r="B14" s="8">
        <f>SUMPRODUCT((YEAR('Doğrudan Alım İşlemleri'!$B$2:$B$1944)=$A$14)*('Doğrudan Alım İşlemleri'!$H$2:$H$1944&lt;&gt;"")*'Doğrudan Alım İşlemleri'!$H$2:$H$1944)</f>
        <v/>
      </c>
      <c r="C14" s="8">
        <f>SUMPRODUCT((YEAR('Doğrudan Alım İşlemleri'!$E$2:$E$1944)=$A$14)*('Doğrudan Alım İşlemleri'!$H$2:$H$1944&lt;&gt;"")*'Doğrudan Alım İşlemleri'!$H$2:$H$1944)</f>
        <v/>
      </c>
      <c r="D14" s="8">
        <f>B14-C14</f>
        <v/>
      </c>
      <c r="E14" s="24">
        <f>SUMPRODUCT((YEAR('Doğrudan Alım İşlemleri'!$B$2:$B$1944)=$A$14)*('Doğrudan Alım İşlemleri'!$I$2:$I$1944&lt;&gt;"")*'Doğrudan Alım İşlemleri'!$I$2:$I$1944)</f>
        <v/>
      </c>
      <c r="F14" s="12">
        <f>IFERROR(C14/B14*100,"")</f>
        <v/>
      </c>
      <c r="G14" s="8">
        <f>G13+D14</f>
        <v/>
      </c>
    </row>
    <row r="15">
      <c r="A15" s="16" t="n">
        <v>2020</v>
      </c>
      <c r="B15" s="11">
        <f>SUMPRODUCT((YEAR('Doğrudan Alım İşlemleri'!$B$2:$B$1944)=$A$15)*('Doğrudan Alım İşlemleri'!$H$2:$H$1944&lt;&gt;"")*'Doğrudan Alım İşlemleri'!$H$2:$H$1944)</f>
        <v/>
      </c>
      <c r="C15" s="11">
        <f>SUMPRODUCT((YEAR('Doğrudan Alım İşlemleri'!$E$2:$E$1944)=$A$15)*('Doğrudan Alım İşlemleri'!$H$2:$H$1944&lt;&gt;"")*'Doğrudan Alım İşlemleri'!$H$2:$H$1944)</f>
        <v/>
      </c>
      <c r="D15" s="11">
        <f>B15-C15</f>
        <v/>
      </c>
      <c r="E15" s="13">
        <f>SUMPRODUCT((YEAR('Doğrudan Alım İşlemleri'!$B$2:$B$1944)=$A$15)*('Doğrudan Alım İşlemleri'!$I$2:$I$1944&lt;&gt;"")*'Doğrudan Alım İşlemleri'!$I$2:$I$1944)</f>
        <v/>
      </c>
      <c r="F15" s="17">
        <f>IFERROR(C15/B15*100,"")</f>
        <v/>
      </c>
      <c r="G15" s="11">
        <f>G14+D15</f>
        <v/>
      </c>
    </row>
    <row r="16">
      <c r="A16" s="15" t="n">
        <v>2021</v>
      </c>
      <c r="B16" s="8">
        <f>SUMPRODUCT((YEAR('Doğrudan Alım İşlemleri'!$B$2:$B$1944)=$A$16)*('Doğrudan Alım İşlemleri'!$H$2:$H$1944&lt;&gt;"")*'Doğrudan Alım İşlemleri'!$H$2:$H$1944)</f>
        <v/>
      </c>
      <c r="C16" s="8">
        <f>SUMPRODUCT((YEAR('Doğrudan Alım İşlemleri'!$E$2:$E$1944)=$A$16)*('Doğrudan Alım İşlemleri'!$H$2:$H$1944&lt;&gt;"")*'Doğrudan Alım İşlemleri'!$H$2:$H$1944)</f>
        <v/>
      </c>
      <c r="D16" s="8">
        <f>B16-C16</f>
        <v/>
      </c>
      <c r="E16" s="24">
        <f>SUMPRODUCT((YEAR('Doğrudan Alım İşlemleri'!$B$2:$B$1944)=$A$16)*('Doğrudan Alım İşlemleri'!$I$2:$I$1944&lt;&gt;"")*'Doğrudan Alım İşlemleri'!$I$2:$I$1944)</f>
        <v/>
      </c>
      <c r="F16" s="12">
        <f>IFERROR(C16/B16*100,"")</f>
        <v/>
      </c>
      <c r="G16" s="8">
        <f>G15+D16</f>
        <v/>
      </c>
    </row>
    <row r="17">
      <c r="A17" s="16" t="n">
        <v>2022</v>
      </c>
      <c r="B17" s="11">
        <f>SUMPRODUCT((YEAR('Doğrudan Alım İşlemleri'!$B$2:$B$1944)=$A$17)*('Doğrudan Alım İşlemleri'!$H$2:$H$1944&lt;&gt;"")*'Doğrudan Alım İşlemleri'!$H$2:$H$1944)</f>
        <v/>
      </c>
      <c r="C17" s="11">
        <f>SUMPRODUCT((YEAR('Doğrudan Alım İşlemleri'!$E$2:$E$1944)=$A$17)*('Doğrudan Alım İşlemleri'!$H$2:$H$1944&lt;&gt;"")*'Doğrudan Alım İşlemleri'!$H$2:$H$1944)</f>
        <v/>
      </c>
      <c r="D17" s="11">
        <f>B17-C17</f>
        <v/>
      </c>
      <c r="E17" s="13">
        <f>SUMPRODUCT((YEAR('Doğrudan Alım İşlemleri'!$B$2:$B$1944)=$A$17)*('Doğrudan Alım İşlemleri'!$I$2:$I$1944&lt;&gt;"")*'Doğrudan Alım İşlemleri'!$I$2:$I$1944)</f>
        <v/>
      </c>
      <c r="F17" s="17">
        <f>IFERROR(C17/B17*100,"")</f>
        <v/>
      </c>
      <c r="G17" s="11">
        <f>G16+D17</f>
        <v/>
      </c>
    </row>
    <row r="18">
      <c r="A18" s="15" t="n">
        <v>2023</v>
      </c>
      <c r="B18" s="8">
        <f>SUMPRODUCT((YEAR('Doğrudan Alım İşlemleri'!$B$2:$B$1944)=$A$18)*('Doğrudan Alım İşlemleri'!$H$2:$H$1944&lt;&gt;"")*'Doğrudan Alım İşlemleri'!$H$2:$H$1944)</f>
        <v/>
      </c>
      <c r="C18" s="8">
        <f>SUMPRODUCT((YEAR('Doğrudan Alım İşlemleri'!$E$2:$E$1944)=$A$18)*('Doğrudan Alım İşlemleri'!$H$2:$H$1944&lt;&gt;"")*'Doğrudan Alım İşlemleri'!$H$2:$H$1944)</f>
        <v/>
      </c>
      <c r="D18" s="8">
        <f>B18-C18</f>
        <v/>
      </c>
      <c r="E18" s="24">
        <f>SUMPRODUCT((YEAR('Doğrudan Alım İşlemleri'!$B$2:$B$1944)=$A$18)*('Doğrudan Alım İşlemleri'!$I$2:$I$1944&lt;&gt;"")*'Doğrudan Alım İşlemleri'!$I$2:$I$1944)</f>
        <v/>
      </c>
      <c r="F18" s="12">
        <f>IFERROR(C18/B18*100,"")</f>
        <v/>
      </c>
      <c r="G18" s="8">
        <f>G17+D18</f>
        <v/>
      </c>
    </row>
    <row r="19">
      <c r="A19" s="16" t="n">
        <v>2024</v>
      </c>
      <c r="B19" s="11">
        <f>SUMPRODUCT((YEAR('Doğrudan Alım İşlemleri'!$B$2:$B$1944)=$A$19)*('Doğrudan Alım İşlemleri'!$H$2:$H$1944&lt;&gt;"")*'Doğrudan Alım İşlemleri'!$H$2:$H$1944)</f>
        <v/>
      </c>
      <c r="C19" s="11">
        <f>SUMPRODUCT((YEAR('Doğrudan Alım İşlemleri'!$E$2:$E$1944)=$A$19)*('Doğrudan Alım İşlemleri'!$H$2:$H$1944&lt;&gt;"")*'Doğrudan Alım İşlemleri'!$H$2:$H$1944)</f>
        <v/>
      </c>
      <c r="D19" s="11">
        <f>B19-C19</f>
        <v/>
      </c>
      <c r="E19" s="13">
        <f>SUMPRODUCT((YEAR('Doğrudan Alım İşlemleri'!$B$2:$B$1944)=$A$19)*('Doğrudan Alım İşlemleri'!$I$2:$I$1944&lt;&gt;"")*'Doğrudan Alım İşlemleri'!$I$2:$I$1944)</f>
        <v/>
      </c>
      <c r="F19" s="17">
        <f>IFERROR(C19/B19*100,"")</f>
        <v/>
      </c>
      <c r="G19" s="11">
        <f>G18+D19</f>
        <v/>
      </c>
    </row>
    <row r="20">
      <c r="A20" s="15" t="n">
        <v>2025</v>
      </c>
      <c r="B20" s="8">
        <f>SUMPRODUCT((YEAR('Doğrudan Alım İşlemleri'!$B$2:$B$1944)=$A$20)*('Doğrudan Alım İşlemleri'!$H$2:$H$1944&lt;&gt;"")*'Doğrudan Alım İşlemleri'!$H$2:$H$1944)</f>
        <v/>
      </c>
      <c r="C20" s="8">
        <f>SUMPRODUCT((YEAR('Doğrudan Alım İşlemleri'!$E$2:$E$1944)=$A$20)*('Doğrudan Alım İşlemleri'!$H$2:$H$1944&lt;&gt;"")*'Doğrudan Alım İşlemleri'!$H$2:$H$1944)</f>
        <v/>
      </c>
      <c r="D20" s="8">
        <f>B20-C20</f>
        <v/>
      </c>
      <c r="E20" s="24">
        <f>SUMPRODUCT((YEAR('Doğrudan Alım İşlemleri'!$B$2:$B$1944)=$A$20)*('Doğrudan Alım İşlemleri'!$I$2:$I$1944&lt;&gt;"")*'Doğrudan Alım İşlemleri'!$I$2:$I$1944)</f>
        <v/>
      </c>
      <c r="F20" s="12">
        <f>IFERROR(C20/B20*100,"")</f>
        <v/>
      </c>
      <c r="G20" s="8">
        <f>G19+D20</f>
        <v/>
      </c>
    </row>
    <row r="21">
      <c r="A21" s="16" t="n">
        <v>2026</v>
      </c>
      <c r="B21" s="11">
        <f>SUMPRODUCT((YEAR('Doğrudan Alım İşlemleri'!$B$2:$B$1944)=$A$21)*('Doğrudan Alım İşlemleri'!$H$2:$H$1944&lt;&gt;"")*'Doğrudan Alım İşlemleri'!$H$2:$H$1944)</f>
        <v/>
      </c>
      <c r="C21" s="11">
        <f>SUMPRODUCT((YEAR('Doğrudan Alım İşlemleri'!$E$2:$E$1944)=$A$21)*('Doğrudan Alım İşlemleri'!$H$2:$H$1944&lt;&gt;"")*'Doğrudan Alım İşlemleri'!$H$2:$H$1944)</f>
        <v/>
      </c>
      <c r="D21" s="11">
        <f>B21-C21</f>
        <v/>
      </c>
      <c r="E21" s="13">
        <f>SUMPRODUCT((YEAR('Doğrudan Alım İşlemleri'!$B$2:$B$1944)=$A$21)*('Doğrudan Alım İşlemleri'!$I$2:$I$1944&lt;&gt;"")*'Doğrudan Alım İşlemleri'!$I$2:$I$1944)</f>
        <v/>
      </c>
      <c r="F21" s="17">
        <f>IFERROR(C21/B21*100,"")</f>
        <v/>
      </c>
      <c r="G21" s="11">
        <f>G20+D21</f>
        <v/>
      </c>
    </row>
    <row r="22">
      <c r="A22" s="15" t="n">
        <v>2027</v>
      </c>
      <c r="B22" s="8">
        <f>SUMPRODUCT((YEAR('Doğrudan Alım İşlemleri'!$B$2:$B$1944)=$A$22)*('Doğrudan Alım İşlemleri'!$H$2:$H$1944&lt;&gt;"")*'Doğrudan Alım İşlemleri'!$H$2:$H$1944)</f>
        <v/>
      </c>
      <c r="C22" s="8">
        <f>SUMPRODUCT((YEAR('Doğrudan Alım İşlemleri'!$E$2:$E$1944)=$A$22)*('Doğrudan Alım İşlemleri'!$H$2:$H$1944&lt;&gt;"")*'Doğrudan Alım İşlemleri'!$H$2:$H$1944)</f>
        <v/>
      </c>
      <c r="D22" s="8">
        <f>B22-C22</f>
        <v/>
      </c>
      <c r="E22" s="24">
        <f>SUMPRODUCT((YEAR('Doğrudan Alım İşlemleri'!$B$2:$B$1944)=$A$22)*('Doğrudan Alım İşlemleri'!$I$2:$I$1944&lt;&gt;"")*'Doğrudan Alım İşlemleri'!$I$2:$I$1944)</f>
        <v/>
      </c>
      <c r="F22" s="12">
        <f>IFERROR(C22/B22*100,"")</f>
        <v/>
      </c>
      <c r="G22" s="8">
        <f>G21+D22</f>
        <v/>
      </c>
    </row>
    <row r="23">
      <c r="A23" s="16" t="n">
        <v>2028</v>
      </c>
      <c r="B23" s="11">
        <f>SUMPRODUCT((YEAR('Doğrudan Alım İşlemleri'!$B$2:$B$1944)=$A$23)*('Doğrudan Alım İşlemleri'!$H$2:$H$1944&lt;&gt;"")*'Doğrudan Alım İşlemleri'!$H$2:$H$1944)</f>
        <v/>
      </c>
      <c r="C23" s="11">
        <f>SUMPRODUCT((YEAR('Doğrudan Alım İşlemleri'!$E$2:$E$1944)=$A$23)*('Doğrudan Alım İşlemleri'!$H$2:$H$1944&lt;&gt;"")*'Doğrudan Alım İşlemleri'!$H$2:$H$1944)</f>
        <v/>
      </c>
      <c r="D23" s="11">
        <f>B23-C23</f>
        <v/>
      </c>
      <c r="E23" s="13">
        <f>SUMPRODUCT((YEAR('Doğrudan Alım İşlemleri'!$B$2:$B$1944)=$A$23)*('Doğrudan Alım İşlemleri'!$I$2:$I$1944&lt;&gt;"")*'Doğrudan Alım İşlemleri'!$I$2:$I$1944)</f>
        <v/>
      </c>
      <c r="F23" s="17">
        <f>IFERROR(C23/B23*100,"")</f>
        <v/>
      </c>
      <c r="G23" s="11">
        <f>G22+D23</f>
        <v/>
      </c>
    </row>
    <row r="24">
      <c r="A24" s="15" t="n">
        <v>2029</v>
      </c>
      <c r="B24" s="8">
        <f>SUMPRODUCT((YEAR('Doğrudan Alım İşlemleri'!$B$2:$B$1944)=$A$24)*('Doğrudan Alım İşlemleri'!$H$2:$H$1944&lt;&gt;"")*'Doğrudan Alım İşlemleri'!$H$2:$H$1944)</f>
        <v/>
      </c>
      <c r="C24" s="8">
        <f>SUMPRODUCT((YEAR('Doğrudan Alım İşlemleri'!$E$2:$E$1944)=$A$24)*('Doğrudan Alım İşlemleri'!$H$2:$H$1944&lt;&gt;"")*'Doğrudan Alım İşlemleri'!$H$2:$H$1944)</f>
        <v/>
      </c>
      <c r="D24" s="8">
        <f>B24-C24</f>
        <v/>
      </c>
      <c r="E24" s="24">
        <f>SUMPRODUCT((YEAR('Doğrudan Alım İşlemleri'!$B$2:$B$1944)=$A$24)*('Doğrudan Alım İşlemleri'!$I$2:$I$1944&lt;&gt;"")*'Doğrudan Alım İşlemleri'!$I$2:$I$1944)</f>
        <v/>
      </c>
      <c r="F24" s="12">
        <f>IFERROR(C24/B24*100,"")</f>
        <v/>
      </c>
      <c r="G24" s="8">
        <f>G23+D24</f>
        <v/>
      </c>
    </row>
    <row r="25">
      <c r="A25" s="16" t="n">
        <v>2030</v>
      </c>
      <c r="B25" s="11">
        <f>SUMPRODUCT((YEAR('Doğrudan Alım İşlemleri'!$B$2:$B$1944)=$A$25)*('Doğrudan Alım İşlemleri'!$H$2:$H$1944&lt;&gt;"")*'Doğrudan Alım İşlemleri'!$H$2:$H$1944)</f>
        <v/>
      </c>
      <c r="C25" s="11">
        <f>SUMPRODUCT((YEAR('Doğrudan Alım İşlemleri'!$E$2:$E$1944)=$A$25)*('Doğrudan Alım İşlemleri'!$H$2:$H$1944&lt;&gt;"")*'Doğrudan Alım İşlemleri'!$H$2:$H$1944)</f>
        <v/>
      </c>
      <c r="D25" s="11">
        <f>B25-C25</f>
        <v/>
      </c>
      <c r="E25" s="13">
        <f>SUMPRODUCT((YEAR('Doğrudan Alım İşlemleri'!$B$2:$B$1944)=$A$25)*('Doğrudan Alım İşlemleri'!$I$2:$I$1944&lt;&gt;"")*'Doğrudan Alım İşlemleri'!$I$2:$I$1944)</f>
        <v/>
      </c>
      <c r="F25" s="17">
        <f>IFERROR(C25/B25*100,"")</f>
        <v/>
      </c>
      <c r="G25" s="11">
        <f>G24+D25</f>
        <v/>
      </c>
    </row>
    <row r="26">
      <c r="A26" s="15" t="n">
        <v>2031</v>
      </c>
      <c r="B26" s="8">
        <f>SUMPRODUCT((YEAR('Doğrudan Alım İşlemleri'!$B$2:$B$1944)=$A$26)*('Doğrudan Alım İşlemleri'!$H$2:$H$1944&lt;&gt;"")*'Doğrudan Alım İşlemleri'!$H$2:$H$1944)</f>
        <v/>
      </c>
      <c r="C26" s="8">
        <f>SUMPRODUCT((YEAR('Doğrudan Alım İşlemleri'!$E$2:$E$1944)=$A$26)*('Doğrudan Alım İşlemleri'!$H$2:$H$1944&lt;&gt;"")*'Doğrudan Alım İşlemleri'!$H$2:$H$1944)</f>
        <v/>
      </c>
      <c r="D26" s="8">
        <f>B26-C26</f>
        <v/>
      </c>
      <c r="E26" s="24">
        <f>SUMPRODUCT((YEAR('Doğrudan Alım İşlemleri'!$B$2:$B$1944)=$A$26)*('Doğrudan Alım İşlemleri'!$I$2:$I$1944&lt;&gt;"")*'Doğrudan Alım İşlemleri'!$I$2:$I$1944)</f>
        <v/>
      </c>
      <c r="F26" s="12">
        <f>IFERROR(C26/B26*100,"")</f>
        <v/>
      </c>
      <c r="G26" s="8">
        <f>G25+D26</f>
        <v/>
      </c>
    </row>
    <row r="27">
      <c r="A27" s="16" t="n">
        <v>2032</v>
      </c>
      <c r="B27" s="11">
        <f>SUMPRODUCT((YEAR('Doğrudan Alım İşlemleri'!$B$2:$B$1944)=$A$27)*('Doğrudan Alım İşlemleri'!$H$2:$H$1944&lt;&gt;"")*'Doğrudan Alım İşlemleri'!$H$2:$H$1944)</f>
        <v/>
      </c>
      <c r="C27" s="11">
        <f>SUMPRODUCT((YEAR('Doğrudan Alım İşlemleri'!$E$2:$E$1944)=$A$27)*('Doğrudan Alım İşlemleri'!$H$2:$H$1944&lt;&gt;"")*'Doğrudan Alım İşlemleri'!$H$2:$H$1944)</f>
        <v/>
      </c>
      <c r="D27" s="11">
        <f>B27-C27</f>
        <v/>
      </c>
      <c r="E27" s="13">
        <f>SUMPRODUCT((YEAR('Doğrudan Alım İşlemleri'!$B$2:$B$1944)=$A$27)*('Doğrudan Alım İşlemleri'!$I$2:$I$1944&lt;&gt;"")*'Doğrudan Alım İşlemleri'!$I$2:$I$1944)</f>
        <v/>
      </c>
      <c r="F27" s="17">
        <f>IFERROR(C27/B27*100,"")</f>
        <v/>
      </c>
      <c r="G27" s="11">
        <f>G26+D27</f>
        <v/>
      </c>
    </row>
    <row r="28">
      <c r="A28" s="15" t="n">
        <v>2033</v>
      </c>
      <c r="B28" s="8">
        <f>SUMPRODUCT((YEAR('Doğrudan Alım İşlemleri'!$B$2:$B$1944)=$A$28)*('Doğrudan Alım İşlemleri'!$H$2:$H$1944&lt;&gt;"")*'Doğrudan Alım İşlemleri'!$H$2:$H$1944)</f>
        <v/>
      </c>
      <c r="C28" s="8">
        <f>SUMPRODUCT((YEAR('Doğrudan Alım İşlemleri'!$E$2:$E$1944)=$A$28)*('Doğrudan Alım İşlemleri'!$H$2:$H$1944&lt;&gt;"")*'Doğrudan Alım İşlemleri'!$H$2:$H$1944)</f>
        <v/>
      </c>
      <c r="D28" s="8">
        <f>B28-C28</f>
        <v/>
      </c>
      <c r="E28" s="24">
        <f>SUMPRODUCT((YEAR('Doğrudan Alım İşlemleri'!$B$2:$B$1944)=$A$28)*('Doğrudan Alım İşlemleri'!$I$2:$I$1944&lt;&gt;"")*'Doğrudan Alım İşlemleri'!$I$2:$I$1944)</f>
        <v/>
      </c>
      <c r="F28" s="12">
        <f>IFERROR(C28/B28*100,"")</f>
        <v/>
      </c>
      <c r="G28" s="8">
        <f>G27+D28</f>
        <v/>
      </c>
    </row>
    <row r="29">
      <c r="A29" s="16" t="n">
        <v>2034</v>
      </c>
      <c r="B29" s="11">
        <f>SUMPRODUCT((YEAR('Doğrudan Alım İşlemleri'!$B$2:$B$1944)=$A$29)*('Doğrudan Alım İşlemleri'!$H$2:$H$1944&lt;&gt;"")*'Doğrudan Alım İşlemleri'!$H$2:$H$1944)</f>
        <v/>
      </c>
      <c r="C29" s="11">
        <f>SUMPRODUCT((YEAR('Doğrudan Alım İşlemleri'!$E$2:$E$1944)=$A$29)*('Doğrudan Alım İşlemleri'!$H$2:$H$1944&lt;&gt;"")*'Doğrudan Alım İşlemleri'!$H$2:$H$1944)</f>
        <v/>
      </c>
      <c r="D29" s="11">
        <f>B29-C29</f>
        <v/>
      </c>
      <c r="E29" s="13">
        <f>SUMPRODUCT((YEAR('Doğrudan Alım İşlemleri'!$B$2:$B$1944)=$A$29)*('Doğrudan Alım İşlemleri'!$I$2:$I$1944&lt;&gt;"")*'Doğrudan Alım İşlemleri'!$I$2:$I$1944)</f>
        <v/>
      </c>
      <c r="F29" s="17">
        <f>IFERROR(C29/B29*100,"")</f>
        <v/>
      </c>
      <c r="G29" s="11">
        <f>G28+D29</f>
        <v/>
      </c>
    </row>
    <row r="30">
      <c r="A30" s="26" t="inlineStr">
        <is>
          <t>TOPLAM</t>
        </is>
      </c>
      <c r="B30" s="27">
        <f>SUM(B4:B29)</f>
        <v/>
      </c>
      <c r="C30" s="27">
        <f>SUM(C4:C29)</f>
        <v/>
      </c>
      <c r="D30" s="27">
        <f>SUM(D4:D29)</f>
        <v/>
      </c>
      <c r="E30" s="28">
        <f>SUM(E4:E29)</f>
        <v/>
      </c>
      <c r="F30" s="26" t="n"/>
      <c r="G30" s="26"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İşlemleri'!$F$2:$F$1944,$A$4),0)</f>
        <v/>
      </c>
      <c r="C4" s="8">
        <f>IFERROR(SUMIF('Doğrudan Alım İşlemleri'!$F$2:$F$1944,$A$4,'Doğrudan Alım İşlemleri'!$H$2:$H$1944),0)</f>
        <v/>
      </c>
      <c r="D4" s="24">
        <f>IFERROR(SUMIF('Doğrudan Alım İşlemleri'!$F$2:$F$1944,$A$4,'Doğrudan Alım İşlemleri'!$I$2:$I$1944),0)</f>
        <v/>
      </c>
      <c r="E4" s="23">
        <f>IFERROR(AGGREGATE(5,6,'Doğrudan Alım İşlemleri'!$B$2:$B$1944/('Doğrudan Alım İşlemleri'!$F$2:$F$1944=$A$4),1),"")</f>
        <v/>
      </c>
      <c r="F4" s="23">
        <f>IFERROR(AGGREGATE(14,6,'Doğrudan Alım İşlemleri'!$B$2:$B$1944/('Doğrudan Alım İşlemleri'!$F$2:$F$1944=$A$4),1),"")</f>
        <v/>
      </c>
      <c r="G4" s="23">
        <f>IFERROR(AGGREGATE(14,6,'Doğrudan Alım İşlemleri'!$E$2:$E$1944/('Doğrudan Alım İşlemleri'!$F$2:$F$1944=$A$4),1),"")</f>
        <v/>
      </c>
    </row>
    <row r="5">
      <c r="A5" s="16" t="inlineStr">
        <is>
          <t>TRT120325T12</t>
        </is>
      </c>
      <c r="B5" s="11">
        <f>IFERROR(COUNTIF('Doğrudan Alım İşlemleri'!$F$2:$F$1944,$A$5),0)</f>
        <v/>
      </c>
      <c r="C5" s="11">
        <f>IFERROR(SUMIF('Doğrudan Alım İşlemleri'!$F$2:$F$1944,$A$5,'Doğrudan Alım İşlemleri'!$H$2:$H$1944),0)</f>
        <v/>
      </c>
      <c r="D5" s="13">
        <f>IFERROR(SUMIF('Doğrudan Alım İşlemleri'!$F$2:$F$1944,$A$5,'Doğrudan Alım İşlemleri'!$I$2:$I$1944),0)</f>
        <v/>
      </c>
      <c r="E5" s="3">
        <f>IFERROR(AGGREGATE(5,6,'Doğrudan Alım İşlemleri'!$B$2:$B$1944/('Doğrudan Alım İşlemleri'!$F$2:$F$1944=$A$5),1),"")</f>
        <v/>
      </c>
      <c r="F5" s="3">
        <f>IFERROR(AGGREGATE(14,6,'Doğrudan Alım İşlemleri'!$B$2:$B$1944/('Doğrudan Alım İşlemleri'!$F$2:$F$1944=$A$5),1),"")</f>
        <v/>
      </c>
      <c r="G5" s="3">
        <f>IFERROR(AGGREGATE(14,6,'Doğrudan Alım İşlemleri'!$E$2:$E$1944/('Doğrudan Alım İşlemleri'!$F$2:$F$1944=$A$5),1),"")</f>
        <v/>
      </c>
    </row>
    <row r="6">
      <c r="A6" s="15" t="inlineStr">
        <is>
          <t>TRT240724T15</t>
        </is>
      </c>
      <c r="B6" s="8">
        <f>IFERROR(COUNTIF('Doğrudan Alım İşlemleri'!$F$2:$F$1944,$A$6),0)</f>
        <v/>
      </c>
      <c r="C6" s="8">
        <f>IFERROR(SUMIF('Doğrudan Alım İşlemleri'!$F$2:$F$1944,$A$6,'Doğrudan Alım İşlemleri'!$H$2:$H$1944),0)</f>
        <v/>
      </c>
      <c r="D6" s="24">
        <f>IFERROR(SUMIF('Doğrudan Alım İşlemleri'!$F$2:$F$1944,$A$6,'Doğrudan Alım İşlemleri'!$I$2:$I$1944),0)</f>
        <v/>
      </c>
      <c r="E6" s="23">
        <f>IFERROR(AGGREGATE(5,6,'Doğrudan Alım İşlemleri'!$B$2:$B$1944/('Doğrudan Alım İşlemleri'!$F$2:$F$1944=$A$6),1),"")</f>
        <v/>
      </c>
      <c r="F6" s="23">
        <f>IFERROR(AGGREGATE(14,6,'Doğrudan Alım İşlemleri'!$B$2:$B$1944/('Doğrudan Alım İşlemleri'!$F$2:$F$1944=$A$6),1),"")</f>
        <v/>
      </c>
      <c r="G6" s="23">
        <f>IFERROR(AGGREGATE(14,6,'Doğrudan Alım İşlemleri'!$E$2:$E$1944/('Doğrudan Alım İşlemleri'!$F$2:$F$1944=$A$6),1),"")</f>
        <v/>
      </c>
    </row>
    <row r="7">
      <c r="A7" s="16" t="inlineStr">
        <is>
          <t>TRT240227T17</t>
        </is>
      </c>
      <c r="B7" s="11">
        <f>IFERROR(COUNTIF('Doğrudan Alım İşlemleri'!$F$2:$F$1944,$A$7),0)</f>
        <v/>
      </c>
      <c r="C7" s="11">
        <f>IFERROR(SUMIF('Doğrudan Alım İşlemleri'!$F$2:$F$1944,$A$7,'Doğrudan Alım İşlemleri'!$H$2:$H$1944),0)</f>
        <v/>
      </c>
      <c r="D7" s="13">
        <f>IFERROR(SUMIF('Doğrudan Alım İşlemleri'!$F$2:$F$1944,$A$7,'Doğrudan Alım İşlemleri'!$I$2:$I$1944),0)</f>
        <v/>
      </c>
      <c r="E7" s="3">
        <f>IFERROR(AGGREGATE(5,6,'Doğrudan Alım İşlemleri'!$B$2:$B$1944/('Doğrudan Alım İşlemleri'!$F$2:$F$1944=$A$7),1),"")</f>
        <v/>
      </c>
      <c r="F7" s="3">
        <f>IFERROR(AGGREGATE(14,6,'Doğrudan Alım İşlemleri'!$B$2:$B$1944/('Doğrudan Alım İşlemleri'!$F$2:$F$1944=$A$7),1),"")</f>
        <v/>
      </c>
      <c r="G7" s="3">
        <f>IFERROR(AGGREGATE(14,6,'Doğrudan Alım İşlemleri'!$E$2:$E$1944/('Doğrudan Alım İşlemleri'!$F$2:$F$1944=$A$7),1),"")</f>
        <v/>
      </c>
    </row>
    <row r="8">
      <c r="A8" s="15" t="inlineStr">
        <is>
          <t>TRT020926T17</t>
        </is>
      </c>
      <c r="B8" s="8">
        <f>IFERROR(COUNTIF('Doğrudan Alım İşlemleri'!$F$2:$F$1944,$A$8),0)</f>
        <v/>
      </c>
      <c r="C8" s="8">
        <f>IFERROR(SUMIF('Doğrudan Alım İşlemleri'!$F$2:$F$1944,$A$8,'Doğrudan Alım İşlemleri'!$H$2:$H$1944),0)</f>
        <v/>
      </c>
      <c r="D8" s="24">
        <f>IFERROR(SUMIF('Doğrudan Alım İşlemleri'!$F$2:$F$1944,$A$8,'Doğrudan Alım İşlemleri'!$I$2:$I$1944),0)</f>
        <v/>
      </c>
      <c r="E8" s="23">
        <f>IFERROR(AGGREGATE(5,6,'Doğrudan Alım İşlemleri'!$B$2:$B$1944/('Doğrudan Alım İşlemleri'!$F$2:$F$1944=$A$8),1),"")</f>
        <v/>
      </c>
      <c r="F8" s="23">
        <f>IFERROR(AGGREGATE(14,6,'Doğrudan Alım İşlemleri'!$B$2:$B$1944/('Doğrudan Alım İşlemleri'!$F$2:$F$1944=$A$8),1),"")</f>
        <v/>
      </c>
      <c r="G8" s="23">
        <f>IFERROR(AGGREGATE(14,6,'Doğrudan Alım İşlemleri'!$E$2:$E$1944/('Doğrudan Alım İşlemleri'!$F$2:$F$1944=$A$8),1),"")</f>
        <v/>
      </c>
    </row>
    <row r="9">
      <c r="A9" s="16" t="inlineStr">
        <is>
          <t>TRT110226T13</t>
        </is>
      </c>
      <c r="B9" s="11">
        <f>IFERROR(COUNTIF('Doğrudan Alım İşlemleri'!$F$2:$F$1944,$A$9),0)</f>
        <v/>
      </c>
      <c r="C9" s="11">
        <f>IFERROR(SUMIF('Doğrudan Alım İşlemleri'!$F$2:$F$1944,$A$9,'Doğrudan Alım İşlemleri'!$H$2:$H$1944),0)</f>
        <v/>
      </c>
      <c r="D9" s="13">
        <f>IFERROR(SUMIF('Doğrudan Alım İşlemleri'!$F$2:$F$1944,$A$9,'Doğrudan Alım İşlemleri'!$I$2:$I$1944),0)</f>
        <v/>
      </c>
      <c r="E9" s="3">
        <f>IFERROR(AGGREGATE(5,6,'Doğrudan Alım İşlemleri'!$B$2:$B$1944/('Doğrudan Alım İşlemleri'!$F$2:$F$1944=$A$9),1),"")</f>
        <v/>
      </c>
      <c r="F9" s="3">
        <f>IFERROR(AGGREGATE(14,6,'Doğrudan Alım İşlemleri'!$B$2:$B$1944/('Doğrudan Alım İşlemleri'!$F$2:$F$1944=$A$9),1),"")</f>
        <v/>
      </c>
      <c r="G9" s="3">
        <f>IFERROR(AGGREGATE(14,6,'Doğrudan Alım İşlemleri'!$E$2:$E$1944/('Doğrudan Alım İşlemleri'!$F$2:$F$1944=$A$9),1),"")</f>
        <v/>
      </c>
    </row>
    <row r="10">
      <c r="A10" s="15" t="inlineStr">
        <is>
          <t>TRT110827T16</t>
        </is>
      </c>
      <c r="B10" s="8">
        <f>IFERROR(COUNTIF('Doğrudan Alım İşlemleri'!$F$2:$F$1944,$A$10),0)</f>
        <v/>
      </c>
      <c r="C10" s="8">
        <f>IFERROR(SUMIF('Doğrudan Alım İşlemleri'!$F$2:$F$1944,$A$10,'Doğrudan Alım İşlemleri'!$H$2:$H$1944),0)</f>
        <v/>
      </c>
      <c r="D10" s="24">
        <f>IFERROR(SUMIF('Doğrudan Alım İşlemleri'!$F$2:$F$1944,$A$10,'Doğrudan Alım İşlemleri'!$I$2:$I$1944),0)</f>
        <v/>
      </c>
      <c r="E10" s="23">
        <f>IFERROR(AGGREGATE(5,6,'Doğrudan Alım İşlemleri'!$B$2:$B$1944/('Doğrudan Alım İşlemleri'!$F$2:$F$1944=$A$10),1),"")</f>
        <v/>
      </c>
      <c r="F10" s="23">
        <f>IFERROR(AGGREGATE(14,6,'Doğrudan Alım İşlemleri'!$B$2:$B$1944/('Doğrudan Alım İşlemleri'!$F$2:$F$1944=$A$10),1),"")</f>
        <v/>
      </c>
      <c r="G10" s="23">
        <f>IFERROR(AGGREGATE(14,6,'Doğrudan Alım İşlemleri'!$E$2:$E$1944/('Doğrudan Alım İşlemleri'!$F$2:$F$1944=$A$10),1),"")</f>
        <v/>
      </c>
    </row>
    <row r="11">
      <c r="A11" s="16" t="inlineStr">
        <is>
          <t>TRT090627T12</t>
        </is>
      </c>
      <c r="B11" s="11">
        <f>IFERROR(COUNTIF('Doğrudan Alım İşlemleri'!$F$2:$F$1944,$A$11),0)</f>
        <v/>
      </c>
      <c r="C11" s="11">
        <f>IFERROR(SUMIF('Doğrudan Alım İşlemleri'!$F$2:$F$1944,$A$11,'Doğrudan Alım İşlemleri'!$H$2:$H$1944),0)</f>
        <v/>
      </c>
      <c r="D11" s="13">
        <f>IFERROR(SUMIF('Doğrudan Alım İşlemleri'!$F$2:$F$1944,$A$11,'Doğrudan Alım İşlemleri'!$I$2:$I$1944),0)</f>
        <v/>
      </c>
      <c r="E11" s="3">
        <f>IFERROR(AGGREGATE(5,6,'Doğrudan Alım İşlemleri'!$B$2:$B$1944/('Doğrudan Alım İşlemleri'!$F$2:$F$1944=$A$11),1),"")</f>
        <v/>
      </c>
      <c r="F11" s="3">
        <f>IFERROR(AGGREGATE(14,6,'Doğrudan Alım İşlemleri'!$B$2:$B$1944/('Doğrudan Alım İşlemleri'!$F$2:$F$1944=$A$11),1),"")</f>
        <v/>
      </c>
      <c r="G11" s="3">
        <f>IFERROR(AGGREGATE(14,6,'Doğrudan Alım İşlemleri'!$E$2:$E$1944/('Doğrudan Alım İşlemleri'!$F$2:$F$1944=$A$11),1),"")</f>
        <v/>
      </c>
    </row>
    <row r="12">
      <c r="A12" s="15" t="inlineStr">
        <is>
          <t>TRT131130T14</t>
        </is>
      </c>
      <c r="B12" s="8">
        <f>IFERROR(COUNTIF('Doğrudan Alım İşlemleri'!$F$2:$F$1944,$A$12),0)</f>
        <v/>
      </c>
      <c r="C12" s="8">
        <f>IFERROR(SUMIF('Doğrudan Alım İşlemleri'!$F$2:$F$1944,$A$12,'Doğrudan Alım İşlemleri'!$H$2:$H$1944),0)</f>
        <v/>
      </c>
      <c r="D12" s="24">
        <f>IFERROR(SUMIF('Doğrudan Alım İşlemleri'!$F$2:$F$1944,$A$12,'Doğrudan Alım İşlemleri'!$I$2:$I$1944),0)</f>
        <v/>
      </c>
      <c r="E12" s="23">
        <f>IFERROR(AGGREGATE(5,6,'Doğrudan Alım İşlemleri'!$B$2:$B$1944/('Doğrudan Alım İşlemleri'!$F$2:$F$1944=$A$12),1),"")</f>
        <v/>
      </c>
      <c r="F12" s="23">
        <f>IFERROR(AGGREGATE(14,6,'Doğrudan Alım İşlemleri'!$B$2:$B$1944/('Doğrudan Alım İşlemleri'!$F$2:$F$1944=$A$12),1),"")</f>
        <v/>
      </c>
      <c r="G12" s="23">
        <f>IFERROR(AGGREGATE(14,6,'Doğrudan Alım İşlemleri'!$E$2:$E$1944/('Doğrudan Alım İşlemleri'!$F$2:$F$1944=$A$12),1),"")</f>
        <v/>
      </c>
    </row>
    <row r="13">
      <c r="A13" s="16" t="inlineStr">
        <is>
          <t>TRT050220T17</t>
        </is>
      </c>
      <c r="B13" s="11">
        <f>IFERROR(COUNTIF('Doğrudan Alım İşlemleri'!$F$2:$F$1944,$A$13),0)</f>
        <v/>
      </c>
      <c r="C13" s="11">
        <f>IFERROR(SUMIF('Doğrudan Alım İşlemleri'!$F$2:$F$1944,$A$13,'Doğrudan Alım İşlemleri'!$H$2:$H$1944),0)</f>
        <v/>
      </c>
      <c r="D13" s="13">
        <f>IFERROR(SUMIF('Doğrudan Alım İşlemleri'!$F$2:$F$1944,$A$13,'Doğrudan Alım İşlemleri'!$I$2:$I$1944),0)</f>
        <v/>
      </c>
      <c r="E13" s="3">
        <f>IFERROR(AGGREGATE(5,6,'Doğrudan Alım İşlemleri'!$B$2:$B$1944/('Doğrudan Alım İşlemleri'!$F$2:$F$1944=$A$13),1),"")</f>
        <v/>
      </c>
      <c r="F13" s="3">
        <f>IFERROR(AGGREGATE(14,6,'Doğrudan Alım İşlemleri'!$B$2:$B$1944/('Doğrudan Alım İşlemleri'!$F$2:$F$1944=$A$13),1),"")</f>
        <v/>
      </c>
      <c r="G13" s="3">
        <f>IFERROR(AGGREGATE(14,6,'Doğrudan Alım İşlemleri'!$E$2:$E$1944/('Doğrudan Alım İşlemleri'!$F$2:$F$1944=$A$13),1),"")</f>
        <v/>
      </c>
    </row>
    <row r="14">
      <c r="A14" s="15" t="inlineStr">
        <is>
          <t>TRT141118T19</t>
        </is>
      </c>
      <c r="B14" s="8">
        <f>IFERROR(COUNTIF('Doğrudan Alım İşlemleri'!$F$2:$F$1944,$A$14),0)</f>
        <v/>
      </c>
      <c r="C14" s="8">
        <f>IFERROR(SUMIF('Doğrudan Alım İşlemleri'!$F$2:$F$1944,$A$14,'Doğrudan Alım İşlemleri'!$H$2:$H$1944),0)</f>
        <v/>
      </c>
      <c r="D14" s="24">
        <f>IFERROR(SUMIF('Doğrudan Alım İşlemleri'!$F$2:$F$1944,$A$14,'Doğrudan Alım İşlemleri'!$I$2:$I$1944),0)</f>
        <v/>
      </c>
      <c r="E14" s="23">
        <f>IFERROR(AGGREGATE(5,6,'Doğrudan Alım İşlemleri'!$B$2:$B$1944/('Doğrudan Alım İşlemleri'!$F$2:$F$1944=$A$14),1),"")</f>
        <v/>
      </c>
      <c r="F14" s="23">
        <f>IFERROR(AGGREGATE(14,6,'Doğrudan Alım İşlemleri'!$B$2:$B$1944/('Doğrudan Alım İşlemleri'!$F$2:$F$1944=$A$14),1),"")</f>
        <v/>
      </c>
      <c r="G14" s="23">
        <f>IFERROR(AGGREGATE(14,6,'Doğrudan Alım İşlemleri'!$E$2:$E$1944/('Doğrudan Alım İşlemleri'!$F$2:$F$1944=$A$14),1),"")</f>
        <v/>
      </c>
    </row>
    <row r="15">
      <c r="A15" s="16" t="inlineStr">
        <is>
          <t>TRT100719T18</t>
        </is>
      </c>
      <c r="B15" s="11">
        <f>IFERROR(COUNTIF('Doğrudan Alım İşlemleri'!$F$2:$F$1944,$A$15),0)</f>
        <v/>
      </c>
      <c r="C15" s="11">
        <f>IFERROR(SUMIF('Doğrudan Alım İşlemleri'!$F$2:$F$1944,$A$15,'Doğrudan Alım İşlemleri'!$H$2:$H$1944),0)</f>
        <v/>
      </c>
      <c r="D15" s="13">
        <f>IFERROR(SUMIF('Doğrudan Alım İşlemleri'!$F$2:$F$1944,$A$15,'Doğrudan Alım İşlemleri'!$I$2:$I$1944),0)</f>
        <v/>
      </c>
      <c r="E15" s="3">
        <f>IFERROR(AGGREGATE(5,6,'Doğrudan Alım İşlemleri'!$B$2:$B$1944/('Doğrudan Alım İşlemleri'!$F$2:$F$1944=$A$15),1),"")</f>
        <v/>
      </c>
      <c r="F15" s="3">
        <f>IFERROR(AGGREGATE(14,6,'Doğrudan Alım İşlemleri'!$B$2:$B$1944/('Doğrudan Alım İşlemleri'!$F$2:$F$1944=$A$15),1),"")</f>
        <v/>
      </c>
      <c r="G15" s="3">
        <f>IFERROR(AGGREGATE(14,6,'Doğrudan Alım İşlemleri'!$E$2:$E$1944/('Doğrudan Alım İşlemleri'!$F$2:$F$1944=$A$15),1),"")</f>
        <v/>
      </c>
    </row>
    <row r="16">
      <c r="A16" s="15" t="inlineStr">
        <is>
          <t>TRT270923T11</t>
        </is>
      </c>
      <c r="B16" s="8">
        <f>IFERROR(COUNTIF('Doğrudan Alım İşlemleri'!$F$2:$F$1944,$A$16),0)</f>
        <v/>
      </c>
      <c r="C16" s="8">
        <f>IFERROR(SUMIF('Doğrudan Alım İşlemleri'!$F$2:$F$1944,$A$16,'Doğrudan Alım İşlemleri'!$H$2:$H$1944),0)</f>
        <v/>
      </c>
      <c r="D16" s="24">
        <f>IFERROR(SUMIF('Doğrudan Alım İşlemleri'!$F$2:$F$1944,$A$16,'Doğrudan Alım İşlemleri'!$I$2:$I$1944),0)</f>
        <v/>
      </c>
      <c r="E16" s="23">
        <f>IFERROR(AGGREGATE(5,6,'Doğrudan Alım İşlemleri'!$B$2:$B$1944/('Doğrudan Alım İşlemleri'!$F$2:$F$1944=$A$16),1),"")</f>
        <v/>
      </c>
      <c r="F16" s="23">
        <f>IFERROR(AGGREGATE(14,6,'Doğrudan Alım İşlemleri'!$B$2:$B$1944/('Doğrudan Alım İşlemleri'!$F$2:$F$1944=$A$16),1),"")</f>
        <v/>
      </c>
      <c r="G16" s="23">
        <f>IFERROR(AGGREGATE(14,6,'Doğrudan Alım İşlemleri'!$E$2:$E$1944/('Doğrudan Alım İşlemleri'!$F$2:$F$1944=$A$16),1),"")</f>
        <v/>
      </c>
    </row>
    <row r="17">
      <c r="A17" s="16" t="inlineStr">
        <is>
          <t>TRT200618T18</t>
        </is>
      </c>
      <c r="B17" s="11">
        <f>IFERROR(COUNTIF('Doğrudan Alım İşlemleri'!$F$2:$F$1944,$A$17),0)</f>
        <v/>
      </c>
      <c r="C17" s="11">
        <f>IFERROR(SUMIF('Doğrudan Alım İşlemleri'!$F$2:$F$1944,$A$17,'Doğrudan Alım İşlemleri'!$H$2:$H$1944),0)</f>
        <v/>
      </c>
      <c r="D17" s="13">
        <f>IFERROR(SUMIF('Doğrudan Alım İşlemleri'!$F$2:$F$1944,$A$17,'Doğrudan Alım İşlemleri'!$I$2:$I$1944),0)</f>
        <v/>
      </c>
      <c r="E17" s="3">
        <f>IFERROR(AGGREGATE(5,6,'Doğrudan Alım İşlemleri'!$B$2:$B$1944/('Doğrudan Alım İşlemleri'!$F$2:$F$1944=$A$17),1),"")</f>
        <v/>
      </c>
      <c r="F17" s="3">
        <f>IFERROR(AGGREGATE(14,6,'Doğrudan Alım İşlemleri'!$B$2:$B$1944/('Doğrudan Alım İşlemleri'!$F$2:$F$1944=$A$17),1),"")</f>
        <v/>
      </c>
      <c r="G17" s="3">
        <f>IFERROR(AGGREGATE(14,6,'Doğrudan Alım İşlemleri'!$E$2:$E$1944/('Doğrudan Alım İşlemleri'!$F$2:$F$1944=$A$17),1),"")</f>
        <v/>
      </c>
    </row>
    <row r="18">
      <c r="A18" s="15" t="inlineStr">
        <is>
          <t>TRT200923T18</t>
        </is>
      </c>
      <c r="B18" s="8">
        <f>IFERROR(COUNTIF('Doğrudan Alım İşlemleri'!$F$2:$F$1944,$A$18),0)</f>
        <v/>
      </c>
      <c r="C18" s="8">
        <f>IFERROR(SUMIF('Doğrudan Alım İşlemleri'!$F$2:$F$1944,$A$18,'Doğrudan Alım İşlemleri'!$H$2:$H$1944),0)</f>
        <v/>
      </c>
      <c r="D18" s="24">
        <f>IFERROR(SUMIF('Doğrudan Alım İşlemleri'!$F$2:$F$1944,$A$18,'Doğrudan Alım İşlemleri'!$I$2:$I$1944),0)</f>
        <v/>
      </c>
      <c r="E18" s="23">
        <f>IFERROR(AGGREGATE(5,6,'Doğrudan Alım İşlemleri'!$B$2:$B$1944/('Doğrudan Alım İşlemleri'!$F$2:$F$1944=$A$18),1),"")</f>
        <v/>
      </c>
      <c r="F18" s="23">
        <f>IFERROR(AGGREGATE(14,6,'Doğrudan Alım İşlemleri'!$B$2:$B$1944/('Doğrudan Alım İşlemleri'!$F$2:$F$1944=$A$18),1),"")</f>
        <v/>
      </c>
      <c r="G18" s="23">
        <f>IFERROR(AGGREGATE(14,6,'Doğrudan Alım İşlemleri'!$E$2:$E$1944/('Doğrudan Alım İşlemleri'!$F$2:$F$1944=$A$18),1),"")</f>
        <v/>
      </c>
    </row>
    <row r="19">
      <c r="A19" s="16" t="inlineStr">
        <is>
          <t>TRT200324T13</t>
        </is>
      </c>
      <c r="B19" s="11">
        <f>IFERROR(COUNTIF('Doğrudan Alım İşlemleri'!$F$2:$F$1944,$A$19),0)</f>
        <v/>
      </c>
      <c r="C19" s="11">
        <f>IFERROR(SUMIF('Doğrudan Alım İşlemleri'!$F$2:$F$1944,$A$19,'Doğrudan Alım İşlemleri'!$H$2:$H$1944),0)</f>
        <v/>
      </c>
      <c r="D19" s="13">
        <f>IFERROR(SUMIF('Doğrudan Alım İşlemleri'!$F$2:$F$1944,$A$19,'Doğrudan Alım İşlemleri'!$I$2:$I$1944),0)</f>
        <v/>
      </c>
      <c r="E19" s="3">
        <f>IFERROR(AGGREGATE(5,6,'Doğrudan Alım İşlemleri'!$B$2:$B$1944/('Doğrudan Alım İşlemleri'!$F$2:$F$1944=$A$19),1),"")</f>
        <v/>
      </c>
      <c r="F19" s="3">
        <f>IFERROR(AGGREGATE(14,6,'Doğrudan Alım İşlemleri'!$B$2:$B$1944/('Doğrudan Alım İşlemleri'!$F$2:$F$1944=$A$19),1),"")</f>
        <v/>
      </c>
      <c r="G19" s="3">
        <f>IFERROR(AGGREGATE(14,6,'Doğrudan Alım İşlemleri'!$E$2:$E$1944/('Doğrudan Alım İşlemleri'!$F$2:$F$1944=$A$19),1),"")</f>
        <v/>
      </c>
    </row>
    <row r="20">
      <c r="A20" s="15" t="inlineStr">
        <is>
          <t>TRT140218T10</t>
        </is>
      </c>
      <c r="B20" s="8">
        <f>IFERROR(COUNTIF('Doğrudan Alım İşlemleri'!$F$2:$F$1944,$A$20),0)</f>
        <v/>
      </c>
      <c r="C20" s="8">
        <f>IFERROR(SUMIF('Doğrudan Alım İşlemleri'!$F$2:$F$1944,$A$20,'Doğrudan Alım İşlemleri'!$H$2:$H$1944),0)</f>
        <v/>
      </c>
      <c r="D20" s="24">
        <f>IFERROR(SUMIF('Doğrudan Alım İşlemleri'!$F$2:$F$1944,$A$20,'Doğrudan Alım İşlemleri'!$I$2:$I$1944),0)</f>
        <v/>
      </c>
      <c r="E20" s="23">
        <f>IFERROR(AGGREGATE(5,6,'Doğrudan Alım İşlemleri'!$B$2:$B$1944/('Doğrudan Alım İşlemleri'!$F$2:$F$1944=$A$20),1),"")</f>
        <v/>
      </c>
      <c r="F20" s="23">
        <f>IFERROR(AGGREGATE(14,6,'Doğrudan Alım İşlemleri'!$B$2:$B$1944/('Doğrudan Alım İşlemleri'!$F$2:$F$1944=$A$20),1),"")</f>
        <v/>
      </c>
      <c r="G20" s="23">
        <f>IFERROR(AGGREGATE(14,6,'Doğrudan Alım İşlemleri'!$E$2:$E$1944/('Doğrudan Alım İşlemleri'!$F$2:$F$1944=$A$20),1),"")</f>
        <v/>
      </c>
    </row>
    <row r="21">
      <c r="A21" s="16" t="inlineStr">
        <is>
          <t>TRT280432T14</t>
        </is>
      </c>
      <c r="B21" s="11">
        <f>IFERROR(COUNTIF('Doğrudan Alım İşlemleri'!$F$2:$F$1944,$A$21),0)</f>
        <v/>
      </c>
      <c r="C21" s="11">
        <f>IFERROR(SUMIF('Doğrudan Alım İşlemleri'!$F$2:$F$1944,$A$21,'Doğrudan Alım İşlemleri'!$H$2:$H$1944),0)</f>
        <v/>
      </c>
      <c r="D21" s="13">
        <f>IFERROR(SUMIF('Doğrudan Alım İşlemleri'!$F$2:$F$1944,$A$21,'Doğrudan Alım İşlemleri'!$I$2:$I$1944),0)</f>
        <v/>
      </c>
      <c r="E21" s="3">
        <f>IFERROR(AGGREGATE(5,6,'Doğrudan Alım İşlemleri'!$B$2:$B$1944/('Doğrudan Alım İşlemleri'!$F$2:$F$1944=$A$21),1),"")</f>
        <v/>
      </c>
      <c r="F21" s="3">
        <f>IFERROR(AGGREGATE(14,6,'Doğrudan Alım İşlemleri'!$B$2:$B$1944/('Doğrudan Alım İşlemleri'!$F$2:$F$1944=$A$21),1),"")</f>
        <v/>
      </c>
      <c r="G21" s="3">
        <f>IFERROR(AGGREGATE(14,6,'Doğrudan Alım İşlemleri'!$E$2:$E$1944/('Doğrudan Alım İşlemleri'!$F$2:$F$1944=$A$21),1),"")</f>
        <v/>
      </c>
    </row>
    <row r="22">
      <c r="A22" s="15" t="inlineStr">
        <is>
          <t>TRT150120T16</t>
        </is>
      </c>
      <c r="B22" s="8">
        <f>IFERROR(COUNTIF('Doğrudan Alım İşlemleri'!$F$2:$F$1944,$A$22),0)</f>
        <v/>
      </c>
      <c r="C22" s="8">
        <f>IFERROR(SUMIF('Doğrudan Alım İşlemleri'!$F$2:$F$1944,$A$22,'Doğrudan Alım İşlemleri'!$H$2:$H$1944),0)</f>
        <v/>
      </c>
      <c r="D22" s="24">
        <f>IFERROR(SUMIF('Doğrudan Alım İşlemleri'!$F$2:$F$1944,$A$22,'Doğrudan Alım İşlemleri'!$I$2:$I$1944),0)</f>
        <v/>
      </c>
      <c r="E22" s="23">
        <f>IFERROR(AGGREGATE(5,6,'Doğrudan Alım İşlemleri'!$B$2:$B$1944/('Doğrudan Alım İşlemleri'!$F$2:$F$1944=$A$22),1),"")</f>
        <v/>
      </c>
      <c r="F22" s="23">
        <f>IFERROR(AGGREGATE(14,6,'Doğrudan Alım İşlemleri'!$B$2:$B$1944/('Doğrudan Alım İşlemleri'!$F$2:$F$1944=$A$22),1),"")</f>
        <v/>
      </c>
      <c r="G22" s="23">
        <f>IFERROR(AGGREGATE(14,6,'Doğrudan Alım İşlemleri'!$E$2:$E$1944/('Doğrudan Alım İşlemleri'!$F$2:$F$1944=$A$22),1),"")</f>
        <v/>
      </c>
    </row>
    <row r="23">
      <c r="A23" s="16" t="inlineStr">
        <is>
          <t>TRT270319T13</t>
        </is>
      </c>
      <c r="B23" s="11">
        <f>IFERROR(COUNTIF('Doğrudan Alım İşlemleri'!$F$2:$F$1944,$A$23),0)</f>
        <v/>
      </c>
      <c r="C23" s="11">
        <f>IFERROR(SUMIF('Doğrudan Alım İşlemleri'!$F$2:$F$1944,$A$23,'Doğrudan Alım İşlemleri'!$H$2:$H$1944),0)</f>
        <v/>
      </c>
      <c r="D23" s="13">
        <f>IFERROR(SUMIF('Doğrudan Alım İşlemleri'!$F$2:$F$1944,$A$23,'Doğrudan Alım İşlemleri'!$I$2:$I$1944),0)</f>
        <v/>
      </c>
      <c r="E23" s="3">
        <f>IFERROR(AGGREGATE(5,6,'Doğrudan Alım İşlemleri'!$B$2:$B$1944/('Doğrudan Alım İşlemleri'!$F$2:$F$1944=$A$23),1),"")</f>
        <v/>
      </c>
      <c r="F23" s="3">
        <f>IFERROR(AGGREGATE(14,6,'Doğrudan Alım İşlemleri'!$B$2:$B$1944/('Doğrudan Alım İşlemleri'!$F$2:$F$1944=$A$23),1),"")</f>
        <v/>
      </c>
      <c r="G23" s="3">
        <f>IFERROR(AGGREGATE(14,6,'Doğrudan Alım İşlemleri'!$E$2:$E$1944/('Doğrudan Alım İşlemleri'!$F$2:$F$1944=$A$23),1),"")</f>
        <v/>
      </c>
    </row>
    <row r="24">
      <c r="A24" s="15" t="inlineStr">
        <is>
          <t>TRT080323T10</t>
        </is>
      </c>
      <c r="B24" s="8">
        <f>IFERROR(COUNTIF('Doğrudan Alım İşlemleri'!$F$2:$F$1944,$A$24),0)</f>
        <v/>
      </c>
      <c r="C24" s="8">
        <f>IFERROR(SUMIF('Doğrudan Alım İşlemleri'!$F$2:$F$1944,$A$24,'Doğrudan Alım İşlemleri'!$H$2:$H$1944),0)</f>
        <v/>
      </c>
      <c r="D24" s="24">
        <f>IFERROR(SUMIF('Doğrudan Alım İşlemleri'!$F$2:$F$1944,$A$24,'Doğrudan Alım İşlemleri'!$I$2:$I$1944),0)</f>
        <v/>
      </c>
      <c r="E24" s="23">
        <f>IFERROR(AGGREGATE(5,6,'Doğrudan Alım İşlemleri'!$B$2:$B$1944/('Doğrudan Alım İşlemleri'!$F$2:$F$1944=$A$24),1),"")</f>
        <v/>
      </c>
      <c r="F24" s="23">
        <f>IFERROR(AGGREGATE(14,6,'Doğrudan Alım İşlemleri'!$B$2:$B$1944/('Doğrudan Alım İşlemleri'!$F$2:$F$1944=$A$24),1),"")</f>
        <v/>
      </c>
      <c r="G24" s="23">
        <f>IFERROR(AGGREGATE(14,6,'Doğrudan Alım İşlemleri'!$E$2:$E$1944/('Doğrudan Alım İşlemleri'!$F$2:$F$1944=$A$24),1),"")</f>
        <v/>
      </c>
    </row>
    <row r="25">
      <c r="A25" s="16" t="inlineStr">
        <is>
          <t>TRT080328T15</t>
        </is>
      </c>
      <c r="B25" s="11">
        <f>IFERROR(COUNTIF('Doğrudan Alım İşlemleri'!$F$2:$F$1944,$A$25),0)</f>
        <v/>
      </c>
      <c r="C25" s="11">
        <f>IFERROR(SUMIF('Doğrudan Alım İşlemleri'!$F$2:$F$1944,$A$25,'Doğrudan Alım İşlemleri'!$H$2:$H$1944),0)</f>
        <v/>
      </c>
      <c r="D25" s="13">
        <f>IFERROR(SUMIF('Doğrudan Alım İşlemleri'!$F$2:$F$1944,$A$25,'Doğrudan Alım İşlemleri'!$I$2:$I$1944),0)</f>
        <v/>
      </c>
      <c r="E25" s="3">
        <f>IFERROR(AGGREGATE(5,6,'Doğrudan Alım İşlemleri'!$B$2:$B$1944/('Doğrudan Alım İşlemleri'!$F$2:$F$1944=$A$25),1),"")</f>
        <v/>
      </c>
      <c r="F25" s="3">
        <f>IFERROR(AGGREGATE(14,6,'Doğrudan Alım İşlemleri'!$B$2:$B$1944/('Doğrudan Alım İşlemleri'!$F$2:$F$1944=$A$25),1),"")</f>
        <v/>
      </c>
      <c r="G25" s="3">
        <f>IFERROR(AGGREGATE(14,6,'Doğrudan Alım İşlemleri'!$E$2:$E$1944/('Doğrudan Alım İşlemleri'!$F$2:$F$1944=$A$25),1),"")</f>
        <v/>
      </c>
    </row>
    <row r="26">
      <c r="A26" s="15" t="inlineStr">
        <is>
          <t>TRT170424T17</t>
        </is>
      </c>
      <c r="B26" s="8">
        <f>IFERROR(COUNTIF('Doğrudan Alım İşlemleri'!$F$2:$F$1944,$A$26),0)</f>
        <v/>
      </c>
      <c r="C26" s="8">
        <f>IFERROR(SUMIF('Doğrudan Alım İşlemleri'!$F$2:$F$1944,$A$26,'Doğrudan Alım İşlemleri'!$H$2:$H$1944),0)</f>
        <v/>
      </c>
      <c r="D26" s="24">
        <f>IFERROR(SUMIF('Doğrudan Alım İşlemleri'!$F$2:$F$1944,$A$26,'Doğrudan Alım İşlemleri'!$I$2:$I$1944),0)</f>
        <v/>
      </c>
      <c r="E26" s="23">
        <f>IFERROR(AGGREGATE(5,6,'Doğrudan Alım İşlemleri'!$B$2:$B$1944/('Doğrudan Alım İşlemleri'!$F$2:$F$1944=$A$26),1),"")</f>
        <v/>
      </c>
      <c r="F26" s="23">
        <f>IFERROR(AGGREGATE(14,6,'Doğrudan Alım İşlemleri'!$B$2:$B$1944/('Doğrudan Alım İşlemleri'!$F$2:$F$1944=$A$26),1),"")</f>
        <v/>
      </c>
      <c r="G26" s="23">
        <f>IFERROR(AGGREGATE(14,6,'Doğrudan Alım İşlemleri'!$E$2:$E$1944/('Doğrudan Alım İşlemleri'!$F$2:$F$1944=$A$26),1),"")</f>
        <v/>
      </c>
    </row>
    <row r="27">
      <c r="A27" s="16" t="inlineStr">
        <is>
          <t>TRT080720T19</t>
        </is>
      </c>
      <c r="B27" s="11">
        <f>IFERROR(COUNTIF('Doğrudan Alım İşlemleri'!$F$2:$F$1944,$A$27),0)</f>
        <v/>
      </c>
      <c r="C27" s="11">
        <f>IFERROR(SUMIF('Doğrudan Alım İşlemleri'!$F$2:$F$1944,$A$27,'Doğrudan Alım İşlemleri'!$H$2:$H$1944),0)</f>
        <v/>
      </c>
      <c r="D27" s="13">
        <f>IFERROR(SUMIF('Doğrudan Alım İşlemleri'!$F$2:$F$1944,$A$27,'Doğrudan Alım İşlemleri'!$I$2:$I$1944),0)</f>
        <v/>
      </c>
      <c r="E27" s="3">
        <f>IFERROR(AGGREGATE(5,6,'Doğrudan Alım İşlemleri'!$B$2:$B$1944/('Doğrudan Alım İşlemleri'!$F$2:$F$1944=$A$27),1),"")</f>
        <v/>
      </c>
      <c r="F27" s="3">
        <f>IFERROR(AGGREGATE(14,6,'Doğrudan Alım İşlemleri'!$B$2:$B$1944/('Doğrudan Alım İşlemleri'!$F$2:$F$1944=$A$27),1),"")</f>
        <v/>
      </c>
      <c r="G27" s="3">
        <f>IFERROR(AGGREGATE(14,6,'Doğrudan Alım İşlemleri'!$E$2:$E$1944/('Doğrudan Alım İşlemleri'!$F$2:$F$1944=$A$27),1),"")</f>
        <v/>
      </c>
    </row>
    <row r="28">
      <c r="A28" s="15" t="inlineStr">
        <is>
          <t>TRT130515T11</t>
        </is>
      </c>
      <c r="B28" s="8">
        <f>IFERROR(COUNTIF('Doğrudan Alım İşlemleri'!$F$2:$F$1944,$A$28),0)</f>
        <v/>
      </c>
      <c r="C28" s="8">
        <f>IFERROR(SUMIF('Doğrudan Alım İşlemleri'!$F$2:$F$1944,$A$28,'Doğrudan Alım İşlemleri'!$H$2:$H$1944),0)</f>
        <v/>
      </c>
      <c r="D28" s="24">
        <f>IFERROR(SUMIF('Doğrudan Alım İşlemleri'!$F$2:$F$1944,$A$28,'Doğrudan Alım İşlemleri'!$I$2:$I$1944),0)</f>
        <v/>
      </c>
      <c r="E28" s="23">
        <f>IFERROR(AGGREGATE(5,6,'Doğrudan Alım İşlemleri'!$B$2:$B$1944/('Doğrudan Alım İşlemleri'!$F$2:$F$1944=$A$28),1),"")</f>
        <v/>
      </c>
      <c r="F28" s="23">
        <f>IFERROR(AGGREGATE(14,6,'Doğrudan Alım İşlemleri'!$B$2:$B$1944/('Doğrudan Alım İşlemleri'!$F$2:$F$1944=$A$28),1),"")</f>
        <v/>
      </c>
      <c r="G28" s="23">
        <f>IFERROR(AGGREGATE(14,6,'Doğrudan Alım İşlemleri'!$E$2:$E$1944/('Doğrudan Alım İşlemleri'!$F$2:$F$1944=$A$28),1),"")</f>
        <v/>
      </c>
    </row>
    <row r="29">
      <c r="A29" s="16" t="inlineStr">
        <is>
          <t>TRT120929T12</t>
        </is>
      </c>
      <c r="B29" s="11">
        <f>IFERROR(COUNTIF('Doğrudan Alım İşlemleri'!$F$2:$F$1944,$A$29),0)</f>
        <v/>
      </c>
      <c r="C29" s="11">
        <f>IFERROR(SUMIF('Doğrudan Alım İşlemleri'!$F$2:$F$1944,$A$29,'Doğrudan Alım İşlemleri'!$H$2:$H$1944),0)</f>
        <v/>
      </c>
      <c r="D29" s="13">
        <f>IFERROR(SUMIF('Doğrudan Alım İşlemleri'!$F$2:$F$1944,$A$29,'Doğrudan Alım İşlemleri'!$I$2:$I$1944),0)</f>
        <v/>
      </c>
      <c r="E29" s="3">
        <f>IFERROR(AGGREGATE(5,6,'Doğrudan Alım İşlemleri'!$B$2:$B$1944/('Doğrudan Alım İşlemleri'!$F$2:$F$1944=$A$29),1),"")</f>
        <v/>
      </c>
      <c r="F29" s="3">
        <f>IFERROR(AGGREGATE(14,6,'Doğrudan Alım İşlemleri'!$B$2:$B$1944/('Doğrudan Alım İşlemleri'!$F$2:$F$1944=$A$29),1),"")</f>
        <v/>
      </c>
      <c r="G29" s="3">
        <f>IFERROR(AGGREGATE(14,6,'Doğrudan Alım İşlemleri'!$E$2:$E$1944/('Doğrudan Alım İşlemleri'!$F$2:$F$1944=$A$29),1),"")</f>
        <v/>
      </c>
    </row>
    <row r="30">
      <c r="A30" s="15" t="inlineStr">
        <is>
          <t>TRT140623T19</t>
        </is>
      </c>
      <c r="B30" s="8">
        <f>IFERROR(COUNTIF('Doğrudan Alım İşlemleri'!$F$2:$F$1944,$A$30),0)</f>
        <v/>
      </c>
      <c r="C30" s="8">
        <f>IFERROR(SUMIF('Doğrudan Alım İşlemleri'!$F$2:$F$1944,$A$30,'Doğrudan Alım İşlemleri'!$H$2:$H$1944),0)</f>
        <v/>
      </c>
      <c r="D30" s="24">
        <f>IFERROR(SUMIF('Doğrudan Alım İşlemleri'!$F$2:$F$1944,$A$30,'Doğrudan Alım İşlemleri'!$I$2:$I$1944),0)</f>
        <v/>
      </c>
      <c r="E30" s="23">
        <f>IFERROR(AGGREGATE(5,6,'Doğrudan Alım İşlemleri'!$B$2:$B$1944/('Doğrudan Alım İşlemleri'!$F$2:$F$1944=$A$30),1),"")</f>
        <v/>
      </c>
      <c r="F30" s="23">
        <f>IFERROR(AGGREGATE(14,6,'Doğrudan Alım İşlemleri'!$B$2:$B$1944/('Doğrudan Alım İşlemleri'!$F$2:$F$1944=$A$30),1),"")</f>
        <v/>
      </c>
      <c r="G30" s="23">
        <f>IFERROR(AGGREGATE(14,6,'Doğrudan Alım İşlemleri'!$E$2:$E$1944/('Doğrudan Alım İşlemleri'!$F$2:$F$1944=$A$30),1),"")</f>
        <v/>
      </c>
    </row>
    <row r="31">
      <c r="A31" s="16" t="inlineStr">
        <is>
          <t>TRT131032T13</t>
        </is>
      </c>
      <c r="B31" s="11">
        <f>IFERROR(COUNTIF('Doğrudan Alım İşlemleri'!$F$2:$F$1944,$A$31),0)</f>
        <v/>
      </c>
      <c r="C31" s="11">
        <f>IFERROR(SUMIF('Doğrudan Alım İşlemleri'!$F$2:$F$1944,$A$31,'Doğrudan Alım İşlemleri'!$H$2:$H$1944),0)</f>
        <v/>
      </c>
      <c r="D31" s="13">
        <f>IFERROR(SUMIF('Doğrudan Alım İşlemleri'!$F$2:$F$1944,$A$31,'Doğrudan Alım İşlemleri'!$I$2:$I$1944),0)</f>
        <v/>
      </c>
      <c r="E31" s="3">
        <f>IFERROR(AGGREGATE(5,6,'Doğrudan Alım İşlemleri'!$B$2:$B$1944/('Doğrudan Alım İşlemleri'!$F$2:$F$1944=$A$31),1),"")</f>
        <v/>
      </c>
      <c r="F31" s="3">
        <f>IFERROR(AGGREGATE(14,6,'Doğrudan Alım İşlemleri'!$B$2:$B$1944/('Doğrudan Alım İşlemleri'!$F$2:$F$1944=$A$31),1),"")</f>
        <v/>
      </c>
      <c r="G31" s="3">
        <f>IFERROR(AGGREGATE(14,6,'Doğrudan Alım İşlemleri'!$E$2:$E$1944/('Doğrudan Alım İşlemleri'!$F$2:$F$1944=$A$31),1),"")</f>
        <v/>
      </c>
    </row>
    <row r="32">
      <c r="A32" s="15" t="inlineStr">
        <is>
          <t>TRD150217T18</t>
        </is>
      </c>
      <c r="B32" s="8">
        <f>IFERROR(COUNTIF('Doğrudan Alım İşlemleri'!$F$2:$F$1944,$A$32),0)</f>
        <v/>
      </c>
      <c r="C32" s="8">
        <f>IFERROR(SUMIF('Doğrudan Alım İşlemleri'!$F$2:$F$1944,$A$32,'Doğrudan Alım İşlemleri'!$H$2:$H$1944),0)</f>
        <v/>
      </c>
      <c r="D32" s="24">
        <f>IFERROR(SUMIF('Doğrudan Alım İşlemleri'!$F$2:$F$1944,$A$32,'Doğrudan Alım İşlemleri'!$I$2:$I$1944),0)</f>
        <v/>
      </c>
      <c r="E32" s="23">
        <f>IFERROR(AGGREGATE(5,6,'Doğrudan Alım İşlemleri'!$B$2:$B$1944/('Doğrudan Alım İşlemleri'!$F$2:$F$1944=$A$32),1),"")</f>
        <v/>
      </c>
      <c r="F32" s="23">
        <f>IFERROR(AGGREGATE(14,6,'Doğrudan Alım İşlemleri'!$B$2:$B$1944/('Doğrudan Alım İşlemleri'!$F$2:$F$1944=$A$32),1),"")</f>
        <v/>
      </c>
      <c r="G32" s="23">
        <f>IFERROR(AGGREGATE(14,6,'Doğrudan Alım İşlemleri'!$E$2:$E$1944/('Doğrudan Alım İşlemleri'!$F$2:$F$1944=$A$32),1),"")</f>
        <v/>
      </c>
    </row>
    <row r="33">
      <c r="A33" s="16" t="inlineStr">
        <is>
          <t>TRT020322T17</t>
        </is>
      </c>
      <c r="B33" s="11">
        <f>IFERROR(COUNTIF('Doğrudan Alım İşlemleri'!$F$2:$F$1944,$A$33),0)</f>
        <v/>
      </c>
      <c r="C33" s="11">
        <f>IFERROR(SUMIF('Doğrudan Alım İşlemleri'!$F$2:$F$1944,$A$33,'Doğrudan Alım İşlemleri'!$H$2:$H$1944),0)</f>
        <v/>
      </c>
      <c r="D33" s="13">
        <f>IFERROR(SUMIF('Doğrudan Alım İşlemleri'!$F$2:$F$1944,$A$33,'Doğrudan Alım İşlemleri'!$I$2:$I$1944),0)</f>
        <v/>
      </c>
      <c r="E33" s="3">
        <f>IFERROR(AGGREGATE(5,6,'Doğrudan Alım İşlemleri'!$B$2:$B$1944/('Doğrudan Alım İşlemleri'!$F$2:$F$1944=$A$33),1),"")</f>
        <v/>
      </c>
      <c r="F33" s="3">
        <f>IFERROR(AGGREGATE(14,6,'Doğrudan Alım İşlemleri'!$B$2:$B$1944/('Doğrudan Alım İşlemleri'!$F$2:$F$1944=$A$33),1),"")</f>
        <v/>
      </c>
      <c r="G33" s="3">
        <f>IFERROR(AGGREGATE(14,6,'Doğrudan Alım İşlemleri'!$E$2:$E$1944/('Doğrudan Alım İşlemleri'!$F$2:$F$1944=$A$33),1),"")</f>
        <v/>
      </c>
    </row>
    <row r="34">
      <c r="A34" s="15" t="inlineStr">
        <is>
          <t>TRT180123T10</t>
        </is>
      </c>
      <c r="B34" s="8">
        <f>IFERROR(COUNTIF('Doğrudan Alım İşlemleri'!$F$2:$F$1944,$A$34),0)</f>
        <v/>
      </c>
      <c r="C34" s="8">
        <f>IFERROR(SUMIF('Doğrudan Alım İşlemleri'!$F$2:$F$1944,$A$34,'Doğrudan Alım İşlemleri'!$H$2:$H$1944),0)</f>
        <v/>
      </c>
      <c r="D34" s="24">
        <f>IFERROR(SUMIF('Doğrudan Alım İşlemleri'!$F$2:$F$1944,$A$34,'Doğrudan Alım İşlemleri'!$I$2:$I$1944),0)</f>
        <v/>
      </c>
      <c r="E34" s="23">
        <f>IFERROR(AGGREGATE(5,6,'Doğrudan Alım İşlemleri'!$B$2:$B$1944/('Doğrudan Alım İşlemleri'!$F$2:$F$1944=$A$34),1),"")</f>
        <v/>
      </c>
      <c r="F34" s="23">
        <f>IFERROR(AGGREGATE(14,6,'Doğrudan Alım İşlemleri'!$B$2:$B$1944/('Doğrudan Alım İşlemleri'!$F$2:$F$1944=$A$34),1),"")</f>
        <v/>
      </c>
      <c r="G34" s="23">
        <f>IFERROR(AGGREGATE(14,6,'Doğrudan Alım İşlemleri'!$E$2:$E$1944/('Doğrudan Alım İşlemleri'!$F$2:$F$1944=$A$34),1),"")</f>
        <v/>
      </c>
    </row>
    <row r="35">
      <c r="A35" s="16" t="inlineStr">
        <is>
          <t>TRT170822T15</t>
        </is>
      </c>
      <c r="B35" s="11">
        <f>IFERROR(COUNTIF('Doğrudan Alım İşlemleri'!$F$2:$F$1944,$A$35),0)</f>
        <v/>
      </c>
      <c r="C35" s="11">
        <f>IFERROR(SUMIF('Doğrudan Alım İşlemleri'!$F$2:$F$1944,$A$35,'Doğrudan Alım İşlemleri'!$H$2:$H$1944),0)</f>
        <v/>
      </c>
      <c r="D35" s="13">
        <f>IFERROR(SUMIF('Doğrudan Alım İşlemleri'!$F$2:$F$1944,$A$35,'Doğrudan Alım İşlemleri'!$I$2:$I$1944),0)</f>
        <v/>
      </c>
      <c r="E35" s="3">
        <f>IFERROR(AGGREGATE(5,6,'Doğrudan Alım İşlemleri'!$B$2:$B$1944/('Doğrudan Alım İşlemleri'!$F$2:$F$1944=$A$35),1),"")</f>
        <v/>
      </c>
      <c r="F35" s="3">
        <f>IFERROR(AGGREGATE(14,6,'Doğrudan Alım İşlemleri'!$B$2:$B$1944/('Doğrudan Alım İşlemleri'!$F$2:$F$1944=$A$35),1),"")</f>
        <v/>
      </c>
      <c r="G35" s="3">
        <f>IFERROR(AGGREGATE(14,6,'Doğrudan Alım İşlemleri'!$E$2:$E$1944/('Doğrudan Alım İşlemleri'!$F$2:$F$1944=$A$35),1),"")</f>
        <v/>
      </c>
    </row>
    <row r="36">
      <c r="A36" s="15" t="inlineStr">
        <is>
          <t>TRT050624T19</t>
        </is>
      </c>
      <c r="B36" s="8">
        <f>IFERROR(COUNTIF('Doğrudan Alım İşlemleri'!$F$2:$F$1944,$A$36),0)</f>
        <v/>
      </c>
      <c r="C36" s="8">
        <f>IFERROR(SUMIF('Doğrudan Alım İşlemleri'!$F$2:$F$1944,$A$36,'Doğrudan Alım İşlemleri'!$H$2:$H$1944),0)</f>
        <v/>
      </c>
      <c r="D36" s="24">
        <f>IFERROR(SUMIF('Doğrudan Alım İşlemleri'!$F$2:$F$1944,$A$36,'Doğrudan Alım İşlemleri'!$I$2:$I$1944),0)</f>
        <v/>
      </c>
      <c r="E36" s="23">
        <f>IFERROR(AGGREGATE(5,6,'Doğrudan Alım İşlemleri'!$B$2:$B$1944/('Doğrudan Alım İşlemleri'!$F$2:$F$1944=$A$36),1),"")</f>
        <v/>
      </c>
      <c r="F36" s="23">
        <f>IFERROR(AGGREGATE(14,6,'Doğrudan Alım İşlemleri'!$B$2:$B$1944/('Doğrudan Alım İşlemleri'!$F$2:$F$1944=$A$36),1),"")</f>
        <v/>
      </c>
      <c r="G36" s="23">
        <f>IFERROR(AGGREGATE(14,6,'Doğrudan Alım İşlemleri'!$E$2:$E$1944/('Doğrudan Alım İşlemleri'!$F$2:$F$1944=$A$36),1),"")</f>
        <v/>
      </c>
    </row>
    <row r="37">
      <c r="A37" s="16" t="inlineStr">
        <is>
          <t>TRT040729T14</t>
        </is>
      </c>
      <c r="B37" s="11">
        <f>IFERROR(COUNTIF('Doğrudan Alım İşlemleri'!$F$2:$F$1944,$A$37),0)</f>
        <v/>
      </c>
      <c r="C37" s="11">
        <f>IFERROR(SUMIF('Doğrudan Alım İşlemleri'!$F$2:$F$1944,$A$37,'Doğrudan Alım İşlemleri'!$H$2:$H$1944),0)</f>
        <v/>
      </c>
      <c r="D37" s="13">
        <f>IFERROR(SUMIF('Doğrudan Alım İşlemleri'!$F$2:$F$1944,$A$37,'Doğrudan Alım İşlemleri'!$I$2:$I$1944),0)</f>
        <v/>
      </c>
      <c r="E37" s="3">
        <f>IFERROR(AGGREGATE(5,6,'Doğrudan Alım İşlemleri'!$B$2:$B$1944/('Doğrudan Alım İşlemleri'!$F$2:$F$1944=$A$37),1),"")</f>
        <v/>
      </c>
      <c r="F37" s="3">
        <f>IFERROR(AGGREGATE(14,6,'Doğrudan Alım İşlemleri'!$B$2:$B$1944/('Doğrudan Alım İşlemleri'!$F$2:$F$1944=$A$37),1),"")</f>
        <v/>
      </c>
      <c r="G37" s="3">
        <f>IFERROR(AGGREGATE(14,6,'Doğrudan Alım İşlemleri'!$E$2:$E$1944/('Doğrudan Alım İşlemleri'!$F$2:$F$1944=$A$37),1),"")</f>
        <v/>
      </c>
    </row>
    <row r="38">
      <c r="A38" s="15" t="inlineStr">
        <is>
          <t>TRT170221T12</t>
        </is>
      </c>
      <c r="B38" s="8">
        <f>IFERROR(COUNTIF('Doğrudan Alım İşlemleri'!$F$2:$F$1944,$A$38),0)</f>
        <v/>
      </c>
      <c r="C38" s="8">
        <f>IFERROR(SUMIF('Doğrudan Alım İşlemleri'!$F$2:$F$1944,$A$38,'Doğrudan Alım İşlemleri'!$H$2:$H$1944),0)</f>
        <v/>
      </c>
      <c r="D38" s="24">
        <f>IFERROR(SUMIF('Doğrudan Alım İşlemleri'!$F$2:$F$1944,$A$38,'Doğrudan Alım İşlemleri'!$I$2:$I$1944),0)</f>
        <v/>
      </c>
      <c r="E38" s="23">
        <f>IFERROR(AGGREGATE(5,6,'Doğrudan Alım İşlemleri'!$B$2:$B$1944/('Doğrudan Alım İşlemleri'!$F$2:$F$1944=$A$38),1),"")</f>
        <v/>
      </c>
      <c r="F38" s="23">
        <f>IFERROR(AGGREGATE(14,6,'Doğrudan Alım İşlemleri'!$B$2:$B$1944/('Doğrudan Alım İşlemleri'!$F$2:$F$1944=$A$38),1),"")</f>
        <v/>
      </c>
      <c r="G38" s="23">
        <f>IFERROR(AGGREGATE(14,6,'Doğrudan Alım İşlemleri'!$E$2:$E$1944/('Doğrudan Alım İşlemleri'!$F$2:$F$1944=$A$38),1),"")</f>
        <v/>
      </c>
    </row>
    <row r="39">
      <c r="A39" s="16" t="inlineStr">
        <is>
          <t>TRT041224T12</t>
        </is>
      </c>
      <c r="B39" s="11">
        <f>IFERROR(COUNTIF('Doğrudan Alım İşlemleri'!$F$2:$F$1944,$A$39),0)</f>
        <v/>
      </c>
      <c r="C39" s="11">
        <f>IFERROR(SUMIF('Doğrudan Alım İşlemleri'!$F$2:$F$1944,$A$39,'Doğrudan Alım İşlemleri'!$H$2:$H$1944),0)</f>
        <v/>
      </c>
      <c r="D39" s="13">
        <f>IFERROR(SUMIF('Doğrudan Alım İşlemleri'!$F$2:$F$1944,$A$39,'Doğrudan Alım İşlemleri'!$I$2:$I$1944),0)</f>
        <v/>
      </c>
      <c r="E39" s="3">
        <f>IFERROR(AGGREGATE(5,6,'Doğrudan Alım İşlemleri'!$B$2:$B$1944/('Doğrudan Alım İşlemleri'!$F$2:$F$1944=$A$39),1),"")</f>
        <v/>
      </c>
      <c r="F39" s="3">
        <f>IFERROR(AGGREGATE(14,6,'Doğrudan Alım İşlemleri'!$B$2:$B$1944/('Doğrudan Alım İşlemleri'!$F$2:$F$1944=$A$39),1),"")</f>
        <v/>
      </c>
      <c r="G39" s="3">
        <f>IFERROR(AGGREGATE(14,6,'Doğrudan Alım İşlemleri'!$E$2:$E$1944/('Doğrudan Alım İşlemleri'!$F$2:$F$1944=$A$39),1),"")</f>
        <v/>
      </c>
    </row>
    <row r="40">
      <c r="A40" s="15" t="inlineStr">
        <is>
          <t>TRT100730T13</t>
        </is>
      </c>
      <c r="B40" s="8">
        <f>IFERROR(COUNTIF('Doğrudan Alım İşlemleri'!$F$2:$F$1944,$A$40),0)</f>
        <v/>
      </c>
      <c r="C40" s="8">
        <f>IFERROR(SUMIF('Doğrudan Alım İşlemleri'!$F$2:$F$1944,$A$40,'Doğrudan Alım İşlemleri'!$H$2:$H$1944),0)</f>
        <v/>
      </c>
      <c r="D40" s="24">
        <f>IFERROR(SUMIF('Doğrudan Alım İşlemleri'!$F$2:$F$1944,$A$40,'Doğrudan Alım İşlemleri'!$I$2:$I$1944),0)</f>
        <v/>
      </c>
      <c r="E40" s="23">
        <f>IFERROR(AGGREGATE(5,6,'Doğrudan Alım İşlemleri'!$B$2:$B$1944/('Doğrudan Alım İşlemleri'!$F$2:$F$1944=$A$40),1),"")</f>
        <v/>
      </c>
      <c r="F40" s="23">
        <f>IFERROR(AGGREGATE(14,6,'Doğrudan Alım İşlemleri'!$B$2:$B$1944/('Doğrudan Alım İşlemleri'!$F$2:$F$1944=$A$40),1),"")</f>
        <v/>
      </c>
      <c r="G40" s="23">
        <f>IFERROR(AGGREGATE(14,6,'Doğrudan Alım İşlemleri'!$E$2:$E$1944/('Doğrudan Alım İşlemleri'!$F$2:$F$1944=$A$40),1),"")</f>
        <v/>
      </c>
    </row>
    <row r="41">
      <c r="A41" s="16" t="inlineStr">
        <is>
          <t>TRT270116T18</t>
        </is>
      </c>
      <c r="B41" s="11">
        <f>IFERROR(COUNTIF('Doğrudan Alım İşlemleri'!$F$2:$F$1944,$A$41),0)</f>
        <v/>
      </c>
      <c r="C41" s="11">
        <f>IFERROR(SUMIF('Doğrudan Alım İşlemleri'!$F$2:$F$1944,$A$41,'Doğrudan Alım İşlemleri'!$H$2:$H$1944),0)</f>
        <v/>
      </c>
      <c r="D41" s="13">
        <f>IFERROR(SUMIF('Doğrudan Alım İşlemleri'!$F$2:$F$1944,$A$41,'Doğrudan Alım İşlemleri'!$I$2:$I$1944),0)</f>
        <v/>
      </c>
      <c r="E41" s="3">
        <f>IFERROR(AGGREGATE(5,6,'Doğrudan Alım İşlemleri'!$B$2:$B$1944/('Doğrudan Alım İşlemleri'!$F$2:$F$1944=$A$41),1),"")</f>
        <v/>
      </c>
      <c r="F41" s="3">
        <f>IFERROR(AGGREGATE(14,6,'Doğrudan Alım İşlemleri'!$B$2:$B$1944/('Doğrudan Alım İşlemleri'!$F$2:$F$1944=$A$41),1),"")</f>
        <v/>
      </c>
      <c r="G41" s="3">
        <f>IFERROR(AGGREGATE(14,6,'Doğrudan Alım İşlemleri'!$E$2:$E$1944/('Doğrudan Alım İşlemleri'!$F$2:$F$1944=$A$41),1),"")</f>
        <v/>
      </c>
    </row>
    <row r="42">
      <c r="A42" s="15" t="inlineStr">
        <is>
          <t>TRT120122T17</t>
        </is>
      </c>
      <c r="B42" s="8">
        <f>IFERROR(COUNTIF('Doğrudan Alım İşlemleri'!$F$2:$F$1944,$A$42),0)</f>
        <v/>
      </c>
      <c r="C42" s="8">
        <f>IFERROR(SUMIF('Doğrudan Alım İşlemleri'!$F$2:$F$1944,$A$42,'Doğrudan Alım İşlemleri'!$H$2:$H$1944),0)</f>
        <v/>
      </c>
      <c r="D42" s="24">
        <f>IFERROR(SUMIF('Doğrudan Alım İşlemleri'!$F$2:$F$1944,$A$42,'Doğrudan Alım İşlemleri'!$I$2:$I$1944),0)</f>
        <v/>
      </c>
      <c r="E42" s="23">
        <f>IFERROR(AGGREGATE(5,6,'Doğrudan Alım İşlemleri'!$B$2:$B$1944/('Doğrudan Alım İşlemleri'!$F$2:$F$1944=$A$42),1),"")</f>
        <v/>
      </c>
      <c r="F42" s="23">
        <f>IFERROR(AGGREGATE(14,6,'Doğrudan Alım İşlemleri'!$B$2:$B$1944/('Doğrudan Alım İşlemleri'!$F$2:$F$1944=$A$42),1),"")</f>
        <v/>
      </c>
      <c r="G42" s="23">
        <f>IFERROR(AGGREGATE(14,6,'Doğrudan Alım İşlemleri'!$E$2:$E$1944/('Doğrudan Alım İşlemleri'!$F$2:$F$1944=$A$42),1),"")</f>
        <v/>
      </c>
    </row>
    <row r="43">
      <c r="A43" s="16" t="inlineStr">
        <is>
          <t>TRD280916T17</t>
        </is>
      </c>
      <c r="B43" s="11">
        <f>IFERROR(COUNTIF('Doğrudan Alım İşlemleri'!$F$2:$F$1944,$A$43),0)</f>
        <v/>
      </c>
      <c r="C43" s="11">
        <f>IFERROR(SUMIF('Doğrudan Alım İşlemleri'!$F$2:$F$1944,$A$43,'Doğrudan Alım İşlemleri'!$H$2:$H$1944),0)</f>
        <v/>
      </c>
      <c r="D43" s="13">
        <f>IFERROR(SUMIF('Doğrudan Alım İşlemleri'!$F$2:$F$1944,$A$43,'Doğrudan Alım İşlemleri'!$I$2:$I$1944),0)</f>
        <v/>
      </c>
      <c r="E43" s="3">
        <f>IFERROR(AGGREGATE(5,6,'Doğrudan Alım İşlemleri'!$B$2:$B$1944/('Doğrudan Alım İşlemleri'!$F$2:$F$1944=$A$43),1),"")</f>
        <v/>
      </c>
      <c r="F43" s="3">
        <f>IFERROR(AGGREGATE(14,6,'Doğrudan Alım İşlemleri'!$B$2:$B$1944/('Doğrudan Alım İşlemleri'!$F$2:$F$1944=$A$43),1),"")</f>
        <v/>
      </c>
      <c r="G43" s="3">
        <f>IFERROR(AGGREGATE(14,6,'Doğrudan Alım İşlemleri'!$E$2:$E$1944/('Doğrudan Alım İşlemleri'!$F$2:$F$1944=$A$43),1),"")</f>
        <v/>
      </c>
    </row>
    <row r="44">
      <c r="A44" s="15" t="inlineStr">
        <is>
          <t>TRT240914T15</t>
        </is>
      </c>
      <c r="B44" s="8">
        <f>IFERROR(COUNTIF('Doğrudan Alım İşlemleri'!$F$2:$F$1944,$A$44),0)</f>
        <v/>
      </c>
      <c r="C44" s="8">
        <f>IFERROR(SUMIF('Doğrudan Alım İşlemleri'!$F$2:$F$1944,$A$44,'Doğrudan Alım İşlemleri'!$H$2:$H$1944),0)</f>
        <v/>
      </c>
      <c r="D44" s="24">
        <f>IFERROR(SUMIF('Doğrudan Alım İşlemleri'!$F$2:$F$1944,$A$44,'Doğrudan Alım İşlemleri'!$I$2:$I$1944),0)</f>
        <v/>
      </c>
      <c r="E44" s="23">
        <f>IFERROR(AGGREGATE(5,6,'Doğrudan Alım İşlemleri'!$B$2:$B$1944/('Doğrudan Alım İşlemleri'!$F$2:$F$1944=$A$44),1),"")</f>
        <v/>
      </c>
      <c r="F44" s="23">
        <f>IFERROR(AGGREGATE(14,6,'Doğrudan Alım İşlemleri'!$B$2:$B$1944/('Doğrudan Alım İşlemleri'!$F$2:$F$1944=$A$44),1),"")</f>
        <v/>
      </c>
      <c r="G44" s="23">
        <f>IFERROR(AGGREGATE(14,6,'Doğrudan Alım İşlemleri'!$E$2:$E$1944/('Doğrudan Alım İşlemleri'!$F$2:$F$1944=$A$44),1),"")</f>
        <v/>
      </c>
    </row>
    <row r="45">
      <c r="A45" s="16" t="inlineStr">
        <is>
          <t>TRT080317T18</t>
        </is>
      </c>
      <c r="B45" s="11">
        <f>IFERROR(COUNTIF('Doğrudan Alım İşlemleri'!$F$2:$F$1944,$A$45),0)</f>
        <v/>
      </c>
      <c r="C45" s="11">
        <f>IFERROR(SUMIF('Doğrudan Alım İşlemleri'!$F$2:$F$1944,$A$45,'Doğrudan Alım İşlemleri'!$H$2:$H$1944),0)</f>
        <v/>
      </c>
      <c r="D45" s="13">
        <f>IFERROR(SUMIF('Doğrudan Alım İşlemleri'!$F$2:$F$1944,$A$45,'Doğrudan Alım İşlemleri'!$I$2:$I$1944),0)</f>
        <v/>
      </c>
      <c r="E45" s="3">
        <f>IFERROR(AGGREGATE(5,6,'Doğrudan Alım İşlemleri'!$B$2:$B$1944/('Doğrudan Alım İşlemleri'!$F$2:$F$1944=$A$45),1),"")</f>
        <v/>
      </c>
      <c r="F45" s="3">
        <f>IFERROR(AGGREGATE(14,6,'Doğrudan Alım İşlemleri'!$B$2:$B$1944/('Doğrudan Alım İşlemleri'!$F$2:$F$1944=$A$45),1),"")</f>
        <v/>
      </c>
      <c r="G45" s="3">
        <f>IFERROR(AGGREGATE(14,6,'Doğrudan Alım İşlemleri'!$E$2:$E$1944/('Doğrudan Alım İşlemleri'!$F$2:$F$1944=$A$45),1),"")</f>
        <v/>
      </c>
    </row>
    <row r="46">
      <c r="A46" s="15" t="inlineStr">
        <is>
          <t>TRT160228T16</t>
        </is>
      </c>
      <c r="B46" s="8">
        <f>IFERROR(COUNTIF('Doğrudan Alım İşlemleri'!$F$2:$F$1944,$A$46),0)</f>
        <v/>
      </c>
      <c r="C46" s="8">
        <f>IFERROR(SUMIF('Doğrudan Alım İşlemleri'!$F$2:$F$1944,$A$46,'Doğrudan Alım İşlemleri'!$H$2:$H$1944),0)</f>
        <v/>
      </c>
      <c r="D46" s="24">
        <f>IFERROR(SUMIF('Doğrudan Alım İşlemleri'!$F$2:$F$1944,$A$46,'Doğrudan Alım İşlemleri'!$I$2:$I$1944),0)</f>
        <v/>
      </c>
      <c r="E46" s="23">
        <f>IFERROR(AGGREGATE(5,6,'Doğrudan Alım İşlemleri'!$B$2:$B$1944/('Doğrudan Alım İşlemleri'!$F$2:$F$1944=$A$46),1),"")</f>
        <v/>
      </c>
      <c r="F46" s="23">
        <f>IFERROR(AGGREGATE(14,6,'Doğrudan Alım İşlemleri'!$B$2:$B$1944/('Doğrudan Alım İşlemleri'!$F$2:$F$1944=$A$46),1),"")</f>
        <v/>
      </c>
      <c r="G46" s="23">
        <f>IFERROR(AGGREGATE(14,6,'Doğrudan Alım İşlemleri'!$E$2:$E$1944/('Doğrudan Alım İşlemleri'!$F$2:$F$1944=$A$46),1),"")</f>
        <v/>
      </c>
    </row>
    <row r="47">
      <c r="A47" s="16" t="inlineStr">
        <is>
          <t>TRT051033T12</t>
        </is>
      </c>
      <c r="B47" s="11">
        <f>IFERROR(COUNTIF('Doğrudan Alım İşlemleri'!$F$2:$F$1944,$A$47),0)</f>
        <v/>
      </c>
      <c r="C47" s="11">
        <f>IFERROR(SUMIF('Doğrudan Alım İşlemleri'!$F$2:$F$1944,$A$47,'Doğrudan Alım İşlemleri'!$H$2:$H$1944),0)</f>
        <v/>
      </c>
      <c r="D47" s="13">
        <f>IFERROR(SUMIF('Doğrudan Alım İşlemleri'!$F$2:$F$1944,$A$47,'Doğrudan Alım İşlemleri'!$I$2:$I$1944),0)</f>
        <v/>
      </c>
      <c r="E47" s="3">
        <f>IFERROR(AGGREGATE(5,6,'Doğrudan Alım İşlemleri'!$B$2:$B$1944/('Doğrudan Alım İşlemleri'!$F$2:$F$1944=$A$47),1),"")</f>
        <v/>
      </c>
      <c r="F47" s="3">
        <f>IFERROR(AGGREGATE(14,6,'Doğrudan Alım İşlemleri'!$B$2:$B$1944/('Doğrudan Alım İşlemleri'!$F$2:$F$1944=$A$47),1),"")</f>
        <v/>
      </c>
      <c r="G47" s="3">
        <f>IFERROR(AGGREGATE(14,6,'Doğrudan Alım İşlemleri'!$E$2:$E$1944/('Doğrudan Alım İşlemleri'!$F$2:$F$1944=$A$47),1),"")</f>
        <v/>
      </c>
    </row>
    <row r="48">
      <c r="A48" s="15" t="inlineStr">
        <is>
          <t>TRT170615T16</t>
        </is>
      </c>
      <c r="B48" s="8">
        <f>IFERROR(COUNTIF('Doğrudan Alım İşlemleri'!$F$2:$F$1944,$A$48),0)</f>
        <v/>
      </c>
      <c r="C48" s="8">
        <f>IFERROR(SUMIF('Doğrudan Alım İşlemleri'!$F$2:$F$1944,$A$48,'Doğrudan Alım İşlemleri'!$H$2:$H$1944),0)</f>
        <v/>
      </c>
      <c r="D48" s="24">
        <f>IFERROR(SUMIF('Doğrudan Alım İşlemleri'!$F$2:$F$1944,$A$48,'Doğrudan Alım İşlemleri'!$I$2:$I$1944),0)</f>
        <v/>
      </c>
      <c r="E48" s="23">
        <f>IFERROR(AGGREGATE(5,6,'Doğrudan Alım İşlemleri'!$B$2:$B$1944/('Doğrudan Alım İşlemleri'!$F$2:$F$1944=$A$48),1),"")</f>
        <v/>
      </c>
      <c r="F48" s="23">
        <f>IFERROR(AGGREGATE(14,6,'Doğrudan Alım İşlemleri'!$B$2:$B$1944/('Doğrudan Alım İşlemleri'!$F$2:$F$1944=$A$48),1),"")</f>
        <v/>
      </c>
      <c r="G48" s="23">
        <f>IFERROR(AGGREGATE(14,6,'Doğrudan Alım İşlemleri'!$E$2:$E$1944/('Doğrudan Alım İşlemleri'!$F$2:$F$1944=$A$48),1),"")</f>
        <v/>
      </c>
    </row>
    <row r="49">
      <c r="A49" s="16" t="inlineStr">
        <is>
          <t>TRT150513T11</t>
        </is>
      </c>
      <c r="B49" s="11">
        <f>IFERROR(COUNTIF('Doğrudan Alım İşlemleri'!$F$2:$F$1944,$A$49),0)</f>
        <v/>
      </c>
      <c r="C49" s="11">
        <f>IFERROR(SUMIF('Doğrudan Alım İşlemleri'!$F$2:$F$1944,$A$49,'Doğrudan Alım İşlemleri'!$H$2:$H$1944),0)</f>
        <v/>
      </c>
      <c r="D49" s="13">
        <f>IFERROR(SUMIF('Doğrudan Alım İşlemleri'!$F$2:$F$1944,$A$49,'Doğrudan Alım İşlemleri'!$I$2:$I$1944),0)</f>
        <v/>
      </c>
      <c r="E49" s="3">
        <f>IFERROR(AGGREGATE(5,6,'Doğrudan Alım İşlemleri'!$B$2:$B$1944/('Doğrudan Alım İşlemleri'!$F$2:$F$1944=$A$49),1),"")</f>
        <v/>
      </c>
      <c r="F49" s="3">
        <f>IFERROR(AGGREGATE(14,6,'Doğrudan Alım İşlemleri'!$B$2:$B$1944/('Doğrudan Alım İşlemleri'!$F$2:$F$1944=$A$49),1),"")</f>
        <v/>
      </c>
      <c r="G49" s="3">
        <f>IFERROR(AGGREGATE(14,6,'Doğrudan Alım İşlemleri'!$E$2:$E$1944/('Doğrudan Alım İşlemleri'!$F$2:$F$1944=$A$49),1),"")</f>
        <v/>
      </c>
    </row>
    <row r="50">
      <c r="A50" s="15" t="inlineStr">
        <is>
          <t>TRT050314T14</t>
        </is>
      </c>
      <c r="B50" s="8">
        <f>IFERROR(COUNTIF('Doğrudan Alım İşlemleri'!$F$2:$F$1944,$A$50),0)</f>
        <v/>
      </c>
      <c r="C50" s="8">
        <f>IFERROR(SUMIF('Doğrudan Alım İşlemleri'!$F$2:$F$1944,$A$50,'Doğrudan Alım İşlemleri'!$H$2:$H$1944),0)</f>
        <v/>
      </c>
      <c r="D50" s="24">
        <f>IFERROR(SUMIF('Doğrudan Alım İşlemleri'!$F$2:$F$1944,$A$50,'Doğrudan Alım İşlemleri'!$I$2:$I$1944),0)</f>
        <v/>
      </c>
      <c r="E50" s="23">
        <f>IFERROR(AGGREGATE(5,6,'Doğrudan Alım İşlemleri'!$B$2:$B$1944/('Doğrudan Alım İşlemleri'!$F$2:$F$1944=$A$50),1),"")</f>
        <v/>
      </c>
      <c r="F50" s="23">
        <f>IFERROR(AGGREGATE(14,6,'Doğrudan Alım İşlemleri'!$B$2:$B$1944/('Doğrudan Alım İşlemleri'!$F$2:$F$1944=$A$50),1),"")</f>
        <v/>
      </c>
      <c r="G50" s="23">
        <f>IFERROR(AGGREGATE(14,6,'Doğrudan Alım İşlemleri'!$E$2:$E$1944/('Doğrudan Alım İşlemleri'!$F$2:$F$1944=$A$50),1),"")</f>
        <v/>
      </c>
    </row>
    <row r="51">
      <c r="A51" s="16" t="inlineStr">
        <is>
          <t>TRT070329T15</t>
        </is>
      </c>
      <c r="B51" s="11">
        <f>IFERROR(COUNTIF('Doğrudan Alım İşlemleri'!$F$2:$F$1944,$A$51),0)</f>
        <v/>
      </c>
      <c r="C51" s="11">
        <f>IFERROR(SUMIF('Doğrudan Alım İşlemleri'!$F$2:$F$1944,$A$51,'Doğrudan Alım İşlemleri'!$H$2:$H$1944),0)</f>
        <v/>
      </c>
      <c r="D51" s="13">
        <f>IFERROR(SUMIF('Doğrudan Alım İşlemleri'!$F$2:$F$1944,$A$51,'Doğrudan Alım İşlemleri'!$I$2:$I$1944),0)</f>
        <v/>
      </c>
      <c r="E51" s="3">
        <f>IFERROR(AGGREGATE(5,6,'Doğrudan Alım İşlemleri'!$B$2:$B$1944/('Doğrudan Alım İşlemleri'!$F$2:$F$1944=$A$51),1),"")</f>
        <v/>
      </c>
      <c r="F51" s="3">
        <f>IFERROR(AGGREGATE(14,6,'Doğrudan Alım İşlemleri'!$B$2:$B$1944/('Doğrudan Alım İşlemleri'!$F$2:$F$1944=$A$51),1),"")</f>
        <v/>
      </c>
      <c r="G51" s="3">
        <f>IFERROR(AGGREGATE(14,6,'Doğrudan Alım İşlemleri'!$E$2:$E$1944/('Doğrudan Alım İşlemleri'!$F$2:$F$1944=$A$51),1),"")</f>
        <v/>
      </c>
    </row>
    <row r="52">
      <c r="A52" s="15" t="inlineStr">
        <is>
          <t>TRT070312T14</t>
        </is>
      </c>
      <c r="B52" s="8">
        <f>IFERROR(COUNTIF('Doğrudan Alım İşlemleri'!$F$2:$F$1944,$A$52),0)</f>
        <v/>
      </c>
      <c r="C52" s="8">
        <f>IFERROR(SUMIF('Doğrudan Alım İşlemleri'!$F$2:$F$1944,$A$52,'Doğrudan Alım İşlemleri'!$H$2:$H$1944),0)</f>
        <v/>
      </c>
      <c r="D52" s="24">
        <f>IFERROR(SUMIF('Doğrudan Alım İşlemleri'!$F$2:$F$1944,$A$52,'Doğrudan Alım İşlemleri'!$I$2:$I$1944),0)</f>
        <v/>
      </c>
      <c r="E52" s="23">
        <f>IFERROR(AGGREGATE(5,6,'Doğrudan Alım İşlemleri'!$B$2:$B$1944/('Doğrudan Alım İşlemleri'!$F$2:$F$1944=$A$52),1),"")</f>
        <v/>
      </c>
      <c r="F52" s="23">
        <f>IFERROR(AGGREGATE(14,6,'Doğrudan Alım İşlemleri'!$B$2:$B$1944/('Doğrudan Alım İşlemleri'!$F$2:$F$1944=$A$52),1),"")</f>
        <v/>
      </c>
      <c r="G52" s="23">
        <f>IFERROR(AGGREGATE(14,6,'Doğrudan Alım İşlemleri'!$E$2:$E$1944/('Doğrudan Alım İşlemleri'!$F$2:$F$1944=$A$52),1),"")</f>
        <v/>
      </c>
    </row>
    <row r="53">
      <c r="A53" s="16" t="inlineStr">
        <is>
          <t>TRT090113T13</t>
        </is>
      </c>
      <c r="B53" s="11">
        <f>IFERROR(COUNTIF('Doğrudan Alım İşlemleri'!$F$2:$F$1944,$A$53),0)</f>
        <v/>
      </c>
      <c r="C53" s="11">
        <f>IFERROR(SUMIF('Doğrudan Alım İşlemleri'!$F$2:$F$1944,$A$53,'Doğrudan Alım İşlemleri'!$H$2:$H$1944),0)</f>
        <v/>
      </c>
      <c r="D53" s="13">
        <f>IFERROR(SUMIF('Doğrudan Alım İşlemleri'!$F$2:$F$1944,$A$53,'Doğrudan Alım İşlemleri'!$I$2:$I$1944),0)</f>
        <v/>
      </c>
      <c r="E53" s="3">
        <f>IFERROR(AGGREGATE(5,6,'Doğrudan Alım İşlemleri'!$B$2:$B$1944/('Doğrudan Alım İşlemleri'!$F$2:$F$1944=$A$53),1),"")</f>
        <v/>
      </c>
      <c r="F53" s="3">
        <f>IFERROR(AGGREGATE(14,6,'Doğrudan Alım İşlemleri'!$B$2:$B$1944/('Doğrudan Alım İşlemleri'!$F$2:$F$1944=$A$53),1),"")</f>
        <v/>
      </c>
      <c r="G53" s="3">
        <f>IFERROR(AGGREGATE(14,6,'Doğrudan Alım İşlemleri'!$E$2:$E$1944/('Doğrudan Alım İşlemleri'!$F$2:$F$1944=$A$53),1),"")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6"/>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2" t="n">
        <v>12</v>
      </c>
      <c r="C4" s="8">
        <f>SUMPRODUCT((YEAR('Doğrudan Alım İşlemleri'!$B$2:$B$1944)=$A$4)*(MONTH('Doğrudan Alım İşlemleri'!$B$2:$B$1944)=$B$4)*1)</f>
        <v/>
      </c>
      <c r="D4" s="8">
        <f>SUMPRODUCT((YEAR('Doğrudan Alım İşlemleri'!$B$2:$B$1944)=$A$4)*(MONTH('Doğrudan Alım İşlemleri'!$B$2:$B$1944)=$B$4)*('Doğrudan Alım İşlemleri'!$H$2:$H$1944&lt;&gt;"")*'Doğrudan Alım İşlemleri'!$H$2:$H$1944)</f>
        <v/>
      </c>
      <c r="E4" s="24">
        <f>IFERROR(SUMPRODUCT((YEAR('Doğrudan Alım İşlemleri'!$B$2:$B$1944)=$A$4)*(MONTH('Doğrudan Alım İşlemleri'!$B$2:$B$1944)=$B$4)*ISNUMBER('Doğrudan Alım İşlemleri'!$K$2:$K$1944)*'Doğrudan Alım İşlemleri'!$K$2:$K$1944*('Doğrudan Alım İşlemleri'!$H$2:$H$1944&lt;&gt;"")*'Doğrudan Alım İşlemleri'!$H$2:$H$1944)/D4,"")</f>
        <v/>
      </c>
      <c r="F4" s="24">
        <f>IFERROR(SUMPRODUCT((YEAR('Doğrudan Alım İşlemleri'!$B$2:$B$1944)=$A$4)*(MONTH('Doğrudan Alım İşlemleri'!$B$2:$B$1944)=$B$4)*ISNUMBER('Doğrudan Alım İşlemleri'!$N$2:$N$1944)*'Doğrudan Alım İşlemleri'!$N$2:$N$1944*('Doğrudan Alım İşlemleri'!$H$2:$H$1944&lt;&gt;"")*'Doğrudan Alım İşlemleri'!$H$2:$H$1944)/D4,"")</f>
        <v/>
      </c>
    </row>
    <row r="5">
      <c r="A5" s="16" t="n">
        <v>2010</v>
      </c>
      <c r="B5" s="25" t="n">
        <v>1</v>
      </c>
      <c r="C5" s="11">
        <f>SUMPRODUCT((YEAR('Doğrudan Alım İşlemleri'!$B$2:$B$1944)=$A$5)*(MONTH('Doğrudan Alım İşlemleri'!$B$2:$B$1944)=$B$5)*1)</f>
        <v/>
      </c>
      <c r="D5" s="11">
        <f>SUMPRODUCT((YEAR('Doğrudan Alım İşlemleri'!$B$2:$B$1944)=$A$5)*(MONTH('Doğrudan Alım İşlemleri'!$B$2:$B$1944)=$B$5)*('Doğrudan Alım İşlemleri'!$H$2:$H$1944&lt;&gt;"")*'Doğrudan Alım İşlemleri'!$H$2:$H$1944)</f>
        <v/>
      </c>
      <c r="E5" s="13">
        <f>IFERROR(SUMPRODUCT((YEAR('Doğrudan Alım İşlemleri'!$B$2:$B$1944)=$A$5)*(MONTH('Doğrudan Alım İşlemleri'!$B$2:$B$1944)=$B$5)*ISNUMBER('Doğrudan Alım İşlemleri'!$K$2:$K$1944)*'Doğrudan Alım İşlemleri'!$K$2:$K$1944*('Doğrudan Alım İşlemleri'!$H$2:$H$1944&lt;&gt;"")*'Doğrudan Alım İşlemleri'!$H$2:$H$1944)/D5,"")</f>
        <v/>
      </c>
      <c r="F5" s="13">
        <f>IFERROR(SUMPRODUCT((YEAR('Doğrudan Alım İşlemleri'!$B$2:$B$1944)=$A$5)*(MONTH('Doğrudan Alım İşlemleri'!$B$2:$B$1944)=$B$5)*ISNUMBER('Doğrudan Alım İşlemleri'!$N$2:$N$1944)*'Doğrudan Alım İşlemleri'!$N$2:$N$1944*('Doğrudan Alım İşlemleri'!$H$2:$H$1944&lt;&gt;"")*'Doğrudan Alım İşlemleri'!$H$2:$H$1944)/D5,"")</f>
        <v/>
      </c>
    </row>
    <row r="6">
      <c r="A6" s="15" t="n">
        <v>2010</v>
      </c>
      <c r="B6" s="22" t="n">
        <v>2</v>
      </c>
      <c r="C6" s="8">
        <f>SUMPRODUCT((YEAR('Doğrudan Alım İşlemleri'!$B$2:$B$1944)=$A$6)*(MONTH('Doğrudan Alım İşlemleri'!$B$2:$B$1944)=$B$6)*1)</f>
        <v/>
      </c>
      <c r="D6" s="8">
        <f>SUMPRODUCT((YEAR('Doğrudan Alım İşlemleri'!$B$2:$B$1944)=$A$6)*(MONTH('Doğrudan Alım İşlemleri'!$B$2:$B$1944)=$B$6)*('Doğrudan Alım İşlemleri'!$H$2:$H$1944&lt;&gt;"")*'Doğrudan Alım İşlemleri'!$H$2:$H$1944)</f>
        <v/>
      </c>
      <c r="E6" s="24">
        <f>IFERROR(SUMPRODUCT((YEAR('Doğrudan Alım İşlemleri'!$B$2:$B$1944)=$A$6)*(MONTH('Doğrudan Alım İşlemleri'!$B$2:$B$1944)=$B$6)*ISNUMBER('Doğrudan Alım İşlemleri'!$K$2:$K$1944)*'Doğrudan Alım İşlemleri'!$K$2:$K$1944*('Doğrudan Alım İşlemleri'!$H$2:$H$1944&lt;&gt;"")*'Doğrudan Alım İşlemleri'!$H$2:$H$1944)/D6,"")</f>
        <v/>
      </c>
      <c r="F6" s="24">
        <f>IFERROR(SUMPRODUCT((YEAR('Doğrudan Alım İşlemleri'!$B$2:$B$1944)=$A$6)*(MONTH('Doğrudan Alım İşlemleri'!$B$2:$B$1944)=$B$6)*ISNUMBER('Doğrudan Alım İşlemleri'!$N$2:$N$1944)*'Doğrudan Alım İşlemleri'!$N$2:$N$1944*('Doğrudan Alım İşlemleri'!$H$2:$H$1944&lt;&gt;"")*'Doğrudan Alım İşlemleri'!$H$2:$H$1944)/D6,"")</f>
        <v/>
      </c>
    </row>
    <row r="7">
      <c r="A7" s="16" t="n">
        <v>2010</v>
      </c>
      <c r="B7" s="25" t="n">
        <v>3</v>
      </c>
      <c r="C7" s="11">
        <f>SUMPRODUCT((YEAR('Doğrudan Alım İşlemleri'!$B$2:$B$1944)=$A$7)*(MONTH('Doğrudan Alım İşlemleri'!$B$2:$B$1944)=$B$7)*1)</f>
        <v/>
      </c>
      <c r="D7" s="11">
        <f>SUMPRODUCT((YEAR('Doğrudan Alım İşlemleri'!$B$2:$B$1944)=$A$7)*(MONTH('Doğrudan Alım İşlemleri'!$B$2:$B$1944)=$B$7)*('Doğrudan Alım İşlemleri'!$H$2:$H$1944&lt;&gt;"")*'Doğrudan Alım İşlemleri'!$H$2:$H$1944)</f>
        <v/>
      </c>
      <c r="E7" s="13">
        <f>IFERROR(SUMPRODUCT((YEAR('Doğrudan Alım İşlemleri'!$B$2:$B$1944)=$A$7)*(MONTH('Doğrudan Alım İşlemleri'!$B$2:$B$1944)=$B$7)*ISNUMBER('Doğrudan Alım İşlemleri'!$K$2:$K$1944)*'Doğrudan Alım İşlemleri'!$K$2:$K$1944*('Doğrudan Alım İşlemleri'!$H$2:$H$1944&lt;&gt;"")*'Doğrudan Alım İşlemleri'!$H$2:$H$1944)/D7,"")</f>
        <v/>
      </c>
      <c r="F7" s="13">
        <f>IFERROR(SUMPRODUCT((YEAR('Doğrudan Alım İşlemleri'!$B$2:$B$1944)=$A$7)*(MONTH('Doğrudan Alım İşlemleri'!$B$2:$B$1944)=$B$7)*ISNUMBER('Doğrudan Alım İşlemleri'!$N$2:$N$1944)*'Doğrudan Alım İşlemleri'!$N$2:$N$1944*('Doğrudan Alım İşlemleri'!$H$2:$H$1944&lt;&gt;"")*'Doğrudan Alım İşlemleri'!$H$2:$H$1944)/D7,"")</f>
        <v/>
      </c>
    </row>
    <row r="8">
      <c r="A8" s="15" t="n">
        <v>2010</v>
      </c>
      <c r="B8" s="22" t="n">
        <v>4</v>
      </c>
      <c r="C8" s="8">
        <f>SUMPRODUCT((YEAR('Doğrudan Alım İşlemleri'!$B$2:$B$1944)=$A$8)*(MONTH('Doğrudan Alım İşlemleri'!$B$2:$B$1944)=$B$8)*1)</f>
        <v/>
      </c>
      <c r="D8" s="8">
        <f>SUMPRODUCT((YEAR('Doğrudan Alım İşlemleri'!$B$2:$B$1944)=$A$8)*(MONTH('Doğrudan Alım İşlemleri'!$B$2:$B$1944)=$B$8)*('Doğrudan Alım İşlemleri'!$H$2:$H$1944&lt;&gt;"")*'Doğrudan Alım İşlemleri'!$H$2:$H$1944)</f>
        <v/>
      </c>
      <c r="E8" s="24">
        <f>IFERROR(SUMPRODUCT((YEAR('Doğrudan Alım İşlemleri'!$B$2:$B$1944)=$A$8)*(MONTH('Doğrudan Alım İşlemleri'!$B$2:$B$1944)=$B$8)*ISNUMBER('Doğrudan Alım İşlemleri'!$K$2:$K$1944)*'Doğrudan Alım İşlemleri'!$K$2:$K$1944*('Doğrudan Alım İşlemleri'!$H$2:$H$1944&lt;&gt;"")*'Doğrudan Alım İşlemleri'!$H$2:$H$1944)/D8,"")</f>
        <v/>
      </c>
      <c r="F8" s="24">
        <f>IFERROR(SUMPRODUCT((YEAR('Doğrudan Alım İşlemleri'!$B$2:$B$1944)=$A$8)*(MONTH('Doğrudan Alım İşlemleri'!$B$2:$B$1944)=$B$8)*ISNUMBER('Doğrudan Alım İşlemleri'!$N$2:$N$1944)*'Doğrudan Alım İşlemleri'!$N$2:$N$1944*('Doğrudan Alım İşlemleri'!$H$2:$H$1944&lt;&gt;"")*'Doğrudan Alım İşlemleri'!$H$2:$H$1944)/D8,"")</f>
        <v/>
      </c>
    </row>
    <row r="9">
      <c r="A9" s="16" t="n">
        <v>2010</v>
      </c>
      <c r="B9" s="25" t="n">
        <v>5</v>
      </c>
      <c r="C9" s="11">
        <f>SUMPRODUCT((YEAR('Doğrudan Alım İşlemleri'!$B$2:$B$1944)=$A$9)*(MONTH('Doğrudan Alım İşlemleri'!$B$2:$B$1944)=$B$9)*1)</f>
        <v/>
      </c>
      <c r="D9" s="11">
        <f>SUMPRODUCT((YEAR('Doğrudan Alım İşlemleri'!$B$2:$B$1944)=$A$9)*(MONTH('Doğrudan Alım İşlemleri'!$B$2:$B$1944)=$B$9)*('Doğrudan Alım İşlemleri'!$H$2:$H$1944&lt;&gt;"")*'Doğrudan Alım İşlemleri'!$H$2:$H$1944)</f>
        <v/>
      </c>
      <c r="E9" s="13">
        <f>IFERROR(SUMPRODUCT((YEAR('Doğrudan Alım İşlemleri'!$B$2:$B$1944)=$A$9)*(MONTH('Doğrudan Alım İşlemleri'!$B$2:$B$1944)=$B$9)*ISNUMBER('Doğrudan Alım İşlemleri'!$K$2:$K$1944)*'Doğrudan Alım İşlemleri'!$K$2:$K$1944*('Doğrudan Alım İşlemleri'!$H$2:$H$1944&lt;&gt;"")*'Doğrudan Alım İşlemleri'!$H$2:$H$1944)/D9,"")</f>
        <v/>
      </c>
      <c r="F9" s="13">
        <f>IFERROR(SUMPRODUCT((YEAR('Doğrudan Alım İşlemleri'!$B$2:$B$1944)=$A$9)*(MONTH('Doğrudan Alım İşlemleri'!$B$2:$B$1944)=$B$9)*ISNUMBER('Doğrudan Alım İşlemleri'!$N$2:$N$1944)*'Doğrudan Alım İşlemleri'!$N$2:$N$1944*('Doğrudan Alım İşlemleri'!$H$2:$H$1944&lt;&gt;"")*'Doğrudan Alım İşlemleri'!$H$2:$H$1944)/D9,"")</f>
        <v/>
      </c>
    </row>
    <row r="10">
      <c r="A10" s="15" t="n">
        <v>2010</v>
      </c>
      <c r="B10" s="22" t="n">
        <v>6</v>
      </c>
      <c r="C10" s="8">
        <f>SUMPRODUCT((YEAR('Doğrudan Alım İşlemleri'!$B$2:$B$1944)=$A$10)*(MONTH('Doğrudan Alım İşlemleri'!$B$2:$B$1944)=$B$10)*1)</f>
        <v/>
      </c>
      <c r="D10" s="8">
        <f>SUMPRODUCT((YEAR('Doğrudan Alım İşlemleri'!$B$2:$B$1944)=$A$10)*(MONTH('Doğrudan Alım İşlemleri'!$B$2:$B$1944)=$B$10)*('Doğrudan Alım İşlemleri'!$H$2:$H$1944&lt;&gt;"")*'Doğrudan Alım İşlemleri'!$H$2:$H$1944)</f>
        <v/>
      </c>
      <c r="E10" s="24">
        <f>IFERROR(SUMPRODUCT((YEAR('Doğrudan Alım İşlemleri'!$B$2:$B$1944)=$A$10)*(MONTH('Doğrudan Alım İşlemleri'!$B$2:$B$1944)=$B$10)*ISNUMBER('Doğrudan Alım İşlemleri'!$K$2:$K$1944)*'Doğrudan Alım İşlemleri'!$K$2:$K$1944*('Doğrudan Alım İşlemleri'!$H$2:$H$1944&lt;&gt;"")*'Doğrudan Alım İşlemleri'!$H$2:$H$1944)/D10,"")</f>
        <v/>
      </c>
      <c r="F10" s="24">
        <f>IFERROR(SUMPRODUCT((YEAR('Doğrudan Alım İşlemleri'!$B$2:$B$1944)=$A$10)*(MONTH('Doğrudan Alım İşlemleri'!$B$2:$B$1944)=$B$10)*ISNUMBER('Doğrudan Alım İşlemleri'!$N$2:$N$1944)*'Doğrudan Alım İşlemleri'!$N$2:$N$1944*('Doğrudan Alım İşlemleri'!$H$2:$H$1944&lt;&gt;"")*'Doğrudan Alım İşlemleri'!$H$2:$H$1944)/D10,"")</f>
        <v/>
      </c>
    </row>
    <row r="11">
      <c r="A11" s="16" t="n">
        <v>2010</v>
      </c>
      <c r="B11" s="25" t="n">
        <v>7</v>
      </c>
      <c r="C11" s="11">
        <f>SUMPRODUCT((YEAR('Doğrudan Alım İşlemleri'!$B$2:$B$1944)=$A$11)*(MONTH('Doğrudan Alım İşlemleri'!$B$2:$B$1944)=$B$11)*1)</f>
        <v/>
      </c>
      <c r="D11" s="11">
        <f>SUMPRODUCT((YEAR('Doğrudan Alım İşlemleri'!$B$2:$B$1944)=$A$11)*(MONTH('Doğrudan Alım İşlemleri'!$B$2:$B$1944)=$B$11)*('Doğrudan Alım İşlemleri'!$H$2:$H$1944&lt;&gt;"")*'Doğrudan Alım İşlemleri'!$H$2:$H$1944)</f>
        <v/>
      </c>
      <c r="E11" s="13">
        <f>IFERROR(SUMPRODUCT((YEAR('Doğrudan Alım İşlemleri'!$B$2:$B$1944)=$A$11)*(MONTH('Doğrudan Alım İşlemleri'!$B$2:$B$1944)=$B$11)*ISNUMBER('Doğrudan Alım İşlemleri'!$K$2:$K$1944)*'Doğrudan Alım İşlemleri'!$K$2:$K$1944*('Doğrudan Alım İşlemleri'!$H$2:$H$1944&lt;&gt;"")*'Doğrudan Alım İşlemleri'!$H$2:$H$1944)/D11,"")</f>
        <v/>
      </c>
      <c r="F11" s="13">
        <f>IFERROR(SUMPRODUCT((YEAR('Doğrudan Alım İşlemleri'!$B$2:$B$1944)=$A$11)*(MONTH('Doğrudan Alım İşlemleri'!$B$2:$B$1944)=$B$11)*ISNUMBER('Doğrudan Alım İşlemleri'!$N$2:$N$1944)*'Doğrudan Alım İşlemleri'!$N$2:$N$1944*('Doğrudan Alım İşlemleri'!$H$2:$H$1944&lt;&gt;"")*'Doğrudan Alım İşlemleri'!$H$2:$H$1944)/D11,"")</f>
        <v/>
      </c>
    </row>
    <row r="12">
      <c r="A12" s="15" t="n">
        <v>2010</v>
      </c>
      <c r="B12" s="22" t="n">
        <v>8</v>
      </c>
      <c r="C12" s="8">
        <f>SUMPRODUCT((YEAR('Doğrudan Alım İşlemleri'!$B$2:$B$1944)=$A$12)*(MONTH('Doğrudan Alım İşlemleri'!$B$2:$B$1944)=$B$12)*1)</f>
        <v/>
      </c>
      <c r="D12" s="8">
        <f>SUMPRODUCT((YEAR('Doğrudan Alım İşlemleri'!$B$2:$B$1944)=$A$12)*(MONTH('Doğrudan Alım İşlemleri'!$B$2:$B$1944)=$B$12)*('Doğrudan Alım İşlemleri'!$H$2:$H$1944&lt;&gt;"")*'Doğrudan Alım İşlemleri'!$H$2:$H$1944)</f>
        <v/>
      </c>
      <c r="E12" s="24">
        <f>IFERROR(SUMPRODUCT((YEAR('Doğrudan Alım İşlemleri'!$B$2:$B$1944)=$A$12)*(MONTH('Doğrudan Alım İşlemleri'!$B$2:$B$1944)=$B$12)*ISNUMBER('Doğrudan Alım İşlemleri'!$K$2:$K$1944)*'Doğrudan Alım İşlemleri'!$K$2:$K$1944*('Doğrudan Alım İşlemleri'!$H$2:$H$1944&lt;&gt;"")*'Doğrudan Alım İşlemleri'!$H$2:$H$1944)/D12,"")</f>
        <v/>
      </c>
      <c r="F12" s="24">
        <f>IFERROR(SUMPRODUCT((YEAR('Doğrudan Alım İşlemleri'!$B$2:$B$1944)=$A$12)*(MONTH('Doğrudan Alım İşlemleri'!$B$2:$B$1944)=$B$12)*ISNUMBER('Doğrudan Alım İşlemleri'!$N$2:$N$1944)*'Doğrudan Alım İşlemleri'!$N$2:$N$1944*('Doğrudan Alım İşlemleri'!$H$2:$H$1944&lt;&gt;"")*'Doğrudan Alım İşlemleri'!$H$2:$H$1944)/D12,"")</f>
        <v/>
      </c>
    </row>
    <row r="13">
      <c r="A13" s="16" t="n">
        <v>2010</v>
      </c>
      <c r="B13" s="25" t="n">
        <v>9</v>
      </c>
      <c r="C13" s="11">
        <f>SUMPRODUCT((YEAR('Doğrudan Alım İşlemleri'!$B$2:$B$1944)=$A$13)*(MONTH('Doğrudan Alım İşlemleri'!$B$2:$B$1944)=$B$13)*1)</f>
        <v/>
      </c>
      <c r="D13" s="11">
        <f>SUMPRODUCT((YEAR('Doğrudan Alım İşlemleri'!$B$2:$B$1944)=$A$13)*(MONTH('Doğrudan Alım İşlemleri'!$B$2:$B$1944)=$B$13)*('Doğrudan Alım İşlemleri'!$H$2:$H$1944&lt;&gt;"")*'Doğrudan Alım İşlemleri'!$H$2:$H$1944)</f>
        <v/>
      </c>
      <c r="E13" s="13">
        <f>IFERROR(SUMPRODUCT((YEAR('Doğrudan Alım İşlemleri'!$B$2:$B$1944)=$A$13)*(MONTH('Doğrudan Alım İşlemleri'!$B$2:$B$1944)=$B$13)*ISNUMBER('Doğrudan Alım İşlemleri'!$K$2:$K$1944)*'Doğrudan Alım İşlemleri'!$K$2:$K$1944*('Doğrudan Alım İşlemleri'!$H$2:$H$1944&lt;&gt;"")*'Doğrudan Alım İşlemleri'!$H$2:$H$1944)/D13,"")</f>
        <v/>
      </c>
      <c r="F13" s="13">
        <f>IFERROR(SUMPRODUCT((YEAR('Doğrudan Alım İşlemleri'!$B$2:$B$1944)=$A$13)*(MONTH('Doğrudan Alım İşlemleri'!$B$2:$B$1944)=$B$13)*ISNUMBER('Doğrudan Alım İşlemleri'!$N$2:$N$1944)*'Doğrudan Alım İşlemleri'!$N$2:$N$1944*('Doğrudan Alım İşlemleri'!$H$2:$H$1944&lt;&gt;"")*'Doğrudan Alım İşlemleri'!$H$2:$H$1944)/D13,"")</f>
        <v/>
      </c>
    </row>
    <row r="14">
      <c r="A14" s="15" t="n">
        <v>2010</v>
      </c>
      <c r="B14" s="22" t="n">
        <v>10</v>
      </c>
      <c r="C14" s="8">
        <f>SUMPRODUCT((YEAR('Doğrudan Alım İşlemleri'!$B$2:$B$1944)=$A$14)*(MONTH('Doğrudan Alım İşlemleri'!$B$2:$B$1944)=$B$14)*1)</f>
        <v/>
      </c>
      <c r="D14" s="8">
        <f>SUMPRODUCT((YEAR('Doğrudan Alım İşlemleri'!$B$2:$B$1944)=$A$14)*(MONTH('Doğrudan Alım İşlemleri'!$B$2:$B$1944)=$B$14)*('Doğrudan Alım İşlemleri'!$H$2:$H$1944&lt;&gt;"")*'Doğrudan Alım İşlemleri'!$H$2:$H$1944)</f>
        <v/>
      </c>
      <c r="E14" s="24">
        <f>IFERROR(SUMPRODUCT((YEAR('Doğrudan Alım İşlemleri'!$B$2:$B$1944)=$A$14)*(MONTH('Doğrudan Alım İşlemleri'!$B$2:$B$1944)=$B$14)*ISNUMBER('Doğrudan Alım İşlemleri'!$K$2:$K$1944)*'Doğrudan Alım İşlemleri'!$K$2:$K$1944*('Doğrudan Alım İşlemleri'!$H$2:$H$1944&lt;&gt;"")*'Doğrudan Alım İşlemleri'!$H$2:$H$1944)/D14,"")</f>
        <v/>
      </c>
      <c r="F14" s="24">
        <f>IFERROR(SUMPRODUCT((YEAR('Doğrudan Alım İşlemleri'!$B$2:$B$1944)=$A$14)*(MONTH('Doğrudan Alım İşlemleri'!$B$2:$B$1944)=$B$14)*ISNUMBER('Doğrudan Alım İşlemleri'!$N$2:$N$1944)*'Doğrudan Alım İşlemleri'!$N$2:$N$1944*('Doğrudan Alım İşlemleri'!$H$2:$H$1944&lt;&gt;"")*'Doğrudan Alım İşlemleri'!$H$2:$H$1944)/D14,"")</f>
        <v/>
      </c>
    </row>
    <row r="15">
      <c r="A15" s="16" t="n">
        <v>2010</v>
      </c>
      <c r="B15" s="25" t="n">
        <v>11</v>
      </c>
      <c r="C15" s="11">
        <f>SUMPRODUCT((YEAR('Doğrudan Alım İşlemleri'!$B$2:$B$1944)=$A$15)*(MONTH('Doğrudan Alım İşlemleri'!$B$2:$B$1944)=$B$15)*1)</f>
        <v/>
      </c>
      <c r="D15" s="11">
        <f>SUMPRODUCT((YEAR('Doğrudan Alım İşlemleri'!$B$2:$B$1944)=$A$15)*(MONTH('Doğrudan Alım İşlemleri'!$B$2:$B$1944)=$B$15)*('Doğrudan Alım İşlemleri'!$H$2:$H$1944&lt;&gt;"")*'Doğrudan Alım İşlemleri'!$H$2:$H$1944)</f>
        <v/>
      </c>
      <c r="E15" s="13">
        <f>IFERROR(SUMPRODUCT((YEAR('Doğrudan Alım İşlemleri'!$B$2:$B$1944)=$A$15)*(MONTH('Doğrudan Alım İşlemleri'!$B$2:$B$1944)=$B$15)*ISNUMBER('Doğrudan Alım İşlemleri'!$K$2:$K$1944)*'Doğrudan Alım İşlemleri'!$K$2:$K$1944*('Doğrudan Alım İşlemleri'!$H$2:$H$1944&lt;&gt;"")*'Doğrudan Alım İşlemleri'!$H$2:$H$1944)/D15,"")</f>
        <v/>
      </c>
      <c r="F15" s="13">
        <f>IFERROR(SUMPRODUCT((YEAR('Doğrudan Alım İşlemleri'!$B$2:$B$1944)=$A$15)*(MONTH('Doğrudan Alım İşlemleri'!$B$2:$B$1944)=$B$15)*ISNUMBER('Doğrudan Alım İşlemleri'!$N$2:$N$1944)*'Doğrudan Alım İşlemleri'!$N$2:$N$1944*('Doğrudan Alım İşlemleri'!$H$2:$H$1944&lt;&gt;"")*'Doğrudan Alım İşlemleri'!$H$2:$H$1944)/D15,"")</f>
        <v/>
      </c>
    </row>
    <row r="16">
      <c r="A16" s="15" t="n">
        <v>2010</v>
      </c>
      <c r="B16" s="22" t="n">
        <v>12</v>
      </c>
      <c r="C16" s="8">
        <f>SUMPRODUCT((YEAR('Doğrudan Alım İşlemleri'!$B$2:$B$1944)=$A$16)*(MONTH('Doğrudan Alım İşlemleri'!$B$2:$B$1944)=$B$16)*1)</f>
        <v/>
      </c>
      <c r="D16" s="8">
        <f>SUMPRODUCT((YEAR('Doğrudan Alım İşlemleri'!$B$2:$B$1944)=$A$16)*(MONTH('Doğrudan Alım İşlemleri'!$B$2:$B$1944)=$B$16)*('Doğrudan Alım İşlemleri'!$H$2:$H$1944&lt;&gt;"")*'Doğrudan Alım İşlemleri'!$H$2:$H$1944)</f>
        <v/>
      </c>
      <c r="E16" s="24">
        <f>IFERROR(SUMPRODUCT((YEAR('Doğrudan Alım İşlemleri'!$B$2:$B$1944)=$A$16)*(MONTH('Doğrudan Alım İşlemleri'!$B$2:$B$1944)=$B$16)*ISNUMBER('Doğrudan Alım İşlemleri'!$K$2:$K$1944)*'Doğrudan Alım İşlemleri'!$K$2:$K$1944*('Doğrudan Alım İşlemleri'!$H$2:$H$1944&lt;&gt;"")*'Doğrudan Alım İşlemleri'!$H$2:$H$1944)/D16,"")</f>
        <v/>
      </c>
      <c r="F16" s="24">
        <f>IFERROR(SUMPRODUCT((YEAR('Doğrudan Alım İşlemleri'!$B$2:$B$1944)=$A$16)*(MONTH('Doğrudan Alım İşlemleri'!$B$2:$B$1944)=$B$16)*ISNUMBER('Doğrudan Alım İşlemleri'!$N$2:$N$1944)*'Doğrudan Alım İşlemleri'!$N$2:$N$1944*('Doğrudan Alım İşlemleri'!$H$2:$H$1944&lt;&gt;"")*'Doğrudan Alım İşlemleri'!$H$2:$H$1944)/D16,"")</f>
        <v/>
      </c>
    </row>
    <row r="17">
      <c r="A17" s="16" t="n">
        <v>2011</v>
      </c>
      <c r="B17" s="25" t="n">
        <v>5</v>
      </c>
      <c r="C17" s="11">
        <f>SUMPRODUCT((YEAR('Doğrudan Alım İşlemleri'!$B$2:$B$1944)=$A$17)*(MONTH('Doğrudan Alım İşlemleri'!$B$2:$B$1944)=$B$17)*1)</f>
        <v/>
      </c>
      <c r="D17" s="11">
        <f>SUMPRODUCT((YEAR('Doğrudan Alım İşlemleri'!$B$2:$B$1944)=$A$17)*(MONTH('Doğrudan Alım İşlemleri'!$B$2:$B$1944)=$B$17)*('Doğrudan Alım İşlemleri'!$H$2:$H$1944&lt;&gt;"")*'Doğrudan Alım İşlemleri'!$H$2:$H$1944)</f>
        <v/>
      </c>
      <c r="E17" s="13">
        <f>IFERROR(SUMPRODUCT((YEAR('Doğrudan Alım İşlemleri'!$B$2:$B$1944)=$A$17)*(MONTH('Doğrudan Alım İşlemleri'!$B$2:$B$1944)=$B$17)*ISNUMBER('Doğrudan Alım İşlemleri'!$K$2:$K$1944)*'Doğrudan Alım İşlemleri'!$K$2:$K$1944*('Doğrudan Alım İşlemleri'!$H$2:$H$1944&lt;&gt;"")*'Doğrudan Alım İşlemleri'!$H$2:$H$1944)/D17,"")</f>
        <v/>
      </c>
      <c r="F17" s="13">
        <f>IFERROR(SUMPRODUCT((YEAR('Doğrudan Alım İşlemleri'!$B$2:$B$1944)=$A$17)*(MONTH('Doğrudan Alım İşlemleri'!$B$2:$B$1944)=$B$17)*ISNUMBER('Doğrudan Alım İşlemleri'!$N$2:$N$1944)*'Doğrudan Alım İşlemleri'!$N$2:$N$1944*('Doğrudan Alım İşlemleri'!$H$2:$H$1944&lt;&gt;"")*'Doğrudan Alım İşlemleri'!$H$2:$H$1944)/D17,"")</f>
        <v/>
      </c>
    </row>
    <row r="18">
      <c r="A18" s="15" t="n">
        <v>2011</v>
      </c>
      <c r="B18" s="22" t="n">
        <v>8</v>
      </c>
      <c r="C18" s="8">
        <f>SUMPRODUCT((YEAR('Doğrudan Alım İşlemleri'!$B$2:$B$1944)=$A$18)*(MONTH('Doğrudan Alım İşlemleri'!$B$2:$B$1944)=$B$18)*1)</f>
        <v/>
      </c>
      <c r="D18" s="8">
        <f>SUMPRODUCT((YEAR('Doğrudan Alım İşlemleri'!$B$2:$B$1944)=$A$18)*(MONTH('Doğrudan Alım İşlemleri'!$B$2:$B$1944)=$B$18)*('Doğrudan Alım İşlemleri'!$H$2:$H$1944&lt;&gt;"")*'Doğrudan Alım İşlemleri'!$H$2:$H$1944)</f>
        <v/>
      </c>
      <c r="E18" s="24">
        <f>IFERROR(SUMPRODUCT((YEAR('Doğrudan Alım İşlemleri'!$B$2:$B$1944)=$A$18)*(MONTH('Doğrudan Alım İşlemleri'!$B$2:$B$1944)=$B$18)*ISNUMBER('Doğrudan Alım İşlemleri'!$K$2:$K$1944)*'Doğrudan Alım İşlemleri'!$K$2:$K$1944*('Doğrudan Alım İşlemleri'!$H$2:$H$1944&lt;&gt;"")*'Doğrudan Alım İşlemleri'!$H$2:$H$1944)/D18,"")</f>
        <v/>
      </c>
      <c r="F18" s="24">
        <f>IFERROR(SUMPRODUCT((YEAR('Doğrudan Alım İşlemleri'!$B$2:$B$1944)=$A$18)*(MONTH('Doğrudan Alım İşlemleri'!$B$2:$B$1944)=$B$18)*ISNUMBER('Doğrudan Alım İşlemleri'!$N$2:$N$1944)*'Doğrudan Alım İşlemleri'!$N$2:$N$1944*('Doğrudan Alım İşlemleri'!$H$2:$H$1944&lt;&gt;"")*'Doğrudan Alım İşlemleri'!$H$2:$H$1944)/D18,"")</f>
        <v/>
      </c>
    </row>
    <row r="19">
      <c r="A19" s="16" t="n">
        <v>2011</v>
      </c>
      <c r="B19" s="25" t="n">
        <v>10</v>
      </c>
      <c r="C19" s="11">
        <f>SUMPRODUCT((YEAR('Doğrudan Alım İşlemleri'!$B$2:$B$1944)=$A$19)*(MONTH('Doğrudan Alım İşlemleri'!$B$2:$B$1944)=$B$19)*1)</f>
        <v/>
      </c>
      <c r="D19" s="11">
        <f>SUMPRODUCT((YEAR('Doğrudan Alım İşlemleri'!$B$2:$B$1944)=$A$19)*(MONTH('Doğrudan Alım İşlemleri'!$B$2:$B$1944)=$B$19)*('Doğrudan Alım İşlemleri'!$H$2:$H$1944&lt;&gt;"")*'Doğrudan Alım İşlemleri'!$H$2:$H$1944)</f>
        <v/>
      </c>
      <c r="E19" s="13">
        <f>IFERROR(SUMPRODUCT((YEAR('Doğrudan Alım İşlemleri'!$B$2:$B$1944)=$A$19)*(MONTH('Doğrudan Alım İşlemleri'!$B$2:$B$1944)=$B$19)*ISNUMBER('Doğrudan Alım İşlemleri'!$K$2:$K$1944)*'Doğrudan Alım İşlemleri'!$K$2:$K$1944*('Doğrudan Alım İşlemleri'!$H$2:$H$1944&lt;&gt;"")*'Doğrudan Alım İşlemleri'!$H$2:$H$1944)/D19,"")</f>
        <v/>
      </c>
      <c r="F19" s="13">
        <f>IFERROR(SUMPRODUCT((YEAR('Doğrudan Alım İşlemleri'!$B$2:$B$1944)=$A$19)*(MONTH('Doğrudan Alım İşlemleri'!$B$2:$B$1944)=$B$19)*ISNUMBER('Doğrudan Alım İşlemleri'!$N$2:$N$1944)*'Doğrudan Alım İşlemleri'!$N$2:$N$1944*('Doğrudan Alım İşlemleri'!$H$2:$H$1944&lt;&gt;"")*'Doğrudan Alım İşlemleri'!$H$2:$H$1944)/D19,"")</f>
        <v/>
      </c>
    </row>
    <row r="20">
      <c r="A20" s="15" t="n">
        <v>2011</v>
      </c>
      <c r="B20" s="22" t="n">
        <v>11</v>
      </c>
      <c r="C20" s="8">
        <f>SUMPRODUCT((YEAR('Doğrudan Alım İşlemleri'!$B$2:$B$1944)=$A$20)*(MONTH('Doğrudan Alım İşlemleri'!$B$2:$B$1944)=$B$20)*1)</f>
        <v/>
      </c>
      <c r="D20" s="8">
        <f>SUMPRODUCT((YEAR('Doğrudan Alım İşlemleri'!$B$2:$B$1944)=$A$20)*(MONTH('Doğrudan Alım İşlemleri'!$B$2:$B$1944)=$B$20)*('Doğrudan Alım İşlemleri'!$H$2:$H$1944&lt;&gt;"")*'Doğrudan Alım İşlemleri'!$H$2:$H$1944)</f>
        <v/>
      </c>
      <c r="E20" s="24">
        <f>IFERROR(SUMPRODUCT((YEAR('Doğrudan Alım İşlemleri'!$B$2:$B$1944)=$A$20)*(MONTH('Doğrudan Alım İşlemleri'!$B$2:$B$1944)=$B$20)*ISNUMBER('Doğrudan Alım İşlemleri'!$K$2:$K$1944)*'Doğrudan Alım İşlemleri'!$K$2:$K$1944*('Doğrudan Alım İşlemleri'!$H$2:$H$1944&lt;&gt;"")*'Doğrudan Alım İşlemleri'!$H$2:$H$1944)/D20,"")</f>
        <v/>
      </c>
      <c r="F20" s="24">
        <f>IFERROR(SUMPRODUCT((YEAR('Doğrudan Alım İşlemleri'!$B$2:$B$1944)=$A$20)*(MONTH('Doğrudan Alım İşlemleri'!$B$2:$B$1944)=$B$20)*ISNUMBER('Doğrudan Alım İşlemleri'!$N$2:$N$1944)*'Doğrudan Alım İşlemleri'!$N$2:$N$1944*('Doğrudan Alım İşlemleri'!$H$2:$H$1944&lt;&gt;"")*'Doğrudan Alım İşlemleri'!$H$2:$H$1944)/D20,"")</f>
        <v/>
      </c>
    </row>
    <row r="21">
      <c r="A21" s="16" t="n">
        <v>2012</v>
      </c>
      <c r="B21" s="25" t="n">
        <v>1</v>
      </c>
      <c r="C21" s="11">
        <f>SUMPRODUCT((YEAR('Doğrudan Alım İşlemleri'!$B$2:$B$1944)=$A$21)*(MONTH('Doğrudan Alım İşlemleri'!$B$2:$B$1944)=$B$21)*1)</f>
        <v/>
      </c>
      <c r="D21" s="11">
        <f>SUMPRODUCT((YEAR('Doğrudan Alım İşlemleri'!$B$2:$B$1944)=$A$21)*(MONTH('Doğrudan Alım İşlemleri'!$B$2:$B$1944)=$B$21)*('Doğrudan Alım İşlemleri'!$H$2:$H$1944&lt;&gt;"")*'Doğrudan Alım İşlemleri'!$H$2:$H$1944)</f>
        <v/>
      </c>
      <c r="E21" s="13">
        <f>IFERROR(SUMPRODUCT((YEAR('Doğrudan Alım İşlemleri'!$B$2:$B$1944)=$A$21)*(MONTH('Doğrudan Alım İşlemleri'!$B$2:$B$1944)=$B$21)*ISNUMBER('Doğrudan Alım İşlemleri'!$K$2:$K$1944)*'Doğrudan Alım İşlemleri'!$K$2:$K$1944*('Doğrudan Alım İşlemleri'!$H$2:$H$1944&lt;&gt;"")*'Doğrudan Alım İşlemleri'!$H$2:$H$1944)/D21,"")</f>
        <v/>
      </c>
      <c r="F21" s="13">
        <f>IFERROR(SUMPRODUCT((YEAR('Doğrudan Alım İşlemleri'!$B$2:$B$1944)=$A$21)*(MONTH('Doğrudan Alım İşlemleri'!$B$2:$B$1944)=$B$21)*ISNUMBER('Doğrudan Alım İşlemleri'!$N$2:$N$1944)*'Doğrudan Alım İşlemleri'!$N$2:$N$1944*('Doğrudan Alım İşlemleri'!$H$2:$H$1944&lt;&gt;"")*'Doğrudan Alım İşlemleri'!$H$2:$H$1944)/D21,"")</f>
        <v/>
      </c>
    </row>
    <row r="22">
      <c r="A22" s="15" t="n">
        <v>2012</v>
      </c>
      <c r="B22" s="22" t="n">
        <v>2</v>
      </c>
      <c r="C22" s="8">
        <f>SUMPRODUCT((YEAR('Doğrudan Alım İşlemleri'!$B$2:$B$1944)=$A$22)*(MONTH('Doğrudan Alım İşlemleri'!$B$2:$B$1944)=$B$22)*1)</f>
        <v/>
      </c>
      <c r="D22" s="8">
        <f>SUMPRODUCT((YEAR('Doğrudan Alım İşlemleri'!$B$2:$B$1944)=$A$22)*(MONTH('Doğrudan Alım İşlemleri'!$B$2:$B$1944)=$B$22)*('Doğrudan Alım İşlemleri'!$H$2:$H$1944&lt;&gt;"")*'Doğrudan Alım İşlemleri'!$H$2:$H$1944)</f>
        <v/>
      </c>
      <c r="E22" s="24">
        <f>IFERROR(SUMPRODUCT((YEAR('Doğrudan Alım İşlemleri'!$B$2:$B$1944)=$A$22)*(MONTH('Doğrudan Alım İşlemleri'!$B$2:$B$1944)=$B$22)*ISNUMBER('Doğrudan Alım İşlemleri'!$K$2:$K$1944)*'Doğrudan Alım İşlemleri'!$K$2:$K$1944*('Doğrudan Alım İşlemleri'!$H$2:$H$1944&lt;&gt;"")*'Doğrudan Alım İşlemleri'!$H$2:$H$1944)/D22,"")</f>
        <v/>
      </c>
      <c r="F22" s="24">
        <f>IFERROR(SUMPRODUCT((YEAR('Doğrudan Alım İşlemleri'!$B$2:$B$1944)=$A$22)*(MONTH('Doğrudan Alım İşlemleri'!$B$2:$B$1944)=$B$22)*ISNUMBER('Doğrudan Alım İşlemleri'!$N$2:$N$1944)*'Doğrudan Alım İşlemleri'!$N$2:$N$1944*('Doğrudan Alım İşlemleri'!$H$2:$H$1944&lt;&gt;"")*'Doğrudan Alım İşlemleri'!$H$2:$H$1944)/D22,"")</f>
        <v/>
      </c>
    </row>
    <row r="23">
      <c r="A23" s="16" t="n">
        <v>2012</v>
      </c>
      <c r="B23" s="25" t="n">
        <v>3</v>
      </c>
      <c r="C23" s="11">
        <f>SUMPRODUCT((YEAR('Doğrudan Alım İşlemleri'!$B$2:$B$1944)=$A$23)*(MONTH('Doğrudan Alım İşlemleri'!$B$2:$B$1944)=$B$23)*1)</f>
        <v/>
      </c>
      <c r="D23" s="11">
        <f>SUMPRODUCT((YEAR('Doğrudan Alım İşlemleri'!$B$2:$B$1944)=$A$23)*(MONTH('Doğrudan Alım İşlemleri'!$B$2:$B$1944)=$B$23)*('Doğrudan Alım İşlemleri'!$H$2:$H$1944&lt;&gt;"")*'Doğrudan Alım İşlemleri'!$H$2:$H$1944)</f>
        <v/>
      </c>
      <c r="E23" s="13">
        <f>IFERROR(SUMPRODUCT((YEAR('Doğrudan Alım İşlemleri'!$B$2:$B$1944)=$A$23)*(MONTH('Doğrudan Alım İşlemleri'!$B$2:$B$1944)=$B$23)*ISNUMBER('Doğrudan Alım İşlemleri'!$K$2:$K$1944)*'Doğrudan Alım İşlemleri'!$K$2:$K$1944*('Doğrudan Alım İşlemleri'!$H$2:$H$1944&lt;&gt;"")*'Doğrudan Alım İşlemleri'!$H$2:$H$1944)/D23,"")</f>
        <v/>
      </c>
      <c r="F23" s="13">
        <f>IFERROR(SUMPRODUCT((YEAR('Doğrudan Alım İşlemleri'!$B$2:$B$1944)=$A$23)*(MONTH('Doğrudan Alım İşlemleri'!$B$2:$B$1944)=$B$23)*ISNUMBER('Doğrudan Alım İşlemleri'!$N$2:$N$1944)*'Doğrudan Alım İşlemleri'!$N$2:$N$1944*('Doğrudan Alım İşlemleri'!$H$2:$H$1944&lt;&gt;"")*'Doğrudan Alım İşlemleri'!$H$2:$H$1944)/D23,"")</f>
        <v/>
      </c>
    </row>
    <row r="24">
      <c r="A24" s="15" t="n">
        <v>2012</v>
      </c>
      <c r="B24" s="22" t="n">
        <v>4</v>
      </c>
      <c r="C24" s="8">
        <f>SUMPRODUCT((YEAR('Doğrudan Alım İşlemleri'!$B$2:$B$1944)=$A$24)*(MONTH('Doğrudan Alım İşlemleri'!$B$2:$B$1944)=$B$24)*1)</f>
        <v/>
      </c>
      <c r="D24" s="8">
        <f>SUMPRODUCT((YEAR('Doğrudan Alım İşlemleri'!$B$2:$B$1944)=$A$24)*(MONTH('Doğrudan Alım İşlemleri'!$B$2:$B$1944)=$B$24)*('Doğrudan Alım İşlemleri'!$H$2:$H$1944&lt;&gt;"")*'Doğrudan Alım İşlemleri'!$H$2:$H$1944)</f>
        <v/>
      </c>
      <c r="E24" s="24">
        <f>IFERROR(SUMPRODUCT((YEAR('Doğrudan Alım İşlemleri'!$B$2:$B$1944)=$A$24)*(MONTH('Doğrudan Alım İşlemleri'!$B$2:$B$1944)=$B$24)*ISNUMBER('Doğrudan Alım İşlemleri'!$K$2:$K$1944)*'Doğrudan Alım İşlemleri'!$K$2:$K$1944*('Doğrudan Alım İşlemleri'!$H$2:$H$1944&lt;&gt;"")*'Doğrudan Alım İşlemleri'!$H$2:$H$1944)/D24,"")</f>
        <v/>
      </c>
      <c r="F24" s="24">
        <f>IFERROR(SUMPRODUCT((YEAR('Doğrudan Alım İşlemleri'!$B$2:$B$1944)=$A$24)*(MONTH('Doğrudan Alım İşlemleri'!$B$2:$B$1944)=$B$24)*ISNUMBER('Doğrudan Alım İşlemleri'!$N$2:$N$1944)*'Doğrudan Alım İşlemleri'!$N$2:$N$1944*('Doğrudan Alım İşlemleri'!$H$2:$H$1944&lt;&gt;"")*'Doğrudan Alım İşlemleri'!$H$2:$H$1944)/D24,"")</f>
        <v/>
      </c>
    </row>
    <row r="25">
      <c r="A25" s="16" t="n">
        <v>2012</v>
      </c>
      <c r="B25" s="25" t="n">
        <v>8</v>
      </c>
      <c r="C25" s="11">
        <f>SUMPRODUCT((YEAR('Doğrudan Alım İşlemleri'!$B$2:$B$1944)=$A$25)*(MONTH('Doğrudan Alım İşlemleri'!$B$2:$B$1944)=$B$25)*1)</f>
        <v/>
      </c>
      <c r="D25" s="11">
        <f>SUMPRODUCT((YEAR('Doğrudan Alım İşlemleri'!$B$2:$B$1944)=$A$25)*(MONTH('Doğrudan Alım İşlemleri'!$B$2:$B$1944)=$B$25)*('Doğrudan Alım İşlemleri'!$H$2:$H$1944&lt;&gt;"")*'Doğrudan Alım İşlemleri'!$H$2:$H$1944)</f>
        <v/>
      </c>
      <c r="E25" s="13">
        <f>IFERROR(SUMPRODUCT((YEAR('Doğrudan Alım İşlemleri'!$B$2:$B$1944)=$A$25)*(MONTH('Doğrudan Alım İşlemleri'!$B$2:$B$1944)=$B$25)*ISNUMBER('Doğrudan Alım İşlemleri'!$K$2:$K$1944)*'Doğrudan Alım İşlemleri'!$K$2:$K$1944*('Doğrudan Alım İşlemleri'!$H$2:$H$1944&lt;&gt;"")*'Doğrudan Alım İşlemleri'!$H$2:$H$1944)/D25,"")</f>
        <v/>
      </c>
      <c r="F25" s="13">
        <f>IFERROR(SUMPRODUCT((YEAR('Doğrudan Alım İşlemleri'!$B$2:$B$1944)=$A$25)*(MONTH('Doğrudan Alım İşlemleri'!$B$2:$B$1944)=$B$25)*ISNUMBER('Doğrudan Alım İşlemleri'!$N$2:$N$1944)*'Doğrudan Alım İşlemleri'!$N$2:$N$1944*('Doğrudan Alım İşlemleri'!$H$2:$H$1944&lt;&gt;"")*'Doğrudan Alım İşlemleri'!$H$2:$H$1944)/D25,"")</f>
        <v/>
      </c>
    </row>
    <row r="26">
      <c r="A26" s="15" t="n">
        <v>2012</v>
      </c>
      <c r="B26" s="22" t="n">
        <v>11</v>
      </c>
      <c r="C26" s="8">
        <f>SUMPRODUCT((YEAR('Doğrudan Alım İşlemleri'!$B$2:$B$1944)=$A$26)*(MONTH('Doğrudan Alım İşlemleri'!$B$2:$B$1944)=$B$26)*1)</f>
        <v/>
      </c>
      <c r="D26" s="8">
        <f>SUMPRODUCT((YEAR('Doğrudan Alım İşlemleri'!$B$2:$B$1944)=$A$26)*(MONTH('Doğrudan Alım İşlemleri'!$B$2:$B$1944)=$B$26)*('Doğrudan Alım İşlemleri'!$H$2:$H$1944&lt;&gt;"")*'Doğrudan Alım İşlemleri'!$H$2:$H$1944)</f>
        <v/>
      </c>
      <c r="E26" s="24">
        <f>IFERROR(SUMPRODUCT((YEAR('Doğrudan Alım İşlemleri'!$B$2:$B$1944)=$A$26)*(MONTH('Doğrudan Alım İşlemleri'!$B$2:$B$1944)=$B$26)*ISNUMBER('Doğrudan Alım İşlemleri'!$K$2:$K$1944)*'Doğrudan Alım İşlemleri'!$K$2:$K$1944*('Doğrudan Alım İşlemleri'!$H$2:$H$1944&lt;&gt;"")*'Doğrudan Alım İşlemleri'!$H$2:$H$1944)/D26,"")</f>
        <v/>
      </c>
      <c r="F26" s="24">
        <f>IFERROR(SUMPRODUCT((YEAR('Doğrudan Alım İşlemleri'!$B$2:$B$1944)=$A$26)*(MONTH('Doğrudan Alım İşlemleri'!$B$2:$B$1944)=$B$26)*ISNUMBER('Doğrudan Alım İşlemleri'!$N$2:$N$1944)*'Doğrudan Alım İşlemleri'!$N$2:$N$1944*('Doğrudan Alım İşlemleri'!$H$2:$H$1944&lt;&gt;"")*'Doğrudan Alım İşlemleri'!$H$2:$H$1944)/D26,"")</f>
        <v/>
      </c>
    </row>
    <row r="27">
      <c r="A27" s="16" t="n">
        <v>2013</v>
      </c>
      <c r="B27" s="25" t="n">
        <v>1</v>
      </c>
      <c r="C27" s="11">
        <f>SUMPRODUCT((YEAR('Doğrudan Alım İşlemleri'!$B$2:$B$1944)=$A$27)*(MONTH('Doğrudan Alım İşlemleri'!$B$2:$B$1944)=$B$27)*1)</f>
        <v/>
      </c>
      <c r="D27" s="11">
        <f>SUMPRODUCT((YEAR('Doğrudan Alım İşlemleri'!$B$2:$B$1944)=$A$27)*(MONTH('Doğrudan Alım İşlemleri'!$B$2:$B$1944)=$B$27)*('Doğrudan Alım İşlemleri'!$H$2:$H$1944&lt;&gt;"")*'Doğrudan Alım İşlemleri'!$H$2:$H$1944)</f>
        <v/>
      </c>
      <c r="E27" s="13">
        <f>IFERROR(SUMPRODUCT((YEAR('Doğrudan Alım İşlemleri'!$B$2:$B$1944)=$A$27)*(MONTH('Doğrudan Alım İşlemleri'!$B$2:$B$1944)=$B$27)*ISNUMBER('Doğrudan Alım İşlemleri'!$K$2:$K$1944)*'Doğrudan Alım İşlemleri'!$K$2:$K$1944*('Doğrudan Alım İşlemleri'!$H$2:$H$1944&lt;&gt;"")*'Doğrudan Alım İşlemleri'!$H$2:$H$1944)/D27,"")</f>
        <v/>
      </c>
      <c r="F27" s="13">
        <f>IFERROR(SUMPRODUCT((YEAR('Doğrudan Alım İşlemleri'!$B$2:$B$1944)=$A$27)*(MONTH('Doğrudan Alım İşlemleri'!$B$2:$B$1944)=$B$27)*ISNUMBER('Doğrudan Alım İşlemleri'!$N$2:$N$1944)*'Doğrudan Alım İşlemleri'!$N$2:$N$1944*('Doğrudan Alım İşlemleri'!$H$2:$H$1944&lt;&gt;"")*'Doğrudan Alım İşlemleri'!$H$2:$H$1944)/D27,"")</f>
        <v/>
      </c>
    </row>
    <row r="28">
      <c r="A28" s="15" t="n">
        <v>2013</v>
      </c>
      <c r="B28" s="22" t="n">
        <v>2</v>
      </c>
      <c r="C28" s="8">
        <f>SUMPRODUCT((YEAR('Doğrudan Alım İşlemleri'!$B$2:$B$1944)=$A$28)*(MONTH('Doğrudan Alım İşlemleri'!$B$2:$B$1944)=$B$28)*1)</f>
        <v/>
      </c>
      <c r="D28" s="8">
        <f>SUMPRODUCT((YEAR('Doğrudan Alım İşlemleri'!$B$2:$B$1944)=$A$28)*(MONTH('Doğrudan Alım İşlemleri'!$B$2:$B$1944)=$B$28)*('Doğrudan Alım İşlemleri'!$H$2:$H$1944&lt;&gt;"")*'Doğrudan Alım İşlemleri'!$H$2:$H$1944)</f>
        <v/>
      </c>
      <c r="E28" s="24">
        <f>IFERROR(SUMPRODUCT((YEAR('Doğrudan Alım İşlemleri'!$B$2:$B$1944)=$A$28)*(MONTH('Doğrudan Alım İşlemleri'!$B$2:$B$1944)=$B$28)*ISNUMBER('Doğrudan Alım İşlemleri'!$K$2:$K$1944)*'Doğrudan Alım İşlemleri'!$K$2:$K$1944*('Doğrudan Alım İşlemleri'!$H$2:$H$1944&lt;&gt;"")*'Doğrudan Alım İşlemleri'!$H$2:$H$1944)/D28,"")</f>
        <v/>
      </c>
      <c r="F28" s="24">
        <f>IFERROR(SUMPRODUCT((YEAR('Doğrudan Alım İşlemleri'!$B$2:$B$1944)=$A$28)*(MONTH('Doğrudan Alım İşlemleri'!$B$2:$B$1944)=$B$28)*ISNUMBER('Doğrudan Alım İşlemleri'!$N$2:$N$1944)*'Doğrudan Alım İşlemleri'!$N$2:$N$1944*('Doğrudan Alım İşlemleri'!$H$2:$H$1944&lt;&gt;"")*'Doğrudan Alım İşlemleri'!$H$2:$H$1944)/D28,"")</f>
        <v/>
      </c>
    </row>
    <row r="29">
      <c r="A29" s="16" t="n">
        <v>2013</v>
      </c>
      <c r="B29" s="25" t="n">
        <v>3</v>
      </c>
      <c r="C29" s="11">
        <f>SUMPRODUCT((YEAR('Doğrudan Alım İşlemleri'!$B$2:$B$1944)=$A$29)*(MONTH('Doğrudan Alım İşlemleri'!$B$2:$B$1944)=$B$29)*1)</f>
        <v/>
      </c>
      <c r="D29" s="11">
        <f>SUMPRODUCT((YEAR('Doğrudan Alım İşlemleri'!$B$2:$B$1944)=$A$29)*(MONTH('Doğrudan Alım İşlemleri'!$B$2:$B$1944)=$B$29)*('Doğrudan Alım İşlemleri'!$H$2:$H$1944&lt;&gt;"")*'Doğrudan Alım İşlemleri'!$H$2:$H$1944)</f>
        <v/>
      </c>
      <c r="E29" s="13">
        <f>IFERROR(SUMPRODUCT((YEAR('Doğrudan Alım İşlemleri'!$B$2:$B$1944)=$A$29)*(MONTH('Doğrudan Alım İşlemleri'!$B$2:$B$1944)=$B$29)*ISNUMBER('Doğrudan Alım İşlemleri'!$K$2:$K$1944)*'Doğrudan Alım İşlemleri'!$K$2:$K$1944*('Doğrudan Alım İşlemleri'!$H$2:$H$1944&lt;&gt;"")*'Doğrudan Alım İşlemleri'!$H$2:$H$1944)/D29,"")</f>
        <v/>
      </c>
      <c r="F29" s="13">
        <f>IFERROR(SUMPRODUCT((YEAR('Doğrudan Alım İşlemleri'!$B$2:$B$1944)=$A$29)*(MONTH('Doğrudan Alım İşlemleri'!$B$2:$B$1944)=$B$29)*ISNUMBER('Doğrudan Alım İşlemleri'!$N$2:$N$1944)*'Doğrudan Alım İşlemleri'!$N$2:$N$1944*('Doğrudan Alım İşlemleri'!$H$2:$H$1944&lt;&gt;"")*'Doğrudan Alım İşlemleri'!$H$2:$H$1944)/D29,"")</f>
        <v/>
      </c>
    </row>
    <row r="30">
      <c r="A30" s="15" t="n">
        <v>2013</v>
      </c>
      <c r="B30" s="22" t="n">
        <v>4</v>
      </c>
      <c r="C30" s="8">
        <f>SUMPRODUCT((YEAR('Doğrudan Alım İşlemleri'!$B$2:$B$1944)=$A$30)*(MONTH('Doğrudan Alım İşlemleri'!$B$2:$B$1944)=$B$30)*1)</f>
        <v/>
      </c>
      <c r="D30" s="8">
        <f>SUMPRODUCT((YEAR('Doğrudan Alım İşlemleri'!$B$2:$B$1944)=$A$30)*(MONTH('Doğrudan Alım İşlemleri'!$B$2:$B$1944)=$B$30)*('Doğrudan Alım İşlemleri'!$H$2:$H$1944&lt;&gt;"")*'Doğrudan Alım İşlemleri'!$H$2:$H$1944)</f>
        <v/>
      </c>
      <c r="E30" s="24">
        <f>IFERROR(SUMPRODUCT((YEAR('Doğrudan Alım İşlemleri'!$B$2:$B$1944)=$A$30)*(MONTH('Doğrudan Alım İşlemleri'!$B$2:$B$1944)=$B$30)*ISNUMBER('Doğrudan Alım İşlemleri'!$K$2:$K$1944)*'Doğrudan Alım İşlemleri'!$K$2:$K$1944*('Doğrudan Alım İşlemleri'!$H$2:$H$1944&lt;&gt;"")*'Doğrudan Alım İşlemleri'!$H$2:$H$1944)/D30,"")</f>
        <v/>
      </c>
      <c r="F30" s="24">
        <f>IFERROR(SUMPRODUCT((YEAR('Doğrudan Alım İşlemleri'!$B$2:$B$1944)=$A$30)*(MONTH('Doğrudan Alım İşlemleri'!$B$2:$B$1944)=$B$30)*ISNUMBER('Doğrudan Alım İşlemleri'!$N$2:$N$1944)*'Doğrudan Alım İşlemleri'!$N$2:$N$1944*('Doğrudan Alım İşlemleri'!$H$2:$H$1944&lt;&gt;"")*'Doğrudan Alım İşlemleri'!$H$2:$H$1944)/D30,"")</f>
        <v/>
      </c>
    </row>
    <row r="31">
      <c r="A31" s="16" t="n">
        <v>2013</v>
      </c>
      <c r="B31" s="25" t="n">
        <v>8</v>
      </c>
      <c r="C31" s="11">
        <f>SUMPRODUCT((YEAR('Doğrudan Alım İşlemleri'!$B$2:$B$1944)=$A$31)*(MONTH('Doğrudan Alım İşlemleri'!$B$2:$B$1944)=$B$31)*1)</f>
        <v/>
      </c>
      <c r="D31" s="11">
        <f>SUMPRODUCT((YEAR('Doğrudan Alım İşlemleri'!$B$2:$B$1944)=$A$31)*(MONTH('Doğrudan Alım İşlemleri'!$B$2:$B$1944)=$B$31)*('Doğrudan Alım İşlemleri'!$H$2:$H$1944&lt;&gt;"")*'Doğrudan Alım İşlemleri'!$H$2:$H$1944)</f>
        <v/>
      </c>
      <c r="E31" s="13">
        <f>IFERROR(SUMPRODUCT((YEAR('Doğrudan Alım İşlemleri'!$B$2:$B$1944)=$A$31)*(MONTH('Doğrudan Alım İşlemleri'!$B$2:$B$1944)=$B$31)*ISNUMBER('Doğrudan Alım İşlemleri'!$K$2:$K$1944)*'Doğrudan Alım İşlemleri'!$K$2:$K$1944*('Doğrudan Alım İşlemleri'!$H$2:$H$1944&lt;&gt;"")*'Doğrudan Alım İşlemleri'!$H$2:$H$1944)/D31,"")</f>
        <v/>
      </c>
      <c r="F31" s="13">
        <f>IFERROR(SUMPRODUCT((YEAR('Doğrudan Alım İşlemleri'!$B$2:$B$1944)=$A$31)*(MONTH('Doğrudan Alım İşlemleri'!$B$2:$B$1944)=$B$31)*ISNUMBER('Doğrudan Alım İşlemleri'!$N$2:$N$1944)*'Doğrudan Alım İşlemleri'!$N$2:$N$1944*('Doğrudan Alım İşlemleri'!$H$2:$H$1944&lt;&gt;"")*'Doğrudan Alım İşlemleri'!$H$2:$H$1944)/D31,"")</f>
        <v/>
      </c>
    </row>
    <row r="32">
      <c r="A32" s="15" t="n">
        <v>2013</v>
      </c>
      <c r="B32" s="22" t="n">
        <v>9</v>
      </c>
      <c r="C32" s="8">
        <f>SUMPRODUCT((YEAR('Doğrudan Alım İşlemleri'!$B$2:$B$1944)=$A$32)*(MONTH('Doğrudan Alım İşlemleri'!$B$2:$B$1944)=$B$32)*1)</f>
        <v/>
      </c>
      <c r="D32" s="8">
        <f>SUMPRODUCT((YEAR('Doğrudan Alım İşlemleri'!$B$2:$B$1944)=$A$32)*(MONTH('Doğrudan Alım İşlemleri'!$B$2:$B$1944)=$B$32)*('Doğrudan Alım İşlemleri'!$H$2:$H$1944&lt;&gt;"")*'Doğrudan Alım İşlemleri'!$H$2:$H$1944)</f>
        <v/>
      </c>
      <c r="E32" s="24">
        <f>IFERROR(SUMPRODUCT((YEAR('Doğrudan Alım İşlemleri'!$B$2:$B$1944)=$A$32)*(MONTH('Doğrudan Alım İşlemleri'!$B$2:$B$1944)=$B$32)*ISNUMBER('Doğrudan Alım İşlemleri'!$K$2:$K$1944)*'Doğrudan Alım İşlemleri'!$K$2:$K$1944*('Doğrudan Alım İşlemleri'!$H$2:$H$1944&lt;&gt;"")*'Doğrudan Alım İşlemleri'!$H$2:$H$1944)/D32,"")</f>
        <v/>
      </c>
      <c r="F32" s="24">
        <f>IFERROR(SUMPRODUCT((YEAR('Doğrudan Alım İşlemleri'!$B$2:$B$1944)=$A$32)*(MONTH('Doğrudan Alım İşlemleri'!$B$2:$B$1944)=$B$32)*ISNUMBER('Doğrudan Alım İşlemleri'!$N$2:$N$1944)*'Doğrudan Alım İşlemleri'!$N$2:$N$1944*('Doğrudan Alım İşlemleri'!$H$2:$H$1944&lt;&gt;"")*'Doğrudan Alım İşlemleri'!$H$2:$H$1944)/D32,"")</f>
        <v/>
      </c>
    </row>
    <row r="33">
      <c r="A33" s="16" t="n">
        <v>2013</v>
      </c>
      <c r="B33" s="25" t="n">
        <v>10</v>
      </c>
      <c r="C33" s="11">
        <f>SUMPRODUCT((YEAR('Doğrudan Alım İşlemleri'!$B$2:$B$1944)=$A$33)*(MONTH('Doğrudan Alım İşlemleri'!$B$2:$B$1944)=$B$33)*1)</f>
        <v/>
      </c>
      <c r="D33" s="11">
        <f>SUMPRODUCT((YEAR('Doğrudan Alım İşlemleri'!$B$2:$B$1944)=$A$33)*(MONTH('Doğrudan Alım İşlemleri'!$B$2:$B$1944)=$B$33)*('Doğrudan Alım İşlemleri'!$H$2:$H$1944&lt;&gt;"")*'Doğrudan Alım İşlemleri'!$H$2:$H$1944)</f>
        <v/>
      </c>
      <c r="E33" s="13">
        <f>IFERROR(SUMPRODUCT((YEAR('Doğrudan Alım İşlemleri'!$B$2:$B$1944)=$A$33)*(MONTH('Doğrudan Alım İşlemleri'!$B$2:$B$1944)=$B$33)*ISNUMBER('Doğrudan Alım İşlemleri'!$K$2:$K$1944)*'Doğrudan Alım İşlemleri'!$K$2:$K$1944*('Doğrudan Alım İşlemleri'!$H$2:$H$1944&lt;&gt;"")*'Doğrudan Alım İşlemleri'!$H$2:$H$1944)/D33,"")</f>
        <v/>
      </c>
      <c r="F33" s="13">
        <f>IFERROR(SUMPRODUCT((YEAR('Doğrudan Alım İşlemleri'!$B$2:$B$1944)=$A$33)*(MONTH('Doğrudan Alım İşlemleri'!$B$2:$B$1944)=$B$33)*ISNUMBER('Doğrudan Alım İşlemleri'!$N$2:$N$1944)*'Doğrudan Alım İşlemleri'!$N$2:$N$1944*('Doğrudan Alım İşlemleri'!$H$2:$H$1944&lt;&gt;"")*'Doğrudan Alım İşlemleri'!$H$2:$H$1944)/D33,"")</f>
        <v/>
      </c>
    </row>
    <row r="34">
      <c r="A34" s="15" t="n">
        <v>2013</v>
      </c>
      <c r="B34" s="22" t="n">
        <v>11</v>
      </c>
      <c r="C34" s="8">
        <f>SUMPRODUCT((YEAR('Doğrudan Alım İşlemleri'!$B$2:$B$1944)=$A$34)*(MONTH('Doğrudan Alım İşlemleri'!$B$2:$B$1944)=$B$34)*1)</f>
        <v/>
      </c>
      <c r="D34" s="8">
        <f>SUMPRODUCT((YEAR('Doğrudan Alım İşlemleri'!$B$2:$B$1944)=$A$34)*(MONTH('Doğrudan Alım İşlemleri'!$B$2:$B$1944)=$B$34)*('Doğrudan Alım İşlemleri'!$H$2:$H$1944&lt;&gt;"")*'Doğrudan Alım İşlemleri'!$H$2:$H$1944)</f>
        <v/>
      </c>
      <c r="E34" s="24">
        <f>IFERROR(SUMPRODUCT((YEAR('Doğrudan Alım İşlemleri'!$B$2:$B$1944)=$A$34)*(MONTH('Doğrudan Alım İşlemleri'!$B$2:$B$1944)=$B$34)*ISNUMBER('Doğrudan Alım İşlemleri'!$K$2:$K$1944)*'Doğrudan Alım İşlemleri'!$K$2:$K$1944*('Doğrudan Alım İşlemleri'!$H$2:$H$1944&lt;&gt;"")*'Doğrudan Alım İşlemleri'!$H$2:$H$1944)/D34,"")</f>
        <v/>
      </c>
      <c r="F34" s="24">
        <f>IFERROR(SUMPRODUCT((YEAR('Doğrudan Alım İşlemleri'!$B$2:$B$1944)=$A$34)*(MONTH('Doğrudan Alım İşlemleri'!$B$2:$B$1944)=$B$34)*ISNUMBER('Doğrudan Alım İşlemleri'!$N$2:$N$1944)*'Doğrudan Alım İşlemleri'!$N$2:$N$1944*('Doğrudan Alım İşlemleri'!$H$2:$H$1944&lt;&gt;"")*'Doğrudan Alım İşlemleri'!$H$2:$H$1944)/D34,"")</f>
        <v/>
      </c>
    </row>
    <row r="35">
      <c r="A35" s="16" t="n">
        <v>2013</v>
      </c>
      <c r="B35" s="25" t="n">
        <v>12</v>
      </c>
      <c r="C35" s="11">
        <f>SUMPRODUCT((YEAR('Doğrudan Alım İşlemleri'!$B$2:$B$1944)=$A$35)*(MONTH('Doğrudan Alım İşlemleri'!$B$2:$B$1944)=$B$35)*1)</f>
        <v/>
      </c>
      <c r="D35" s="11">
        <f>SUMPRODUCT((YEAR('Doğrudan Alım İşlemleri'!$B$2:$B$1944)=$A$35)*(MONTH('Doğrudan Alım İşlemleri'!$B$2:$B$1944)=$B$35)*('Doğrudan Alım İşlemleri'!$H$2:$H$1944&lt;&gt;"")*'Doğrudan Alım İşlemleri'!$H$2:$H$1944)</f>
        <v/>
      </c>
      <c r="E35" s="13">
        <f>IFERROR(SUMPRODUCT((YEAR('Doğrudan Alım İşlemleri'!$B$2:$B$1944)=$A$35)*(MONTH('Doğrudan Alım İşlemleri'!$B$2:$B$1944)=$B$35)*ISNUMBER('Doğrudan Alım İşlemleri'!$K$2:$K$1944)*'Doğrudan Alım İşlemleri'!$K$2:$K$1944*('Doğrudan Alım İşlemleri'!$H$2:$H$1944&lt;&gt;"")*'Doğrudan Alım İşlemleri'!$H$2:$H$1944)/D35,"")</f>
        <v/>
      </c>
      <c r="F35" s="13">
        <f>IFERROR(SUMPRODUCT((YEAR('Doğrudan Alım İşlemleri'!$B$2:$B$1944)=$A$35)*(MONTH('Doğrudan Alım İşlemleri'!$B$2:$B$1944)=$B$35)*ISNUMBER('Doğrudan Alım İşlemleri'!$N$2:$N$1944)*'Doğrudan Alım İşlemleri'!$N$2:$N$1944*('Doğrudan Alım İşlemleri'!$H$2:$H$1944&lt;&gt;"")*'Doğrudan Alım İşlemleri'!$H$2:$H$1944)/D35,"")</f>
        <v/>
      </c>
    </row>
    <row r="36">
      <c r="A36" s="15" t="n">
        <v>2014</v>
      </c>
      <c r="B36" s="22" t="n">
        <v>3</v>
      </c>
      <c r="C36" s="8">
        <f>SUMPRODUCT((YEAR('Doğrudan Alım İşlemleri'!$B$2:$B$1944)=$A$36)*(MONTH('Doğrudan Alım İşlemleri'!$B$2:$B$1944)=$B$36)*1)</f>
        <v/>
      </c>
      <c r="D36" s="8">
        <f>SUMPRODUCT((YEAR('Doğrudan Alım İşlemleri'!$B$2:$B$1944)=$A$36)*(MONTH('Doğrudan Alım İşlemleri'!$B$2:$B$1944)=$B$36)*('Doğrudan Alım İşlemleri'!$H$2:$H$1944&lt;&gt;"")*'Doğrudan Alım İşlemleri'!$H$2:$H$1944)</f>
        <v/>
      </c>
      <c r="E36" s="24">
        <f>IFERROR(SUMPRODUCT((YEAR('Doğrudan Alım İşlemleri'!$B$2:$B$1944)=$A$36)*(MONTH('Doğrudan Alım İşlemleri'!$B$2:$B$1944)=$B$36)*ISNUMBER('Doğrudan Alım İşlemleri'!$K$2:$K$1944)*'Doğrudan Alım İşlemleri'!$K$2:$K$1944*('Doğrudan Alım İşlemleri'!$H$2:$H$1944&lt;&gt;"")*'Doğrudan Alım İşlemleri'!$H$2:$H$1944)/D36,"")</f>
        <v/>
      </c>
      <c r="F36" s="24">
        <f>IFERROR(SUMPRODUCT((YEAR('Doğrudan Alım İşlemleri'!$B$2:$B$1944)=$A$36)*(MONTH('Doğrudan Alım İşlemleri'!$B$2:$B$1944)=$B$36)*ISNUMBER('Doğrudan Alım İşlemleri'!$N$2:$N$1944)*'Doğrudan Alım İşlemleri'!$N$2:$N$1944*('Doğrudan Alım İşlemleri'!$H$2:$H$1944&lt;&gt;"")*'Doğrudan Alım İşlemleri'!$H$2:$H$1944)/D36,"")</f>
        <v/>
      </c>
    </row>
    <row r="37">
      <c r="A37" s="16" t="n">
        <v>2014</v>
      </c>
      <c r="B37" s="25" t="n">
        <v>4</v>
      </c>
      <c r="C37" s="11">
        <f>SUMPRODUCT((YEAR('Doğrudan Alım İşlemleri'!$B$2:$B$1944)=$A$37)*(MONTH('Doğrudan Alım İşlemleri'!$B$2:$B$1944)=$B$37)*1)</f>
        <v/>
      </c>
      <c r="D37" s="11">
        <f>SUMPRODUCT((YEAR('Doğrudan Alım İşlemleri'!$B$2:$B$1944)=$A$37)*(MONTH('Doğrudan Alım İşlemleri'!$B$2:$B$1944)=$B$37)*('Doğrudan Alım İşlemleri'!$H$2:$H$1944&lt;&gt;"")*'Doğrudan Alım İşlemleri'!$H$2:$H$1944)</f>
        <v/>
      </c>
      <c r="E37" s="13">
        <f>IFERROR(SUMPRODUCT((YEAR('Doğrudan Alım İşlemleri'!$B$2:$B$1944)=$A$37)*(MONTH('Doğrudan Alım İşlemleri'!$B$2:$B$1944)=$B$37)*ISNUMBER('Doğrudan Alım İşlemleri'!$K$2:$K$1944)*'Doğrudan Alım İşlemleri'!$K$2:$K$1944*('Doğrudan Alım İşlemleri'!$H$2:$H$1944&lt;&gt;"")*'Doğrudan Alım İşlemleri'!$H$2:$H$1944)/D37,"")</f>
        <v/>
      </c>
      <c r="F37" s="13">
        <f>IFERROR(SUMPRODUCT((YEAR('Doğrudan Alım İşlemleri'!$B$2:$B$1944)=$A$37)*(MONTH('Doğrudan Alım İşlemleri'!$B$2:$B$1944)=$B$37)*ISNUMBER('Doğrudan Alım İşlemleri'!$N$2:$N$1944)*'Doğrudan Alım İşlemleri'!$N$2:$N$1944*('Doğrudan Alım İşlemleri'!$H$2:$H$1944&lt;&gt;"")*'Doğrudan Alım İşlemleri'!$H$2:$H$1944)/D37,"")</f>
        <v/>
      </c>
    </row>
    <row r="38">
      <c r="A38" s="15" t="n">
        <v>2014</v>
      </c>
      <c r="B38" s="22" t="n">
        <v>6</v>
      </c>
      <c r="C38" s="8">
        <f>SUMPRODUCT((YEAR('Doğrudan Alım İşlemleri'!$B$2:$B$1944)=$A$38)*(MONTH('Doğrudan Alım İşlemleri'!$B$2:$B$1944)=$B$38)*1)</f>
        <v/>
      </c>
      <c r="D38" s="8">
        <f>SUMPRODUCT((YEAR('Doğrudan Alım İşlemleri'!$B$2:$B$1944)=$A$38)*(MONTH('Doğrudan Alım İşlemleri'!$B$2:$B$1944)=$B$38)*('Doğrudan Alım İşlemleri'!$H$2:$H$1944&lt;&gt;"")*'Doğrudan Alım İşlemleri'!$H$2:$H$1944)</f>
        <v/>
      </c>
      <c r="E38" s="24">
        <f>IFERROR(SUMPRODUCT((YEAR('Doğrudan Alım İşlemleri'!$B$2:$B$1944)=$A$38)*(MONTH('Doğrudan Alım İşlemleri'!$B$2:$B$1944)=$B$38)*ISNUMBER('Doğrudan Alım İşlemleri'!$K$2:$K$1944)*'Doğrudan Alım İşlemleri'!$K$2:$K$1944*('Doğrudan Alım İşlemleri'!$H$2:$H$1944&lt;&gt;"")*'Doğrudan Alım İşlemleri'!$H$2:$H$1944)/D38,"")</f>
        <v/>
      </c>
      <c r="F38" s="24">
        <f>IFERROR(SUMPRODUCT((YEAR('Doğrudan Alım İşlemleri'!$B$2:$B$1944)=$A$38)*(MONTH('Doğrudan Alım İşlemleri'!$B$2:$B$1944)=$B$38)*ISNUMBER('Doğrudan Alım İşlemleri'!$N$2:$N$1944)*'Doğrudan Alım İşlemleri'!$N$2:$N$1944*('Doğrudan Alım İşlemleri'!$H$2:$H$1944&lt;&gt;"")*'Doğrudan Alım İşlemleri'!$H$2:$H$1944)/D38,"")</f>
        <v/>
      </c>
    </row>
    <row r="39">
      <c r="A39" s="16" t="n">
        <v>2014</v>
      </c>
      <c r="B39" s="25" t="n">
        <v>8</v>
      </c>
      <c r="C39" s="11">
        <f>SUMPRODUCT((YEAR('Doğrudan Alım İşlemleri'!$B$2:$B$1944)=$A$39)*(MONTH('Doğrudan Alım İşlemleri'!$B$2:$B$1944)=$B$39)*1)</f>
        <v/>
      </c>
      <c r="D39" s="11">
        <f>SUMPRODUCT((YEAR('Doğrudan Alım İşlemleri'!$B$2:$B$1944)=$A$39)*(MONTH('Doğrudan Alım İşlemleri'!$B$2:$B$1944)=$B$39)*('Doğrudan Alım İşlemleri'!$H$2:$H$1944&lt;&gt;"")*'Doğrudan Alım İşlemleri'!$H$2:$H$1944)</f>
        <v/>
      </c>
      <c r="E39" s="13">
        <f>IFERROR(SUMPRODUCT((YEAR('Doğrudan Alım İşlemleri'!$B$2:$B$1944)=$A$39)*(MONTH('Doğrudan Alım İşlemleri'!$B$2:$B$1944)=$B$39)*ISNUMBER('Doğrudan Alım İşlemleri'!$K$2:$K$1944)*'Doğrudan Alım İşlemleri'!$K$2:$K$1944*('Doğrudan Alım İşlemleri'!$H$2:$H$1944&lt;&gt;"")*'Doğrudan Alım İşlemleri'!$H$2:$H$1944)/D39,"")</f>
        <v/>
      </c>
      <c r="F39" s="13">
        <f>IFERROR(SUMPRODUCT((YEAR('Doğrudan Alım İşlemleri'!$B$2:$B$1944)=$A$39)*(MONTH('Doğrudan Alım İşlemleri'!$B$2:$B$1944)=$B$39)*ISNUMBER('Doğrudan Alım İşlemleri'!$N$2:$N$1944)*'Doğrudan Alım İşlemleri'!$N$2:$N$1944*('Doğrudan Alım İşlemleri'!$H$2:$H$1944&lt;&gt;"")*'Doğrudan Alım İşlemleri'!$H$2:$H$1944)/D39,"")</f>
        <v/>
      </c>
    </row>
    <row r="40">
      <c r="A40" s="15" t="n">
        <v>2014</v>
      </c>
      <c r="B40" s="22" t="n">
        <v>9</v>
      </c>
      <c r="C40" s="8">
        <f>SUMPRODUCT((YEAR('Doğrudan Alım İşlemleri'!$B$2:$B$1944)=$A$40)*(MONTH('Doğrudan Alım İşlemleri'!$B$2:$B$1944)=$B$40)*1)</f>
        <v/>
      </c>
      <c r="D40" s="8">
        <f>SUMPRODUCT((YEAR('Doğrudan Alım İşlemleri'!$B$2:$B$1944)=$A$40)*(MONTH('Doğrudan Alım İşlemleri'!$B$2:$B$1944)=$B$40)*('Doğrudan Alım İşlemleri'!$H$2:$H$1944&lt;&gt;"")*'Doğrudan Alım İşlemleri'!$H$2:$H$1944)</f>
        <v/>
      </c>
      <c r="E40" s="24">
        <f>IFERROR(SUMPRODUCT((YEAR('Doğrudan Alım İşlemleri'!$B$2:$B$1944)=$A$40)*(MONTH('Doğrudan Alım İşlemleri'!$B$2:$B$1944)=$B$40)*ISNUMBER('Doğrudan Alım İşlemleri'!$K$2:$K$1944)*'Doğrudan Alım İşlemleri'!$K$2:$K$1944*('Doğrudan Alım İşlemleri'!$H$2:$H$1944&lt;&gt;"")*'Doğrudan Alım İşlemleri'!$H$2:$H$1944)/D40,"")</f>
        <v/>
      </c>
      <c r="F40" s="24">
        <f>IFERROR(SUMPRODUCT((YEAR('Doğrudan Alım İşlemleri'!$B$2:$B$1944)=$A$40)*(MONTH('Doğrudan Alım İşlemleri'!$B$2:$B$1944)=$B$40)*ISNUMBER('Doğrudan Alım İşlemleri'!$N$2:$N$1944)*'Doğrudan Alım İşlemleri'!$N$2:$N$1944*('Doğrudan Alım İşlemleri'!$H$2:$H$1944&lt;&gt;"")*'Doğrudan Alım İşlemleri'!$H$2:$H$1944)/D40,"")</f>
        <v/>
      </c>
    </row>
    <row r="41">
      <c r="A41" s="16" t="n">
        <v>2015</v>
      </c>
      <c r="B41" s="25" t="n">
        <v>1</v>
      </c>
      <c r="C41" s="11">
        <f>SUMPRODUCT((YEAR('Doğrudan Alım İşlemleri'!$B$2:$B$1944)=$A$41)*(MONTH('Doğrudan Alım İşlemleri'!$B$2:$B$1944)=$B$41)*1)</f>
        <v/>
      </c>
      <c r="D41" s="11">
        <f>SUMPRODUCT((YEAR('Doğrudan Alım İşlemleri'!$B$2:$B$1944)=$A$41)*(MONTH('Doğrudan Alım İşlemleri'!$B$2:$B$1944)=$B$41)*('Doğrudan Alım İşlemleri'!$H$2:$H$1944&lt;&gt;"")*'Doğrudan Alım İşlemleri'!$H$2:$H$1944)</f>
        <v/>
      </c>
      <c r="E41" s="13">
        <f>IFERROR(SUMPRODUCT((YEAR('Doğrudan Alım İşlemleri'!$B$2:$B$1944)=$A$41)*(MONTH('Doğrudan Alım İşlemleri'!$B$2:$B$1944)=$B$41)*ISNUMBER('Doğrudan Alım İşlemleri'!$K$2:$K$1944)*'Doğrudan Alım İşlemleri'!$K$2:$K$1944*('Doğrudan Alım İşlemleri'!$H$2:$H$1944&lt;&gt;"")*'Doğrudan Alım İşlemleri'!$H$2:$H$1944)/D41,"")</f>
        <v/>
      </c>
      <c r="F41" s="13">
        <f>IFERROR(SUMPRODUCT((YEAR('Doğrudan Alım İşlemleri'!$B$2:$B$1944)=$A$41)*(MONTH('Doğrudan Alım İşlemleri'!$B$2:$B$1944)=$B$41)*ISNUMBER('Doğrudan Alım İşlemleri'!$N$2:$N$1944)*'Doğrudan Alım İşlemleri'!$N$2:$N$1944*('Doğrudan Alım İşlemleri'!$H$2:$H$1944&lt;&gt;"")*'Doğrudan Alım İşlemleri'!$H$2:$H$1944)/D41,"")</f>
        <v/>
      </c>
    </row>
    <row r="42">
      <c r="A42" s="15" t="n">
        <v>2015</v>
      </c>
      <c r="B42" s="22" t="n">
        <v>2</v>
      </c>
      <c r="C42" s="8">
        <f>SUMPRODUCT((YEAR('Doğrudan Alım İşlemleri'!$B$2:$B$1944)=$A$42)*(MONTH('Doğrudan Alım İşlemleri'!$B$2:$B$1944)=$B$42)*1)</f>
        <v/>
      </c>
      <c r="D42" s="8">
        <f>SUMPRODUCT((YEAR('Doğrudan Alım İşlemleri'!$B$2:$B$1944)=$A$42)*(MONTH('Doğrudan Alım İşlemleri'!$B$2:$B$1944)=$B$42)*('Doğrudan Alım İşlemleri'!$H$2:$H$1944&lt;&gt;"")*'Doğrudan Alım İşlemleri'!$H$2:$H$1944)</f>
        <v/>
      </c>
      <c r="E42" s="24">
        <f>IFERROR(SUMPRODUCT((YEAR('Doğrudan Alım İşlemleri'!$B$2:$B$1944)=$A$42)*(MONTH('Doğrudan Alım İşlemleri'!$B$2:$B$1944)=$B$42)*ISNUMBER('Doğrudan Alım İşlemleri'!$K$2:$K$1944)*'Doğrudan Alım İşlemleri'!$K$2:$K$1944*('Doğrudan Alım İşlemleri'!$H$2:$H$1944&lt;&gt;"")*'Doğrudan Alım İşlemleri'!$H$2:$H$1944)/D42,"")</f>
        <v/>
      </c>
      <c r="F42" s="24">
        <f>IFERROR(SUMPRODUCT((YEAR('Doğrudan Alım İşlemleri'!$B$2:$B$1944)=$A$42)*(MONTH('Doğrudan Alım İşlemleri'!$B$2:$B$1944)=$B$42)*ISNUMBER('Doğrudan Alım İşlemleri'!$N$2:$N$1944)*'Doğrudan Alım İşlemleri'!$N$2:$N$1944*('Doğrudan Alım İşlemleri'!$H$2:$H$1944&lt;&gt;"")*'Doğrudan Alım İşlemleri'!$H$2:$H$1944)/D42,"")</f>
        <v/>
      </c>
    </row>
    <row r="43">
      <c r="A43" s="16" t="n">
        <v>2015</v>
      </c>
      <c r="B43" s="25" t="n">
        <v>3</v>
      </c>
      <c r="C43" s="11">
        <f>SUMPRODUCT((YEAR('Doğrudan Alım İşlemleri'!$B$2:$B$1944)=$A$43)*(MONTH('Doğrudan Alım İşlemleri'!$B$2:$B$1944)=$B$43)*1)</f>
        <v/>
      </c>
      <c r="D43" s="11">
        <f>SUMPRODUCT((YEAR('Doğrudan Alım İşlemleri'!$B$2:$B$1944)=$A$43)*(MONTH('Doğrudan Alım İşlemleri'!$B$2:$B$1944)=$B$43)*('Doğrudan Alım İşlemleri'!$H$2:$H$1944&lt;&gt;"")*'Doğrudan Alım İşlemleri'!$H$2:$H$1944)</f>
        <v/>
      </c>
      <c r="E43" s="13">
        <f>IFERROR(SUMPRODUCT((YEAR('Doğrudan Alım İşlemleri'!$B$2:$B$1944)=$A$43)*(MONTH('Doğrudan Alım İşlemleri'!$B$2:$B$1944)=$B$43)*ISNUMBER('Doğrudan Alım İşlemleri'!$K$2:$K$1944)*'Doğrudan Alım İşlemleri'!$K$2:$K$1944*('Doğrudan Alım İşlemleri'!$H$2:$H$1944&lt;&gt;"")*'Doğrudan Alım İşlemleri'!$H$2:$H$1944)/D43,"")</f>
        <v/>
      </c>
      <c r="F43" s="13">
        <f>IFERROR(SUMPRODUCT((YEAR('Doğrudan Alım İşlemleri'!$B$2:$B$1944)=$A$43)*(MONTH('Doğrudan Alım İşlemleri'!$B$2:$B$1944)=$B$43)*ISNUMBER('Doğrudan Alım İşlemleri'!$N$2:$N$1944)*'Doğrudan Alım İşlemleri'!$N$2:$N$1944*('Doğrudan Alım İşlemleri'!$H$2:$H$1944&lt;&gt;"")*'Doğrudan Alım İşlemleri'!$H$2:$H$1944)/D43,"")</f>
        <v/>
      </c>
    </row>
    <row r="44">
      <c r="A44" s="15" t="n">
        <v>2015</v>
      </c>
      <c r="B44" s="22" t="n">
        <v>4</v>
      </c>
      <c r="C44" s="8">
        <f>SUMPRODUCT((YEAR('Doğrudan Alım İşlemleri'!$B$2:$B$1944)=$A$44)*(MONTH('Doğrudan Alım İşlemleri'!$B$2:$B$1944)=$B$44)*1)</f>
        <v/>
      </c>
      <c r="D44" s="8">
        <f>SUMPRODUCT((YEAR('Doğrudan Alım İşlemleri'!$B$2:$B$1944)=$A$44)*(MONTH('Doğrudan Alım İşlemleri'!$B$2:$B$1944)=$B$44)*('Doğrudan Alım İşlemleri'!$H$2:$H$1944&lt;&gt;"")*'Doğrudan Alım İşlemleri'!$H$2:$H$1944)</f>
        <v/>
      </c>
      <c r="E44" s="24">
        <f>IFERROR(SUMPRODUCT((YEAR('Doğrudan Alım İşlemleri'!$B$2:$B$1944)=$A$44)*(MONTH('Doğrudan Alım İşlemleri'!$B$2:$B$1944)=$B$44)*ISNUMBER('Doğrudan Alım İşlemleri'!$K$2:$K$1944)*'Doğrudan Alım İşlemleri'!$K$2:$K$1944*('Doğrudan Alım İşlemleri'!$H$2:$H$1944&lt;&gt;"")*'Doğrudan Alım İşlemleri'!$H$2:$H$1944)/D44,"")</f>
        <v/>
      </c>
      <c r="F44" s="24">
        <f>IFERROR(SUMPRODUCT((YEAR('Doğrudan Alım İşlemleri'!$B$2:$B$1944)=$A$44)*(MONTH('Doğrudan Alım İşlemleri'!$B$2:$B$1944)=$B$44)*ISNUMBER('Doğrudan Alım İşlemleri'!$N$2:$N$1944)*'Doğrudan Alım İşlemleri'!$N$2:$N$1944*('Doğrudan Alım İşlemleri'!$H$2:$H$1944&lt;&gt;"")*'Doğrudan Alım İşlemleri'!$H$2:$H$1944)/D44,"")</f>
        <v/>
      </c>
    </row>
    <row r="45">
      <c r="A45" s="16" t="n">
        <v>2015</v>
      </c>
      <c r="B45" s="25" t="n">
        <v>5</v>
      </c>
      <c r="C45" s="11">
        <f>SUMPRODUCT((YEAR('Doğrudan Alım İşlemleri'!$B$2:$B$1944)=$A$45)*(MONTH('Doğrudan Alım İşlemleri'!$B$2:$B$1944)=$B$45)*1)</f>
        <v/>
      </c>
      <c r="D45" s="11">
        <f>SUMPRODUCT((YEAR('Doğrudan Alım İşlemleri'!$B$2:$B$1944)=$A$45)*(MONTH('Doğrudan Alım İşlemleri'!$B$2:$B$1944)=$B$45)*('Doğrudan Alım İşlemleri'!$H$2:$H$1944&lt;&gt;"")*'Doğrudan Alım İşlemleri'!$H$2:$H$1944)</f>
        <v/>
      </c>
      <c r="E45" s="13">
        <f>IFERROR(SUMPRODUCT((YEAR('Doğrudan Alım İşlemleri'!$B$2:$B$1944)=$A$45)*(MONTH('Doğrudan Alım İşlemleri'!$B$2:$B$1944)=$B$45)*ISNUMBER('Doğrudan Alım İşlemleri'!$K$2:$K$1944)*'Doğrudan Alım İşlemleri'!$K$2:$K$1944*('Doğrudan Alım İşlemleri'!$H$2:$H$1944&lt;&gt;"")*'Doğrudan Alım İşlemleri'!$H$2:$H$1944)/D45,"")</f>
        <v/>
      </c>
      <c r="F45" s="13">
        <f>IFERROR(SUMPRODUCT((YEAR('Doğrudan Alım İşlemleri'!$B$2:$B$1944)=$A$45)*(MONTH('Doğrudan Alım İşlemleri'!$B$2:$B$1944)=$B$45)*ISNUMBER('Doğrudan Alım İşlemleri'!$N$2:$N$1944)*'Doğrudan Alım İşlemleri'!$N$2:$N$1944*('Doğrudan Alım İşlemleri'!$H$2:$H$1944&lt;&gt;"")*'Doğrudan Alım İşlemleri'!$H$2:$H$1944)/D45,"")</f>
        <v/>
      </c>
    </row>
    <row r="46">
      <c r="A46" s="15" t="n">
        <v>2015</v>
      </c>
      <c r="B46" s="22" t="n">
        <v>6</v>
      </c>
      <c r="C46" s="8">
        <f>SUMPRODUCT((YEAR('Doğrudan Alım İşlemleri'!$B$2:$B$1944)=$A$46)*(MONTH('Doğrudan Alım İşlemleri'!$B$2:$B$1944)=$B$46)*1)</f>
        <v/>
      </c>
      <c r="D46" s="8">
        <f>SUMPRODUCT((YEAR('Doğrudan Alım İşlemleri'!$B$2:$B$1944)=$A$46)*(MONTH('Doğrudan Alım İşlemleri'!$B$2:$B$1944)=$B$46)*('Doğrudan Alım İşlemleri'!$H$2:$H$1944&lt;&gt;"")*'Doğrudan Alım İşlemleri'!$H$2:$H$1944)</f>
        <v/>
      </c>
      <c r="E46" s="24">
        <f>IFERROR(SUMPRODUCT((YEAR('Doğrudan Alım İşlemleri'!$B$2:$B$1944)=$A$46)*(MONTH('Doğrudan Alım İşlemleri'!$B$2:$B$1944)=$B$46)*ISNUMBER('Doğrudan Alım İşlemleri'!$K$2:$K$1944)*'Doğrudan Alım İşlemleri'!$K$2:$K$1944*('Doğrudan Alım İşlemleri'!$H$2:$H$1944&lt;&gt;"")*'Doğrudan Alım İşlemleri'!$H$2:$H$1944)/D46,"")</f>
        <v/>
      </c>
      <c r="F46" s="24">
        <f>IFERROR(SUMPRODUCT((YEAR('Doğrudan Alım İşlemleri'!$B$2:$B$1944)=$A$46)*(MONTH('Doğrudan Alım İşlemleri'!$B$2:$B$1944)=$B$46)*ISNUMBER('Doğrudan Alım İşlemleri'!$N$2:$N$1944)*'Doğrudan Alım İşlemleri'!$N$2:$N$1944*('Doğrudan Alım İşlemleri'!$H$2:$H$1944&lt;&gt;"")*'Doğrudan Alım İşlemleri'!$H$2:$H$1944)/D46,"")</f>
        <v/>
      </c>
    </row>
    <row r="47">
      <c r="A47" s="16" t="n">
        <v>2015</v>
      </c>
      <c r="B47" s="25" t="n">
        <v>7</v>
      </c>
      <c r="C47" s="11">
        <f>SUMPRODUCT((YEAR('Doğrudan Alım İşlemleri'!$B$2:$B$1944)=$A$47)*(MONTH('Doğrudan Alım İşlemleri'!$B$2:$B$1944)=$B$47)*1)</f>
        <v/>
      </c>
      <c r="D47" s="11">
        <f>SUMPRODUCT((YEAR('Doğrudan Alım İşlemleri'!$B$2:$B$1944)=$A$47)*(MONTH('Doğrudan Alım İşlemleri'!$B$2:$B$1944)=$B$47)*('Doğrudan Alım İşlemleri'!$H$2:$H$1944&lt;&gt;"")*'Doğrudan Alım İşlemleri'!$H$2:$H$1944)</f>
        <v/>
      </c>
      <c r="E47" s="13">
        <f>IFERROR(SUMPRODUCT((YEAR('Doğrudan Alım İşlemleri'!$B$2:$B$1944)=$A$47)*(MONTH('Doğrudan Alım İşlemleri'!$B$2:$B$1944)=$B$47)*ISNUMBER('Doğrudan Alım İşlemleri'!$K$2:$K$1944)*'Doğrudan Alım İşlemleri'!$K$2:$K$1944*('Doğrudan Alım İşlemleri'!$H$2:$H$1944&lt;&gt;"")*'Doğrudan Alım İşlemleri'!$H$2:$H$1944)/D47,"")</f>
        <v/>
      </c>
      <c r="F47" s="13">
        <f>IFERROR(SUMPRODUCT((YEAR('Doğrudan Alım İşlemleri'!$B$2:$B$1944)=$A$47)*(MONTH('Doğrudan Alım İşlemleri'!$B$2:$B$1944)=$B$47)*ISNUMBER('Doğrudan Alım İşlemleri'!$N$2:$N$1944)*'Doğrudan Alım İşlemleri'!$N$2:$N$1944*('Doğrudan Alım İşlemleri'!$H$2:$H$1944&lt;&gt;"")*'Doğrudan Alım İşlemleri'!$H$2:$H$1944)/D47,"")</f>
        <v/>
      </c>
    </row>
    <row r="48">
      <c r="A48" s="15" t="n">
        <v>2015</v>
      </c>
      <c r="B48" s="22" t="n">
        <v>8</v>
      </c>
      <c r="C48" s="8">
        <f>SUMPRODUCT((YEAR('Doğrudan Alım İşlemleri'!$B$2:$B$1944)=$A$48)*(MONTH('Doğrudan Alım İşlemleri'!$B$2:$B$1944)=$B$48)*1)</f>
        <v/>
      </c>
      <c r="D48" s="8">
        <f>SUMPRODUCT((YEAR('Doğrudan Alım İşlemleri'!$B$2:$B$1944)=$A$48)*(MONTH('Doğrudan Alım İşlemleri'!$B$2:$B$1944)=$B$48)*('Doğrudan Alım İşlemleri'!$H$2:$H$1944&lt;&gt;"")*'Doğrudan Alım İşlemleri'!$H$2:$H$1944)</f>
        <v/>
      </c>
      <c r="E48" s="24">
        <f>IFERROR(SUMPRODUCT((YEAR('Doğrudan Alım İşlemleri'!$B$2:$B$1944)=$A$48)*(MONTH('Doğrudan Alım İşlemleri'!$B$2:$B$1944)=$B$48)*ISNUMBER('Doğrudan Alım İşlemleri'!$K$2:$K$1944)*'Doğrudan Alım İşlemleri'!$K$2:$K$1944*('Doğrudan Alım İşlemleri'!$H$2:$H$1944&lt;&gt;"")*'Doğrudan Alım İşlemleri'!$H$2:$H$1944)/D48,"")</f>
        <v/>
      </c>
      <c r="F48" s="24">
        <f>IFERROR(SUMPRODUCT((YEAR('Doğrudan Alım İşlemleri'!$B$2:$B$1944)=$A$48)*(MONTH('Doğrudan Alım İşlemleri'!$B$2:$B$1944)=$B$48)*ISNUMBER('Doğrudan Alım İşlemleri'!$N$2:$N$1944)*'Doğrudan Alım İşlemleri'!$N$2:$N$1944*('Doğrudan Alım İşlemleri'!$H$2:$H$1944&lt;&gt;"")*'Doğrudan Alım İşlemleri'!$H$2:$H$1944)/D48,"")</f>
        <v/>
      </c>
    </row>
    <row r="49">
      <c r="A49" s="16" t="n">
        <v>2015</v>
      </c>
      <c r="B49" s="25" t="n">
        <v>9</v>
      </c>
      <c r="C49" s="11">
        <f>SUMPRODUCT((YEAR('Doğrudan Alım İşlemleri'!$B$2:$B$1944)=$A$49)*(MONTH('Doğrudan Alım İşlemleri'!$B$2:$B$1944)=$B$49)*1)</f>
        <v/>
      </c>
      <c r="D49" s="11">
        <f>SUMPRODUCT((YEAR('Doğrudan Alım İşlemleri'!$B$2:$B$1944)=$A$49)*(MONTH('Doğrudan Alım İşlemleri'!$B$2:$B$1944)=$B$49)*('Doğrudan Alım İşlemleri'!$H$2:$H$1944&lt;&gt;"")*'Doğrudan Alım İşlemleri'!$H$2:$H$1944)</f>
        <v/>
      </c>
      <c r="E49" s="13">
        <f>IFERROR(SUMPRODUCT((YEAR('Doğrudan Alım İşlemleri'!$B$2:$B$1944)=$A$49)*(MONTH('Doğrudan Alım İşlemleri'!$B$2:$B$1944)=$B$49)*ISNUMBER('Doğrudan Alım İşlemleri'!$K$2:$K$1944)*'Doğrudan Alım İşlemleri'!$K$2:$K$1944*('Doğrudan Alım İşlemleri'!$H$2:$H$1944&lt;&gt;"")*'Doğrudan Alım İşlemleri'!$H$2:$H$1944)/D49,"")</f>
        <v/>
      </c>
      <c r="F49" s="13">
        <f>IFERROR(SUMPRODUCT((YEAR('Doğrudan Alım İşlemleri'!$B$2:$B$1944)=$A$49)*(MONTH('Doğrudan Alım İşlemleri'!$B$2:$B$1944)=$B$49)*ISNUMBER('Doğrudan Alım İşlemleri'!$N$2:$N$1944)*'Doğrudan Alım İşlemleri'!$N$2:$N$1944*('Doğrudan Alım İşlemleri'!$H$2:$H$1944&lt;&gt;"")*'Doğrudan Alım İşlemleri'!$H$2:$H$1944)/D49,"")</f>
        <v/>
      </c>
    </row>
    <row r="50">
      <c r="A50" s="15" t="n">
        <v>2015</v>
      </c>
      <c r="B50" s="22" t="n">
        <v>10</v>
      </c>
      <c r="C50" s="8">
        <f>SUMPRODUCT((YEAR('Doğrudan Alım İşlemleri'!$B$2:$B$1944)=$A$50)*(MONTH('Doğrudan Alım İşlemleri'!$B$2:$B$1944)=$B$50)*1)</f>
        <v/>
      </c>
      <c r="D50" s="8">
        <f>SUMPRODUCT((YEAR('Doğrudan Alım İşlemleri'!$B$2:$B$1944)=$A$50)*(MONTH('Doğrudan Alım İşlemleri'!$B$2:$B$1944)=$B$50)*('Doğrudan Alım İşlemleri'!$H$2:$H$1944&lt;&gt;"")*'Doğrudan Alım İşlemleri'!$H$2:$H$1944)</f>
        <v/>
      </c>
      <c r="E50" s="24">
        <f>IFERROR(SUMPRODUCT((YEAR('Doğrudan Alım İşlemleri'!$B$2:$B$1944)=$A$50)*(MONTH('Doğrudan Alım İşlemleri'!$B$2:$B$1944)=$B$50)*ISNUMBER('Doğrudan Alım İşlemleri'!$K$2:$K$1944)*'Doğrudan Alım İşlemleri'!$K$2:$K$1944*('Doğrudan Alım İşlemleri'!$H$2:$H$1944&lt;&gt;"")*'Doğrudan Alım İşlemleri'!$H$2:$H$1944)/D50,"")</f>
        <v/>
      </c>
      <c r="F50" s="24">
        <f>IFERROR(SUMPRODUCT((YEAR('Doğrudan Alım İşlemleri'!$B$2:$B$1944)=$A$50)*(MONTH('Doğrudan Alım İşlemleri'!$B$2:$B$1944)=$B$50)*ISNUMBER('Doğrudan Alım İşlemleri'!$N$2:$N$1944)*'Doğrudan Alım İşlemleri'!$N$2:$N$1944*('Doğrudan Alım İşlemleri'!$H$2:$H$1944&lt;&gt;"")*'Doğrudan Alım İşlemleri'!$H$2:$H$1944)/D50,"")</f>
        <v/>
      </c>
    </row>
    <row r="51">
      <c r="A51" s="16" t="n">
        <v>2016</v>
      </c>
      <c r="B51" s="25" t="n">
        <v>1</v>
      </c>
      <c r="C51" s="11">
        <f>SUMPRODUCT((YEAR('Doğrudan Alım İşlemleri'!$B$2:$B$1944)=$A$51)*(MONTH('Doğrudan Alım İşlemleri'!$B$2:$B$1944)=$B$51)*1)</f>
        <v/>
      </c>
      <c r="D51" s="11">
        <f>SUMPRODUCT((YEAR('Doğrudan Alım İşlemleri'!$B$2:$B$1944)=$A$51)*(MONTH('Doğrudan Alım İşlemleri'!$B$2:$B$1944)=$B$51)*('Doğrudan Alım İşlemleri'!$H$2:$H$1944&lt;&gt;"")*'Doğrudan Alım İşlemleri'!$H$2:$H$1944)</f>
        <v/>
      </c>
      <c r="E51" s="13">
        <f>IFERROR(SUMPRODUCT((YEAR('Doğrudan Alım İşlemleri'!$B$2:$B$1944)=$A$51)*(MONTH('Doğrudan Alım İşlemleri'!$B$2:$B$1944)=$B$51)*ISNUMBER('Doğrudan Alım İşlemleri'!$K$2:$K$1944)*'Doğrudan Alım İşlemleri'!$K$2:$K$1944*('Doğrudan Alım İşlemleri'!$H$2:$H$1944&lt;&gt;"")*'Doğrudan Alım İşlemleri'!$H$2:$H$1944)/D51,"")</f>
        <v/>
      </c>
      <c r="F51" s="13">
        <f>IFERROR(SUMPRODUCT((YEAR('Doğrudan Alım İşlemleri'!$B$2:$B$1944)=$A$51)*(MONTH('Doğrudan Alım İşlemleri'!$B$2:$B$1944)=$B$51)*ISNUMBER('Doğrudan Alım İşlemleri'!$N$2:$N$1944)*'Doğrudan Alım İşlemleri'!$N$2:$N$1944*('Doğrudan Alım İşlemleri'!$H$2:$H$1944&lt;&gt;"")*'Doğrudan Alım İşlemleri'!$H$2:$H$1944)/D51,"")</f>
        <v/>
      </c>
    </row>
    <row r="52">
      <c r="A52" s="15" t="n">
        <v>2016</v>
      </c>
      <c r="B52" s="22" t="n">
        <v>2</v>
      </c>
      <c r="C52" s="8">
        <f>SUMPRODUCT((YEAR('Doğrudan Alım İşlemleri'!$B$2:$B$1944)=$A$52)*(MONTH('Doğrudan Alım İşlemleri'!$B$2:$B$1944)=$B$52)*1)</f>
        <v/>
      </c>
      <c r="D52" s="8">
        <f>SUMPRODUCT((YEAR('Doğrudan Alım İşlemleri'!$B$2:$B$1944)=$A$52)*(MONTH('Doğrudan Alım İşlemleri'!$B$2:$B$1944)=$B$52)*('Doğrudan Alım İşlemleri'!$H$2:$H$1944&lt;&gt;"")*'Doğrudan Alım İşlemleri'!$H$2:$H$1944)</f>
        <v/>
      </c>
      <c r="E52" s="24">
        <f>IFERROR(SUMPRODUCT((YEAR('Doğrudan Alım İşlemleri'!$B$2:$B$1944)=$A$52)*(MONTH('Doğrudan Alım İşlemleri'!$B$2:$B$1944)=$B$52)*ISNUMBER('Doğrudan Alım İşlemleri'!$K$2:$K$1944)*'Doğrudan Alım İşlemleri'!$K$2:$K$1944*('Doğrudan Alım İşlemleri'!$H$2:$H$1944&lt;&gt;"")*'Doğrudan Alım İşlemleri'!$H$2:$H$1944)/D52,"")</f>
        <v/>
      </c>
      <c r="F52" s="24">
        <f>IFERROR(SUMPRODUCT((YEAR('Doğrudan Alım İşlemleri'!$B$2:$B$1944)=$A$52)*(MONTH('Doğrudan Alım İşlemleri'!$B$2:$B$1944)=$B$52)*ISNUMBER('Doğrudan Alım İşlemleri'!$N$2:$N$1944)*'Doğrudan Alım İşlemleri'!$N$2:$N$1944*('Doğrudan Alım İşlemleri'!$H$2:$H$1944&lt;&gt;"")*'Doğrudan Alım İşlemleri'!$H$2:$H$1944)/D52,"")</f>
        <v/>
      </c>
    </row>
    <row r="53">
      <c r="A53" s="16" t="n">
        <v>2016</v>
      </c>
      <c r="B53" s="25" t="n">
        <v>3</v>
      </c>
      <c r="C53" s="11">
        <f>SUMPRODUCT((YEAR('Doğrudan Alım İşlemleri'!$B$2:$B$1944)=$A$53)*(MONTH('Doğrudan Alım İşlemleri'!$B$2:$B$1944)=$B$53)*1)</f>
        <v/>
      </c>
      <c r="D53" s="11">
        <f>SUMPRODUCT((YEAR('Doğrudan Alım İşlemleri'!$B$2:$B$1944)=$A$53)*(MONTH('Doğrudan Alım İşlemleri'!$B$2:$B$1944)=$B$53)*('Doğrudan Alım İşlemleri'!$H$2:$H$1944&lt;&gt;"")*'Doğrudan Alım İşlemleri'!$H$2:$H$1944)</f>
        <v/>
      </c>
      <c r="E53" s="13">
        <f>IFERROR(SUMPRODUCT((YEAR('Doğrudan Alım İşlemleri'!$B$2:$B$1944)=$A$53)*(MONTH('Doğrudan Alım İşlemleri'!$B$2:$B$1944)=$B$53)*ISNUMBER('Doğrudan Alım İşlemleri'!$K$2:$K$1944)*'Doğrudan Alım İşlemleri'!$K$2:$K$1944*('Doğrudan Alım İşlemleri'!$H$2:$H$1944&lt;&gt;"")*'Doğrudan Alım İşlemleri'!$H$2:$H$1944)/D53,"")</f>
        <v/>
      </c>
      <c r="F53" s="13">
        <f>IFERROR(SUMPRODUCT((YEAR('Doğrudan Alım İşlemleri'!$B$2:$B$1944)=$A$53)*(MONTH('Doğrudan Alım İşlemleri'!$B$2:$B$1944)=$B$53)*ISNUMBER('Doğrudan Alım İşlemleri'!$N$2:$N$1944)*'Doğrudan Alım İşlemleri'!$N$2:$N$1944*('Doğrudan Alım İşlemleri'!$H$2:$H$1944&lt;&gt;"")*'Doğrudan Alım İşlemleri'!$H$2:$H$1944)/D53,"")</f>
        <v/>
      </c>
    </row>
    <row r="54">
      <c r="A54" s="15" t="n">
        <v>2016</v>
      </c>
      <c r="B54" s="22" t="n">
        <v>4</v>
      </c>
      <c r="C54" s="8">
        <f>SUMPRODUCT((YEAR('Doğrudan Alım İşlemleri'!$B$2:$B$1944)=$A$54)*(MONTH('Doğrudan Alım İşlemleri'!$B$2:$B$1944)=$B$54)*1)</f>
        <v/>
      </c>
      <c r="D54" s="8">
        <f>SUMPRODUCT((YEAR('Doğrudan Alım İşlemleri'!$B$2:$B$1944)=$A$54)*(MONTH('Doğrudan Alım İşlemleri'!$B$2:$B$1944)=$B$54)*('Doğrudan Alım İşlemleri'!$H$2:$H$1944&lt;&gt;"")*'Doğrudan Alım İşlemleri'!$H$2:$H$1944)</f>
        <v/>
      </c>
      <c r="E54" s="24">
        <f>IFERROR(SUMPRODUCT((YEAR('Doğrudan Alım İşlemleri'!$B$2:$B$1944)=$A$54)*(MONTH('Doğrudan Alım İşlemleri'!$B$2:$B$1944)=$B$54)*ISNUMBER('Doğrudan Alım İşlemleri'!$K$2:$K$1944)*'Doğrudan Alım İşlemleri'!$K$2:$K$1944*('Doğrudan Alım İşlemleri'!$H$2:$H$1944&lt;&gt;"")*'Doğrudan Alım İşlemleri'!$H$2:$H$1944)/D54,"")</f>
        <v/>
      </c>
      <c r="F54" s="24">
        <f>IFERROR(SUMPRODUCT((YEAR('Doğrudan Alım İşlemleri'!$B$2:$B$1944)=$A$54)*(MONTH('Doğrudan Alım İşlemleri'!$B$2:$B$1944)=$B$54)*ISNUMBER('Doğrudan Alım İşlemleri'!$N$2:$N$1944)*'Doğrudan Alım İşlemleri'!$N$2:$N$1944*('Doğrudan Alım İşlemleri'!$H$2:$H$1944&lt;&gt;"")*'Doğrudan Alım İşlemleri'!$H$2:$H$1944)/D54,"")</f>
        <v/>
      </c>
    </row>
    <row r="55">
      <c r="A55" s="16" t="n">
        <v>2016</v>
      </c>
      <c r="B55" s="25" t="n">
        <v>5</v>
      </c>
      <c r="C55" s="11">
        <f>SUMPRODUCT((YEAR('Doğrudan Alım İşlemleri'!$B$2:$B$1944)=$A$55)*(MONTH('Doğrudan Alım İşlemleri'!$B$2:$B$1944)=$B$55)*1)</f>
        <v/>
      </c>
      <c r="D55" s="11">
        <f>SUMPRODUCT((YEAR('Doğrudan Alım İşlemleri'!$B$2:$B$1944)=$A$55)*(MONTH('Doğrudan Alım İşlemleri'!$B$2:$B$1944)=$B$55)*('Doğrudan Alım İşlemleri'!$H$2:$H$1944&lt;&gt;"")*'Doğrudan Alım İşlemleri'!$H$2:$H$1944)</f>
        <v/>
      </c>
      <c r="E55" s="13">
        <f>IFERROR(SUMPRODUCT((YEAR('Doğrudan Alım İşlemleri'!$B$2:$B$1944)=$A$55)*(MONTH('Doğrudan Alım İşlemleri'!$B$2:$B$1944)=$B$55)*ISNUMBER('Doğrudan Alım İşlemleri'!$K$2:$K$1944)*'Doğrudan Alım İşlemleri'!$K$2:$K$1944*('Doğrudan Alım İşlemleri'!$H$2:$H$1944&lt;&gt;"")*'Doğrudan Alım İşlemleri'!$H$2:$H$1944)/D55,"")</f>
        <v/>
      </c>
      <c r="F55" s="13">
        <f>IFERROR(SUMPRODUCT((YEAR('Doğrudan Alım İşlemleri'!$B$2:$B$1944)=$A$55)*(MONTH('Doğrudan Alım İşlemleri'!$B$2:$B$1944)=$B$55)*ISNUMBER('Doğrudan Alım İşlemleri'!$N$2:$N$1944)*'Doğrudan Alım İşlemleri'!$N$2:$N$1944*('Doğrudan Alım İşlemleri'!$H$2:$H$1944&lt;&gt;"")*'Doğrudan Alım İşlemleri'!$H$2:$H$1944)/D55,"")</f>
        <v/>
      </c>
    </row>
    <row r="56">
      <c r="A56" s="15" t="n">
        <v>2016</v>
      </c>
      <c r="B56" s="22" t="n">
        <v>6</v>
      </c>
      <c r="C56" s="8">
        <f>SUMPRODUCT((YEAR('Doğrudan Alım İşlemleri'!$B$2:$B$1944)=$A$56)*(MONTH('Doğrudan Alım İşlemleri'!$B$2:$B$1944)=$B$56)*1)</f>
        <v/>
      </c>
      <c r="D56" s="8">
        <f>SUMPRODUCT((YEAR('Doğrudan Alım İşlemleri'!$B$2:$B$1944)=$A$56)*(MONTH('Doğrudan Alım İşlemleri'!$B$2:$B$1944)=$B$56)*('Doğrudan Alım İşlemleri'!$H$2:$H$1944&lt;&gt;"")*'Doğrudan Alım İşlemleri'!$H$2:$H$1944)</f>
        <v/>
      </c>
      <c r="E56" s="24">
        <f>IFERROR(SUMPRODUCT((YEAR('Doğrudan Alım İşlemleri'!$B$2:$B$1944)=$A$56)*(MONTH('Doğrudan Alım İşlemleri'!$B$2:$B$1944)=$B$56)*ISNUMBER('Doğrudan Alım İşlemleri'!$K$2:$K$1944)*'Doğrudan Alım İşlemleri'!$K$2:$K$1944*('Doğrudan Alım İşlemleri'!$H$2:$H$1944&lt;&gt;"")*'Doğrudan Alım İşlemleri'!$H$2:$H$1944)/D56,"")</f>
        <v/>
      </c>
      <c r="F56" s="24">
        <f>IFERROR(SUMPRODUCT((YEAR('Doğrudan Alım İşlemleri'!$B$2:$B$1944)=$A$56)*(MONTH('Doğrudan Alım İşlemleri'!$B$2:$B$1944)=$B$56)*ISNUMBER('Doğrudan Alım İşlemleri'!$N$2:$N$1944)*'Doğrudan Alım İşlemleri'!$N$2:$N$1944*('Doğrudan Alım İşlemleri'!$H$2:$H$1944&lt;&gt;"")*'Doğrudan Alım İşlemleri'!$H$2:$H$1944)/D56,"")</f>
        <v/>
      </c>
    </row>
    <row r="57">
      <c r="A57" s="16" t="n">
        <v>2016</v>
      </c>
      <c r="B57" s="25" t="n">
        <v>7</v>
      </c>
      <c r="C57" s="11">
        <f>SUMPRODUCT((YEAR('Doğrudan Alım İşlemleri'!$B$2:$B$1944)=$A$57)*(MONTH('Doğrudan Alım İşlemleri'!$B$2:$B$1944)=$B$57)*1)</f>
        <v/>
      </c>
      <c r="D57" s="11">
        <f>SUMPRODUCT((YEAR('Doğrudan Alım İşlemleri'!$B$2:$B$1944)=$A$57)*(MONTH('Doğrudan Alım İşlemleri'!$B$2:$B$1944)=$B$57)*('Doğrudan Alım İşlemleri'!$H$2:$H$1944&lt;&gt;"")*'Doğrudan Alım İşlemleri'!$H$2:$H$1944)</f>
        <v/>
      </c>
      <c r="E57" s="13">
        <f>IFERROR(SUMPRODUCT((YEAR('Doğrudan Alım İşlemleri'!$B$2:$B$1944)=$A$57)*(MONTH('Doğrudan Alım İşlemleri'!$B$2:$B$1944)=$B$57)*ISNUMBER('Doğrudan Alım İşlemleri'!$K$2:$K$1944)*'Doğrudan Alım İşlemleri'!$K$2:$K$1944*('Doğrudan Alım İşlemleri'!$H$2:$H$1944&lt;&gt;"")*'Doğrudan Alım İşlemleri'!$H$2:$H$1944)/D57,"")</f>
        <v/>
      </c>
      <c r="F57" s="13">
        <f>IFERROR(SUMPRODUCT((YEAR('Doğrudan Alım İşlemleri'!$B$2:$B$1944)=$A$57)*(MONTH('Doğrudan Alım İşlemleri'!$B$2:$B$1944)=$B$57)*ISNUMBER('Doğrudan Alım İşlemleri'!$N$2:$N$1944)*'Doğrudan Alım İşlemleri'!$N$2:$N$1944*('Doğrudan Alım İşlemleri'!$H$2:$H$1944&lt;&gt;"")*'Doğrudan Alım İşlemleri'!$H$2:$H$1944)/D57,"")</f>
        <v/>
      </c>
    </row>
    <row r="58">
      <c r="A58" s="15" t="n">
        <v>2016</v>
      </c>
      <c r="B58" s="22" t="n">
        <v>8</v>
      </c>
      <c r="C58" s="8">
        <f>SUMPRODUCT((YEAR('Doğrudan Alım İşlemleri'!$B$2:$B$1944)=$A$58)*(MONTH('Doğrudan Alım İşlemleri'!$B$2:$B$1944)=$B$58)*1)</f>
        <v/>
      </c>
      <c r="D58" s="8">
        <f>SUMPRODUCT((YEAR('Doğrudan Alım İşlemleri'!$B$2:$B$1944)=$A$58)*(MONTH('Doğrudan Alım İşlemleri'!$B$2:$B$1944)=$B$58)*('Doğrudan Alım İşlemleri'!$H$2:$H$1944&lt;&gt;"")*'Doğrudan Alım İşlemleri'!$H$2:$H$1944)</f>
        <v/>
      </c>
      <c r="E58" s="24">
        <f>IFERROR(SUMPRODUCT((YEAR('Doğrudan Alım İşlemleri'!$B$2:$B$1944)=$A$58)*(MONTH('Doğrudan Alım İşlemleri'!$B$2:$B$1944)=$B$58)*ISNUMBER('Doğrudan Alım İşlemleri'!$K$2:$K$1944)*'Doğrudan Alım İşlemleri'!$K$2:$K$1944*('Doğrudan Alım İşlemleri'!$H$2:$H$1944&lt;&gt;"")*'Doğrudan Alım İşlemleri'!$H$2:$H$1944)/D58,"")</f>
        <v/>
      </c>
      <c r="F58" s="24">
        <f>IFERROR(SUMPRODUCT((YEAR('Doğrudan Alım İşlemleri'!$B$2:$B$1944)=$A$58)*(MONTH('Doğrudan Alım İşlemleri'!$B$2:$B$1944)=$B$58)*ISNUMBER('Doğrudan Alım İşlemleri'!$N$2:$N$1944)*'Doğrudan Alım İşlemleri'!$N$2:$N$1944*('Doğrudan Alım İşlemleri'!$H$2:$H$1944&lt;&gt;"")*'Doğrudan Alım İşlemleri'!$H$2:$H$1944)/D58,"")</f>
        <v/>
      </c>
    </row>
    <row r="59">
      <c r="A59" s="16" t="n">
        <v>2016</v>
      </c>
      <c r="B59" s="25" t="n">
        <v>9</v>
      </c>
      <c r="C59" s="11">
        <f>SUMPRODUCT((YEAR('Doğrudan Alım İşlemleri'!$B$2:$B$1944)=$A$59)*(MONTH('Doğrudan Alım İşlemleri'!$B$2:$B$1944)=$B$59)*1)</f>
        <v/>
      </c>
      <c r="D59" s="11">
        <f>SUMPRODUCT((YEAR('Doğrudan Alım İşlemleri'!$B$2:$B$1944)=$A$59)*(MONTH('Doğrudan Alım İşlemleri'!$B$2:$B$1944)=$B$59)*('Doğrudan Alım İşlemleri'!$H$2:$H$1944&lt;&gt;"")*'Doğrudan Alım İşlemleri'!$H$2:$H$1944)</f>
        <v/>
      </c>
      <c r="E59" s="13">
        <f>IFERROR(SUMPRODUCT((YEAR('Doğrudan Alım İşlemleri'!$B$2:$B$1944)=$A$59)*(MONTH('Doğrudan Alım İşlemleri'!$B$2:$B$1944)=$B$59)*ISNUMBER('Doğrudan Alım İşlemleri'!$K$2:$K$1944)*'Doğrudan Alım İşlemleri'!$K$2:$K$1944*('Doğrudan Alım İşlemleri'!$H$2:$H$1944&lt;&gt;"")*'Doğrudan Alım İşlemleri'!$H$2:$H$1944)/D59,"")</f>
        <v/>
      </c>
      <c r="F59" s="13">
        <f>IFERROR(SUMPRODUCT((YEAR('Doğrudan Alım İşlemleri'!$B$2:$B$1944)=$A$59)*(MONTH('Doğrudan Alım İşlemleri'!$B$2:$B$1944)=$B$59)*ISNUMBER('Doğrudan Alım İşlemleri'!$N$2:$N$1944)*'Doğrudan Alım İşlemleri'!$N$2:$N$1944*('Doğrudan Alım İşlemleri'!$H$2:$H$1944&lt;&gt;"")*'Doğrudan Alım İşlemleri'!$H$2:$H$1944)/D59,"")</f>
        <v/>
      </c>
    </row>
    <row r="60">
      <c r="A60" s="15" t="n">
        <v>2016</v>
      </c>
      <c r="B60" s="22" t="n">
        <v>10</v>
      </c>
      <c r="C60" s="8">
        <f>SUMPRODUCT((YEAR('Doğrudan Alım İşlemleri'!$B$2:$B$1944)=$A$60)*(MONTH('Doğrudan Alım İşlemleri'!$B$2:$B$1944)=$B$60)*1)</f>
        <v/>
      </c>
      <c r="D60" s="8">
        <f>SUMPRODUCT((YEAR('Doğrudan Alım İşlemleri'!$B$2:$B$1944)=$A$60)*(MONTH('Doğrudan Alım İşlemleri'!$B$2:$B$1944)=$B$60)*('Doğrudan Alım İşlemleri'!$H$2:$H$1944&lt;&gt;"")*'Doğrudan Alım İşlemleri'!$H$2:$H$1944)</f>
        <v/>
      </c>
      <c r="E60" s="24">
        <f>IFERROR(SUMPRODUCT((YEAR('Doğrudan Alım İşlemleri'!$B$2:$B$1944)=$A$60)*(MONTH('Doğrudan Alım İşlemleri'!$B$2:$B$1944)=$B$60)*ISNUMBER('Doğrudan Alım İşlemleri'!$K$2:$K$1944)*'Doğrudan Alım İşlemleri'!$K$2:$K$1944*('Doğrudan Alım İşlemleri'!$H$2:$H$1944&lt;&gt;"")*'Doğrudan Alım İşlemleri'!$H$2:$H$1944)/D60,"")</f>
        <v/>
      </c>
      <c r="F60" s="24">
        <f>IFERROR(SUMPRODUCT((YEAR('Doğrudan Alım İşlemleri'!$B$2:$B$1944)=$A$60)*(MONTH('Doğrudan Alım İşlemleri'!$B$2:$B$1944)=$B$60)*ISNUMBER('Doğrudan Alım İşlemleri'!$N$2:$N$1944)*'Doğrudan Alım İşlemleri'!$N$2:$N$1944*('Doğrudan Alım İşlemleri'!$H$2:$H$1944&lt;&gt;"")*'Doğrudan Alım İşlemleri'!$H$2:$H$1944)/D60,"")</f>
        <v/>
      </c>
    </row>
    <row r="61">
      <c r="A61" s="16" t="n">
        <v>2016</v>
      </c>
      <c r="B61" s="25" t="n">
        <v>11</v>
      </c>
      <c r="C61" s="11">
        <f>SUMPRODUCT((YEAR('Doğrudan Alım İşlemleri'!$B$2:$B$1944)=$A$61)*(MONTH('Doğrudan Alım İşlemleri'!$B$2:$B$1944)=$B$61)*1)</f>
        <v/>
      </c>
      <c r="D61" s="11">
        <f>SUMPRODUCT((YEAR('Doğrudan Alım İşlemleri'!$B$2:$B$1944)=$A$61)*(MONTH('Doğrudan Alım İşlemleri'!$B$2:$B$1944)=$B$61)*('Doğrudan Alım İşlemleri'!$H$2:$H$1944&lt;&gt;"")*'Doğrudan Alım İşlemleri'!$H$2:$H$1944)</f>
        <v/>
      </c>
      <c r="E61" s="13">
        <f>IFERROR(SUMPRODUCT((YEAR('Doğrudan Alım İşlemleri'!$B$2:$B$1944)=$A$61)*(MONTH('Doğrudan Alım İşlemleri'!$B$2:$B$1944)=$B$61)*ISNUMBER('Doğrudan Alım İşlemleri'!$K$2:$K$1944)*'Doğrudan Alım İşlemleri'!$K$2:$K$1944*('Doğrudan Alım İşlemleri'!$H$2:$H$1944&lt;&gt;"")*'Doğrudan Alım İşlemleri'!$H$2:$H$1944)/D61,"")</f>
        <v/>
      </c>
      <c r="F61" s="13">
        <f>IFERROR(SUMPRODUCT((YEAR('Doğrudan Alım İşlemleri'!$B$2:$B$1944)=$A$61)*(MONTH('Doğrudan Alım İşlemleri'!$B$2:$B$1944)=$B$61)*ISNUMBER('Doğrudan Alım İşlemleri'!$N$2:$N$1944)*'Doğrudan Alım İşlemleri'!$N$2:$N$1944*('Doğrudan Alım İşlemleri'!$H$2:$H$1944&lt;&gt;"")*'Doğrudan Alım İşlemleri'!$H$2:$H$1944)/D61,"")</f>
        <v/>
      </c>
    </row>
    <row r="62">
      <c r="A62" s="15" t="n">
        <v>2016</v>
      </c>
      <c r="B62" s="22" t="n">
        <v>12</v>
      </c>
      <c r="C62" s="8">
        <f>SUMPRODUCT((YEAR('Doğrudan Alım İşlemleri'!$B$2:$B$1944)=$A$62)*(MONTH('Doğrudan Alım İşlemleri'!$B$2:$B$1944)=$B$62)*1)</f>
        <v/>
      </c>
      <c r="D62" s="8">
        <f>SUMPRODUCT((YEAR('Doğrudan Alım İşlemleri'!$B$2:$B$1944)=$A$62)*(MONTH('Doğrudan Alım İşlemleri'!$B$2:$B$1944)=$B$62)*('Doğrudan Alım İşlemleri'!$H$2:$H$1944&lt;&gt;"")*'Doğrudan Alım İşlemleri'!$H$2:$H$1944)</f>
        <v/>
      </c>
      <c r="E62" s="24">
        <f>IFERROR(SUMPRODUCT((YEAR('Doğrudan Alım İşlemleri'!$B$2:$B$1944)=$A$62)*(MONTH('Doğrudan Alım İşlemleri'!$B$2:$B$1944)=$B$62)*ISNUMBER('Doğrudan Alım İşlemleri'!$K$2:$K$1944)*'Doğrudan Alım İşlemleri'!$K$2:$K$1944*('Doğrudan Alım İşlemleri'!$H$2:$H$1944&lt;&gt;"")*'Doğrudan Alım İşlemleri'!$H$2:$H$1944)/D62,"")</f>
        <v/>
      </c>
      <c r="F62" s="24">
        <f>IFERROR(SUMPRODUCT((YEAR('Doğrudan Alım İşlemleri'!$B$2:$B$1944)=$A$62)*(MONTH('Doğrudan Alım İşlemleri'!$B$2:$B$1944)=$B$62)*ISNUMBER('Doğrudan Alım İşlemleri'!$N$2:$N$1944)*'Doğrudan Alım İşlemleri'!$N$2:$N$1944*('Doğrudan Alım İşlemleri'!$H$2:$H$1944&lt;&gt;"")*'Doğrudan Alım İşlemleri'!$H$2:$H$1944)/D62,"")</f>
        <v/>
      </c>
    </row>
    <row r="63">
      <c r="A63" s="16" t="n">
        <v>2017</v>
      </c>
      <c r="B63" s="25" t="n">
        <v>1</v>
      </c>
      <c r="C63" s="11">
        <f>SUMPRODUCT((YEAR('Doğrudan Alım İşlemleri'!$B$2:$B$1944)=$A$63)*(MONTH('Doğrudan Alım İşlemleri'!$B$2:$B$1944)=$B$63)*1)</f>
        <v/>
      </c>
      <c r="D63" s="11">
        <f>SUMPRODUCT((YEAR('Doğrudan Alım İşlemleri'!$B$2:$B$1944)=$A$63)*(MONTH('Doğrudan Alım İşlemleri'!$B$2:$B$1944)=$B$63)*('Doğrudan Alım İşlemleri'!$H$2:$H$1944&lt;&gt;"")*'Doğrudan Alım İşlemleri'!$H$2:$H$1944)</f>
        <v/>
      </c>
      <c r="E63" s="13">
        <f>IFERROR(SUMPRODUCT((YEAR('Doğrudan Alım İşlemleri'!$B$2:$B$1944)=$A$63)*(MONTH('Doğrudan Alım İşlemleri'!$B$2:$B$1944)=$B$63)*ISNUMBER('Doğrudan Alım İşlemleri'!$K$2:$K$1944)*'Doğrudan Alım İşlemleri'!$K$2:$K$1944*('Doğrudan Alım İşlemleri'!$H$2:$H$1944&lt;&gt;"")*'Doğrudan Alım İşlemleri'!$H$2:$H$1944)/D63,"")</f>
        <v/>
      </c>
      <c r="F63" s="13">
        <f>IFERROR(SUMPRODUCT((YEAR('Doğrudan Alım İşlemleri'!$B$2:$B$1944)=$A$63)*(MONTH('Doğrudan Alım İşlemleri'!$B$2:$B$1944)=$B$63)*ISNUMBER('Doğrudan Alım İşlemleri'!$N$2:$N$1944)*'Doğrudan Alım İşlemleri'!$N$2:$N$1944*('Doğrudan Alım İşlemleri'!$H$2:$H$1944&lt;&gt;"")*'Doğrudan Alım İşlemleri'!$H$2:$H$1944)/D63,"")</f>
        <v/>
      </c>
    </row>
    <row r="64">
      <c r="A64" s="15" t="n">
        <v>2017</v>
      </c>
      <c r="B64" s="22" t="n">
        <v>2</v>
      </c>
      <c r="C64" s="8">
        <f>SUMPRODUCT((YEAR('Doğrudan Alım İşlemleri'!$B$2:$B$1944)=$A$64)*(MONTH('Doğrudan Alım İşlemleri'!$B$2:$B$1944)=$B$64)*1)</f>
        <v/>
      </c>
      <c r="D64" s="8">
        <f>SUMPRODUCT((YEAR('Doğrudan Alım İşlemleri'!$B$2:$B$1944)=$A$64)*(MONTH('Doğrudan Alım İşlemleri'!$B$2:$B$1944)=$B$64)*('Doğrudan Alım İşlemleri'!$H$2:$H$1944&lt;&gt;"")*'Doğrudan Alım İşlemleri'!$H$2:$H$1944)</f>
        <v/>
      </c>
      <c r="E64" s="24">
        <f>IFERROR(SUMPRODUCT((YEAR('Doğrudan Alım İşlemleri'!$B$2:$B$1944)=$A$64)*(MONTH('Doğrudan Alım İşlemleri'!$B$2:$B$1944)=$B$64)*ISNUMBER('Doğrudan Alım İşlemleri'!$K$2:$K$1944)*'Doğrudan Alım İşlemleri'!$K$2:$K$1944*('Doğrudan Alım İşlemleri'!$H$2:$H$1944&lt;&gt;"")*'Doğrudan Alım İşlemleri'!$H$2:$H$1944)/D64,"")</f>
        <v/>
      </c>
      <c r="F64" s="24">
        <f>IFERROR(SUMPRODUCT((YEAR('Doğrudan Alım İşlemleri'!$B$2:$B$1944)=$A$64)*(MONTH('Doğrudan Alım İşlemleri'!$B$2:$B$1944)=$B$64)*ISNUMBER('Doğrudan Alım İşlemleri'!$N$2:$N$1944)*'Doğrudan Alım İşlemleri'!$N$2:$N$1944*('Doğrudan Alım İşlemleri'!$H$2:$H$1944&lt;&gt;"")*'Doğrudan Alım İşlemleri'!$H$2:$H$1944)/D64,"")</f>
        <v/>
      </c>
    </row>
    <row r="65">
      <c r="A65" s="16" t="n">
        <v>2017</v>
      </c>
      <c r="B65" s="25" t="n">
        <v>3</v>
      </c>
      <c r="C65" s="11">
        <f>SUMPRODUCT((YEAR('Doğrudan Alım İşlemleri'!$B$2:$B$1944)=$A$65)*(MONTH('Doğrudan Alım İşlemleri'!$B$2:$B$1944)=$B$65)*1)</f>
        <v/>
      </c>
      <c r="D65" s="11">
        <f>SUMPRODUCT((YEAR('Doğrudan Alım İşlemleri'!$B$2:$B$1944)=$A$65)*(MONTH('Doğrudan Alım İşlemleri'!$B$2:$B$1944)=$B$65)*('Doğrudan Alım İşlemleri'!$H$2:$H$1944&lt;&gt;"")*'Doğrudan Alım İşlemleri'!$H$2:$H$1944)</f>
        <v/>
      </c>
      <c r="E65" s="13">
        <f>IFERROR(SUMPRODUCT((YEAR('Doğrudan Alım İşlemleri'!$B$2:$B$1944)=$A$65)*(MONTH('Doğrudan Alım İşlemleri'!$B$2:$B$1944)=$B$65)*ISNUMBER('Doğrudan Alım İşlemleri'!$K$2:$K$1944)*'Doğrudan Alım İşlemleri'!$K$2:$K$1944*('Doğrudan Alım İşlemleri'!$H$2:$H$1944&lt;&gt;"")*'Doğrudan Alım İşlemleri'!$H$2:$H$1944)/D65,"")</f>
        <v/>
      </c>
      <c r="F65" s="13">
        <f>IFERROR(SUMPRODUCT((YEAR('Doğrudan Alım İşlemleri'!$B$2:$B$1944)=$A$65)*(MONTH('Doğrudan Alım İşlemleri'!$B$2:$B$1944)=$B$65)*ISNUMBER('Doğrudan Alım İşlemleri'!$N$2:$N$1944)*'Doğrudan Alım İşlemleri'!$N$2:$N$1944*('Doğrudan Alım İşlemleri'!$H$2:$H$1944&lt;&gt;"")*'Doğrudan Alım İşlemleri'!$H$2:$H$1944)/D65,"")</f>
        <v/>
      </c>
    </row>
    <row r="66">
      <c r="A66" s="15" t="n">
        <v>2018</v>
      </c>
      <c r="B66" s="22" t="n">
        <v>1</v>
      </c>
      <c r="C66" s="8">
        <f>SUMPRODUCT((YEAR('Doğrudan Alım İşlemleri'!$B$2:$B$1944)=$A$66)*(MONTH('Doğrudan Alım İşlemleri'!$B$2:$B$1944)=$B$66)*1)</f>
        <v/>
      </c>
      <c r="D66" s="8">
        <f>SUMPRODUCT((YEAR('Doğrudan Alım İşlemleri'!$B$2:$B$1944)=$A$66)*(MONTH('Doğrudan Alım İşlemleri'!$B$2:$B$1944)=$B$66)*('Doğrudan Alım İşlemleri'!$H$2:$H$1944&lt;&gt;"")*'Doğrudan Alım İşlemleri'!$H$2:$H$1944)</f>
        <v/>
      </c>
      <c r="E66" s="24">
        <f>IFERROR(SUMPRODUCT((YEAR('Doğrudan Alım İşlemleri'!$B$2:$B$1944)=$A$66)*(MONTH('Doğrudan Alım İşlemleri'!$B$2:$B$1944)=$B$66)*ISNUMBER('Doğrudan Alım İşlemleri'!$K$2:$K$1944)*'Doğrudan Alım İşlemleri'!$K$2:$K$1944*('Doğrudan Alım İşlemleri'!$H$2:$H$1944&lt;&gt;"")*'Doğrudan Alım İşlemleri'!$H$2:$H$1944)/D66,"")</f>
        <v/>
      </c>
      <c r="F66" s="24">
        <f>IFERROR(SUMPRODUCT((YEAR('Doğrudan Alım İşlemleri'!$B$2:$B$1944)=$A$66)*(MONTH('Doğrudan Alım İşlemleri'!$B$2:$B$1944)=$B$66)*ISNUMBER('Doğrudan Alım İşlemleri'!$N$2:$N$1944)*'Doğrudan Alım İşlemleri'!$N$2:$N$1944*('Doğrudan Alım İşlemleri'!$H$2:$H$1944&lt;&gt;"")*'Doğrudan Alım İşlemleri'!$H$2:$H$1944)/D66,"")</f>
        <v/>
      </c>
    </row>
    <row r="67">
      <c r="A67" s="16" t="n">
        <v>2018</v>
      </c>
      <c r="B67" s="25" t="n">
        <v>2</v>
      </c>
      <c r="C67" s="11">
        <f>SUMPRODUCT((YEAR('Doğrudan Alım İşlemleri'!$B$2:$B$1944)=$A$67)*(MONTH('Doğrudan Alım İşlemleri'!$B$2:$B$1944)=$B$67)*1)</f>
        <v/>
      </c>
      <c r="D67" s="11">
        <f>SUMPRODUCT((YEAR('Doğrudan Alım İşlemleri'!$B$2:$B$1944)=$A$67)*(MONTH('Doğrudan Alım İşlemleri'!$B$2:$B$1944)=$B$67)*('Doğrudan Alım İşlemleri'!$H$2:$H$1944&lt;&gt;"")*'Doğrudan Alım İşlemleri'!$H$2:$H$1944)</f>
        <v/>
      </c>
      <c r="E67" s="13">
        <f>IFERROR(SUMPRODUCT((YEAR('Doğrudan Alım İşlemleri'!$B$2:$B$1944)=$A$67)*(MONTH('Doğrudan Alım İşlemleri'!$B$2:$B$1944)=$B$67)*ISNUMBER('Doğrudan Alım İşlemleri'!$K$2:$K$1944)*'Doğrudan Alım İşlemleri'!$K$2:$K$1944*('Doğrudan Alım İşlemleri'!$H$2:$H$1944&lt;&gt;"")*'Doğrudan Alım İşlemleri'!$H$2:$H$1944)/D67,"")</f>
        <v/>
      </c>
      <c r="F67" s="13">
        <f>IFERROR(SUMPRODUCT((YEAR('Doğrudan Alım İşlemleri'!$B$2:$B$1944)=$A$67)*(MONTH('Doğrudan Alım İşlemleri'!$B$2:$B$1944)=$B$67)*ISNUMBER('Doğrudan Alım İşlemleri'!$N$2:$N$1944)*'Doğrudan Alım İşlemleri'!$N$2:$N$1944*('Doğrudan Alım İşlemleri'!$H$2:$H$1944&lt;&gt;"")*'Doğrudan Alım İşlemleri'!$H$2:$H$1944)/D67,"")</f>
        <v/>
      </c>
    </row>
    <row r="68">
      <c r="A68" s="15" t="n">
        <v>2018</v>
      </c>
      <c r="B68" s="22" t="n">
        <v>3</v>
      </c>
      <c r="C68" s="8">
        <f>SUMPRODUCT((YEAR('Doğrudan Alım İşlemleri'!$B$2:$B$1944)=$A$68)*(MONTH('Doğrudan Alım İşlemleri'!$B$2:$B$1944)=$B$68)*1)</f>
        <v/>
      </c>
      <c r="D68" s="8">
        <f>SUMPRODUCT((YEAR('Doğrudan Alım İşlemleri'!$B$2:$B$1944)=$A$68)*(MONTH('Doğrudan Alım İşlemleri'!$B$2:$B$1944)=$B$68)*('Doğrudan Alım İşlemleri'!$H$2:$H$1944&lt;&gt;"")*'Doğrudan Alım İşlemleri'!$H$2:$H$1944)</f>
        <v/>
      </c>
      <c r="E68" s="24">
        <f>IFERROR(SUMPRODUCT((YEAR('Doğrudan Alım İşlemleri'!$B$2:$B$1944)=$A$68)*(MONTH('Doğrudan Alım İşlemleri'!$B$2:$B$1944)=$B$68)*ISNUMBER('Doğrudan Alım İşlemleri'!$K$2:$K$1944)*'Doğrudan Alım İşlemleri'!$K$2:$K$1944*('Doğrudan Alım İşlemleri'!$H$2:$H$1944&lt;&gt;"")*'Doğrudan Alım İşlemleri'!$H$2:$H$1944)/D68,"")</f>
        <v/>
      </c>
      <c r="F68" s="24">
        <f>IFERROR(SUMPRODUCT((YEAR('Doğrudan Alım İşlemleri'!$B$2:$B$1944)=$A$68)*(MONTH('Doğrudan Alım İşlemleri'!$B$2:$B$1944)=$B$68)*ISNUMBER('Doğrudan Alım İşlemleri'!$N$2:$N$1944)*'Doğrudan Alım İşlemleri'!$N$2:$N$1944*('Doğrudan Alım İşlemleri'!$H$2:$H$1944&lt;&gt;"")*'Doğrudan Alım İşlemleri'!$H$2:$H$1944)/D68,"")</f>
        <v/>
      </c>
    </row>
    <row r="69">
      <c r="A69" s="16" t="n">
        <v>2018</v>
      </c>
      <c r="B69" s="25" t="n">
        <v>4</v>
      </c>
      <c r="C69" s="11">
        <f>SUMPRODUCT((YEAR('Doğrudan Alım İşlemleri'!$B$2:$B$1944)=$A$69)*(MONTH('Doğrudan Alım İşlemleri'!$B$2:$B$1944)=$B$69)*1)</f>
        <v/>
      </c>
      <c r="D69" s="11">
        <f>SUMPRODUCT((YEAR('Doğrudan Alım İşlemleri'!$B$2:$B$1944)=$A$69)*(MONTH('Doğrudan Alım İşlemleri'!$B$2:$B$1944)=$B$69)*('Doğrudan Alım İşlemleri'!$H$2:$H$1944&lt;&gt;"")*'Doğrudan Alım İşlemleri'!$H$2:$H$1944)</f>
        <v/>
      </c>
      <c r="E69" s="13">
        <f>IFERROR(SUMPRODUCT((YEAR('Doğrudan Alım İşlemleri'!$B$2:$B$1944)=$A$69)*(MONTH('Doğrudan Alım İşlemleri'!$B$2:$B$1944)=$B$69)*ISNUMBER('Doğrudan Alım İşlemleri'!$K$2:$K$1944)*'Doğrudan Alım İşlemleri'!$K$2:$K$1944*('Doğrudan Alım İşlemleri'!$H$2:$H$1944&lt;&gt;"")*'Doğrudan Alım İşlemleri'!$H$2:$H$1944)/D69,"")</f>
        <v/>
      </c>
      <c r="F69" s="13">
        <f>IFERROR(SUMPRODUCT((YEAR('Doğrudan Alım İşlemleri'!$B$2:$B$1944)=$A$69)*(MONTH('Doğrudan Alım İşlemleri'!$B$2:$B$1944)=$B$69)*ISNUMBER('Doğrudan Alım İşlemleri'!$N$2:$N$1944)*'Doğrudan Alım İşlemleri'!$N$2:$N$1944*('Doğrudan Alım İşlemleri'!$H$2:$H$1944&lt;&gt;"")*'Doğrudan Alım İşlemleri'!$H$2:$H$1944)/D69,"")</f>
        <v/>
      </c>
    </row>
    <row r="70">
      <c r="A70" s="15" t="n">
        <v>2018</v>
      </c>
      <c r="B70" s="22" t="n">
        <v>5</v>
      </c>
      <c r="C70" s="8">
        <f>SUMPRODUCT((YEAR('Doğrudan Alım İşlemleri'!$B$2:$B$1944)=$A$70)*(MONTH('Doğrudan Alım İşlemleri'!$B$2:$B$1944)=$B$70)*1)</f>
        <v/>
      </c>
      <c r="D70" s="8">
        <f>SUMPRODUCT((YEAR('Doğrudan Alım İşlemleri'!$B$2:$B$1944)=$A$70)*(MONTH('Doğrudan Alım İşlemleri'!$B$2:$B$1944)=$B$70)*('Doğrudan Alım İşlemleri'!$H$2:$H$1944&lt;&gt;"")*'Doğrudan Alım İşlemleri'!$H$2:$H$1944)</f>
        <v/>
      </c>
      <c r="E70" s="24">
        <f>IFERROR(SUMPRODUCT((YEAR('Doğrudan Alım İşlemleri'!$B$2:$B$1944)=$A$70)*(MONTH('Doğrudan Alım İşlemleri'!$B$2:$B$1944)=$B$70)*ISNUMBER('Doğrudan Alım İşlemleri'!$K$2:$K$1944)*'Doğrudan Alım İşlemleri'!$K$2:$K$1944*('Doğrudan Alım İşlemleri'!$H$2:$H$1944&lt;&gt;"")*'Doğrudan Alım İşlemleri'!$H$2:$H$1944)/D70,"")</f>
        <v/>
      </c>
      <c r="F70" s="24">
        <f>IFERROR(SUMPRODUCT((YEAR('Doğrudan Alım İşlemleri'!$B$2:$B$1944)=$A$70)*(MONTH('Doğrudan Alım İşlemleri'!$B$2:$B$1944)=$B$70)*ISNUMBER('Doğrudan Alım İşlemleri'!$N$2:$N$1944)*'Doğrudan Alım İşlemleri'!$N$2:$N$1944*('Doğrudan Alım İşlemleri'!$H$2:$H$1944&lt;&gt;"")*'Doğrudan Alım İşlemleri'!$H$2:$H$1944)/D70,"")</f>
        <v/>
      </c>
    </row>
    <row r="71">
      <c r="A71" s="16" t="n">
        <v>2018</v>
      </c>
      <c r="B71" s="25" t="n">
        <v>6</v>
      </c>
      <c r="C71" s="11">
        <f>SUMPRODUCT((YEAR('Doğrudan Alım İşlemleri'!$B$2:$B$1944)=$A$71)*(MONTH('Doğrudan Alım İşlemleri'!$B$2:$B$1944)=$B$71)*1)</f>
        <v/>
      </c>
      <c r="D71" s="11">
        <f>SUMPRODUCT((YEAR('Doğrudan Alım İşlemleri'!$B$2:$B$1944)=$A$71)*(MONTH('Doğrudan Alım İşlemleri'!$B$2:$B$1944)=$B$71)*('Doğrudan Alım İşlemleri'!$H$2:$H$1944&lt;&gt;"")*'Doğrudan Alım İşlemleri'!$H$2:$H$1944)</f>
        <v/>
      </c>
      <c r="E71" s="13">
        <f>IFERROR(SUMPRODUCT((YEAR('Doğrudan Alım İşlemleri'!$B$2:$B$1944)=$A$71)*(MONTH('Doğrudan Alım İşlemleri'!$B$2:$B$1944)=$B$71)*ISNUMBER('Doğrudan Alım İşlemleri'!$K$2:$K$1944)*'Doğrudan Alım İşlemleri'!$K$2:$K$1944*('Doğrudan Alım İşlemleri'!$H$2:$H$1944&lt;&gt;"")*'Doğrudan Alım İşlemleri'!$H$2:$H$1944)/D71,"")</f>
        <v/>
      </c>
      <c r="F71" s="13">
        <f>IFERROR(SUMPRODUCT((YEAR('Doğrudan Alım İşlemleri'!$B$2:$B$1944)=$A$71)*(MONTH('Doğrudan Alım İşlemleri'!$B$2:$B$1944)=$B$71)*ISNUMBER('Doğrudan Alım İşlemleri'!$N$2:$N$1944)*'Doğrudan Alım İşlemleri'!$N$2:$N$1944*('Doğrudan Alım İşlemleri'!$H$2:$H$1944&lt;&gt;"")*'Doğrudan Alım İşlemleri'!$H$2:$H$1944)/D71,"")</f>
        <v/>
      </c>
    </row>
    <row r="72">
      <c r="A72" s="15" t="n">
        <v>2018</v>
      </c>
      <c r="B72" s="22" t="n">
        <v>7</v>
      </c>
      <c r="C72" s="8">
        <f>SUMPRODUCT((YEAR('Doğrudan Alım İşlemleri'!$B$2:$B$1944)=$A$72)*(MONTH('Doğrudan Alım İşlemleri'!$B$2:$B$1944)=$B$72)*1)</f>
        <v/>
      </c>
      <c r="D72" s="8">
        <f>SUMPRODUCT((YEAR('Doğrudan Alım İşlemleri'!$B$2:$B$1944)=$A$72)*(MONTH('Doğrudan Alım İşlemleri'!$B$2:$B$1944)=$B$72)*('Doğrudan Alım İşlemleri'!$H$2:$H$1944&lt;&gt;"")*'Doğrudan Alım İşlemleri'!$H$2:$H$1944)</f>
        <v/>
      </c>
      <c r="E72" s="24">
        <f>IFERROR(SUMPRODUCT((YEAR('Doğrudan Alım İşlemleri'!$B$2:$B$1944)=$A$72)*(MONTH('Doğrudan Alım İşlemleri'!$B$2:$B$1944)=$B$72)*ISNUMBER('Doğrudan Alım İşlemleri'!$K$2:$K$1944)*'Doğrudan Alım İşlemleri'!$K$2:$K$1944*('Doğrudan Alım İşlemleri'!$H$2:$H$1944&lt;&gt;"")*'Doğrudan Alım İşlemleri'!$H$2:$H$1944)/D72,"")</f>
        <v/>
      </c>
      <c r="F72" s="24">
        <f>IFERROR(SUMPRODUCT((YEAR('Doğrudan Alım İşlemleri'!$B$2:$B$1944)=$A$72)*(MONTH('Doğrudan Alım İşlemleri'!$B$2:$B$1944)=$B$72)*ISNUMBER('Doğrudan Alım İşlemleri'!$N$2:$N$1944)*'Doğrudan Alım İşlemleri'!$N$2:$N$1944*('Doğrudan Alım İşlemleri'!$H$2:$H$1944&lt;&gt;"")*'Doğrudan Alım İşlemleri'!$H$2:$H$1944)/D72,"")</f>
        <v/>
      </c>
    </row>
    <row r="73">
      <c r="A73" s="16" t="n">
        <v>2018</v>
      </c>
      <c r="B73" s="25" t="n">
        <v>8</v>
      </c>
      <c r="C73" s="11">
        <f>SUMPRODUCT((YEAR('Doğrudan Alım İşlemleri'!$B$2:$B$1944)=$A$73)*(MONTH('Doğrudan Alım İşlemleri'!$B$2:$B$1944)=$B$73)*1)</f>
        <v/>
      </c>
      <c r="D73" s="11">
        <f>SUMPRODUCT((YEAR('Doğrudan Alım İşlemleri'!$B$2:$B$1944)=$A$73)*(MONTH('Doğrudan Alım İşlemleri'!$B$2:$B$1944)=$B$73)*('Doğrudan Alım İşlemleri'!$H$2:$H$1944&lt;&gt;"")*'Doğrudan Alım İşlemleri'!$H$2:$H$1944)</f>
        <v/>
      </c>
      <c r="E73" s="13">
        <f>IFERROR(SUMPRODUCT((YEAR('Doğrudan Alım İşlemleri'!$B$2:$B$1944)=$A$73)*(MONTH('Doğrudan Alım İşlemleri'!$B$2:$B$1944)=$B$73)*ISNUMBER('Doğrudan Alım İşlemleri'!$K$2:$K$1944)*'Doğrudan Alım İşlemleri'!$K$2:$K$1944*('Doğrudan Alım İşlemleri'!$H$2:$H$1944&lt;&gt;"")*'Doğrudan Alım İşlemleri'!$H$2:$H$1944)/D73,"")</f>
        <v/>
      </c>
      <c r="F73" s="13">
        <f>IFERROR(SUMPRODUCT((YEAR('Doğrudan Alım İşlemleri'!$B$2:$B$1944)=$A$73)*(MONTH('Doğrudan Alım İşlemleri'!$B$2:$B$1944)=$B$73)*ISNUMBER('Doğrudan Alım İşlemleri'!$N$2:$N$1944)*'Doğrudan Alım İşlemleri'!$N$2:$N$1944*('Doğrudan Alım İşlemleri'!$H$2:$H$1944&lt;&gt;"")*'Doğrudan Alım İşlemleri'!$H$2:$H$1944)/D73,"")</f>
        <v/>
      </c>
    </row>
    <row r="74">
      <c r="A74" s="15" t="n">
        <v>2018</v>
      </c>
      <c r="B74" s="22" t="n">
        <v>9</v>
      </c>
      <c r="C74" s="8">
        <f>SUMPRODUCT((YEAR('Doğrudan Alım İşlemleri'!$B$2:$B$1944)=$A$74)*(MONTH('Doğrudan Alım İşlemleri'!$B$2:$B$1944)=$B$74)*1)</f>
        <v/>
      </c>
      <c r="D74" s="8">
        <f>SUMPRODUCT((YEAR('Doğrudan Alım İşlemleri'!$B$2:$B$1944)=$A$74)*(MONTH('Doğrudan Alım İşlemleri'!$B$2:$B$1944)=$B$74)*('Doğrudan Alım İşlemleri'!$H$2:$H$1944&lt;&gt;"")*'Doğrudan Alım İşlemleri'!$H$2:$H$1944)</f>
        <v/>
      </c>
      <c r="E74" s="24">
        <f>IFERROR(SUMPRODUCT((YEAR('Doğrudan Alım İşlemleri'!$B$2:$B$1944)=$A$74)*(MONTH('Doğrudan Alım İşlemleri'!$B$2:$B$1944)=$B$74)*ISNUMBER('Doğrudan Alım İşlemleri'!$K$2:$K$1944)*'Doğrudan Alım İşlemleri'!$K$2:$K$1944*('Doğrudan Alım İşlemleri'!$H$2:$H$1944&lt;&gt;"")*'Doğrudan Alım İşlemleri'!$H$2:$H$1944)/D74,"")</f>
        <v/>
      </c>
      <c r="F74" s="24">
        <f>IFERROR(SUMPRODUCT((YEAR('Doğrudan Alım İşlemleri'!$B$2:$B$1944)=$A$74)*(MONTH('Doğrudan Alım İşlemleri'!$B$2:$B$1944)=$B$74)*ISNUMBER('Doğrudan Alım İşlemleri'!$N$2:$N$1944)*'Doğrudan Alım İşlemleri'!$N$2:$N$1944*('Doğrudan Alım İşlemleri'!$H$2:$H$1944&lt;&gt;"")*'Doğrudan Alım İşlemleri'!$H$2:$H$1944)/D74,"")</f>
        <v/>
      </c>
    </row>
    <row r="75">
      <c r="A75" s="16" t="n">
        <v>2018</v>
      </c>
      <c r="B75" s="25" t="n">
        <v>10</v>
      </c>
      <c r="C75" s="11">
        <f>SUMPRODUCT((YEAR('Doğrudan Alım İşlemleri'!$B$2:$B$1944)=$A$75)*(MONTH('Doğrudan Alım İşlemleri'!$B$2:$B$1944)=$B$75)*1)</f>
        <v/>
      </c>
      <c r="D75" s="11">
        <f>SUMPRODUCT((YEAR('Doğrudan Alım İşlemleri'!$B$2:$B$1944)=$A$75)*(MONTH('Doğrudan Alım İşlemleri'!$B$2:$B$1944)=$B$75)*('Doğrudan Alım İşlemleri'!$H$2:$H$1944&lt;&gt;"")*'Doğrudan Alım İşlemleri'!$H$2:$H$1944)</f>
        <v/>
      </c>
      <c r="E75" s="13">
        <f>IFERROR(SUMPRODUCT((YEAR('Doğrudan Alım İşlemleri'!$B$2:$B$1944)=$A$75)*(MONTH('Doğrudan Alım İşlemleri'!$B$2:$B$1944)=$B$75)*ISNUMBER('Doğrudan Alım İşlemleri'!$K$2:$K$1944)*'Doğrudan Alım İşlemleri'!$K$2:$K$1944*('Doğrudan Alım İşlemleri'!$H$2:$H$1944&lt;&gt;"")*'Doğrudan Alım İşlemleri'!$H$2:$H$1944)/D75,"")</f>
        <v/>
      </c>
      <c r="F75" s="13">
        <f>IFERROR(SUMPRODUCT((YEAR('Doğrudan Alım İşlemleri'!$B$2:$B$1944)=$A$75)*(MONTH('Doğrudan Alım İşlemleri'!$B$2:$B$1944)=$B$75)*ISNUMBER('Doğrudan Alım İşlemleri'!$N$2:$N$1944)*'Doğrudan Alım İşlemleri'!$N$2:$N$1944*('Doğrudan Alım İşlemleri'!$H$2:$H$1944&lt;&gt;"")*'Doğrudan Alım İşlemleri'!$H$2:$H$1944)/D75,"")</f>
        <v/>
      </c>
    </row>
    <row r="76">
      <c r="A76" s="15" t="n">
        <v>2018</v>
      </c>
      <c r="B76" s="22" t="n">
        <v>11</v>
      </c>
      <c r="C76" s="8">
        <f>SUMPRODUCT((YEAR('Doğrudan Alım İşlemleri'!$B$2:$B$1944)=$A$76)*(MONTH('Doğrudan Alım İşlemleri'!$B$2:$B$1944)=$B$76)*1)</f>
        <v/>
      </c>
      <c r="D76" s="8">
        <f>SUMPRODUCT((YEAR('Doğrudan Alım İşlemleri'!$B$2:$B$1944)=$A$76)*(MONTH('Doğrudan Alım İşlemleri'!$B$2:$B$1944)=$B$76)*('Doğrudan Alım İşlemleri'!$H$2:$H$1944&lt;&gt;"")*'Doğrudan Alım İşlemleri'!$H$2:$H$1944)</f>
        <v/>
      </c>
      <c r="E76" s="24">
        <f>IFERROR(SUMPRODUCT((YEAR('Doğrudan Alım İşlemleri'!$B$2:$B$1944)=$A$76)*(MONTH('Doğrudan Alım İşlemleri'!$B$2:$B$1944)=$B$76)*ISNUMBER('Doğrudan Alım İşlemleri'!$K$2:$K$1944)*'Doğrudan Alım İşlemleri'!$K$2:$K$1944*('Doğrudan Alım İşlemleri'!$H$2:$H$1944&lt;&gt;"")*'Doğrudan Alım İşlemleri'!$H$2:$H$1944)/D76,"")</f>
        <v/>
      </c>
      <c r="F76" s="24">
        <f>IFERROR(SUMPRODUCT((YEAR('Doğrudan Alım İşlemleri'!$B$2:$B$1944)=$A$76)*(MONTH('Doğrudan Alım İşlemleri'!$B$2:$B$1944)=$B$76)*ISNUMBER('Doğrudan Alım İşlemleri'!$N$2:$N$1944)*'Doğrudan Alım İşlemleri'!$N$2:$N$1944*('Doğrudan Alım İşlemleri'!$H$2:$H$1944&lt;&gt;"")*'Doğrudan Alım İşlemleri'!$H$2:$H$1944)/D76,"")</f>
        <v/>
      </c>
    </row>
    <row r="77">
      <c r="A77" s="16" t="n">
        <v>2018</v>
      </c>
      <c r="B77" s="25" t="n">
        <v>12</v>
      </c>
      <c r="C77" s="11">
        <f>SUMPRODUCT((YEAR('Doğrudan Alım İşlemleri'!$B$2:$B$1944)=$A$77)*(MONTH('Doğrudan Alım İşlemleri'!$B$2:$B$1944)=$B$77)*1)</f>
        <v/>
      </c>
      <c r="D77" s="11">
        <f>SUMPRODUCT((YEAR('Doğrudan Alım İşlemleri'!$B$2:$B$1944)=$A$77)*(MONTH('Doğrudan Alım İşlemleri'!$B$2:$B$1944)=$B$77)*('Doğrudan Alım İşlemleri'!$H$2:$H$1944&lt;&gt;"")*'Doğrudan Alım İşlemleri'!$H$2:$H$1944)</f>
        <v/>
      </c>
      <c r="E77" s="13">
        <f>IFERROR(SUMPRODUCT((YEAR('Doğrudan Alım İşlemleri'!$B$2:$B$1944)=$A$77)*(MONTH('Doğrudan Alım İşlemleri'!$B$2:$B$1944)=$B$77)*ISNUMBER('Doğrudan Alım İşlemleri'!$K$2:$K$1944)*'Doğrudan Alım İşlemleri'!$K$2:$K$1944*('Doğrudan Alım İşlemleri'!$H$2:$H$1944&lt;&gt;"")*'Doğrudan Alım İşlemleri'!$H$2:$H$1944)/D77,"")</f>
        <v/>
      </c>
      <c r="F77" s="13">
        <f>IFERROR(SUMPRODUCT((YEAR('Doğrudan Alım İşlemleri'!$B$2:$B$1944)=$A$77)*(MONTH('Doğrudan Alım İşlemleri'!$B$2:$B$1944)=$B$77)*ISNUMBER('Doğrudan Alım İşlemleri'!$N$2:$N$1944)*'Doğrudan Alım İşlemleri'!$N$2:$N$1944*('Doğrudan Alım İşlemleri'!$H$2:$H$1944&lt;&gt;"")*'Doğrudan Alım İşlemleri'!$H$2:$H$1944)/D77,"")</f>
        <v/>
      </c>
    </row>
    <row r="78">
      <c r="A78" s="15" t="n">
        <v>2019</v>
      </c>
      <c r="B78" s="22" t="n">
        <v>1</v>
      </c>
      <c r="C78" s="8">
        <f>SUMPRODUCT((YEAR('Doğrudan Alım İşlemleri'!$B$2:$B$1944)=$A$78)*(MONTH('Doğrudan Alım İşlemleri'!$B$2:$B$1944)=$B$78)*1)</f>
        <v/>
      </c>
      <c r="D78" s="8">
        <f>SUMPRODUCT((YEAR('Doğrudan Alım İşlemleri'!$B$2:$B$1944)=$A$78)*(MONTH('Doğrudan Alım İşlemleri'!$B$2:$B$1944)=$B$78)*('Doğrudan Alım İşlemleri'!$H$2:$H$1944&lt;&gt;"")*'Doğrudan Alım İşlemleri'!$H$2:$H$1944)</f>
        <v/>
      </c>
      <c r="E78" s="24">
        <f>IFERROR(SUMPRODUCT((YEAR('Doğrudan Alım İşlemleri'!$B$2:$B$1944)=$A$78)*(MONTH('Doğrudan Alım İşlemleri'!$B$2:$B$1944)=$B$78)*ISNUMBER('Doğrudan Alım İşlemleri'!$K$2:$K$1944)*'Doğrudan Alım İşlemleri'!$K$2:$K$1944*('Doğrudan Alım İşlemleri'!$H$2:$H$1944&lt;&gt;"")*'Doğrudan Alım İşlemleri'!$H$2:$H$1944)/D78,"")</f>
        <v/>
      </c>
      <c r="F78" s="24">
        <f>IFERROR(SUMPRODUCT((YEAR('Doğrudan Alım İşlemleri'!$B$2:$B$1944)=$A$78)*(MONTH('Doğrudan Alım İşlemleri'!$B$2:$B$1944)=$B$78)*ISNUMBER('Doğrudan Alım İşlemleri'!$N$2:$N$1944)*'Doğrudan Alım İşlemleri'!$N$2:$N$1944*('Doğrudan Alım İşlemleri'!$H$2:$H$1944&lt;&gt;"")*'Doğrudan Alım İşlemleri'!$H$2:$H$1944)/D78,"")</f>
        <v/>
      </c>
    </row>
    <row r="79">
      <c r="A79" s="16" t="n">
        <v>2019</v>
      </c>
      <c r="B79" s="25" t="n">
        <v>2</v>
      </c>
      <c r="C79" s="11">
        <f>SUMPRODUCT((YEAR('Doğrudan Alım İşlemleri'!$B$2:$B$1944)=$A$79)*(MONTH('Doğrudan Alım İşlemleri'!$B$2:$B$1944)=$B$79)*1)</f>
        <v/>
      </c>
      <c r="D79" s="11">
        <f>SUMPRODUCT((YEAR('Doğrudan Alım İşlemleri'!$B$2:$B$1944)=$A$79)*(MONTH('Doğrudan Alım İşlemleri'!$B$2:$B$1944)=$B$79)*('Doğrudan Alım İşlemleri'!$H$2:$H$1944&lt;&gt;"")*'Doğrudan Alım İşlemleri'!$H$2:$H$1944)</f>
        <v/>
      </c>
      <c r="E79" s="13">
        <f>IFERROR(SUMPRODUCT((YEAR('Doğrudan Alım İşlemleri'!$B$2:$B$1944)=$A$79)*(MONTH('Doğrudan Alım İşlemleri'!$B$2:$B$1944)=$B$79)*ISNUMBER('Doğrudan Alım İşlemleri'!$K$2:$K$1944)*'Doğrudan Alım İşlemleri'!$K$2:$K$1944*('Doğrudan Alım İşlemleri'!$H$2:$H$1944&lt;&gt;"")*'Doğrudan Alım İşlemleri'!$H$2:$H$1944)/D79,"")</f>
        <v/>
      </c>
      <c r="F79" s="13">
        <f>IFERROR(SUMPRODUCT((YEAR('Doğrudan Alım İşlemleri'!$B$2:$B$1944)=$A$79)*(MONTH('Doğrudan Alım İşlemleri'!$B$2:$B$1944)=$B$79)*ISNUMBER('Doğrudan Alım İşlemleri'!$N$2:$N$1944)*'Doğrudan Alım İşlemleri'!$N$2:$N$1944*('Doğrudan Alım İşlemleri'!$H$2:$H$1944&lt;&gt;"")*'Doğrudan Alım İşlemleri'!$H$2:$H$1944)/D79,"")</f>
        <v/>
      </c>
    </row>
    <row r="80">
      <c r="A80" s="15" t="n">
        <v>2019</v>
      </c>
      <c r="B80" s="22" t="n">
        <v>3</v>
      </c>
      <c r="C80" s="8">
        <f>SUMPRODUCT((YEAR('Doğrudan Alım İşlemleri'!$B$2:$B$1944)=$A$80)*(MONTH('Doğrudan Alım İşlemleri'!$B$2:$B$1944)=$B$80)*1)</f>
        <v/>
      </c>
      <c r="D80" s="8">
        <f>SUMPRODUCT((YEAR('Doğrudan Alım İşlemleri'!$B$2:$B$1944)=$A$80)*(MONTH('Doğrudan Alım İşlemleri'!$B$2:$B$1944)=$B$80)*('Doğrudan Alım İşlemleri'!$H$2:$H$1944&lt;&gt;"")*'Doğrudan Alım İşlemleri'!$H$2:$H$1944)</f>
        <v/>
      </c>
      <c r="E80" s="24">
        <f>IFERROR(SUMPRODUCT((YEAR('Doğrudan Alım İşlemleri'!$B$2:$B$1944)=$A$80)*(MONTH('Doğrudan Alım İşlemleri'!$B$2:$B$1944)=$B$80)*ISNUMBER('Doğrudan Alım İşlemleri'!$K$2:$K$1944)*'Doğrudan Alım İşlemleri'!$K$2:$K$1944*('Doğrudan Alım İşlemleri'!$H$2:$H$1944&lt;&gt;"")*'Doğrudan Alım İşlemleri'!$H$2:$H$1944)/D80,"")</f>
        <v/>
      </c>
      <c r="F80" s="24">
        <f>IFERROR(SUMPRODUCT((YEAR('Doğrudan Alım İşlemleri'!$B$2:$B$1944)=$A$80)*(MONTH('Doğrudan Alım İşlemleri'!$B$2:$B$1944)=$B$80)*ISNUMBER('Doğrudan Alım İşlemleri'!$N$2:$N$1944)*'Doğrudan Alım İşlemleri'!$N$2:$N$1944*('Doğrudan Alım İşlemleri'!$H$2:$H$1944&lt;&gt;"")*'Doğrudan Alım İşlemleri'!$H$2:$H$1944)/D80,"")</f>
        <v/>
      </c>
    </row>
    <row r="81">
      <c r="A81" s="16" t="n">
        <v>2019</v>
      </c>
      <c r="B81" s="25" t="n">
        <v>4</v>
      </c>
      <c r="C81" s="11">
        <f>SUMPRODUCT((YEAR('Doğrudan Alım İşlemleri'!$B$2:$B$1944)=$A$81)*(MONTH('Doğrudan Alım İşlemleri'!$B$2:$B$1944)=$B$81)*1)</f>
        <v/>
      </c>
      <c r="D81" s="11">
        <f>SUMPRODUCT((YEAR('Doğrudan Alım İşlemleri'!$B$2:$B$1944)=$A$81)*(MONTH('Doğrudan Alım İşlemleri'!$B$2:$B$1944)=$B$81)*('Doğrudan Alım İşlemleri'!$H$2:$H$1944&lt;&gt;"")*'Doğrudan Alım İşlemleri'!$H$2:$H$1944)</f>
        <v/>
      </c>
      <c r="E81" s="13">
        <f>IFERROR(SUMPRODUCT((YEAR('Doğrudan Alım İşlemleri'!$B$2:$B$1944)=$A$81)*(MONTH('Doğrudan Alım İşlemleri'!$B$2:$B$1944)=$B$81)*ISNUMBER('Doğrudan Alım İşlemleri'!$K$2:$K$1944)*'Doğrudan Alım İşlemleri'!$K$2:$K$1944*('Doğrudan Alım İşlemleri'!$H$2:$H$1944&lt;&gt;"")*'Doğrudan Alım İşlemleri'!$H$2:$H$1944)/D81,"")</f>
        <v/>
      </c>
      <c r="F81" s="13">
        <f>IFERROR(SUMPRODUCT((YEAR('Doğrudan Alım İşlemleri'!$B$2:$B$1944)=$A$81)*(MONTH('Doğrudan Alım İşlemleri'!$B$2:$B$1944)=$B$81)*ISNUMBER('Doğrudan Alım İşlemleri'!$N$2:$N$1944)*'Doğrudan Alım İşlemleri'!$N$2:$N$1944*('Doğrudan Alım İşlemleri'!$H$2:$H$1944&lt;&gt;"")*'Doğrudan Alım İşlemleri'!$H$2:$H$1944)/D81,"")</f>
        <v/>
      </c>
    </row>
    <row r="82">
      <c r="A82" s="15" t="n">
        <v>2019</v>
      </c>
      <c r="B82" s="22" t="n">
        <v>5</v>
      </c>
      <c r="C82" s="8">
        <f>SUMPRODUCT((YEAR('Doğrudan Alım İşlemleri'!$B$2:$B$1944)=$A$82)*(MONTH('Doğrudan Alım İşlemleri'!$B$2:$B$1944)=$B$82)*1)</f>
        <v/>
      </c>
      <c r="D82" s="8">
        <f>SUMPRODUCT((YEAR('Doğrudan Alım İşlemleri'!$B$2:$B$1944)=$A$82)*(MONTH('Doğrudan Alım İşlemleri'!$B$2:$B$1944)=$B$82)*('Doğrudan Alım İşlemleri'!$H$2:$H$1944&lt;&gt;"")*'Doğrudan Alım İşlemleri'!$H$2:$H$1944)</f>
        <v/>
      </c>
      <c r="E82" s="24">
        <f>IFERROR(SUMPRODUCT((YEAR('Doğrudan Alım İşlemleri'!$B$2:$B$1944)=$A$82)*(MONTH('Doğrudan Alım İşlemleri'!$B$2:$B$1944)=$B$82)*ISNUMBER('Doğrudan Alım İşlemleri'!$K$2:$K$1944)*'Doğrudan Alım İşlemleri'!$K$2:$K$1944*('Doğrudan Alım İşlemleri'!$H$2:$H$1944&lt;&gt;"")*'Doğrudan Alım İşlemleri'!$H$2:$H$1944)/D82,"")</f>
        <v/>
      </c>
      <c r="F82" s="24">
        <f>IFERROR(SUMPRODUCT((YEAR('Doğrudan Alım İşlemleri'!$B$2:$B$1944)=$A$82)*(MONTH('Doğrudan Alım İşlemleri'!$B$2:$B$1944)=$B$82)*ISNUMBER('Doğrudan Alım İşlemleri'!$N$2:$N$1944)*'Doğrudan Alım İşlemleri'!$N$2:$N$1944*('Doğrudan Alım İşlemleri'!$H$2:$H$1944&lt;&gt;"")*'Doğrudan Alım İşlemleri'!$H$2:$H$1944)/D82,"")</f>
        <v/>
      </c>
    </row>
    <row r="83">
      <c r="A83" s="16" t="n">
        <v>2019</v>
      </c>
      <c r="B83" s="25" t="n">
        <v>6</v>
      </c>
      <c r="C83" s="11">
        <f>SUMPRODUCT((YEAR('Doğrudan Alım İşlemleri'!$B$2:$B$1944)=$A$83)*(MONTH('Doğrudan Alım İşlemleri'!$B$2:$B$1944)=$B$83)*1)</f>
        <v/>
      </c>
      <c r="D83" s="11">
        <f>SUMPRODUCT((YEAR('Doğrudan Alım İşlemleri'!$B$2:$B$1944)=$A$83)*(MONTH('Doğrudan Alım İşlemleri'!$B$2:$B$1944)=$B$83)*('Doğrudan Alım İşlemleri'!$H$2:$H$1944&lt;&gt;"")*'Doğrudan Alım İşlemleri'!$H$2:$H$1944)</f>
        <v/>
      </c>
      <c r="E83" s="13">
        <f>IFERROR(SUMPRODUCT((YEAR('Doğrudan Alım İşlemleri'!$B$2:$B$1944)=$A$83)*(MONTH('Doğrudan Alım İşlemleri'!$B$2:$B$1944)=$B$83)*ISNUMBER('Doğrudan Alım İşlemleri'!$K$2:$K$1944)*'Doğrudan Alım İşlemleri'!$K$2:$K$1944*('Doğrudan Alım İşlemleri'!$H$2:$H$1944&lt;&gt;"")*'Doğrudan Alım İşlemleri'!$H$2:$H$1944)/D83,"")</f>
        <v/>
      </c>
      <c r="F83" s="13">
        <f>IFERROR(SUMPRODUCT((YEAR('Doğrudan Alım İşlemleri'!$B$2:$B$1944)=$A$83)*(MONTH('Doğrudan Alım İşlemleri'!$B$2:$B$1944)=$B$83)*ISNUMBER('Doğrudan Alım İşlemleri'!$N$2:$N$1944)*'Doğrudan Alım İşlemleri'!$N$2:$N$1944*('Doğrudan Alım İşlemleri'!$H$2:$H$1944&lt;&gt;"")*'Doğrudan Alım İşlemleri'!$H$2:$H$1944)/D83,"")</f>
        <v/>
      </c>
    </row>
    <row r="84">
      <c r="A84" s="15" t="n">
        <v>2019</v>
      </c>
      <c r="B84" s="22" t="n">
        <v>7</v>
      </c>
      <c r="C84" s="8">
        <f>SUMPRODUCT((YEAR('Doğrudan Alım İşlemleri'!$B$2:$B$1944)=$A$84)*(MONTH('Doğrudan Alım İşlemleri'!$B$2:$B$1944)=$B$84)*1)</f>
        <v/>
      </c>
      <c r="D84" s="8">
        <f>SUMPRODUCT((YEAR('Doğrudan Alım İşlemleri'!$B$2:$B$1944)=$A$84)*(MONTH('Doğrudan Alım İşlemleri'!$B$2:$B$1944)=$B$84)*('Doğrudan Alım İşlemleri'!$H$2:$H$1944&lt;&gt;"")*'Doğrudan Alım İşlemleri'!$H$2:$H$1944)</f>
        <v/>
      </c>
      <c r="E84" s="24">
        <f>IFERROR(SUMPRODUCT((YEAR('Doğrudan Alım İşlemleri'!$B$2:$B$1944)=$A$84)*(MONTH('Doğrudan Alım İşlemleri'!$B$2:$B$1944)=$B$84)*ISNUMBER('Doğrudan Alım İşlemleri'!$K$2:$K$1944)*'Doğrudan Alım İşlemleri'!$K$2:$K$1944*('Doğrudan Alım İşlemleri'!$H$2:$H$1944&lt;&gt;"")*'Doğrudan Alım İşlemleri'!$H$2:$H$1944)/D84,"")</f>
        <v/>
      </c>
      <c r="F84" s="24">
        <f>IFERROR(SUMPRODUCT((YEAR('Doğrudan Alım İşlemleri'!$B$2:$B$1944)=$A$84)*(MONTH('Doğrudan Alım İşlemleri'!$B$2:$B$1944)=$B$84)*ISNUMBER('Doğrudan Alım İşlemleri'!$N$2:$N$1944)*'Doğrudan Alım İşlemleri'!$N$2:$N$1944*('Doğrudan Alım İşlemleri'!$H$2:$H$1944&lt;&gt;"")*'Doğrudan Alım İşlemleri'!$H$2:$H$1944)/D84,"")</f>
        <v/>
      </c>
    </row>
    <row r="85">
      <c r="A85" s="16" t="n">
        <v>2019</v>
      </c>
      <c r="B85" s="25" t="n">
        <v>8</v>
      </c>
      <c r="C85" s="11">
        <f>SUMPRODUCT((YEAR('Doğrudan Alım İşlemleri'!$B$2:$B$1944)=$A$85)*(MONTH('Doğrudan Alım İşlemleri'!$B$2:$B$1944)=$B$85)*1)</f>
        <v/>
      </c>
      <c r="D85" s="11">
        <f>SUMPRODUCT((YEAR('Doğrudan Alım İşlemleri'!$B$2:$B$1944)=$A$85)*(MONTH('Doğrudan Alım İşlemleri'!$B$2:$B$1944)=$B$85)*('Doğrudan Alım İşlemleri'!$H$2:$H$1944&lt;&gt;"")*'Doğrudan Alım İşlemleri'!$H$2:$H$1944)</f>
        <v/>
      </c>
      <c r="E85" s="13">
        <f>IFERROR(SUMPRODUCT((YEAR('Doğrudan Alım İşlemleri'!$B$2:$B$1944)=$A$85)*(MONTH('Doğrudan Alım İşlemleri'!$B$2:$B$1944)=$B$85)*ISNUMBER('Doğrudan Alım İşlemleri'!$K$2:$K$1944)*'Doğrudan Alım İşlemleri'!$K$2:$K$1944*('Doğrudan Alım İşlemleri'!$H$2:$H$1944&lt;&gt;"")*'Doğrudan Alım İşlemleri'!$H$2:$H$1944)/D85,"")</f>
        <v/>
      </c>
      <c r="F85" s="13">
        <f>IFERROR(SUMPRODUCT((YEAR('Doğrudan Alım İşlemleri'!$B$2:$B$1944)=$A$85)*(MONTH('Doğrudan Alım İşlemleri'!$B$2:$B$1944)=$B$85)*ISNUMBER('Doğrudan Alım İşlemleri'!$N$2:$N$1944)*'Doğrudan Alım İşlemleri'!$N$2:$N$1944*('Doğrudan Alım İşlemleri'!$H$2:$H$1944&lt;&gt;"")*'Doğrudan Alım İşlemleri'!$H$2:$H$1944)/D85,"")</f>
        <v/>
      </c>
    </row>
    <row r="86">
      <c r="A86" s="15" t="n">
        <v>2019</v>
      </c>
      <c r="B86" s="22" t="n">
        <v>9</v>
      </c>
      <c r="C86" s="8">
        <f>SUMPRODUCT((YEAR('Doğrudan Alım İşlemleri'!$B$2:$B$1944)=$A$86)*(MONTH('Doğrudan Alım İşlemleri'!$B$2:$B$1944)=$B$86)*1)</f>
        <v/>
      </c>
      <c r="D86" s="8">
        <f>SUMPRODUCT((YEAR('Doğrudan Alım İşlemleri'!$B$2:$B$1944)=$A$86)*(MONTH('Doğrudan Alım İşlemleri'!$B$2:$B$1944)=$B$86)*('Doğrudan Alım İşlemleri'!$H$2:$H$1944&lt;&gt;"")*'Doğrudan Alım İşlemleri'!$H$2:$H$1944)</f>
        <v/>
      </c>
      <c r="E86" s="24">
        <f>IFERROR(SUMPRODUCT((YEAR('Doğrudan Alım İşlemleri'!$B$2:$B$1944)=$A$86)*(MONTH('Doğrudan Alım İşlemleri'!$B$2:$B$1944)=$B$86)*ISNUMBER('Doğrudan Alım İşlemleri'!$K$2:$K$1944)*'Doğrudan Alım İşlemleri'!$K$2:$K$1944*('Doğrudan Alım İşlemleri'!$H$2:$H$1944&lt;&gt;"")*'Doğrudan Alım İşlemleri'!$H$2:$H$1944)/D86,"")</f>
        <v/>
      </c>
      <c r="F86" s="24">
        <f>IFERROR(SUMPRODUCT((YEAR('Doğrudan Alım İşlemleri'!$B$2:$B$1944)=$A$86)*(MONTH('Doğrudan Alım İşlemleri'!$B$2:$B$1944)=$B$86)*ISNUMBER('Doğrudan Alım İşlemleri'!$N$2:$N$1944)*'Doğrudan Alım İşlemleri'!$N$2:$N$1944*('Doğrudan Alım İşlemleri'!$H$2:$H$1944&lt;&gt;"")*'Doğrudan Alım İşlemleri'!$H$2:$H$1944)/D86,"")</f>
        <v/>
      </c>
    </row>
    <row r="87">
      <c r="A87" s="16" t="n">
        <v>2019</v>
      </c>
      <c r="B87" s="25" t="n">
        <v>10</v>
      </c>
      <c r="C87" s="11">
        <f>SUMPRODUCT((YEAR('Doğrudan Alım İşlemleri'!$B$2:$B$1944)=$A$87)*(MONTH('Doğrudan Alım İşlemleri'!$B$2:$B$1944)=$B$87)*1)</f>
        <v/>
      </c>
      <c r="D87" s="11">
        <f>SUMPRODUCT((YEAR('Doğrudan Alım İşlemleri'!$B$2:$B$1944)=$A$87)*(MONTH('Doğrudan Alım İşlemleri'!$B$2:$B$1944)=$B$87)*('Doğrudan Alım İşlemleri'!$H$2:$H$1944&lt;&gt;"")*'Doğrudan Alım İşlemleri'!$H$2:$H$1944)</f>
        <v/>
      </c>
      <c r="E87" s="13">
        <f>IFERROR(SUMPRODUCT((YEAR('Doğrudan Alım İşlemleri'!$B$2:$B$1944)=$A$87)*(MONTH('Doğrudan Alım İşlemleri'!$B$2:$B$1944)=$B$87)*ISNUMBER('Doğrudan Alım İşlemleri'!$K$2:$K$1944)*'Doğrudan Alım İşlemleri'!$K$2:$K$1944*('Doğrudan Alım İşlemleri'!$H$2:$H$1944&lt;&gt;"")*'Doğrudan Alım İşlemleri'!$H$2:$H$1944)/D87,"")</f>
        <v/>
      </c>
      <c r="F87" s="13">
        <f>IFERROR(SUMPRODUCT((YEAR('Doğrudan Alım İşlemleri'!$B$2:$B$1944)=$A$87)*(MONTH('Doğrudan Alım İşlemleri'!$B$2:$B$1944)=$B$87)*ISNUMBER('Doğrudan Alım İşlemleri'!$N$2:$N$1944)*'Doğrudan Alım İşlemleri'!$N$2:$N$1944*('Doğrudan Alım İşlemleri'!$H$2:$H$1944&lt;&gt;"")*'Doğrudan Alım İşlemleri'!$H$2:$H$1944)/D87,"")</f>
        <v/>
      </c>
    </row>
    <row r="88">
      <c r="A88" s="15" t="n">
        <v>2019</v>
      </c>
      <c r="B88" s="22" t="n">
        <v>11</v>
      </c>
      <c r="C88" s="8">
        <f>SUMPRODUCT((YEAR('Doğrudan Alım İşlemleri'!$B$2:$B$1944)=$A$88)*(MONTH('Doğrudan Alım İşlemleri'!$B$2:$B$1944)=$B$88)*1)</f>
        <v/>
      </c>
      <c r="D88" s="8">
        <f>SUMPRODUCT((YEAR('Doğrudan Alım İşlemleri'!$B$2:$B$1944)=$A$88)*(MONTH('Doğrudan Alım İşlemleri'!$B$2:$B$1944)=$B$88)*('Doğrudan Alım İşlemleri'!$H$2:$H$1944&lt;&gt;"")*'Doğrudan Alım İşlemleri'!$H$2:$H$1944)</f>
        <v/>
      </c>
      <c r="E88" s="24">
        <f>IFERROR(SUMPRODUCT((YEAR('Doğrudan Alım İşlemleri'!$B$2:$B$1944)=$A$88)*(MONTH('Doğrudan Alım İşlemleri'!$B$2:$B$1944)=$B$88)*ISNUMBER('Doğrudan Alım İşlemleri'!$K$2:$K$1944)*'Doğrudan Alım İşlemleri'!$K$2:$K$1944*('Doğrudan Alım İşlemleri'!$H$2:$H$1944&lt;&gt;"")*'Doğrudan Alım İşlemleri'!$H$2:$H$1944)/D88,"")</f>
        <v/>
      </c>
      <c r="F88" s="24">
        <f>IFERROR(SUMPRODUCT((YEAR('Doğrudan Alım İşlemleri'!$B$2:$B$1944)=$A$88)*(MONTH('Doğrudan Alım İşlemleri'!$B$2:$B$1944)=$B$88)*ISNUMBER('Doğrudan Alım İşlemleri'!$N$2:$N$1944)*'Doğrudan Alım İşlemleri'!$N$2:$N$1944*('Doğrudan Alım İşlemleri'!$H$2:$H$1944&lt;&gt;"")*'Doğrudan Alım İşlemleri'!$H$2:$H$1944)/D88,"")</f>
        <v/>
      </c>
    </row>
    <row r="89">
      <c r="A89" s="16" t="n">
        <v>2019</v>
      </c>
      <c r="B89" s="25" t="n">
        <v>12</v>
      </c>
      <c r="C89" s="11">
        <f>SUMPRODUCT((YEAR('Doğrudan Alım İşlemleri'!$B$2:$B$1944)=$A$89)*(MONTH('Doğrudan Alım İşlemleri'!$B$2:$B$1944)=$B$89)*1)</f>
        <v/>
      </c>
      <c r="D89" s="11">
        <f>SUMPRODUCT((YEAR('Doğrudan Alım İşlemleri'!$B$2:$B$1944)=$A$89)*(MONTH('Doğrudan Alım İşlemleri'!$B$2:$B$1944)=$B$89)*('Doğrudan Alım İşlemleri'!$H$2:$H$1944&lt;&gt;"")*'Doğrudan Alım İşlemleri'!$H$2:$H$1944)</f>
        <v/>
      </c>
      <c r="E89" s="13">
        <f>IFERROR(SUMPRODUCT((YEAR('Doğrudan Alım İşlemleri'!$B$2:$B$1944)=$A$89)*(MONTH('Doğrudan Alım İşlemleri'!$B$2:$B$1944)=$B$89)*ISNUMBER('Doğrudan Alım İşlemleri'!$K$2:$K$1944)*'Doğrudan Alım İşlemleri'!$K$2:$K$1944*('Doğrudan Alım İşlemleri'!$H$2:$H$1944&lt;&gt;"")*'Doğrudan Alım İşlemleri'!$H$2:$H$1944)/D89,"")</f>
        <v/>
      </c>
      <c r="F89" s="13">
        <f>IFERROR(SUMPRODUCT((YEAR('Doğrudan Alım İşlemleri'!$B$2:$B$1944)=$A$89)*(MONTH('Doğrudan Alım İşlemleri'!$B$2:$B$1944)=$B$89)*ISNUMBER('Doğrudan Alım İşlemleri'!$N$2:$N$1944)*'Doğrudan Alım İşlemleri'!$N$2:$N$1944*('Doğrudan Alım İşlemleri'!$H$2:$H$1944&lt;&gt;"")*'Doğrudan Alım İşlemleri'!$H$2:$H$1944)/D89,"")</f>
        <v/>
      </c>
    </row>
    <row r="90">
      <c r="A90" s="15" t="n">
        <v>2020</v>
      </c>
      <c r="B90" s="22" t="n">
        <v>1</v>
      </c>
      <c r="C90" s="8">
        <f>SUMPRODUCT((YEAR('Doğrudan Alım İşlemleri'!$B$2:$B$1944)=$A$90)*(MONTH('Doğrudan Alım İşlemleri'!$B$2:$B$1944)=$B$90)*1)</f>
        <v/>
      </c>
      <c r="D90" s="8">
        <f>SUMPRODUCT((YEAR('Doğrudan Alım İşlemleri'!$B$2:$B$1944)=$A$90)*(MONTH('Doğrudan Alım İşlemleri'!$B$2:$B$1944)=$B$90)*('Doğrudan Alım İşlemleri'!$H$2:$H$1944&lt;&gt;"")*'Doğrudan Alım İşlemleri'!$H$2:$H$1944)</f>
        <v/>
      </c>
      <c r="E90" s="24">
        <f>IFERROR(SUMPRODUCT((YEAR('Doğrudan Alım İşlemleri'!$B$2:$B$1944)=$A$90)*(MONTH('Doğrudan Alım İşlemleri'!$B$2:$B$1944)=$B$90)*ISNUMBER('Doğrudan Alım İşlemleri'!$K$2:$K$1944)*'Doğrudan Alım İşlemleri'!$K$2:$K$1944*('Doğrudan Alım İşlemleri'!$H$2:$H$1944&lt;&gt;"")*'Doğrudan Alım İşlemleri'!$H$2:$H$1944)/D90,"")</f>
        <v/>
      </c>
      <c r="F90" s="24">
        <f>IFERROR(SUMPRODUCT((YEAR('Doğrudan Alım İşlemleri'!$B$2:$B$1944)=$A$90)*(MONTH('Doğrudan Alım İşlemleri'!$B$2:$B$1944)=$B$90)*ISNUMBER('Doğrudan Alım İşlemleri'!$N$2:$N$1944)*'Doğrudan Alım İşlemleri'!$N$2:$N$1944*('Doğrudan Alım İşlemleri'!$H$2:$H$1944&lt;&gt;"")*'Doğrudan Alım İşlemleri'!$H$2:$H$1944)/D90,"")</f>
        <v/>
      </c>
    </row>
    <row r="91">
      <c r="A91" s="16" t="n">
        <v>2020</v>
      </c>
      <c r="B91" s="25" t="n">
        <v>2</v>
      </c>
      <c r="C91" s="11">
        <f>SUMPRODUCT((YEAR('Doğrudan Alım İşlemleri'!$B$2:$B$1944)=$A$91)*(MONTH('Doğrudan Alım İşlemleri'!$B$2:$B$1944)=$B$91)*1)</f>
        <v/>
      </c>
      <c r="D91" s="11">
        <f>SUMPRODUCT((YEAR('Doğrudan Alım İşlemleri'!$B$2:$B$1944)=$A$91)*(MONTH('Doğrudan Alım İşlemleri'!$B$2:$B$1944)=$B$91)*('Doğrudan Alım İşlemleri'!$H$2:$H$1944&lt;&gt;"")*'Doğrudan Alım İşlemleri'!$H$2:$H$1944)</f>
        <v/>
      </c>
      <c r="E91" s="13">
        <f>IFERROR(SUMPRODUCT((YEAR('Doğrudan Alım İşlemleri'!$B$2:$B$1944)=$A$91)*(MONTH('Doğrudan Alım İşlemleri'!$B$2:$B$1944)=$B$91)*ISNUMBER('Doğrudan Alım İşlemleri'!$K$2:$K$1944)*'Doğrudan Alım İşlemleri'!$K$2:$K$1944*('Doğrudan Alım İşlemleri'!$H$2:$H$1944&lt;&gt;"")*'Doğrudan Alım İşlemleri'!$H$2:$H$1944)/D91,"")</f>
        <v/>
      </c>
      <c r="F91" s="13">
        <f>IFERROR(SUMPRODUCT((YEAR('Doğrudan Alım İşlemleri'!$B$2:$B$1944)=$A$91)*(MONTH('Doğrudan Alım İşlemleri'!$B$2:$B$1944)=$B$91)*ISNUMBER('Doğrudan Alım İşlemleri'!$N$2:$N$1944)*'Doğrudan Alım İşlemleri'!$N$2:$N$1944*('Doğrudan Alım İşlemleri'!$H$2:$H$1944&lt;&gt;"")*'Doğrudan Alım İşlemleri'!$H$2:$H$1944)/D91,"")</f>
        <v/>
      </c>
    </row>
    <row r="92">
      <c r="A92" s="15" t="n">
        <v>2020</v>
      </c>
      <c r="B92" s="22" t="n">
        <v>3</v>
      </c>
      <c r="C92" s="8">
        <f>SUMPRODUCT((YEAR('Doğrudan Alım İşlemleri'!$B$2:$B$1944)=$A$92)*(MONTH('Doğrudan Alım İşlemleri'!$B$2:$B$1944)=$B$92)*1)</f>
        <v/>
      </c>
      <c r="D92" s="8">
        <f>SUMPRODUCT((YEAR('Doğrudan Alım İşlemleri'!$B$2:$B$1944)=$A$92)*(MONTH('Doğrudan Alım İşlemleri'!$B$2:$B$1944)=$B$92)*('Doğrudan Alım İşlemleri'!$H$2:$H$1944&lt;&gt;"")*'Doğrudan Alım İşlemleri'!$H$2:$H$1944)</f>
        <v/>
      </c>
      <c r="E92" s="24">
        <f>IFERROR(SUMPRODUCT((YEAR('Doğrudan Alım İşlemleri'!$B$2:$B$1944)=$A$92)*(MONTH('Doğrudan Alım İşlemleri'!$B$2:$B$1944)=$B$92)*ISNUMBER('Doğrudan Alım İşlemleri'!$K$2:$K$1944)*'Doğrudan Alım İşlemleri'!$K$2:$K$1944*('Doğrudan Alım İşlemleri'!$H$2:$H$1944&lt;&gt;"")*'Doğrudan Alım İşlemleri'!$H$2:$H$1944)/D92,"")</f>
        <v/>
      </c>
      <c r="F92" s="24">
        <f>IFERROR(SUMPRODUCT((YEAR('Doğrudan Alım İşlemleri'!$B$2:$B$1944)=$A$92)*(MONTH('Doğrudan Alım İşlemleri'!$B$2:$B$1944)=$B$92)*ISNUMBER('Doğrudan Alım İşlemleri'!$N$2:$N$1944)*'Doğrudan Alım İşlemleri'!$N$2:$N$1944*('Doğrudan Alım İşlemleri'!$H$2:$H$1944&lt;&gt;"")*'Doğrudan Alım İşlemleri'!$H$2:$H$1944)/D92,"")</f>
        <v/>
      </c>
    </row>
    <row r="93">
      <c r="A93" s="16" t="n">
        <v>2020</v>
      </c>
      <c r="B93" s="25" t="n">
        <v>4</v>
      </c>
      <c r="C93" s="11">
        <f>SUMPRODUCT((YEAR('Doğrudan Alım İşlemleri'!$B$2:$B$1944)=$A$93)*(MONTH('Doğrudan Alım İşlemleri'!$B$2:$B$1944)=$B$93)*1)</f>
        <v/>
      </c>
      <c r="D93" s="11">
        <f>SUMPRODUCT((YEAR('Doğrudan Alım İşlemleri'!$B$2:$B$1944)=$A$93)*(MONTH('Doğrudan Alım İşlemleri'!$B$2:$B$1944)=$B$93)*('Doğrudan Alım İşlemleri'!$H$2:$H$1944&lt;&gt;"")*'Doğrudan Alım İşlemleri'!$H$2:$H$1944)</f>
        <v/>
      </c>
      <c r="E93" s="13">
        <f>IFERROR(SUMPRODUCT((YEAR('Doğrudan Alım İşlemleri'!$B$2:$B$1944)=$A$93)*(MONTH('Doğrudan Alım İşlemleri'!$B$2:$B$1944)=$B$93)*ISNUMBER('Doğrudan Alım İşlemleri'!$K$2:$K$1944)*'Doğrudan Alım İşlemleri'!$K$2:$K$1944*('Doğrudan Alım İşlemleri'!$H$2:$H$1944&lt;&gt;"")*'Doğrudan Alım İşlemleri'!$H$2:$H$1944)/D93,"")</f>
        <v/>
      </c>
      <c r="F93" s="13">
        <f>IFERROR(SUMPRODUCT((YEAR('Doğrudan Alım İşlemleri'!$B$2:$B$1944)=$A$93)*(MONTH('Doğrudan Alım İşlemleri'!$B$2:$B$1944)=$B$93)*ISNUMBER('Doğrudan Alım İşlemleri'!$N$2:$N$1944)*'Doğrudan Alım İşlemleri'!$N$2:$N$1944*('Doğrudan Alım İşlemleri'!$H$2:$H$1944&lt;&gt;"")*'Doğrudan Alım İşlemleri'!$H$2:$H$1944)/D93,"")</f>
        <v/>
      </c>
    </row>
    <row r="94">
      <c r="A94" s="15" t="n">
        <v>2020</v>
      </c>
      <c r="B94" s="22" t="n">
        <v>5</v>
      </c>
      <c r="C94" s="8">
        <f>SUMPRODUCT((YEAR('Doğrudan Alım İşlemleri'!$B$2:$B$1944)=$A$94)*(MONTH('Doğrudan Alım İşlemleri'!$B$2:$B$1944)=$B$94)*1)</f>
        <v/>
      </c>
      <c r="D94" s="8">
        <f>SUMPRODUCT((YEAR('Doğrudan Alım İşlemleri'!$B$2:$B$1944)=$A$94)*(MONTH('Doğrudan Alım İşlemleri'!$B$2:$B$1944)=$B$94)*('Doğrudan Alım İşlemleri'!$H$2:$H$1944&lt;&gt;"")*'Doğrudan Alım İşlemleri'!$H$2:$H$1944)</f>
        <v/>
      </c>
      <c r="E94" s="24">
        <f>IFERROR(SUMPRODUCT((YEAR('Doğrudan Alım İşlemleri'!$B$2:$B$1944)=$A$94)*(MONTH('Doğrudan Alım İşlemleri'!$B$2:$B$1944)=$B$94)*ISNUMBER('Doğrudan Alım İşlemleri'!$K$2:$K$1944)*'Doğrudan Alım İşlemleri'!$K$2:$K$1944*('Doğrudan Alım İşlemleri'!$H$2:$H$1944&lt;&gt;"")*'Doğrudan Alım İşlemleri'!$H$2:$H$1944)/D94,"")</f>
        <v/>
      </c>
      <c r="F94" s="24">
        <f>IFERROR(SUMPRODUCT((YEAR('Doğrudan Alım İşlemleri'!$B$2:$B$1944)=$A$94)*(MONTH('Doğrudan Alım İşlemleri'!$B$2:$B$1944)=$B$94)*ISNUMBER('Doğrudan Alım İşlemleri'!$N$2:$N$1944)*'Doğrudan Alım İşlemleri'!$N$2:$N$1944*('Doğrudan Alım İşlemleri'!$H$2:$H$1944&lt;&gt;"")*'Doğrudan Alım İşlemleri'!$H$2:$H$1944)/D94,"")</f>
        <v/>
      </c>
    </row>
    <row r="95">
      <c r="A95" s="16" t="n">
        <v>2020</v>
      </c>
      <c r="B95" s="25" t="n">
        <v>6</v>
      </c>
      <c r="C95" s="11">
        <f>SUMPRODUCT((YEAR('Doğrudan Alım İşlemleri'!$B$2:$B$1944)=$A$95)*(MONTH('Doğrudan Alım İşlemleri'!$B$2:$B$1944)=$B$95)*1)</f>
        <v/>
      </c>
      <c r="D95" s="11">
        <f>SUMPRODUCT((YEAR('Doğrudan Alım İşlemleri'!$B$2:$B$1944)=$A$95)*(MONTH('Doğrudan Alım İşlemleri'!$B$2:$B$1944)=$B$95)*('Doğrudan Alım İşlemleri'!$H$2:$H$1944&lt;&gt;"")*'Doğrudan Alım İşlemleri'!$H$2:$H$1944)</f>
        <v/>
      </c>
      <c r="E95" s="13">
        <f>IFERROR(SUMPRODUCT((YEAR('Doğrudan Alım İşlemleri'!$B$2:$B$1944)=$A$95)*(MONTH('Doğrudan Alım İşlemleri'!$B$2:$B$1944)=$B$95)*ISNUMBER('Doğrudan Alım İşlemleri'!$K$2:$K$1944)*'Doğrudan Alım İşlemleri'!$K$2:$K$1944*('Doğrudan Alım İşlemleri'!$H$2:$H$1944&lt;&gt;"")*'Doğrudan Alım İşlemleri'!$H$2:$H$1944)/D95,"")</f>
        <v/>
      </c>
      <c r="F95" s="13">
        <f>IFERROR(SUMPRODUCT((YEAR('Doğrudan Alım İşlemleri'!$B$2:$B$1944)=$A$95)*(MONTH('Doğrudan Alım İşlemleri'!$B$2:$B$1944)=$B$95)*ISNUMBER('Doğrudan Alım İşlemleri'!$N$2:$N$1944)*'Doğrudan Alım İşlemleri'!$N$2:$N$1944*('Doğrudan Alım İşlemleri'!$H$2:$H$1944&lt;&gt;"")*'Doğrudan Alım İşlemleri'!$H$2:$H$1944)/D95,"")</f>
        <v/>
      </c>
    </row>
    <row r="96">
      <c r="A96" s="15" t="n">
        <v>2020</v>
      </c>
      <c r="B96" s="22" t="n">
        <v>7</v>
      </c>
      <c r="C96" s="8">
        <f>SUMPRODUCT((YEAR('Doğrudan Alım İşlemleri'!$B$2:$B$1944)=$A$96)*(MONTH('Doğrudan Alım İşlemleri'!$B$2:$B$1944)=$B$96)*1)</f>
        <v/>
      </c>
      <c r="D96" s="8">
        <f>SUMPRODUCT((YEAR('Doğrudan Alım İşlemleri'!$B$2:$B$1944)=$A$96)*(MONTH('Doğrudan Alım İşlemleri'!$B$2:$B$1944)=$B$96)*('Doğrudan Alım İşlemleri'!$H$2:$H$1944&lt;&gt;"")*'Doğrudan Alım İşlemleri'!$H$2:$H$1944)</f>
        <v/>
      </c>
      <c r="E96" s="24">
        <f>IFERROR(SUMPRODUCT((YEAR('Doğrudan Alım İşlemleri'!$B$2:$B$1944)=$A$96)*(MONTH('Doğrudan Alım İşlemleri'!$B$2:$B$1944)=$B$96)*ISNUMBER('Doğrudan Alım İşlemleri'!$K$2:$K$1944)*'Doğrudan Alım İşlemleri'!$K$2:$K$1944*('Doğrudan Alım İşlemleri'!$H$2:$H$1944&lt;&gt;"")*'Doğrudan Alım İşlemleri'!$H$2:$H$1944)/D96,"")</f>
        <v/>
      </c>
      <c r="F96" s="24">
        <f>IFERROR(SUMPRODUCT((YEAR('Doğrudan Alım İşlemleri'!$B$2:$B$1944)=$A$96)*(MONTH('Doğrudan Alım İşlemleri'!$B$2:$B$1944)=$B$96)*ISNUMBER('Doğrudan Alım İşlemleri'!$N$2:$N$1944)*'Doğrudan Alım İşlemleri'!$N$2:$N$1944*('Doğrudan Alım İşlemleri'!$H$2:$H$1944&lt;&gt;"")*'Doğrudan Alım İşlemleri'!$H$2:$H$1944)/D96,"")</f>
        <v/>
      </c>
    </row>
    <row r="97">
      <c r="A97" s="16" t="n">
        <v>2022</v>
      </c>
      <c r="B97" s="25" t="n">
        <v>1</v>
      </c>
      <c r="C97" s="11">
        <f>SUMPRODUCT((YEAR('Doğrudan Alım İşlemleri'!$B$2:$B$1944)=$A$97)*(MONTH('Doğrudan Alım İşlemleri'!$B$2:$B$1944)=$B$97)*1)</f>
        <v/>
      </c>
      <c r="D97" s="11">
        <f>SUMPRODUCT((YEAR('Doğrudan Alım İşlemleri'!$B$2:$B$1944)=$A$97)*(MONTH('Doğrudan Alım İşlemleri'!$B$2:$B$1944)=$B$97)*('Doğrudan Alım İşlemleri'!$H$2:$H$1944&lt;&gt;"")*'Doğrudan Alım İşlemleri'!$H$2:$H$1944)</f>
        <v/>
      </c>
      <c r="E97" s="13">
        <f>IFERROR(SUMPRODUCT((YEAR('Doğrudan Alım İşlemleri'!$B$2:$B$1944)=$A$97)*(MONTH('Doğrudan Alım İşlemleri'!$B$2:$B$1944)=$B$97)*ISNUMBER('Doğrudan Alım İşlemleri'!$K$2:$K$1944)*'Doğrudan Alım İşlemleri'!$K$2:$K$1944*('Doğrudan Alım İşlemleri'!$H$2:$H$1944&lt;&gt;"")*'Doğrudan Alım İşlemleri'!$H$2:$H$1944)/D97,"")</f>
        <v/>
      </c>
      <c r="F97" s="13">
        <f>IFERROR(SUMPRODUCT((YEAR('Doğrudan Alım İşlemleri'!$B$2:$B$1944)=$A$97)*(MONTH('Doğrudan Alım İşlemleri'!$B$2:$B$1944)=$B$97)*ISNUMBER('Doğrudan Alım İşlemleri'!$N$2:$N$1944)*'Doğrudan Alım İşlemleri'!$N$2:$N$1944*('Doğrudan Alım İşlemleri'!$H$2:$H$1944&lt;&gt;"")*'Doğrudan Alım İşlemleri'!$H$2:$H$1944)/D97,"")</f>
        <v/>
      </c>
    </row>
    <row r="98">
      <c r="A98" s="15" t="n">
        <v>2022</v>
      </c>
      <c r="B98" s="22" t="n">
        <v>2</v>
      </c>
      <c r="C98" s="8">
        <f>SUMPRODUCT((YEAR('Doğrudan Alım İşlemleri'!$B$2:$B$1944)=$A$98)*(MONTH('Doğrudan Alım İşlemleri'!$B$2:$B$1944)=$B$98)*1)</f>
        <v/>
      </c>
      <c r="D98" s="8">
        <f>SUMPRODUCT((YEAR('Doğrudan Alım İşlemleri'!$B$2:$B$1944)=$A$98)*(MONTH('Doğrudan Alım İşlemleri'!$B$2:$B$1944)=$B$98)*('Doğrudan Alım İşlemleri'!$H$2:$H$1944&lt;&gt;"")*'Doğrudan Alım İşlemleri'!$H$2:$H$1944)</f>
        <v/>
      </c>
      <c r="E98" s="24">
        <f>IFERROR(SUMPRODUCT((YEAR('Doğrudan Alım İşlemleri'!$B$2:$B$1944)=$A$98)*(MONTH('Doğrudan Alım İşlemleri'!$B$2:$B$1944)=$B$98)*ISNUMBER('Doğrudan Alım İşlemleri'!$K$2:$K$1944)*'Doğrudan Alım İşlemleri'!$K$2:$K$1944*('Doğrudan Alım İşlemleri'!$H$2:$H$1944&lt;&gt;"")*'Doğrudan Alım İşlemleri'!$H$2:$H$1944)/D98,"")</f>
        <v/>
      </c>
      <c r="F98" s="24">
        <f>IFERROR(SUMPRODUCT((YEAR('Doğrudan Alım İşlemleri'!$B$2:$B$1944)=$A$98)*(MONTH('Doğrudan Alım İşlemleri'!$B$2:$B$1944)=$B$98)*ISNUMBER('Doğrudan Alım İşlemleri'!$N$2:$N$1944)*'Doğrudan Alım İşlemleri'!$N$2:$N$1944*('Doğrudan Alım İşlemleri'!$H$2:$H$1944&lt;&gt;"")*'Doğrudan Alım İşlemleri'!$H$2:$H$1944)/D98,"")</f>
        <v/>
      </c>
    </row>
    <row r="99">
      <c r="A99" s="16" t="n">
        <v>2022</v>
      </c>
      <c r="B99" s="25" t="n">
        <v>3</v>
      </c>
      <c r="C99" s="11">
        <f>SUMPRODUCT((YEAR('Doğrudan Alım İşlemleri'!$B$2:$B$1944)=$A$99)*(MONTH('Doğrudan Alım İşlemleri'!$B$2:$B$1944)=$B$99)*1)</f>
        <v/>
      </c>
      <c r="D99" s="11">
        <f>SUMPRODUCT((YEAR('Doğrudan Alım İşlemleri'!$B$2:$B$1944)=$A$99)*(MONTH('Doğrudan Alım İşlemleri'!$B$2:$B$1944)=$B$99)*('Doğrudan Alım İşlemleri'!$H$2:$H$1944&lt;&gt;"")*'Doğrudan Alım İşlemleri'!$H$2:$H$1944)</f>
        <v/>
      </c>
      <c r="E99" s="13">
        <f>IFERROR(SUMPRODUCT((YEAR('Doğrudan Alım İşlemleri'!$B$2:$B$1944)=$A$99)*(MONTH('Doğrudan Alım İşlemleri'!$B$2:$B$1944)=$B$99)*ISNUMBER('Doğrudan Alım İşlemleri'!$K$2:$K$1944)*'Doğrudan Alım İşlemleri'!$K$2:$K$1944*('Doğrudan Alım İşlemleri'!$H$2:$H$1944&lt;&gt;"")*'Doğrudan Alım İşlemleri'!$H$2:$H$1944)/D99,"")</f>
        <v/>
      </c>
      <c r="F99" s="13">
        <f>IFERROR(SUMPRODUCT((YEAR('Doğrudan Alım İşlemleri'!$B$2:$B$1944)=$A$99)*(MONTH('Doğrudan Alım İşlemleri'!$B$2:$B$1944)=$B$99)*ISNUMBER('Doğrudan Alım İşlemleri'!$N$2:$N$1944)*'Doğrudan Alım İşlemleri'!$N$2:$N$1944*('Doğrudan Alım İşlemleri'!$H$2:$H$1944&lt;&gt;"")*'Doğrudan Alım İşlemleri'!$H$2:$H$1944)/D99,"")</f>
        <v/>
      </c>
    </row>
    <row r="100">
      <c r="A100" s="15" t="n">
        <v>2022</v>
      </c>
      <c r="B100" s="22" t="n">
        <v>4</v>
      </c>
      <c r="C100" s="8">
        <f>SUMPRODUCT((YEAR('Doğrudan Alım İşlemleri'!$B$2:$B$1944)=$A$100)*(MONTH('Doğrudan Alım İşlemleri'!$B$2:$B$1944)=$B$100)*1)</f>
        <v/>
      </c>
      <c r="D100" s="8">
        <f>SUMPRODUCT((YEAR('Doğrudan Alım İşlemleri'!$B$2:$B$1944)=$A$100)*(MONTH('Doğrudan Alım İşlemleri'!$B$2:$B$1944)=$B$100)*('Doğrudan Alım İşlemleri'!$H$2:$H$1944&lt;&gt;"")*'Doğrudan Alım İşlemleri'!$H$2:$H$1944)</f>
        <v/>
      </c>
      <c r="E100" s="24">
        <f>IFERROR(SUMPRODUCT((YEAR('Doğrudan Alım İşlemleri'!$B$2:$B$1944)=$A$100)*(MONTH('Doğrudan Alım İşlemleri'!$B$2:$B$1944)=$B$100)*ISNUMBER('Doğrudan Alım İşlemleri'!$K$2:$K$1944)*'Doğrudan Alım İşlemleri'!$K$2:$K$1944*('Doğrudan Alım İşlemleri'!$H$2:$H$1944&lt;&gt;"")*'Doğrudan Alım İşlemleri'!$H$2:$H$1944)/D100,"")</f>
        <v/>
      </c>
      <c r="F100" s="24">
        <f>IFERROR(SUMPRODUCT((YEAR('Doğrudan Alım İşlemleri'!$B$2:$B$1944)=$A$100)*(MONTH('Doğrudan Alım İşlemleri'!$B$2:$B$1944)=$B$100)*ISNUMBER('Doğrudan Alım İşlemleri'!$N$2:$N$1944)*'Doğrudan Alım İşlemleri'!$N$2:$N$1944*('Doğrudan Alım İşlemleri'!$H$2:$H$1944&lt;&gt;"")*'Doğrudan Alım İşlemleri'!$H$2:$H$1944)/D100,"")</f>
        <v/>
      </c>
    </row>
    <row r="101">
      <c r="A101" s="16" t="n">
        <v>2022</v>
      </c>
      <c r="B101" s="25" t="n">
        <v>5</v>
      </c>
      <c r="C101" s="11">
        <f>SUMPRODUCT((YEAR('Doğrudan Alım İşlemleri'!$B$2:$B$1944)=$A$101)*(MONTH('Doğrudan Alım İşlemleri'!$B$2:$B$1944)=$B$101)*1)</f>
        <v/>
      </c>
      <c r="D101" s="11">
        <f>SUMPRODUCT((YEAR('Doğrudan Alım İşlemleri'!$B$2:$B$1944)=$A$101)*(MONTH('Doğrudan Alım İşlemleri'!$B$2:$B$1944)=$B$101)*('Doğrudan Alım İşlemleri'!$H$2:$H$1944&lt;&gt;"")*'Doğrudan Alım İşlemleri'!$H$2:$H$1944)</f>
        <v/>
      </c>
      <c r="E101" s="13">
        <f>IFERROR(SUMPRODUCT((YEAR('Doğrudan Alım İşlemleri'!$B$2:$B$1944)=$A$101)*(MONTH('Doğrudan Alım İşlemleri'!$B$2:$B$1944)=$B$101)*ISNUMBER('Doğrudan Alım İşlemleri'!$K$2:$K$1944)*'Doğrudan Alım İşlemleri'!$K$2:$K$1944*('Doğrudan Alım İşlemleri'!$H$2:$H$1944&lt;&gt;"")*'Doğrudan Alım İşlemleri'!$H$2:$H$1944)/D101,"")</f>
        <v/>
      </c>
      <c r="F101" s="13">
        <f>IFERROR(SUMPRODUCT((YEAR('Doğrudan Alım İşlemleri'!$B$2:$B$1944)=$A$101)*(MONTH('Doğrudan Alım İşlemleri'!$B$2:$B$1944)=$B$101)*ISNUMBER('Doğrudan Alım İşlemleri'!$N$2:$N$1944)*'Doğrudan Alım İşlemleri'!$N$2:$N$1944*('Doğrudan Alım İşlemleri'!$H$2:$H$1944&lt;&gt;"")*'Doğrudan Alım İşlemleri'!$H$2:$H$1944)/D101,"")</f>
        <v/>
      </c>
    </row>
    <row r="102">
      <c r="A102" s="15" t="n">
        <v>2022</v>
      </c>
      <c r="B102" s="22" t="n">
        <v>6</v>
      </c>
      <c r="C102" s="8">
        <f>SUMPRODUCT((YEAR('Doğrudan Alım İşlemleri'!$B$2:$B$1944)=$A$102)*(MONTH('Doğrudan Alım İşlemleri'!$B$2:$B$1944)=$B$102)*1)</f>
        <v/>
      </c>
      <c r="D102" s="8">
        <f>SUMPRODUCT((YEAR('Doğrudan Alım İşlemleri'!$B$2:$B$1944)=$A$102)*(MONTH('Doğrudan Alım İşlemleri'!$B$2:$B$1944)=$B$102)*('Doğrudan Alım İşlemleri'!$H$2:$H$1944&lt;&gt;"")*'Doğrudan Alım İşlemleri'!$H$2:$H$1944)</f>
        <v/>
      </c>
      <c r="E102" s="24">
        <f>IFERROR(SUMPRODUCT((YEAR('Doğrudan Alım İşlemleri'!$B$2:$B$1944)=$A$102)*(MONTH('Doğrudan Alım İşlemleri'!$B$2:$B$1944)=$B$102)*ISNUMBER('Doğrudan Alım İşlemleri'!$K$2:$K$1944)*'Doğrudan Alım İşlemleri'!$K$2:$K$1944*('Doğrudan Alım İşlemleri'!$H$2:$H$1944&lt;&gt;"")*'Doğrudan Alım İşlemleri'!$H$2:$H$1944)/D102,"")</f>
        <v/>
      </c>
      <c r="F102" s="24">
        <f>IFERROR(SUMPRODUCT((YEAR('Doğrudan Alım İşlemleri'!$B$2:$B$1944)=$A$102)*(MONTH('Doğrudan Alım İşlemleri'!$B$2:$B$1944)=$B$102)*ISNUMBER('Doğrudan Alım İşlemleri'!$N$2:$N$1944)*'Doğrudan Alım İşlemleri'!$N$2:$N$1944*('Doğrudan Alım İşlemleri'!$H$2:$H$1944&lt;&gt;"")*'Doğrudan Alım İşlemleri'!$H$2:$H$1944)/D102,"")</f>
        <v/>
      </c>
    </row>
    <row r="103">
      <c r="A103" s="16" t="n">
        <v>2022</v>
      </c>
      <c r="B103" s="25" t="n">
        <v>7</v>
      </c>
      <c r="C103" s="11">
        <f>SUMPRODUCT((YEAR('Doğrudan Alım İşlemleri'!$B$2:$B$1944)=$A$103)*(MONTH('Doğrudan Alım İşlemleri'!$B$2:$B$1944)=$B$103)*1)</f>
        <v/>
      </c>
      <c r="D103" s="11">
        <f>SUMPRODUCT((YEAR('Doğrudan Alım İşlemleri'!$B$2:$B$1944)=$A$103)*(MONTH('Doğrudan Alım İşlemleri'!$B$2:$B$1944)=$B$103)*('Doğrudan Alım İşlemleri'!$H$2:$H$1944&lt;&gt;"")*'Doğrudan Alım İşlemleri'!$H$2:$H$1944)</f>
        <v/>
      </c>
      <c r="E103" s="13">
        <f>IFERROR(SUMPRODUCT((YEAR('Doğrudan Alım İşlemleri'!$B$2:$B$1944)=$A$103)*(MONTH('Doğrudan Alım İşlemleri'!$B$2:$B$1944)=$B$103)*ISNUMBER('Doğrudan Alım İşlemleri'!$K$2:$K$1944)*'Doğrudan Alım İşlemleri'!$K$2:$K$1944*('Doğrudan Alım İşlemleri'!$H$2:$H$1944&lt;&gt;"")*'Doğrudan Alım İşlemleri'!$H$2:$H$1944)/D103,"")</f>
        <v/>
      </c>
      <c r="F103" s="13">
        <f>IFERROR(SUMPRODUCT((YEAR('Doğrudan Alım İşlemleri'!$B$2:$B$1944)=$A$103)*(MONTH('Doğrudan Alım İşlemleri'!$B$2:$B$1944)=$B$103)*ISNUMBER('Doğrudan Alım İşlemleri'!$N$2:$N$1944)*'Doğrudan Alım İşlemleri'!$N$2:$N$1944*('Doğrudan Alım İşlemleri'!$H$2:$H$1944&lt;&gt;"")*'Doğrudan Alım İşlemleri'!$H$2:$H$1944)/D103,"")</f>
        <v/>
      </c>
    </row>
    <row r="104">
      <c r="A104" s="15" t="n">
        <v>2022</v>
      </c>
      <c r="B104" s="22" t="n">
        <v>8</v>
      </c>
      <c r="C104" s="8">
        <f>SUMPRODUCT((YEAR('Doğrudan Alım İşlemleri'!$B$2:$B$1944)=$A$104)*(MONTH('Doğrudan Alım İşlemleri'!$B$2:$B$1944)=$B$104)*1)</f>
        <v/>
      </c>
      <c r="D104" s="8">
        <f>SUMPRODUCT((YEAR('Doğrudan Alım İşlemleri'!$B$2:$B$1944)=$A$104)*(MONTH('Doğrudan Alım İşlemleri'!$B$2:$B$1944)=$B$104)*('Doğrudan Alım İşlemleri'!$H$2:$H$1944&lt;&gt;"")*'Doğrudan Alım İşlemleri'!$H$2:$H$1944)</f>
        <v/>
      </c>
      <c r="E104" s="24">
        <f>IFERROR(SUMPRODUCT((YEAR('Doğrudan Alım İşlemleri'!$B$2:$B$1944)=$A$104)*(MONTH('Doğrudan Alım İşlemleri'!$B$2:$B$1944)=$B$104)*ISNUMBER('Doğrudan Alım İşlemleri'!$K$2:$K$1944)*'Doğrudan Alım İşlemleri'!$K$2:$K$1944*('Doğrudan Alım İşlemleri'!$H$2:$H$1944&lt;&gt;"")*'Doğrudan Alım İşlemleri'!$H$2:$H$1944)/D104,"")</f>
        <v/>
      </c>
      <c r="F104" s="24">
        <f>IFERROR(SUMPRODUCT((YEAR('Doğrudan Alım İşlemleri'!$B$2:$B$1944)=$A$104)*(MONTH('Doğrudan Alım İşlemleri'!$B$2:$B$1944)=$B$104)*ISNUMBER('Doğrudan Alım İşlemleri'!$N$2:$N$1944)*'Doğrudan Alım İşlemleri'!$N$2:$N$1944*('Doğrudan Alım İşlemleri'!$H$2:$H$1944&lt;&gt;"")*'Doğrudan Alım İşlemleri'!$H$2:$H$1944)/D104,"")</f>
        <v/>
      </c>
    </row>
    <row r="105">
      <c r="A105" s="16" t="n">
        <v>2022</v>
      </c>
      <c r="B105" s="25" t="n">
        <v>9</v>
      </c>
      <c r="C105" s="11">
        <f>SUMPRODUCT((YEAR('Doğrudan Alım İşlemleri'!$B$2:$B$1944)=$A$105)*(MONTH('Doğrudan Alım İşlemleri'!$B$2:$B$1944)=$B$105)*1)</f>
        <v/>
      </c>
      <c r="D105" s="11">
        <f>SUMPRODUCT((YEAR('Doğrudan Alım İşlemleri'!$B$2:$B$1944)=$A$105)*(MONTH('Doğrudan Alım İşlemleri'!$B$2:$B$1944)=$B$105)*('Doğrudan Alım İşlemleri'!$H$2:$H$1944&lt;&gt;"")*'Doğrudan Alım İşlemleri'!$H$2:$H$1944)</f>
        <v/>
      </c>
      <c r="E105" s="13">
        <f>IFERROR(SUMPRODUCT((YEAR('Doğrudan Alım İşlemleri'!$B$2:$B$1944)=$A$105)*(MONTH('Doğrudan Alım İşlemleri'!$B$2:$B$1944)=$B$105)*ISNUMBER('Doğrudan Alım İşlemleri'!$K$2:$K$1944)*'Doğrudan Alım İşlemleri'!$K$2:$K$1944*('Doğrudan Alım İşlemleri'!$H$2:$H$1944&lt;&gt;"")*'Doğrudan Alım İşlemleri'!$H$2:$H$1944)/D105,"")</f>
        <v/>
      </c>
      <c r="F105" s="13">
        <f>IFERROR(SUMPRODUCT((YEAR('Doğrudan Alım İşlemleri'!$B$2:$B$1944)=$A$105)*(MONTH('Doğrudan Alım İşlemleri'!$B$2:$B$1944)=$B$105)*ISNUMBER('Doğrudan Alım İşlemleri'!$N$2:$N$1944)*'Doğrudan Alım İşlemleri'!$N$2:$N$1944*('Doğrudan Alım İşlemleri'!$H$2:$H$1944&lt;&gt;"")*'Doğrudan Alım İşlemleri'!$H$2:$H$1944)/D105,"")</f>
        <v/>
      </c>
    </row>
    <row r="106">
      <c r="A106" s="15" t="n">
        <v>2022</v>
      </c>
      <c r="B106" s="22" t="n">
        <v>10</v>
      </c>
      <c r="C106" s="8">
        <f>SUMPRODUCT((YEAR('Doğrudan Alım İşlemleri'!$B$2:$B$1944)=$A$106)*(MONTH('Doğrudan Alım İşlemleri'!$B$2:$B$1944)=$B$106)*1)</f>
        <v/>
      </c>
      <c r="D106" s="8">
        <f>SUMPRODUCT((YEAR('Doğrudan Alım İşlemleri'!$B$2:$B$1944)=$A$106)*(MONTH('Doğrudan Alım İşlemleri'!$B$2:$B$1944)=$B$106)*('Doğrudan Alım İşlemleri'!$H$2:$H$1944&lt;&gt;"")*'Doğrudan Alım İşlemleri'!$H$2:$H$1944)</f>
        <v/>
      </c>
      <c r="E106" s="24">
        <f>IFERROR(SUMPRODUCT((YEAR('Doğrudan Alım İşlemleri'!$B$2:$B$1944)=$A$106)*(MONTH('Doğrudan Alım İşlemleri'!$B$2:$B$1944)=$B$106)*ISNUMBER('Doğrudan Alım İşlemleri'!$K$2:$K$1944)*'Doğrudan Alım İşlemleri'!$K$2:$K$1944*('Doğrudan Alım İşlemleri'!$H$2:$H$1944&lt;&gt;"")*'Doğrudan Alım İşlemleri'!$H$2:$H$1944)/D106,"")</f>
        <v/>
      </c>
      <c r="F106" s="24">
        <f>IFERROR(SUMPRODUCT((YEAR('Doğrudan Alım İşlemleri'!$B$2:$B$1944)=$A$106)*(MONTH('Doğrudan Alım İşlemleri'!$B$2:$B$1944)=$B$106)*ISNUMBER('Doğrudan Alım İşlemleri'!$N$2:$N$1944)*'Doğrudan Alım İşlemleri'!$N$2:$N$1944*('Doğrudan Alım İşlemleri'!$H$2:$H$1944&lt;&gt;"")*'Doğrudan Alım İşlemleri'!$H$2:$H$1944)/D106,"")</f>
        <v/>
      </c>
    </row>
    <row r="107">
      <c r="A107" s="16" t="n">
        <v>2022</v>
      </c>
      <c r="B107" s="25" t="n">
        <v>11</v>
      </c>
      <c r="C107" s="11">
        <f>SUMPRODUCT((YEAR('Doğrudan Alım İşlemleri'!$B$2:$B$1944)=$A$107)*(MONTH('Doğrudan Alım İşlemleri'!$B$2:$B$1944)=$B$107)*1)</f>
        <v/>
      </c>
      <c r="D107" s="11">
        <f>SUMPRODUCT((YEAR('Doğrudan Alım İşlemleri'!$B$2:$B$1944)=$A$107)*(MONTH('Doğrudan Alım İşlemleri'!$B$2:$B$1944)=$B$107)*('Doğrudan Alım İşlemleri'!$H$2:$H$1944&lt;&gt;"")*'Doğrudan Alım İşlemleri'!$H$2:$H$1944)</f>
        <v/>
      </c>
      <c r="E107" s="13">
        <f>IFERROR(SUMPRODUCT((YEAR('Doğrudan Alım İşlemleri'!$B$2:$B$1944)=$A$107)*(MONTH('Doğrudan Alım İşlemleri'!$B$2:$B$1944)=$B$107)*ISNUMBER('Doğrudan Alım İşlemleri'!$K$2:$K$1944)*'Doğrudan Alım İşlemleri'!$K$2:$K$1944*('Doğrudan Alım İşlemleri'!$H$2:$H$1944&lt;&gt;"")*'Doğrudan Alım İşlemleri'!$H$2:$H$1944)/D107,"")</f>
        <v/>
      </c>
      <c r="F107" s="13">
        <f>IFERROR(SUMPRODUCT((YEAR('Doğrudan Alım İşlemleri'!$B$2:$B$1944)=$A$107)*(MONTH('Doğrudan Alım İşlemleri'!$B$2:$B$1944)=$B$107)*ISNUMBER('Doğrudan Alım İşlemleri'!$N$2:$N$1944)*'Doğrudan Alım İşlemleri'!$N$2:$N$1944*('Doğrudan Alım İşlemleri'!$H$2:$H$1944&lt;&gt;"")*'Doğrudan Alım İşlemleri'!$H$2:$H$1944)/D107,"")</f>
        <v/>
      </c>
    </row>
    <row r="108">
      <c r="A108" s="15" t="n">
        <v>2022</v>
      </c>
      <c r="B108" s="22" t="n">
        <v>12</v>
      </c>
      <c r="C108" s="8">
        <f>SUMPRODUCT((YEAR('Doğrudan Alım İşlemleri'!$B$2:$B$1944)=$A$108)*(MONTH('Doğrudan Alım İşlemleri'!$B$2:$B$1944)=$B$108)*1)</f>
        <v/>
      </c>
      <c r="D108" s="8">
        <f>SUMPRODUCT((YEAR('Doğrudan Alım İşlemleri'!$B$2:$B$1944)=$A$108)*(MONTH('Doğrudan Alım İşlemleri'!$B$2:$B$1944)=$B$108)*('Doğrudan Alım İşlemleri'!$H$2:$H$1944&lt;&gt;"")*'Doğrudan Alım İşlemleri'!$H$2:$H$1944)</f>
        <v/>
      </c>
      <c r="E108" s="24">
        <f>IFERROR(SUMPRODUCT((YEAR('Doğrudan Alım İşlemleri'!$B$2:$B$1944)=$A$108)*(MONTH('Doğrudan Alım İşlemleri'!$B$2:$B$1944)=$B$108)*ISNUMBER('Doğrudan Alım İşlemleri'!$K$2:$K$1944)*'Doğrudan Alım İşlemleri'!$K$2:$K$1944*('Doğrudan Alım İşlemleri'!$H$2:$H$1944&lt;&gt;"")*'Doğrudan Alım İşlemleri'!$H$2:$H$1944)/D108,"")</f>
        <v/>
      </c>
      <c r="F108" s="24">
        <f>IFERROR(SUMPRODUCT((YEAR('Doğrudan Alım İşlemleri'!$B$2:$B$1944)=$A$108)*(MONTH('Doğrudan Alım İşlemleri'!$B$2:$B$1944)=$B$108)*ISNUMBER('Doğrudan Alım İşlemleri'!$N$2:$N$1944)*'Doğrudan Alım İşlemleri'!$N$2:$N$1944*('Doğrudan Alım İşlemleri'!$H$2:$H$1944&lt;&gt;"")*'Doğrudan Alım İşlemleri'!$H$2:$H$1944)/D108,"")</f>
        <v/>
      </c>
    </row>
    <row r="109">
      <c r="A109" s="16" t="n">
        <v>2023</v>
      </c>
      <c r="B109" s="25" t="n">
        <v>1</v>
      </c>
      <c r="C109" s="11">
        <f>SUMPRODUCT((YEAR('Doğrudan Alım İşlemleri'!$B$2:$B$1944)=$A$109)*(MONTH('Doğrudan Alım İşlemleri'!$B$2:$B$1944)=$B$109)*1)</f>
        <v/>
      </c>
      <c r="D109" s="11">
        <f>SUMPRODUCT((YEAR('Doğrudan Alım İşlemleri'!$B$2:$B$1944)=$A$109)*(MONTH('Doğrudan Alım İşlemleri'!$B$2:$B$1944)=$B$109)*('Doğrudan Alım İşlemleri'!$H$2:$H$1944&lt;&gt;"")*'Doğrudan Alım İşlemleri'!$H$2:$H$1944)</f>
        <v/>
      </c>
      <c r="E109" s="13">
        <f>IFERROR(SUMPRODUCT((YEAR('Doğrudan Alım İşlemleri'!$B$2:$B$1944)=$A$109)*(MONTH('Doğrudan Alım İşlemleri'!$B$2:$B$1944)=$B$109)*ISNUMBER('Doğrudan Alım İşlemleri'!$K$2:$K$1944)*'Doğrudan Alım İşlemleri'!$K$2:$K$1944*('Doğrudan Alım İşlemleri'!$H$2:$H$1944&lt;&gt;"")*'Doğrudan Alım İşlemleri'!$H$2:$H$1944)/D109,"")</f>
        <v/>
      </c>
      <c r="F109" s="13">
        <f>IFERROR(SUMPRODUCT((YEAR('Doğrudan Alım İşlemleri'!$B$2:$B$1944)=$A$109)*(MONTH('Doğrudan Alım İşlemleri'!$B$2:$B$1944)=$B$109)*ISNUMBER('Doğrudan Alım İşlemleri'!$N$2:$N$1944)*'Doğrudan Alım İşlemleri'!$N$2:$N$1944*('Doğrudan Alım İşlemleri'!$H$2:$H$1944&lt;&gt;"")*'Doğrudan Alım İşlemleri'!$H$2:$H$1944)/D109,"")</f>
        <v/>
      </c>
    </row>
    <row r="110">
      <c r="A110" s="15" t="n">
        <v>2023</v>
      </c>
      <c r="B110" s="22" t="n">
        <v>2</v>
      </c>
      <c r="C110" s="8">
        <f>SUMPRODUCT((YEAR('Doğrudan Alım İşlemleri'!$B$2:$B$1944)=$A$110)*(MONTH('Doğrudan Alım İşlemleri'!$B$2:$B$1944)=$B$110)*1)</f>
        <v/>
      </c>
      <c r="D110" s="8">
        <f>SUMPRODUCT((YEAR('Doğrudan Alım İşlemleri'!$B$2:$B$1944)=$A$110)*(MONTH('Doğrudan Alım İşlemleri'!$B$2:$B$1944)=$B$110)*('Doğrudan Alım İşlemleri'!$H$2:$H$1944&lt;&gt;"")*'Doğrudan Alım İşlemleri'!$H$2:$H$1944)</f>
        <v/>
      </c>
      <c r="E110" s="24">
        <f>IFERROR(SUMPRODUCT((YEAR('Doğrudan Alım İşlemleri'!$B$2:$B$1944)=$A$110)*(MONTH('Doğrudan Alım İşlemleri'!$B$2:$B$1944)=$B$110)*ISNUMBER('Doğrudan Alım İşlemleri'!$K$2:$K$1944)*'Doğrudan Alım İşlemleri'!$K$2:$K$1944*('Doğrudan Alım İşlemleri'!$H$2:$H$1944&lt;&gt;"")*'Doğrudan Alım İşlemleri'!$H$2:$H$1944)/D110,"")</f>
        <v/>
      </c>
      <c r="F110" s="24">
        <f>IFERROR(SUMPRODUCT((YEAR('Doğrudan Alım İşlemleri'!$B$2:$B$1944)=$A$110)*(MONTH('Doğrudan Alım İşlemleri'!$B$2:$B$1944)=$B$110)*ISNUMBER('Doğrudan Alım İşlemleri'!$N$2:$N$1944)*'Doğrudan Alım İşlemleri'!$N$2:$N$1944*('Doğrudan Alım İşlemleri'!$H$2:$H$1944&lt;&gt;"")*'Doğrudan Alım İşlemleri'!$H$2:$H$1944)/D110,"")</f>
        <v/>
      </c>
    </row>
    <row r="111">
      <c r="A111" s="16" t="n">
        <v>2023</v>
      </c>
      <c r="B111" s="25" t="n">
        <v>3</v>
      </c>
      <c r="C111" s="11">
        <f>SUMPRODUCT((YEAR('Doğrudan Alım İşlemleri'!$B$2:$B$1944)=$A$111)*(MONTH('Doğrudan Alım İşlemleri'!$B$2:$B$1944)=$B$111)*1)</f>
        <v/>
      </c>
      <c r="D111" s="11">
        <f>SUMPRODUCT((YEAR('Doğrudan Alım İşlemleri'!$B$2:$B$1944)=$A$111)*(MONTH('Doğrudan Alım İşlemleri'!$B$2:$B$1944)=$B$111)*('Doğrudan Alım İşlemleri'!$H$2:$H$1944&lt;&gt;"")*'Doğrudan Alım İşlemleri'!$H$2:$H$1944)</f>
        <v/>
      </c>
      <c r="E111" s="13">
        <f>IFERROR(SUMPRODUCT((YEAR('Doğrudan Alım İşlemleri'!$B$2:$B$1944)=$A$111)*(MONTH('Doğrudan Alım İşlemleri'!$B$2:$B$1944)=$B$111)*ISNUMBER('Doğrudan Alım İşlemleri'!$K$2:$K$1944)*'Doğrudan Alım İşlemleri'!$K$2:$K$1944*('Doğrudan Alım İşlemleri'!$H$2:$H$1944&lt;&gt;"")*'Doğrudan Alım İşlemleri'!$H$2:$H$1944)/D111,"")</f>
        <v/>
      </c>
      <c r="F111" s="13">
        <f>IFERROR(SUMPRODUCT((YEAR('Doğrudan Alım İşlemleri'!$B$2:$B$1944)=$A$111)*(MONTH('Doğrudan Alım İşlemleri'!$B$2:$B$1944)=$B$111)*ISNUMBER('Doğrudan Alım İşlemleri'!$N$2:$N$1944)*'Doğrudan Alım İşlemleri'!$N$2:$N$1944*('Doğrudan Alım İşlemleri'!$H$2:$H$1944&lt;&gt;"")*'Doğrudan Alım İşlemleri'!$H$2:$H$1944)/D111,"")</f>
        <v/>
      </c>
    </row>
    <row r="112">
      <c r="A112" s="15" t="n">
        <v>2023</v>
      </c>
      <c r="B112" s="22" t="n">
        <v>4</v>
      </c>
      <c r="C112" s="8">
        <f>SUMPRODUCT((YEAR('Doğrudan Alım İşlemleri'!$B$2:$B$1944)=$A$112)*(MONTH('Doğrudan Alım İşlemleri'!$B$2:$B$1944)=$B$112)*1)</f>
        <v/>
      </c>
      <c r="D112" s="8">
        <f>SUMPRODUCT((YEAR('Doğrudan Alım İşlemleri'!$B$2:$B$1944)=$A$112)*(MONTH('Doğrudan Alım İşlemleri'!$B$2:$B$1944)=$B$112)*('Doğrudan Alım İşlemleri'!$H$2:$H$1944&lt;&gt;"")*'Doğrudan Alım İşlemleri'!$H$2:$H$1944)</f>
        <v/>
      </c>
      <c r="E112" s="24">
        <f>IFERROR(SUMPRODUCT((YEAR('Doğrudan Alım İşlemleri'!$B$2:$B$1944)=$A$112)*(MONTH('Doğrudan Alım İşlemleri'!$B$2:$B$1944)=$B$112)*ISNUMBER('Doğrudan Alım İşlemleri'!$K$2:$K$1944)*'Doğrudan Alım İşlemleri'!$K$2:$K$1944*('Doğrudan Alım İşlemleri'!$H$2:$H$1944&lt;&gt;"")*'Doğrudan Alım İşlemleri'!$H$2:$H$1944)/D112,"")</f>
        <v/>
      </c>
      <c r="F112" s="24">
        <f>IFERROR(SUMPRODUCT((YEAR('Doğrudan Alım İşlemleri'!$B$2:$B$1944)=$A$112)*(MONTH('Doğrudan Alım İşlemleri'!$B$2:$B$1944)=$B$112)*ISNUMBER('Doğrudan Alım İşlemleri'!$N$2:$N$1944)*'Doğrudan Alım İşlemleri'!$N$2:$N$1944*('Doğrudan Alım İşlemleri'!$H$2:$H$1944&lt;&gt;"")*'Doğrudan Alım İşlemleri'!$H$2:$H$1944)/D112,"")</f>
        <v/>
      </c>
    </row>
    <row r="113">
      <c r="A113" s="16" t="n">
        <v>2023</v>
      </c>
      <c r="B113" s="25" t="n">
        <v>5</v>
      </c>
      <c r="C113" s="11">
        <f>SUMPRODUCT((YEAR('Doğrudan Alım İşlemleri'!$B$2:$B$1944)=$A$113)*(MONTH('Doğrudan Alım İşlemleri'!$B$2:$B$1944)=$B$113)*1)</f>
        <v/>
      </c>
      <c r="D113" s="11">
        <f>SUMPRODUCT((YEAR('Doğrudan Alım İşlemleri'!$B$2:$B$1944)=$A$113)*(MONTH('Doğrudan Alım İşlemleri'!$B$2:$B$1944)=$B$113)*('Doğrudan Alım İşlemleri'!$H$2:$H$1944&lt;&gt;"")*'Doğrudan Alım İşlemleri'!$H$2:$H$1944)</f>
        <v/>
      </c>
      <c r="E113" s="13">
        <f>IFERROR(SUMPRODUCT((YEAR('Doğrudan Alım İşlemleri'!$B$2:$B$1944)=$A$113)*(MONTH('Doğrudan Alım İşlemleri'!$B$2:$B$1944)=$B$113)*ISNUMBER('Doğrudan Alım İşlemleri'!$K$2:$K$1944)*'Doğrudan Alım İşlemleri'!$K$2:$K$1944*('Doğrudan Alım İşlemleri'!$H$2:$H$1944&lt;&gt;"")*'Doğrudan Alım İşlemleri'!$H$2:$H$1944)/D113,"")</f>
        <v/>
      </c>
      <c r="F113" s="13">
        <f>IFERROR(SUMPRODUCT((YEAR('Doğrudan Alım İşlemleri'!$B$2:$B$1944)=$A$113)*(MONTH('Doğrudan Alım İşlemleri'!$B$2:$B$1944)=$B$113)*ISNUMBER('Doğrudan Alım İşlemleri'!$N$2:$N$1944)*'Doğrudan Alım İşlemleri'!$N$2:$N$1944*('Doğrudan Alım İşlemleri'!$H$2:$H$1944&lt;&gt;"")*'Doğrudan Alım İşlemleri'!$H$2:$H$1944)/D113,"")</f>
        <v/>
      </c>
    </row>
    <row r="114">
      <c r="A114" s="15" t="n">
        <v>2023</v>
      </c>
      <c r="B114" s="22" t="n">
        <v>6</v>
      </c>
      <c r="C114" s="8">
        <f>SUMPRODUCT((YEAR('Doğrudan Alım İşlemleri'!$B$2:$B$1944)=$A$114)*(MONTH('Doğrudan Alım İşlemleri'!$B$2:$B$1944)=$B$114)*1)</f>
        <v/>
      </c>
      <c r="D114" s="8">
        <f>SUMPRODUCT((YEAR('Doğrudan Alım İşlemleri'!$B$2:$B$1944)=$A$114)*(MONTH('Doğrudan Alım İşlemleri'!$B$2:$B$1944)=$B$114)*('Doğrudan Alım İşlemleri'!$H$2:$H$1944&lt;&gt;"")*'Doğrudan Alım İşlemleri'!$H$2:$H$1944)</f>
        <v/>
      </c>
      <c r="E114" s="24">
        <f>IFERROR(SUMPRODUCT((YEAR('Doğrudan Alım İşlemleri'!$B$2:$B$1944)=$A$114)*(MONTH('Doğrudan Alım İşlemleri'!$B$2:$B$1944)=$B$114)*ISNUMBER('Doğrudan Alım İşlemleri'!$K$2:$K$1944)*'Doğrudan Alım İşlemleri'!$K$2:$K$1944*('Doğrudan Alım İşlemleri'!$H$2:$H$1944&lt;&gt;"")*'Doğrudan Alım İşlemleri'!$H$2:$H$1944)/D114,"")</f>
        <v/>
      </c>
      <c r="F114" s="24">
        <f>IFERROR(SUMPRODUCT((YEAR('Doğrudan Alım İşlemleri'!$B$2:$B$1944)=$A$114)*(MONTH('Doğrudan Alım İşlemleri'!$B$2:$B$1944)=$B$114)*ISNUMBER('Doğrudan Alım İşlemleri'!$N$2:$N$1944)*'Doğrudan Alım İşlemleri'!$N$2:$N$1944*('Doğrudan Alım İşlemleri'!$H$2:$H$1944&lt;&gt;"")*'Doğrudan Alım İşlemleri'!$H$2:$H$1944)/D114,"")</f>
        <v/>
      </c>
    </row>
    <row r="115">
      <c r="A115" s="16" t="n">
        <v>2024</v>
      </c>
      <c r="B115" s="25" t="n">
        <v>5</v>
      </c>
      <c r="C115" s="11">
        <f>SUMPRODUCT((YEAR('Doğrudan Alım İşlemleri'!$B$2:$B$1944)=$A$115)*(MONTH('Doğrudan Alım İşlemleri'!$B$2:$B$1944)=$B$115)*1)</f>
        <v/>
      </c>
      <c r="D115" s="11">
        <f>SUMPRODUCT((YEAR('Doğrudan Alım İşlemleri'!$B$2:$B$1944)=$A$115)*(MONTH('Doğrudan Alım İşlemleri'!$B$2:$B$1944)=$B$115)*('Doğrudan Alım İşlemleri'!$H$2:$H$1944&lt;&gt;"")*'Doğrudan Alım İşlemleri'!$H$2:$H$1944)</f>
        <v/>
      </c>
      <c r="E115" s="13">
        <f>IFERROR(SUMPRODUCT((YEAR('Doğrudan Alım İşlemleri'!$B$2:$B$1944)=$A$115)*(MONTH('Doğrudan Alım İşlemleri'!$B$2:$B$1944)=$B$115)*ISNUMBER('Doğrudan Alım İşlemleri'!$K$2:$K$1944)*'Doğrudan Alım İşlemleri'!$K$2:$K$1944*('Doğrudan Alım İşlemleri'!$H$2:$H$1944&lt;&gt;"")*'Doğrudan Alım İşlemleri'!$H$2:$H$1944)/D115,"")</f>
        <v/>
      </c>
      <c r="F115" s="13">
        <f>IFERROR(SUMPRODUCT((YEAR('Doğrudan Alım İşlemleri'!$B$2:$B$1944)=$A$115)*(MONTH('Doğrudan Alım İşlemleri'!$B$2:$B$1944)=$B$115)*ISNUMBER('Doğrudan Alım İşlemleri'!$N$2:$N$1944)*'Doğrudan Alım İşlemleri'!$N$2:$N$1944*('Doğrudan Alım İşlemleri'!$H$2:$H$1944&lt;&gt;"")*'Doğrudan Alım İşlemleri'!$H$2:$H$1944)/D115,"")</f>
        <v/>
      </c>
    </row>
    <row r="116">
      <c r="A116" s="15" t="n">
        <v>2024</v>
      </c>
      <c r="B116" s="22" t="n">
        <v>6</v>
      </c>
      <c r="C116" s="8">
        <f>SUMPRODUCT((YEAR('Doğrudan Alım İşlemleri'!$B$2:$B$1944)=$A$116)*(MONTH('Doğrudan Alım İşlemleri'!$B$2:$B$1944)=$B$116)*1)</f>
        <v/>
      </c>
      <c r="D116" s="8">
        <f>SUMPRODUCT((YEAR('Doğrudan Alım İşlemleri'!$B$2:$B$1944)=$A$116)*(MONTH('Doğrudan Alım İşlemleri'!$B$2:$B$1944)=$B$116)*('Doğrudan Alım İşlemleri'!$H$2:$H$1944&lt;&gt;"")*'Doğrudan Alım İşlemleri'!$H$2:$H$1944)</f>
        <v/>
      </c>
      <c r="E116" s="24">
        <f>IFERROR(SUMPRODUCT((YEAR('Doğrudan Alım İşlemleri'!$B$2:$B$1944)=$A$116)*(MONTH('Doğrudan Alım İşlemleri'!$B$2:$B$1944)=$B$116)*ISNUMBER('Doğrudan Alım İşlemleri'!$K$2:$K$1944)*'Doğrudan Alım İşlemleri'!$K$2:$K$1944*('Doğrudan Alım İşlemleri'!$H$2:$H$1944&lt;&gt;"")*'Doğrudan Alım İşlemleri'!$H$2:$H$1944)/D116,"")</f>
        <v/>
      </c>
      <c r="F116" s="24">
        <f>IFERROR(SUMPRODUCT((YEAR('Doğrudan Alım İşlemleri'!$B$2:$B$1944)=$A$116)*(MONTH('Doğrudan Alım İşlemleri'!$B$2:$B$1944)=$B$116)*ISNUMBER('Doğrudan Alım İşlemleri'!$N$2:$N$1944)*'Doğrudan Alım İşlemleri'!$N$2:$N$1944*('Doğrudan Alım İşlemleri'!$H$2:$H$1944&lt;&gt;"")*'Doğrudan Alım İşlemleri'!$H$2:$H$1944)/D116,"")</f>
        <v/>
      </c>
    </row>
    <row r="117">
      <c r="A117" s="16" t="n">
        <v>2024</v>
      </c>
      <c r="B117" s="25" t="n">
        <v>7</v>
      </c>
      <c r="C117" s="11">
        <f>SUMPRODUCT((YEAR('Doğrudan Alım İşlemleri'!$B$2:$B$1944)=$A$117)*(MONTH('Doğrudan Alım İşlemleri'!$B$2:$B$1944)=$B$117)*1)</f>
        <v/>
      </c>
      <c r="D117" s="11">
        <f>SUMPRODUCT((YEAR('Doğrudan Alım İşlemleri'!$B$2:$B$1944)=$A$117)*(MONTH('Doğrudan Alım İşlemleri'!$B$2:$B$1944)=$B$117)*('Doğrudan Alım İşlemleri'!$H$2:$H$1944&lt;&gt;"")*'Doğrudan Alım İşlemleri'!$H$2:$H$1944)</f>
        <v/>
      </c>
      <c r="E117" s="13">
        <f>IFERROR(SUMPRODUCT((YEAR('Doğrudan Alım İşlemleri'!$B$2:$B$1944)=$A$117)*(MONTH('Doğrudan Alım İşlemleri'!$B$2:$B$1944)=$B$117)*ISNUMBER('Doğrudan Alım İşlemleri'!$K$2:$K$1944)*'Doğrudan Alım İşlemleri'!$K$2:$K$1944*('Doğrudan Alım İşlemleri'!$H$2:$H$1944&lt;&gt;"")*'Doğrudan Alım İşlemleri'!$H$2:$H$1944)/D117,"")</f>
        <v/>
      </c>
      <c r="F117" s="13">
        <f>IFERROR(SUMPRODUCT((YEAR('Doğrudan Alım İşlemleri'!$B$2:$B$1944)=$A$117)*(MONTH('Doğrudan Alım İşlemleri'!$B$2:$B$1944)=$B$117)*ISNUMBER('Doğrudan Alım İşlemleri'!$N$2:$N$1944)*'Doğrudan Alım İşlemleri'!$N$2:$N$1944*('Doğrudan Alım İşlemleri'!$H$2:$H$1944&lt;&gt;"")*'Doğrudan Alım İşlemleri'!$H$2:$H$1944)/D117,"")</f>
        <v/>
      </c>
    </row>
    <row r="118">
      <c r="A118" s="15" t="n">
        <v>2024</v>
      </c>
      <c r="B118" s="22" t="n">
        <v>10</v>
      </c>
      <c r="C118" s="8">
        <f>SUMPRODUCT((YEAR('Doğrudan Alım İşlemleri'!$B$2:$B$1944)=$A$118)*(MONTH('Doğrudan Alım İşlemleri'!$B$2:$B$1944)=$B$118)*1)</f>
        <v/>
      </c>
      <c r="D118" s="8">
        <f>SUMPRODUCT((YEAR('Doğrudan Alım İşlemleri'!$B$2:$B$1944)=$A$118)*(MONTH('Doğrudan Alım İşlemleri'!$B$2:$B$1944)=$B$118)*('Doğrudan Alım İşlemleri'!$H$2:$H$1944&lt;&gt;"")*'Doğrudan Alım İşlemleri'!$H$2:$H$1944)</f>
        <v/>
      </c>
      <c r="E118" s="24">
        <f>IFERROR(SUMPRODUCT((YEAR('Doğrudan Alım İşlemleri'!$B$2:$B$1944)=$A$118)*(MONTH('Doğrudan Alım İşlemleri'!$B$2:$B$1944)=$B$118)*ISNUMBER('Doğrudan Alım İşlemleri'!$K$2:$K$1944)*'Doğrudan Alım İşlemleri'!$K$2:$K$1944*('Doğrudan Alım İşlemleri'!$H$2:$H$1944&lt;&gt;"")*'Doğrudan Alım İşlemleri'!$H$2:$H$1944)/D118,"")</f>
        <v/>
      </c>
      <c r="F118" s="24">
        <f>IFERROR(SUMPRODUCT((YEAR('Doğrudan Alım İşlemleri'!$B$2:$B$1944)=$A$118)*(MONTH('Doğrudan Alım İşlemleri'!$B$2:$B$1944)=$B$118)*ISNUMBER('Doğrudan Alım İşlemleri'!$N$2:$N$1944)*'Doğrudan Alım İşlemleri'!$N$2:$N$1944*('Doğrudan Alım İşlemleri'!$H$2:$H$1944&lt;&gt;"")*'Doğrudan Alım İşlemleri'!$H$2:$H$1944)/D118,"")</f>
        <v/>
      </c>
    </row>
    <row r="119">
      <c r="A119" s="16" t="n">
        <v>2025</v>
      </c>
      <c r="B119" s="25" t="n">
        <v>1</v>
      </c>
      <c r="C119" s="11">
        <f>SUMPRODUCT((YEAR('Doğrudan Alım İşlemleri'!$B$2:$B$1944)=$A$119)*(MONTH('Doğrudan Alım İşlemleri'!$B$2:$B$1944)=$B$119)*1)</f>
        <v/>
      </c>
      <c r="D119" s="11">
        <f>SUMPRODUCT((YEAR('Doğrudan Alım İşlemleri'!$B$2:$B$1944)=$A$119)*(MONTH('Doğrudan Alım İşlemleri'!$B$2:$B$1944)=$B$119)*('Doğrudan Alım İşlemleri'!$H$2:$H$1944&lt;&gt;"")*'Doğrudan Alım İşlemleri'!$H$2:$H$1944)</f>
        <v/>
      </c>
      <c r="E119" s="13">
        <f>IFERROR(SUMPRODUCT((YEAR('Doğrudan Alım İşlemleri'!$B$2:$B$1944)=$A$119)*(MONTH('Doğrudan Alım İşlemleri'!$B$2:$B$1944)=$B$119)*ISNUMBER('Doğrudan Alım İşlemleri'!$K$2:$K$1944)*'Doğrudan Alım İşlemleri'!$K$2:$K$1944*('Doğrudan Alım İşlemleri'!$H$2:$H$1944&lt;&gt;"")*'Doğrudan Alım İşlemleri'!$H$2:$H$1944)/D119,"")</f>
        <v/>
      </c>
      <c r="F119" s="13">
        <f>IFERROR(SUMPRODUCT((YEAR('Doğrudan Alım İşlemleri'!$B$2:$B$1944)=$A$119)*(MONTH('Doğrudan Alım İşlemleri'!$B$2:$B$1944)=$B$119)*ISNUMBER('Doğrudan Alım İşlemleri'!$N$2:$N$1944)*'Doğrudan Alım İşlemleri'!$N$2:$N$1944*('Doğrudan Alım İşlemleri'!$H$2:$H$1944&lt;&gt;"")*'Doğrudan Alım İşlemleri'!$H$2:$H$1944)/D119,"")</f>
        <v/>
      </c>
    </row>
    <row r="120">
      <c r="A120" s="15" t="n">
        <v>2025</v>
      </c>
      <c r="B120" s="22" t="n">
        <v>2</v>
      </c>
      <c r="C120" s="8">
        <f>SUMPRODUCT((YEAR('Doğrudan Alım İşlemleri'!$B$2:$B$1944)=$A$120)*(MONTH('Doğrudan Alım İşlemleri'!$B$2:$B$1944)=$B$120)*1)</f>
        <v/>
      </c>
      <c r="D120" s="8">
        <f>SUMPRODUCT((YEAR('Doğrudan Alım İşlemleri'!$B$2:$B$1944)=$A$120)*(MONTH('Doğrudan Alım İşlemleri'!$B$2:$B$1944)=$B$120)*('Doğrudan Alım İşlemleri'!$H$2:$H$1944&lt;&gt;"")*'Doğrudan Alım İşlemleri'!$H$2:$H$1944)</f>
        <v/>
      </c>
      <c r="E120" s="24">
        <f>IFERROR(SUMPRODUCT((YEAR('Doğrudan Alım İşlemleri'!$B$2:$B$1944)=$A$120)*(MONTH('Doğrudan Alım İşlemleri'!$B$2:$B$1944)=$B$120)*ISNUMBER('Doğrudan Alım İşlemleri'!$K$2:$K$1944)*'Doğrudan Alım İşlemleri'!$K$2:$K$1944*('Doğrudan Alım İşlemleri'!$H$2:$H$1944&lt;&gt;"")*'Doğrudan Alım İşlemleri'!$H$2:$H$1944)/D120,"")</f>
        <v/>
      </c>
      <c r="F120" s="24">
        <f>IFERROR(SUMPRODUCT((YEAR('Doğrudan Alım İşlemleri'!$B$2:$B$1944)=$A$120)*(MONTH('Doğrudan Alım İşlemleri'!$B$2:$B$1944)=$B$120)*ISNUMBER('Doğrudan Alım İşlemleri'!$N$2:$N$1944)*'Doğrudan Alım İşlemleri'!$N$2:$N$1944*('Doğrudan Alım İşlemleri'!$H$2:$H$1944&lt;&gt;"")*'Doğrudan Alım İşlemleri'!$H$2:$H$1944)/D120,"")</f>
        <v/>
      </c>
    </row>
    <row r="121">
      <c r="A121" s="16" t="n">
        <v>2025</v>
      </c>
      <c r="B121" s="25" t="n">
        <v>3</v>
      </c>
      <c r="C121" s="11">
        <f>SUMPRODUCT((YEAR('Doğrudan Alım İşlemleri'!$B$2:$B$1944)=$A$121)*(MONTH('Doğrudan Alım İşlemleri'!$B$2:$B$1944)=$B$121)*1)</f>
        <v/>
      </c>
      <c r="D121" s="11">
        <f>SUMPRODUCT((YEAR('Doğrudan Alım İşlemleri'!$B$2:$B$1944)=$A$121)*(MONTH('Doğrudan Alım İşlemleri'!$B$2:$B$1944)=$B$121)*('Doğrudan Alım İşlemleri'!$H$2:$H$1944&lt;&gt;"")*'Doğrudan Alım İşlemleri'!$H$2:$H$1944)</f>
        <v/>
      </c>
      <c r="E121" s="13">
        <f>IFERROR(SUMPRODUCT((YEAR('Doğrudan Alım İşlemleri'!$B$2:$B$1944)=$A$121)*(MONTH('Doğrudan Alım İşlemleri'!$B$2:$B$1944)=$B$121)*ISNUMBER('Doğrudan Alım İşlemleri'!$K$2:$K$1944)*'Doğrudan Alım İşlemleri'!$K$2:$K$1944*('Doğrudan Alım İşlemleri'!$H$2:$H$1944&lt;&gt;"")*'Doğrudan Alım İşlemleri'!$H$2:$H$1944)/D121,"")</f>
        <v/>
      </c>
      <c r="F121" s="13">
        <f>IFERROR(SUMPRODUCT((YEAR('Doğrudan Alım İşlemleri'!$B$2:$B$1944)=$A$121)*(MONTH('Doğrudan Alım İşlemleri'!$B$2:$B$1944)=$B$121)*ISNUMBER('Doğrudan Alım İşlemleri'!$N$2:$N$1944)*'Doğrudan Alım İşlemleri'!$N$2:$N$1944*('Doğrudan Alım İşlemleri'!$H$2:$H$1944&lt;&gt;"")*'Doğrudan Alım İşlemleri'!$H$2:$H$1944)/D121,"")</f>
        <v/>
      </c>
    </row>
    <row r="122">
      <c r="A122" s="15" t="n">
        <v>2025</v>
      </c>
      <c r="B122" s="22" t="n">
        <v>4</v>
      </c>
      <c r="C122" s="8">
        <f>SUMPRODUCT((YEAR('Doğrudan Alım İşlemleri'!$B$2:$B$1944)=$A$122)*(MONTH('Doğrudan Alım İşlemleri'!$B$2:$B$1944)=$B$122)*1)</f>
        <v/>
      </c>
      <c r="D122" s="8">
        <f>SUMPRODUCT((YEAR('Doğrudan Alım İşlemleri'!$B$2:$B$1944)=$A$122)*(MONTH('Doğrudan Alım İşlemleri'!$B$2:$B$1944)=$B$122)*('Doğrudan Alım İşlemleri'!$H$2:$H$1944&lt;&gt;"")*'Doğrudan Alım İşlemleri'!$H$2:$H$1944)</f>
        <v/>
      </c>
      <c r="E122" s="24">
        <f>IFERROR(SUMPRODUCT((YEAR('Doğrudan Alım İşlemleri'!$B$2:$B$1944)=$A$122)*(MONTH('Doğrudan Alım İşlemleri'!$B$2:$B$1944)=$B$122)*ISNUMBER('Doğrudan Alım İşlemleri'!$K$2:$K$1944)*'Doğrudan Alım İşlemleri'!$K$2:$K$1944*('Doğrudan Alım İşlemleri'!$H$2:$H$1944&lt;&gt;"")*'Doğrudan Alım İşlemleri'!$H$2:$H$1944)/D122,"")</f>
        <v/>
      </c>
      <c r="F122" s="24">
        <f>IFERROR(SUMPRODUCT((YEAR('Doğrudan Alım İşlemleri'!$B$2:$B$1944)=$A$122)*(MONTH('Doğrudan Alım İşlemleri'!$B$2:$B$1944)=$B$122)*ISNUMBER('Doğrudan Alım İşlemleri'!$N$2:$N$1944)*'Doğrudan Alım İşlemleri'!$N$2:$N$1944*('Doğrudan Alım İşlemleri'!$H$2:$H$1944&lt;&gt;"")*'Doğrudan Alım İşlemleri'!$H$2:$H$1944)/D122,"")</f>
        <v/>
      </c>
    </row>
    <row r="123">
      <c r="A123" s="16" t="n">
        <v>2026</v>
      </c>
      <c r="B123" s="25" t="n">
        <v>1</v>
      </c>
      <c r="C123" s="11">
        <f>SUMPRODUCT((YEAR('Doğrudan Alım İşlemleri'!$B$2:$B$1944)=$A$123)*(MONTH('Doğrudan Alım İşlemleri'!$B$2:$B$1944)=$B$123)*1)</f>
        <v/>
      </c>
      <c r="D123" s="11">
        <f>SUMPRODUCT((YEAR('Doğrudan Alım İşlemleri'!$B$2:$B$1944)=$A$123)*(MONTH('Doğrudan Alım İşlemleri'!$B$2:$B$1944)=$B$123)*('Doğrudan Alım İşlemleri'!$H$2:$H$1944&lt;&gt;"")*'Doğrudan Alım İşlemleri'!$H$2:$H$1944)</f>
        <v/>
      </c>
      <c r="E123" s="13">
        <f>IFERROR(SUMPRODUCT((YEAR('Doğrudan Alım İşlemleri'!$B$2:$B$1944)=$A$123)*(MONTH('Doğrudan Alım İşlemleri'!$B$2:$B$1944)=$B$123)*ISNUMBER('Doğrudan Alım İşlemleri'!$K$2:$K$1944)*'Doğrudan Alım İşlemleri'!$K$2:$K$1944*('Doğrudan Alım İşlemleri'!$H$2:$H$1944&lt;&gt;"")*'Doğrudan Alım İşlemleri'!$H$2:$H$1944)/D123,"")</f>
        <v/>
      </c>
      <c r="F123" s="13">
        <f>IFERROR(SUMPRODUCT((YEAR('Doğrudan Alım İşlemleri'!$B$2:$B$1944)=$A$123)*(MONTH('Doğrudan Alım İşlemleri'!$B$2:$B$1944)=$B$123)*ISNUMBER('Doğrudan Alım İşlemleri'!$N$2:$N$1944)*'Doğrudan Alım İşlemleri'!$N$2:$N$1944*('Doğrudan Alım İşlemleri'!$H$2:$H$1944&lt;&gt;"")*'Doğrudan Alım İşlemleri'!$H$2:$H$1944)/D123,"")</f>
        <v/>
      </c>
    </row>
    <row r="124">
      <c r="A124" s="15" t="n">
        <v>2026</v>
      </c>
      <c r="B124" s="22" t="n">
        <v>2</v>
      </c>
      <c r="C124" s="8">
        <f>SUMPRODUCT((YEAR('Doğrudan Alım İşlemleri'!$B$2:$B$1944)=$A$124)*(MONTH('Doğrudan Alım İşlemleri'!$B$2:$B$1944)=$B$124)*1)</f>
        <v/>
      </c>
      <c r="D124" s="8">
        <f>SUMPRODUCT((YEAR('Doğrudan Alım İşlemleri'!$B$2:$B$1944)=$A$124)*(MONTH('Doğrudan Alım İşlemleri'!$B$2:$B$1944)=$B$124)*('Doğrudan Alım İşlemleri'!$H$2:$H$1944&lt;&gt;"")*'Doğrudan Alım İşlemleri'!$H$2:$H$1944)</f>
        <v/>
      </c>
      <c r="E124" s="24">
        <f>IFERROR(SUMPRODUCT((YEAR('Doğrudan Alım İşlemleri'!$B$2:$B$1944)=$A$124)*(MONTH('Doğrudan Alım İşlemleri'!$B$2:$B$1944)=$B$124)*ISNUMBER('Doğrudan Alım İşlemleri'!$K$2:$K$1944)*'Doğrudan Alım İşlemleri'!$K$2:$K$1944*('Doğrudan Alım İşlemleri'!$H$2:$H$1944&lt;&gt;"")*'Doğrudan Alım İşlemleri'!$H$2:$H$1944)/D124,"")</f>
        <v/>
      </c>
      <c r="F124" s="24">
        <f>IFERROR(SUMPRODUCT((YEAR('Doğrudan Alım İşlemleri'!$B$2:$B$1944)=$A$124)*(MONTH('Doğrudan Alım İşlemleri'!$B$2:$B$1944)=$B$124)*ISNUMBER('Doğrudan Alım İşlemleri'!$N$2:$N$1944)*'Doğrudan Alım İşlemleri'!$N$2:$N$1944*('Doğrudan Alım İşlemleri'!$H$2:$H$1944&lt;&gt;"")*'Doğrudan Alım İşlemleri'!$H$2:$H$1944)/D124,"")</f>
        <v/>
      </c>
    </row>
    <row r="125">
      <c r="A125" s="16" t="n">
        <v>2026</v>
      </c>
      <c r="B125" s="25" t="n">
        <v>3</v>
      </c>
      <c r="C125" s="11">
        <f>SUMPRODUCT((YEAR('Doğrudan Alım İşlemleri'!$B$2:$B$1944)=$A$125)*(MONTH('Doğrudan Alım İşlemleri'!$B$2:$B$1944)=$B$125)*1)</f>
        <v/>
      </c>
      <c r="D125" s="11">
        <f>SUMPRODUCT((YEAR('Doğrudan Alım İşlemleri'!$B$2:$B$1944)=$A$125)*(MONTH('Doğrudan Alım İşlemleri'!$B$2:$B$1944)=$B$125)*('Doğrudan Alım İşlemleri'!$H$2:$H$1944&lt;&gt;"")*'Doğrudan Alım İşlemleri'!$H$2:$H$1944)</f>
        <v/>
      </c>
      <c r="E125" s="13">
        <f>IFERROR(SUMPRODUCT((YEAR('Doğrudan Alım İşlemleri'!$B$2:$B$1944)=$A$125)*(MONTH('Doğrudan Alım İşlemleri'!$B$2:$B$1944)=$B$125)*ISNUMBER('Doğrudan Alım İşlemleri'!$K$2:$K$1944)*'Doğrudan Alım İşlemleri'!$K$2:$K$1944*('Doğrudan Alım İşlemleri'!$H$2:$H$1944&lt;&gt;"")*'Doğrudan Alım İşlemleri'!$H$2:$H$1944)/D125,"")</f>
        <v/>
      </c>
      <c r="F125" s="13">
        <f>IFERROR(SUMPRODUCT((YEAR('Doğrudan Alım İşlemleri'!$B$2:$B$1944)=$A$125)*(MONTH('Doğrudan Alım İşlemleri'!$B$2:$B$1944)=$B$125)*ISNUMBER('Doğrudan Alım İşlemleri'!$N$2:$N$1944)*'Doğrudan Alım İşlemleri'!$N$2:$N$1944*('Doğrudan Alım İşlemleri'!$H$2:$H$1944&lt;&gt;"")*'Doğrudan Alım İşlemleri'!$H$2:$H$1944)/D125,"")</f>
        <v/>
      </c>
    </row>
    <row r="126">
      <c r="A126" s="15" t="n">
        <v>2026</v>
      </c>
      <c r="B126" s="22" t="n">
        <v>4</v>
      </c>
      <c r="C126" s="8">
        <f>SUMPRODUCT((YEAR('Doğrudan Alım İşlemleri'!$B$2:$B$1944)=$A$126)*(MONTH('Doğrudan Alım İşlemleri'!$B$2:$B$1944)=$B$126)*1)</f>
        <v/>
      </c>
      <c r="D126" s="8">
        <f>SUMPRODUCT((YEAR('Doğrudan Alım İşlemleri'!$B$2:$B$1944)=$A$126)*(MONTH('Doğrudan Alım İşlemleri'!$B$2:$B$1944)=$B$126)*('Doğrudan Alım İşlemleri'!$H$2:$H$1944&lt;&gt;"")*'Doğrudan Alım İşlemleri'!$H$2:$H$1944)</f>
        <v/>
      </c>
      <c r="E126" s="24">
        <f>IFERROR(SUMPRODUCT((YEAR('Doğrudan Alım İşlemleri'!$B$2:$B$1944)=$A$126)*(MONTH('Doğrudan Alım İşlemleri'!$B$2:$B$1944)=$B$126)*ISNUMBER('Doğrudan Alım İşlemleri'!$K$2:$K$1944)*'Doğrudan Alım İşlemleri'!$K$2:$K$1944*('Doğrudan Alım İşlemleri'!$H$2:$H$1944&lt;&gt;"")*'Doğrudan Alım İşlemleri'!$H$2:$H$1944)/D126,"")</f>
        <v/>
      </c>
      <c r="F126" s="24">
        <f>IFERROR(SUMPRODUCT((YEAR('Doğrudan Alım İşlemleri'!$B$2:$B$1944)=$A$126)*(MONTH('Doğrudan Alım İşlemleri'!$B$2:$B$1944)=$B$126)*ISNUMBER('Doğrudan Alım İşlemleri'!$N$2:$N$1944)*'Doğrudan Alım İşlemleri'!$N$2:$N$1944*('Doğrudan Alım İşlemleri'!$H$2:$H$1944&lt;&gt;"")*'Doğrudan Alım İşlemleri'!$H$2:$H$1944)/D126,"")</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2026-06-08T19:09:36Z</dcterms:created>
  <dcterms:modified xmlns:dcterms="http://purl.org/dc/terms/" xmlns:xsi="http://www.w3.org/2001/XMLSchema-instance" xsi:type="dcterms:W3CDTF">2026-06-08T19:09:36Z</dcterms:modified>
</cp:coreProperties>
</file>