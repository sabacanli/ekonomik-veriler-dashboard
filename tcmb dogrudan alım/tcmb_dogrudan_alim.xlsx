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İşlemleri'!$A$1:$O$2030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İşlemleri'!$B$2:$B$2030)</f>
        <v/>
      </c>
      <c r="C3" s="4" t="n"/>
      <c r="D3" s="5" t="n"/>
    </row>
    <row r="5">
      <c r="A5" s="6" t="inlineStr">
        <is>
          <t>MEVCUT PORTFÖY (Vadesi Gelmemiş Kağıtlar)</t>
        </is>
      </c>
      <c r="B5" s="4" t="n"/>
      <c r="C5" s="4" t="n"/>
      <c r="D5" s="5" t="n"/>
    </row>
    <row r="7">
      <c r="A7" s="7" t="inlineStr">
        <is>
          <t>Toplam Stok (Nominal, Bin TL)</t>
        </is>
      </c>
      <c r="B7" s="8">
        <f>SUMPRODUCT(('Doğrudan Alım İşlemleri'!$E$2:$E$2030&gt;B$3)*('Doğrudan Alım İşlemleri'!$H$2:$H$2030&lt;&gt;"")*'Doğrudan Alım İşlemleri'!$H$2:$H$2030)</f>
        <v/>
      </c>
      <c r="C7" s="9" t="n"/>
      <c r="D7" s="10" t="n"/>
    </row>
    <row r="8">
      <c r="A8" s="2" t="inlineStr">
        <is>
          <t>Toplam Stok (Net, Bin TL)</t>
        </is>
      </c>
      <c r="B8" s="11">
        <f>SUMPRODUCT(('Doğrudan Alım İşlemleri'!$E$2:$E$2030&gt;B$3)*('Doğrudan Alım İşlemleri'!$I$2:$I$2030&lt;&gt;"")*'Doğrudan Alım İşlemleri'!$I$2:$I$2030)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İşlemleri'!$E$2:$E$2030&gt;B$3)*ISNUMBER('Doğrudan Alım İşlemleri'!$N$2:$N$2030)*'Doğrudan Alım İşlemleri'!$N$2:$N$2030*('Doğrudan Alım İşlemleri'!$H$2:$H$2030&lt;&gt;"")*'Doğrudan Alım İşlemleri'!$H$2:$H$2030)/SUMPRODUCT(('Doğrudan Alım İşlemleri'!$E$2:$E$2030&gt;B$3)*ISNUMBER('Doğrudan Alım İşlemleri'!$N$2:$N$2030)*('Doğrudan Alım İşlemleri'!$H$2:$H$2030&lt;&gt;"")*'Doğrudan Alım İşlemleri'!$H$2:$H$2030),"")</f>
        <v/>
      </c>
      <c r="C10" s="4" t="n"/>
      <c r="D10" s="5" t="n"/>
    </row>
    <row r="11">
      <c r="A11" s="7" t="inlineStr">
        <is>
          <t>Portföydeki İhale Sayısı</t>
        </is>
      </c>
      <c r="B11" s="8">
        <f>SUMPRODUCT(('Doğrudan Alım İşlemleri'!$E$2:$E$2030&gt;B$3)*1)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İşlemleri'!$B$2:$B$2030)=$A$16)*('Doğrudan Alım İşlemleri'!$H$2:$H$2030&lt;&gt;"")*'Doğrudan Alım İşlemleri'!$H$2:$H$2030)/1000000,0)</f>
        <v/>
      </c>
      <c r="C16" s="12">
        <f>IFERROR(SUMPRODUCT((YEAR('Doğrudan Alım İşlemleri'!$E$2:$E$2030)=$A$16)*('Doğrudan Alım İşlemleri'!$H$2:$H$2030&lt;&gt;"")*'Doğrudan Alım İşlemleri'!$H$2:$H$2030)/1000000,0)</f>
        <v/>
      </c>
      <c r="D16" s="12">
        <f>B16-C16</f>
        <v/>
      </c>
    </row>
    <row r="17">
      <c r="A17" s="16" t="n">
        <v>2025</v>
      </c>
      <c r="B17" s="17">
        <f>IFERROR(SUMPRODUCT((YEAR('Doğrudan Alım İşlemleri'!$B$2:$B$2030)=$A$17)*('Doğrudan Alım İşlemleri'!$H$2:$H$2030&lt;&gt;"")*'Doğrudan Alım İşlemleri'!$H$2:$H$2030)/1000000,0)</f>
        <v/>
      </c>
      <c r="C17" s="17">
        <f>IFERROR(SUMPRODUCT((YEAR('Doğrudan Alım İşlemleri'!$E$2:$E$2030)=$A$17)*('Doğrudan Alım İşlemleri'!$H$2:$H$2030&lt;&gt;"")*'Doğrudan Alım İşlemleri'!$H$2:$H$2030)/1000000,0)</f>
        <v/>
      </c>
      <c r="D17" s="17">
        <f>B17-C17</f>
        <v/>
      </c>
    </row>
    <row r="18">
      <c r="A18" s="15" t="n">
        <v>2026</v>
      </c>
      <c r="B18" s="12">
        <f>IFERROR(SUMPRODUCT((YEAR('Doğrudan Alım İşlemleri'!$B$2:$B$2030)=$A$18)*('Doğrudan Alım İşlemleri'!$H$2:$H$2030&lt;&gt;"")*'Doğrudan Alım İşlemleri'!$H$2:$H$2030)/1000000,0)</f>
        <v/>
      </c>
      <c r="C18" s="12">
        <f>IFERROR(SUMPRODUCT((YEAR('Doğrudan Alım İşlemleri'!$E$2:$E$2030)=$A$18)*('Doğrudan Alım İşlemleri'!$H$2:$H$2030&lt;&gt;"")*'Doğrudan Alım İşlemleri'!$H$2:$H$2030)/1000000,0)</f>
        <v/>
      </c>
      <c r="D18" s="12">
        <f>B18-C18</f>
        <v/>
      </c>
    </row>
    <row r="20">
      <c r="A20" s="6" t="inlineStr">
        <is>
          <t>ÖZET</t>
        </is>
      </c>
      <c r="B20" s="4" t="n"/>
      <c r="C20" s="4" t="n"/>
      <c r="D20" s="5" t="n"/>
    </row>
    <row r="21" ht="80" customHeight="1">
      <c r="A21" s="18" t="inlineStr">
        <is>
          <t>TCMB'nin toplam menkul kıymet stoğu 23.10.2026 tarihi itibarıyla 554,3 milyar TL (nominal)'dir, portföy getirisi ise %35,08'dir. 2026 yılında 23.10.2026 tarihine kadar 358,2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Hacim artışı: 2026-10</t>
        </is>
      </c>
      <c r="B26" s="4" t="n"/>
      <c r="C26" s="4" t="n"/>
      <c r="D26" s="5" t="n"/>
    </row>
    <row r="27" ht="35" customHeight="1">
      <c r="A27" s="20" t="inlineStr">
        <is>
          <t>Son ay 72,0 milyar TL, önceki 3 ay ort. 24,9 milyar TL (2.9x).</t>
        </is>
      </c>
      <c r="B27" s="4" t="n"/>
      <c r="C27" s="4" t="n"/>
      <c r="D27" s="5" t="n"/>
    </row>
    <row r="28">
      <c r="A28" s="19" t="inlineStr">
        <is>
          <t>▲ Son 30 günde 1 ihale reddedildi</t>
        </is>
      </c>
      <c r="B28" s="4" t="n"/>
      <c r="C28" s="4" t="n"/>
      <c r="D28" s="5" t="n"/>
    </row>
    <row r="29" ht="35" customHeight="1">
      <c r="A29" s="20" t="inlineStr">
        <is>
          <t>Teklif geldiği halde kabul edilmeyen ihaleler: TRT190728T18 (24.09.2026)</t>
        </is>
      </c>
      <c r="B29" s="4" t="n"/>
      <c r="C29" s="4" t="n"/>
      <c r="D29" s="5" t="n"/>
    </row>
    <row r="30">
      <c r="A30" s="21" t="inlineStr">
        <is>
          <t>◆ Uzun vade ağırlığı artıyor: +27 puan</t>
        </is>
      </c>
      <c r="B30" s="4" t="n"/>
      <c r="C30" s="4" t="n"/>
      <c r="D30" s="5" t="n"/>
    </row>
    <row r="31" ht="35" customHeight="1">
      <c r="A31" s="20" t="inlineStr">
        <is>
          <t>Son 3 ay uzun vadeli (5+ yıl) ağırlık: %43, önceki 3 ay: %16. Vade uzatılıyor.</t>
        </is>
      </c>
      <c r="B31" s="4" t="n"/>
      <c r="C31" s="4" t="n"/>
      <c r="D31" s="5" t="n"/>
    </row>
  </sheetData>
  <mergeCells count="18">
    <mergeCell ref="B10:D10"/>
    <mergeCell ref="A1:D1"/>
    <mergeCell ref="A5:D5"/>
    <mergeCell ref="B3:D3"/>
    <mergeCell ref="B11:D11"/>
    <mergeCell ref="A21:D23"/>
    <mergeCell ref="A27:D27"/>
    <mergeCell ref="A31:D31"/>
    <mergeCell ref="B8:D8"/>
    <mergeCell ref="A20:D20"/>
    <mergeCell ref="A26:D26"/>
    <mergeCell ref="A30:D30"/>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3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row r="2011">
      <c r="A2011" s="11" t="n">
        <v>3741</v>
      </c>
      <c r="B2011" s="3" t="n">
        <v>46310</v>
      </c>
      <c r="C2011" s="25" t="inlineStr">
        <is>
          <t>PYGELENEKSEL</t>
        </is>
      </c>
      <c r="D2011" s="3" t="n">
        <v>46311</v>
      </c>
      <c r="E2011" s="3" t="n">
        <v>46827</v>
      </c>
      <c r="F2011" s="25" t="inlineStr">
        <is>
          <t>TRT150328T24</t>
        </is>
      </c>
      <c r="G2011" s="11" t="n">
        <v>2697000</v>
      </c>
      <c r="H2011" s="11" t="n">
        <v>1500000</v>
      </c>
      <c r="I2011" s="13" t="n">
        <v>1554063.23</v>
      </c>
      <c r="J2011" s="13" t="n">
        <v>35.99</v>
      </c>
      <c r="K2011" s="13" t="n">
        <v>36.05</v>
      </c>
      <c r="L2011" s="13" t="n">
        <v>36.08</v>
      </c>
      <c r="M2011" s="13" t="n">
        <v>39.23</v>
      </c>
      <c r="N2011" s="13" t="n">
        <v>39.3</v>
      </c>
      <c r="O2011" s="13" t="n">
        <v>39.34</v>
      </c>
    </row>
    <row r="2012">
      <c r="A2012" s="8" t="n">
        <v>3742</v>
      </c>
      <c r="B2012" s="23" t="n">
        <v>46310</v>
      </c>
      <c r="C2012" s="22" t="inlineStr">
        <is>
          <t>PYGELENEKSEL</t>
        </is>
      </c>
      <c r="D2012" s="23" t="n">
        <v>46311</v>
      </c>
      <c r="E2012" s="23" t="n">
        <v>47758</v>
      </c>
      <c r="F2012" s="22" t="inlineStr">
        <is>
          <t>TRT021030T18</t>
        </is>
      </c>
      <c r="G2012" s="8" t="n">
        <v>2687000</v>
      </c>
      <c r="H2012" s="8" t="n">
        <v>1500000</v>
      </c>
      <c r="I2012" s="24" t="n">
        <v>1502924.66</v>
      </c>
      <c r="J2012" s="24" t="n">
        <v>34.06</v>
      </c>
      <c r="K2012" s="24" t="n">
        <v>34.18</v>
      </c>
      <c r="L2012" s="24" t="n">
        <v>34.34</v>
      </c>
      <c r="M2012" s="24" t="n">
        <v>36.96</v>
      </c>
      <c r="N2012" s="24" t="n">
        <v>37.1</v>
      </c>
      <c r="O2012" s="24" t="n">
        <v>37.29</v>
      </c>
    </row>
    <row r="2013">
      <c r="A2013" s="11" t="n">
        <v>3743</v>
      </c>
      <c r="B2013" s="3" t="n">
        <v>46310</v>
      </c>
      <c r="C2013" s="25" t="inlineStr">
        <is>
          <t>PYGELENEKSEL</t>
        </is>
      </c>
      <c r="D2013" s="3" t="n">
        <v>46311</v>
      </c>
      <c r="E2013" s="3" t="n">
        <v>49557</v>
      </c>
      <c r="F2013" s="25" t="inlineStr">
        <is>
          <t>TRT050935T13</t>
        </is>
      </c>
      <c r="G2013" s="11" t="n">
        <v>7347000</v>
      </c>
      <c r="H2013" s="11" t="n">
        <v>3000000</v>
      </c>
      <c r="I2013" s="13" t="n">
        <v>2830705.89</v>
      </c>
      <c r="J2013" s="13" t="n">
        <v>32.83</v>
      </c>
      <c r="K2013" s="13" t="n">
        <v>32.87</v>
      </c>
      <c r="L2013" s="13" t="n">
        <v>32.92</v>
      </c>
      <c r="M2013" s="13" t="n">
        <v>35.52</v>
      </c>
      <c r="N2013" s="13" t="n">
        <v>35.57</v>
      </c>
      <c r="O2013" s="13" t="n">
        <v>35.63</v>
      </c>
    </row>
    <row r="2014">
      <c r="A2014" s="8" t="n">
        <v>3744</v>
      </c>
      <c r="B2014" s="23" t="n">
        <v>46310</v>
      </c>
      <c r="C2014" s="22" t="inlineStr">
        <is>
          <t>GELENEKSEL</t>
        </is>
      </c>
      <c r="D2014" s="23" t="n">
        <v>46311</v>
      </c>
      <c r="E2014" s="23" t="n">
        <v>47492</v>
      </c>
      <c r="F2014" s="22" t="inlineStr">
        <is>
          <t>TRT090130T12</t>
        </is>
      </c>
      <c r="G2014" s="8" t="n">
        <v>8772000</v>
      </c>
      <c r="H2014" s="8" t="n">
        <v>1500000</v>
      </c>
      <c r="I2014" s="24" t="n">
        <v>1631601</v>
      </c>
      <c r="J2014" s="24" t="n">
        <v>40.41</v>
      </c>
      <c r="K2014" s="24" t="n">
        <v>40.44</v>
      </c>
      <c r="L2014" s="24" t="n">
        <v>40.47</v>
      </c>
      <c r="M2014" s="24" t="n">
        <v>44.49</v>
      </c>
      <c r="N2014" s="24" t="n">
        <v>44.53</v>
      </c>
      <c r="O2014" s="24" t="n">
        <v>44.57</v>
      </c>
    </row>
    <row r="2015">
      <c r="A2015" s="11" t="n">
        <v>3745</v>
      </c>
      <c r="B2015" s="3" t="n">
        <v>46310</v>
      </c>
      <c r="C2015" s="25" t="inlineStr">
        <is>
          <t>GELENEKSEL</t>
        </is>
      </c>
      <c r="D2015" s="3" t="n">
        <v>46311</v>
      </c>
      <c r="E2015" s="3" t="n">
        <v>47667</v>
      </c>
      <c r="F2015" s="25" t="inlineStr">
        <is>
          <t>TRT030730T12</t>
        </is>
      </c>
      <c r="G2015" s="11" t="n">
        <v>11563000</v>
      </c>
      <c r="H2015" s="11" t="n">
        <v>1500000</v>
      </c>
      <c r="I2015" s="13" t="n">
        <v>1645275</v>
      </c>
      <c r="J2015" s="13" t="n">
        <v>40.47</v>
      </c>
      <c r="K2015" s="13" t="n">
        <v>40.47</v>
      </c>
      <c r="L2015" s="13" t="n">
        <v>40.47</v>
      </c>
      <c r="M2015" s="13" t="n">
        <v>44.56</v>
      </c>
      <c r="N2015" s="13" t="n">
        <v>44.56</v>
      </c>
      <c r="O2015" s="13" t="n">
        <v>44.56</v>
      </c>
    </row>
    <row r="2016">
      <c r="A2016" s="8" t="n">
        <v>3746</v>
      </c>
      <c r="B2016" s="23" t="n">
        <v>46311</v>
      </c>
      <c r="C2016" s="22" t="inlineStr">
        <is>
          <t>PYGELENEKSEL</t>
        </is>
      </c>
      <c r="D2016" s="23" t="n">
        <v>46314</v>
      </c>
      <c r="E2016" s="23" t="n">
        <v>46827</v>
      </c>
      <c r="F2016" s="22" t="inlineStr">
        <is>
          <t>TRT150328T24</t>
        </is>
      </c>
      <c r="G2016" s="8" t="n">
        <v>2627000</v>
      </c>
      <c r="H2016" s="8" t="n">
        <v>1500000</v>
      </c>
      <c r="I2016" s="24" t="n">
        <v>1559545.8</v>
      </c>
      <c r="J2016" s="24" t="n">
        <v>35.92</v>
      </c>
      <c r="K2016" s="24" t="n">
        <v>35.99</v>
      </c>
      <c r="L2016" s="24" t="n">
        <v>36.11</v>
      </c>
      <c r="M2016" s="24" t="n">
        <v>39.15</v>
      </c>
      <c r="N2016" s="24" t="n">
        <v>39.23</v>
      </c>
      <c r="O2016" s="24" t="n">
        <v>39.37</v>
      </c>
    </row>
    <row r="2017">
      <c r="A2017" s="11" t="n">
        <v>3747</v>
      </c>
      <c r="B2017" s="3" t="n">
        <v>46311</v>
      </c>
      <c r="C2017" s="25" t="inlineStr">
        <is>
          <t>PYGELENEKSEL</t>
        </is>
      </c>
      <c r="D2017" s="3" t="n">
        <v>46314</v>
      </c>
      <c r="E2017" s="3" t="n">
        <v>47373</v>
      </c>
      <c r="F2017" s="25" t="inlineStr">
        <is>
          <t>TRT120929T12</t>
        </is>
      </c>
      <c r="G2017" s="11" t="n">
        <v>2874000</v>
      </c>
      <c r="H2017" s="11" t="n">
        <v>1500000</v>
      </c>
      <c r="I2017" s="13" t="n">
        <v>1393739.83</v>
      </c>
      <c r="J2017" s="13" t="n">
        <v>35.53</v>
      </c>
      <c r="K2017" s="13" t="n">
        <v>35.56</v>
      </c>
      <c r="L2017" s="13" t="n">
        <v>35.59</v>
      </c>
      <c r="M2017" s="13" t="n">
        <v>38.69</v>
      </c>
      <c r="N2017" s="13" t="n">
        <v>38.72</v>
      </c>
      <c r="O2017" s="13" t="n">
        <v>38.76</v>
      </c>
    </row>
    <row r="2018">
      <c r="A2018" s="8" t="n">
        <v>3748</v>
      </c>
      <c r="B2018" s="23" t="n">
        <v>46311</v>
      </c>
      <c r="C2018" s="22" t="inlineStr">
        <is>
          <t>PYGELENEKSEL</t>
        </is>
      </c>
      <c r="D2018" s="23" t="n">
        <v>46314</v>
      </c>
      <c r="E2018" s="23" t="n">
        <v>49557</v>
      </c>
      <c r="F2018" s="22" t="inlineStr">
        <is>
          <t>TRT050935T13</t>
        </is>
      </c>
      <c r="G2018" s="8" t="n">
        <v>7864000</v>
      </c>
      <c r="H2018" s="8" t="n">
        <v>3000000</v>
      </c>
      <c r="I2018" s="24" t="n">
        <v>2830306.86</v>
      </c>
      <c r="J2018" s="24" t="n">
        <v>32.93</v>
      </c>
      <c r="K2018" s="24" t="n">
        <v>32.97</v>
      </c>
      <c r="L2018" s="24" t="n">
        <v>33.01</v>
      </c>
      <c r="M2018" s="24" t="n">
        <v>35.65</v>
      </c>
      <c r="N2018" s="24" t="n">
        <v>35.68</v>
      </c>
      <c r="O2018" s="24" t="n">
        <v>35.74</v>
      </c>
    </row>
    <row r="2019">
      <c r="A2019" s="11" t="n">
        <v>3749</v>
      </c>
      <c r="B2019" s="3" t="n">
        <v>46311</v>
      </c>
      <c r="C2019" s="25" t="inlineStr">
        <is>
          <t>GELENEKSEL</t>
        </is>
      </c>
      <c r="D2019" s="3" t="n">
        <v>46314</v>
      </c>
      <c r="E2019" s="3" t="n">
        <v>47492</v>
      </c>
      <c r="F2019" s="25" t="inlineStr">
        <is>
          <t>TRT090130T12</t>
        </is>
      </c>
      <c r="G2019" s="11" t="n">
        <v>9537000</v>
      </c>
      <c r="H2019" s="11" t="n">
        <v>1500000</v>
      </c>
      <c r="I2019" s="13" t="n">
        <v>1635188</v>
      </c>
      <c r="J2019" s="13" t="n">
        <v>40.47</v>
      </c>
      <c r="K2019" s="13" t="n">
        <v>40.47</v>
      </c>
      <c r="L2019" s="13" t="n">
        <v>40.54</v>
      </c>
      <c r="M2019" s="13" t="n">
        <v>44.57</v>
      </c>
      <c r="N2019" s="13" t="n">
        <v>44.57</v>
      </c>
      <c r="O2019" s="13" t="n">
        <v>44.64</v>
      </c>
    </row>
    <row r="2020">
      <c r="A2020" s="8" t="n">
        <v>3750</v>
      </c>
      <c r="B2020" s="23" t="n">
        <v>46311</v>
      </c>
      <c r="C2020" s="22" t="inlineStr">
        <is>
          <t>GELENEKSEL</t>
        </is>
      </c>
      <c r="D2020" s="23" t="n">
        <v>46314</v>
      </c>
      <c r="E2020" s="23" t="n">
        <v>47667</v>
      </c>
      <c r="F2020" s="22" t="inlineStr">
        <is>
          <t>TRT030730T12</t>
        </is>
      </c>
      <c r="G2020" s="8" t="n">
        <v>11785000</v>
      </c>
      <c r="H2020" s="8" t="n">
        <v>1500000</v>
      </c>
      <c r="I2020" s="24" t="n">
        <v>1649505</v>
      </c>
      <c r="J2020" s="24" t="n">
        <v>40.5</v>
      </c>
      <c r="K2020" s="24" t="n">
        <v>40.5</v>
      </c>
      <c r="L2020" s="24" t="n">
        <v>40.5</v>
      </c>
      <c r="M2020" s="24" t="n">
        <v>44.6</v>
      </c>
      <c r="N2020" s="24" t="n">
        <v>44.6</v>
      </c>
      <c r="O2020" s="24" t="n">
        <v>44.6</v>
      </c>
    </row>
    <row r="2021">
      <c r="A2021" s="11" t="n">
        <v>3751</v>
      </c>
      <c r="B2021" s="3" t="n">
        <v>46317</v>
      </c>
      <c r="C2021" s="25" t="inlineStr">
        <is>
          <t>PYGELENEKSEL</t>
        </is>
      </c>
      <c r="D2021" s="3" t="n">
        <v>46318</v>
      </c>
      <c r="E2021" s="3" t="n">
        <v>46827</v>
      </c>
      <c r="F2021" s="25" t="inlineStr">
        <is>
          <t>TRT150328T24</t>
        </is>
      </c>
      <c r="G2021" s="11" t="n">
        <v>2017000</v>
      </c>
      <c r="H2021" s="11" t="n">
        <v>1500000</v>
      </c>
      <c r="I2021" s="13" t="n">
        <v>1567116.57</v>
      </c>
      <c r="J2021" s="13" t="n">
        <v>35.74</v>
      </c>
      <c r="K2021" s="13" t="n">
        <v>35.86</v>
      </c>
      <c r="L2021" s="13" t="n">
        <v>35.92</v>
      </c>
      <c r="M2021" s="13" t="n">
        <v>38.93</v>
      </c>
      <c r="N2021" s="13" t="n">
        <v>39.08</v>
      </c>
      <c r="O2021" s="13" t="n">
        <v>39.15</v>
      </c>
    </row>
    <row r="2022">
      <c r="A2022" s="8" t="n">
        <v>3752</v>
      </c>
      <c r="B2022" s="23" t="n">
        <v>46317</v>
      </c>
      <c r="C2022" s="22" t="inlineStr">
        <is>
          <t>PYGELENEKSEL</t>
        </is>
      </c>
      <c r="D2022" s="23" t="n">
        <v>46318</v>
      </c>
      <c r="E2022" s="23" t="n">
        <v>47373</v>
      </c>
      <c r="F2022" s="22" t="inlineStr">
        <is>
          <t>TRT120929T12</t>
        </is>
      </c>
      <c r="G2022" s="8" t="n">
        <v>2478000</v>
      </c>
      <c r="H2022" s="8" t="n">
        <v>1500000</v>
      </c>
      <c r="I2022" s="24" t="n">
        <v>1391234.95</v>
      </c>
      <c r="J2022" s="24" t="n">
        <v>35.84</v>
      </c>
      <c r="K2022" s="24" t="n">
        <v>35.87</v>
      </c>
      <c r="L2022" s="24" t="n">
        <v>35.97</v>
      </c>
      <c r="M2022" s="24" t="n">
        <v>39.06</v>
      </c>
      <c r="N2022" s="24" t="n">
        <v>39.09</v>
      </c>
      <c r="O2022" s="24" t="n">
        <v>39.2</v>
      </c>
    </row>
    <row r="2023">
      <c r="A2023" s="11" t="n">
        <v>3753</v>
      </c>
      <c r="B2023" s="3" t="n">
        <v>46317</v>
      </c>
      <c r="C2023" s="25" t="inlineStr">
        <is>
          <t>PYGELENEKSEL</t>
        </is>
      </c>
      <c r="D2023" s="3" t="n">
        <v>46318</v>
      </c>
      <c r="E2023" s="3" t="n">
        <v>49557</v>
      </c>
      <c r="F2023" s="25" t="inlineStr">
        <is>
          <t>TRT050935T13</t>
        </is>
      </c>
      <c r="G2023" s="11" t="n">
        <v>5666000</v>
      </c>
      <c r="H2023" s="11" t="n">
        <v>3000000</v>
      </c>
      <c r="I2023" s="13" t="n">
        <v>2836473.81</v>
      </c>
      <c r="J2023" s="13" t="n">
        <v>32.97</v>
      </c>
      <c r="K2023" s="13" t="n">
        <v>33</v>
      </c>
      <c r="L2023" s="13" t="n">
        <v>33.04</v>
      </c>
      <c r="M2023" s="13" t="n">
        <v>35.68</v>
      </c>
      <c r="N2023" s="13" t="n">
        <v>35.72</v>
      </c>
      <c r="O2023" s="13" t="n">
        <v>35.77</v>
      </c>
    </row>
    <row r="2024">
      <c r="A2024" s="8" t="n">
        <v>3754</v>
      </c>
      <c r="B2024" s="23" t="n">
        <v>46317</v>
      </c>
      <c r="C2024" s="22" t="inlineStr">
        <is>
          <t>GELENEKSEL</t>
        </is>
      </c>
      <c r="D2024" s="23" t="n">
        <v>46318</v>
      </c>
      <c r="E2024" s="23" t="n">
        <v>47492</v>
      </c>
      <c r="F2024" s="22" t="inlineStr">
        <is>
          <t>TRT090130T12</t>
        </is>
      </c>
      <c r="G2024" s="8" t="n">
        <v>9446000</v>
      </c>
      <c r="H2024" s="8" t="n">
        <v>1500000</v>
      </c>
      <c r="I2024" s="24" t="n">
        <v>1638201</v>
      </c>
      <c r="J2024" s="24" t="n">
        <v>40.61</v>
      </c>
      <c r="K2024" s="24" t="n">
        <v>40.63</v>
      </c>
      <c r="L2024" s="24" t="n">
        <v>40.66</v>
      </c>
      <c r="M2024" s="24" t="n">
        <v>44.74</v>
      </c>
      <c r="N2024" s="24" t="n">
        <v>44.76</v>
      </c>
      <c r="O2024" s="24" t="n">
        <v>44.79</v>
      </c>
    </row>
    <row r="2025">
      <c r="A2025" s="11" t="n">
        <v>3755</v>
      </c>
      <c r="B2025" s="3" t="n">
        <v>46317</v>
      </c>
      <c r="C2025" s="25" t="inlineStr">
        <is>
          <t>GELENEKSEL</t>
        </is>
      </c>
      <c r="D2025" s="3" t="n">
        <v>46318</v>
      </c>
      <c r="E2025" s="3" t="n">
        <v>47667</v>
      </c>
      <c r="F2025" s="25" t="inlineStr">
        <is>
          <t>TRT030730T12</t>
        </is>
      </c>
      <c r="G2025" s="11" t="n">
        <v>10890000</v>
      </c>
      <c r="H2025" s="11" t="n">
        <v>1500000</v>
      </c>
      <c r="I2025" s="13" t="n">
        <v>1656381</v>
      </c>
      <c r="J2025" s="13" t="n">
        <v>40.47</v>
      </c>
      <c r="K2025" s="13" t="n">
        <v>40.47</v>
      </c>
      <c r="L2025" s="13" t="n">
        <v>40.5</v>
      </c>
      <c r="M2025" s="13" t="n">
        <v>44.56</v>
      </c>
      <c r="N2025" s="13" t="n">
        <v>44.56</v>
      </c>
      <c r="O2025" s="13" t="n">
        <v>44.6</v>
      </c>
    </row>
    <row r="2026">
      <c r="A2026" s="8" t="n">
        <v>3756</v>
      </c>
      <c r="B2026" s="23" t="n">
        <v>46318</v>
      </c>
      <c r="C2026" s="22" t="inlineStr">
        <is>
          <t>PYGELENEKSEL</t>
        </is>
      </c>
      <c r="D2026" s="23" t="n">
        <v>46321</v>
      </c>
      <c r="E2026" s="23" t="n">
        <v>47373</v>
      </c>
      <c r="F2026" s="22" t="inlineStr">
        <is>
          <t>TRT120929T12</t>
        </is>
      </c>
      <c r="G2026" s="8" t="n">
        <v>2573000</v>
      </c>
      <c r="H2026" s="8" t="n">
        <v>1500000</v>
      </c>
      <c r="I2026" s="24" t="n">
        <v>1392919.07</v>
      </c>
      <c r="J2026" s="24" t="n">
        <v>35.94</v>
      </c>
      <c r="K2026" s="24" t="n">
        <v>35.97</v>
      </c>
      <c r="L2026" s="24" t="n">
        <v>36.03</v>
      </c>
      <c r="M2026" s="24" t="n">
        <v>39.17</v>
      </c>
      <c r="N2026" s="24" t="n">
        <v>39.2</v>
      </c>
      <c r="O2026" s="24" t="n">
        <v>39.28</v>
      </c>
    </row>
    <row r="2027">
      <c r="A2027" s="11" t="n">
        <v>3757</v>
      </c>
      <c r="B2027" s="3" t="n">
        <v>46318</v>
      </c>
      <c r="C2027" s="25" t="inlineStr">
        <is>
          <t>PYGELENEKSEL</t>
        </is>
      </c>
      <c r="D2027" s="3" t="n">
        <v>46321</v>
      </c>
      <c r="E2027" s="3" t="n">
        <v>47758</v>
      </c>
      <c r="F2027" s="25" t="inlineStr">
        <is>
          <t>TRT021030T18</t>
        </is>
      </c>
      <c r="G2027" s="11" t="n">
        <v>2964000</v>
      </c>
      <c r="H2027" s="11" t="n">
        <v>1500000</v>
      </c>
      <c r="I2027" s="13" t="n">
        <v>1513916.26</v>
      </c>
      <c r="J2027" s="13" t="n">
        <v>34.15</v>
      </c>
      <c r="K2027" s="13" t="n">
        <v>34.24</v>
      </c>
      <c r="L2027" s="13" t="n">
        <v>34.38</v>
      </c>
      <c r="M2027" s="13" t="n">
        <v>37.07</v>
      </c>
      <c r="N2027" s="13" t="n">
        <v>37.18</v>
      </c>
      <c r="O2027" s="13" t="n">
        <v>37.34</v>
      </c>
    </row>
    <row r="2028">
      <c r="A2028" s="8" t="n">
        <v>3758</v>
      </c>
      <c r="B2028" s="23" t="n">
        <v>46318</v>
      </c>
      <c r="C2028" s="22" t="inlineStr">
        <is>
          <t>PYGELENEKSEL</t>
        </is>
      </c>
      <c r="D2028" s="23" t="n">
        <v>46321</v>
      </c>
      <c r="E2028" s="23" t="n">
        <v>49557</v>
      </c>
      <c r="F2028" s="22" t="inlineStr">
        <is>
          <t>TRT050935T13</t>
        </is>
      </c>
      <c r="G2028" s="8" t="n">
        <v>4916000</v>
      </c>
      <c r="H2028" s="8" t="n">
        <v>3000000</v>
      </c>
      <c r="I2028" s="24" t="n">
        <v>2847669.13</v>
      </c>
      <c r="J2028" s="24" t="n">
        <v>32.92</v>
      </c>
      <c r="K2028" s="24" t="n">
        <v>32.95</v>
      </c>
      <c r="L2028" s="24" t="n">
        <v>33</v>
      </c>
      <c r="M2028" s="24" t="n">
        <v>35.63</v>
      </c>
      <c r="N2028" s="24" t="n">
        <v>35.66</v>
      </c>
      <c r="O2028" s="24" t="n">
        <v>35.72</v>
      </c>
    </row>
    <row r="2029">
      <c r="A2029" s="11" t="n">
        <v>3759</v>
      </c>
      <c r="B2029" s="3" t="n">
        <v>46318</v>
      </c>
      <c r="C2029" s="25" t="inlineStr">
        <is>
          <t>GELENEKSEL</t>
        </is>
      </c>
      <c r="D2029" s="3" t="n">
        <v>46321</v>
      </c>
      <c r="E2029" s="3" t="n">
        <v>47492</v>
      </c>
      <c r="F2029" s="25" t="inlineStr">
        <is>
          <t>TRT090130T12</t>
        </is>
      </c>
      <c r="G2029" s="11" t="n">
        <v>9502000</v>
      </c>
      <c r="H2029" s="11" t="n">
        <v>1500000</v>
      </c>
      <c r="I2029" s="13" t="n">
        <v>1641861</v>
      </c>
      <c r="J2029" s="13" t="n">
        <v>40.66</v>
      </c>
      <c r="K2029" s="13" t="n">
        <v>40.69</v>
      </c>
      <c r="L2029" s="13" t="n">
        <v>40.72</v>
      </c>
      <c r="M2029" s="13" t="n">
        <v>44.79</v>
      </c>
      <c r="N2029" s="13" t="n">
        <v>44.83</v>
      </c>
      <c r="O2029" s="13" t="n">
        <v>44.87</v>
      </c>
    </row>
    <row r="2030">
      <c r="A2030" s="8" t="n">
        <v>3760</v>
      </c>
      <c r="B2030" s="23" t="n">
        <v>46318</v>
      </c>
      <c r="C2030" s="22" t="inlineStr">
        <is>
          <t>GELENEKSEL</t>
        </is>
      </c>
      <c r="D2030" s="23" t="n">
        <v>46321</v>
      </c>
      <c r="E2030" s="23" t="n">
        <v>47667</v>
      </c>
      <c r="F2030" s="22" t="inlineStr">
        <is>
          <t>TRT030730T12</t>
        </is>
      </c>
      <c r="G2030" s="8" t="n">
        <v>11830000</v>
      </c>
      <c r="H2030" s="8" t="n">
        <v>1500000</v>
      </c>
      <c r="I2030" s="24" t="n">
        <v>1658685</v>
      </c>
      <c r="J2030" s="24" t="n">
        <v>40.58</v>
      </c>
      <c r="K2030" s="24" t="n">
        <v>40.58</v>
      </c>
      <c r="L2030" s="24" t="n">
        <v>40.58</v>
      </c>
      <c r="M2030" s="24" t="n">
        <v>44.69</v>
      </c>
      <c r="N2030" s="24" t="n">
        <v>44.69</v>
      </c>
      <c r="O2030" s="24" t="n">
        <v>44.69</v>
      </c>
    </row>
  </sheetData>
  <autoFilter ref="A1:O20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İşlemleri'!$B$2:$B$2030)=$A$4)*1)</f>
        <v/>
      </c>
      <c r="C4" s="8">
        <f>SUMPRODUCT((YEAR('Doğrudan Alım İşlemleri'!$B$2:$B$2030)=$A$4)*('Doğrudan Alım İşlemleri'!$G$2:$G$2030&lt;&gt;"")*'Doğrudan Alım İşlemleri'!$G$2:$G$2030)</f>
        <v/>
      </c>
      <c r="D4" s="8">
        <f>SUMPRODUCT((YEAR('Doğrudan Alım İşlemleri'!$B$2:$B$2030)=$A$4)*('Doğrudan Alım İşlemleri'!$H$2:$H$2030&lt;&gt;"")*'Doğrudan Alım İşlemleri'!$H$2:$H$2030)</f>
        <v/>
      </c>
      <c r="E4" s="24">
        <f>SUMPRODUCT((YEAR('Doğrudan Alım İşlemleri'!$B$2:$B$2030)=$A$4)*('Doğrudan Alım İşlemleri'!$I$2:$I$2030&lt;&gt;"")*'Doğrudan Alım İşlemleri'!$I$2:$I$2030)</f>
        <v/>
      </c>
      <c r="F4" s="12">
        <f>IFERROR(D4/C4*100,"")</f>
        <v/>
      </c>
      <c r="G4" s="24">
        <f>IFERROR(SUMPRODUCT((YEAR('Doğrudan Alım İşlemleri'!$B$2:$B$2030)=$A$4)*ISNUMBER('Doğrudan Alım İşlemleri'!$K$2:$K$2030)*'Doğrudan Alım İşlemleri'!$K$2:$K$2030*('Doğrudan Alım İşlemleri'!$H$2:$H$2030&lt;&gt;"")*'Doğrudan Alım İşlemleri'!$H$2:$H$2030)/SUMPRODUCT((YEAR('Doğrudan Alım İşlemleri'!$B$2:$B$2030)=$A$4)*ISNUMBER('Doğrudan Alım İşlemleri'!$K$2:$K$2030)*('Doğrudan Alım İşlemleri'!$H$2:$H$2030&lt;&gt;"")*'Doğrudan Alım İşlemleri'!$H$2:$H$2030),"")</f>
        <v/>
      </c>
      <c r="H4" s="24">
        <f>IFERROR(SUMPRODUCT((YEAR('Doğrudan Alım İşlemleri'!$B$2:$B$2030)=$A$4)*ISNUMBER('Doğrudan Alım İşlemleri'!$N$2:$N$2030)*'Doğrudan Alım İşlemleri'!$N$2:$N$2030*('Doğrudan Alım İşlemleri'!$H$2:$H$2030&lt;&gt;"")*'Doğrudan Alım İşlemleri'!$H$2:$H$2030)/SUMPRODUCT((YEAR('Doğrudan Alım İşlemleri'!$B$2:$B$2030)=$A$4)*ISNUMBER('Doğrudan Alım İşlemleri'!$N$2:$N$2030)*('Doğrudan Alım İşlemleri'!$H$2:$H$2030&lt;&gt;"")*'Doğrudan Alım İşlemleri'!$H$2:$H$2030),"")</f>
        <v/>
      </c>
      <c r="I4" s="8">
        <f>IFERROR(SUMPRODUCT((YEAR('Doğrudan Alım İşlemleri'!$B$2:$B$2030)=$A$4)*('Doğrudan Alım İşlemleri'!$E$2:$E$2030-'Doğrudan Alım İşlemleri'!$D$2:$D$2030)*('Doğrudan Alım İşlemleri'!$H$2:$H$2030&lt;&gt;"")*'Doğrudan Alım İşlemleri'!$H$2:$H$2030)/SUMPRODUCT((YEAR('Doğrudan Alım İşlemleri'!$B$2:$B$2030)=$A$4)*('Doğrudan Alım İşlemleri'!$H$2:$H$2030&lt;&gt;"")*'Doğrudan Alım İşlemleri'!$H$2:$H$2030),"")</f>
        <v/>
      </c>
    </row>
    <row r="5">
      <c r="A5" s="16" t="n">
        <v>2010</v>
      </c>
      <c r="B5" s="11">
        <f>SUMPRODUCT((YEAR('Doğrudan Alım İşlemleri'!$B$2:$B$2030)=$A$5)*1)</f>
        <v/>
      </c>
      <c r="C5" s="11">
        <f>SUMPRODUCT((YEAR('Doğrudan Alım İşlemleri'!$B$2:$B$2030)=$A$5)*('Doğrudan Alım İşlemleri'!$G$2:$G$2030&lt;&gt;"")*'Doğrudan Alım İşlemleri'!$G$2:$G$2030)</f>
        <v/>
      </c>
      <c r="D5" s="11">
        <f>SUMPRODUCT((YEAR('Doğrudan Alım İşlemleri'!$B$2:$B$2030)=$A$5)*('Doğrudan Alım İşlemleri'!$H$2:$H$2030&lt;&gt;"")*'Doğrudan Alım İşlemleri'!$H$2:$H$2030)</f>
        <v/>
      </c>
      <c r="E5" s="13">
        <f>SUMPRODUCT((YEAR('Doğrudan Alım İşlemleri'!$B$2:$B$2030)=$A$5)*('Doğrudan Alım İşlemleri'!$I$2:$I$2030&lt;&gt;"")*'Doğrudan Alım İşlemleri'!$I$2:$I$2030)</f>
        <v/>
      </c>
      <c r="F5" s="17">
        <f>IFERROR(D5/C5*100,"")</f>
        <v/>
      </c>
      <c r="G5" s="13">
        <f>IFERROR(SUMPRODUCT((YEAR('Doğrudan Alım İşlemleri'!$B$2:$B$2030)=$A$5)*ISNUMBER('Doğrudan Alım İşlemleri'!$K$2:$K$2030)*'Doğrudan Alım İşlemleri'!$K$2:$K$2030*('Doğrudan Alım İşlemleri'!$H$2:$H$2030&lt;&gt;"")*'Doğrudan Alım İşlemleri'!$H$2:$H$2030)/SUMPRODUCT((YEAR('Doğrudan Alım İşlemleri'!$B$2:$B$2030)=$A$5)*ISNUMBER('Doğrudan Alım İşlemleri'!$K$2:$K$2030)*('Doğrudan Alım İşlemleri'!$H$2:$H$2030&lt;&gt;"")*'Doğrudan Alım İşlemleri'!$H$2:$H$2030),"")</f>
        <v/>
      </c>
      <c r="H5" s="13">
        <f>IFERROR(SUMPRODUCT((YEAR('Doğrudan Alım İşlemleri'!$B$2:$B$2030)=$A$5)*ISNUMBER('Doğrudan Alım İşlemleri'!$N$2:$N$2030)*'Doğrudan Alım İşlemleri'!$N$2:$N$2030*('Doğrudan Alım İşlemleri'!$H$2:$H$2030&lt;&gt;"")*'Doğrudan Alım İşlemleri'!$H$2:$H$2030)/SUMPRODUCT((YEAR('Doğrudan Alım İşlemleri'!$B$2:$B$2030)=$A$5)*ISNUMBER('Doğrudan Alım İşlemleri'!$N$2:$N$2030)*('Doğrudan Alım İşlemleri'!$H$2:$H$2030&lt;&gt;"")*'Doğrudan Alım İşlemleri'!$H$2:$H$2030),"")</f>
        <v/>
      </c>
      <c r="I5" s="11">
        <f>IFERROR(SUMPRODUCT((YEAR('Doğrudan Alım İşlemleri'!$B$2:$B$2030)=$A$5)*('Doğrudan Alım İşlemleri'!$E$2:$E$2030-'Doğrudan Alım İşlemleri'!$D$2:$D$2030)*('Doğrudan Alım İşlemleri'!$H$2:$H$2030&lt;&gt;"")*'Doğrudan Alım İşlemleri'!$H$2:$H$2030)/SUMPRODUCT((YEAR('Doğrudan Alım İşlemleri'!$B$2:$B$2030)=$A$5)*('Doğrudan Alım İşlemleri'!$H$2:$H$2030&lt;&gt;"")*'Doğrudan Alım İşlemleri'!$H$2:$H$2030),"")</f>
        <v/>
      </c>
    </row>
    <row r="6">
      <c r="A6" s="15" t="n">
        <v>2011</v>
      </c>
      <c r="B6" s="8">
        <f>SUMPRODUCT((YEAR('Doğrudan Alım İşlemleri'!$B$2:$B$2030)=$A$6)*1)</f>
        <v/>
      </c>
      <c r="C6" s="8">
        <f>SUMPRODUCT((YEAR('Doğrudan Alım İşlemleri'!$B$2:$B$2030)=$A$6)*('Doğrudan Alım İşlemleri'!$G$2:$G$2030&lt;&gt;"")*'Doğrudan Alım İşlemleri'!$G$2:$G$2030)</f>
        <v/>
      </c>
      <c r="D6" s="8">
        <f>SUMPRODUCT((YEAR('Doğrudan Alım İşlemleri'!$B$2:$B$2030)=$A$6)*('Doğrudan Alım İşlemleri'!$H$2:$H$2030&lt;&gt;"")*'Doğrudan Alım İşlemleri'!$H$2:$H$2030)</f>
        <v/>
      </c>
      <c r="E6" s="24">
        <f>SUMPRODUCT((YEAR('Doğrudan Alım İşlemleri'!$B$2:$B$2030)=$A$6)*('Doğrudan Alım İşlemleri'!$I$2:$I$2030&lt;&gt;"")*'Doğrudan Alım İşlemleri'!$I$2:$I$2030)</f>
        <v/>
      </c>
      <c r="F6" s="12">
        <f>IFERROR(D6/C6*100,"")</f>
        <v/>
      </c>
      <c r="G6" s="24">
        <f>IFERROR(SUMPRODUCT((YEAR('Doğrudan Alım İşlemleri'!$B$2:$B$2030)=$A$6)*ISNUMBER('Doğrudan Alım İşlemleri'!$K$2:$K$2030)*'Doğrudan Alım İşlemleri'!$K$2:$K$2030*('Doğrudan Alım İşlemleri'!$H$2:$H$2030&lt;&gt;"")*'Doğrudan Alım İşlemleri'!$H$2:$H$2030)/SUMPRODUCT((YEAR('Doğrudan Alım İşlemleri'!$B$2:$B$2030)=$A$6)*ISNUMBER('Doğrudan Alım İşlemleri'!$K$2:$K$2030)*('Doğrudan Alım İşlemleri'!$H$2:$H$2030&lt;&gt;"")*'Doğrudan Alım İşlemleri'!$H$2:$H$2030),"")</f>
        <v/>
      </c>
      <c r="H6" s="24">
        <f>IFERROR(SUMPRODUCT((YEAR('Doğrudan Alım İşlemleri'!$B$2:$B$2030)=$A$6)*ISNUMBER('Doğrudan Alım İşlemleri'!$N$2:$N$2030)*'Doğrudan Alım İşlemleri'!$N$2:$N$2030*('Doğrudan Alım İşlemleri'!$H$2:$H$2030&lt;&gt;"")*'Doğrudan Alım İşlemleri'!$H$2:$H$2030)/SUMPRODUCT((YEAR('Doğrudan Alım İşlemleri'!$B$2:$B$2030)=$A$6)*ISNUMBER('Doğrudan Alım İşlemleri'!$N$2:$N$2030)*('Doğrudan Alım İşlemleri'!$H$2:$H$2030&lt;&gt;"")*'Doğrudan Alım İşlemleri'!$H$2:$H$2030),"")</f>
        <v/>
      </c>
      <c r="I6" s="8">
        <f>IFERROR(SUMPRODUCT((YEAR('Doğrudan Alım İşlemleri'!$B$2:$B$2030)=$A$6)*('Doğrudan Alım İşlemleri'!$E$2:$E$2030-'Doğrudan Alım İşlemleri'!$D$2:$D$2030)*('Doğrudan Alım İşlemleri'!$H$2:$H$2030&lt;&gt;"")*'Doğrudan Alım İşlemleri'!$H$2:$H$2030)/SUMPRODUCT((YEAR('Doğrudan Alım İşlemleri'!$B$2:$B$2030)=$A$6)*('Doğrudan Alım İşlemleri'!$H$2:$H$2030&lt;&gt;"")*'Doğrudan Alım İşlemleri'!$H$2:$H$2030),"")</f>
        <v/>
      </c>
    </row>
    <row r="7">
      <c r="A7" s="16" t="n">
        <v>2012</v>
      </c>
      <c r="B7" s="11">
        <f>SUMPRODUCT((YEAR('Doğrudan Alım İşlemleri'!$B$2:$B$2030)=$A$7)*1)</f>
        <v/>
      </c>
      <c r="C7" s="11">
        <f>SUMPRODUCT((YEAR('Doğrudan Alım İşlemleri'!$B$2:$B$2030)=$A$7)*('Doğrudan Alım İşlemleri'!$G$2:$G$2030&lt;&gt;"")*'Doğrudan Alım İşlemleri'!$G$2:$G$2030)</f>
        <v/>
      </c>
      <c r="D7" s="11">
        <f>SUMPRODUCT((YEAR('Doğrudan Alım İşlemleri'!$B$2:$B$2030)=$A$7)*('Doğrudan Alım İşlemleri'!$H$2:$H$2030&lt;&gt;"")*'Doğrudan Alım İşlemleri'!$H$2:$H$2030)</f>
        <v/>
      </c>
      <c r="E7" s="13">
        <f>SUMPRODUCT((YEAR('Doğrudan Alım İşlemleri'!$B$2:$B$2030)=$A$7)*('Doğrudan Alım İşlemleri'!$I$2:$I$2030&lt;&gt;"")*'Doğrudan Alım İşlemleri'!$I$2:$I$2030)</f>
        <v/>
      </c>
      <c r="F7" s="17">
        <f>IFERROR(D7/C7*100,"")</f>
        <v/>
      </c>
      <c r="G7" s="13">
        <f>IFERROR(SUMPRODUCT((YEAR('Doğrudan Alım İşlemleri'!$B$2:$B$2030)=$A$7)*ISNUMBER('Doğrudan Alım İşlemleri'!$K$2:$K$2030)*'Doğrudan Alım İşlemleri'!$K$2:$K$2030*('Doğrudan Alım İşlemleri'!$H$2:$H$2030&lt;&gt;"")*'Doğrudan Alım İşlemleri'!$H$2:$H$2030)/SUMPRODUCT((YEAR('Doğrudan Alım İşlemleri'!$B$2:$B$2030)=$A$7)*ISNUMBER('Doğrudan Alım İşlemleri'!$K$2:$K$2030)*('Doğrudan Alım İşlemleri'!$H$2:$H$2030&lt;&gt;"")*'Doğrudan Alım İşlemleri'!$H$2:$H$2030),"")</f>
        <v/>
      </c>
      <c r="H7" s="13">
        <f>IFERROR(SUMPRODUCT((YEAR('Doğrudan Alım İşlemleri'!$B$2:$B$2030)=$A$7)*ISNUMBER('Doğrudan Alım İşlemleri'!$N$2:$N$2030)*'Doğrudan Alım İşlemleri'!$N$2:$N$2030*('Doğrudan Alım İşlemleri'!$H$2:$H$2030&lt;&gt;"")*'Doğrudan Alım İşlemleri'!$H$2:$H$2030)/SUMPRODUCT((YEAR('Doğrudan Alım İşlemleri'!$B$2:$B$2030)=$A$7)*ISNUMBER('Doğrudan Alım İşlemleri'!$N$2:$N$2030)*('Doğrudan Alım İşlemleri'!$H$2:$H$2030&lt;&gt;"")*'Doğrudan Alım İşlemleri'!$H$2:$H$2030),"")</f>
        <v/>
      </c>
      <c r="I7" s="11">
        <f>IFERROR(SUMPRODUCT((YEAR('Doğrudan Alım İşlemleri'!$B$2:$B$2030)=$A$7)*('Doğrudan Alım İşlemleri'!$E$2:$E$2030-'Doğrudan Alım İşlemleri'!$D$2:$D$2030)*('Doğrudan Alım İşlemleri'!$H$2:$H$2030&lt;&gt;"")*'Doğrudan Alım İşlemleri'!$H$2:$H$2030)/SUMPRODUCT((YEAR('Doğrudan Alım İşlemleri'!$B$2:$B$2030)=$A$7)*('Doğrudan Alım İşlemleri'!$H$2:$H$2030&lt;&gt;"")*'Doğrudan Alım İşlemleri'!$H$2:$H$2030),"")</f>
        <v/>
      </c>
    </row>
    <row r="8">
      <c r="A8" s="15" t="n">
        <v>2013</v>
      </c>
      <c r="B8" s="8">
        <f>SUMPRODUCT((YEAR('Doğrudan Alım İşlemleri'!$B$2:$B$2030)=$A$8)*1)</f>
        <v/>
      </c>
      <c r="C8" s="8">
        <f>SUMPRODUCT((YEAR('Doğrudan Alım İşlemleri'!$B$2:$B$2030)=$A$8)*('Doğrudan Alım İşlemleri'!$G$2:$G$2030&lt;&gt;"")*'Doğrudan Alım İşlemleri'!$G$2:$G$2030)</f>
        <v/>
      </c>
      <c r="D8" s="8">
        <f>SUMPRODUCT((YEAR('Doğrudan Alım İşlemleri'!$B$2:$B$2030)=$A$8)*('Doğrudan Alım İşlemleri'!$H$2:$H$2030&lt;&gt;"")*'Doğrudan Alım İşlemleri'!$H$2:$H$2030)</f>
        <v/>
      </c>
      <c r="E8" s="24">
        <f>SUMPRODUCT((YEAR('Doğrudan Alım İşlemleri'!$B$2:$B$2030)=$A$8)*('Doğrudan Alım İşlemleri'!$I$2:$I$2030&lt;&gt;"")*'Doğrudan Alım İşlemleri'!$I$2:$I$2030)</f>
        <v/>
      </c>
      <c r="F8" s="12">
        <f>IFERROR(D8/C8*100,"")</f>
        <v/>
      </c>
      <c r="G8" s="24">
        <f>IFERROR(SUMPRODUCT((YEAR('Doğrudan Alım İşlemleri'!$B$2:$B$2030)=$A$8)*ISNUMBER('Doğrudan Alım İşlemleri'!$K$2:$K$2030)*'Doğrudan Alım İşlemleri'!$K$2:$K$2030*('Doğrudan Alım İşlemleri'!$H$2:$H$2030&lt;&gt;"")*'Doğrudan Alım İşlemleri'!$H$2:$H$2030)/SUMPRODUCT((YEAR('Doğrudan Alım İşlemleri'!$B$2:$B$2030)=$A$8)*ISNUMBER('Doğrudan Alım İşlemleri'!$K$2:$K$2030)*('Doğrudan Alım İşlemleri'!$H$2:$H$2030&lt;&gt;"")*'Doğrudan Alım İşlemleri'!$H$2:$H$2030),"")</f>
        <v/>
      </c>
      <c r="H8" s="24">
        <f>IFERROR(SUMPRODUCT((YEAR('Doğrudan Alım İşlemleri'!$B$2:$B$2030)=$A$8)*ISNUMBER('Doğrudan Alım İşlemleri'!$N$2:$N$2030)*'Doğrudan Alım İşlemleri'!$N$2:$N$2030*('Doğrudan Alım İşlemleri'!$H$2:$H$2030&lt;&gt;"")*'Doğrudan Alım İşlemleri'!$H$2:$H$2030)/SUMPRODUCT((YEAR('Doğrudan Alım İşlemleri'!$B$2:$B$2030)=$A$8)*ISNUMBER('Doğrudan Alım İşlemleri'!$N$2:$N$2030)*('Doğrudan Alım İşlemleri'!$H$2:$H$2030&lt;&gt;"")*'Doğrudan Alım İşlemleri'!$H$2:$H$2030),"")</f>
        <v/>
      </c>
      <c r="I8" s="8">
        <f>IFERROR(SUMPRODUCT((YEAR('Doğrudan Alım İşlemleri'!$B$2:$B$2030)=$A$8)*('Doğrudan Alım İşlemleri'!$E$2:$E$2030-'Doğrudan Alım İşlemleri'!$D$2:$D$2030)*('Doğrudan Alım İşlemleri'!$H$2:$H$2030&lt;&gt;"")*'Doğrudan Alım İşlemleri'!$H$2:$H$2030)/SUMPRODUCT((YEAR('Doğrudan Alım İşlemleri'!$B$2:$B$2030)=$A$8)*('Doğrudan Alım İşlemleri'!$H$2:$H$2030&lt;&gt;"")*'Doğrudan Alım İşlemleri'!$H$2:$H$2030),"")</f>
        <v/>
      </c>
    </row>
    <row r="9">
      <c r="A9" s="16" t="n">
        <v>2014</v>
      </c>
      <c r="B9" s="11">
        <f>SUMPRODUCT((YEAR('Doğrudan Alım İşlemleri'!$B$2:$B$2030)=$A$9)*1)</f>
        <v/>
      </c>
      <c r="C9" s="11">
        <f>SUMPRODUCT((YEAR('Doğrudan Alım İşlemleri'!$B$2:$B$2030)=$A$9)*('Doğrudan Alım İşlemleri'!$G$2:$G$2030&lt;&gt;"")*'Doğrudan Alım İşlemleri'!$G$2:$G$2030)</f>
        <v/>
      </c>
      <c r="D9" s="11">
        <f>SUMPRODUCT((YEAR('Doğrudan Alım İşlemleri'!$B$2:$B$2030)=$A$9)*('Doğrudan Alım İşlemleri'!$H$2:$H$2030&lt;&gt;"")*'Doğrudan Alım İşlemleri'!$H$2:$H$2030)</f>
        <v/>
      </c>
      <c r="E9" s="13">
        <f>SUMPRODUCT((YEAR('Doğrudan Alım İşlemleri'!$B$2:$B$2030)=$A$9)*('Doğrudan Alım İşlemleri'!$I$2:$I$2030&lt;&gt;"")*'Doğrudan Alım İşlemleri'!$I$2:$I$2030)</f>
        <v/>
      </c>
      <c r="F9" s="17">
        <f>IFERROR(D9/C9*100,"")</f>
        <v/>
      </c>
      <c r="G9" s="13">
        <f>IFERROR(SUMPRODUCT((YEAR('Doğrudan Alım İşlemleri'!$B$2:$B$2030)=$A$9)*ISNUMBER('Doğrudan Alım İşlemleri'!$K$2:$K$2030)*'Doğrudan Alım İşlemleri'!$K$2:$K$2030*('Doğrudan Alım İşlemleri'!$H$2:$H$2030&lt;&gt;"")*'Doğrudan Alım İşlemleri'!$H$2:$H$2030)/SUMPRODUCT((YEAR('Doğrudan Alım İşlemleri'!$B$2:$B$2030)=$A$9)*ISNUMBER('Doğrudan Alım İşlemleri'!$K$2:$K$2030)*('Doğrudan Alım İşlemleri'!$H$2:$H$2030&lt;&gt;"")*'Doğrudan Alım İşlemleri'!$H$2:$H$2030),"")</f>
        <v/>
      </c>
      <c r="H9" s="13">
        <f>IFERROR(SUMPRODUCT((YEAR('Doğrudan Alım İşlemleri'!$B$2:$B$2030)=$A$9)*ISNUMBER('Doğrudan Alım İşlemleri'!$N$2:$N$2030)*'Doğrudan Alım İşlemleri'!$N$2:$N$2030*('Doğrudan Alım İşlemleri'!$H$2:$H$2030&lt;&gt;"")*'Doğrudan Alım İşlemleri'!$H$2:$H$2030)/SUMPRODUCT((YEAR('Doğrudan Alım İşlemleri'!$B$2:$B$2030)=$A$9)*ISNUMBER('Doğrudan Alım İşlemleri'!$N$2:$N$2030)*('Doğrudan Alım İşlemleri'!$H$2:$H$2030&lt;&gt;"")*'Doğrudan Alım İşlemleri'!$H$2:$H$2030),"")</f>
        <v/>
      </c>
      <c r="I9" s="11">
        <f>IFERROR(SUMPRODUCT((YEAR('Doğrudan Alım İşlemleri'!$B$2:$B$2030)=$A$9)*('Doğrudan Alım İşlemleri'!$E$2:$E$2030-'Doğrudan Alım İşlemleri'!$D$2:$D$2030)*('Doğrudan Alım İşlemleri'!$H$2:$H$2030&lt;&gt;"")*'Doğrudan Alım İşlemleri'!$H$2:$H$2030)/SUMPRODUCT((YEAR('Doğrudan Alım İşlemleri'!$B$2:$B$2030)=$A$9)*('Doğrudan Alım İşlemleri'!$H$2:$H$2030&lt;&gt;"")*'Doğrudan Alım İşlemleri'!$H$2:$H$2030),"")</f>
        <v/>
      </c>
    </row>
    <row r="10">
      <c r="A10" s="15" t="n">
        <v>2015</v>
      </c>
      <c r="B10" s="8">
        <f>SUMPRODUCT((YEAR('Doğrudan Alım İşlemleri'!$B$2:$B$2030)=$A$10)*1)</f>
        <v/>
      </c>
      <c r="C10" s="8">
        <f>SUMPRODUCT((YEAR('Doğrudan Alım İşlemleri'!$B$2:$B$2030)=$A$10)*('Doğrudan Alım İşlemleri'!$G$2:$G$2030&lt;&gt;"")*'Doğrudan Alım İşlemleri'!$G$2:$G$2030)</f>
        <v/>
      </c>
      <c r="D10" s="8">
        <f>SUMPRODUCT((YEAR('Doğrudan Alım İşlemleri'!$B$2:$B$2030)=$A$10)*('Doğrudan Alım İşlemleri'!$H$2:$H$2030&lt;&gt;"")*'Doğrudan Alım İşlemleri'!$H$2:$H$2030)</f>
        <v/>
      </c>
      <c r="E10" s="24">
        <f>SUMPRODUCT((YEAR('Doğrudan Alım İşlemleri'!$B$2:$B$2030)=$A$10)*('Doğrudan Alım İşlemleri'!$I$2:$I$2030&lt;&gt;"")*'Doğrudan Alım İşlemleri'!$I$2:$I$2030)</f>
        <v/>
      </c>
      <c r="F10" s="12">
        <f>IFERROR(D10/C10*100,"")</f>
        <v/>
      </c>
      <c r="G10" s="24">
        <f>IFERROR(SUMPRODUCT((YEAR('Doğrudan Alım İşlemleri'!$B$2:$B$2030)=$A$10)*ISNUMBER('Doğrudan Alım İşlemleri'!$K$2:$K$2030)*'Doğrudan Alım İşlemleri'!$K$2:$K$2030*('Doğrudan Alım İşlemleri'!$H$2:$H$2030&lt;&gt;"")*'Doğrudan Alım İşlemleri'!$H$2:$H$2030)/SUMPRODUCT((YEAR('Doğrudan Alım İşlemleri'!$B$2:$B$2030)=$A$10)*ISNUMBER('Doğrudan Alım İşlemleri'!$K$2:$K$2030)*('Doğrudan Alım İşlemleri'!$H$2:$H$2030&lt;&gt;"")*'Doğrudan Alım İşlemleri'!$H$2:$H$2030),"")</f>
        <v/>
      </c>
      <c r="H10" s="24">
        <f>IFERROR(SUMPRODUCT((YEAR('Doğrudan Alım İşlemleri'!$B$2:$B$2030)=$A$10)*ISNUMBER('Doğrudan Alım İşlemleri'!$N$2:$N$2030)*'Doğrudan Alım İşlemleri'!$N$2:$N$2030*('Doğrudan Alım İşlemleri'!$H$2:$H$2030&lt;&gt;"")*'Doğrudan Alım İşlemleri'!$H$2:$H$2030)/SUMPRODUCT((YEAR('Doğrudan Alım İşlemleri'!$B$2:$B$2030)=$A$10)*ISNUMBER('Doğrudan Alım İşlemleri'!$N$2:$N$2030)*('Doğrudan Alım İşlemleri'!$H$2:$H$2030&lt;&gt;"")*'Doğrudan Alım İşlemleri'!$H$2:$H$2030),"")</f>
        <v/>
      </c>
      <c r="I10" s="8">
        <f>IFERROR(SUMPRODUCT((YEAR('Doğrudan Alım İşlemleri'!$B$2:$B$2030)=$A$10)*('Doğrudan Alım İşlemleri'!$E$2:$E$2030-'Doğrudan Alım İşlemleri'!$D$2:$D$2030)*('Doğrudan Alım İşlemleri'!$H$2:$H$2030&lt;&gt;"")*'Doğrudan Alım İşlemleri'!$H$2:$H$2030)/SUMPRODUCT((YEAR('Doğrudan Alım İşlemleri'!$B$2:$B$2030)=$A$10)*('Doğrudan Alım İşlemleri'!$H$2:$H$2030&lt;&gt;"")*'Doğrudan Alım İşlemleri'!$H$2:$H$2030),"")</f>
        <v/>
      </c>
    </row>
    <row r="11">
      <c r="A11" s="16" t="n">
        <v>2016</v>
      </c>
      <c r="B11" s="11">
        <f>SUMPRODUCT((YEAR('Doğrudan Alım İşlemleri'!$B$2:$B$2030)=$A$11)*1)</f>
        <v/>
      </c>
      <c r="C11" s="11">
        <f>SUMPRODUCT((YEAR('Doğrudan Alım İşlemleri'!$B$2:$B$2030)=$A$11)*('Doğrudan Alım İşlemleri'!$G$2:$G$2030&lt;&gt;"")*'Doğrudan Alım İşlemleri'!$G$2:$G$2030)</f>
        <v/>
      </c>
      <c r="D11" s="11">
        <f>SUMPRODUCT((YEAR('Doğrudan Alım İşlemleri'!$B$2:$B$2030)=$A$11)*('Doğrudan Alım İşlemleri'!$H$2:$H$2030&lt;&gt;"")*'Doğrudan Alım İşlemleri'!$H$2:$H$2030)</f>
        <v/>
      </c>
      <c r="E11" s="13">
        <f>SUMPRODUCT((YEAR('Doğrudan Alım İşlemleri'!$B$2:$B$2030)=$A$11)*('Doğrudan Alım İşlemleri'!$I$2:$I$2030&lt;&gt;"")*'Doğrudan Alım İşlemleri'!$I$2:$I$2030)</f>
        <v/>
      </c>
      <c r="F11" s="17">
        <f>IFERROR(D11/C11*100,"")</f>
        <v/>
      </c>
      <c r="G11" s="13">
        <f>IFERROR(SUMPRODUCT((YEAR('Doğrudan Alım İşlemleri'!$B$2:$B$2030)=$A$11)*ISNUMBER('Doğrudan Alım İşlemleri'!$K$2:$K$2030)*'Doğrudan Alım İşlemleri'!$K$2:$K$2030*('Doğrudan Alım İşlemleri'!$H$2:$H$2030&lt;&gt;"")*'Doğrudan Alım İşlemleri'!$H$2:$H$2030)/SUMPRODUCT((YEAR('Doğrudan Alım İşlemleri'!$B$2:$B$2030)=$A$11)*ISNUMBER('Doğrudan Alım İşlemleri'!$K$2:$K$2030)*('Doğrudan Alım İşlemleri'!$H$2:$H$2030&lt;&gt;"")*'Doğrudan Alım İşlemleri'!$H$2:$H$2030),"")</f>
        <v/>
      </c>
      <c r="H11" s="13">
        <f>IFERROR(SUMPRODUCT((YEAR('Doğrudan Alım İşlemleri'!$B$2:$B$2030)=$A$11)*ISNUMBER('Doğrudan Alım İşlemleri'!$N$2:$N$2030)*'Doğrudan Alım İşlemleri'!$N$2:$N$2030*('Doğrudan Alım İşlemleri'!$H$2:$H$2030&lt;&gt;"")*'Doğrudan Alım İşlemleri'!$H$2:$H$2030)/SUMPRODUCT((YEAR('Doğrudan Alım İşlemleri'!$B$2:$B$2030)=$A$11)*ISNUMBER('Doğrudan Alım İşlemleri'!$N$2:$N$2030)*('Doğrudan Alım İşlemleri'!$H$2:$H$2030&lt;&gt;"")*'Doğrudan Alım İşlemleri'!$H$2:$H$2030),"")</f>
        <v/>
      </c>
      <c r="I11" s="11">
        <f>IFERROR(SUMPRODUCT((YEAR('Doğrudan Alım İşlemleri'!$B$2:$B$2030)=$A$11)*('Doğrudan Alım İşlemleri'!$E$2:$E$2030-'Doğrudan Alım İşlemleri'!$D$2:$D$2030)*('Doğrudan Alım İşlemleri'!$H$2:$H$2030&lt;&gt;"")*'Doğrudan Alım İşlemleri'!$H$2:$H$2030)/SUMPRODUCT((YEAR('Doğrudan Alım İşlemleri'!$B$2:$B$2030)=$A$11)*('Doğrudan Alım İşlemleri'!$H$2:$H$2030&lt;&gt;"")*'Doğrudan Alım İşlemleri'!$H$2:$H$2030),"")</f>
        <v/>
      </c>
    </row>
    <row r="12">
      <c r="A12" s="15" t="n">
        <v>2017</v>
      </c>
      <c r="B12" s="8">
        <f>SUMPRODUCT((YEAR('Doğrudan Alım İşlemleri'!$B$2:$B$2030)=$A$12)*1)</f>
        <v/>
      </c>
      <c r="C12" s="8">
        <f>SUMPRODUCT((YEAR('Doğrudan Alım İşlemleri'!$B$2:$B$2030)=$A$12)*('Doğrudan Alım İşlemleri'!$G$2:$G$2030&lt;&gt;"")*'Doğrudan Alım İşlemleri'!$G$2:$G$2030)</f>
        <v/>
      </c>
      <c r="D12" s="8">
        <f>SUMPRODUCT((YEAR('Doğrudan Alım İşlemleri'!$B$2:$B$2030)=$A$12)*('Doğrudan Alım İşlemleri'!$H$2:$H$2030&lt;&gt;"")*'Doğrudan Alım İşlemleri'!$H$2:$H$2030)</f>
        <v/>
      </c>
      <c r="E12" s="24">
        <f>SUMPRODUCT((YEAR('Doğrudan Alım İşlemleri'!$B$2:$B$2030)=$A$12)*('Doğrudan Alım İşlemleri'!$I$2:$I$2030&lt;&gt;"")*'Doğrudan Alım İşlemleri'!$I$2:$I$2030)</f>
        <v/>
      </c>
      <c r="F12" s="12">
        <f>IFERROR(D12/C12*100,"")</f>
        <v/>
      </c>
      <c r="G12" s="24">
        <f>IFERROR(SUMPRODUCT((YEAR('Doğrudan Alım İşlemleri'!$B$2:$B$2030)=$A$12)*ISNUMBER('Doğrudan Alım İşlemleri'!$K$2:$K$2030)*'Doğrudan Alım İşlemleri'!$K$2:$K$2030*('Doğrudan Alım İşlemleri'!$H$2:$H$2030&lt;&gt;"")*'Doğrudan Alım İşlemleri'!$H$2:$H$2030)/SUMPRODUCT((YEAR('Doğrudan Alım İşlemleri'!$B$2:$B$2030)=$A$12)*ISNUMBER('Doğrudan Alım İşlemleri'!$K$2:$K$2030)*('Doğrudan Alım İşlemleri'!$H$2:$H$2030&lt;&gt;"")*'Doğrudan Alım İşlemleri'!$H$2:$H$2030),"")</f>
        <v/>
      </c>
      <c r="H12" s="24">
        <f>IFERROR(SUMPRODUCT((YEAR('Doğrudan Alım İşlemleri'!$B$2:$B$2030)=$A$12)*ISNUMBER('Doğrudan Alım İşlemleri'!$N$2:$N$2030)*'Doğrudan Alım İşlemleri'!$N$2:$N$2030*('Doğrudan Alım İşlemleri'!$H$2:$H$2030&lt;&gt;"")*'Doğrudan Alım İşlemleri'!$H$2:$H$2030)/SUMPRODUCT((YEAR('Doğrudan Alım İşlemleri'!$B$2:$B$2030)=$A$12)*ISNUMBER('Doğrudan Alım İşlemleri'!$N$2:$N$2030)*('Doğrudan Alım İşlemleri'!$H$2:$H$2030&lt;&gt;"")*'Doğrudan Alım İşlemleri'!$H$2:$H$2030),"")</f>
        <v/>
      </c>
      <c r="I12" s="8">
        <f>IFERROR(SUMPRODUCT((YEAR('Doğrudan Alım İşlemleri'!$B$2:$B$2030)=$A$12)*('Doğrudan Alım İşlemleri'!$E$2:$E$2030-'Doğrudan Alım İşlemleri'!$D$2:$D$2030)*('Doğrudan Alım İşlemleri'!$H$2:$H$2030&lt;&gt;"")*'Doğrudan Alım İşlemleri'!$H$2:$H$2030)/SUMPRODUCT((YEAR('Doğrudan Alım İşlemleri'!$B$2:$B$2030)=$A$12)*('Doğrudan Alım İşlemleri'!$H$2:$H$2030&lt;&gt;"")*'Doğrudan Alım İşlemleri'!$H$2:$H$2030),"")</f>
        <v/>
      </c>
    </row>
    <row r="13">
      <c r="A13" s="16" t="n">
        <v>2018</v>
      </c>
      <c r="B13" s="11">
        <f>SUMPRODUCT((YEAR('Doğrudan Alım İşlemleri'!$B$2:$B$2030)=$A$13)*1)</f>
        <v/>
      </c>
      <c r="C13" s="11">
        <f>SUMPRODUCT((YEAR('Doğrudan Alım İşlemleri'!$B$2:$B$2030)=$A$13)*('Doğrudan Alım İşlemleri'!$G$2:$G$2030&lt;&gt;"")*'Doğrudan Alım İşlemleri'!$G$2:$G$2030)</f>
        <v/>
      </c>
      <c r="D13" s="11">
        <f>SUMPRODUCT((YEAR('Doğrudan Alım İşlemleri'!$B$2:$B$2030)=$A$13)*('Doğrudan Alım İşlemleri'!$H$2:$H$2030&lt;&gt;"")*'Doğrudan Alım İşlemleri'!$H$2:$H$2030)</f>
        <v/>
      </c>
      <c r="E13" s="13">
        <f>SUMPRODUCT((YEAR('Doğrudan Alım İşlemleri'!$B$2:$B$2030)=$A$13)*('Doğrudan Alım İşlemleri'!$I$2:$I$2030&lt;&gt;"")*'Doğrudan Alım İşlemleri'!$I$2:$I$2030)</f>
        <v/>
      </c>
      <c r="F13" s="17">
        <f>IFERROR(D13/C13*100,"")</f>
        <v/>
      </c>
      <c r="G13" s="13">
        <f>IFERROR(SUMPRODUCT((YEAR('Doğrudan Alım İşlemleri'!$B$2:$B$2030)=$A$13)*ISNUMBER('Doğrudan Alım İşlemleri'!$K$2:$K$2030)*'Doğrudan Alım İşlemleri'!$K$2:$K$2030*('Doğrudan Alım İşlemleri'!$H$2:$H$2030&lt;&gt;"")*'Doğrudan Alım İşlemleri'!$H$2:$H$2030)/SUMPRODUCT((YEAR('Doğrudan Alım İşlemleri'!$B$2:$B$2030)=$A$13)*ISNUMBER('Doğrudan Alım İşlemleri'!$K$2:$K$2030)*('Doğrudan Alım İşlemleri'!$H$2:$H$2030&lt;&gt;"")*'Doğrudan Alım İşlemleri'!$H$2:$H$2030),"")</f>
        <v/>
      </c>
      <c r="H13" s="13">
        <f>IFERROR(SUMPRODUCT((YEAR('Doğrudan Alım İşlemleri'!$B$2:$B$2030)=$A$13)*ISNUMBER('Doğrudan Alım İşlemleri'!$N$2:$N$2030)*'Doğrudan Alım İşlemleri'!$N$2:$N$2030*('Doğrudan Alım İşlemleri'!$H$2:$H$2030&lt;&gt;"")*'Doğrudan Alım İşlemleri'!$H$2:$H$2030)/SUMPRODUCT((YEAR('Doğrudan Alım İşlemleri'!$B$2:$B$2030)=$A$13)*ISNUMBER('Doğrudan Alım İşlemleri'!$N$2:$N$2030)*('Doğrudan Alım İşlemleri'!$H$2:$H$2030&lt;&gt;"")*'Doğrudan Alım İşlemleri'!$H$2:$H$2030),"")</f>
        <v/>
      </c>
      <c r="I13" s="11">
        <f>IFERROR(SUMPRODUCT((YEAR('Doğrudan Alım İşlemleri'!$B$2:$B$2030)=$A$13)*('Doğrudan Alım İşlemleri'!$E$2:$E$2030-'Doğrudan Alım İşlemleri'!$D$2:$D$2030)*('Doğrudan Alım İşlemleri'!$H$2:$H$2030&lt;&gt;"")*'Doğrudan Alım İşlemleri'!$H$2:$H$2030)/SUMPRODUCT((YEAR('Doğrudan Alım İşlemleri'!$B$2:$B$2030)=$A$13)*('Doğrudan Alım İşlemleri'!$H$2:$H$2030&lt;&gt;"")*'Doğrudan Alım İşlemleri'!$H$2:$H$2030),"")</f>
        <v/>
      </c>
    </row>
    <row r="14">
      <c r="A14" s="15" t="n">
        <v>2019</v>
      </c>
      <c r="B14" s="8">
        <f>SUMPRODUCT((YEAR('Doğrudan Alım İşlemleri'!$B$2:$B$2030)=$A$14)*1)</f>
        <v/>
      </c>
      <c r="C14" s="8">
        <f>SUMPRODUCT((YEAR('Doğrudan Alım İşlemleri'!$B$2:$B$2030)=$A$14)*('Doğrudan Alım İşlemleri'!$G$2:$G$2030&lt;&gt;"")*'Doğrudan Alım İşlemleri'!$G$2:$G$2030)</f>
        <v/>
      </c>
      <c r="D14" s="8">
        <f>SUMPRODUCT((YEAR('Doğrudan Alım İşlemleri'!$B$2:$B$2030)=$A$14)*('Doğrudan Alım İşlemleri'!$H$2:$H$2030&lt;&gt;"")*'Doğrudan Alım İşlemleri'!$H$2:$H$2030)</f>
        <v/>
      </c>
      <c r="E14" s="24">
        <f>SUMPRODUCT((YEAR('Doğrudan Alım İşlemleri'!$B$2:$B$2030)=$A$14)*('Doğrudan Alım İşlemleri'!$I$2:$I$2030&lt;&gt;"")*'Doğrudan Alım İşlemleri'!$I$2:$I$2030)</f>
        <v/>
      </c>
      <c r="F14" s="12">
        <f>IFERROR(D14/C14*100,"")</f>
        <v/>
      </c>
      <c r="G14" s="24">
        <f>IFERROR(SUMPRODUCT((YEAR('Doğrudan Alım İşlemleri'!$B$2:$B$2030)=$A$14)*ISNUMBER('Doğrudan Alım İşlemleri'!$K$2:$K$2030)*'Doğrudan Alım İşlemleri'!$K$2:$K$2030*('Doğrudan Alım İşlemleri'!$H$2:$H$2030&lt;&gt;"")*'Doğrudan Alım İşlemleri'!$H$2:$H$2030)/SUMPRODUCT((YEAR('Doğrudan Alım İşlemleri'!$B$2:$B$2030)=$A$14)*ISNUMBER('Doğrudan Alım İşlemleri'!$K$2:$K$2030)*('Doğrudan Alım İşlemleri'!$H$2:$H$2030&lt;&gt;"")*'Doğrudan Alım İşlemleri'!$H$2:$H$2030),"")</f>
        <v/>
      </c>
      <c r="H14" s="24">
        <f>IFERROR(SUMPRODUCT((YEAR('Doğrudan Alım İşlemleri'!$B$2:$B$2030)=$A$14)*ISNUMBER('Doğrudan Alım İşlemleri'!$N$2:$N$2030)*'Doğrudan Alım İşlemleri'!$N$2:$N$2030*('Doğrudan Alım İşlemleri'!$H$2:$H$2030&lt;&gt;"")*'Doğrudan Alım İşlemleri'!$H$2:$H$2030)/SUMPRODUCT((YEAR('Doğrudan Alım İşlemleri'!$B$2:$B$2030)=$A$14)*ISNUMBER('Doğrudan Alım İşlemleri'!$N$2:$N$2030)*('Doğrudan Alım İşlemleri'!$H$2:$H$2030&lt;&gt;"")*'Doğrudan Alım İşlemleri'!$H$2:$H$2030),"")</f>
        <v/>
      </c>
      <c r="I14" s="8">
        <f>IFERROR(SUMPRODUCT((YEAR('Doğrudan Alım İşlemleri'!$B$2:$B$2030)=$A$14)*('Doğrudan Alım İşlemleri'!$E$2:$E$2030-'Doğrudan Alım İşlemleri'!$D$2:$D$2030)*('Doğrudan Alım İşlemleri'!$H$2:$H$2030&lt;&gt;"")*'Doğrudan Alım İşlemleri'!$H$2:$H$2030)/SUMPRODUCT((YEAR('Doğrudan Alım İşlemleri'!$B$2:$B$2030)=$A$14)*('Doğrudan Alım İşlemleri'!$H$2:$H$2030&lt;&gt;"")*'Doğrudan Alım İşlemleri'!$H$2:$H$2030),"")</f>
        <v/>
      </c>
    </row>
    <row r="15">
      <c r="A15" s="16" t="n">
        <v>2020</v>
      </c>
      <c r="B15" s="11">
        <f>SUMPRODUCT((YEAR('Doğrudan Alım İşlemleri'!$B$2:$B$2030)=$A$15)*1)</f>
        <v/>
      </c>
      <c r="C15" s="11">
        <f>SUMPRODUCT((YEAR('Doğrudan Alım İşlemleri'!$B$2:$B$2030)=$A$15)*('Doğrudan Alım İşlemleri'!$G$2:$G$2030&lt;&gt;"")*'Doğrudan Alım İşlemleri'!$G$2:$G$2030)</f>
        <v/>
      </c>
      <c r="D15" s="11">
        <f>SUMPRODUCT((YEAR('Doğrudan Alım İşlemleri'!$B$2:$B$2030)=$A$15)*('Doğrudan Alım İşlemleri'!$H$2:$H$2030&lt;&gt;"")*'Doğrudan Alım İşlemleri'!$H$2:$H$2030)</f>
        <v/>
      </c>
      <c r="E15" s="13">
        <f>SUMPRODUCT((YEAR('Doğrudan Alım İşlemleri'!$B$2:$B$2030)=$A$15)*('Doğrudan Alım İşlemleri'!$I$2:$I$2030&lt;&gt;"")*'Doğrudan Alım İşlemleri'!$I$2:$I$2030)</f>
        <v/>
      </c>
      <c r="F15" s="17">
        <f>IFERROR(D15/C15*100,"")</f>
        <v/>
      </c>
      <c r="G15" s="13">
        <f>IFERROR(SUMPRODUCT((YEAR('Doğrudan Alım İşlemleri'!$B$2:$B$2030)=$A$15)*ISNUMBER('Doğrudan Alım İşlemleri'!$K$2:$K$2030)*'Doğrudan Alım İşlemleri'!$K$2:$K$2030*('Doğrudan Alım İşlemleri'!$H$2:$H$2030&lt;&gt;"")*'Doğrudan Alım İşlemleri'!$H$2:$H$2030)/SUMPRODUCT((YEAR('Doğrudan Alım İşlemleri'!$B$2:$B$2030)=$A$15)*ISNUMBER('Doğrudan Alım İşlemleri'!$K$2:$K$2030)*('Doğrudan Alım İşlemleri'!$H$2:$H$2030&lt;&gt;"")*'Doğrudan Alım İşlemleri'!$H$2:$H$2030),"")</f>
        <v/>
      </c>
      <c r="H15" s="13">
        <f>IFERROR(SUMPRODUCT((YEAR('Doğrudan Alım İşlemleri'!$B$2:$B$2030)=$A$15)*ISNUMBER('Doğrudan Alım İşlemleri'!$N$2:$N$2030)*'Doğrudan Alım İşlemleri'!$N$2:$N$2030*('Doğrudan Alım İşlemleri'!$H$2:$H$2030&lt;&gt;"")*'Doğrudan Alım İşlemleri'!$H$2:$H$2030)/SUMPRODUCT((YEAR('Doğrudan Alım İşlemleri'!$B$2:$B$2030)=$A$15)*ISNUMBER('Doğrudan Alım İşlemleri'!$N$2:$N$2030)*('Doğrudan Alım İşlemleri'!$H$2:$H$2030&lt;&gt;"")*'Doğrudan Alım İşlemleri'!$H$2:$H$2030),"")</f>
        <v/>
      </c>
      <c r="I15" s="11">
        <f>IFERROR(SUMPRODUCT((YEAR('Doğrudan Alım İşlemleri'!$B$2:$B$2030)=$A$15)*('Doğrudan Alım İşlemleri'!$E$2:$E$2030-'Doğrudan Alım İşlemleri'!$D$2:$D$2030)*('Doğrudan Alım İşlemleri'!$H$2:$H$2030&lt;&gt;"")*'Doğrudan Alım İşlemleri'!$H$2:$H$2030)/SUMPRODUCT((YEAR('Doğrudan Alım İşlemleri'!$B$2:$B$2030)=$A$15)*('Doğrudan Alım İşlemleri'!$H$2:$H$2030&lt;&gt;"")*'Doğrudan Alım İşlemleri'!$H$2:$H$2030),"")</f>
        <v/>
      </c>
    </row>
    <row r="16">
      <c r="A16" s="15" t="n">
        <v>2021</v>
      </c>
      <c r="B16" s="8">
        <f>SUMPRODUCT((YEAR('Doğrudan Alım İşlemleri'!$B$2:$B$2030)=$A$16)*1)</f>
        <v/>
      </c>
      <c r="C16" s="8">
        <f>SUMPRODUCT((YEAR('Doğrudan Alım İşlemleri'!$B$2:$B$2030)=$A$16)*('Doğrudan Alım İşlemleri'!$G$2:$G$2030&lt;&gt;"")*'Doğrudan Alım İşlemleri'!$G$2:$G$2030)</f>
        <v/>
      </c>
      <c r="D16" s="8">
        <f>SUMPRODUCT((YEAR('Doğrudan Alım İşlemleri'!$B$2:$B$2030)=$A$16)*('Doğrudan Alım İşlemleri'!$H$2:$H$2030&lt;&gt;"")*'Doğrudan Alım İşlemleri'!$H$2:$H$2030)</f>
        <v/>
      </c>
      <c r="E16" s="24">
        <f>SUMPRODUCT((YEAR('Doğrudan Alım İşlemleri'!$B$2:$B$2030)=$A$16)*('Doğrudan Alım İşlemleri'!$I$2:$I$2030&lt;&gt;"")*'Doğrudan Alım İşlemleri'!$I$2:$I$2030)</f>
        <v/>
      </c>
      <c r="F16" s="12">
        <f>IFERROR(D16/C16*100,"")</f>
        <v/>
      </c>
      <c r="G16" s="24">
        <f>IFERROR(SUMPRODUCT((YEAR('Doğrudan Alım İşlemleri'!$B$2:$B$2030)=$A$16)*ISNUMBER('Doğrudan Alım İşlemleri'!$K$2:$K$2030)*'Doğrudan Alım İşlemleri'!$K$2:$K$2030*('Doğrudan Alım İşlemleri'!$H$2:$H$2030&lt;&gt;"")*'Doğrudan Alım İşlemleri'!$H$2:$H$2030)/SUMPRODUCT((YEAR('Doğrudan Alım İşlemleri'!$B$2:$B$2030)=$A$16)*ISNUMBER('Doğrudan Alım İşlemleri'!$K$2:$K$2030)*('Doğrudan Alım İşlemleri'!$H$2:$H$2030&lt;&gt;"")*'Doğrudan Alım İşlemleri'!$H$2:$H$2030),"")</f>
        <v/>
      </c>
      <c r="H16" s="24">
        <f>IFERROR(SUMPRODUCT((YEAR('Doğrudan Alım İşlemleri'!$B$2:$B$2030)=$A$16)*ISNUMBER('Doğrudan Alım İşlemleri'!$N$2:$N$2030)*'Doğrudan Alım İşlemleri'!$N$2:$N$2030*('Doğrudan Alım İşlemleri'!$H$2:$H$2030&lt;&gt;"")*'Doğrudan Alım İşlemleri'!$H$2:$H$2030)/SUMPRODUCT((YEAR('Doğrudan Alım İşlemleri'!$B$2:$B$2030)=$A$16)*ISNUMBER('Doğrudan Alım İşlemleri'!$N$2:$N$2030)*('Doğrudan Alım İşlemleri'!$H$2:$H$2030&lt;&gt;"")*'Doğrudan Alım İşlemleri'!$H$2:$H$2030),"")</f>
        <v/>
      </c>
      <c r="I16" s="8">
        <f>IFERROR(SUMPRODUCT((YEAR('Doğrudan Alım İşlemleri'!$B$2:$B$2030)=$A$16)*('Doğrudan Alım İşlemleri'!$E$2:$E$2030-'Doğrudan Alım İşlemleri'!$D$2:$D$2030)*('Doğrudan Alım İşlemleri'!$H$2:$H$2030&lt;&gt;"")*'Doğrudan Alım İşlemleri'!$H$2:$H$2030)/SUMPRODUCT((YEAR('Doğrudan Alım İşlemleri'!$B$2:$B$2030)=$A$16)*('Doğrudan Alım İşlemleri'!$H$2:$H$2030&lt;&gt;"")*'Doğrudan Alım İşlemleri'!$H$2:$H$2030),"")</f>
        <v/>
      </c>
    </row>
    <row r="17">
      <c r="A17" s="16" t="n">
        <v>2022</v>
      </c>
      <c r="B17" s="11">
        <f>SUMPRODUCT((YEAR('Doğrudan Alım İşlemleri'!$B$2:$B$2030)=$A$17)*1)</f>
        <v/>
      </c>
      <c r="C17" s="11">
        <f>SUMPRODUCT((YEAR('Doğrudan Alım İşlemleri'!$B$2:$B$2030)=$A$17)*('Doğrudan Alım İşlemleri'!$G$2:$G$2030&lt;&gt;"")*'Doğrudan Alım İşlemleri'!$G$2:$G$2030)</f>
        <v/>
      </c>
      <c r="D17" s="11">
        <f>SUMPRODUCT((YEAR('Doğrudan Alım İşlemleri'!$B$2:$B$2030)=$A$17)*('Doğrudan Alım İşlemleri'!$H$2:$H$2030&lt;&gt;"")*'Doğrudan Alım İşlemleri'!$H$2:$H$2030)</f>
        <v/>
      </c>
      <c r="E17" s="13">
        <f>SUMPRODUCT((YEAR('Doğrudan Alım İşlemleri'!$B$2:$B$2030)=$A$17)*('Doğrudan Alım İşlemleri'!$I$2:$I$2030&lt;&gt;"")*'Doğrudan Alım İşlemleri'!$I$2:$I$2030)</f>
        <v/>
      </c>
      <c r="F17" s="17">
        <f>IFERROR(D17/C17*100,"")</f>
        <v/>
      </c>
      <c r="G17" s="13">
        <f>IFERROR(SUMPRODUCT((YEAR('Doğrudan Alım İşlemleri'!$B$2:$B$2030)=$A$17)*ISNUMBER('Doğrudan Alım İşlemleri'!$K$2:$K$2030)*'Doğrudan Alım İşlemleri'!$K$2:$K$2030*('Doğrudan Alım İşlemleri'!$H$2:$H$2030&lt;&gt;"")*'Doğrudan Alım İşlemleri'!$H$2:$H$2030)/SUMPRODUCT((YEAR('Doğrudan Alım İşlemleri'!$B$2:$B$2030)=$A$17)*ISNUMBER('Doğrudan Alım İşlemleri'!$K$2:$K$2030)*('Doğrudan Alım İşlemleri'!$H$2:$H$2030&lt;&gt;"")*'Doğrudan Alım İşlemleri'!$H$2:$H$2030),"")</f>
        <v/>
      </c>
      <c r="H17" s="13">
        <f>IFERROR(SUMPRODUCT((YEAR('Doğrudan Alım İşlemleri'!$B$2:$B$2030)=$A$17)*ISNUMBER('Doğrudan Alım İşlemleri'!$N$2:$N$2030)*'Doğrudan Alım İşlemleri'!$N$2:$N$2030*('Doğrudan Alım İşlemleri'!$H$2:$H$2030&lt;&gt;"")*'Doğrudan Alım İşlemleri'!$H$2:$H$2030)/SUMPRODUCT((YEAR('Doğrudan Alım İşlemleri'!$B$2:$B$2030)=$A$17)*ISNUMBER('Doğrudan Alım İşlemleri'!$N$2:$N$2030)*('Doğrudan Alım İşlemleri'!$H$2:$H$2030&lt;&gt;"")*'Doğrudan Alım İşlemleri'!$H$2:$H$2030),"")</f>
        <v/>
      </c>
      <c r="I17" s="11">
        <f>IFERROR(SUMPRODUCT((YEAR('Doğrudan Alım İşlemleri'!$B$2:$B$2030)=$A$17)*('Doğrudan Alım İşlemleri'!$E$2:$E$2030-'Doğrudan Alım İşlemleri'!$D$2:$D$2030)*('Doğrudan Alım İşlemleri'!$H$2:$H$2030&lt;&gt;"")*'Doğrudan Alım İşlemleri'!$H$2:$H$2030)/SUMPRODUCT((YEAR('Doğrudan Alım İşlemleri'!$B$2:$B$2030)=$A$17)*('Doğrudan Alım İşlemleri'!$H$2:$H$2030&lt;&gt;"")*'Doğrudan Alım İşlemleri'!$H$2:$H$2030),"")</f>
        <v/>
      </c>
    </row>
    <row r="18">
      <c r="A18" s="15" t="n">
        <v>2023</v>
      </c>
      <c r="B18" s="8">
        <f>SUMPRODUCT((YEAR('Doğrudan Alım İşlemleri'!$B$2:$B$2030)=$A$18)*1)</f>
        <v/>
      </c>
      <c r="C18" s="8">
        <f>SUMPRODUCT((YEAR('Doğrudan Alım İşlemleri'!$B$2:$B$2030)=$A$18)*('Doğrudan Alım İşlemleri'!$G$2:$G$2030&lt;&gt;"")*'Doğrudan Alım İşlemleri'!$G$2:$G$2030)</f>
        <v/>
      </c>
      <c r="D18" s="8">
        <f>SUMPRODUCT((YEAR('Doğrudan Alım İşlemleri'!$B$2:$B$2030)=$A$18)*('Doğrudan Alım İşlemleri'!$H$2:$H$2030&lt;&gt;"")*'Doğrudan Alım İşlemleri'!$H$2:$H$2030)</f>
        <v/>
      </c>
      <c r="E18" s="24">
        <f>SUMPRODUCT((YEAR('Doğrudan Alım İşlemleri'!$B$2:$B$2030)=$A$18)*('Doğrudan Alım İşlemleri'!$I$2:$I$2030&lt;&gt;"")*'Doğrudan Alım İşlemleri'!$I$2:$I$2030)</f>
        <v/>
      </c>
      <c r="F18" s="12">
        <f>IFERROR(D18/C18*100,"")</f>
        <v/>
      </c>
      <c r="G18" s="24">
        <f>IFERROR(SUMPRODUCT((YEAR('Doğrudan Alım İşlemleri'!$B$2:$B$2030)=$A$18)*ISNUMBER('Doğrudan Alım İşlemleri'!$K$2:$K$2030)*'Doğrudan Alım İşlemleri'!$K$2:$K$2030*('Doğrudan Alım İşlemleri'!$H$2:$H$2030&lt;&gt;"")*'Doğrudan Alım İşlemleri'!$H$2:$H$2030)/SUMPRODUCT((YEAR('Doğrudan Alım İşlemleri'!$B$2:$B$2030)=$A$18)*ISNUMBER('Doğrudan Alım İşlemleri'!$K$2:$K$2030)*('Doğrudan Alım İşlemleri'!$H$2:$H$2030&lt;&gt;"")*'Doğrudan Alım İşlemleri'!$H$2:$H$2030),"")</f>
        <v/>
      </c>
      <c r="H18" s="24">
        <f>IFERROR(SUMPRODUCT((YEAR('Doğrudan Alım İşlemleri'!$B$2:$B$2030)=$A$18)*ISNUMBER('Doğrudan Alım İşlemleri'!$N$2:$N$2030)*'Doğrudan Alım İşlemleri'!$N$2:$N$2030*('Doğrudan Alım İşlemleri'!$H$2:$H$2030&lt;&gt;"")*'Doğrudan Alım İşlemleri'!$H$2:$H$2030)/SUMPRODUCT((YEAR('Doğrudan Alım İşlemleri'!$B$2:$B$2030)=$A$18)*ISNUMBER('Doğrudan Alım İşlemleri'!$N$2:$N$2030)*('Doğrudan Alım İşlemleri'!$H$2:$H$2030&lt;&gt;"")*'Doğrudan Alım İşlemleri'!$H$2:$H$2030),"")</f>
        <v/>
      </c>
      <c r="I18" s="8">
        <f>IFERROR(SUMPRODUCT((YEAR('Doğrudan Alım İşlemleri'!$B$2:$B$2030)=$A$18)*('Doğrudan Alım İşlemleri'!$E$2:$E$2030-'Doğrudan Alım İşlemleri'!$D$2:$D$2030)*('Doğrudan Alım İşlemleri'!$H$2:$H$2030&lt;&gt;"")*'Doğrudan Alım İşlemleri'!$H$2:$H$2030)/SUMPRODUCT((YEAR('Doğrudan Alım İşlemleri'!$B$2:$B$2030)=$A$18)*('Doğrudan Alım İşlemleri'!$H$2:$H$2030&lt;&gt;"")*'Doğrudan Alım İşlemleri'!$H$2:$H$2030),"")</f>
        <v/>
      </c>
    </row>
    <row r="19">
      <c r="A19" s="16" t="n">
        <v>2024</v>
      </c>
      <c r="B19" s="11">
        <f>SUMPRODUCT((YEAR('Doğrudan Alım İşlemleri'!$B$2:$B$2030)=$A$19)*1)</f>
        <v/>
      </c>
      <c r="C19" s="11">
        <f>SUMPRODUCT((YEAR('Doğrudan Alım İşlemleri'!$B$2:$B$2030)=$A$19)*('Doğrudan Alım İşlemleri'!$G$2:$G$2030&lt;&gt;"")*'Doğrudan Alım İşlemleri'!$G$2:$G$2030)</f>
        <v/>
      </c>
      <c r="D19" s="11">
        <f>SUMPRODUCT((YEAR('Doğrudan Alım İşlemleri'!$B$2:$B$2030)=$A$19)*('Doğrudan Alım İşlemleri'!$H$2:$H$2030&lt;&gt;"")*'Doğrudan Alım İşlemleri'!$H$2:$H$2030)</f>
        <v/>
      </c>
      <c r="E19" s="13">
        <f>SUMPRODUCT((YEAR('Doğrudan Alım İşlemleri'!$B$2:$B$2030)=$A$19)*('Doğrudan Alım İşlemleri'!$I$2:$I$2030&lt;&gt;"")*'Doğrudan Alım İşlemleri'!$I$2:$I$2030)</f>
        <v/>
      </c>
      <c r="F19" s="17">
        <f>IFERROR(D19/C19*100,"")</f>
        <v/>
      </c>
      <c r="G19" s="13">
        <f>IFERROR(SUMPRODUCT((YEAR('Doğrudan Alım İşlemleri'!$B$2:$B$2030)=$A$19)*ISNUMBER('Doğrudan Alım İşlemleri'!$K$2:$K$2030)*'Doğrudan Alım İşlemleri'!$K$2:$K$2030*('Doğrudan Alım İşlemleri'!$H$2:$H$2030&lt;&gt;"")*'Doğrudan Alım İşlemleri'!$H$2:$H$2030)/SUMPRODUCT((YEAR('Doğrudan Alım İşlemleri'!$B$2:$B$2030)=$A$19)*ISNUMBER('Doğrudan Alım İşlemleri'!$K$2:$K$2030)*('Doğrudan Alım İşlemleri'!$H$2:$H$2030&lt;&gt;"")*'Doğrudan Alım İşlemleri'!$H$2:$H$2030),"")</f>
        <v/>
      </c>
      <c r="H19" s="13">
        <f>IFERROR(SUMPRODUCT((YEAR('Doğrudan Alım İşlemleri'!$B$2:$B$2030)=$A$19)*ISNUMBER('Doğrudan Alım İşlemleri'!$N$2:$N$2030)*'Doğrudan Alım İşlemleri'!$N$2:$N$2030*('Doğrudan Alım İşlemleri'!$H$2:$H$2030&lt;&gt;"")*'Doğrudan Alım İşlemleri'!$H$2:$H$2030)/SUMPRODUCT((YEAR('Doğrudan Alım İşlemleri'!$B$2:$B$2030)=$A$19)*ISNUMBER('Doğrudan Alım İşlemleri'!$N$2:$N$2030)*('Doğrudan Alım İşlemleri'!$H$2:$H$2030&lt;&gt;"")*'Doğrudan Alım İşlemleri'!$H$2:$H$2030),"")</f>
        <v/>
      </c>
      <c r="I19" s="11">
        <f>IFERROR(SUMPRODUCT((YEAR('Doğrudan Alım İşlemleri'!$B$2:$B$2030)=$A$19)*('Doğrudan Alım İşlemleri'!$E$2:$E$2030-'Doğrudan Alım İşlemleri'!$D$2:$D$2030)*('Doğrudan Alım İşlemleri'!$H$2:$H$2030&lt;&gt;"")*'Doğrudan Alım İşlemleri'!$H$2:$H$2030)/SUMPRODUCT((YEAR('Doğrudan Alım İşlemleri'!$B$2:$B$2030)=$A$19)*('Doğrudan Alım İşlemleri'!$H$2:$H$2030&lt;&gt;"")*'Doğrudan Alım İşlemleri'!$H$2:$H$2030),"")</f>
        <v/>
      </c>
    </row>
    <row r="20">
      <c r="A20" s="15" t="n">
        <v>2025</v>
      </c>
      <c r="B20" s="8">
        <f>SUMPRODUCT((YEAR('Doğrudan Alım İşlemleri'!$B$2:$B$2030)=$A$20)*1)</f>
        <v/>
      </c>
      <c r="C20" s="8">
        <f>SUMPRODUCT((YEAR('Doğrudan Alım İşlemleri'!$B$2:$B$2030)=$A$20)*('Doğrudan Alım İşlemleri'!$G$2:$G$2030&lt;&gt;"")*'Doğrudan Alım İşlemleri'!$G$2:$G$2030)</f>
        <v/>
      </c>
      <c r="D20" s="8">
        <f>SUMPRODUCT((YEAR('Doğrudan Alım İşlemleri'!$B$2:$B$2030)=$A$20)*('Doğrudan Alım İşlemleri'!$H$2:$H$2030&lt;&gt;"")*'Doğrudan Alım İşlemleri'!$H$2:$H$2030)</f>
        <v/>
      </c>
      <c r="E20" s="24">
        <f>SUMPRODUCT((YEAR('Doğrudan Alım İşlemleri'!$B$2:$B$2030)=$A$20)*('Doğrudan Alım İşlemleri'!$I$2:$I$2030&lt;&gt;"")*'Doğrudan Alım İşlemleri'!$I$2:$I$2030)</f>
        <v/>
      </c>
      <c r="F20" s="12">
        <f>IFERROR(D20/C20*100,"")</f>
        <v/>
      </c>
      <c r="G20" s="24">
        <f>IFERROR(SUMPRODUCT((YEAR('Doğrudan Alım İşlemleri'!$B$2:$B$2030)=$A$20)*ISNUMBER('Doğrudan Alım İşlemleri'!$K$2:$K$2030)*'Doğrudan Alım İşlemleri'!$K$2:$K$2030*('Doğrudan Alım İşlemleri'!$H$2:$H$2030&lt;&gt;"")*'Doğrudan Alım İşlemleri'!$H$2:$H$2030)/SUMPRODUCT((YEAR('Doğrudan Alım İşlemleri'!$B$2:$B$2030)=$A$20)*ISNUMBER('Doğrudan Alım İşlemleri'!$K$2:$K$2030)*('Doğrudan Alım İşlemleri'!$H$2:$H$2030&lt;&gt;"")*'Doğrudan Alım İşlemleri'!$H$2:$H$2030),"")</f>
        <v/>
      </c>
      <c r="H20" s="24">
        <f>IFERROR(SUMPRODUCT((YEAR('Doğrudan Alım İşlemleri'!$B$2:$B$2030)=$A$20)*ISNUMBER('Doğrudan Alım İşlemleri'!$N$2:$N$2030)*'Doğrudan Alım İşlemleri'!$N$2:$N$2030*('Doğrudan Alım İşlemleri'!$H$2:$H$2030&lt;&gt;"")*'Doğrudan Alım İşlemleri'!$H$2:$H$2030)/SUMPRODUCT((YEAR('Doğrudan Alım İşlemleri'!$B$2:$B$2030)=$A$20)*ISNUMBER('Doğrudan Alım İşlemleri'!$N$2:$N$2030)*('Doğrudan Alım İşlemleri'!$H$2:$H$2030&lt;&gt;"")*'Doğrudan Alım İşlemleri'!$H$2:$H$2030),"")</f>
        <v/>
      </c>
      <c r="I20" s="8">
        <f>IFERROR(SUMPRODUCT((YEAR('Doğrudan Alım İşlemleri'!$B$2:$B$2030)=$A$20)*('Doğrudan Alım İşlemleri'!$E$2:$E$2030-'Doğrudan Alım İşlemleri'!$D$2:$D$2030)*('Doğrudan Alım İşlemleri'!$H$2:$H$2030&lt;&gt;"")*'Doğrudan Alım İşlemleri'!$H$2:$H$2030)/SUMPRODUCT((YEAR('Doğrudan Alım İşlemleri'!$B$2:$B$2030)=$A$20)*('Doğrudan Alım İşlemleri'!$H$2:$H$2030&lt;&gt;"")*'Doğrudan Alım İşlemleri'!$H$2:$H$2030),"")</f>
        <v/>
      </c>
    </row>
    <row r="21">
      <c r="A21" s="16" t="n">
        <v>2026</v>
      </c>
      <c r="B21" s="11">
        <f>SUMPRODUCT((YEAR('Doğrudan Alım İşlemleri'!$B$2:$B$2030)=$A$21)*1)</f>
        <v/>
      </c>
      <c r="C21" s="11">
        <f>SUMPRODUCT((YEAR('Doğrudan Alım İşlemleri'!$B$2:$B$2030)=$A$21)*('Doğrudan Alım İşlemleri'!$G$2:$G$2030&lt;&gt;"")*'Doğrudan Alım İşlemleri'!$G$2:$G$2030)</f>
        <v/>
      </c>
      <c r="D21" s="11">
        <f>SUMPRODUCT((YEAR('Doğrudan Alım İşlemleri'!$B$2:$B$2030)=$A$21)*('Doğrudan Alım İşlemleri'!$H$2:$H$2030&lt;&gt;"")*'Doğrudan Alım İşlemleri'!$H$2:$H$2030)</f>
        <v/>
      </c>
      <c r="E21" s="13">
        <f>SUMPRODUCT((YEAR('Doğrudan Alım İşlemleri'!$B$2:$B$2030)=$A$21)*('Doğrudan Alım İşlemleri'!$I$2:$I$2030&lt;&gt;"")*'Doğrudan Alım İşlemleri'!$I$2:$I$2030)</f>
        <v/>
      </c>
      <c r="F21" s="17">
        <f>IFERROR(D21/C21*100,"")</f>
        <v/>
      </c>
      <c r="G21" s="13">
        <f>IFERROR(SUMPRODUCT((YEAR('Doğrudan Alım İşlemleri'!$B$2:$B$2030)=$A$21)*ISNUMBER('Doğrudan Alım İşlemleri'!$K$2:$K$2030)*'Doğrudan Alım İşlemleri'!$K$2:$K$2030*('Doğrudan Alım İşlemleri'!$H$2:$H$2030&lt;&gt;"")*'Doğrudan Alım İşlemleri'!$H$2:$H$2030)/SUMPRODUCT((YEAR('Doğrudan Alım İşlemleri'!$B$2:$B$2030)=$A$21)*ISNUMBER('Doğrudan Alım İşlemleri'!$K$2:$K$2030)*('Doğrudan Alım İşlemleri'!$H$2:$H$2030&lt;&gt;"")*'Doğrudan Alım İşlemleri'!$H$2:$H$2030),"")</f>
        <v/>
      </c>
      <c r="H21" s="13">
        <f>IFERROR(SUMPRODUCT((YEAR('Doğrudan Alım İşlemleri'!$B$2:$B$2030)=$A$21)*ISNUMBER('Doğrudan Alım İşlemleri'!$N$2:$N$2030)*'Doğrudan Alım İşlemleri'!$N$2:$N$2030*('Doğrudan Alım İşlemleri'!$H$2:$H$2030&lt;&gt;"")*'Doğrudan Alım İşlemleri'!$H$2:$H$2030)/SUMPRODUCT((YEAR('Doğrudan Alım İşlemleri'!$B$2:$B$2030)=$A$21)*ISNUMBER('Doğrudan Alım İşlemleri'!$N$2:$N$2030)*('Doğrudan Alım İşlemleri'!$H$2:$H$2030&lt;&gt;"")*'Doğrudan Alım İşlemleri'!$H$2:$H$2030),"")</f>
        <v/>
      </c>
      <c r="I21" s="11">
        <f>IFERROR(SUMPRODUCT((YEAR('Doğrudan Alım İşlemleri'!$B$2:$B$2030)=$A$21)*('Doğrudan Alım İşlemleri'!$E$2:$E$2030-'Doğrudan Alım İşlemleri'!$D$2:$D$2030)*('Doğrudan Alım İşlemleri'!$H$2:$H$2030&lt;&gt;"")*'Doğrudan Alım İşlemleri'!$H$2:$H$2030)/SUMPRODUCT((YEAR('Doğrudan Alım İşlemleri'!$B$2:$B$2030)=$A$21)*('Doğrudan Alım İşlemleri'!$H$2:$H$2030&lt;&gt;"")*'Doğrudan Alım İşlemleri'!$H$2:$H$2030),"")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İşlemleri'!$E$2:$E$2030)=$A$4)*('Doğrudan Alım İşlemleri'!$H$2:$H$2030&lt;&gt;"")*'Doğrudan Alım İşlemleri'!$H$2:$H$2030)</f>
        <v/>
      </c>
      <c r="C4" s="24">
        <f>SUMPRODUCT((YEAR('Doğrudan Alım İşlemleri'!$E$2:$E$2030)=$A$4)*('Doğrudan Alım İşlemleri'!$I$2:$I$2030&lt;&gt;"")*'Doğrudan Alım İşlemleri'!$I$2:$I$2030)</f>
        <v/>
      </c>
      <c r="D4" s="8">
        <f>SUMPRODUCT((YEAR('Doğrudan Alım İşlemleri'!$E$2:$E$2030)=$A$4)*1)</f>
        <v/>
      </c>
      <c r="E4" s="24">
        <f>IFERROR(SUMPRODUCT((YEAR('Doğrudan Alım İşlemleri'!$E$2:$E$2030)=$A$4)*ISNUMBER('Doğrudan Alım İşlemleri'!$N$2:$N$2030)*'Doğrudan Alım İşlemleri'!$N$2:$N$2030*('Doğrudan Alım İşlemleri'!$H$2:$H$2030&lt;&gt;"")*'Doğrudan Alım İşlemleri'!$H$2:$H$2030)/SUMPRODUCT((YEAR('Doğrudan Alım İşlemleri'!$E$2:$E$2030)=$A$4)*ISNUMBER('Doğrudan Alım İşlemleri'!$N$2:$N$2030)*('Doğrudan Alım İşlemleri'!$H$2:$H$2030&lt;&gt;"")*'Doğrudan Alım İşlemleri'!$H$2:$H$2030),"")</f>
        <v/>
      </c>
    </row>
    <row r="5">
      <c r="A5" s="16" t="n">
        <v>2011</v>
      </c>
      <c r="B5" s="11">
        <f>SUMPRODUCT((YEAR('Doğrudan Alım İşlemleri'!$E$2:$E$2030)=$A$5)*('Doğrudan Alım İşlemleri'!$H$2:$H$2030&lt;&gt;"")*'Doğrudan Alım İşlemleri'!$H$2:$H$2030)</f>
        <v/>
      </c>
      <c r="C5" s="13">
        <f>SUMPRODUCT((YEAR('Doğrudan Alım İşlemleri'!$E$2:$E$2030)=$A$5)*('Doğrudan Alım İşlemleri'!$I$2:$I$2030&lt;&gt;"")*'Doğrudan Alım İşlemleri'!$I$2:$I$2030)</f>
        <v/>
      </c>
      <c r="D5" s="11">
        <f>SUMPRODUCT((YEAR('Doğrudan Alım İşlemleri'!$E$2:$E$2030)=$A$5)*1)</f>
        <v/>
      </c>
      <c r="E5" s="13">
        <f>IFERROR(SUMPRODUCT((YEAR('Doğrudan Alım İşlemleri'!$E$2:$E$2030)=$A$5)*ISNUMBER('Doğrudan Alım İşlemleri'!$N$2:$N$2030)*'Doğrudan Alım İşlemleri'!$N$2:$N$2030*('Doğrudan Alım İşlemleri'!$H$2:$H$2030&lt;&gt;"")*'Doğrudan Alım İşlemleri'!$H$2:$H$2030)/SUMPRODUCT((YEAR('Doğrudan Alım İşlemleri'!$E$2:$E$2030)=$A$5)*ISNUMBER('Doğrudan Alım İşlemleri'!$N$2:$N$2030)*('Doğrudan Alım İşlemleri'!$H$2:$H$2030&lt;&gt;"")*'Doğrudan Alım İşlemleri'!$H$2:$H$2030),"")</f>
        <v/>
      </c>
    </row>
    <row r="6">
      <c r="A6" s="15" t="n">
        <v>2012</v>
      </c>
      <c r="B6" s="8">
        <f>SUMPRODUCT((YEAR('Doğrudan Alım İşlemleri'!$E$2:$E$2030)=$A$6)*('Doğrudan Alım İşlemleri'!$H$2:$H$2030&lt;&gt;"")*'Doğrudan Alım İşlemleri'!$H$2:$H$2030)</f>
        <v/>
      </c>
      <c r="C6" s="24">
        <f>SUMPRODUCT((YEAR('Doğrudan Alım İşlemleri'!$E$2:$E$2030)=$A$6)*('Doğrudan Alım İşlemleri'!$I$2:$I$2030&lt;&gt;"")*'Doğrudan Alım İşlemleri'!$I$2:$I$2030)</f>
        <v/>
      </c>
      <c r="D6" s="8">
        <f>SUMPRODUCT((YEAR('Doğrudan Alım İşlemleri'!$E$2:$E$2030)=$A$6)*1)</f>
        <v/>
      </c>
      <c r="E6" s="24">
        <f>IFERROR(SUMPRODUCT((YEAR('Doğrudan Alım İşlemleri'!$E$2:$E$2030)=$A$6)*ISNUMBER('Doğrudan Alım İşlemleri'!$N$2:$N$2030)*'Doğrudan Alım İşlemleri'!$N$2:$N$2030*('Doğrudan Alım İşlemleri'!$H$2:$H$2030&lt;&gt;"")*'Doğrudan Alım İşlemleri'!$H$2:$H$2030)/SUMPRODUCT((YEAR('Doğrudan Alım İşlemleri'!$E$2:$E$2030)=$A$6)*ISNUMBER('Doğrudan Alım İşlemleri'!$N$2:$N$2030)*('Doğrudan Alım İşlemleri'!$H$2:$H$2030&lt;&gt;"")*'Doğrudan Alım İşlemleri'!$H$2:$H$2030),"")</f>
        <v/>
      </c>
    </row>
    <row r="7">
      <c r="A7" s="16" t="n">
        <v>2013</v>
      </c>
      <c r="B7" s="11">
        <f>SUMPRODUCT((YEAR('Doğrudan Alım İşlemleri'!$E$2:$E$2030)=$A$7)*('Doğrudan Alım İşlemleri'!$H$2:$H$2030&lt;&gt;"")*'Doğrudan Alım İşlemleri'!$H$2:$H$2030)</f>
        <v/>
      </c>
      <c r="C7" s="13">
        <f>SUMPRODUCT((YEAR('Doğrudan Alım İşlemleri'!$E$2:$E$2030)=$A$7)*('Doğrudan Alım İşlemleri'!$I$2:$I$2030&lt;&gt;"")*'Doğrudan Alım İşlemleri'!$I$2:$I$2030)</f>
        <v/>
      </c>
      <c r="D7" s="11">
        <f>SUMPRODUCT((YEAR('Doğrudan Alım İşlemleri'!$E$2:$E$2030)=$A$7)*1)</f>
        <v/>
      </c>
      <c r="E7" s="13">
        <f>IFERROR(SUMPRODUCT((YEAR('Doğrudan Alım İşlemleri'!$E$2:$E$2030)=$A$7)*ISNUMBER('Doğrudan Alım İşlemleri'!$N$2:$N$2030)*'Doğrudan Alım İşlemleri'!$N$2:$N$2030*('Doğrudan Alım İşlemleri'!$H$2:$H$2030&lt;&gt;"")*'Doğrudan Alım İşlemleri'!$H$2:$H$2030)/SUMPRODUCT((YEAR('Doğrudan Alım İşlemleri'!$E$2:$E$2030)=$A$7)*ISNUMBER('Doğrudan Alım İşlemleri'!$N$2:$N$2030)*('Doğrudan Alım İşlemleri'!$H$2:$H$2030&lt;&gt;"")*'Doğrudan Alım İşlemleri'!$H$2:$H$2030),"")</f>
        <v/>
      </c>
    </row>
    <row r="8">
      <c r="A8" s="15" t="n">
        <v>2014</v>
      </c>
      <c r="B8" s="8">
        <f>SUMPRODUCT((YEAR('Doğrudan Alım İşlemleri'!$E$2:$E$2030)=$A$8)*('Doğrudan Alım İşlemleri'!$H$2:$H$2030&lt;&gt;"")*'Doğrudan Alım İşlemleri'!$H$2:$H$2030)</f>
        <v/>
      </c>
      <c r="C8" s="24">
        <f>SUMPRODUCT((YEAR('Doğrudan Alım İşlemleri'!$E$2:$E$2030)=$A$8)*('Doğrudan Alım İşlemleri'!$I$2:$I$2030&lt;&gt;"")*'Doğrudan Alım İşlemleri'!$I$2:$I$2030)</f>
        <v/>
      </c>
      <c r="D8" s="8">
        <f>SUMPRODUCT((YEAR('Doğrudan Alım İşlemleri'!$E$2:$E$2030)=$A$8)*1)</f>
        <v/>
      </c>
      <c r="E8" s="24">
        <f>IFERROR(SUMPRODUCT((YEAR('Doğrudan Alım İşlemleri'!$E$2:$E$2030)=$A$8)*ISNUMBER('Doğrudan Alım İşlemleri'!$N$2:$N$2030)*'Doğrudan Alım İşlemleri'!$N$2:$N$2030*('Doğrudan Alım İşlemleri'!$H$2:$H$2030&lt;&gt;"")*'Doğrudan Alım İşlemleri'!$H$2:$H$2030)/SUMPRODUCT((YEAR('Doğrudan Alım İşlemleri'!$E$2:$E$2030)=$A$8)*ISNUMBER('Doğrudan Alım İşlemleri'!$N$2:$N$2030)*('Doğrudan Alım İşlemleri'!$H$2:$H$2030&lt;&gt;"")*'Doğrudan Alım İşlemleri'!$H$2:$H$2030),"")</f>
        <v/>
      </c>
    </row>
    <row r="9">
      <c r="A9" s="16" t="n">
        <v>2015</v>
      </c>
      <c r="B9" s="11">
        <f>SUMPRODUCT((YEAR('Doğrudan Alım İşlemleri'!$E$2:$E$2030)=$A$9)*('Doğrudan Alım İşlemleri'!$H$2:$H$2030&lt;&gt;"")*'Doğrudan Alım İşlemleri'!$H$2:$H$2030)</f>
        <v/>
      </c>
      <c r="C9" s="13">
        <f>SUMPRODUCT((YEAR('Doğrudan Alım İşlemleri'!$E$2:$E$2030)=$A$9)*('Doğrudan Alım İşlemleri'!$I$2:$I$2030&lt;&gt;"")*'Doğrudan Alım İşlemleri'!$I$2:$I$2030)</f>
        <v/>
      </c>
      <c r="D9" s="11">
        <f>SUMPRODUCT((YEAR('Doğrudan Alım İşlemleri'!$E$2:$E$2030)=$A$9)*1)</f>
        <v/>
      </c>
      <c r="E9" s="13">
        <f>IFERROR(SUMPRODUCT((YEAR('Doğrudan Alım İşlemleri'!$E$2:$E$2030)=$A$9)*ISNUMBER('Doğrudan Alım İşlemleri'!$N$2:$N$2030)*'Doğrudan Alım İşlemleri'!$N$2:$N$2030*('Doğrudan Alım İşlemleri'!$H$2:$H$2030&lt;&gt;"")*'Doğrudan Alım İşlemleri'!$H$2:$H$2030)/SUMPRODUCT((YEAR('Doğrudan Alım İşlemleri'!$E$2:$E$2030)=$A$9)*ISNUMBER('Doğrudan Alım İşlemleri'!$N$2:$N$2030)*('Doğrudan Alım İşlemleri'!$H$2:$H$2030&lt;&gt;"")*'Doğrudan Alım İşlemleri'!$H$2:$H$2030),"")</f>
        <v/>
      </c>
    </row>
    <row r="10">
      <c r="A10" s="15" t="n">
        <v>2016</v>
      </c>
      <c r="B10" s="8">
        <f>SUMPRODUCT((YEAR('Doğrudan Alım İşlemleri'!$E$2:$E$2030)=$A$10)*('Doğrudan Alım İşlemleri'!$H$2:$H$2030&lt;&gt;"")*'Doğrudan Alım İşlemleri'!$H$2:$H$2030)</f>
        <v/>
      </c>
      <c r="C10" s="24">
        <f>SUMPRODUCT((YEAR('Doğrudan Alım İşlemleri'!$E$2:$E$2030)=$A$10)*('Doğrudan Alım İşlemleri'!$I$2:$I$2030&lt;&gt;"")*'Doğrudan Alım İşlemleri'!$I$2:$I$2030)</f>
        <v/>
      </c>
      <c r="D10" s="8">
        <f>SUMPRODUCT((YEAR('Doğrudan Alım İşlemleri'!$E$2:$E$2030)=$A$10)*1)</f>
        <v/>
      </c>
      <c r="E10" s="24">
        <f>IFERROR(SUMPRODUCT((YEAR('Doğrudan Alım İşlemleri'!$E$2:$E$2030)=$A$10)*ISNUMBER('Doğrudan Alım İşlemleri'!$N$2:$N$2030)*'Doğrudan Alım İşlemleri'!$N$2:$N$2030*('Doğrudan Alım İşlemleri'!$H$2:$H$2030&lt;&gt;"")*'Doğrudan Alım İşlemleri'!$H$2:$H$2030)/SUMPRODUCT((YEAR('Doğrudan Alım İşlemleri'!$E$2:$E$2030)=$A$10)*ISNUMBER('Doğrudan Alım İşlemleri'!$N$2:$N$2030)*('Doğrudan Alım İşlemleri'!$H$2:$H$2030&lt;&gt;"")*'Doğrudan Alım İşlemleri'!$H$2:$H$2030),"")</f>
        <v/>
      </c>
    </row>
    <row r="11">
      <c r="A11" s="16" t="n">
        <v>2017</v>
      </c>
      <c r="B11" s="11">
        <f>SUMPRODUCT((YEAR('Doğrudan Alım İşlemleri'!$E$2:$E$2030)=$A$11)*('Doğrudan Alım İşlemleri'!$H$2:$H$2030&lt;&gt;"")*'Doğrudan Alım İşlemleri'!$H$2:$H$2030)</f>
        <v/>
      </c>
      <c r="C11" s="13">
        <f>SUMPRODUCT((YEAR('Doğrudan Alım İşlemleri'!$E$2:$E$2030)=$A$11)*('Doğrudan Alım İşlemleri'!$I$2:$I$2030&lt;&gt;"")*'Doğrudan Alım İşlemleri'!$I$2:$I$2030)</f>
        <v/>
      </c>
      <c r="D11" s="11">
        <f>SUMPRODUCT((YEAR('Doğrudan Alım İşlemleri'!$E$2:$E$2030)=$A$11)*1)</f>
        <v/>
      </c>
      <c r="E11" s="13">
        <f>IFERROR(SUMPRODUCT((YEAR('Doğrudan Alım İşlemleri'!$E$2:$E$2030)=$A$11)*ISNUMBER('Doğrudan Alım İşlemleri'!$N$2:$N$2030)*'Doğrudan Alım İşlemleri'!$N$2:$N$2030*('Doğrudan Alım İşlemleri'!$H$2:$H$2030&lt;&gt;"")*'Doğrudan Alım İşlemleri'!$H$2:$H$2030)/SUMPRODUCT((YEAR('Doğrudan Alım İşlemleri'!$E$2:$E$2030)=$A$11)*ISNUMBER('Doğrudan Alım İşlemleri'!$N$2:$N$2030)*('Doğrudan Alım İşlemleri'!$H$2:$H$2030&lt;&gt;"")*'Doğrudan Alım İşlemleri'!$H$2:$H$2030),"")</f>
        <v/>
      </c>
    </row>
    <row r="12">
      <c r="A12" s="15" t="n">
        <v>2018</v>
      </c>
      <c r="B12" s="8">
        <f>SUMPRODUCT((YEAR('Doğrudan Alım İşlemleri'!$E$2:$E$2030)=$A$12)*('Doğrudan Alım İşlemleri'!$H$2:$H$2030&lt;&gt;"")*'Doğrudan Alım İşlemleri'!$H$2:$H$2030)</f>
        <v/>
      </c>
      <c r="C12" s="24">
        <f>SUMPRODUCT((YEAR('Doğrudan Alım İşlemleri'!$E$2:$E$2030)=$A$12)*('Doğrudan Alım İşlemleri'!$I$2:$I$2030&lt;&gt;"")*'Doğrudan Alım İşlemleri'!$I$2:$I$2030)</f>
        <v/>
      </c>
      <c r="D12" s="8">
        <f>SUMPRODUCT((YEAR('Doğrudan Alım İşlemleri'!$E$2:$E$2030)=$A$12)*1)</f>
        <v/>
      </c>
      <c r="E12" s="24">
        <f>IFERROR(SUMPRODUCT((YEAR('Doğrudan Alım İşlemleri'!$E$2:$E$2030)=$A$12)*ISNUMBER('Doğrudan Alım İşlemleri'!$N$2:$N$2030)*'Doğrudan Alım İşlemleri'!$N$2:$N$2030*('Doğrudan Alım İşlemleri'!$H$2:$H$2030&lt;&gt;"")*'Doğrudan Alım İşlemleri'!$H$2:$H$2030)/SUMPRODUCT((YEAR('Doğrudan Alım İşlemleri'!$E$2:$E$2030)=$A$12)*ISNUMBER('Doğrudan Alım İşlemleri'!$N$2:$N$2030)*('Doğrudan Alım İşlemleri'!$H$2:$H$2030&lt;&gt;"")*'Doğrudan Alım İşlemleri'!$H$2:$H$2030),"")</f>
        <v/>
      </c>
    </row>
    <row r="13">
      <c r="A13" s="16" t="n">
        <v>2019</v>
      </c>
      <c r="B13" s="11">
        <f>SUMPRODUCT((YEAR('Doğrudan Alım İşlemleri'!$E$2:$E$2030)=$A$13)*('Doğrudan Alım İşlemleri'!$H$2:$H$2030&lt;&gt;"")*'Doğrudan Alım İşlemleri'!$H$2:$H$2030)</f>
        <v/>
      </c>
      <c r="C13" s="13">
        <f>SUMPRODUCT((YEAR('Doğrudan Alım İşlemleri'!$E$2:$E$2030)=$A$13)*('Doğrudan Alım İşlemleri'!$I$2:$I$2030&lt;&gt;"")*'Doğrudan Alım İşlemleri'!$I$2:$I$2030)</f>
        <v/>
      </c>
      <c r="D13" s="11">
        <f>SUMPRODUCT((YEAR('Doğrudan Alım İşlemleri'!$E$2:$E$2030)=$A$13)*1)</f>
        <v/>
      </c>
      <c r="E13" s="13">
        <f>IFERROR(SUMPRODUCT((YEAR('Doğrudan Alım İşlemleri'!$E$2:$E$2030)=$A$13)*ISNUMBER('Doğrudan Alım İşlemleri'!$N$2:$N$2030)*'Doğrudan Alım İşlemleri'!$N$2:$N$2030*('Doğrudan Alım İşlemleri'!$H$2:$H$2030&lt;&gt;"")*'Doğrudan Alım İşlemleri'!$H$2:$H$2030)/SUMPRODUCT((YEAR('Doğrudan Alım İşlemleri'!$E$2:$E$2030)=$A$13)*ISNUMBER('Doğrudan Alım İşlemleri'!$N$2:$N$2030)*('Doğrudan Alım İşlemleri'!$H$2:$H$2030&lt;&gt;"")*'Doğrudan Alım İşlemleri'!$H$2:$H$2030),"")</f>
        <v/>
      </c>
    </row>
    <row r="14">
      <c r="A14" s="15" t="n">
        <v>2020</v>
      </c>
      <c r="B14" s="8">
        <f>SUMPRODUCT((YEAR('Doğrudan Alım İşlemleri'!$E$2:$E$2030)=$A$14)*('Doğrudan Alım İşlemleri'!$H$2:$H$2030&lt;&gt;"")*'Doğrudan Alım İşlemleri'!$H$2:$H$2030)</f>
        <v/>
      </c>
      <c r="C14" s="24">
        <f>SUMPRODUCT((YEAR('Doğrudan Alım İşlemleri'!$E$2:$E$2030)=$A$14)*('Doğrudan Alım İşlemleri'!$I$2:$I$2030&lt;&gt;"")*'Doğrudan Alım İşlemleri'!$I$2:$I$2030)</f>
        <v/>
      </c>
      <c r="D14" s="8">
        <f>SUMPRODUCT((YEAR('Doğrudan Alım İşlemleri'!$E$2:$E$2030)=$A$14)*1)</f>
        <v/>
      </c>
      <c r="E14" s="24">
        <f>IFERROR(SUMPRODUCT((YEAR('Doğrudan Alım İşlemleri'!$E$2:$E$2030)=$A$14)*ISNUMBER('Doğrudan Alım İşlemleri'!$N$2:$N$2030)*'Doğrudan Alım İşlemleri'!$N$2:$N$2030*('Doğrudan Alım İşlemleri'!$H$2:$H$2030&lt;&gt;"")*'Doğrudan Alım İşlemleri'!$H$2:$H$2030)/SUMPRODUCT((YEAR('Doğrudan Alım İşlemleri'!$E$2:$E$2030)=$A$14)*ISNUMBER('Doğrudan Alım İşlemleri'!$N$2:$N$2030)*('Doğrudan Alım İşlemleri'!$H$2:$H$2030&lt;&gt;"")*'Doğrudan Alım İşlemleri'!$H$2:$H$2030),"")</f>
        <v/>
      </c>
    </row>
    <row r="15">
      <c r="A15" s="16" t="n">
        <v>2021</v>
      </c>
      <c r="B15" s="11">
        <f>SUMPRODUCT((YEAR('Doğrudan Alım İşlemleri'!$E$2:$E$2030)=$A$15)*('Doğrudan Alım İşlemleri'!$H$2:$H$2030&lt;&gt;"")*'Doğrudan Alım İşlemleri'!$H$2:$H$2030)</f>
        <v/>
      </c>
      <c r="C15" s="13">
        <f>SUMPRODUCT((YEAR('Doğrudan Alım İşlemleri'!$E$2:$E$2030)=$A$15)*('Doğrudan Alım İşlemleri'!$I$2:$I$2030&lt;&gt;"")*'Doğrudan Alım İşlemleri'!$I$2:$I$2030)</f>
        <v/>
      </c>
      <c r="D15" s="11">
        <f>SUMPRODUCT((YEAR('Doğrudan Alım İşlemleri'!$E$2:$E$2030)=$A$15)*1)</f>
        <v/>
      </c>
      <c r="E15" s="13">
        <f>IFERROR(SUMPRODUCT((YEAR('Doğrudan Alım İşlemleri'!$E$2:$E$2030)=$A$15)*ISNUMBER('Doğrudan Alım İşlemleri'!$N$2:$N$2030)*'Doğrudan Alım İşlemleri'!$N$2:$N$2030*('Doğrudan Alım İşlemleri'!$H$2:$H$2030&lt;&gt;"")*'Doğrudan Alım İşlemleri'!$H$2:$H$2030)/SUMPRODUCT((YEAR('Doğrudan Alım İşlemleri'!$E$2:$E$2030)=$A$15)*ISNUMBER('Doğrudan Alım İşlemleri'!$N$2:$N$2030)*('Doğrudan Alım İşlemleri'!$H$2:$H$2030&lt;&gt;"")*'Doğrudan Alım İşlemleri'!$H$2:$H$2030),"")</f>
        <v/>
      </c>
    </row>
    <row r="16">
      <c r="A16" s="15" t="n">
        <v>2022</v>
      </c>
      <c r="B16" s="8">
        <f>SUMPRODUCT((YEAR('Doğrudan Alım İşlemleri'!$E$2:$E$2030)=$A$16)*('Doğrudan Alım İşlemleri'!$H$2:$H$2030&lt;&gt;"")*'Doğrudan Alım İşlemleri'!$H$2:$H$2030)</f>
        <v/>
      </c>
      <c r="C16" s="24">
        <f>SUMPRODUCT((YEAR('Doğrudan Alım İşlemleri'!$E$2:$E$2030)=$A$16)*('Doğrudan Alım İşlemleri'!$I$2:$I$2030&lt;&gt;"")*'Doğrudan Alım İşlemleri'!$I$2:$I$2030)</f>
        <v/>
      </c>
      <c r="D16" s="8">
        <f>SUMPRODUCT((YEAR('Doğrudan Alım İşlemleri'!$E$2:$E$2030)=$A$16)*1)</f>
        <v/>
      </c>
      <c r="E16" s="24">
        <f>IFERROR(SUMPRODUCT((YEAR('Doğrudan Alım İşlemleri'!$E$2:$E$2030)=$A$16)*ISNUMBER('Doğrudan Alım İşlemleri'!$N$2:$N$2030)*'Doğrudan Alım İşlemleri'!$N$2:$N$2030*('Doğrudan Alım İşlemleri'!$H$2:$H$2030&lt;&gt;"")*'Doğrudan Alım İşlemleri'!$H$2:$H$2030)/SUMPRODUCT((YEAR('Doğrudan Alım İşlemleri'!$E$2:$E$2030)=$A$16)*ISNUMBER('Doğrudan Alım İşlemleri'!$N$2:$N$2030)*('Doğrudan Alım İşlemleri'!$H$2:$H$2030&lt;&gt;"")*'Doğrudan Alım İşlemleri'!$H$2:$H$2030),"")</f>
        <v/>
      </c>
    </row>
    <row r="17">
      <c r="A17" s="16" t="n">
        <v>2023</v>
      </c>
      <c r="B17" s="11">
        <f>SUMPRODUCT((YEAR('Doğrudan Alım İşlemleri'!$E$2:$E$2030)=$A$17)*('Doğrudan Alım İşlemleri'!$H$2:$H$2030&lt;&gt;"")*'Doğrudan Alım İşlemleri'!$H$2:$H$2030)</f>
        <v/>
      </c>
      <c r="C17" s="13">
        <f>SUMPRODUCT((YEAR('Doğrudan Alım İşlemleri'!$E$2:$E$2030)=$A$17)*('Doğrudan Alım İşlemleri'!$I$2:$I$2030&lt;&gt;"")*'Doğrudan Alım İşlemleri'!$I$2:$I$2030)</f>
        <v/>
      </c>
      <c r="D17" s="11">
        <f>SUMPRODUCT((YEAR('Doğrudan Alım İşlemleri'!$E$2:$E$2030)=$A$17)*1)</f>
        <v/>
      </c>
      <c r="E17" s="13">
        <f>IFERROR(SUMPRODUCT((YEAR('Doğrudan Alım İşlemleri'!$E$2:$E$2030)=$A$17)*ISNUMBER('Doğrudan Alım İşlemleri'!$N$2:$N$2030)*'Doğrudan Alım İşlemleri'!$N$2:$N$2030*('Doğrudan Alım İşlemleri'!$H$2:$H$2030&lt;&gt;"")*'Doğrudan Alım İşlemleri'!$H$2:$H$2030)/SUMPRODUCT((YEAR('Doğrudan Alım İşlemleri'!$E$2:$E$2030)=$A$17)*ISNUMBER('Doğrudan Alım İşlemleri'!$N$2:$N$2030)*('Doğrudan Alım İşlemleri'!$H$2:$H$2030&lt;&gt;"")*'Doğrudan Alım İşlemleri'!$H$2:$H$2030),"")</f>
        <v/>
      </c>
    </row>
    <row r="18">
      <c r="A18" s="15" t="n">
        <v>2024</v>
      </c>
      <c r="B18" s="8">
        <f>SUMPRODUCT((YEAR('Doğrudan Alım İşlemleri'!$E$2:$E$2030)=$A$18)*('Doğrudan Alım İşlemleri'!$H$2:$H$2030&lt;&gt;"")*'Doğrudan Alım İşlemleri'!$H$2:$H$2030)</f>
        <v/>
      </c>
      <c r="C18" s="24">
        <f>SUMPRODUCT((YEAR('Doğrudan Alım İşlemleri'!$E$2:$E$2030)=$A$18)*('Doğrudan Alım İşlemleri'!$I$2:$I$2030&lt;&gt;"")*'Doğrudan Alım İşlemleri'!$I$2:$I$2030)</f>
        <v/>
      </c>
      <c r="D18" s="8">
        <f>SUMPRODUCT((YEAR('Doğrudan Alım İşlemleri'!$E$2:$E$2030)=$A$18)*1)</f>
        <v/>
      </c>
      <c r="E18" s="24">
        <f>IFERROR(SUMPRODUCT((YEAR('Doğrudan Alım İşlemleri'!$E$2:$E$2030)=$A$18)*ISNUMBER('Doğrudan Alım İşlemleri'!$N$2:$N$2030)*'Doğrudan Alım İşlemleri'!$N$2:$N$2030*('Doğrudan Alım İşlemleri'!$H$2:$H$2030&lt;&gt;"")*'Doğrudan Alım İşlemleri'!$H$2:$H$2030)/SUMPRODUCT((YEAR('Doğrudan Alım İşlemleri'!$E$2:$E$2030)=$A$18)*ISNUMBER('Doğrudan Alım İşlemleri'!$N$2:$N$2030)*('Doğrudan Alım İşlemleri'!$H$2:$H$2030&lt;&gt;"")*'Doğrudan Alım İşlemleri'!$H$2:$H$2030),"")</f>
        <v/>
      </c>
    </row>
    <row r="19">
      <c r="A19" s="16" t="n">
        <v>2025</v>
      </c>
      <c r="B19" s="11">
        <f>SUMPRODUCT((YEAR('Doğrudan Alım İşlemleri'!$E$2:$E$2030)=$A$19)*('Doğrudan Alım İşlemleri'!$H$2:$H$2030&lt;&gt;"")*'Doğrudan Alım İşlemleri'!$H$2:$H$2030)</f>
        <v/>
      </c>
      <c r="C19" s="13">
        <f>SUMPRODUCT((YEAR('Doğrudan Alım İşlemleri'!$E$2:$E$2030)=$A$19)*('Doğrudan Alım İşlemleri'!$I$2:$I$2030&lt;&gt;"")*'Doğrudan Alım İşlemleri'!$I$2:$I$2030)</f>
        <v/>
      </c>
      <c r="D19" s="11">
        <f>SUMPRODUCT((YEAR('Doğrudan Alım İşlemleri'!$E$2:$E$2030)=$A$19)*1)</f>
        <v/>
      </c>
      <c r="E19" s="13">
        <f>IFERROR(SUMPRODUCT((YEAR('Doğrudan Alım İşlemleri'!$E$2:$E$2030)=$A$19)*ISNUMBER('Doğrudan Alım İşlemleri'!$N$2:$N$2030)*'Doğrudan Alım İşlemleri'!$N$2:$N$2030*('Doğrudan Alım İşlemleri'!$H$2:$H$2030&lt;&gt;"")*'Doğrudan Alım İşlemleri'!$H$2:$H$2030)/SUMPRODUCT((YEAR('Doğrudan Alım İşlemleri'!$E$2:$E$2030)=$A$19)*ISNUMBER('Doğrudan Alım İşlemleri'!$N$2:$N$2030)*('Doğrudan Alım İşlemleri'!$H$2:$H$2030&lt;&gt;"")*'Doğrudan Alım İşlemleri'!$H$2:$H$2030),"")</f>
        <v/>
      </c>
    </row>
    <row r="20">
      <c r="A20" s="15" t="n">
        <v>2026</v>
      </c>
      <c r="B20" s="8">
        <f>SUMPRODUCT((YEAR('Doğrudan Alım İşlemleri'!$E$2:$E$2030)=$A$20)*('Doğrudan Alım İşlemleri'!$H$2:$H$2030&lt;&gt;"")*'Doğrudan Alım İşlemleri'!$H$2:$H$2030)</f>
        <v/>
      </c>
      <c r="C20" s="24">
        <f>SUMPRODUCT((YEAR('Doğrudan Alım İşlemleri'!$E$2:$E$2030)=$A$20)*('Doğrudan Alım İşlemleri'!$I$2:$I$2030&lt;&gt;"")*'Doğrudan Alım İşlemleri'!$I$2:$I$2030)</f>
        <v/>
      </c>
      <c r="D20" s="8">
        <f>SUMPRODUCT((YEAR('Doğrudan Alım İşlemleri'!$E$2:$E$2030)=$A$20)*1)</f>
        <v/>
      </c>
      <c r="E20" s="24">
        <f>IFERROR(SUMPRODUCT((YEAR('Doğrudan Alım İşlemleri'!$E$2:$E$2030)=$A$20)*ISNUMBER('Doğrudan Alım İşlemleri'!$N$2:$N$2030)*'Doğrudan Alım İşlemleri'!$N$2:$N$2030*('Doğrudan Alım İşlemleri'!$H$2:$H$2030&lt;&gt;"")*'Doğrudan Alım İşlemleri'!$H$2:$H$2030)/SUMPRODUCT((YEAR('Doğrudan Alım İşlemleri'!$E$2:$E$2030)=$A$20)*ISNUMBER('Doğrudan Alım İşlemleri'!$N$2:$N$2030)*('Doğrudan Alım İşlemleri'!$H$2:$H$2030&lt;&gt;"")*'Doğrudan Alım İşlemleri'!$H$2:$H$2030),"")</f>
        <v/>
      </c>
    </row>
    <row r="21">
      <c r="A21" s="16" t="n">
        <v>2027</v>
      </c>
      <c r="B21" s="11">
        <f>SUMPRODUCT((YEAR('Doğrudan Alım İşlemleri'!$E$2:$E$2030)=$A$21)*('Doğrudan Alım İşlemleri'!$H$2:$H$2030&lt;&gt;"")*'Doğrudan Alım İşlemleri'!$H$2:$H$2030)</f>
        <v/>
      </c>
      <c r="C21" s="13">
        <f>SUMPRODUCT((YEAR('Doğrudan Alım İşlemleri'!$E$2:$E$2030)=$A$21)*('Doğrudan Alım İşlemleri'!$I$2:$I$2030&lt;&gt;"")*'Doğrudan Alım İşlemleri'!$I$2:$I$2030)</f>
        <v/>
      </c>
      <c r="D21" s="11">
        <f>SUMPRODUCT((YEAR('Doğrudan Alım İşlemleri'!$E$2:$E$2030)=$A$21)*1)</f>
        <v/>
      </c>
      <c r="E21" s="13">
        <f>IFERROR(SUMPRODUCT((YEAR('Doğrudan Alım İşlemleri'!$E$2:$E$2030)=$A$21)*ISNUMBER('Doğrudan Alım İşlemleri'!$N$2:$N$2030)*'Doğrudan Alım İşlemleri'!$N$2:$N$2030*('Doğrudan Alım İşlemleri'!$H$2:$H$2030&lt;&gt;"")*'Doğrudan Alım İşlemleri'!$H$2:$H$2030)/SUMPRODUCT((YEAR('Doğrudan Alım İşlemleri'!$E$2:$E$2030)=$A$21)*ISNUMBER('Doğrudan Alım İşlemleri'!$N$2:$N$2030)*('Doğrudan Alım İşlemleri'!$H$2:$H$2030&lt;&gt;"")*'Doğrudan Alım İşlemleri'!$H$2:$H$2030),"")</f>
        <v/>
      </c>
    </row>
    <row r="22">
      <c r="A22" s="15" t="n">
        <v>2028</v>
      </c>
      <c r="B22" s="8">
        <f>SUMPRODUCT((YEAR('Doğrudan Alım İşlemleri'!$E$2:$E$2030)=$A$22)*('Doğrudan Alım İşlemleri'!$H$2:$H$2030&lt;&gt;"")*'Doğrudan Alım İşlemleri'!$H$2:$H$2030)</f>
        <v/>
      </c>
      <c r="C22" s="24">
        <f>SUMPRODUCT((YEAR('Doğrudan Alım İşlemleri'!$E$2:$E$2030)=$A$22)*('Doğrudan Alım İşlemleri'!$I$2:$I$2030&lt;&gt;"")*'Doğrudan Alım İşlemleri'!$I$2:$I$2030)</f>
        <v/>
      </c>
      <c r="D22" s="8">
        <f>SUMPRODUCT((YEAR('Doğrudan Alım İşlemleri'!$E$2:$E$2030)=$A$22)*1)</f>
        <v/>
      </c>
      <c r="E22" s="24">
        <f>IFERROR(SUMPRODUCT((YEAR('Doğrudan Alım İşlemleri'!$E$2:$E$2030)=$A$22)*ISNUMBER('Doğrudan Alım İşlemleri'!$N$2:$N$2030)*'Doğrudan Alım İşlemleri'!$N$2:$N$2030*('Doğrudan Alım İşlemleri'!$H$2:$H$2030&lt;&gt;"")*'Doğrudan Alım İşlemleri'!$H$2:$H$2030)/SUMPRODUCT((YEAR('Doğrudan Alım İşlemleri'!$E$2:$E$2030)=$A$22)*ISNUMBER('Doğrudan Alım İşlemleri'!$N$2:$N$2030)*('Doğrudan Alım İşlemleri'!$H$2:$H$2030&lt;&gt;"")*'Doğrudan Alım İşlemleri'!$H$2:$H$2030),"")</f>
        <v/>
      </c>
    </row>
    <row r="23">
      <c r="A23" s="16" t="n">
        <v>2029</v>
      </c>
      <c r="B23" s="11">
        <f>SUMPRODUCT((YEAR('Doğrudan Alım İşlemleri'!$E$2:$E$2030)=$A$23)*('Doğrudan Alım İşlemleri'!$H$2:$H$2030&lt;&gt;"")*'Doğrudan Alım İşlemleri'!$H$2:$H$2030)</f>
        <v/>
      </c>
      <c r="C23" s="13">
        <f>SUMPRODUCT((YEAR('Doğrudan Alım İşlemleri'!$E$2:$E$2030)=$A$23)*('Doğrudan Alım İşlemleri'!$I$2:$I$2030&lt;&gt;"")*'Doğrudan Alım İşlemleri'!$I$2:$I$2030)</f>
        <v/>
      </c>
      <c r="D23" s="11">
        <f>SUMPRODUCT((YEAR('Doğrudan Alım İşlemleri'!$E$2:$E$2030)=$A$23)*1)</f>
        <v/>
      </c>
      <c r="E23" s="13">
        <f>IFERROR(SUMPRODUCT((YEAR('Doğrudan Alım İşlemleri'!$E$2:$E$2030)=$A$23)*ISNUMBER('Doğrudan Alım İşlemleri'!$N$2:$N$2030)*'Doğrudan Alım İşlemleri'!$N$2:$N$2030*('Doğrudan Alım İşlemleri'!$H$2:$H$2030&lt;&gt;"")*'Doğrudan Alım İşlemleri'!$H$2:$H$2030)/SUMPRODUCT((YEAR('Doğrudan Alım İşlemleri'!$E$2:$E$2030)=$A$23)*ISNUMBER('Doğrudan Alım İşlemleri'!$N$2:$N$2030)*('Doğrudan Alım İşlemleri'!$H$2:$H$2030&lt;&gt;"")*'Doğrudan Alım İşlemleri'!$H$2:$H$2030),"")</f>
        <v/>
      </c>
    </row>
    <row r="24">
      <c r="A24" s="15" t="n">
        <v>2030</v>
      </c>
      <c r="B24" s="8">
        <f>SUMPRODUCT((YEAR('Doğrudan Alım İşlemleri'!$E$2:$E$2030)=$A$24)*('Doğrudan Alım İşlemleri'!$H$2:$H$2030&lt;&gt;"")*'Doğrudan Alım İşlemleri'!$H$2:$H$2030)</f>
        <v/>
      </c>
      <c r="C24" s="24">
        <f>SUMPRODUCT((YEAR('Doğrudan Alım İşlemleri'!$E$2:$E$2030)=$A$24)*('Doğrudan Alım İşlemleri'!$I$2:$I$2030&lt;&gt;"")*'Doğrudan Alım İşlemleri'!$I$2:$I$2030)</f>
        <v/>
      </c>
      <c r="D24" s="8">
        <f>SUMPRODUCT((YEAR('Doğrudan Alım İşlemleri'!$E$2:$E$2030)=$A$24)*1)</f>
        <v/>
      </c>
      <c r="E24" s="24">
        <f>IFERROR(SUMPRODUCT((YEAR('Doğrudan Alım İşlemleri'!$E$2:$E$2030)=$A$24)*ISNUMBER('Doğrudan Alım İşlemleri'!$N$2:$N$2030)*'Doğrudan Alım İşlemleri'!$N$2:$N$2030*('Doğrudan Alım İşlemleri'!$H$2:$H$2030&lt;&gt;"")*'Doğrudan Alım İşlemleri'!$H$2:$H$2030)/SUMPRODUCT((YEAR('Doğrudan Alım İşlemleri'!$E$2:$E$2030)=$A$24)*ISNUMBER('Doğrudan Alım İşlemleri'!$N$2:$N$2030)*('Doğrudan Alım İşlemleri'!$H$2:$H$2030&lt;&gt;"")*'Doğrudan Alım İşlemleri'!$H$2:$H$2030),"")</f>
        <v/>
      </c>
    </row>
    <row r="25">
      <c r="A25" s="16" t="n">
        <v>2031</v>
      </c>
      <c r="B25" s="11">
        <f>SUMPRODUCT((YEAR('Doğrudan Alım İşlemleri'!$E$2:$E$2030)=$A$25)*('Doğrudan Alım İşlemleri'!$H$2:$H$2030&lt;&gt;"")*'Doğrudan Alım İşlemleri'!$H$2:$H$2030)</f>
        <v/>
      </c>
      <c r="C25" s="13">
        <f>SUMPRODUCT((YEAR('Doğrudan Alım İşlemleri'!$E$2:$E$2030)=$A$25)*('Doğrudan Alım İşlemleri'!$I$2:$I$2030&lt;&gt;"")*'Doğrudan Alım İşlemleri'!$I$2:$I$2030)</f>
        <v/>
      </c>
      <c r="D25" s="11">
        <f>SUMPRODUCT((YEAR('Doğrudan Alım İşlemleri'!$E$2:$E$2030)=$A$25)*1)</f>
        <v/>
      </c>
      <c r="E25" s="13">
        <f>IFERROR(SUMPRODUCT((YEAR('Doğrudan Alım İşlemleri'!$E$2:$E$2030)=$A$25)*ISNUMBER('Doğrudan Alım İşlemleri'!$N$2:$N$2030)*'Doğrudan Alım İşlemleri'!$N$2:$N$2030*('Doğrudan Alım İşlemleri'!$H$2:$H$2030&lt;&gt;"")*'Doğrudan Alım İşlemleri'!$H$2:$H$2030)/SUMPRODUCT((YEAR('Doğrudan Alım İşlemleri'!$E$2:$E$2030)=$A$25)*ISNUMBER('Doğrudan Alım İşlemleri'!$N$2:$N$2030)*('Doğrudan Alım İşlemleri'!$H$2:$H$2030&lt;&gt;"")*'Doğrudan Alım İşlemleri'!$H$2:$H$2030),"")</f>
        <v/>
      </c>
    </row>
    <row r="26">
      <c r="A26" s="15" t="n">
        <v>2032</v>
      </c>
      <c r="B26" s="8">
        <f>SUMPRODUCT((YEAR('Doğrudan Alım İşlemleri'!$E$2:$E$2030)=$A$26)*('Doğrudan Alım İşlemleri'!$H$2:$H$2030&lt;&gt;"")*'Doğrudan Alım İşlemleri'!$H$2:$H$2030)</f>
        <v/>
      </c>
      <c r="C26" s="24">
        <f>SUMPRODUCT((YEAR('Doğrudan Alım İşlemleri'!$E$2:$E$2030)=$A$26)*('Doğrudan Alım İşlemleri'!$I$2:$I$2030&lt;&gt;"")*'Doğrudan Alım İşlemleri'!$I$2:$I$2030)</f>
        <v/>
      </c>
      <c r="D26" s="8">
        <f>SUMPRODUCT((YEAR('Doğrudan Alım İşlemleri'!$E$2:$E$2030)=$A$26)*1)</f>
        <v/>
      </c>
      <c r="E26" s="24">
        <f>IFERROR(SUMPRODUCT((YEAR('Doğrudan Alım İşlemleri'!$E$2:$E$2030)=$A$26)*ISNUMBER('Doğrudan Alım İşlemleri'!$N$2:$N$2030)*'Doğrudan Alım İşlemleri'!$N$2:$N$2030*('Doğrudan Alım İşlemleri'!$H$2:$H$2030&lt;&gt;"")*'Doğrudan Alım İşlemleri'!$H$2:$H$2030)/SUMPRODUCT((YEAR('Doğrudan Alım İşlemleri'!$E$2:$E$2030)=$A$26)*ISNUMBER('Doğrudan Alım İşlemleri'!$N$2:$N$2030)*('Doğrudan Alım İşlemleri'!$H$2:$H$2030&lt;&gt;"")*'Doğrudan Alım İşlemleri'!$H$2:$H$2030),"")</f>
        <v/>
      </c>
    </row>
    <row r="27">
      <c r="A27" s="16" t="n">
        <v>2033</v>
      </c>
      <c r="B27" s="11">
        <f>SUMPRODUCT((YEAR('Doğrudan Alım İşlemleri'!$E$2:$E$2030)=$A$27)*('Doğrudan Alım İşlemleri'!$H$2:$H$2030&lt;&gt;"")*'Doğrudan Alım İşlemleri'!$H$2:$H$2030)</f>
        <v/>
      </c>
      <c r="C27" s="13">
        <f>SUMPRODUCT((YEAR('Doğrudan Alım İşlemleri'!$E$2:$E$2030)=$A$27)*('Doğrudan Alım İşlemleri'!$I$2:$I$2030&lt;&gt;"")*'Doğrudan Alım İşlemleri'!$I$2:$I$2030)</f>
        <v/>
      </c>
      <c r="D27" s="11">
        <f>SUMPRODUCT((YEAR('Doğrudan Alım İşlemleri'!$E$2:$E$2030)=$A$27)*1)</f>
        <v/>
      </c>
      <c r="E27" s="13">
        <f>IFERROR(SUMPRODUCT((YEAR('Doğrudan Alım İşlemleri'!$E$2:$E$2030)=$A$27)*ISNUMBER('Doğrudan Alım İşlemleri'!$N$2:$N$2030)*'Doğrudan Alım İşlemleri'!$N$2:$N$2030*('Doğrudan Alım İşlemleri'!$H$2:$H$2030&lt;&gt;"")*'Doğrudan Alım İşlemleri'!$H$2:$H$2030)/SUMPRODUCT((YEAR('Doğrudan Alım İşlemleri'!$E$2:$E$2030)=$A$27)*ISNUMBER('Doğrudan Alım İşlemleri'!$N$2:$N$2030)*('Doğrudan Alım İşlemleri'!$H$2:$H$2030&lt;&gt;"")*'Doğrudan Alım İşlemleri'!$H$2:$H$2030),"")</f>
        <v/>
      </c>
    </row>
    <row r="28">
      <c r="A28" s="15" t="n">
        <v>2034</v>
      </c>
      <c r="B28" s="8">
        <f>SUMPRODUCT((YEAR('Doğrudan Alım İşlemleri'!$E$2:$E$2030)=$A$28)*('Doğrudan Alım İşlemleri'!$H$2:$H$2030&lt;&gt;"")*'Doğrudan Alım İşlemleri'!$H$2:$H$2030)</f>
        <v/>
      </c>
      <c r="C28" s="24">
        <f>SUMPRODUCT((YEAR('Doğrudan Alım İşlemleri'!$E$2:$E$2030)=$A$28)*('Doğrudan Alım İşlemleri'!$I$2:$I$2030&lt;&gt;"")*'Doğrudan Alım İşlemleri'!$I$2:$I$2030)</f>
        <v/>
      </c>
      <c r="D28" s="8">
        <f>SUMPRODUCT((YEAR('Doğrudan Alım İşlemleri'!$E$2:$E$2030)=$A$28)*1)</f>
        <v/>
      </c>
      <c r="E28" s="24">
        <f>IFERROR(SUMPRODUCT((YEAR('Doğrudan Alım İşlemleri'!$E$2:$E$2030)=$A$28)*ISNUMBER('Doğrudan Alım İşlemleri'!$N$2:$N$2030)*'Doğrudan Alım İşlemleri'!$N$2:$N$2030*('Doğrudan Alım İşlemleri'!$H$2:$H$2030&lt;&gt;"")*'Doğrudan Alım İşlemleri'!$H$2:$H$2030)/SUMPRODUCT((YEAR('Doğrudan Alım İşlemleri'!$E$2:$E$2030)=$A$28)*ISNUMBER('Doğrudan Alım İşlemleri'!$N$2:$N$2030)*('Doğrudan Alım İşlemleri'!$H$2:$H$2030&lt;&gt;"")*'Doğrudan Alım İşlemleri'!$H$2:$H$2030),"")</f>
        <v/>
      </c>
    </row>
    <row r="29">
      <c r="A29" s="16" t="n">
        <v>2035</v>
      </c>
      <c r="B29" s="11">
        <f>SUMPRODUCT((YEAR('Doğrudan Alım İşlemleri'!$E$2:$E$2030)=$A$29)*('Doğrudan Alım İşlemleri'!$H$2:$H$2030&lt;&gt;"")*'Doğrudan Alım İşlemleri'!$H$2:$H$2030)</f>
        <v/>
      </c>
      <c r="C29" s="13">
        <f>SUMPRODUCT((YEAR('Doğrudan Alım İşlemleri'!$E$2:$E$2030)=$A$29)*('Doğrudan Alım İşlemleri'!$I$2:$I$2030&lt;&gt;"")*'Doğrudan Alım İşlemleri'!$I$2:$I$2030)</f>
        <v/>
      </c>
      <c r="D29" s="11">
        <f>SUMPRODUCT((YEAR('Doğrudan Alım İşlemleri'!$E$2:$E$2030)=$A$29)*1)</f>
        <v/>
      </c>
      <c r="E29" s="13">
        <f>IFERROR(SUMPRODUCT((YEAR('Doğrudan Alım İşlemleri'!$E$2:$E$2030)=$A$29)*ISNUMBER('Doğrudan Alım İşlemleri'!$N$2:$N$2030)*'Doğrudan Alım İşlemleri'!$N$2:$N$2030*('Doğrudan Alım İşlemleri'!$H$2:$H$2030&lt;&gt;"")*'Doğrudan Alım İşlemleri'!$H$2:$H$2030)/SUMPRODUCT((YEAR('Doğrudan Alım İşlemleri'!$E$2:$E$2030)=$A$29)*ISNUMBER('Doğrudan Alım İşlemleri'!$N$2:$N$2030)*('Doğrudan Alım İşlemleri'!$H$2:$H$2030&lt;&gt;"")*'Doğrudan Alım İşlemleri'!$H$2:$H$2030),"")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İşlemleri'!$B$2:$B$2030)=$A$4)*('Doğrudan Alım İşlemleri'!$H$2:$H$2030&lt;&gt;"")*'Doğrudan Alım İşlemleri'!$H$2:$H$2030)</f>
        <v/>
      </c>
      <c r="C4" s="8">
        <f>SUMPRODUCT((YEAR('Doğrudan Alım İşlemleri'!$B$2:$B$2030)=$A$4)*(('Doğrudan Alım İşlemleri'!$E$2:$E$2030-'Doğrudan Alım İşlemleri'!$D$2:$D$2030)&gt;=0)*(('Doğrudan Alım İşlemleri'!$E$2:$E$2030-'Doğrudan Alım İşlemleri'!$D$2:$D$2030)&lt;=365)*('Doğrudan Alım İşlemleri'!$H$2:$H$2030&lt;&gt;"")*'Doğrudan Alım İşlemleri'!$H$2:$H$2030)</f>
        <v/>
      </c>
      <c r="D4" s="8">
        <f>SUMPRODUCT((YEAR('Doğrudan Alım İşlemleri'!$B$2:$B$2030)=$A$4)*(('Doğrudan Alım İşlemleri'!$E$2:$E$2030-'Doğrudan Alım İşlemleri'!$D$2:$D$2030)&gt;=366)*(('Doğrudan Alım İşlemleri'!$E$2:$E$2030-'Doğrudan Alım İşlemleri'!$D$2:$D$2030)&lt;=730)*('Doğrudan Alım İşlemleri'!$H$2:$H$2030&lt;&gt;"")*'Doğrudan Alım İşlemleri'!$H$2:$H$2030)</f>
        <v/>
      </c>
      <c r="E4" s="8">
        <f>SUMPRODUCT((YEAR('Doğrudan Alım İşlemleri'!$B$2:$B$2030)=$A$4)*(('Doğrudan Alım İşlemleri'!$E$2:$E$2030-'Doğrudan Alım İşlemleri'!$D$2:$D$2030)&gt;=731)*(('Doğrudan Alım İşlemleri'!$E$2:$E$2030-'Doğrudan Alım İşlemleri'!$D$2:$D$2030)&lt;=1095)*('Doğrudan Alım İşlemleri'!$H$2:$H$2030&lt;&gt;"")*'Doğrudan Alım İşlemleri'!$H$2:$H$2030)</f>
        <v/>
      </c>
      <c r="F4" s="8">
        <f>SUMPRODUCT((YEAR('Doğrudan Alım İşlemleri'!$B$2:$B$2030)=$A$4)*(('Doğrudan Alım İşlemleri'!$E$2:$E$2030-'Doğrudan Alım İşlemleri'!$D$2:$D$2030)&gt;=1096)*(('Doğrudan Alım İşlemleri'!$E$2:$E$2030-'Doğrudan Alım İşlemleri'!$D$2:$D$2030)&lt;=1825)*('Doğrudan Alım İşlemleri'!$H$2:$H$2030&lt;&gt;"")*'Doğrudan Alım İşlemleri'!$H$2:$H$2030)</f>
        <v/>
      </c>
      <c r="G4" s="8">
        <f>SUMPRODUCT((YEAR('Doğrudan Alım İşlemleri'!$B$2:$B$2030)=$A$4)*(('Doğrudan Alım İşlemleri'!$E$2:$E$2030-'Doğrudan Alım İşlemleri'!$D$2:$D$2030)&gt;=1826)*(('Doğrudan Alım İşlemleri'!$E$2:$E$2030-'Doğrudan Alım İşlemleri'!$D$2:$D$2030)&lt;=2555)*('Doğrudan Alım İşlemleri'!$H$2:$H$2030&lt;&gt;"")*'Doğrudan Alım İşlemleri'!$H$2:$H$2030)</f>
        <v/>
      </c>
      <c r="H4" s="8">
        <f>SUMPRODUCT((YEAR('Doğrudan Alım İşlemleri'!$B$2:$B$2030)=$A$4)*(('Doğrudan Alım İşlemleri'!$E$2:$E$2030-'Doğrudan Alım İşlemleri'!$D$2:$D$2030)&gt;=2556)*('Doğrudan Alım İşlemleri'!$H$2:$H$2030&lt;&gt;"")*'Doğrudan Alım İşlemleri'!$H$2:$H$2030)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İşlemleri'!$B$2:$B$2030)=$A$6)*('Doğrudan Alım İşlemleri'!$H$2:$H$2030&lt;&gt;"")*'Doğrudan Alım İşlemleri'!$H$2:$H$2030)</f>
        <v/>
      </c>
      <c r="C6" s="11">
        <f>SUMPRODUCT((YEAR('Doğrudan Alım İşlemleri'!$B$2:$B$2030)=$A$6)*(('Doğrudan Alım İşlemleri'!$E$2:$E$2030-'Doğrudan Alım İşlemleri'!$D$2:$D$2030)&gt;=0)*(('Doğrudan Alım İşlemleri'!$E$2:$E$2030-'Doğrudan Alım İşlemleri'!$D$2:$D$2030)&lt;=365)*('Doğrudan Alım İşlemleri'!$H$2:$H$2030&lt;&gt;"")*'Doğrudan Alım İşlemleri'!$H$2:$H$2030)</f>
        <v/>
      </c>
      <c r="D6" s="11">
        <f>SUMPRODUCT((YEAR('Doğrudan Alım İşlemleri'!$B$2:$B$2030)=$A$6)*(('Doğrudan Alım İşlemleri'!$E$2:$E$2030-'Doğrudan Alım İşlemleri'!$D$2:$D$2030)&gt;=366)*(('Doğrudan Alım İşlemleri'!$E$2:$E$2030-'Doğrudan Alım İşlemleri'!$D$2:$D$2030)&lt;=730)*('Doğrudan Alım İşlemleri'!$H$2:$H$2030&lt;&gt;"")*'Doğrudan Alım İşlemleri'!$H$2:$H$2030)</f>
        <v/>
      </c>
      <c r="E6" s="11">
        <f>SUMPRODUCT((YEAR('Doğrudan Alım İşlemleri'!$B$2:$B$2030)=$A$6)*(('Doğrudan Alım İşlemleri'!$E$2:$E$2030-'Doğrudan Alım İşlemleri'!$D$2:$D$2030)&gt;=731)*(('Doğrudan Alım İşlemleri'!$E$2:$E$2030-'Doğrudan Alım İşlemleri'!$D$2:$D$2030)&lt;=1095)*('Doğrudan Alım İşlemleri'!$H$2:$H$2030&lt;&gt;"")*'Doğrudan Alım İşlemleri'!$H$2:$H$2030)</f>
        <v/>
      </c>
      <c r="F6" s="11">
        <f>SUMPRODUCT((YEAR('Doğrudan Alım İşlemleri'!$B$2:$B$2030)=$A$6)*(('Doğrudan Alım İşlemleri'!$E$2:$E$2030-'Doğrudan Alım İşlemleri'!$D$2:$D$2030)&gt;=1096)*(('Doğrudan Alım İşlemleri'!$E$2:$E$2030-'Doğrudan Alım İşlemleri'!$D$2:$D$2030)&lt;=1825)*('Doğrudan Alım İşlemleri'!$H$2:$H$2030&lt;&gt;"")*'Doğrudan Alım İşlemleri'!$H$2:$H$2030)</f>
        <v/>
      </c>
      <c r="G6" s="11">
        <f>SUMPRODUCT((YEAR('Doğrudan Alım İşlemleri'!$B$2:$B$2030)=$A$6)*(('Doğrudan Alım İşlemleri'!$E$2:$E$2030-'Doğrudan Alım İşlemleri'!$D$2:$D$2030)&gt;=1826)*(('Doğrudan Alım İşlemleri'!$E$2:$E$2030-'Doğrudan Alım İşlemleri'!$D$2:$D$2030)&lt;=2555)*('Doğrudan Alım İşlemleri'!$H$2:$H$2030&lt;&gt;"")*'Doğrudan Alım İşlemleri'!$H$2:$H$2030)</f>
        <v/>
      </c>
      <c r="H6" s="11">
        <f>SUMPRODUCT((YEAR('Doğrudan Alım İşlemleri'!$B$2:$B$2030)=$A$6)*(('Doğrudan Alım İşlemleri'!$E$2:$E$2030-'Doğrudan Alım İşlemleri'!$D$2:$D$2030)&gt;=2556)*('Doğrudan Alım İşlemleri'!$H$2:$H$2030&lt;&gt;"")*'Doğrudan Alım İşlemleri'!$H$2:$H$2030)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İşlemleri'!$B$2:$B$2030)=$A$8)*('Doğrudan Alım İşlemleri'!$H$2:$H$2030&lt;&gt;"")*'Doğrudan Alım İşlemleri'!$H$2:$H$2030)</f>
        <v/>
      </c>
      <c r="C8" s="8">
        <f>SUMPRODUCT((YEAR('Doğrudan Alım İşlemleri'!$B$2:$B$2030)=$A$8)*(('Doğrudan Alım İşlemleri'!$E$2:$E$2030-'Doğrudan Alım İşlemleri'!$D$2:$D$2030)&gt;=0)*(('Doğrudan Alım İşlemleri'!$E$2:$E$2030-'Doğrudan Alım İşlemleri'!$D$2:$D$2030)&lt;=365)*('Doğrudan Alım İşlemleri'!$H$2:$H$2030&lt;&gt;"")*'Doğrudan Alım İşlemleri'!$H$2:$H$2030)</f>
        <v/>
      </c>
      <c r="D8" s="8">
        <f>SUMPRODUCT((YEAR('Doğrudan Alım İşlemleri'!$B$2:$B$2030)=$A$8)*(('Doğrudan Alım İşlemleri'!$E$2:$E$2030-'Doğrudan Alım İşlemleri'!$D$2:$D$2030)&gt;=366)*(('Doğrudan Alım İşlemleri'!$E$2:$E$2030-'Doğrudan Alım İşlemleri'!$D$2:$D$2030)&lt;=730)*('Doğrudan Alım İşlemleri'!$H$2:$H$2030&lt;&gt;"")*'Doğrudan Alım İşlemleri'!$H$2:$H$2030)</f>
        <v/>
      </c>
      <c r="E8" s="8">
        <f>SUMPRODUCT((YEAR('Doğrudan Alım İşlemleri'!$B$2:$B$2030)=$A$8)*(('Doğrudan Alım İşlemleri'!$E$2:$E$2030-'Doğrudan Alım İşlemleri'!$D$2:$D$2030)&gt;=731)*(('Doğrudan Alım İşlemleri'!$E$2:$E$2030-'Doğrudan Alım İşlemleri'!$D$2:$D$2030)&lt;=1095)*('Doğrudan Alım İşlemleri'!$H$2:$H$2030&lt;&gt;"")*'Doğrudan Alım İşlemleri'!$H$2:$H$2030)</f>
        <v/>
      </c>
      <c r="F8" s="8">
        <f>SUMPRODUCT((YEAR('Doğrudan Alım İşlemleri'!$B$2:$B$2030)=$A$8)*(('Doğrudan Alım İşlemleri'!$E$2:$E$2030-'Doğrudan Alım İşlemleri'!$D$2:$D$2030)&gt;=1096)*(('Doğrudan Alım İşlemleri'!$E$2:$E$2030-'Doğrudan Alım İşlemleri'!$D$2:$D$2030)&lt;=1825)*('Doğrudan Alım İşlemleri'!$H$2:$H$2030&lt;&gt;"")*'Doğrudan Alım İşlemleri'!$H$2:$H$2030)</f>
        <v/>
      </c>
      <c r="G8" s="8">
        <f>SUMPRODUCT((YEAR('Doğrudan Alım İşlemleri'!$B$2:$B$2030)=$A$8)*(('Doğrudan Alım İşlemleri'!$E$2:$E$2030-'Doğrudan Alım İşlemleri'!$D$2:$D$2030)&gt;=1826)*(('Doğrudan Alım İşlemleri'!$E$2:$E$2030-'Doğrudan Alım İşlemleri'!$D$2:$D$2030)&lt;=2555)*('Doğrudan Alım İşlemleri'!$H$2:$H$2030&lt;&gt;"")*'Doğrudan Alım İşlemleri'!$H$2:$H$2030)</f>
        <v/>
      </c>
      <c r="H8" s="8">
        <f>SUMPRODUCT((YEAR('Doğrudan Alım İşlemleri'!$B$2:$B$2030)=$A$8)*(('Doğrudan Alım İşlemleri'!$E$2:$E$2030-'Doğrudan Alım İşlemleri'!$D$2:$D$2030)&gt;=2556)*('Doğrudan Alım İşlemleri'!$H$2:$H$2030&lt;&gt;"")*'Doğrudan Alım İşlemleri'!$H$2:$H$2030)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İşlemleri'!$B$2:$B$2030)=$A$10)*('Doğrudan Alım İşlemleri'!$H$2:$H$2030&lt;&gt;"")*'Doğrudan Alım İşlemleri'!$H$2:$H$2030)</f>
        <v/>
      </c>
      <c r="C10" s="11">
        <f>SUMPRODUCT((YEAR('Doğrudan Alım İşlemleri'!$B$2:$B$2030)=$A$10)*(('Doğrudan Alım İşlemleri'!$E$2:$E$2030-'Doğrudan Alım İşlemleri'!$D$2:$D$2030)&gt;=0)*(('Doğrudan Alım İşlemleri'!$E$2:$E$2030-'Doğrudan Alım İşlemleri'!$D$2:$D$2030)&lt;=365)*('Doğrudan Alım İşlemleri'!$H$2:$H$2030&lt;&gt;"")*'Doğrudan Alım İşlemleri'!$H$2:$H$2030)</f>
        <v/>
      </c>
      <c r="D10" s="11">
        <f>SUMPRODUCT((YEAR('Doğrudan Alım İşlemleri'!$B$2:$B$2030)=$A$10)*(('Doğrudan Alım İşlemleri'!$E$2:$E$2030-'Doğrudan Alım İşlemleri'!$D$2:$D$2030)&gt;=366)*(('Doğrudan Alım İşlemleri'!$E$2:$E$2030-'Doğrudan Alım İşlemleri'!$D$2:$D$2030)&lt;=730)*('Doğrudan Alım İşlemleri'!$H$2:$H$2030&lt;&gt;"")*'Doğrudan Alım İşlemleri'!$H$2:$H$2030)</f>
        <v/>
      </c>
      <c r="E10" s="11">
        <f>SUMPRODUCT((YEAR('Doğrudan Alım İşlemleri'!$B$2:$B$2030)=$A$10)*(('Doğrudan Alım İşlemleri'!$E$2:$E$2030-'Doğrudan Alım İşlemleri'!$D$2:$D$2030)&gt;=731)*(('Doğrudan Alım İşlemleri'!$E$2:$E$2030-'Doğrudan Alım İşlemleri'!$D$2:$D$2030)&lt;=1095)*('Doğrudan Alım İşlemleri'!$H$2:$H$2030&lt;&gt;"")*'Doğrudan Alım İşlemleri'!$H$2:$H$2030)</f>
        <v/>
      </c>
      <c r="F10" s="11">
        <f>SUMPRODUCT((YEAR('Doğrudan Alım İşlemleri'!$B$2:$B$2030)=$A$10)*(('Doğrudan Alım İşlemleri'!$E$2:$E$2030-'Doğrudan Alım İşlemleri'!$D$2:$D$2030)&gt;=1096)*(('Doğrudan Alım İşlemleri'!$E$2:$E$2030-'Doğrudan Alım İşlemleri'!$D$2:$D$2030)&lt;=1825)*('Doğrudan Alım İşlemleri'!$H$2:$H$2030&lt;&gt;"")*'Doğrudan Alım İşlemleri'!$H$2:$H$2030)</f>
        <v/>
      </c>
      <c r="G10" s="11">
        <f>SUMPRODUCT((YEAR('Doğrudan Alım İşlemleri'!$B$2:$B$2030)=$A$10)*(('Doğrudan Alım İşlemleri'!$E$2:$E$2030-'Doğrudan Alım İşlemleri'!$D$2:$D$2030)&gt;=1826)*(('Doğrudan Alım İşlemleri'!$E$2:$E$2030-'Doğrudan Alım İşlemleri'!$D$2:$D$2030)&lt;=2555)*('Doğrudan Alım İşlemleri'!$H$2:$H$2030&lt;&gt;"")*'Doğrudan Alım İşlemleri'!$H$2:$H$2030)</f>
        <v/>
      </c>
      <c r="H10" s="11">
        <f>SUMPRODUCT((YEAR('Doğrudan Alım İşlemleri'!$B$2:$B$2030)=$A$10)*(('Doğrudan Alım İşlemleri'!$E$2:$E$2030-'Doğrudan Alım İşlemleri'!$D$2:$D$2030)&gt;=2556)*('Doğrudan Alım İşlemleri'!$H$2:$H$2030&lt;&gt;"")*'Doğrudan Alım İşlemleri'!$H$2:$H$2030)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İşlemleri'!$B$2:$B$2030)=$A$12)*('Doğrudan Alım İşlemleri'!$H$2:$H$2030&lt;&gt;"")*'Doğrudan Alım İşlemleri'!$H$2:$H$2030)</f>
        <v/>
      </c>
      <c r="C12" s="8">
        <f>SUMPRODUCT((YEAR('Doğrudan Alım İşlemleri'!$B$2:$B$2030)=$A$12)*(('Doğrudan Alım İşlemleri'!$E$2:$E$2030-'Doğrudan Alım İşlemleri'!$D$2:$D$2030)&gt;=0)*(('Doğrudan Alım İşlemleri'!$E$2:$E$2030-'Doğrudan Alım İşlemleri'!$D$2:$D$2030)&lt;=365)*('Doğrudan Alım İşlemleri'!$H$2:$H$2030&lt;&gt;"")*'Doğrudan Alım İşlemleri'!$H$2:$H$2030)</f>
        <v/>
      </c>
      <c r="D12" s="8">
        <f>SUMPRODUCT((YEAR('Doğrudan Alım İşlemleri'!$B$2:$B$2030)=$A$12)*(('Doğrudan Alım İşlemleri'!$E$2:$E$2030-'Doğrudan Alım İşlemleri'!$D$2:$D$2030)&gt;=366)*(('Doğrudan Alım İşlemleri'!$E$2:$E$2030-'Doğrudan Alım İşlemleri'!$D$2:$D$2030)&lt;=730)*('Doğrudan Alım İşlemleri'!$H$2:$H$2030&lt;&gt;"")*'Doğrudan Alım İşlemleri'!$H$2:$H$2030)</f>
        <v/>
      </c>
      <c r="E12" s="8">
        <f>SUMPRODUCT((YEAR('Doğrudan Alım İşlemleri'!$B$2:$B$2030)=$A$12)*(('Doğrudan Alım İşlemleri'!$E$2:$E$2030-'Doğrudan Alım İşlemleri'!$D$2:$D$2030)&gt;=731)*(('Doğrudan Alım İşlemleri'!$E$2:$E$2030-'Doğrudan Alım İşlemleri'!$D$2:$D$2030)&lt;=1095)*('Doğrudan Alım İşlemleri'!$H$2:$H$2030&lt;&gt;"")*'Doğrudan Alım İşlemleri'!$H$2:$H$2030)</f>
        <v/>
      </c>
      <c r="F12" s="8">
        <f>SUMPRODUCT((YEAR('Doğrudan Alım İşlemleri'!$B$2:$B$2030)=$A$12)*(('Doğrudan Alım İşlemleri'!$E$2:$E$2030-'Doğrudan Alım İşlemleri'!$D$2:$D$2030)&gt;=1096)*(('Doğrudan Alım İşlemleri'!$E$2:$E$2030-'Doğrudan Alım İşlemleri'!$D$2:$D$2030)&lt;=1825)*('Doğrudan Alım İşlemleri'!$H$2:$H$2030&lt;&gt;"")*'Doğrudan Alım İşlemleri'!$H$2:$H$2030)</f>
        <v/>
      </c>
      <c r="G12" s="8">
        <f>SUMPRODUCT((YEAR('Doğrudan Alım İşlemleri'!$B$2:$B$2030)=$A$12)*(('Doğrudan Alım İşlemleri'!$E$2:$E$2030-'Doğrudan Alım İşlemleri'!$D$2:$D$2030)&gt;=1826)*(('Doğrudan Alım İşlemleri'!$E$2:$E$2030-'Doğrudan Alım İşlemleri'!$D$2:$D$2030)&lt;=2555)*('Doğrudan Alım İşlemleri'!$H$2:$H$2030&lt;&gt;"")*'Doğrudan Alım İşlemleri'!$H$2:$H$2030)</f>
        <v/>
      </c>
      <c r="H12" s="8">
        <f>SUMPRODUCT((YEAR('Doğrudan Alım İşlemleri'!$B$2:$B$2030)=$A$12)*(('Doğrudan Alım İşlemleri'!$E$2:$E$2030-'Doğrudan Alım İşlemleri'!$D$2:$D$2030)&gt;=2556)*('Doğrudan Alım İşlemleri'!$H$2:$H$2030&lt;&gt;"")*'Doğrudan Alım İşlemleri'!$H$2:$H$2030)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İşlemleri'!$B$2:$B$2030)=$A$14)*('Doğrudan Alım İşlemleri'!$H$2:$H$2030&lt;&gt;"")*'Doğrudan Alım İşlemleri'!$H$2:$H$2030)</f>
        <v/>
      </c>
      <c r="C14" s="11">
        <f>SUMPRODUCT((YEAR('Doğrudan Alım İşlemleri'!$B$2:$B$2030)=$A$14)*(('Doğrudan Alım İşlemleri'!$E$2:$E$2030-'Doğrudan Alım İşlemleri'!$D$2:$D$2030)&gt;=0)*(('Doğrudan Alım İşlemleri'!$E$2:$E$2030-'Doğrudan Alım İşlemleri'!$D$2:$D$2030)&lt;=365)*('Doğrudan Alım İşlemleri'!$H$2:$H$2030&lt;&gt;"")*'Doğrudan Alım İşlemleri'!$H$2:$H$2030)</f>
        <v/>
      </c>
      <c r="D14" s="11">
        <f>SUMPRODUCT((YEAR('Doğrudan Alım İşlemleri'!$B$2:$B$2030)=$A$14)*(('Doğrudan Alım İşlemleri'!$E$2:$E$2030-'Doğrudan Alım İşlemleri'!$D$2:$D$2030)&gt;=366)*(('Doğrudan Alım İşlemleri'!$E$2:$E$2030-'Doğrudan Alım İşlemleri'!$D$2:$D$2030)&lt;=730)*('Doğrudan Alım İşlemleri'!$H$2:$H$2030&lt;&gt;"")*'Doğrudan Alım İşlemleri'!$H$2:$H$2030)</f>
        <v/>
      </c>
      <c r="E14" s="11">
        <f>SUMPRODUCT((YEAR('Doğrudan Alım İşlemleri'!$B$2:$B$2030)=$A$14)*(('Doğrudan Alım İşlemleri'!$E$2:$E$2030-'Doğrudan Alım İşlemleri'!$D$2:$D$2030)&gt;=731)*(('Doğrudan Alım İşlemleri'!$E$2:$E$2030-'Doğrudan Alım İşlemleri'!$D$2:$D$2030)&lt;=1095)*('Doğrudan Alım İşlemleri'!$H$2:$H$2030&lt;&gt;"")*'Doğrudan Alım İşlemleri'!$H$2:$H$2030)</f>
        <v/>
      </c>
      <c r="F14" s="11">
        <f>SUMPRODUCT((YEAR('Doğrudan Alım İşlemleri'!$B$2:$B$2030)=$A$14)*(('Doğrudan Alım İşlemleri'!$E$2:$E$2030-'Doğrudan Alım İşlemleri'!$D$2:$D$2030)&gt;=1096)*(('Doğrudan Alım İşlemleri'!$E$2:$E$2030-'Doğrudan Alım İşlemleri'!$D$2:$D$2030)&lt;=1825)*('Doğrudan Alım İşlemleri'!$H$2:$H$2030&lt;&gt;"")*'Doğrudan Alım İşlemleri'!$H$2:$H$2030)</f>
        <v/>
      </c>
      <c r="G14" s="11">
        <f>SUMPRODUCT((YEAR('Doğrudan Alım İşlemleri'!$B$2:$B$2030)=$A$14)*(('Doğrudan Alım İşlemleri'!$E$2:$E$2030-'Doğrudan Alım İşlemleri'!$D$2:$D$2030)&gt;=1826)*(('Doğrudan Alım İşlemleri'!$E$2:$E$2030-'Doğrudan Alım İşlemleri'!$D$2:$D$2030)&lt;=2555)*('Doğrudan Alım İşlemleri'!$H$2:$H$2030&lt;&gt;"")*'Doğrudan Alım İşlemleri'!$H$2:$H$2030)</f>
        <v/>
      </c>
      <c r="H14" s="11">
        <f>SUMPRODUCT((YEAR('Doğrudan Alım İşlemleri'!$B$2:$B$2030)=$A$14)*(('Doğrudan Alım İşlemleri'!$E$2:$E$2030-'Doğrudan Alım İşlemleri'!$D$2:$D$2030)&gt;=2556)*('Doğrudan Alım İşlemleri'!$H$2:$H$2030&lt;&gt;"")*'Doğrudan Alım İşlemleri'!$H$2:$H$2030)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İşlemleri'!$B$2:$B$2030)=$A$16)*('Doğrudan Alım İşlemleri'!$H$2:$H$2030&lt;&gt;"")*'Doğrudan Alım İşlemleri'!$H$2:$H$2030)</f>
        <v/>
      </c>
      <c r="C16" s="8">
        <f>SUMPRODUCT((YEAR('Doğrudan Alım İşlemleri'!$B$2:$B$2030)=$A$16)*(('Doğrudan Alım İşlemleri'!$E$2:$E$2030-'Doğrudan Alım İşlemleri'!$D$2:$D$2030)&gt;=0)*(('Doğrudan Alım İşlemleri'!$E$2:$E$2030-'Doğrudan Alım İşlemleri'!$D$2:$D$2030)&lt;=365)*('Doğrudan Alım İşlemleri'!$H$2:$H$2030&lt;&gt;"")*'Doğrudan Alım İşlemleri'!$H$2:$H$2030)</f>
        <v/>
      </c>
      <c r="D16" s="8">
        <f>SUMPRODUCT((YEAR('Doğrudan Alım İşlemleri'!$B$2:$B$2030)=$A$16)*(('Doğrudan Alım İşlemleri'!$E$2:$E$2030-'Doğrudan Alım İşlemleri'!$D$2:$D$2030)&gt;=366)*(('Doğrudan Alım İşlemleri'!$E$2:$E$2030-'Doğrudan Alım İşlemleri'!$D$2:$D$2030)&lt;=730)*('Doğrudan Alım İşlemleri'!$H$2:$H$2030&lt;&gt;"")*'Doğrudan Alım İşlemleri'!$H$2:$H$2030)</f>
        <v/>
      </c>
      <c r="E16" s="8">
        <f>SUMPRODUCT((YEAR('Doğrudan Alım İşlemleri'!$B$2:$B$2030)=$A$16)*(('Doğrudan Alım İşlemleri'!$E$2:$E$2030-'Doğrudan Alım İşlemleri'!$D$2:$D$2030)&gt;=731)*(('Doğrudan Alım İşlemleri'!$E$2:$E$2030-'Doğrudan Alım İşlemleri'!$D$2:$D$2030)&lt;=1095)*('Doğrudan Alım İşlemleri'!$H$2:$H$2030&lt;&gt;"")*'Doğrudan Alım İşlemleri'!$H$2:$H$2030)</f>
        <v/>
      </c>
      <c r="F16" s="8">
        <f>SUMPRODUCT((YEAR('Doğrudan Alım İşlemleri'!$B$2:$B$2030)=$A$16)*(('Doğrudan Alım İşlemleri'!$E$2:$E$2030-'Doğrudan Alım İşlemleri'!$D$2:$D$2030)&gt;=1096)*(('Doğrudan Alım İşlemleri'!$E$2:$E$2030-'Doğrudan Alım İşlemleri'!$D$2:$D$2030)&lt;=1825)*('Doğrudan Alım İşlemleri'!$H$2:$H$2030&lt;&gt;"")*'Doğrudan Alım İşlemleri'!$H$2:$H$2030)</f>
        <v/>
      </c>
      <c r="G16" s="8">
        <f>SUMPRODUCT((YEAR('Doğrudan Alım İşlemleri'!$B$2:$B$2030)=$A$16)*(('Doğrudan Alım İşlemleri'!$E$2:$E$2030-'Doğrudan Alım İşlemleri'!$D$2:$D$2030)&gt;=1826)*(('Doğrudan Alım İşlemleri'!$E$2:$E$2030-'Doğrudan Alım İşlemleri'!$D$2:$D$2030)&lt;=2555)*('Doğrudan Alım İşlemleri'!$H$2:$H$2030&lt;&gt;"")*'Doğrudan Alım İşlemleri'!$H$2:$H$2030)</f>
        <v/>
      </c>
      <c r="H16" s="8">
        <f>SUMPRODUCT((YEAR('Doğrudan Alım İşlemleri'!$B$2:$B$2030)=$A$16)*(('Doğrudan Alım İşlemleri'!$E$2:$E$2030-'Doğrudan Alım İşlemleri'!$D$2:$D$2030)&gt;=2556)*('Doğrudan Alım İşlemleri'!$H$2:$H$2030&lt;&gt;"")*'Doğrudan Alım İşlemleri'!$H$2:$H$2030)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İşlemleri'!$B$2:$B$2030)=$A$18)*('Doğrudan Alım İşlemleri'!$H$2:$H$2030&lt;&gt;"")*'Doğrudan Alım İşlemleri'!$H$2:$H$2030)</f>
        <v/>
      </c>
      <c r="C18" s="11">
        <f>SUMPRODUCT((YEAR('Doğrudan Alım İşlemleri'!$B$2:$B$2030)=$A$18)*(('Doğrudan Alım İşlemleri'!$E$2:$E$2030-'Doğrudan Alım İşlemleri'!$D$2:$D$2030)&gt;=0)*(('Doğrudan Alım İşlemleri'!$E$2:$E$2030-'Doğrudan Alım İşlemleri'!$D$2:$D$2030)&lt;=365)*('Doğrudan Alım İşlemleri'!$H$2:$H$2030&lt;&gt;"")*'Doğrudan Alım İşlemleri'!$H$2:$H$2030)</f>
        <v/>
      </c>
      <c r="D18" s="11">
        <f>SUMPRODUCT((YEAR('Doğrudan Alım İşlemleri'!$B$2:$B$2030)=$A$18)*(('Doğrudan Alım İşlemleri'!$E$2:$E$2030-'Doğrudan Alım İşlemleri'!$D$2:$D$2030)&gt;=366)*(('Doğrudan Alım İşlemleri'!$E$2:$E$2030-'Doğrudan Alım İşlemleri'!$D$2:$D$2030)&lt;=730)*('Doğrudan Alım İşlemleri'!$H$2:$H$2030&lt;&gt;"")*'Doğrudan Alım İşlemleri'!$H$2:$H$2030)</f>
        <v/>
      </c>
      <c r="E18" s="11">
        <f>SUMPRODUCT((YEAR('Doğrudan Alım İşlemleri'!$B$2:$B$2030)=$A$18)*(('Doğrudan Alım İşlemleri'!$E$2:$E$2030-'Doğrudan Alım İşlemleri'!$D$2:$D$2030)&gt;=731)*(('Doğrudan Alım İşlemleri'!$E$2:$E$2030-'Doğrudan Alım İşlemleri'!$D$2:$D$2030)&lt;=1095)*('Doğrudan Alım İşlemleri'!$H$2:$H$2030&lt;&gt;"")*'Doğrudan Alım İşlemleri'!$H$2:$H$2030)</f>
        <v/>
      </c>
      <c r="F18" s="11">
        <f>SUMPRODUCT((YEAR('Doğrudan Alım İşlemleri'!$B$2:$B$2030)=$A$18)*(('Doğrudan Alım İşlemleri'!$E$2:$E$2030-'Doğrudan Alım İşlemleri'!$D$2:$D$2030)&gt;=1096)*(('Doğrudan Alım İşlemleri'!$E$2:$E$2030-'Doğrudan Alım İşlemleri'!$D$2:$D$2030)&lt;=1825)*('Doğrudan Alım İşlemleri'!$H$2:$H$2030&lt;&gt;"")*'Doğrudan Alım İşlemleri'!$H$2:$H$2030)</f>
        <v/>
      </c>
      <c r="G18" s="11">
        <f>SUMPRODUCT((YEAR('Doğrudan Alım İşlemleri'!$B$2:$B$2030)=$A$18)*(('Doğrudan Alım İşlemleri'!$E$2:$E$2030-'Doğrudan Alım İşlemleri'!$D$2:$D$2030)&gt;=1826)*(('Doğrudan Alım İşlemleri'!$E$2:$E$2030-'Doğrudan Alım İşlemleri'!$D$2:$D$2030)&lt;=2555)*('Doğrudan Alım İşlemleri'!$H$2:$H$2030&lt;&gt;"")*'Doğrudan Alım İşlemleri'!$H$2:$H$2030)</f>
        <v/>
      </c>
      <c r="H18" s="11">
        <f>SUMPRODUCT((YEAR('Doğrudan Alım İşlemleri'!$B$2:$B$2030)=$A$18)*(('Doğrudan Alım İşlemleri'!$E$2:$E$2030-'Doğrudan Alım İşlemleri'!$D$2:$D$2030)&gt;=2556)*('Doğrudan Alım İşlemleri'!$H$2:$H$2030&lt;&gt;"")*'Doğrudan Alım İşlemleri'!$H$2:$H$2030)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İşlemleri'!$B$2:$B$2030)=$A$20)*('Doğrudan Alım İşlemleri'!$H$2:$H$2030&lt;&gt;"")*'Doğrudan Alım İşlemleri'!$H$2:$H$2030)</f>
        <v/>
      </c>
      <c r="C20" s="8">
        <f>SUMPRODUCT((YEAR('Doğrudan Alım İşlemleri'!$B$2:$B$2030)=$A$20)*(('Doğrudan Alım İşlemleri'!$E$2:$E$2030-'Doğrudan Alım İşlemleri'!$D$2:$D$2030)&gt;=0)*(('Doğrudan Alım İşlemleri'!$E$2:$E$2030-'Doğrudan Alım İşlemleri'!$D$2:$D$2030)&lt;=365)*('Doğrudan Alım İşlemleri'!$H$2:$H$2030&lt;&gt;"")*'Doğrudan Alım İşlemleri'!$H$2:$H$2030)</f>
        <v/>
      </c>
      <c r="D20" s="8">
        <f>SUMPRODUCT((YEAR('Doğrudan Alım İşlemleri'!$B$2:$B$2030)=$A$20)*(('Doğrudan Alım İşlemleri'!$E$2:$E$2030-'Doğrudan Alım İşlemleri'!$D$2:$D$2030)&gt;=366)*(('Doğrudan Alım İşlemleri'!$E$2:$E$2030-'Doğrudan Alım İşlemleri'!$D$2:$D$2030)&lt;=730)*('Doğrudan Alım İşlemleri'!$H$2:$H$2030&lt;&gt;"")*'Doğrudan Alım İşlemleri'!$H$2:$H$2030)</f>
        <v/>
      </c>
      <c r="E20" s="8">
        <f>SUMPRODUCT((YEAR('Doğrudan Alım İşlemleri'!$B$2:$B$2030)=$A$20)*(('Doğrudan Alım İşlemleri'!$E$2:$E$2030-'Doğrudan Alım İşlemleri'!$D$2:$D$2030)&gt;=731)*(('Doğrudan Alım İşlemleri'!$E$2:$E$2030-'Doğrudan Alım İşlemleri'!$D$2:$D$2030)&lt;=1095)*('Doğrudan Alım İşlemleri'!$H$2:$H$2030&lt;&gt;"")*'Doğrudan Alım İşlemleri'!$H$2:$H$2030)</f>
        <v/>
      </c>
      <c r="F20" s="8">
        <f>SUMPRODUCT((YEAR('Doğrudan Alım İşlemleri'!$B$2:$B$2030)=$A$20)*(('Doğrudan Alım İşlemleri'!$E$2:$E$2030-'Doğrudan Alım İşlemleri'!$D$2:$D$2030)&gt;=1096)*(('Doğrudan Alım İşlemleri'!$E$2:$E$2030-'Doğrudan Alım İşlemleri'!$D$2:$D$2030)&lt;=1825)*('Doğrudan Alım İşlemleri'!$H$2:$H$2030&lt;&gt;"")*'Doğrudan Alım İşlemleri'!$H$2:$H$2030)</f>
        <v/>
      </c>
      <c r="G20" s="8">
        <f>SUMPRODUCT((YEAR('Doğrudan Alım İşlemleri'!$B$2:$B$2030)=$A$20)*(('Doğrudan Alım İşlemleri'!$E$2:$E$2030-'Doğrudan Alım İşlemleri'!$D$2:$D$2030)&gt;=1826)*(('Doğrudan Alım İşlemleri'!$E$2:$E$2030-'Doğrudan Alım İşlemleri'!$D$2:$D$2030)&lt;=2555)*('Doğrudan Alım İşlemleri'!$H$2:$H$2030&lt;&gt;"")*'Doğrudan Alım İşlemleri'!$H$2:$H$2030)</f>
        <v/>
      </c>
      <c r="H20" s="8">
        <f>SUMPRODUCT((YEAR('Doğrudan Alım İşlemleri'!$B$2:$B$2030)=$A$20)*(('Doğrudan Alım İşlemleri'!$E$2:$E$2030-'Doğrudan Alım İşlemleri'!$D$2:$D$2030)&gt;=2556)*('Doğrudan Alım İşlemleri'!$H$2:$H$2030&lt;&gt;"")*'Doğrudan Alım İşlemleri'!$H$2:$H$2030)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İşlemleri'!$B$2:$B$2030)=$A$22)*('Doğrudan Alım İşlemleri'!$H$2:$H$2030&lt;&gt;"")*'Doğrudan Alım İşlemleri'!$H$2:$H$2030)</f>
        <v/>
      </c>
      <c r="C22" s="11">
        <f>SUMPRODUCT((YEAR('Doğrudan Alım İşlemleri'!$B$2:$B$2030)=$A$22)*(('Doğrudan Alım İşlemleri'!$E$2:$E$2030-'Doğrudan Alım İşlemleri'!$D$2:$D$2030)&gt;=0)*(('Doğrudan Alım İşlemleri'!$E$2:$E$2030-'Doğrudan Alım İşlemleri'!$D$2:$D$2030)&lt;=365)*('Doğrudan Alım İşlemleri'!$H$2:$H$2030&lt;&gt;"")*'Doğrudan Alım İşlemleri'!$H$2:$H$2030)</f>
        <v/>
      </c>
      <c r="D22" s="11">
        <f>SUMPRODUCT((YEAR('Doğrudan Alım İşlemleri'!$B$2:$B$2030)=$A$22)*(('Doğrudan Alım İşlemleri'!$E$2:$E$2030-'Doğrudan Alım İşlemleri'!$D$2:$D$2030)&gt;=366)*(('Doğrudan Alım İşlemleri'!$E$2:$E$2030-'Doğrudan Alım İşlemleri'!$D$2:$D$2030)&lt;=730)*('Doğrudan Alım İşlemleri'!$H$2:$H$2030&lt;&gt;"")*'Doğrudan Alım İşlemleri'!$H$2:$H$2030)</f>
        <v/>
      </c>
      <c r="E22" s="11">
        <f>SUMPRODUCT((YEAR('Doğrudan Alım İşlemleri'!$B$2:$B$2030)=$A$22)*(('Doğrudan Alım İşlemleri'!$E$2:$E$2030-'Doğrudan Alım İşlemleri'!$D$2:$D$2030)&gt;=731)*(('Doğrudan Alım İşlemleri'!$E$2:$E$2030-'Doğrudan Alım İşlemleri'!$D$2:$D$2030)&lt;=1095)*('Doğrudan Alım İşlemleri'!$H$2:$H$2030&lt;&gt;"")*'Doğrudan Alım İşlemleri'!$H$2:$H$2030)</f>
        <v/>
      </c>
      <c r="F22" s="11">
        <f>SUMPRODUCT((YEAR('Doğrudan Alım İşlemleri'!$B$2:$B$2030)=$A$22)*(('Doğrudan Alım İşlemleri'!$E$2:$E$2030-'Doğrudan Alım İşlemleri'!$D$2:$D$2030)&gt;=1096)*(('Doğrudan Alım İşlemleri'!$E$2:$E$2030-'Doğrudan Alım İşlemleri'!$D$2:$D$2030)&lt;=1825)*('Doğrudan Alım İşlemleri'!$H$2:$H$2030&lt;&gt;"")*'Doğrudan Alım İşlemleri'!$H$2:$H$2030)</f>
        <v/>
      </c>
      <c r="G22" s="11">
        <f>SUMPRODUCT((YEAR('Doğrudan Alım İşlemleri'!$B$2:$B$2030)=$A$22)*(('Doğrudan Alım İşlemleri'!$E$2:$E$2030-'Doğrudan Alım İşlemleri'!$D$2:$D$2030)&gt;=1826)*(('Doğrudan Alım İşlemleri'!$E$2:$E$2030-'Doğrudan Alım İşlemleri'!$D$2:$D$2030)&lt;=2555)*('Doğrudan Alım İşlemleri'!$H$2:$H$2030&lt;&gt;"")*'Doğrudan Alım İşlemleri'!$H$2:$H$2030)</f>
        <v/>
      </c>
      <c r="H22" s="11">
        <f>SUMPRODUCT((YEAR('Doğrudan Alım İşlemleri'!$B$2:$B$2030)=$A$22)*(('Doğrudan Alım İşlemleri'!$E$2:$E$2030-'Doğrudan Alım İşlemleri'!$D$2:$D$2030)&gt;=2556)*('Doğrudan Alım İşlemleri'!$H$2:$H$2030&lt;&gt;"")*'Doğrudan Alım İşlemleri'!$H$2:$H$2030)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İşlemleri'!$B$2:$B$2030)=$A$24)*('Doğrudan Alım İşlemleri'!$H$2:$H$2030&lt;&gt;"")*'Doğrudan Alım İşlemleri'!$H$2:$H$2030)</f>
        <v/>
      </c>
      <c r="C24" s="8">
        <f>SUMPRODUCT((YEAR('Doğrudan Alım İşlemleri'!$B$2:$B$2030)=$A$24)*(('Doğrudan Alım İşlemleri'!$E$2:$E$2030-'Doğrudan Alım İşlemleri'!$D$2:$D$2030)&gt;=0)*(('Doğrudan Alım İşlemleri'!$E$2:$E$2030-'Doğrudan Alım İşlemleri'!$D$2:$D$2030)&lt;=365)*('Doğrudan Alım İşlemleri'!$H$2:$H$2030&lt;&gt;"")*'Doğrudan Alım İşlemleri'!$H$2:$H$2030)</f>
        <v/>
      </c>
      <c r="D24" s="8">
        <f>SUMPRODUCT((YEAR('Doğrudan Alım İşlemleri'!$B$2:$B$2030)=$A$24)*(('Doğrudan Alım İşlemleri'!$E$2:$E$2030-'Doğrudan Alım İşlemleri'!$D$2:$D$2030)&gt;=366)*(('Doğrudan Alım İşlemleri'!$E$2:$E$2030-'Doğrudan Alım İşlemleri'!$D$2:$D$2030)&lt;=730)*('Doğrudan Alım İşlemleri'!$H$2:$H$2030&lt;&gt;"")*'Doğrudan Alım İşlemleri'!$H$2:$H$2030)</f>
        <v/>
      </c>
      <c r="E24" s="8">
        <f>SUMPRODUCT((YEAR('Doğrudan Alım İşlemleri'!$B$2:$B$2030)=$A$24)*(('Doğrudan Alım İşlemleri'!$E$2:$E$2030-'Doğrudan Alım İşlemleri'!$D$2:$D$2030)&gt;=731)*(('Doğrudan Alım İşlemleri'!$E$2:$E$2030-'Doğrudan Alım İşlemleri'!$D$2:$D$2030)&lt;=1095)*('Doğrudan Alım İşlemleri'!$H$2:$H$2030&lt;&gt;"")*'Doğrudan Alım İşlemleri'!$H$2:$H$2030)</f>
        <v/>
      </c>
      <c r="F24" s="8">
        <f>SUMPRODUCT((YEAR('Doğrudan Alım İşlemleri'!$B$2:$B$2030)=$A$24)*(('Doğrudan Alım İşlemleri'!$E$2:$E$2030-'Doğrudan Alım İşlemleri'!$D$2:$D$2030)&gt;=1096)*(('Doğrudan Alım İşlemleri'!$E$2:$E$2030-'Doğrudan Alım İşlemleri'!$D$2:$D$2030)&lt;=1825)*('Doğrudan Alım İşlemleri'!$H$2:$H$2030&lt;&gt;"")*'Doğrudan Alım İşlemleri'!$H$2:$H$2030)</f>
        <v/>
      </c>
      <c r="G24" s="8">
        <f>SUMPRODUCT((YEAR('Doğrudan Alım İşlemleri'!$B$2:$B$2030)=$A$24)*(('Doğrudan Alım İşlemleri'!$E$2:$E$2030-'Doğrudan Alım İşlemleri'!$D$2:$D$2030)&gt;=1826)*(('Doğrudan Alım İşlemleri'!$E$2:$E$2030-'Doğrudan Alım İşlemleri'!$D$2:$D$2030)&lt;=2555)*('Doğrudan Alım İşlemleri'!$H$2:$H$2030&lt;&gt;"")*'Doğrudan Alım İşlemleri'!$H$2:$H$2030)</f>
        <v/>
      </c>
      <c r="H24" s="8">
        <f>SUMPRODUCT((YEAR('Doğrudan Alım İşlemleri'!$B$2:$B$2030)=$A$24)*(('Doğrudan Alım İşlemleri'!$E$2:$E$2030-'Doğrudan Alım İşlemleri'!$D$2:$D$2030)&gt;=2556)*('Doğrudan Alım İşlemleri'!$H$2:$H$2030&lt;&gt;"")*'Doğrudan Alım İşlemleri'!$H$2:$H$2030)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İşlemleri'!$B$2:$B$2030)=$A$26)*('Doğrudan Alım İşlemleri'!$H$2:$H$2030&lt;&gt;"")*'Doğrudan Alım İşlemleri'!$H$2:$H$2030)</f>
        <v/>
      </c>
      <c r="C26" s="11">
        <f>SUMPRODUCT((YEAR('Doğrudan Alım İşlemleri'!$B$2:$B$2030)=$A$26)*(('Doğrudan Alım İşlemleri'!$E$2:$E$2030-'Doğrudan Alım İşlemleri'!$D$2:$D$2030)&gt;=0)*(('Doğrudan Alım İşlemleri'!$E$2:$E$2030-'Doğrudan Alım İşlemleri'!$D$2:$D$2030)&lt;=365)*('Doğrudan Alım İşlemleri'!$H$2:$H$2030&lt;&gt;"")*'Doğrudan Alım İşlemleri'!$H$2:$H$2030)</f>
        <v/>
      </c>
      <c r="D26" s="11">
        <f>SUMPRODUCT((YEAR('Doğrudan Alım İşlemleri'!$B$2:$B$2030)=$A$26)*(('Doğrudan Alım İşlemleri'!$E$2:$E$2030-'Doğrudan Alım İşlemleri'!$D$2:$D$2030)&gt;=366)*(('Doğrudan Alım İşlemleri'!$E$2:$E$2030-'Doğrudan Alım İşlemleri'!$D$2:$D$2030)&lt;=730)*('Doğrudan Alım İşlemleri'!$H$2:$H$2030&lt;&gt;"")*'Doğrudan Alım İşlemleri'!$H$2:$H$2030)</f>
        <v/>
      </c>
      <c r="E26" s="11">
        <f>SUMPRODUCT((YEAR('Doğrudan Alım İşlemleri'!$B$2:$B$2030)=$A$26)*(('Doğrudan Alım İşlemleri'!$E$2:$E$2030-'Doğrudan Alım İşlemleri'!$D$2:$D$2030)&gt;=731)*(('Doğrudan Alım İşlemleri'!$E$2:$E$2030-'Doğrudan Alım İşlemleri'!$D$2:$D$2030)&lt;=1095)*('Doğrudan Alım İşlemleri'!$H$2:$H$2030&lt;&gt;"")*'Doğrudan Alım İşlemleri'!$H$2:$H$2030)</f>
        <v/>
      </c>
      <c r="F26" s="11">
        <f>SUMPRODUCT((YEAR('Doğrudan Alım İşlemleri'!$B$2:$B$2030)=$A$26)*(('Doğrudan Alım İşlemleri'!$E$2:$E$2030-'Doğrudan Alım İşlemleri'!$D$2:$D$2030)&gt;=1096)*(('Doğrudan Alım İşlemleri'!$E$2:$E$2030-'Doğrudan Alım İşlemleri'!$D$2:$D$2030)&lt;=1825)*('Doğrudan Alım İşlemleri'!$H$2:$H$2030&lt;&gt;"")*'Doğrudan Alım İşlemleri'!$H$2:$H$2030)</f>
        <v/>
      </c>
      <c r="G26" s="11">
        <f>SUMPRODUCT((YEAR('Doğrudan Alım İşlemleri'!$B$2:$B$2030)=$A$26)*(('Doğrudan Alım İşlemleri'!$E$2:$E$2030-'Doğrudan Alım İşlemleri'!$D$2:$D$2030)&gt;=1826)*(('Doğrudan Alım İşlemleri'!$E$2:$E$2030-'Doğrudan Alım İşlemleri'!$D$2:$D$2030)&lt;=2555)*('Doğrudan Alım İşlemleri'!$H$2:$H$2030&lt;&gt;"")*'Doğrudan Alım İşlemleri'!$H$2:$H$2030)</f>
        <v/>
      </c>
      <c r="H26" s="11">
        <f>SUMPRODUCT((YEAR('Doğrudan Alım İşlemleri'!$B$2:$B$2030)=$A$26)*(('Doğrudan Alım İşlemleri'!$E$2:$E$2030-'Doğrudan Alım İşlemleri'!$D$2:$D$2030)&gt;=2556)*('Doğrudan Alım İşlemleri'!$H$2:$H$2030&lt;&gt;"")*'Doğrudan Alım İşlemleri'!$H$2:$H$2030)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İşlemleri'!$B$2:$B$2030)=$A$28)*('Doğrudan Alım İşlemleri'!$H$2:$H$2030&lt;&gt;"")*'Doğrudan Alım İşlemleri'!$H$2:$H$2030)</f>
        <v/>
      </c>
      <c r="C28" s="8">
        <f>SUMPRODUCT((YEAR('Doğrudan Alım İşlemleri'!$B$2:$B$2030)=$A$28)*(('Doğrudan Alım İşlemleri'!$E$2:$E$2030-'Doğrudan Alım İşlemleri'!$D$2:$D$2030)&gt;=0)*(('Doğrudan Alım İşlemleri'!$E$2:$E$2030-'Doğrudan Alım İşlemleri'!$D$2:$D$2030)&lt;=365)*('Doğrudan Alım İşlemleri'!$H$2:$H$2030&lt;&gt;"")*'Doğrudan Alım İşlemleri'!$H$2:$H$2030)</f>
        <v/>
      </c>
      <c r="D28" s="8">
        <f>SUMPRODUCT((YEAR('Doğrudan Alım İşlemleri'!$B$2:$B$2030)=$A$28)*(('Doğrudan Alım İşlemleri'!$E$2:$E$2030-'Doğrudan Alım İşlemleri'!$D$2:$D$2030)&gt;=366)*(('Doğrudan Alım İşlemleri'!$E$2:$E$2030-'Doğrudan Alım İşlemleri'!$D$2:$D$2030)&lt;=730)*('Doğrudan Alım İşlemleri'!$H$2:$H$2030&lt;&gt;"")*'Doğrudan Alım İşlemleri'!$H$2:$H$2030)</f>
        <v/>
      </c>
      <c r="E28" s="8">
        <f>SUMPRODUCT((YEAR('Doğrudan Alım İşlemleri'!$B$2:$B$2030)=$A$28)*(('Doğrudan Alım İşlemleri'!$E$2:$E$2030-'Doğrudan Alım İşlemleri'!$D$2:$D$2030)&gt;=731)*(('Doğrudan Alım İşlemleri'!$E$2:$E$2030-'Doğrudan Alım İşlemleri'!$D$2:$D$2030)&lt;=1095)*('Doğrudan Alım İşlemleri'!$H$2:$H$2030&lt;&gt;"")*'Doğrudan Alım İşlemleri'!$H$2:$H$2030)</f>
        <v/>
      </c>
      <c r="F28" s="8">
        <f>SUMPRODUCT((YEAR('Doğrudan Alım İşlemleri'!$B$2:$B$2030)=$A$28)*(('Doğrudan Alım İşlemleri'!$E$2:$E$2030-'Doğrudan Alım İşlemleri'!$D$2:$D$2030)&gt;=1096)*(('Doğrudan Alım İşlemleri'!$E$2:$E$2030-'Doğrudan Alım İşlemleri'!$D$2:$D$2030)&lt;=1825)*('Doğrudan Alım İşlemleri'!$H$2:$H$2030&lt;&gt;"")*'Doğrudan Alım İşlemleri'!$H$2:$H$2030)</f>
        <v/>
      </c>
      <c r="G28" s="8">
        <f>SUMPRODUCT((YEAR('Doğrudan Alım İşlemleri'!$B$2:$B$2030)=$A$28)*(('Doğrudan Alım İşlemleri'!$E$2:$E$2030-'Doğrudan Alım İşlemleri'!$D$2:$D$2030)&gt;=1826)*(('Doğrudan Alım İşlemleri'!$E$2:$E$2030-'Doğrudan Alım İşlemleri'!$D$2:$D$2030)&lt;=2555)*('Doğrudan Alım İşlemleri'!$H$2:$H$2030&lt;&gt;"")*'Doğrudan Alım İşlemleri'!$H$2:$H$2030)</f>
        <v/>
      </c>
      <c r="H28" s="8">
        <f>SUMPRODUCT((YEAR('Doğrudan Alım İşlemleri'!$B$2:$B$2030)=$A$28)*(('Doğrudan Alım İşlemleri'!$E$2:$E$2030-'Doğrudan Alım İşlemleri'!$D$2:$D$2030)&gt;=2556)*('Doğrudan Alım İşlemleri'!$H$2:$H$2030&lt;&gt;"")*'Doğrudan Alım İşlemleri'!$H$2:$H$2030)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İşlemleri'!$B$2:$B$2030)=$A$30)*('Doğrudan Alım İşlemleri'!$H$2:$H$2030&lt;&gt;"")*'Doğrudan Alım İşlemleri'!$H$2:$H$2030)</f>
        <v/>
      </c>
      <c r="C30" s="11">
        <f>SUMPRODUCT((YEAR('Doğrudan Alım İşlemleri'!$B$2:$B$2030)=$A$30)*(('Doğrudan Alım İşlemleri'!$E$2:$E$2030-'Doğrudan Alım İşlemleri'!$D$2:$D$2030)&gt;=0)*(('Doğrudan Alım İşlemleri'!$E$2:$E$2030-'Doğrudan Alım İşlemleri'!$D$2:$D$2030)&lt;=365)*('Doğrudan Alım İşlemleri'!$H$2:$H$2030&lt;&gt;"")*'Doğrudan Alım İşlemleri'!$H$2:$H$2030)</f>
        <v/>
      </c>
      <c r="D30" s="11">
        <f>SUMPRODUCT((YEAR('Doğrudan Alım İşlemleri'!$B$2:$B$2030)=$A$30)*(('Doğrudan Alım İşlemleri'!$E$2:$E$2030-'Doğrudan Alım İşlemleri'!$D$2:$D$2030)&gt;=366)*(('Doğrudan Alım İşlemleri'!$E$2:$E$2030-'Doğrudan Alım İşlemleri'!$D$2:$D$2030)&lt;=730)*('Doğrudan Alım İşlemleri'!$H$2:$H$2030&lt;&gt;"")*'Doğrudan Alım İşlemleri'!$H$2:$H$2030)</f>
        <v/>
      </c>
      <c r="E30" s="11">
        <f>SUMPRODUCT((YEAR('Doğrudan Alım İşlemleri'!$B$2:$B$2030)=$A$30)*(('Doğrudan Alım İşlemleri'!$E$2:$E$2030-'Doğrudan Alım İşlemleri'!$D$2:$D$2030)&gt;=731)*(('Doğrudan Alım İşlemleri'!$E$2:$E$2030-'Doğrudan Alım İşlemleri'!$D$2:$D$2030)&lt;=1095)*('Doğrudan Alım İşlemleri'!$H$2:$H$2030&lt;&gt;"")*'Doğrudan Alım İşlemleri'!$H$2:$H$2030)</f>
        <v/>
      </c>
      <c r="F30" s="11">
        <f>SUMPRODUCT((YEAR('Doğrudan Alım İşlemleri'!$B$2:$B$2030)=$A$30)*(('Doğrudan Alım İşlemleri'!$E$2:$E$2030-'Doğrudan Alım İşlemleri'!$D$2:$D$2030)&gt;=1096)*(('Doğrudan Alım İşlemleri'!$E$2:$E$2030-'Doğrudan Alım İşlemleri'!$D$2:$D$2030)&lt;=1825)*('Doğrudan Alım İşlemleri'!$H$2:$H$2030&lt;&gt;"")*'Doğrudan Alım İşlemleri'!$H$2:$H$2030)</f>
        <v/>
      </c>
      <c r="G30" s="11">
        <f>SUMPRODUCT((YEAR('Doğrudan Alım İşlemleri'!$B$2:$B$2030)=$A$30)*(('Doğrudan Alım İşlemleri'!$E$2:$E$2030-'Doğrudan Alım İşlemleri'!$D$2:$D$2030)&gt;=1826)*(('Doğrudan Alım İşlemleri'!$E$2:$E$2030-'Doğrudan Alım İşlemleri'!$D$2:$D$2030)&lt;=2555)*('Doğrudan Alım İşlemleri'!$H$2:$H$2030&lt;&gt;"")*'Doğrudan Alım İşlemleri'!$H$2:$H$2030)</f>
        <v/>
      </c>
      <c r="H30" s="11">
        <f>SUMPRODUCT((YEAR('Doğrudan Alım İşlemleri'!$B$2:$B$2030)=$A$30)*(('Doğrudan Alım İşlemleri'!$E$2:$E$2030-'Doğrudan Alım İşlemleri'!$D$2:$D$2030)&gt;=2556)*('Doğrudan Alım İşlemleri'!$H$2:$H$2030&lt;&gt;"")*'Doğrudan Alım İşlemleri'!$H$2:$H$2030)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İşlemleri'!$B$2:$B$2030)=$A$32)*('Doğrudan Alım İşlemleri'!$H$2:$H$2030&lt;&gt;"")*'Doğrudan Alım İşlemleri'!$H$2:$H$2030)</f>
        <v/>
      </c>
      <c r="C32" s="8">
        <f>SUMPRODUCT((YEAR('Doğrudan Alım İşlemleri'!$B$2:$B$2030)=$A$32)*(('Doğrudan Alım İşlemleri'!$E$2:$E$2030-'Doğrudan Alım İşlemleri'!$D$2:$D$2030)&gt;=0)*(('Doğrudan Alım İşlemleri'!$E$2:$E$2030-'Doğrudan Alım İşlemleri'!$D$2:$D$2030)&lt;=365)*('Doğrudan Alım İşlemleri'!$H$2:$H$2030&lt;&gt;"")*'Doğrudan Alım İşlemleri'!$H$2:$H$2030)</f>
        <v/>
      </c>
      <c r="D32" s="8">
        <f>SUMPRODUCT((YEAR('Doğrudan Alım İşlemleri'!$B$2:$B$2030)=$A$32)*(('Doğrudan Alım İşlemleri'!$E$2:$E$2030-'Doğrudan Alım İşlemleri'!$D$2:$D$2030)&gt;=366)*(('Doğrudan Alım İşlemleri'!$E$2:$E$2030-'Doğrudan Alım İşlemleri'!$D$2:$D$2030)&lt;=730)*('Doğrudan Alım İşlemleri'!$H$2:$H$2030&lt;&gt;"")*'Doğrudan Alım İşlemleri'!$H$2:$H$2030)</f>
        <v/>
      </c>
      <c r="E32" s="8">
        <f>SUMPRODUCT((YEAR('Doğrudan Alım İşlemleri'!$B$2:$B$2030)=$A$32)*(('Doğrudan Alım İşlemleri'!$E$2:$E$2030-'Doğrudan Alım İşlemleri'!$D$2:$D$2030)&gt;=731)*(('Doğrudan Alım İşlemleri'!$E$2:$E$2030-'Doğrudan Alım İşlemleri'!$D$2:$D$2030)&lt;=1095)*('Doğrudan Alım İşlemleri'!$H$2:$H$2030&lt;&gt;"")*'Doğrudan Alım İşlemleri'!$H$2:$H$2030)</f>
        <v/>
      </c>
      <c r="F32" s="8">
        <f>SUMPRODUCT((YEAR('Doğrudan Alım İşlemleri'!$B$2:$B$2030)=$A$32)*(('Doğrudan Alım İşlemleri'!$E$2:$E$2030-'Doğrudan Alım İşlemleri'!$D$2:$D$2030)&gt;=1096)*(('Doğrudan Alım İşlemleri'!$E$2:$E$2030-'Doğrudan Alım İşlemleri'!$D$2:$D$2030)&lt;=1825)*('Doğrudan Alım İşlemleri'!$H$2:$H$2030&lt;&gt;"")*'Doğrudan Alım İşlemleri'!$H$2:$H$2030)</f>
        <v/>
      </c>
      <c r="G32" s="8">
        <f>SUMPRODUCT((YEAR('Doğrudan Alım İşlemleri'!$B$2:$B$2030)=$A$32)*(('Doğrudan Alım İşlemleri'!$E$2:$E$2030-'Doğrudan Alım İşlemleri'!$D$2:$D$2030)&gt;=1826)*(('Doğrudan Alım İşlemleri'!$E$2:$E$2030-'Doğrudan Alım İşlemleri'!$D$2:$D$2030)&lt;=2555)*('Doğrudan Alım İşlemleri'!$H$2:$H$2030&lt;&gt;"")*'Doğrudan Alım İşlemleri'!$H$2:$H$2030)</f>
        <v/>
      </c>
      <c r="H32" s="8">
        <f>SUMPRODUCT((YEAR('Doğrudan Alım İşlemleri'!$B$2:$B$2030)=$A$32)*(('Doğrudan Alım İşlemleri'!$E$2:$E$2030-'Doğrudan Alım İşlemleri'!$D$2:$D$2030)&gt;=2556)*('Doğrudan Alım İşlemleri'!$H$2:$H$2030&lt;&gt;"")*'Doğrudan Alım İşlemleri'!$H$2:$H$2030)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İşlemleri'!$B$2:$B$2030)=$A$34)*('Doğrudan Alım İşlemleri'!$H$2:$H$2030&lt;&gt;"")*'Doğrudan Alım İşlemleri'!$H$2:$H$2030)</f>
        <v/>
      </c>
      <c r="C34" s="11">
        <f>SUMPRODUCT((YEAR('Doğrudan Alım İşlemleri'!$B$2:$B$2030)=$A$34)*(('Doğrudan Alım İşlemleri'!$E$2:$E$2030-'Doğrudan Alım İşlemleri'!$D$2:$D$2030)&gt;=0)*(('Doğrudan Alım İşlemleri'!$E$2:$E$2030-'Doğrudan Alım İşlemleri'!$D$2:$D$2030)&lt;=365)*('Doğrudan Alım İşlemleri'!$H$2:$H$2030&lt;&gt;"")*'Doğrudan Alım İşlemleri'!$H$2:$H$2030)</f>
        <v/>
      </c>
      <c r="D34" s="11">
        <f>SUMPRODUCT((YEAR('Doğrudan Alım İşlemleri'!$B$2:$B$2030)=$A$34)*(('Doğrudan Alım İşlemleri'!$E$2:$E$2030-'Doğrudan Alım İşlemleri'!$D$2:$D$2030)&gt;=366)*(('Doğrudan Alım İşlemleri'!$E$2:$E$2030-'Doğrudan Alım İşlemleri'!$D$2:$D$2030)&lt;=730)*('Doğrudan Alım İşlemleri'!$H$2:$H$2030&lt;&gt;"")*'Doğrudan Alım İşlemleri'!$H$2:$H$2030)</f>
        <v/>
      </c>
      <c r="E34" s="11">
        <f>SUMPRODUCT((YEAR('Doğrudan Alım İşlemleri'!$B$2:$B$2030)=$A$34)*(('Doğrudan Alım İşlemleri'!$E$2:$E$2030-'Doğrudan Alım İşlemleri'!$D$2:$D$2030)&gt;=731)*(('Doğrudan Alım İşlemleri'!$E$2:$E$2030-'Doğrudan Alım İşlemleri'!$D$2:$D$2030)&lt;=1095)*('Doğrudan Alım İşlemleri'!$H$2:$H$2030&lt;&gt;"")*'Doğrudan Alım İşlemleri'!$H$2:$H$2030)</f>
        <v/>
      </c>
      <c r="F34" s="11">
        <f>SUMPRODUCT((YEAR('Doğrudan Alım İşlemleri'!$B$2:$B$2030)=$A$34)*(('Doğrudan Alım İşlemleri'!$E$2:$E$2030-'Doğrudan Alım İşlemleri'!$D$2:$D$2030)&gt;=1096)*(('Doğrudan Alım İşlemleri'!$E$2:$E$2030-'Doğrudan Alım İşlemleri'!$D$2:$D$2030)&lt;=1825)*('Doğrudan Alım İşlemleri'!$H$2:$H$2030&lt;&gt;"")*'Doğrudan Alım İşlemleri'!$H$2:$H$2030)</f>
        <v/>
      </c>
      <c r="G34" s="11">
        <f>SUMPRODUCT((YEAR('Doğrudan Alım İşlemleri'!$B$2:$B$2030)=$A$34)*(('Doğrudan Alım İşlemleri'!$E$2:$E$2030-'Doğrudan Alım İşlemleri'!$D$2:$D$2030)&gt;=1826)*(('Doğrudan Alım İşlemleri'!$E$2:$E$2030-'Doğrudan Alım İşlemleri'!$D$2:$D$2030)&lt;=2555)*('Doğrudan Alım İşlemleri'!$H$2:$H$2030&lt;&gt;"")*'Doğrudan Alım İşlemleri'!$H$2:$H$2030)</f>
        <v/>
      </c>
      <c r="H34" s="11">
        <f>SUMPRODUCT((YEAR('Doğrudan Alım İşlemleri'!$B$2:$B$2030)=$A$34)*(('Doğrudan Alım İşlemleri'!$E$2:$E$2030-'Doğrudan Alım İşlemleri'!$D$2:$D$2030)&gt;=2556)*('Doğrudan Alım İşlemleri'!$H$2:$H$2030&lt;&gt;"")*'Doğrudan Alım İşlemleri'!$H$2:$H$2030)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İşlemleri'!$B$2:$B$2030)=$A$36)*('Doğrudan Alım İşlemleri'!$H$2:$H$2030&lt;&gt;"")*'Doğrudan Alım İşlemleri'!$H$2:$H$2030)</f>
        <v/>
      </c>
      <c r="C36" s="8">
        <f>SUMPRODUCT((YEAR('Doğrudan Alım İşlemleri'!$B$2:$B$2030)=$A$36)*(('Doğrudan Alım İşlemleri'!$E$2:$E$2030-'Doğrudan Alım İşlemleri'!$D$2:$D$2030)&gt;=0)*(('Doğrudan Alım İşlemleri'!$E$2:$E$2030-'Doğrudan Alım İşlemleri'!$D$2:$D$2030)&lt;=365)*('Doğrudan Alım İşlemleri'!$H$2:$H$2030&lt;&gt;"")*'Doğrudan Alım İşlemleri'!$H$2:$H$2030)</f>
        <v/>
      </c>
      <c r="D36" s="8">
        <f>SUMPRODUCT((YEAR('Doğrudan Alım İşlemleri'!$B$2:$B$2030)=$A$36)*(('Doğrudan Alım İşlemleri'!$E$2:$E$2030-'Doğrudan Alım İşlemleri'!$D$2:$D$2030)&gt;=366)*(('Doğrudan Alım İşlemleri'!$E$2:$E$2030-'Doğrudan Alım İşlemleri'!$D$2:$D$2030)&lt;=730)*('Doğrudan Alım İşlemleri'!$H$2:$H$2030&lt;&gt;"")*'Doğrudan Alım İşlemleri'!$H$2:$H$2030)</f>
        <v/>
      </c>
      <c r="E36" s="8">
        <f>SUMPRODUCT((YEAR('Doğrudan Alım İşlemleri'!$B$2:$B$2030)=$A$36)*(('Doğrudan Alım İşlemleri'!$E$2:$E$2030-'Doğrudan Alım İşlemleri'!$D$2:$D$2030)&gt;=731)*(('Doğrudan Alım İşlemleri'!$E$2:$E$2030-'Doğrudan Alım İşlemleri'!$D$2:$D$2030)&lt;=1095)*('Doğrudan Alım İşlemleri'!$H$2:$H$2030&lt;&gt;"")*'Doğrudan Alım İşlemleri'!$H$2:$H$2030)</f>
        <v/>
      </c>
      <c r="F36" s="8">
        <f>SUMPRODUCT((YEAR('Doğrudan Alım İşlemleri'!$B$2:$B$2030)=$A$36)*(('Doğrudan Alım İşlemleri'!$E$2:$E$2030-'Doğrudan Alım İşlemleri'!$D$2:$D$2030)&gt;=1096)*(('Doğrudan Alım İşlemleri'!$E$2:$E$2030-'Doğrudan Alım İşlemleri'!$D$2:$D$2030)&lt;=1825)*('Doğrudan Alım İşlemleri'!$H$2:$H$2030&lt;&gt;"")*'Doğrudan Alım İşlemleri'!$H$2:$H$2030)</f>
        <v/>
      </c>
      <c r="G36" s="8">
        <f>SUMPRODUCT((YEAR('Doğrudan Alım İşlemleri'!$B$2:$B$2030)=$A$36)*(('Doğrudan Alım İşlemleri'!$E$2:$E$2030-'Doğrudan Alım İşlemleri'!$D$2:$D$2030)&gt;=1826)*(('Doğrudan Alım İşlemleri'!$E$2:$E$2030-'Doğrudan Alım İşlemleri'!$D$2:$D$2030)&lt;=2555)*('Doğrudan Alım İşlemleri'!$H$2:$H$2030&lt;&gt;"")*'Doğrudan Alım İşlemleri'!$H$2:$H$2030)</f>
        <v/>
      </c>
      <c r="H36" s="8">
        <f>SUMPRODUCT((YEAR('Doğrudan Alım İşlemleri'!$B$2:$B$2030)=$A$36)*(('Doğrudan Alım İşlemleri'!$E$2:$E$2030-'Doğrudan Alım İşlemleri'!$D$2:$D$2030)&gt;=2556)*('Doğrudan Alım İşlemleri'!$H$2:$H$2030&lt;&gt;"")*'Doğrudan Alım İşlemleri'!$H$2:$H$2030)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İşlemleri'!$B$2:$B$2030)=$A$38)*('Doğrudan Alım İşlemleri'!$H$2:$H$2030&lt;&gt;"")*'Doğrudan Alım İşlemleri'!$H$2:$H$2030)</f>
        <v/>
      </c>
      <c r="C38" s="11">
        <f>SUMPRODUCT((YEAR('Doğrudan Alım İşlemleri'!$B$2:$B$2030)=$A$38)*(('Doğrudan Alım İşlemleri'!$E$2:$E$2030-'Doğrudan Alım İşlemleri'!$D$2:$D$2030)&gt;=0)*(('Doğrudan Alım İşlemleri'!$E$2:$E$2030-'Doğrudan Alım İşlemleri'!$D$2:$D$2030)&lt;=365)*('Doğrudan Alım İşlemleri'!$H$2:$H$2030&lt;&gt;"")*'Doğrudan Alım İşlemleri'!$H$2:$H$2030)</f>
        <v/>
      </c>
      <c r="D38" s="11">
        <f>SUMPRODUCT((YEAR('Doğrudan Alım İşlemleri'!$B$2:$B$2030)=$A$38)*(('Doğrudan Alım İşlemleri'!$E$2:$E$2030-'Doğrudan Alım İşlemleri'!$D$2:$D$2030)&gt;=366)*(('Doğrudan Alım İşlemleri'!$E$2:$E$2030-'Doğrudan Alım İşlemleri'!$D$2:$D$2030)&lt;=730)*('Doğrudan Alım İşlemleri'!$H$2:$H$2030&lt;&gt;"")*'Doğrudan Alım İşlemleri'!$H$2:$H$2030)</f>
        <v/>
      </c>
      <c r="E38" s="11">
        <f>SUMPRODUCT((YEAR('Doğrudan Alım İşlemleri'!$B$2:$B$2030)=$A$38)*(('Doğrudan Alım İşlemleri'!$E$2:$E$2030-'Doğrudan Alım İşlemleri'!$D$2:$D$2030)&gt;=731)*(('Doğrudan Alım İşlemleri'!$E$2:$E$2030-'Doğrudan Alım İşlemleri'!$D$2:$D$2030)&lt;=1095)*('Doğrudan Alım İşlemleri'!$H$2:$H$2030&lt;&gt;"")*'Doğrudan Alım İşlemleri'!$H$2:$H$2030)</f>
        <v/>
      </c>
      <c r="F38" s="11">
        <f>SUMPRODUCT((YEAR('Doğrudan Alım İşlemleri'!$B$2:$B$2030)=$A$38)*(('Doğrudan Alım İşlemleri'!$E$2:$E$2030-'Doğrudan Alım İşlemleri'!$D$2:$D$2030)&gt;=1096)*(('Doğrudan Alım İşlemleri'!$E$2:$E$2030-'Doğrudan Alım İşlemleri'!$D$2:$D$2030)&lt;=1825)*('Doğrudan Alım İşlemleri'!$H$2:$H$2030&lt;&gt;"")*'Doğrudan Alım İşlemleri'!$H$2:$H$2030)</f>
        <v/>
      </c>
      <c r="G38" s="11">
        <f>SUMPRODUCT((YEAR('Doğrudan Alım İşlemleri'!$B$2:$B$2030)=$A$38)*(('Doğrudan Alım İşlemleri'!$E$2:$E$2030-'Doğrudan Alım İşlemleri'!$D$2:$D$2030)&gt;=1826)*(('Doğrudan Alım İşlemleri'!$E$2:$E$2030-'Doğrudan Alım İşlemleri'!$D$2:$D$2030)&lt;=2555)*('Doğrudan Alım İşlemleri'!$H$2:$H$2030&lt;&gt;"")*'Doğrudan Alım İşlemleri'!$H$2:$H$2030)</f>
        <v/>
      </c>
      <c r="H38" s="11">
        <f>SUMPRODUCT((YEAR('Doğrudan Alım İşlemleri'!$B$2:$B$2030)=$A$38)*(('Doğrudan Alım İşlemleri'!$E$2:$E$2030-'Doğrudan Alım İşlemleri'!$D$2:$D$2030)&gt;=2556)*('Doğrudan Alım İşlemleri'!$H$2:$H$2030&lt;&gt;"")*'Doğrudan Alım İşlemleri'!$H$2:$H$2030)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İşlemleri'!$B$2:$B$2030)=$A$4)*('Doğrudan Alım İşlemleri'!$H$2:$H$2030&lt;&gt;"")*'Doğrudan Alım İşlemleri'!$H$2:$H$2030)</f>
        <v/>
      </c>
      <c r="C4" s="8">
        <f>SUMPRODUCT((YEAR('Doğrudan Alım İşlemleri'!$E$2:$E$2030)=$A$4)*('Doğrudan Alım İşlemleri'!$H$2:$H$2030&lt;&gt;"")*'Doğrudan Alım İşlemleri'!$H$2:$H$2030)</f>
        <v/>
      </c>
      <c r="D4" s="8">
        <f>B4-C4</f>
        <v/>
      </c>
      <c r="E4" s="24">
        <f>SUMPRODUCT((YEAR('Doğrudan Alım İşlemleri'!$B$2:$B$2030)=$A$4)*('Doğrudan Alım İşlemleri'!$I$2:$I$2030&lt;&gt;"")*'Doğrudan Alım İşlemleri'!$I$2:$I$2030)</f>
        <v/>
      </c>
      <c r="F4" s="12">
        <f>IFERROR(C4/B4*100,"")</f>
        <v/>
      </c>
      <c r="G4" s="8">
        <f>D4</f>
        <v/>
      </c>
    </row>
    <row r="5">
      <c r="A5" s="16" t="n">
        <v>2010</v>
      </c>
      <c r="B5" s="11">
        <f>SUMPRODUCT((YEAR('Doğrudan Alım İşlemleri'!$B$2:$B$2030)=$A$5)*('Doğrudan Alım İşlemleri'!$H$2:$H$2030&lt;&gt;"")*'Doğrudan Alım İşlemleri'!$H$2:$H$2030)</f>
        <v/>
      </c>
      <c r="C5" s="11">
        <f>SUMPRODUCT((YEAR('Doğrudan Alım İşlemleri'!$E$2:$E$2030)=$A$5)*('Doğrudan Alım İşlemleri'!$H$2:$H$2030&lt;&gt;"")*'Doğrudan Alım İşlemleri'!$H$2:$H$2030)</f>
        <v/>
      </c>
      <c r="D5" s="11">
        <f>B5-C5</f>
        <v/>
      </c>
      <c r="E5" s="13">
        <f>SUMPRODUCT((YEAR('Doğrudan Alım İşlemleri'!$B$2:$B$2030)=$A$5)*('Doğrudan Alım İşlemleri'!$I$2:$I$2030&lt;&gt;"")*'Doğrudan Alım İşlemleri'!$I$2:$I$2030)</f>
        <v/>
      </c>
      <c r="F5" s="17">
        <f>IFERROR(C5/B5*100,"")</f>
        <v/>
      </c>
      <c r="G5" s="11">
        <f>G4+D5</f>
        <v/>
      </c>
    </row>
    <row r="6">
      <c r="A6" s="15" t="n">
        <v>2011</v>
      </c>
      <c r="B6" s="8">
        <f>SUMPRODUCT((YEAR('Doğrudan Alım İşlemleri'!$B$2:$B$2030)=$A$6)*('Doğrudan Alım İşlemleri'!$H$2:$H$2030&lt;&gt;"")*'Doğrudan Alım İşlemleri'!$H$2:$H$2030)</f>
        <v/>
      </c>
      <c r="C6" s="8">
        <f>SUMPRODUCT((YEAR('Doğrudan Alım İşlemleri'!$E$2:$E$2030)=$A$6)*('Doğrudan Alım İşlemleri'!$H$2:$H$2030&lt;&gt;"")*'Doğrudan Alım İşlemleri'!$H$2:$H$2030)</f>
        <v/>
      </c>
      <c r="D6" s="8">
        <f>B6-C6</f>
        <v/>
      </c>
      <c r="E6" s="24">
        <f>SUMPRODUCT((YEAR('Doğrudan Alım İşlemleri'!$B$2:$B$2030)=$A$6)*('Doğrudan Alım İşlemleri'!$I$2:$I$2030&lt;&gt;"")*'Doğrudan Alım İşlemleri'!$I$2:$I$2030)</f>
        <v/>
      </c>
      <c r="F6" s="12">
        <f>IFERROR(C6/B6*100,"")</f>
        <v/>
      </c>
      <c r="G6" s="8">
        <f>G5+D6</f>
        <v/>
      </c>
    </row>
    <row r="7">
      <c r="A7" s="16" t="n">
        <v>2012</v>
      </c>
      <c r="B7" s="11">
        <f>SUMPRODUCT((YEAR('Doğrudan Alım İşlemleri'!$B$2:$B$2030)=$A$7)*('Doğrudan Alım İşlemleri'!$H$2:$H$2030&lt;&gt;"")*'Doğrudan Alım İşlemleri'!$H$2:$H$2030)</f>
        <v/>
      </c>
      <c r="C7" s="11">
        <f>SUMPRODUCT((YEAR('Doğrudan Alım İşlemleri'!$E$2:$E$2030)=$A$7)*('Doğrudan Alım İşlemleri'!$H$2:$H$2030&lt;&gt;"")*'Doğrudan Alım İşlemleri'!$H$2:$H$2030)</f>
        <v/>
      </c>
      <c r="D7" s="11">
        <f>B7-C7</f>
        <v/>
      </c>
      <c r="E7" s="13">
        <f>SUMPRODUCT((YEAR('Doğrudan Alım İşlemleri'!$B$2:$B$2030)=$A$7)*('Doğrudan Alım İşlemleri'!$I$2:$I$2030&lt;&gt;"")*'Doğrudan Alım İşlemleri'!$I$2:$I$2030)</f>
        <v/>
      </c>
      <c r="F7" s="17">
        <f>IFERROR(C7/B7*100,"")</f>
        <v/>
      </c>
      <c r="G7" s="11">
        <f>G6+D7</f>
        <v/>
      </c>
    </row>
    <row r="8">
      <c r="A8" s="15" t="n">
        <v>2013</v>
      </c>
      <c r="B8" s="8">
        <f>SUMPRODUCT((YEAR('Doğrudan Alım İşlemleri'!$B$2:$B$2030)=$A$8)*('Doğrudan Alım İşlemleri'!$H$2:$H$2030&lt;&gt;"")*'Doğrudan Alım İşlemleri'!$H$2:$H$2030)</f>
        <v/>
      </c>
      <c r="C8" s="8">
        <f>SUMPRODUCT((YEAR('Doğrudan Alım İşlemleri'!$E$2:$E$2030)=$A$8)*('Doğrudan Alım İşlemleri'!$H$2:$H$2030&lt;&gt;"")*'Doğrudan Alım İşlemleri'!$H$2:$H$2030)</f>
        <v/>
      </c>
      <c r="D8" s="8">
        <f>B8-C8</f>
        <v/>
      </c>
      <c r="E8" s="24">
        <f>SUMPRODUCT((YEAR('Doğrudan Alım İşlemleri'!$B$2:$B$2030)=$A$8)*('Doğrudan Alım İşlemleri'!$I$2:$I$2030&lt;&gt;"")*'Doğrudan Alım İşlemleri'!$I$2:$I$2030)</f>
        <v/>
      </c>
      <c r="F8" s="12">
        <f>IFERROR(C8/B8*100,"")</f>
        <v/>
      </c>
      <c r="G8" s="8">
        <f>G7+D8</f>
        <v/>
      </c>
    </row>
    <row r="9">
      <c r="A9" s="16" t="n">
        <v>2014</v>
      </c>
      <c r="B9" s="11">
        <f>SUMPRODUCT((YEAR('Doğrudan Alım İşlemleri'!$B$2:$B$2030)=$A$9)*('Doğrudan Alım İşlemleri'!$H$2:$H$2030&lt;&gt;"")*'Doğrudan Alım İşlemleri'!$H$2:$H$2030)</f>
        <v/>
      </c>
      <c r="C9" s="11">
        <f>SUMPRODUCT((YEAR('Doğrudan Alım İşlemleri'!$E$2:$E$2030)=$A$9)*('Doğrudan Alım İşlemleri'!$H$2:$H$2030&lt;&gt;"")*'Doğrudan Alım İşlemleri'!$H$2:$H$2030)</f>
        <v/>
      </c>
      <c r="D9" s="11">
        <f>B9-C9</f>
        <v/>
      </c>
      <c r="E9" s="13">
        <f>SUMPRODUCT((YEAR('Doğrudan Alım İşlemleri'!$B$2:$B$2030)=$A$9)*('Doğrudan Alım İşlemleri'!$I$2:$I$2030&lt;&gt;"")*'Doğrudan Alım İşlemleri'!$I$2:$I$2030)</f>
        <v/>
      </c>
      <c r="F9" s="17">
        <f>IFERROR(C9/B9*100,"")</f>
        <v/>
      </c>
      <c r="G9" s="11">
        <f>G8+D9</f>
        <v/>
      </c>
    </row>
    <row r="10">
      <c r="A10" s="15" t="n">
        <v>2015</v>
      </c>
      <c r="B10" s="8">
        <f>SUMPRODUCT((YEAR('Doğrudan Alım İşlemleri'!$B$2:$B$2030)=$A$10)*('Doğrudan Alım İşlemleri'!$H$2:$H$2030&lt;&gt;"")*'Doğrudan Alım İşlemleri'!$H$2:$H$2030)</f>
        <v/>
      </c>
      <c r="C10" s="8">
        <f>SUMPRODUCT((YEAR('Doğrudan Alım İşlemleri'!$E$2:$E$2030)=$A$10)*('Doğrudan Alım İşlemleri'!$H$2:$H$2030&lt;&gt;"")*'Doğrudan Alım İşlemleri'!$H$2:$H$2030)</f>
        <v/>
      </c>
      <c r="D10" s="8">
        <f>B10-C10</f>
        <v/>
      </c>
      <c r="E10" s="24">
        <f>SUMPRODUCT((YEAR('Doğrudan Alım İşlemleri'!$B$2:$B$2030)=$A$10)*('Doğrudan Alım İşlemleri'!$I$2:$I$2030&lt;&gt;"")*'Doğrudan Alım İşlemleri'!$I$2:$I$2030)</f>
        <v/>
      </c>
      <c r="F10" s="12">
        <f>IFERROR(C10/B10*100,"")</f>
        <v/>
      </c>
      <c r="G10" s="8">
        <f>G9+D10</f>
        <v/>
      </c>
    </row>
    <row r="11">
      <c r="A11" s="16" t="n">
        <v>2016</v>
      </c>
      <c r="B11" s="11">
        <f>SUMPRODUCT((YEAR('Doğrudan Alım İşlemleri'!$B$2:$B$2030)=$A$11)*('Doğrudan Alım İşlemleri'!$H$2:$H$2030&lt;&gt;"")*'Doğrudan Alım İşlemleri'!$H$2:$H$2030)</f>
        <v/>
      </c>
      <c r="C11" s="11">
        <f>SUMPRODUCT((YEAR('Doğrudan Alım İşlemleri'!$E$2:$E$2030)=$A$11)*('Doğrudan Alım İşlemleri'!$H$2:$H$2030&lt;&gt;"")*'Doğrudan Alım İşlemleri'!$H$2:$H$2030)</f>
        <v/>
      </c>
      <c r="D11" s="11">
        <f>B11-C11</f>
        <v/>
      </c>
      <c r="E11" s="13">
        <f>SUMPRODUCT((YEAR('Doğrudan Alım İşlemleri'!$B$2:$B$2030)=$A$11)*('Doğrudan Alım İşlemleri'!$I$2:$I$2030&lt;&gt;"")*'Doğrudan Alım İşlemleri'!$I$2:$I$2030)</f>
        <v/>
      </c>
      <c r="F11" s="17">
        <f>IFERROR(C11/B11*100,"")</f>
        <v/>
      </c>
      <c r="G11" s="11">
        <f>G10+D11</f>
        <v/>
      </c>
    </row>
    <row r="12">
      <c r="A12" s="15" t="n">
        <v>2017</v>
      </c>
      <c r="B12" s="8">
        <f>SUMPRODUCT((YEAR('Doğrudan Alım İşlemleri'!$B$2:$B$2030)=$A$12)*('Doğrudan Alım İşlemleri'!$H$2:$H$2030&lt;&gt;"")*'Doğrudan Alım İşlemleri'!$H$2:$H$2030)</f>
        <v/>
      </c>
      <c r="C12" s="8">
        <f>SUMPRODUCT((YEAR('Doğrudan Alım İşlemleri'!$E$2:$E$2030)=$A$12)*('Doğrudan Alım İşlemleri'!$H$2:$H$2030&lt;&gt;"")*'Doğrudan Alım İşlemleri'!$H$2:$H$2030)</f>
        <v/>
      </c>
      <c r="D12" s="8">
        <f>B12-C12</f>
        <v/>
      </c>
      <c r="E12" s="24">
        <f>SUMPRODUCT((YEAR('Doğrudan Alım İşlemleri'!$B$2:$B$2030)=$A$12)*('Doğrudan Alım İşlemleri'!$I$2:$I$2030&lt;&gt;"")*'Doğrudan Alım İşlemleri'!$I$2:$I$2030)</f>
        <v/>
      </c>
      <c r="F12" s="12">
        <f>IFERROR(C12/B12*100,"")</f>
        <v/>
      </c>
      <c r="G12" s="8">
        <f>G11+D12</f>
        <v/>
      </c>
    </row>
    <row r="13">
      <c r="A13" s="16" t="n">
        <v>2018</v>
      </c>
      <c r="B13" s="11">
        <f>SUMPRODUCT((YEAR('Doğrudan Alım İşlemleri'!$B$2:$B$2030)=$A$13)*('Doğrudan Alım İşlemleri'!$H$2:$H$2030&lt;&gt;"")*'Doğrudan Alım İşlemleri'!$H$2:$H$2030)</f>
        <v/>
      </c>
      <c r="C13" s="11">
        <f>SUMPRODUCT((YEAR('Doğrudan Alım İşlemleri'!$E$2:$E$2030)=$A$13)*('Doğrudan Alım İşlemleri'!$H$2:$H$2030&lt;&gt;"")*'Doğrudan Alım İşlemleri'!$H$2:$H$2030)</f>
        <v/>
      </c>
      <c r="D13" s="11">
        <f>B13-C13</f>
        <v/>
      </c>
      <c r="E13" s="13">
        <f>SUMPRODUCT((YEAR('Doğrudan Alım İşlemleri'!$B$2:$B$2030)=$A$13)*('Doğrudan Alım İşlemleri'!$I$2:$I$2030&lt;&gt;"")*'Doğrudan Alım İşlemleri'!$I$2:$I$2030)</f>
        <v/>
      </c>
      <c r="F13" s="17">
        <f>IFERROR(C13/B13*100,"")</f>
        <v/>
      </c>
      <c r="G13" s="11">
        <f>G12+D13</f>
        <v/>
      </c>
    </row>
    <row r="14">
      <c r="A14" s="15" t="n">
        <v>2019</v>
      </c>
      <c r="B14" s="8">
        <f>SUMPRODUCT((YEAR('Doğrudan Alım İşlemleri'!$B$2:$B$2030)=$A$14)*('Doğrudan Alım İşlemleri'!$H$2:$H$2030&lt;&gt;"")*'Doğrudan Alım İşlemleri'!$H$2:$H$2030)</f>
        <v/>
      </c>
      <c r="C14" s="8">
        <f>SUMPRODUCT((YEAR('Doğrudan Alım İşlemleri'!$E$2:$E$2030)=$A$14)*('Doğrudan Alım İşlemleri'!$H$2:$H$2030&lt;&gt;"")*'Doğrudan Alım İşlemleri'!$H$2:$H$2030)</f>
        <v/>
      </c>
      <c r="D14" s="8">
        <f>B14-C14</f>
        <v/>
      </c>
      <c r="E14" s="24">
        <f>SUMPRODUCT((YEAR('Doğrudan Alım İşlemleri'!$B$2:$B$2030)=$A$14)*('Doğrudan Alım İşlemleri'!$I$2:$I$2030&lt;&gt;"")*'Doğrudan Alım İşlemleri'!$I$2:$I$2030)</f>
        <v/>
      </c>
      <c r="F14" s="12">
        <f>IFERROR(C14/B14*100,"")</f>
        <v/>
      </c>
      <c r="G14" s="8">
        <f>G13+D14</f>
        <v/>
      </c>
    </row>
    <row r="15">
      <c r="A15" s="16" t="n">
        <v>2020</v>
      </c>
      <c r="B15" s="11">
        <f>SUMPRODUCT((YEAR('Doğrudan Alım İşlemleri'!$B$2:$B$2030)=$A$15)*('Doğrudan Alım İşlemleri'!$H$2:$H$2030&lt;&gt;"")*'Doğrudan Alım İşlemleri'!$H$2:$H$2030)</f>
        <v/>
      </c>
      <c r="C15" s="11">
        <f>SUMPRODUCT((YEAR('Doğrudan Alım İşlemleri'!$E$2:$E$2030)=$A$15)*('Doğrudan Alım İşlemleri'!$H$2:$H$2030&lt;&gt;"")*'Doğrudan Alım İşlemleri'!$H$2:$H$2030)</f>
        <v/>
      </c>
      <c r="D15" s="11">
        <f>B15-C15</f>
        <v/>
      </c>
      <c r="E15" s="13">
        <f>SUMPRODUCT((YEAR('Doğrudan Alım İşlemleri'!$B$2:$B$2030)=$A$15)*('Doğrudan Alım İşlemleri'!$I$2:$I$2030&lt;&gt;"")*'Doğrudan Alım İşlemleri'!$I$2:$I$2030)</f>
        <v/>
      </c>
      <c r="F15" s="17">
        <f>IFERROR(C15/B15*100,"")</f>
        <v/>
      </c>
      <c r="G15" s="11">
        <f>G14+D15</f>
        <v/>
      </c>
    </row>
    <row r="16">
      <c r="A16" s="15" t="n">
        <v>2021</v>
      </c>
      <c r="B16" s="8">
        <f>SUMPRODUCT((YEAR('Doğrudan Alım İşlemleri'!$B$2:$B$2030)=$A$16)*('Doğrudan Alım İşlemleri'!$H$2:$H$2030&lt;&gt;"")*'Doğrudan Alım İşlemleri'!$H$2:$H$2030)</f>
        <v/>
      </c>
      <c r="C16" s="8">
        <f>SUMPRODUCT((YEAR('Doğrudan Alım İşlemleri'!$E$2:$E$2030)=$A$16)*('Doğrudan Alım İşlemleri'!$H$2:$H$2030&lt;&gt;"")*'Doğrudan Alım İşlemleri'!$H$2:$H$2030)</f>
        <v/>
      </c>
      <c r="D16" s="8">
        <f>B16-C16</f>
        <v/>
      </c>
      <c r="E16" s="24">
        <f>SUMPRODUCT((YEAR('Doğrudan Alım İşlemleri'!$B$2:$B$2030)=$A$16)*('Doğrudan Alım İşlemleri'!$I$2:$I$2030&lt;&gt;"")*'Doğrudan Alım İşlemleri'!$I$2:$I$2030)</f>
        <v/>
      </c>
      <c r="F16" s="12">
        <f>IFERROR(C16/B16*100,"")</f>
        <v/>
      </c>
      <c r="G16" s="8">
        <f>G15+D16</f>
        <v/>
      </c>
    </row>
    <row r="17">
      <c r="A17" s="16" t="n">
        <v>2022</v>
      </c>
      <c r="B17" s="11">
        <f>SUMPRODUCT((YEAR('Doğrudan Alım İşlemleri'!$B$2:$B$2030)=$A$17)*('Doğrudan Alım İşlemleri'!$H$2:$H$2030&lt;&gt;"")*'Doğrudan Alım İşlemleri'!$H$2:$H$2030)</f>
        <v/>
      </c>
      <c r="C17" s="11">
        <f>SUMPRODUCT((YEAR('Doğrudan Alım İşlemleri'!$E$2:$E$2030)=$A$17)*('Doğrudan Alım İşlemleri'!$H$2:$H$2030&lt;&gt;"")*'Doğrudan Alım İşlemleri'!$H$2:$H$2030)</f>
        <v/>
      </c>
      <c r="D17" s="11">
        <f>B17-C17</f>
        <v/>
      </c>
      <c r="E17" s="13">
        <f>SUMPRODUCT((YEAR('Doğrudan Alım İşlemleri'!$B$2:$B$2030)=$A$17)*('Doğrudan Alım İşlemleri'!$I$2:$I$2030&lt;&gt;"")*'Doğrudan Alım İşlemleri'!$I$2:$I$2030)</f>
        <v/>
      </c>
      <c r="F17" s="17">
        <f>IFERROR(C17/B17*100,"")</f>
        <v/>
      </c>
      <c r="G17" s="11">
        <f>G16+D17</f>
        <v/>
      </c>
    </row>
    <row r="18">
      <c r="A18" s="15" t="n">
        <v>2023</v>
      </c>
      <c r="B18" s="8">
        <f>SUMPRODUCT((YEAR('Doğrudan Alım İşlemleri'!$B$2:$B$2030)=$A$18)*('Doğrudan Alım İşlemleri'!$H$2:$H$2030&lt;&gt;"")*'Doğrudan Alım İşlemleri'!$H$2:$H$2030)</f>
        <v/>
      </c>
      <c r="C18" s="8">
        <f>SUMPRODUCT((YEAR('Doğrudan Alım İşlemleri'!$E$2:$E$2030)=$A$18)*('Doğrudan Alım İşlemleri'!$H$2:$H$2030&lt;&gt;"")*'Doğrudan Alım İşlemleri'!$H$2:$H$2030)</f>
        <v/>
      </c>
      <c r="D18" s="8">
        <f>B18-C18</f>
        <v/>
      </c>
      <c r="E18" s="24">
        <f>SUMPRODUCT((YEAR('Doğrudan Alım İşlemleri'!$B$2:$B$2030)=$A$18)*('Doğrudan Alım İşlemleri'!$I$2:$I$2030&lt;&gt;"")*'Doğrudan Alım İşlemleri'!$I$2:$I$2030)</f>
        <v/>
      </c>
      <c r="F18" s="12">
        <f>IFERROR(C18/B18*100,"")</f>
        <v/>
      </c>
      <c r="G18" s="8">
        <f>G17+D18</f>
        <v/>
      </c>
    </row>
    <row r="19">
      <c r="A19" s="16" t="n">
        <v>2024</v>
      </c>
      <c r="B19" s="11">
        <f>SUMPRODUCT((YEAR('Doğrudan Alım İşlemleri'!$B$2:$B$2030)=$A$19)*('Doğrudan Alım İşlemleri'!$H$2:$H$2030&lt;&gt;"")*'Doğrudan Alım İşlemleri'!$H$2:$H$2030)</f>
        <v/>
      </c>
      <c r="C19" s="11">
        <f>SUMPRODUCT((YEAR('Doğrudan Alım İşlemleri'!$E$2:$E$2030)=$A$19)*('Doğrudan Alım İşlemleri'!$H$2:$H$2030&lt;&gt;"")*'Doğrudan Alım İşlemleri'!$H$2:$H$2030)</f>
        <v/>
      </c>
      <c r="D19" s="11">
        <f>B19-C19</f>
        <v/>
      </c>
      <c r="E19" s="13">
        <f>SUMPRODUCT((YEAR('Doğrudan Alım İşlemleri'!$B$2:$B$2030)=$A$19)*('Doğrudan Alım İşlemleri'!$I$2:$I$2030&lt;&gt;"")*'Doğrudan Alım İşlemleri'!$I$2:$I$2030)</f>
        <v/>
      </c>
      <c r="F19" s="17">
        <f>IFERROR(C19/B19*100,"")</f>
        <v/>
      </c>
      <c r="G19" s="11">
        <f>G18+D19</f>
        <v/>
      </c>
    </row>
    <row r="20">
      <c r="A20" s="15" t="n">
        <v>2025</v>
      </c>
      <c r="B20" s="8">
        <f>SUMPRODUCT((YEAR('Doğrudan Alım İşlemleri'!$B$2:$B$2030)=$A$20)*('Doğrudan Alım İşlemleri'!$H$2:$H$2030&lt;&gt;"")*'Doğrudan Alım İşlemleri'!$H$2:$H$2030)</f>
        <v/>
      </c>
      <c r="C20" s="8">
        <f>SUMPRODUCT((YEAR('Doğrudan Alım İşlemleri'!$E$2:$E$2030)=$A$20)*('Doğrudan Alım İşlemleri'!$H$2:$H$2030&lt;&gt;"")*'Doğrudan Alım İşlemleri'!$H$2:$H$2030)</f>
        <v/>
      </c>
      <c r="D20" s="8">
        <f>B20-C20</f>
        <v/>
      </c>
      <c r="E20" s="24">
        <f>SUMPRODUCT((YEAR('Doğrudan Alım İşlemleri'!$B$2:$B$2030)=$A$20)*('Doğrudan Alım İşlemleri'!$I$2:$I$2030&lt;&gt;"")*'Doğrudan Alım İşlemleri'!$I$2:$I$2030)</f>
        <v/>
      </c>
      <c r="F20" s="12">
        <f>IFERROR(C20/B20*100,"")</f>
        <v/>
      </c>
      <c r="G20" s="8">
        <f>G19+D20</f>
        <v/>
      </c>
    </row>
    <row r="21">
      <c r="A21" s="16" t="n">
        <v>2026</v>
      </c>
      <c r="B21" s="11">
        <f>SUMPRODUCT((YEAR('Doğrudan Alım İşlemleri'!$B$2:$B$2030)=$A$21)*('Doğrudan Alım İşlemleri'!$H$2:$H$2030&lt;&gt;"")*'Doğrudan Alım İşlemleri'!$H$2:$H$2030)</f>
        <v/>
      </c>
      <c r="C21" s="11">
        <f>SUMPRODUCT((YEAR('Doğrudan Alım İşlemleri'!$E$2:$E$2030)=$A$21)*('Doğrudan Alım İşlemleri'!$H$2:$H$2030&lt;&gt;"")*'Doğrudan Alım İşlemleri'!$H$2:$H$2030)</f>
        <v/>
      </c>
      <c r="D21" s="11">
        <f>B21-C21</f>
        <v/>
      </c>
      <c r="E21" s="13">
        <f>SUMPRODUCT((YEAR('Doğrudan Alım İşlemleri'!$B$2:$B$2030)=$A$21)*('Doğrudan Alım İşlemleri'!$I$2:$I$2030&lt;&gt;"")*'Doğrudan Alım İşlemleri'!$I$2:$I$2030)</f>
        <v/>
      </c>
      <c r="F21" s="17">
        <f>IFERROR(C21/B21*100,"")</f>
        <v/>
      </c>
      <c r="G21" s="11">
        <f>G20+D21</f>
        <v/>
      </c>
    </row>
    <row r="22">
      <c r="A22" s="15" t="n">
        <v>2027</v>
      </c>
      <c r="B22" s="8">
        <f>SUMPRODUCT((YEAR('Doğrudan Alım İşlemleri'!$B$2:$B$2030)=$A$22)*('Doğrudan Alım İşlemleri'!$H$2:$H$2030&lt;&gt;"")*'Doğrudan Alım İşlemleri'!$H$2:$H$2030)</f>
        <v/>
      </c>
      <c r="C22" s="8">
        <f>SUMPRODUCT((YEAR('Doğrudan Alım İşlemleri'!$E$2:$E$2030)=$A$22)*('Doğrudan Alım İşlemleri'!$H$2:$H$2030&lt;&gt;"")*'Doğrudan Alım İşlemleri'!$H$2:$H$2030)</f>
        <v/>
      </c>
      <c r="D22" s="8">
        <f>B22-C22</f>
        <v/>
      </c>
      <c r="E22" s="24">
        <f>SUMPRODUCT((YEAR('Doğrudan Alım İşlemleri'!$B$2:$B$2030)=$A$22)*('Doğrudan Alım İşlemleri'!$I$2:$I$2030&lt;&gt;"")*'Doğrudan Alım İşlemleri'!$I$2:$I$2030)</f>
        <v/>
      </c>
      <c r="F22" s="12">
        <f>IFERROR(C22/B22*100,"")</f>
        <v/>
      </c>
      <c r="G22" s="8">
        <f>G21+D22</f>
        <v/>
      </c>
    </row>
    <row r="23">
      <c r="A23" s="16" t="n">
        <v>2028</v>
      </c>
      <c r="B23" s="11">
        <f>SUMPRODUCT((YEAR('Doğrudan Alım İşlemleri'!$B$2:$B$2030)=$A$23)*('Doğrudan Alım İşlemleri'!$H$2:$H$2030&lt;&gt;"")*'Doğrudan Alım İşlemleri'!$H$2:$H$2030)</f>
        <v/>
      </c>
      <c r="C23" s="11">
        <f>SUMPRODUCT((YEAR('Doğrudan Alım İşlemleri'!$E$2:$E$2030)=$A$23)*('Doğrudan Alım İşlemleri'!$H$2:$H$2030&lt;&gt;"")*'Doğrudan Alım İşlemleri'!$H$2:$H$2030)</f>
        <v/>
      </c>
      <c r="D23" s="11">
        <f>B23-C23</f>
        <v/>
      </c>
      <c r="E23" s="13">
        <f>SUMPRODUCT((YEAR('Doğrudan Alım İşlemleri'!$B$2:$B$2030)=$A$23)*('Doğrudan Alım İşlemleri'!$I$2:$I$2030&lt;&gt;"")*'Doğrudan Alım İşlemleri'!$I$2:$I$2030)</f>
        <v/>
      </c>
      <c r="F23" s="17">
        <f>IFERROR(C23/B23*100,"")</f>
        <v/>
      </c>
      <c r="G23" s="11">
        <f>G22+D23</f>
        <v/>
      </c>
    </row>
    <row r="24">
      <c r="A24" s="15" t="n">
        <v>2029</v>
      </c>
      <c r="B24" s="8">
        <f>SUMPRODUCT((YEAR('Doğrudan Alım İşlemleri'!$B$2:$B$2030)=$A$24)*('Doğrudan Alım İşlemleri'!$H$2:$H$2030&lt;&gt;"")*'Doğrudan Alım İşlemleri'!$H$2:$H$2030)</f>
        <v/>
      </c>
      <c r="C24" s="8">
        <f>SUMPRODUCT((YEAR('Doğrudan Alım İşlemleri'!$E$2:$E$2030)=$A$24)*('Doğrudan Alım İşlemleri'!$H$2:$H$2030&lt;&gt;"")*'Doğrudan Alım İşlemleri'!$H$2:$H$2030)</f>
        <v/>
      </c>
      <c r="D24" s="8">
        <f>B24-C24</f>
        <v/>
      </c>
      <c r="E24" s="24">
        <f>SUMPRODUCT((YEAR('Doğrudan Alım İşlemleri'!$B$2:$B$2030)=$A$24)*('Doğrudan Alım İşlemleri'!$I$2:$I$2030&lt;&gt;"")*'Doğrudan Alım İşlemleri'!$I$2:$I$2030)</f>
        <v/>
      </c>
      <c r="F24" s="12">
        <f>IFERROR(C24/B24*100,"")</f>
        <v/>
      </c>
      <c r="G24" s="8">
        <f>G23+D24</f>
        <v/>
      </c>
    </row>
    <row r="25">
      <c r="A25" s="16" t="n">
        <v>2030</v>
      </c>
      <c r="B25" s="11">
        <f>SUMPRODUCT((YEAR('Doğrudan Alım İşlemleri'!$B$2:$B$2030)=$A$25)*('Doğrudan Alım İşlemleri'!$H$2:$H$2030&lt;&gt;"")*'Doğrudan Alım İşlemleri'!$H$2:$H$2030)</f>
        <v/>
      </c>
      <c r="C25" s="11">
        <f>SUMPRODUCT((YEAR('Doğrudan Alım İşlemleri'!$E$2:$E$2030)=$A$25)*('Doğrudan Alım İşlemleri'!$H$2:$H$2030&lt;&gt;"")*'Doğrudan Alım İşlemleri'!$H$2:$H$2030)</f>
        <v/>
      </c>
      <c r="D25" s="11">
        <f>B25-C25</f>
        <v/>
      </c>
      <c r="E25" s="13">
        <f>SUMPRODUCT((YEAR('Doğrudan Alım İşlemleri'!$B$2:$B$2030)=$A$25)*('Doğrudan Alım İşlemleri'!$I$2:$I$2030&lt;&gt;"")*'Doğrudan Alım İşlemleri'!$I$2:$I$2030)</f>
        <v/>
      </c>
      <c r="F25" s="17">
        <f>IFERROR(C25/B25*100,"")</f>
        <v/>
      </c>
      <c r="G25" s="11">
        <f>G24+D25</f>
        <v/>
      </c>
    </row>
    <row r="26">
      <c r="A26" s="15" t="n">
        <v>2031</v>
      </c>
      <c r="B26" s="8">
        <f>SUMPRODUCT((YEAR('Doğrudan Alım İşlemleri'!$B$2:$B$2030)=$A$26)*('Doğrudan Alım İşlemleri'!$H$2:$H$2030&lt;&gt;"")*'Doğrudan Alım İşlemleri'!$H$2:$H$2030)</f>
        <v/>
      </c>
      <c r="C26" s="8">
        <f>SUMPRODUCT((YEAR('Doğrudan Alım İşlemleri'!$E$2:$E$2030)=$A$26)*('Doğrudan Alım İşlemleri'!$H$2:$H$2030&lt;&gt;"")*'Doğrudan Alım İşlemleri'!$H$2:$H$2030)</f>
        <v/>
      </c>
      <c r="D26" s="8">
        <f>B26-C26</f>
        <v/>
      </c>
      <c r="E26" s="24">
        <f>SUMPRODUCT((YEAR('Doğrudan Alım İşlemleri'!$B$2:$B$2030)=$A$26)*('Doğrudan Alım İşlemleri'!$I$2:$I$2030&lt;&gt;"")*'Doğrudan Alım İşlemleri'!$I$2:$I$2030)</f>
        <v/>
      </c>
      <c r="F26" s="12">
        <f>IFERROR(C26/B26*100,"")</f>
        <v/>
      </c>
      <c r="G26" s="8">
        <f>G25+D26</f>
        <v/>
      </c>
    </row>
    <row r="27">
      <c r="A27" s="16" t="n">
        <v>2032</v>
      </c>
      <c r="B27" s="11">
        <f>SUMPRODUCT((YEAR('Doğrudan Alım İşlemleri'!$B$2:$B$2030)=$A$27)*('Doğrudan Alım İşlemleri'!$H$2:$H$2030&lt;&gt;"")*'Doğrudan Alım İşlemleri'!$H$2:$H$2030)</f>
        <v/>
      </c>
      <c r="C27" s="11">
        <f>SUMPRODUCT((YEAR('Doğrudan Alım İşlemleri'!$E$2:$E$2030)=$A$27)*('Doğrudan Alım İşlemleri'!$H$2:$H$2030&lt;&gt;"")*'Doğrudan Alım İşlemleri'!$H$2:$H$2030)</f>
        <v/>
      </c>
      <c r="D27" s="11">
        <f>B27-C27</f>
        <v/>
      </c>
      <c r="E27" s="13">
        <f>SUMPRODUCT((YEAR('Doğrudan Alım İşlemleri'!$B$2:$B$2030)=$A$27)*('Doğrudan Alım İşlemleri'!$I$2:$I$2030&lt;&gt;"")*'Doğrudan Alım İşlemleri'!$I$2:$I$2030)</f>
        <v/>
      </c>
      <c r="F27" s="17">
        <f>IFERROR(C27/B27*100,"")</f>
        <v/>
      </c>
      <c r="G27" s="11">
        <f>G26+D27</f>
        <v/>
      </c>
    </row>
    <row r="28">
      <c r="A28" s="15" t="n">
        <v>2033</v>
      </c>
      <c r="B28" s="8">
        <f>SUMPRODUCT((YEAR('Doğrudan Alım İşlemleri'!$B$2:$B$2030)=$A$28)*('Doğrudan Alım İşlemleri'!$H$2:$H$2030&lt;&gt;"")*'Doğrudan Alım İşlemleri'!$H$2:$H$2030)</f>
        <v/>
      </c>
      <c r="C28" s="8">
        <f>SUMPRODUCT((YEAR('Doğrudan Alım İşlemleri'!$E$2:$E$2030)=$A$28)*('Doğrudan Alım İşlemleri'!$H$2:$H$2030&lt;&gt;"")*'Doğrudan Alım İşlemleri'!$H$2:$H$2030)</f>
        <v/>
      </c>
      <c r="D28" s="8">
        <f>B28-C28</f>
        <v/>
      </c>
      <c r="E28" s="24">
        <f>SUMPRODUCT((YEAR('Doğrudan Alım İşlemleri'!$B$2:$B$2030)=$A$28)*('Doğrudan Alım İşlemleri'!$I$2:$I$2030&lt;&gt;"")*'Doğrudan Alım İşlemleri'!$I$2:$I$2030)</f>
        <v/>
      </c>
      <c r="F28" s="12">
        <f>IFERROR(C28/B28*100,"")</f>
        <v/>
      </c>
      <c r="G28" s="8">
        <f>G27+D28</f>
        <v/>
      </c>
    </row>
    <row r="29">
      <c r="A29" s="16" t="n">
        <v>2034</v>
      </c>
      <c r="B29" s="11">
        <f>SUMPRODUCT((YEAR('Doğrudan Alım İşlemleri'!$B$2:$B$2030)=$A$29)*('Doğrudan Alım İşlemleri'!$H$2:$H$2030&lt;&gt;"")*'Doğrudan Alım İşlemleri'!$H$2:$H$2030)</f>
        <v/>
      </c>
      <c r="C29" s="11">
        <f>SUMPRODUCT((YEAR('Doğrudan Alım İşlemleri'!$E$2:$E$2030)=$A$29)*('Doğrudan Alım İşlemleri'!$H$2:$H$2030&lt;&gt;"")*'Doğrudan Alım İşlemleri'!$H$2:$H$2030)</f>
        <v/>
      </c>
      <c r="D29" s="11">
        <f>B29-C29</f>
        <v/>
      </c>
      <c r="E29" s="13">
        <f>SUMPRODUCT((YEAR('Doğrudan Alım İşlemleri'!$B$2:$B$2030)=$A$29)*('Doğrudan Alım İşlemleri'!$I$2:$I$2030&lt;&gt;"")*'Doğrudan Alım İşlemleri'!$I$2:$I$2030)</f>
        <v/>
      </c>
      <c r="F29" s="17">
        <f>IFERROR(C29/B29*100,"")</f>
        <v/>
      </c>
      <c r="G29" s="11">
        <f>G28+D29</f>
        <v/>
      </c>
    </row>
    <row r="30">
      <c r="A30" s="15" t="n">
        <v>2035</v>
      </c>
      <c r="B30" s="8">
        <f>SUMPRODUCT((YEAR('Doğrudan Alım İşlemleri'!$B$2:$B$2030)=$A$30)*('Doğrudan Alım İşlemleri'!$H$2:$H$2030&lt;&gt;"")*'Doğrudan Alım İşlemleri'!$H$2:$H$2030)</f>
        <v/>
      </c>
      <c r="C30" s="8">
        <f>SUMPRODUCT((YEAR('Doğrudan Alım İşlemleri'!$E$2:$E$2030)=$A$30)*('Doğrudan Alım İşlemleri'!$H$2:$H$2030&lt;&gt;"")*'Doğrudan Alım İşlemleri'!$H$2:$H$2030)</f>
        <v/>
      </c>
      <c r="D30" s="8">
        <f>B30-C30</f>
        <v/>
      </c>
      <c r="E30" s="24">
        <f>SUMPRODUCT((YEAR('Doğrudan Alım İşlemleri'!$B$2:$B$2030)=$A$30)*('Doğrudan Alım İşlemleri'!$I$2:$I$2030&lt;&gt;"")*'Doğrudan Alım İşlemleri'!$I$2:$I$2030)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İşlemleri'!$F$2:$F$2030,$A$4),0)</f>
        <v/>
      </c>
      <c r="C4" s="8">
        <f>IFERROR(SUMIF('Doğrudan Alım İşlemleri'!$F$2:$F$2030,$A$4,'Doğrudan Alım İşlemleri'!$H$2:$H$2030),0)</f>
        <v/>
      </c>
      <c r="D4" s="24">
        <f>IFERROR(SUMIF('Doğrudan Alım İşlemleri'!$F$2:$F$2030,$A$4,'Doğrudan Alım İşlemleri'!$I$2:$I$2030),0)</f>
        <v/>
      </c>
      <c r="E4" s="23">
        <f>IFERROR(AGGREGATE(5,6,'Doğrudan Alım İşlemleri'!$B$2:$B$2030/('Doğrudan Alım İşlemleri'!$F$2:$F$2030=$A$4),1),"")</f>
        <v/>
      </c>
      <c r="F4" s="23">
        <f>IFERROR(AGGREGATE(14,6,'Doğrudan Alım İşlemleri'!$B$2:$B$2030/('Doğrudan Alım İşlemleri'!$F$2:$F$2030=$A$4),1),"")</f>
        <v/>
      </c>
      <c r="G4" s="23">
        <f>IFERROR(AGGREGATE(14,6,'Doğrudan Alım İşlemleri'!$E$2:$E$2030/('Doğrudan Alım İşlemleri'!$F$2:$F$2030=$A$4),1),"")</f>
        <v/>
      </c>
    </row>
    <row r="5">
      <c r="A5" s="16" t="inlineStr">
        <is>
          <t>TRT120325T12</t>
        </is>
      </c>
      <c r="B5" s="11">
        <f>IFERROR(COUNTIF('Doğrudan Alım İşlemleri'!$F$2:$F$2030,$A$5),0)</f>
        <v/>
      </c>
      <c r="C5" s="11">
        <f>IFERROR(SUMIF('Doğrudan Alım İşlemleri'!$F$2:$F$2030,$A$5,'Doğrudan Alım İşlemleri'!$H$2:$H$2030),0)</f>
        <v/>
      </c>
      <c r="D5" s="13">
        <f>IFERROR(SUMIF('Doğrudan Alım İşlemleri'!$F$2:$F$2030,$A$5,'Doğrudan Alım İşlemleri'!$I$2:$I$2030),0)</f>
        <v/>
      </c>
      <c r="E5" s="3">
        <f>IFERROR(AGGREGATE(5,6,'Doğrudan Alım İşlemleri'!$B$2:$B$2030/('Doğrudan Alım İşlemleri'!$F$2:$F$2030=$A$5),1),"")</f>
        <v/>
      </c>
      <c r="F5" s="3">
        <f>IFERROR(AGGREGATE(14,6,'Doğrudan Alım İşlemleri'!$B$2:$B$2030/('Doğrudan Alım İşlemleri'!$F$2:$F$2030=$A$5),1),"")</f>
        <v/>
      </c>
      <c r="G5" s="3">
        <f>IFERROR(AGGREGATE(14,6,'Doğrudan Alım İşlemleri'!$E$2:$E$2030/('Doğrudan Alım İşlemleri'!$F$2:$F$2030=$A$5),1),"")</f>
        <v/>
      </c>
    </row>
    <row r="6">
      <c r="A6" s="15" t="inlineStr">
        <is>
          <t>TRT240724T15</t>
        </is>
      </c>
      <c r="B6" s="8">
        <f>IFERROR(COUNTIF('Doğrudan Alım İşlemleri'!$F$2:$F$2030,$A$6),0)</f>
        <v/>
      </c>
      <c r="C6" s="8">
        <f>IFERROR(SUMIF('Doğrudan Alım İşlemleri'!$F$2:$F$2030,$A$6,'Doğrudan Alım İşlemleri'!$H$2:$H$2030),0)</f>
        <v/>
      </c>
      <c r="D6" s="24">
        <f>IFERROR(SUMIF('Doğrudan Alım İşlemleri'!$F$2:$F$2030,$A$6,'Doğrudan Alım İşlemleri'!$I$2:$I$2030),0)</f>
        <v/>
      </c>
      <c r="E6" s="23">
        <f>IFERROR(AGGREGATE(5,6,'Doğrudan Alım İşlemleri'!$B$2:$B$2030/('Doğrudan Alım İşlemleri'!$F$2:$F$2030=$A$6),1),"")</f>
        <v/>
      </c>
      <c r="F6" s="23">
        <f>IFERROR(AGGREGATE(14,6,'Doğrudan Alım İşlemleri'!$B$2:$B$2030/('Doğrudan Alım İşlemleri'!$F$2:$F$2030=$A$6),1),"")</f>
        <v/>
      </c>
      <c r="G6" s="23">
        <f>IFERROR(AGGREGATE(14,6,'Doğrudan Alım İşlemleri'!$E$2:$E$2030/('Doğrudan Alım İşlemleri'!$F$2:$F$2030=$A$6),1),"")</f>
        <v/>
      </c>
    </row>
    <row r="7">
      <c r="A7" s="16" t="inlineStr">
        <is>
          <t>TRT240227T17</t>
        </is>
      </c>
      <c r="B7" s="11">
        <f>IFERROR(COUNTIF('Doğrudan Alım İşlemleri'!$F$2:$F$2030,$A$7),0)</f>
        <v/>
      </c>
      <c r="C7" s="11">
        <f>IFERROR(SUMIF('Doğrudan Alım İşlemleri'!$F$2:$F$2030,$A$7,'Doğrudan Alım İşlemleri'!$H$2:$H$2030),0)</f>
        <v/>
      </c>
      <c r="D7" s="13">
        <f>IFERROR(SUMIF('Doğrudan Alım İşlemleri'!$F$2:$F$2030,$A$7,'Doğrudan Alım İşlemleri'!$I$2:$I$2030),0)</f>
        <v/>
      </c>
      <c r="E7" s="3">
        <f>IFERROR(AGGREGATE(5,6,'Doğrudan Alım İşlemleri'!$B$2:$B$2030/('Doğrudan Alım İşlemleri'!$F$2:$F$2030=$A$7),1),"")</f>
        <v/>
      </c>
      <c r="F7" s="3">
        <f>IFERROR(AGGREGATE(14,6,'Doğrudan Alım İşlemleri'!$B$2:$B$2030/('Doğrudan Alım İşlemleri'!$F$2:$F$2030=$A$7),1),"")</f>
        <v/>
      </c>
      <c r="G7" s="3">
        <f>IFERROR(AGGREGATE(14,6,'Doğrudan Alım İşlemleri'!$E$2:$E$2030/('Doğrudan Alım İşlemleri'!$F$2:$F$2030=$A$7),1),"")</f>
        <v/>
      </c>
    </row>
    <row r="8">
      <c r="A8" s="15" t="inlineStr">
        <is>
          <t>TRT020926T17</t>
        </is>
      </c>
      <c r="B8" s="8">
        <f>IFERROR(COUNTIF('Doğrudan Alım İşlemleri'!$F$2:$F$2030,$A$8),0)</f>
        <v/>
      </c>
      <c r="C8" s="8">
        <f>IFERROR(SUMIF('Doğrudan Alım İşlemleri'!$F$2:$F$2030,$A$8,'Doğrudan Alım İşlemleri'!$H$2:$H$2030),0)</f>
        <v/>
      </c>
      <c r="D8" s="24">
        <f>IFERROR(SUMIF('Doğrudan Alım İşlemleri'!$F$2:$F$2030,$A$8,'Doğrudan Alım İşlemleri'!$I$2:$I$2030),0)</f>
        <v/>
      </c>
      <c r="E8" s="23">
        <f>IFERROR(AGGREGATE(5,6,'Doğrudan Alım İşlemleri'!$B$2:$B$2030/('Doğrudan Alım İşlemleri'!$F$2:$F$2030=$A$8),1),"")</f>
        <v/>
      </c>
      <c r="F8" s="23">
        <f>IFERROR(AGGREGATE(14,6,'Doğrudan Alım İşlemleri'!$B$2:$B$2030/('Doğrudan Alım İşlemleri'!$F$2:$F$2030=$A$8),1),"")</f>
        <v/>
      </c>
      <c r="G8" s="23">
        <f>IFERROR(AGGREGATE(14,6,'Doğrudan Alım İşlemleri'!$E$2:$E$2030/('Doğrudan Alım İşlemleri'!$F$2:$F$2030=$A$8),1),"")</f>
        <v/>
      </c>
    </row>
    <row r="9">
      <c r="A9" s="16" t="inlineStr">
        <is>
          <t>TRT110226T13</t>
        </is>
      </c>
      <c r="B9" s="11">
        <f>IFERROR(COUNTIF('Doğrudan Alım İşlemleri'!$F$2:$F$2030,$A$9),0)</f>
        <v/>
      </c>
      <c r="C9" s="11">
        <f>IFERROR(SUMIF('Doğrudan Alım İşlemleri'!$F$2:$F$2030,$A$9,'Doğrudan Alım İşlemleri'!$H$2:$H$2030),0)</f>
        <v/>
      </c>
      <c r="D9" s="13">
        <f>IFERROR(SUMIF('Doğrudan Alım İşlemleri'!$F$2:$F$2030,$A$9,'Doğrudan Alım İşlemleri'!$I$2:$I$2030),0)</f>
        <v/>
      </c>
      <c r="E9" s="3">
        <f>IFERROR(AGGREGATE(5,6,'Doğrudan Alım İşlemleri'!$B$2:$B$2030/('Doğrudan Alım İşlemleri'!$F$2:$F$2030=$A$9),1),"")</f>
        <v/>
      </c>
      <c r="F9" s="3">
        <f>IFERROR(AGGREGATE(14,6,'Doğrudan Alım İşlemleri'!$B$2:$B$2030/('Doğrudan Alım İşlemleri'!$F$2:$F$2030=$A$9),1),"")</f>
        <v/>
      </c>
      <c r="G9" s="3">
        <f>IFERROR(AGGREGATE(14,6,'Doğrudan Alım İşlemleri'!$E$2:$E$2030/('Doğrudan Alım İşlemleri'!$F$2:$F$2030=$A$9),1),"")</f>
        <v/>
      </c>
    </row>
    <row r="10">
      <c r="A10" s="15" t="inlineStr">
        <is>
          <t>TRT110827T16</t>
        </is>
      </c>
      <c r="B10" s="8">
        <f>IFERROR(COUNTIF('Doğrudan Alım İşlemleri'!$F$2:$F$2030,$A$10),0)</f>
        <v/>
      </c>
      <c r="C10" s="8">
        <f>IFERROR(SUMIF('Doğrudan Alım İşlemleri'!$F$2:$F$2030,$A$10,'Doğrudan Alım İşlemleri'!$H$2:$H$2030),0)</f>
        <v/>
      </c>
      <c r="D10" s="24">
        <f>IFERROR(SUMIF('Doğrudan Alım İşlemleri'!$F$2:$F$2030,$A$10,'Doğrudan Alım İşlemleri'!$I$2:$I$2030),0)</f>
        <v/>
      </c>
      <c r="E10" s="23">
        <f>IFERROR(AGGREGATE(5,6,'Doğrudan Alım İşlemleri'!$B$2:$B$2030/('Doğrudan Alım İşlemleri'!$F$2:$F$2030=$A$10),1),"")</f>
        <v/>
      </c>
      <c r="F10" s="23">
        <f>IFERROR(AGGREGATE(14,6,'Doğrudan Alım İşlemleri'!$B$2:$B$2030/('Doğrudan Alım İşlemleri'!$F$2:$F$2030=$A$10),1),"")</f>
        <v/>
      </c>
      <c r="G10" s="23">
        <f>IFERROR(AGGREGATE(14,6,'Doğrudan Alım İşlemleri'!$E$2:$E$2030/('Doğrudan Alım İşlemleri'!$F$2:$F$2030=$A$10),1),"")</f>
        <v/>
      </c>
    </row>
    <row r="11">
      <c r="A11" s="16" t="inlineStr">
        <is>
          <t>TRT090627T12</t>
        </is>
      </c>
      <c r="B11" s="11">
        <f>IFERROR(COUNTIF('Doğrudan Alım İşlemleri'!$F$2:$F$2030,$A$11),0)</f>
        <v/>
      </c>
      <c r="C11" s="11">
        <f>IFERROR(SUMIF('Doğrudan Alım İşlemleri'!$F$2:$F$2030,$A$11,'Doğrudan Alım İşlemleri'!$H$2:$H$2030),0)</f>
        <v/>
      </c>
      <c r="D11" s="13">
        <f>IFERROR(SUMIF('Doğrudan Alım İşlemleri'!$F$2:$F$2030,$A$11,'Doğrudan Alım İşlemleri'!$I$2:$I$2030),0)</f>
        <v/>
      </c>
      <c r="E11" s="3">
        <f>IFERROR(AGGREGATE(5,6,'Doğrudan Alım İşlemleri'!$B$2:$B$2030/('Doğrudan Alım İşlemleri'!$F$2:$F$2030=$A$11),1),"")</f>
        <v/>
      </c>
      <c r="F11" s="3">
        <f>IFERROR(AGGREGATE(14,6,'Doğrudan Alım İşlemleri'!$B$2:$B$2030/('Doğrudan Alım İşlemleri'!$F$2:$F$2030=$A$11),1),"")</f>
        <v/>
      </c>
      <c r="G11" s="3">
        <f>IFERROR(AGGREGATE(14,6,'Doğrudan Alım İşlemleri'!$E$2:$E$2030/('Doğrudan Alım İşlemleri'!$F$2:$F$2030=$A$11),1),"")</f>
        <v/>
      </c>
    </row>
    <row r="12">
      <c r="A12" s="15" t="inlineStr">
        <is>
          <t>TRT131130T14</t>
        </is>
      </c>
      <c r="B12" s="8">
        <f>IFERROR(COUNTIF('Doğrudan Alım İşlemleri'!$F$2:$F$2030,$A$12),0)</f>
        <v/>
      </c>
      <c r="C12" s="8">
        <f>IFERROR(SUMIF('Doğrudan Alım İşlemleri'!$F$2:$F$2030,$A$12,'Doğrudan Alım İşlemleri'!$H$2:$H$2030),0)</f>
        <v/>
      </c>
      <c r="D12" s="24">
        <f>IFERROR(SUMIF('Doğrudan Alım İşlemleri'!$F$2:$F$2030,$A$12,'Doğrudan Alım İşlemleri'!$I$2:$I$2030),0)</f>
        <v/>
      </c>
      <c r="E12" s="23">
        <f>IFERROR(AGGREGATE(5,6,'Doğrudan Alım İşlemleri'!$B$2:$B$2030/('Doğrudan Alım İşlemleri'!$F$2:$F$2030=$A$12),1),"")</f>
        <v/>
      </c>
      <c r="F12" s="23">
        <f>IFERROR(AGGREGATE(14,6,'Doğrudan Alım İşlemleri'!$B$2:$B$2030/('Doğrudan Alım İşlemleri'!$F$2:$F$2030=$A$12),1),"")</f>
        <v/>
      </c>
      <c r="G12" s="23">
        <f>IFERROR(AGGREGATE(14,6,'Doğrudan Alım İşlemleri'!$E$2:$E$2030/('Doğrudan Alım İşlemleri'!$F$2:$F$2030=$A$12),1),"")</f>
        <v/>
      </c>
    </row>
    <row r="13">
      <c r="A13" s="16" t="inlineStr">
        <is>
          <t>TRT050220T17</t>
        </is>
      </c>
      <c r="B13" s="11">
        <f>IFERROR(COUNTIF('Doğrudan Alım İşlemleri'!$F$2:$F$2030,$A$13),0)</f>
        <v/>
      </c>
      <c r="C13" s="11">
        <f>IFERROR(SUMIF('Doğrudan Alım İşlemleri'!$F$2:$F$2030,$A$13,'Doğrudan Alım İşlemleri'!$H$2:$H$2030),0)</f>
        <v/>
      </c>
      <c r="D13" s="13">
        <f>IFERROR(SUMIF('Doğrudan Alım İşlemleri'!$F$2:$F$2030,$A$13,'Doğrudan Alım İşlemleri'!$I$2:$I$2030),0)</f>
        <v/>
      </c>
      <c r="E13" s="3">
        <f>IFERROR(AGGREGATE(5,6,'Doğrudan Alım İşlemleri'!$B$2:$B$2030/('Doğrudan Alım İşlemleri'!$F$2:$F$2030=$A$13),1),"")</f>
        <v/>
      </c>
      <c r="F13" s="3">
        <f>IFERROR(AGGREGATE(14,6,'Doğrudan Alım İşlemleri'!$B$2:$B$2030/('Doğrudan Alım İşlemleri'!$F$2:$F$2030=$A$13),1),"")</f>
        <v/>
      </c>
      <c r="G13" s="3">
        <f>IFERROR(AGGREGATE(14,6,'Doğrudan Alım İşlemleri'!$E$2:$E$2030/('Doğrudan Alım İşlemleri'!$F$2:$F$2030=$A$13),1),"")</f>
        <v/>
      </c>
    </row>
    <row r="14">
      <c r="A14" s="15" t="inlineStr">
        <is>
          <t>TRT141118T19</t>
        </is>
      </c>
      <c r="B14" s="8">
        <f>IFERROR(COUNTIF('Doğrudan Alım İşlemleri'!$F$2:$F$2030,$A$14),0)</f>
        <v/>
      </c>
      <c r="C14" s="8">
        <f>IFERROR(SUMIF('Doğrudan Alım İşlemleri'!$F$2:$F$2030,$A$14,'Doğrudan Alım İşlemleri'!$H$2:$H$2030),0)</f>
        <v/>
      </c>
      <c r="D14" s="24">
        <f>IFERROR(SUMIF('Doğrudan Alım İşlemleri'!$F$2:$F$2030,$A$14,'Doğrudan Alım İşlemleri'!$I$2:$I$2030),0)</f>
        <v/>
      </c>
      <c r="E14" s="23">
        <f>IFERROR(AGGREGATE(5,6,'Doğrudan Alım İşlemleri'!$B$2:$B$2030/('Doğrudan Alım İşlemleri'!$F$2:$F$2030=$A$14),1),"")</f>
        <v/>
      </c>
      <c r="F14" s="23">
        <f>IFERROR(AGGREGATE(14,6,'Doğrudan Alım İşlemleri'!$B$2:$B$2030/('Doğrudan Alım İşlemleri'!$F$2:$F$2030=$A$14),1),"")</f>
        <v/>
      </c>
      <c r="G14" s="23">
        <f>IFERROR(AGGREGATE(14,6,'Doğrudan Alım İşlemleri'!$E$2:$E$2030/('Doğrudan Alım İşlemleri'!$F$2:$F$2030=$A$14),1),"")</f>
        <v/>
      </c>
    </row>
    <row r="15">
      <c r="A15" s="16" t="inlineStr">
        <is>
          <t>TRT100719T18</t>
        </is>
      </c>
      <c r="B15" s="11">
        <f>IFERROR(COUNTIF('Doğrudan Alım İşlemleri'!$F$2:$F$2030,$A$15),0)</f>
        <v/>
      </c>
      <c r="C15" s="11">
        <f>IFERROR(SUMIF('Doğrudan Alım İşlemleri'!$F$2:$F$2030,$A$15,'Doğrudan Alım İşlemleri'!$H$2:$H$2030),0)</f>
        <v/>
      </c>
      <c r="D15" s="13">
        <f>IFERROR(SUMIF('Doğrudan Alım İşlemleri'!$F$2:$F$2030,$A$15,'Doğrudan Alım İşlemleri'!$I$2:$I$2030),0)</f>
        <v/>
      </c>
      <c r="E15" s="3">
        <f>IFERROR(AGGREGATE(5,6,'Doğrudan Alım İşlemleri'!$B$2:$B$2030/('Doğrudan Alım İşlemleri'!$F$2:$F$2030=$A$15),1),"")</f>
        <v/>
      </c>
      <c r="F15" s="3">
        <f>IFERROR(AGGREGATE(14,6,'Doğrudan Alım İşlemleri'!$B$2:$B$2030/('Doğrudan Alım İşlemleri'!$F$2:$F$2030=$A$15),1),"")</f>
        <v/>
      </c>
      <c r="G15" s="3">
        <f>IFERROR(AGGREGATE(14,6,'Doğrudan Alım İşlemleri'!$E$2:$E$2030/('Doğrudan Alım İşlemleri'!$F$2:$F$2030=$A$15),1),"")</f>
        <v/>
      </c>
    </row>
    <row r="16">
      <c r="A16" s="15" t="inlineStr">
        <is>
          <t>TRT270923T11</t>
        </is>
      </c>
      <c r="B16" s="8">
        <f>IFERROR(COUNTIF('Doğrudan Alım İşlemleri'!$F$2:$F$2030,$A$16),0)</f>
        <v/>
      </c>
      <c r="C16" s="8">
        <f>IFERROR(SUMIF('Doğrudan Alım İşlemleri'!$F$2:$F$2030,$A$16,'Doğrudan Alım İşlemleri'!$H$2:$H$2030),0)</f>
        <v/>
      </c>
      <c r="D16" s="24">
        <f>IFERROR(SUMIF('Doğrudan Alım İşlemleri'!$F$2:$F$2030,$A$16,'Doğrudan Alım İşlemleri'!$I$2:$I$2030),0)</f>
        <v/>
      </c>
      <c r="E16" s="23">
        <f>IFERROR(AGGREGATE(5,6,'Doğrudan Alım İşlemleri'!$B$2:$B$2030/('Doğrudan Alım İşlemleri'!$F$2:$F$2030=$A$16),1),"")</f>
        <v/>
      </c>
      <c r="F16" s="23">
        <f>IFERROR(AGGREGATE(14,6,'Doğrudan Alım İşlemleri'!$B$2:$B$2030/('Doğrudan Alım İşlemleri'!$F$2:$F$2030=$A$16),1),"")</f>
        <v/>
      </c>
      <c r="G16" s="23">
        <f>IFERROR(AGGREGATE(14,6,'Doğrudan Alım İşlemleri'!$E$2:$E$2030/('Doğrudan Alım İşlemleri'!$F$2:$F$2030=$A$16),1),"")</f>
        <v/>
      </c>
    </row>
    <row r="17">
      <c r="A17" s="16" t="inlineStr">
        <is>
          <t>TRT200618T18</t>
        </is>
      </c>
      <c r="B17" s="11">
        <f>IFERROR(COUNTIF('Doğrudan Alım İşlemleri'!$F$2:$F$2030,$A$17),0)</f>
        <v/>
      </c>
      <c r="C17" s="11">
        <f>IFERROR(SUMIF('Doğrudan Alım İşlemleri'!$F$2:$F$2030,$A$17,'Doğrudan Alım İşlemleri'!$H$2:$H$2030),0)</f>
        <v/>
      </c>
      <c r="D17" s="13">
        <f>IFERROR(SUMIF('Doğrudan Alım İşlemleri'!$F$2:$F$2030,$A$17,'Doğrudan Alım İşlemleri'!$I$2:$I$2030),0)</f>
        <v/>
      </c>
      <c r="E17" s="3">
        <f>IFERROR(AGGREGATE(5,6,'Doğrudan Alım İşlemleri'!$B$2:$B$2030/('Doğrudan Alım İşlemleri'!$F$2:$F$2030=$A$17),1),"")</f>
        <v/>
      </c>
      <c r="F17" s="3">
        <f>IFERROR(AGGREGATE(14,6,'Doğrudan Alım İşlemleri'!$B$2:$B$2030/('Doğrudan Alım İşlemleri'!$F$2:$F$2030=$A$17),1),"")</f>
        <v/>
      </c>
      <c r="G17" s="3">
        <f>IFERROR(AGGREGATE(14,6,'Doğrudan Alım İşlemleri'!$E$2:$E$2030/('Doğrudan Alım İşlemleri'!$F$2:$F$2030=$A$17),1),"")</f>
        <v/>
      </c>
    </row>
    <row r="18">
      <c r="A18" s="15" t="inlineStr">
        <is>
          <t>TRT200923T18</t>
        </is>
      </c>
      <c r="B18" s="8">
        <f>IFERROR(COUNTIF('Doğrudan Alım İşlemleri'!$F$2:$F$2030,$A$18),0)</f>
        <v/>
      </c>
      <c r="C18" s="8">
        <f>IFERROR(SUMIF('Doğrudan Alım İşlemleri'!$F$2:$F$2030,$A$18,'Doğrudan Alım İşlemleri'!$H$2:$H$2030),0)</f>
        <v/>
      </c>
      <c r="D18" s="24">
        <f>IFERROR(SUMIF('Doğrudan Alım İşlemleri'!$F$2:$F$2030,$A$18,'Doğrudan Alım İşlemleri'!$I$2:$I$2030),0)</f>
        <v/>
      </c>
      <c r="E18" s="23">
        <f>IFERROR(AGGREGATE(5,6,'Doğrudan Alım İşlemleri'!$B$2:$B$2030/('Doğrudan Alım İşlemleri'!$F$2:$F$2030=$A$18),1),"")</f>
        <v/>
      </c>
      <c r="F18" s="23">
        <f>IFERROR(AGGREGATE(14,6,'Doğrudan Alım İşlemleri'!$B$2:$B$2030/('Doğrudan Alım İşlemleri'!$F$2:$F$2030=$A$18),1),"")</f>
        <v/>
      </c>
      <c r="G18" s="23">
        <f>IFERROR(AGGREGATE(14,6,'Doğrudan Alım İşlemleri'!$E$2:$E$2030/('Doğrudan Alım İşlemleri'!$F$2:$F$2030=$A$18),1),"")</f>
        <v/>
      </c>
    </row>
    <row r="19">
      <c r="A19" s="16" t="inlineStr">
        <is>
          <t>TRT200324T13</t>
        </is>
      </c>
      <c r="B19" s="11">
        <f>IFERROR(COUNTIF('Doğrudan Alım İşlemleri'!$F$2:$F$2030,$A$19),0)</f>
        <v/>
      </c>
      <c r="C19" s="11">
        <f>IFERROR(SUMIF('Doğrudan Alım İşlemleri'!$F$2:$F$2030,$A$19,'Doğrudan Alım İşlemleri'!$H$2:$H$2030),0)</f>
        <v/>
      </c>
      <c r="D19" s="13">
        <f>IFERROR(SUMIF('Doğrudan Alım İşlemleri'!$F$2:$F$2030,$A$19,'Doğrudan Alım İşlemleri'!$I$2:$I$2030),0)</f>
        <v/>
      </c>
      <c r="E19" s="3">
        <f>IFERROR(AGGREGATE(5,6,'Doğrudan Alım İşlemleri'!$B$2:$B$2030/('Doğrudan Alım İşlemleri'!$F$2:$F$2030=$A$19),1),"")</f>
        <v/>
      </c>
      <c r="F19" s="3">
        <f>IFERROR(AGGREGATE(14,6,'Doğrudan Alım İşlemleri'!$B$2:$B$2030/('Doğrudan Alım İşlemleri'!$F$2:$F$2030=$A$19),1),"")</f>
        <v/>
      </c>
      <c r="G19" s="3">
        <f>IFERROR(AGGREGATE(14,6,'Doğrudan Alım İşlemleri'!$E$2:$E$2030/('Doğrudan Alım İşlemleri'!$F$2:$F$2030=$A$19),1),"")</f>
        <v/>
      </c>
    </row>
    <row r="20">
      <c r="A20" s="15" t="inlineStr">
        <is>
          <t>TRT120929T12</t>
        </is>
      </c>
      <c r="B20" s="8">
        <f>IFERROR(COUNTIF('Doğrudan Alım İşlemleri'!$F$2:$F$2030,$A$20),0)</f>
        <v/>
      </c>
      <c r="C20" s="8">
        <f>IFERROR(SUMIF('Doğrudan Alım İşlemleri'!$F$2:$F$2030,$A$20,'Doğrudan Alım İşlemleri'!$H$2:$H$2030),0)</f>
        <v/>
      </c>
      <c r="D20" s="24">
        <f>IFERROR(SUMIF('Doğrudan Alım İşlemleri'!$F$2:$F$2030,$A$20,'Doğrudan Alım İşlemleri'!$I$2:$I$2030),0)</f>
        <v/>
      </c>
      <c r="E20" s="23">
        <f>IFERROR(AGGREGATE(5,6,'Doğrudan Alım İşlemleri'!$B$2:$B$2030/('Doğrudan Alım İşlemleri'!$F$2:$F$2030=$A$20),1),"")</f>
        <v/>
      </c>
      <c r="F20" s="23">
        <f>IFERROR(AGGREGATE(14,6,'Doğrudan Alım İşlemleri'!$B$2:$B$2030/('Doğrudan Alım İşlemleri'!$F$2:$F$2030=$A$20),1),"")</f>
        <v/>
      </c>
      <c r="G20" s="23">
        <f>IFERROR(AGGREGATE(14,6,'Doğrudan Alım İşlemleri'!$E$2:$E$2030/('Doğrudan Alım İşlemleri'!$F$2:$F$2030=$A$20),1),"")</f>
        <v/>
      </c>
    </row>
    <row r="21">
      <c r="A21" s="16" t="inlineStr">
        <is>
          <t>TRT140218T10</t>
        </is>
      </c>
      <c r="B21" s="11">
        <f>IFERROR(COUNTIF('Doğrudan Alım İşlemleri'!$F$2:$F$2030,$A$21),0)</f>
        <v/>
      </c>
      <c r="C21" s="11">
        <f>IFERROR(SUMIF('Doğrudan Alım İşlemleri'!$F$2:$F$2030,$A$21,'Doğrudan Alım İşlemleri'!$H$2:$H$2030),0)</f>
        <v/>
      </c>
      <c r="D21" s="13">
        <f>IFERROR(SUMIF('Doğrudan Alım İşlemleri'!$F$2:$F$2030,$A$21,'Doğrudan Alım İşlemleri'!$I$2:$I$2030),0)</f>
        <v/>
      </c>
      <c r="E21" s="3">
        <f>IFERROR(AGGREGATE(5,6,'Doğrudan Alım İşlemleri'!$B$2:$B$2030/('Doğrudan Alım İşlemleri'!$F$2:$F$2030=$A$21),1),"")</f>
        <v/>
      </c>
      <c r="F21" s="3">
        <f>IFERROR(AGGREGATE(14,6,'Doğrudan Alım İşlemleri'!$B$2:$B$2030/('Doğrudan Alım İşlemleri'!$F$2:$F$2030=$A$21),1),"")</f>
        <v/>
      </c>
      <c r="G21" s="3">
        <f>IFERROR(AGGREGATE(14,6,'Doğrudan Alım İşlemleri'!$E$2:$E$2030/('Doğrudan Alım İşlemleri'!$F$2:$F$2030=$A$21),1),"")</f>
        <v/>
      </c>
    </row>
    <row r="22">
      <c r="A22" s="15" t="inlineStr">
        <is>
          <t>TRT280432T14</t>
        </is>
      </c>
      <c r="B22" s="8">
        <f>IFERROR(COUNTIF('Doğrudan Alım İşlemleri'!$F$2:$F$2030,$A$22),0)</f>
        <v/>
      </c>
      <c r="C22" s="8">
        <f>IFERROR(SUMIF('Doğrudan Alım İşlemleri'!$F$2:$F$2030,$A$22,'Doğrudan Alım İşlemleri'!$H$2:$H$2030),0)</f>
        <v/>
      </c>
      <c r="D22" s="24">
        <f>IFERROR(SUMIF('Doğrudan Alım İşlemleri'!$F$2:$F$2030,$A$22,'Doğrudan Alım İşlemleri'!$I$2:$I$2030),0)</f>
        <v/>
      </c>
      <c r="E22" s="23">
        <f>IFERROR(AGGREGATE(5,6,'Doğrudan Alım İşlemleri'!$B$2:$B$2030/('Doğrudan Alım İşlemleri'!$F$2:$F$2030=$A$22),1),"")</f>
        <v/>
      </c>
      <c r="F22" s="23">
        <f>IFERROR(AGGREGATE(14,6,'Doğrudan Alım İşlemleri'!$B$2:$B$2030/('Doğrudan Alım İşlemleri'!$F$2:$F$2030=$A$22),1),"")</f>
        <v/>
      </c>
      <c r="G22" s="23">
        <f>IFERROR(AGGREGATE(14,6,'Doğrudan Alım İşlemleri'!$E$2:$E$2030/('Doğrudan Alım İşlemleri'!$F$2:$F$2030=$A$22),1),"")</f>
        <v/>
      </c>
    </row>
    <row r="23">
      <c r="A23" s="16" t="inlineStr">
        <is>
          <t>TRT150120T16</t>
        </is>
      </c>
      <c r="B23" s="11">
        <f>IFERROR(COUNTIF('Doğrudan Alım İşlemleri'!$F$2:$F$2030,$A$23),0)</f>
        <v/>
      </c>
      <c r="C23" s="11">
        <f>IFERROR(SUMIF('Doğrudan Alım İşlemleri'!$F$2:$F$2030,$A$23,'Doğrudan Alım İşlemleri'!$H$2:$H$2030),0)</f>
        <v/>
      </c>
      <c r="D23" s="13">
        <f>IFERROR(SUMIF('Doğrudan Alım İşlemleri'!$F$2:$F$2030,$A$23,'Doğrudan Alım İşlemleri'!$I$2:$I$2030),0)</f>
        <v/>
      </c>
      <c r="E23" s="3">
        <f>IFERROR(AGGREGATE(5,6,'Doğrudan Alım İşlemleri'!$B$2:$B$2030/('Doğrudan Alım İşlemleri'!$F$2:$F$2030=$A$23),1),"")</f>
        <v/>
      </c>
      <c r="F23" s="3">
        <f>IFERROR(AGGREGATE(14,6,'Doğrudan Alım İşlemleri'!$B$2:$B$2030/('Doğrudan Alım İşlemleri'!$F$2:$F$2030=$A$23),1),"")</f>
        <v/>
      </c>
      <c r="G23" s="3">
        <f>IFERROR(AGGREGATE(14,6,'Doğrudan Alım İşlemleri'!$E$2:$E$2030/('Doğrudan Alım İşlemleri'!$F$2:$F$2030=$A$23),1),"")</f>
        <v/>
      </c>
    </row>
    <row r="24">
      <c r="A24" s="15" t="inlineStr">
        <is>
          <t>TRT270319T13</t>
        </is>
      </c>
      <c r="B24" s="8">
        <f>IFERROR(COUNTIF('Doğrudan Alım İşlemleri'!$F$2:$F$2030,$A$24),0)</f>
        <v/>
      </c>
      <c r="C24" s="8">
        <f>IFERROR(SUMIF('Doğrudan Alım İşlemleri'!$F$2:$F$2030,$A$24,'Doğrudan Alım İşlemleri'!$H$2:$H$2030),0)</f>
        <v/>
      </c>
      <c r="D24" s="24">
        <f>IFERROR(SUMIF('Doğrudan Alım İşlemleri'!$F$2:$F$2030,$A$24,'Doğrudan Alım İşlemleri'!$I$2:$I$2030),0)</f>
        <v/>
      </c>
      <c r="E24" s="23">
        <f>IFERROR(AGGREGATE(5,6,'Doğrudan Alım İşlemleri'!$B$2:$B$2030/('Doğrudan Alım İşlemleri'!$F$2:$F$2030=$A$24),1),"")</f>
        <v/>
      </c>
      <c r="F24" s="23">
        <f>IFERROR(AGGREGATE(14,6,'Doğrudan Alım İşlemleri'!$B$2:$B$2030/('Doğrudan Alım İşlemleri'!$F$2:$F$2030=$A$24),1),"")</f>
        <v/>
      </c>
      <c r="G24" s="23">
        <f>IFERROR(AGGREGATE(14,6,'Doğrudan Alım İşlemleri'!$E$2:$E$2030/('Doğrudan Alım İşlemleri'!$F$2:$F$2030=$A$24),1),"")</f>
        <v/>
      </c>
    </row>
    <row r="25">
      <c r="A25" s="16" t="inlineStr">
        <is>
          <t>TRT080323T10</t>
        </is>
      </c>
      <c r="B25" s="11">
        <f>IFERROR(COUNTIF('Doğrudan Alım İşlemleri'!$F$2:$F$2030,$A$25),0)</f>
        <v/>
      </c>
      <c r="C25" s="11">
        <f>IFERROR(SUMIF('Doğrudan Alım İşlemleri'!$F$2:$F$2030,$A$25,'Doğrudan Alım İşlemleri'!$H$2:$H$2030),0)</f>
        <v/>
      </c>
      <c r="D25" s="13">
        <f>IFERROR(SUMIF('Doğrudan Alım İşlemleri'!$F$2:$F$2030,$A$25,'Doğrudan Alım İşlemleri'!$I$2:$I$2030),0)</f>
        <v/>
      </c>
      <c r="E25" s="3">
        <f>IFERROR(AGGREGATE(5,6,'Doğrudan Alım İşlemleri'!$B$2:$B$2030/('Doğrudan Alım İşlemleri'!$F$2:$F$2030=$A$25),1),"")</f>
        <v/>
      </c>
      <c r="F25" s="3">
        <f>IFERROR(AGGREGATE(14,6,'Doğrudan Alım İşlemleri'!$B$2:$B$2030/('Doğrudan Alım İşlemleri'!$F$2:$F$2030=$A$25),1),"")</f>
        <v/>
      </c>
      <c r="G25" s="3">
        <f>IFERROR(AGGREGATE(14,6,'Doğrudan Alım İşlemleri'!$E$2:$E$2030/('Doğrudan Alım İşlemleri'!$F$2:$F$2030=$A$25),1),"")</f>
        <v/>
      </c>
    </row>
    <row r="26">
      <c r="A26" s="15" t="inlineStr">
        <is>
          <t>TRT080328T15</t>
        </is>
      </c>
      <c r="B26" s="8">
        <f>IFERROR(COUNTIF('Doğrudan Alım İşlemleri'!$F$2:$F$2030,$A$26),0)</f>
        <v/>
      </c>
      <c r="C26" s="8">
        <f>IFERROR(SUMIF('Doğrudan Alım İşlemleri'!$F$2:$F$2030,$A$26,'Doğrudan Alım İşlemleri'!$H$2:$H$2030),0)</f>
        <v/>
      </c>
      <c r="D26" s="24">
        <f>IFERROR(SUMIF('Doğrudan Alım İşlemleri'!$F$2:$F$2030,$A$26,'Doğrudan Alım İşlemleri'!$I$2:$I$2030),0)</f>
        <v/>
      </c>
      <c r="E26" s="23">
        <f>IFERROR(AGGREGATE(5,6,'Doğrudan Alım İşlemleri'!$B$2:$B$2030/('Doğrudan Alım İşlemleri'!$F$2:$F$2030=$A$26),1),"")</f>
        <v/>
      </c>
      <c r="F26" s="23">
        <f>IFERROR(AGGREGATE(14,6,'Doğrudan Alım İşlemleri'!$B$2:$B$2030/('Doğrudan Alım İşlemleri'!$F$2:$F$2030=$A$26),1),"")</f>
        <v/>
      </c>
      <c r="G26" s="23">
        <f>IFERROR(AGGREGATE(14,6,'Doğrudan Alım İşlemleri'!$E$2:$E$2030/('Doğrudan Alım İşlemleri'!$F$2:$F$2030=$A$26),1),"")</f>
        <v/>
      </c>
    </row>
    <row r="27">
      <c r="A27" s="16" t="inlineStr">
        <is>
          <t>TRT170424T17</t>
        </is>
      </c>
      <c r="B27" s="11">
        <f>IFERROR(COUNTIF('Doğrudan Alım İşlemleri'!$F$2:$F$2030,$A$27),0)</f>
        <v/>
      </c>
      <c r="C27" s="11">
        <f>IFERROR(SUMIF('Doğrudan Alım İşlemleri'!$F$2:$F$2030,$A$27,'Doğrudan Alım İşlemleri'!$H$2:$H$2030),0)</f>
        <v/>
      </c>
      <c r="D27" s="13">
        <f>IFERROR(SUMIF('Doğrudan Alım İşlemleri'!$F$2:$F$2030,$A$27,'Doğrudan Alım İşlemleri'!$I$2:$I$2030),0)</f>
        <v/>
      </c>
      <c r="E27" s="3">
        <f>IFERROR(AGGREGATE(5,6,'Doğrudan Alım İşlemleri'!$B$2:$B$2030/('Doğrudan Alım İşlemleri'!$F$2:$F$2030=$A$27),1),"")</f>
        <v/>
      </c>
      <c r="F27" s="3">
        <f>IFERROR(AGGREGATE(14,6,'Doğrudan Alım İşlemleri'!$B$2:$B$2030/('Doğrudan Alım İşlemleri'!$F$2:$F$2030=$A$27),1),"")</f>
        <v/>
      </c>
      <c r="G27" s="3">
        <f>IFERROR(AGGREGATE(14,6,'Doğrudan Alım İşlemleri'!$E$2:$E$2030/('Doğrudan Alım İşlemleri'!$F$2:$F$2030=$A$27),1),"")</f>
        <v/>
      </c>
    </row>
    <row r="28">
      <c r="A28" s="15" t="inlineStr">
        <is>
          <t>TRT051033T12</t>
        </is>
      </c>
      <c r="B28" s="8">
        <f>IFERROR(COUNTIF('Doğrudan Alım İşlemleri'!$F$2:$F$2030,$A$28),0)</f>
        <v/>
      </c>
      <c r="C28" s="8">
        <f>IFERROR(SUMIF('Doğrudan Alım İşlemleri'!$F$2:$F$2030,$A$28,'Doğrudan Alım İşlemleri'!$H$2:$H$2030),0)</f>
        <v/>
      </c>
      <c r="D28" s="24">
        <f>IFERROR(SUMIF('Doğrudan Alım İşlemleri'!$F$2:$F$2030,$A$28,'Doğrudan Alım İşlemleri'!$I$2:$I$2030),0)</f>
        <v/>
      </c>
      <c r="E28" s="23">
        <f>IFERROR(AGGREGATE(5,6,'Doğrudan Alım İşlemleri'!$B$2:$B$2030/('Doğrudan Alım İşlemleri'!$F$2:$F$2030=$A$28),1),"")</f>
        <v/>
      </c>
      <c r="F28" s="23">
        <f>IFERROR(AGGREGATE(14,6,'Doğrudan Alım İşlemleri'!$B$2:$B$2030/('Doğrudan Alım İşlemleri'!$F$2:$F$2030=$A$28),1),"")</f>
        <v/>
      </c>
      <c r="G28" s="23">
        <f>IFERROR(AGGREGATE(14,6,'Doğrudan Alım İşlemleri'!$E$2:$E$2030/('Doğrudan Alım İşlemleri'!$F$2:$F$2030=$A$28),1),"")</f>
        <v/>
      </c>
    </row>
    <row r="29">
      <c r="A29" s="16" t="inlineStr">
        <is>
          <t>TRT080720T19</t>
        </is>
      </c>
      <c r="B29" s="11">
        <f>IFERROR(COUNTIF('Doğrudan Alım İşlemleri'!$F$2:$F$2030,$A$29),0)</f>
        <v/>
      </c>
      <c r="C29" s="11">
        <f>IFERROR(SUMIF('Doğrudan Alım İşlemleri'!$F$2:$F$2030,$A$29,'Doğrudan Alım İşlemleri'!$H$2:$H$2030),0)</f>
        <v/>
      </c>
      <c r="D29" s="13">
        <f>IFERROR(SUMIF('Doğrudan Alım İşlemleri'!$F$2:$F$2030,$A$29,'Doğrudan Alım İşlemleri'!$I$2:$I$2030),0)</f>
        <v/>
      </c>
      <c r="E29" s="3">
        <f>IFERROR(AGGREGATE(5,6,'Doğrudan Alım İşlemleri'!$B$2:$B$2030/('Doğrudan Alım İşlemleri'!$F$2:$F$2030=$A$29),1),"")</f>
        <v/>
      </c>
      <c r="F29" s="3">
        <f>IFERROR(AGGREGATE(14,6,'Doğrudan Alım İşlemleri'!$B$2:$B$2030/('Doğrudan Alım İşlemleri'!$F$2:$F$2030=$A$29),1),"")</f>
        <v/>
      </c>
      <c r="G29" s="3">
        <f>IFERROR(AGGREGATE(14,6,'Doğrudan Alım İşlemleri'!$E$2:$E$2030/('Doğrudan Alım İşlemleri'!$F$2:$F$2030=$A$29),1),"")</f>
        <v/>
      </c>
    </row>
    <row r="30">
      <c r="A30" s="15" t="inlineStr">
        <is>
          <t>TRT130515T11</t>
        </is>
      </c>
      <c r="B30" s="8">
        <f>IFERROR(COUNTIF('Doğrudan Alım İşlemleri'!$F$2:$F$2030,$A$30),0)</f>
        <v/>
      </c>
      <c r="C30" s="8">
        <f>IFERROR(SUMIF('Doğrudan Alım İşlemleri'!$F$2:$F$2030,$A$30,'Doğrudan Alım İşlemleri'!$H$2:$H$2030),0)</f>
        <v/>
      </c>
      <c r="D30" s="24">
        <f>IFERROR(SUMIF('Doğrudan Alım İşlemleri'!$F$2:$F$2030,$A$30,'Doğrudan Alım İşlemleri'!$I$2:$I$2030),0)</f>
        <v/>
      </c>
      <c r="E30" s="23">
        <f>IFERROR(AGGREGATE(5,6,'Doğrudan Alım İşlemleri'!$B$2:$B$2030/('Doğrudan Alım İşlemleri'!$F$2:$F$2030=$A$30),1),"")</f>
        <v/>
      </c>
      <c r="F30" s="23">
        <f>IFERROR(AGGREGATE(14,6,'Doğrudan Alım İşlemleri'!$B$2:$B$2030/('Doğrudan Alım İşlemleri'!$F$2:$F$2030=$A$30),1),"")</f>
        <v/>
      </c>
      <c r="G30" s="23">
        <f>IFERROR(AGGREGATE(14,6,'Doğrudan Alım İşlemleri'!$E$2:$E$2030/('Doğrudan Alım İşlemleri'!$F$2:$F$2030=$A$30),1),"")</f>
        <v/>
      </c>
    </row>
    <row r="31">
      <c r="A31" s="16" t="inlineStr">
        <is>
          <t>TRT140623T19</t>
        </is>
      </c>
      <c r="B31" s="11">
        <f>IFERROR(COUNTIF('Doğrudan Alım İşlemleri'!$F$2:$F$2030,$A$31),0)</f>
        <v/>
      </c>
      <c r="C31" s="11">
        <f>IFERROR(SUMIF('Doğrudan Alım İşlemleri'!$F$2:$F$2030,$A$31,'Doğrudan Alım İşlemleri'!$H$2:$H$2030),0)</f>
        <v/>
      </c>
      <c r="D31" s="13">
        <f>IFERROR(SUMIF('Doğrudan Alım İşlemleri'!$F$2:$F$2030,$A$31,'Doğrudan Alım İşlemleri'!$I$2:$I$2030),0)</f>
        <v/>
      </c>
      <c r="E31" s="3">
        <f>IFERROR(AGGREGATE(5,6,'Doğrudan Alım İşlemleri'!$B$2:$B$2030/('Doğrudan Alım İşlemleri'!$F$2:$F$2030=$A$31),1),"")</f>
        <v/>
      </c>
      <c r="F31" s="3">
        <f>IFERROR(AGGREGATE(14,6,'Doğrudan Alım İşlemleri'!$B$2:$B$2030/('Doğrudan Alım İşlemleri'!$F$2:$F$2030=$A$31),1),"")</f>
        <v/>
      </c>
      <c r="G31" s="3">
        <f>IFERROR(AGGREGATE(14,6,'Doğrudan Alım İşlemleri'!$E$2:$E$2030/('Doğrudan Alım İşlemleri'!$F$2:$F$2030=$A$31),1),"")</f>
        <v/>
      </c>
    </row>
    <row r="32">
      <c r="A32" s="15" t="inlineStr">
        <is>
          <t>TRT131032T13</t>
        </is>
      </c>
      <c r="B32" s="8">
        <f>IFERROR(COUNTIF('Doğrudan Alım İşlemleri'!$F$2:$F$2030,$A$32),0)</f>
        <v/>
      </c>
      <c r="C32" s="8">
        <f>IFERROR(SUMIF('Doğrudan Alım İşlemleri'!$F$2:$F$2030,$A$32,'Doğrudan Alım İşlemleri'!$H$2:$H$2030),0)</f>
        <v/>
      </c>
      <c r="D32" s="24">
        <f>IFERROR(SUMIF('Doğrudan Alım İşlemleri'!$F$2:$F$2030,$A$32,'Doğrudan Alım İşlemleri'!$I$2:$I$2030),0)</f>
        <v/>
      </c>
      <c r="E32" s="23">
        <f>IFERROR(AGGREGATE(5,6,'Doğrudan Alım İşlemleri'!$B$2:$B$2030/('Doğrudan Alım İşlemleri'!$F$2:$F$2030=$A$32),1),"")</f>
        <v/>
      </c>
      <c r="F32" s="23">
        <f>IFERROR(AGGREGATE(14,6,'Doğrudan Alım İşlemleri'!$B$2:$B$2030/('Doğrudan Alım İşlemleri'!$F$2:$F$2030=$A$32),1),"")</f>
        <v/>
      </c>
      <c r="G32" s="23">
        <f>IFERROR(AGGREGATE(14,6,'Doğrudan Alım İşlemleri'!$E$2:$E$2030/('Doğrudan Alım İşlemleri'!$F$2:$F$2030=$A$32),1),"")</f>
        <v/>
      </c>
    </row>
    <row r="33">
      <c r="A33" s="16" t="inlineStr">
        <is>
          <t>TRT040729T14</t>
        </is>
      </c>
      <c r="B33" s="11">
        <f>IFERROR(COUNTIF('Doğrudan Alım İşlemleri'!$F$2:$F$2030,$A$33),0)</f>
        <v/>
      </c>
      <c r="C33" s="11">
        <f>IFERROR(SUMIF('Doğrudan Alım İşlemleri'!$F$2:$F$2030,$A$33,'Doğrudan Alım İşlemleri'!$H$2:$H$2030),0)</f>
        <v/>
      </c>
      <c r="D33" s="13">
        <f>IFERROR(SUMIF('Doğrudan Alım İşlemleri'!$F$2:$F$2030,$A$33,'Doğrudan Alım İşlemleri'!$I$2:$I$2030),0)</f>
        <v/>
      </c>
      <c r="E33" s="3">
        <f>IFERROR(AGGREGATE(5,6,'Doğrudan Alım İşlemleri'!$B$2:$B$2030/('Doğrudan Alım İşlemleri'!$F$2:$F$2030=$A$33),1),"")</f>
        <v/>
      </c>
      <c r="F33" s="3">
        <f>IFERROR(AGGREGATE(14,6,'Doğrudan Alım İşlemleri'!$B$2:$B$2030/('Doğrudan Alım İşlemleri'!$F$2:$F$2030=$A$33),1),"")</f>
        <v/>
      </c>
      <c r="G33" s="3">
        <f>IFERROR(AGGREGATE(14,6,'Doğrudan Alım İşlemleri'!$E$2:$E$2030/('Doğrudan Alım İşlemleri'!$F$2:$F$2030=$A$33),1),"")</f>
        <v/>
      </c>
    </row>
    <row r="34">
      <c r="A34" s="15" t="inlineStr">
        <is>
          <t>TRD150217T18</t>
        </is>
      </c>
      <c r="B34" s="8">
        <f>IFERROR(COUNTIF('Doğrudan Alım İşlemleri'!$F$2:$F$2030,$A$34),0)</f>
        <v/>
      </c>
      <c r="C34" s="8">
        <f>IFERROR(SUMIF('Doğrudan Alım İşlemleri'!$F$2:$F$2030,$A$34,'Doğrudan Alım İşlemleri'!$H$2:$H$2030),0)</f>
        <v/>
      </c>
      <c r="D34" s="24">
        <f>IFERROR(SUMIF('Doğrudan Alım İşlemleri'!$F$2:$F$2030,$A$34,'Doğrudan Alım İşlemleri'!$I$2:$I$2030),0)</f>
        <v/>
      </c>
      <c r="E34" s="23">
        <f>IFERROR(AGGREGATE(5,6,'Doğrudan Alım İşlemleri'!$B$2:$B$2030/('Doğrudan Alım İşlemleri'!$F$2:$F$2030=$A$34),1),"")</f>
        <v/>
      </c>
      <c r="F34" s="23">
        <f>IFERROR(AGGREGATE(14,6,'Doğrudan Alım İşlemleri'!$B$2:$B$2030/('Doğrudan Alım İşlemleri'!$F$2:$F$2030=$A$34),1),"")</f>
        <v/>
      </c>
      <c r="G34" s="23">
        <f>IFERROR(AGGREGATE(14,6,'Doğrudan Alım İşlemleri'!$E$2:$E$2030/('Doğrudan Alım İşlemleri'!$F$2:$F$2030=$A$34),1),"")</f>
        <v/>
      </c>
    </row>
    <row r="35">
      <c r="A35" s="16" t="inlineStr">
        <is>
          <t>TRT020322T17</t>
        </is>
      </c>
      <c r="B35" s="11">
        <f>IFERROR(COUNTIF('Doğrudan Alım İşlemleri'!$F$2:$F$2030,$A$35),0)</f>
        <v/>
      </c>
      <c r="C35" s="11">
        <f>IFERROR(SUMIF('Doğrudan Alım İşlemleri'!$F$2:$F$2030,$A$35,'Doğrudan Alım İşlemleri'!$H$2:$H$2030),0)</f>
        <v/>
      </c>
      <c r="D35" s="13">
        <f>IFERROR(SUMIF('Doğrudan Alım İşlemleri'!$F$2:$F$2030,$A$35,'Doğrudan Alım İşlemleri'!$I$2:$I$2030),0)</f>
        <v/>
      </c>
      <c r="E35" s="3">
        <f>IFERROR(AGGREGATE(5,6,'Doğrudan Alım İşlemleri'!$B$2:$B$2030/('Doğrudan Alım İşlemleri'!$F$2:$F$2030=$A$35),1),"")</f>
        <v/>
      </c>
      <c r="F35" s="3">
        <f>IFERROR(AGGREGATE(14,6,'Doğrudan Alım İşlemleri'!$B$2:$B$2030/('Doğrudan Alım İşlemleri'!$F$2:$F$2030=$A$35),1),"")</f>
        <v/>
      </c>
      <c r="G35" s="3">
        <f>IFERROR(AGGREGATE(14,6,'Doğrudan Alım İşlemleri'!$E$2:$E$2030/('Doğrudan Alım İşlemleri'!$F$2:$F$2030=$A$35),1),"")</f>
        <v/>
      </c>
    </row>
    <row r="36">
      <c r="A36" s="15" t="inlineStr">
        <is>
          <t>TRT100730T13</t>
        </is>
      </c>
      <c r="B36" s="8">
        <f>IFERROR(COUNTIF('Doğrudan Alım İşlemleri'!$F$2:$F$2030,$A$36),0)</f>
        <v/>
      </c>
      <c r="C36" s="8">
        <f>IFERROR(SUMIF('Doğrudan Alım İşlemleri'!$F$2:$F$2030,$A$36,'Doğrudan Alım İşlemleri'!$H$2:$H$2030),0)</f>
        <v/>
      </c>
      <c r="D36" s="24">
        <f>IFERROR(SUMIF('Doğrudan Alım İşlemleri'!$F$2:$F$2030,$A$36,'Doğrudan Alım İşlemleri'!$I$2:$I$2030),0)</f>
        <v/>
      </c>
      <c r="E36" s="23">
        <f>IFERROR(AGGREGATE(5,6,'Doğrudan Alım İşlemleri'!$B$2:$B$2030/('Doğrudan Alım İşlemleri'!$F$2:$F$2030=$A$36),1),"")</f>
        <v/>
      </c>
      <c r="F36" s="23">
        <f>IFERROR(AGGREGATE(14,6,'Doğrudan Alım İşlemleri'!$B$2:$B$2030/('Doğrudan Alım İşlemleri'!$F$2:$F$2030=$A$36),1),"")</f>
        <v/>
      </c>
      <c r="G36" s="23">
        <f>IFERROR(AGGREGATE(14,6,'Doğrudan Alım İşlemleri'!$E$2:$E$2030/('Doğrudan Alım İşlemleri'!$F$2:$F$2030=$A$36),1),"")</f>
        <v/>
      </c>
    </row>
    <row r="37">
      <c r="A37" s="16" t="inlineStr">
        <is>
          <t>TRT180123T10</t>
        </is>
      </c>
      <c r="B37" s="11">
        <f>IFERROR(COUNTIF('Doğrudan Alım İşlemleri'!$F$2:$F$2030,$A$37),0)</f>
        <v/>
      </c>
      <c r="C37" s="11">
        <f>IFERROR(SUMIF('Doğrudan Alım İşlemleri'!$F$2:$F$2030,$A$37,'Doğrudan Alım İşlemleri'!$H$2:$H$2030),0)</f>
        <v/>
      </c>
      <c r="D37" s="13">
        <f>IFERROR(SUMIF('Doğrudan Alım İşlemleri'!$F$2:$F$2030,$A$37,'Doğrudan Alım İşlemleri'!$I$2:$I$2030),0)</f>
        <v/>
      </c>
      <c r="E37" s="3">
        <f>IFERROR(AGGREGATE(5,6,'Doğrudan Alım İşlemleri'!$B$2:$B$2030/('Doğrudan Alım İşlemleri'!$F$2:$F$2030=$A$37),1),"")</f>
        <v/>
      </c>
      <c r="F37" s="3">
        <f>IFERROR(AGGREGATE(14,6,'Doğrudan Alım İşlemleri'!$B$2:$B$2030/('Doğrudan Alım İşlemleri'!$F$2:$F$2030=$A$37),1),"")</f>
        <v/>
      </c>
      <c r="G37" s="3">
        <f>IFERROR(AGGREGATE(14,6,'Doğrudan Alım İşlemleri'!$E$2:$E$2030/('Doğrudan Alım İşlemleri'!$F$2:$F$2030=$A$37),1),"")</f>
        <v/>
      </c>
    </row>
    <row r="38">
      <c r="A38" s="15" t="inlineStr">
        <is>
          <t>TRT170822T15</t>
        </is>
      </c>
      <c r="B38" s="8">
        <f>IFERROR(COUNTIF('Doğrudan Alım İşlemleri'!$F$2:$F$2030,$A$38),0)</f>
        <v/>
      </c>
      <c r="C38" s="8">
        <f>IFERROR(SUMIF('Doğrudan Alım İşlemleri'!$F$2:$F$2030,$A$38,'Doğrudan Alım İşlemleri'!$H$2:$H$2030),0)</f>
        <v/>
      </c>
      <c r="D38" s="24">
        <f>IFERROR(SUMIF('Doğrudan Alım İşlemleri'!$F$2:$F$2030,$A$38,'Doğrudan Alım İşlemleri'!$I$2:$I$2030),0)</f>
        <v/>
      </c>
      <c r="E38" s="23">
        <f>IFERROR(AGGREGATE(5,6,'Doğrudan Alım İşlemleri'!$B$2:$B$2030/('Doğrudan Alım İşlemleri'!$F$2:$F$2030=$A$38),1),"")</f>
        <v/>
      </c>
      <c r="F38" s="23">
        <f>IFERROR(AGGREGATE(14,6,'Doğrudan Alım İşlemleri'!$B$2:$B$2030/('Doğrudan Alım İşlemleri'!$F$2:$F$2030=$A$38),1),"")</f>
        <v/>
      </c>
      <c r="G38" s="23">
        <f>IFERROR(AGGREGATE(14,6,'Doğrudan Alım İşlemleri'!$E$2:$E$2030/('Doğrudan Alım İşlemleri'!$F$2:$F$2030=$A$38),1),"")</f>
        <v/>
      </c>
    </row>
    <row r="39">
      <c r="A39" s="16" t="inlineStr">
        <is>
          <t>TRT050624T19</t>
        </is>
      </c>
      <c r="B39" s="11">
        <f>IFERROR(COUNTIF('Doğrudan Alım İşlemleri'!$F$2:$F$2030,$A$39),0)</f>
        <v/>
      </c>
      <c r="C39" s="11">
        <f>IFERROR(SUMIF('Doğrudan Alım İşlemleri'!$F$2:$F$2030,$A$39,'Doğrudan Alım İşlemleri'!$H$2:$H$2030),0)</f>
        <v/>
      </c>
      <c r="D39" s="13">
        <f>IFERROR(SUMIF('Doğrudan Alım İşlemleri'!$F$2:$F$2030,$A$39,'Doğrudan Alım İşlemleri'!$I$2:$I$2030),0)</f>
        <v/>
      </c>
      <c r="E39" s="3">
        <f>IFERROR(AGGREGATE(5,6,'Doğrudan Alım İşlemleri'!$B$2:$B$2030/('Doğrudan Alım İşlemleri'!$F$2:$F$2030=$A$39),1),"")</f>
        <v/>
      </c>
      <c r="F39" s="3">
        <f>IFERROR(AGGREGATE(14,6,'Doğrudan Alım İşlemleri'!$B$2:$B$2030/('Doğrudan Alım İşlemleri'!$F$2:$F$2030=$A$39),1),"")</f>
        <v/>
      </c>
      <c r="G39" s="3">
        <f>IFERROR(AGGREGATE(14,6,'Doğrudan Alım İşlemleri'!$E$2:$E$2030/('Doğrudan Alım İşlemleri'!$F$2:$F$2030=$A$39),1),"")</f>
        <v/>
      </c>
    </row>
    <row r="40">
      <c r="A40" s="15" t="inlineStr">
        <is>
          <t>TRT170221T12</t>
        </is>
      </c>
      <c r="B40" s="8">
        <f>IFERROR(COUNTIF('Doğrudan Alım İşlemleri'!$F$2:$F$2030,$A$40),0)</f>
        <v/>
      </c>
      <c r="C40" s="8">
        <f>IFERROR(SUMIF('Doğrudan Alım İşlemleri'!$F$2:$F$2030,$A$40,'Doğrudan Alım İşlemleri'!$H$2:$H$2030),0)</f>
        <v/>
      </c>
      <c r="D40" s="24">
        <f>IFERROR(SUMIF('Doğrudan Alım İşlemleri'!$F$2:$F$2030,$A$40,'Doğrudan Alım İşlemleri'!$I$2:$I$2030),0)</f>
        <v/>
      </c>
      <c r="E40" s="23">
        <f>IFERROR(AGGREGATE(5,6,'Doğrudan Alım İşlemleri'!$B$2:$B$2030/('Doğrudan Alım İşlemleri'!$F$2:$F$2030=$A$40),1),"")</f>
        <v/>
      </c>
      <c r="F40" s="23">
        <f>IFERROR(AGGREGATE(14,6,'Doğrudan Alım İşlemleri'!$B$2:$B$2030/('Doğrudan Alım İşlemleri'!$F$2:$F$2030=$A$40),1),"")</f>
        <v/>
      </c>
      <c r="G40" s="23">
        <f>IFERROR(AGGREGATE(14,6,'Doğrudan Alım İşlemleri'!$E$2:$E$2030/('Doğrudan Alım İşlemleri'!$F$2:$F$2030=$A$40),1),"")</f>
        <v/>
      </c>
    </row>
    <row r="41">
      <c r="A41" s="16" t="inlineStr">
        <is>
          <t>TRT041224T12</t>
        </is>
      </c>
      <c r="B41" s="11">
        <f>IFERROR(COUNTIF('Doğrudan Alım İşlemleri'!$F$2:$F$2030,$A$41),0)</f>
        <v/>
      </c>
      <c r="C41" s="11">
        <f>IFERROR(SUMIF('Doğrudan Alım İşlemleri'!$F$2:$F$2030,$A$41,'Doğrudan Alım İşlemleri'!$H$2:$H$2030),0)</f>
        <v/>
      </c>
      <c r="D41" s="13">
        <f>IFERROR(SUMIF('Doğrudan Alım İşlemleri'!$F$2:$F$2030,$A$41,'Doğrudan Alım İşlemleri'!$I$2:$I$2030),0)</f>
        <v/>
      </c>
      <c r="E41" s="3">
        <f>IFERROR(AGGREGATE(5,6,'Doğrudan Alım İşlemleri'!$B$2:$B$2030/('Doğrudan Alım İşlemleri'!$F$2:$F$2030=$A$41),1),"")</f>
        <v/>
      </c>
      <c r="F41" s="3">
        <f>IFERROR(AGGREGATE(14,6,'Doğrudan Alım İşlemleri'!$B$2:$B$2030/('Doğrudan Alım İşlemleri'!$F$2:$F$2030=$A$41),1),"")</f>
        <v/>
      </c>
      <c r="G41" s="3">
        <f>IFERROR(AGGREGATE(14,6,'Doğrudan Alım İşlemleri'!$E$2:$E$2030/('Doğrudan Alım İşlemleri'!$F$2:$F$2030=$A$41),1),"")</f>
        <v/>
      </c>
    </row>
    <row r="42">
      <c r="A42" s="15" t="inlineStr">
        <is>
          <t>TRT270116T18</t>
        </is>
      </c>
      <c r="B42" s="8">
        <f>IFERROR(COUNTIF('Doğrudan Alım İşlemleri'!$F$2:$F$2030,$A$42),0)</f>
        <v/>
      </c>
      <c r="C42" s="8">
        <f>IFERROR(SUMIF('Doğrudan Alım İşlemleri'!$F$2:$F$2030,$A$42,'Doğrudan Alım İşlemleri'!$H$2:$H$2030),0)</f>
        <v/>
      </c>
      <c r="D42" s="24">
        <f>IFERROR(SUMIF('Doğrudan Alım İşlemleri'!$F$2:$F$2030,$A$42,'Doğrudan Alım İşlemleri'!$I$2:$I$2030),0)</f>
        <v/>
      </c>
      <c r="E42" s="23">
        <f>IFERROR(AGGREGATE(5,6,'Doğrudan Alım İşlemleri'!$B$2:$B$2030/('Doğrudan Alım İşlemleri'!$F$2:$F$2030=$A$42),1),"")</f>
        <v/>
      </c>
      <c r="F42" s="23">
        <f>IFERROR(AGGREGATE(14,6,'Doğrudan Alım İşlemleri'!$B$2:$B$2030/('Doğrudan Alım İşlemleri'!$F$2:$F$2030=$A$42),1),"")</f>
        <v/>
      </c>
      <c r="G42" s="23">
        <f>IFERROR(AGGREGATE(14,6,'Doğrudan Alım İşlemleri'!$E$2:$E$2030/('Doğrudan Alım İşlemleri'!$F$2:$F$2030=$A$42),1),"")</f>
        <v/>
      </c>
    </row>
    <row r="43">
      <c r="A43" s="16" t="inlineStr">
        <is>
          <t>TRT120122T17</t>
        </is>
      </c>
      <c r="B43" s="11">
        <f>IFERROR(COUNTIF('Doğrudan Alım İşlemleri'!$F$2:$F$2030,$A$43),0)</f>
        <v/>
      </c>
      <c r="C43" s="11">
        <f>IFERROR(SUMIF('Doğrudan Alım İşlemleri'!$F$2:$F$2030,$A$43,'Doğrudan Alım İşlemleri'!$H$2:$H$2030),0)</f>
        <v/>
      </c>
      <c r="D43" s="13">
        <f>IFERROR(SUMIF('Doğrudan Alım İşlemleri'!$F$2:$F$2030,$A$43,'Doğrudan Alım İşlemleri'!$I$2:$I$2030),0)</f>
        <v/>
      </c>
      <c r="E43" s="3">
        <f>IFERROR(AGGREGATE(5,6,'Doğrudan Alım İşlemleri'!$B$2:$B$2030/('Doğrudan Alım İşlemleri'!$F$2:$F$2030=$A$43),1),"")</f>
        <v/>
      </c>
      <c r="F43" s="3">
        <f>IFERROR(AGGREGATE(14,6,'Doğrudan Alım İşlemleri'!$B$2:$B$2030/('Doğrudan Alım İşlemleri'!$F$2:$F$2030=$A$43),1),"")</f>
        <v/>
      </c>
      <c r="G43" s="3">
        <f>IFERROR(AGGREGATE(14,6,'Doğrudan Alım İşlemleri'!$E$2:$E$2030/('Doğrudan Alım İşlemleri'!$F$2:$F$2030=$A$43),1),"")</f>
        <v/>
      </c>
    </row>
    <row r="44">
      <c r="A44" s="15" t="inlineStr">
        <is>
          <t>TRT050935T13</t>
        </is>
      </c>
      <c r="B44" s="8">
        <f>IFERROR(COUNTIF('Doğrudan Alım İşlemleri'!$F$2:$F$2030,$A$44),0)</f>
        <v/>
      </c>
      <c r="C44" s="8">
        <f>IFERROR(SUMIF('Doğrudan Alım İşlemleri'!$F$2:$F$2030,$A$44,'Doğrudan Alım İşlemleri'!$H$2:$H$2030),0)</f>
        <v/>
      </c>
      <c r="D44" s="24">
        <f>IFERROR(SUMIF('Doğrudan Alım İşlemleri'!$F$2:$F$2030,$A$44,'Doğrudan Alım İşlemleri'!$I$2:$I$2030),0)</f>
        <v/>
      </c>
      <c r="E44" s="23">
        <f>IFERROR(AGGREGATE(5,6,'Doğrudan Alım İşlemleri'!$B$2:$B$2030/('Doğrudan Alım İşlemleri'!$F$2:$F$2030=$A$44),1),"")</f>
        <v/>
      </c>
      <c r="F44" s="23">
        <f>IFERROR(AGGREGATE(14,6,'Doğrudan Alım İşlemleri'!$B$2:$B$2030/('Doğrudan Alım İşlemleri'!$F$2:$F$2030=$A$44),1),"")</f>
        <v/>
      </c>
      <c r="G44" s="23">
        <f>IFERROR(AGGREGATE(14,6,'Doğrudan Alım İşlemleri'!$E$2:$E$2030/('Doğrudan Alım İşlemleri'!$F$2:$F$2030=$A$44),1),"")</f>
        <v/>
      </c>
    </row>
    <row r="45">
      <c r="A45" s="16" t="inlineStr">
        <is>
          <t>TRD280916T17</t>
        </is>
      </c>
      <c r="B45" s="11">
        <f>IFERROR(COUNTIF('Doğrudan Alım İşlemleri'!$F$2:$F$2030,$A$45),0)</f>
        <v/>
      </c>
      <c r="C45" s="11">
        <f>IFERROR(SUMIF('Doğrudan Alım İşlemleri'!$F$2:$F$2030,$A$45,'Doğrudan Alım İşlemleri'!$H$2:$H$2030),0)</f>
        <v/>
      </c>
      <c r="D45" s="13">
        <f>IFERROR(SUMIF('Doğrudan Alım İşlemleri'!$F$2:$F$2030,$A$45,'Doğrudan Alım İşlemleri'!$I$2:$I$2030),0)</f>
        <v/>
      </c>
      <c r="E45" s="3">
        <f>IFERROR(AGGREGATE(5,6,'Doğrudan Alım İşlemleri'!$B$2:$B$2030/('Doğrudan Alım İşlemleri'!$F$2:$F$2030=$A$45),1),"")</f>
        <v/>
      </c>
      <c r="F45" s="3">
        <f>IFERROR(AGGREGATE(14,6,'Doğrudan Alım İşlemleri'!$B$2:$B$2030/('Doğrudan Alım İşlemleri'!$F$2:$F$2030=$A$45),1),"")</f>
        <v/>
      </c>
      <c r="G45" s="3">
        <f>IFERROR(AGGREGATE(14,6,'Doğrudan Alım İşlemleri'!$E$2:$E$2030/('Doğrudan Alım İşlemleri'!$F$2:$F$2030=$A$45),1),"")</f>
        <v/>
      </c>
    </row>
    <row r="46">
      <c r="A46" s="15" t="inlineStr">
        <is>
          <t>TRT270934T18</t>
        </is>
      </c>
      <c r="B46" s="8">
        <f>IFERROR(COUNTIF('Doğrudan Alım İşlemleri'!$F$2:$F$2030,$A$46),0)</f>
        <v/>
      </c>
      <c r="C46" s="8">
        <f>IFERROR(SUMIF('Doğrudan Alım İşlemleri'!$F$2:$F$2030,$A$46,'Doğrudan Alım İşlemleri'!$H$2:$H$2030),0)</f>
        <v/>
      </c>
      <c r="D46" s="24">
        <f>IFERROR(SUMIF('Doğrudan Alım İşlemleri'!$F$2:$F$2030,$A$46,'Doğrudan Alım İşlemleri'!$I$2:$I$2030),0)</f>
        <v/>
      </c>
      <c r="E46" s="23">
        <f>IFERROR(AGGREGATE(5,6,'Doğrudan Alım İşlemleri'!$B$2:$B$2030/('Doğrudan Alım İşlemleri'!$F$2:$F$2030=$A$46),1),"")</f>
        <v/>
      </c>
      <c r="F46" s="23">
        <f>IFERROR(AGGREGATE(14,6,'Doğrudan Alım İşlemleri'!$B$2:$B$2030/('Doğrudan Alım İşlemleri'!$F$2:$F$2030=$A$46),1),"")</f>
        <v/>
      </c>
      <c r="G46" s="23">
        <f>IFERROR(AGGREGATE(14,6,'Doğrudan Alım İşlemleri'!$E$2:$E$2030/('Doğrudan Alım İşlemleri'!$F$2:$F$2030=$A$46),1),"")</f>
        <v/>
      </c>
    </row>
    <row r="47">
      <c r="A47" s="16" t="inlineStr">
        <is>
          <t>TRT240914T15</t>
        </is>
      </c>
      <c r="B47" s="11">
        <f>IFERROR(COUNTIF('Doğrudan Alım İşlemleri'!$F$2:$F$2030,$A$47),0)</f>
        <v/>
      </c>
      <c r="C47" s="11">
        <f>IFERROR(SUMIF('Doğrudan Alım İşlemleri'!$F$2:$F$2030,$A$47,'Doğrudan Alım İşlemleri'!$H$2:$H$2030),0)</f>
        <v/>
      </c>
      <c r="D47" s="13">
        <f>IFERROR(SUMIF('Doğrudan Alım İşlemleri'!$F$2:$F$2030,$A$47,'Doğrudan Alım İşlemleri'!$I$2:$I$2030),0)</f>
        <v/>
      </c>
      <c r="E47" s="3">
        <f>IFERROR(AGGREGATE(5,6,'Doğrudan Alım İşlemleri'!$B$2:$B$2030/('Doğrudan Alım İşlemleri'!$F$2:$F$2030=$A$47),1),"")</f>
        <v/>
      </c>
      <c r="F47" s="3">
        <f>IFERROR(AGGREGATE(14,6,'Doğrudan Alım İşlemleri'!$B$2:$B$2030/('Doğrudan Alım İşlemleri'!$F$2:$F$2030=$A$47),1),"")</f>
        <v/>
      </c>
      <c r="G47" s="3">
        <f>IFERROR(AGGREGATE(14,6,'Doğrudan Alım İşlemleri'!$E$2:$E$2030/('Doğrudan Alım İşlemleri'!$F$2:$F$2030=$A$47),1),"")</f>
        <v/>
      </c>
    </row>
    <row r="48">
      <c r="A48" s="15" t="inlineStr">
        <is>
          <t>TRT080317T18</t>
        </is>
      </c>
      <c r="B48" s="8">
        <f>IFERROR(COUNTIF('Doğrudan Alım İşlemleri'!$F$2:$F$2030,$A$48),0)</f>
        <v/>
      </c>
      <c r="C48" s="8">
        <f>IFERROR(SUMIF('Doğrudan Alım İşlemleri'!$F$2:$F$2030,$A$48,'Doğrudan Alım İşlemleri'!$H$2:$H$2030),0)</f>
        <v/>
      </c>
      <c r="D48" s="24">
        <f>IFERROR(SUMIF('Doğrudan Alım İşlemleri'!$F$2:$F$2030,$A$48,'Doğrudan Alım İşlemleri'!$I$2:$I$2030),0)</f>
        <v/>
      </c>
      <c r="E48" s="23">
        <f>IFERROR(AGGREGATE(5,6,'Doğrudan Alım İşlemleri'!$B$2:$B$2030/('Doğrudan Alım İşlemleri'!$F$2:$F$2030=$A$48),1),"")</f>
        <v/>
      </c>
      <c r="F48" s="23">
        <f>IFERROR(AGGREGATE(14,6,'Doğrudan Alım İşlemleri'!$B$2:$B$2030/('Doğrudan Alım İşlemleri'!$F$2:$F$2030=$A$48),1),"")</f>
        <v/>
      </c>
      <c r="G48" s="23">
        <f>IFERROR(AGGREGATE(14,6,'Doğrudan Alım İşlemleri'!$E$2:$E$2030/('Doğrudan Alım İşlemleri'!$F$2:$F$2030=$A$48),1),"")</f>
        <v/>
      </c>
    </row>
    <row r="49">
      <c r="A49" s="16" t="inlineStr">
        <is>
          <t>TRT160228T16</t>
        </is>
      </c>
      <c r="B49" s="11">
        <f>IFERROR(COUNTIF('Doğrudan Alım İşlemleri'!$F$2:$F$2030,$A$49),0)</f>
        <v/>
      </c>
      <c r="C49" s="11">
        <f>IFERROR(SUMIF('Doğrudan Alım İşlemleri'!$F$2:$F$2030,$A$49,'Doğrudan Alım İşlemleri'!$H$2:$H$2030),0)</f>
        <v/>
      </c>
      <c r="D49" s="13">
        <f>IFERROR(SUMIF('Doğrudan Alım İşlemleri'!$F$2:$F$2030,$A$49,'Doğrudan Alım İşlemleri'!$I$2:$I$2030),0)</f>
        <v/>
      </c>
      <c r="E49" s="3">
        <f>IFERROR(AGGREGATE(5,6,'Doğrudan Alım İşlemleri'!$B$2:$B$2030/('Doğrudan Alım İşlemleri'!$F$2:$F$2030=$A$49),1),"")</f>
        <v/>
      </c>
      <c r="F49" s="3">
        <f>IFERROR(AGGREGATE(14,6,'Doğrudan Alım İşlemleri'!$B$2:$B$2030/('Doğrudan Alım İşlemleri'!$F$2:$F$2030=$A$49),1),"")</f>
        <v/>
      </c>
      <c r="G49" s="3">
        <f>IFERROR(AGGREGATE(14,6,'Doğrudan Alım İşlemleri'!$E$2:$E$2030/('Doğrudan Alım İşlemleri'!$F$2:$F$2030=$A$49),1),"")</f>
        <v/>
      </c>
    </row>
    <row r="50">
      <c r="A50" s="15" t="inlineStr">
        <is>
          <t>TRT021030T18</t>
        </is>
      </c>
      <c r="B50" s="8">
        <f>IFERROR(COUNTIF('Doğrudan Alım İşlemleri'!$F$2:$F$2030,$A$50),0)</f>
        <v/>
      </c>
      <c r="C50" s="8">
        <f>IFERROR(SUMIF('Doğrudan Alım İşlemleri'!$F$2:$F$2030,$A$50,'Doğrudan Alım İşlemleri'!$H$2:$H$2030),0)</f>
        <v/>
      </c>
      <c r="D50" s="24">
        <f>IFERROR(SUMIF('Doğrudan Alım İşlemleri'!$F$2:$F$2030,$A$50,'Doğrudan Alım İşlemleri'!$I$2:$I$2030),0)</f>
        <v/>
      </c>
      <c r="E50" s="23">
        <f>IFERROR(AGGREGATE(5,6,'Doğrudan Alım İşlemleri'!$B$2:$B$2030/('Doğrudan Alım İşlemleri'!$F$2:$F$2030=$A$50),1),"")</f>
        <v/>
      </c>
      <c r="F50" s="23">
        <f>IFERROR(AGGREGATE(14,6,'Doğrudan Alım İşlemleri'!$B$2:$B$2030/('Doğrudan Alım İşlemleri'!$F$2:$F$2030=$A$50),1),"")</f>
        <v/>
      </c>
      <c r="G50" s="23">
        <f>IFERROR(AGGREGATE(14,6,'Doğrudan Alım İşlemleri'!$E$2:$E$2030/('Doğrudan Alım İşlemleri'!$F$2:$F$2030=$A$50),1),"")</f>
        <v/>
      </c>
    </row>
    <row r="51">
      <c r="A51" s="16" t="inlineStr">
        <is>
          <t>TRT170615T16</t>
        </is>
      </c>
      <c r="B51" s="11">
        <f>IFERROR(COUNTIF('Doğrudan Alım İşlemleri'!$F$2:$F$2030,$A$51),0)</f>
        <v/>
      </c>
      <c r="C51" s="11">
        <f>IFERROR(SUMIF('Doğrudan Alım İşlemleri'!$F$2:$F$2030,$A$51,'Doğrudan Alım İşlemleri'!$H$2:$H$2030),0)</f>
        <v/>
      </c>
      <c r="D51" s="13">
        <f>IFERROR(SUMIF('Doğrudan Alım İşlemleri'!$F$2:$F$2030,$A$51,'Doğrudan Alım İşlemleri'!$I$2:$I$2030),0)</f>
        <v/>
      </c>
      <c r="E51" s="3">
        <f>IFERROR(AGGREGATE(5,6,'Doğrudan Alım İşlemleri'!$B$2:$B$2030/('Doğrudan Alım İşlemleri'!$F$2:$F$2030=$A$51),1),"")</f>
        <v/>
      </c>
      <c r="F51" s="3">
        <f>IFERROR(AGGREGATE(14,6,'Doğrudan Alım İşlemleri'!$B$2:$B$2030/('Doğrudan Alım İşlemleri'!$F$2:$F$2030=$A$51),1),"")</f>
        <v/>
      </c>
      <c r="G51" s="3">
        <f>IFERROR(AGGREGATE(14,6,'Doğrudan Alım İşlemleri'!$E$2:$E$2030/('Doğrudan Alım İşlemleri'!$F$2:$F$2030=$A$51),1),"")</f>
        <v/>
      </c>
    </row>
    <row r="52">
      <c r="A52" s="15" t="inlineStr">
        <is>
          <t>TRT150513T11</t>
        </is>
      </c>
      <c r="B52" s="8">
        <f>IFERROR(COUNTIF('Doğrudan Alım İşlemleri'!$F$2:$F$2030,$A$52),0)</f>
        <v/>
      </c>
      <c r="C52" s="8">
        <f>IFERROR(SUMIF('Doğrudan Alım İşlemleri'!$F$2:$F$2030,$A$52,'Doğrudan Alım İşlemleri'!$H$2:$H$2030),0)</f>
        <v/>
      </c>
      <c r="D52" s="24">
        <f>IFERROR(SUMIF('Doğrudan Alım İşlemleri'!$F$2:$F$2030,$A$52,'Doğrudan Alım İşlemleri'!$I$2:$I$2030),0)</f>
        <v/>
      </c>
      <c r="E52" s="23">
        <f>IFERROR(AGGREGATE(5,6,'Doğrudan Alım İşlemleri'!$B$2:$B$2030/('Doğrudan Alım İşlemleri'!$F$2:$F$2030=$A$52),1),"")</f>
        <v/>
      </c>
      <c r="F52" s="23">
        <f>IFERROR(AGGREGATE(14,6,'Doğrudan Alım İşlemleri'!$B$2:$B$2030/('Doğrudan Alım İşlemleri'!$F$2:$F$2030=$A$52),1),"")</f>
        <v/>
      </c>
      <c r="G52" s="23">
        <f>IFERROR(AGGREGATE(14,6,'Doğrudan Alım İşlemleri'!$E$2:$E$2030/('Doğrudan Alım İşlemleri'!$F$2:$F$2030=$A$52),1),"")</f>
        <v/>
      </c>
    </row>
    <row r="53">
      <c r="A53" s="16" t="inlineStr">
        <is>
          <t>TRT050314T14</t>
        </is>
      </c>
      <c r="B53" s="11">
        <f>IFERROR(COUNTIF('Doğrudan Alım İşlemleri'!$F$2:$F$2030,$A$53),0)</f>
        <v/>
      </c>
      <c r="C53" s="11">
        <f>IFERROR(SUMIF('Doğrudan Alım İşlemleri'!$F$2:$F$2030,$A$53,'Doğrudan Alım İşlemleri'!$H$2:$H$2030),0)</f>
        <v/>
      </c>
      <c r="D53" s="13">
        <f>IFERROR(SUMIF('Doğrudan Alım İşlemleri'!$F$2:$F$2030,$A$53,'Doğrudan Alım İşlemleri'!$I$2:$I$2030),0)</f>
        <v/>
      </c>
      <c r="E53" s="3">
        <f>IFERROR(AGGREGATE(5,6,'Doğrudan Alım İşlemleri'!$B$2:$B$2030/('Doğrudan Alım İşlemleri'!$F$2:$F$2030=$A$53),1),"")</f>
        <v/>
      </c>
      <c r="F53" s="3">
        <f>IFERROR(AGGREGATE(14,6,'Doğrudan Alım İşlemleri'!$B$2:$B$2030/('Doğrudan Alım İşlemleri'!$F$2:$F$2030=$A$53),1),"")</f>
        <v/>
      </c>
      <c r="G53" s="3">
        <f>IFERROR(AGGREGATE(14,6,'Doğrudan Alım İşlemleri'!$E$2:$E$2030/('Doğrudan Alım İşlemleri'!$F$2:$F$2030=$A$53),1),"")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İşlemleri'!$B$2:$B$2030)=$A$4)*(MONTH('Doğrudan Alım İşlemleri'!$B$2:$B$2030)=$B$4)*1)</f>
        <v/>
      </c>
      <c r="D4" s="8">
        <f>SUMPRODUCT((YEAR('Doğrudan Alım İşlemleri'!$B$2:$B$2030)=$A$4)*(MONTH('Doğrudan Alım İşlemleri'!$B$2:$B$2030)=$B$4)*('Doğrudan Alım İşlemleri'!$H$2:$H$2030&lt;&gt;"")*'Doğrudan Alım İşlemleri'!$H$2:$H$2030)</f>
        <v/>
      </c>
      <c r="E4" s="24">
        <f>IFERROR(SUMPRODUCT((YEAR('Doğrudan Alım İşlemleri'!$B$2:$B$2030)=$A$4)*(MONTH('Doğrudan Alım İşlemleri'!$B$2:$B$2030)=$B$4)*ISNUMBER('Doğrudan Alım İşlemleri'!$K$2:$K$2030)*'Doğrudan Alım İşlemleri'!$K$2:$K$2030*('Doğrudan Alım İşlemleri'!$H$2:$H$2030&lt;&gt;"")*'Doğrudan Alım İşlemleri'!$H$2:$H$2030)/D4,"")</f>
        <v/>
      </c>
      <c r="F4" s="24">
        <f>IFERROR(SUMPRODUCT((YEAR('Doğrudan Alım İşlemleri'!$B$2:$B$2030)=$A$4)*(MONTH('Doğrudan Alım İşlemleri'!$B$2:$B$2030)=$B$4)*ISNUMBER('Doğrudan Alım İşlemleri'!$N$2:$N$2030)*'Doğrudan Alım İşlemleri'!$N$2:$N$2030*('Doğrudan Alım İşlemleri'!$H$2:$H$2030&lt;&gt;"")*'Doğrudan Alım İşlemleri'!$H$2:$H$2030)/D4,"")</f>
        <v/>
      </c>
    </row>
    <row r="5">
      <c r="A5" s="16" t="n">
        <v>2010</v>
      </c>
      <c r="B5" s="25" t="n">
        <v>1</v>
      </c>
      <c r="C5" s="11">
        <f>SUMPRODUCT((YEAR('Doğrudan Alım İşlemleri'!$B$2:$B$2030)=$A$5)*(MONTH('Doğrudan Alım İşlemleri'!$B$2:$B$2030)=$B$5)*1)</f>
        <v/>
      </c>
      <c r="D5" s="11">
        <f>SUMPRODUCT((YEAR('Doğrudan Alım İşlemleri'!$B$2:$B$2030)=$A$5)*(MONTH('Doğrudan Alım İşlemleri'!$B$2:$B$2030)=$B$5)*('Doğrudan Alım İşlemleri'!$H$2:$H$2030&lt;&gt;"")*'Doğrudan Alım İşlemleri'!$H$2:$H$2030)</f>
        <v/>
      </c>
      <c r="E5" s="13">
        <f>IFERROR(SUMPRODUCT((YEAR('Doğrudan Alım İşlemleri'!$B$2:$B$2030)=$A$5)*(MONTH('Doğrudan Alım İşlemleri'!$B$2:$B$2030)=$B$5)*ISNUMBER('Doğrudan Alım İşlemleri'!$K$2:$K$2030)*'Doğrudan Alım İşlemleri'!$K$2:$K$2030*('Doğrudan Alım İşlemleri'!$H$2:$H$2030&lt;&gt;"")*'Doğrudan Alım İşlemleri'!$H$2:$H$2030)/D5,"")</f>
        <v/>
      </c>
      <c r="F5" s="13">
        <f>IFERROR(SUMPRODUCT((YEAR('Doğrudan Alım İşlemleri'!$B$2:$B$2030)=$A$5)*(MONTH('Doğrudan Alım İşlemleri'!$B$2:$B$2030)=$B$5)*ISNUMBER('Doğrudan Alım İşlemleri'!$N$2:$N$2030)*'Doğrudan Alım İşlemleri'!$N$2:$N$2030*('Doğrudan Alım İşlemleri'!$H$2:$H$2030&lt;&gt;"")*'Doğrudan Alım İşlemleri'!$H$2:$H$2030)/D5,"")</f>
        <v/>
      </c>
    </row>
    <row r="6">
      <c r="A6" s="15" t="n">
        <v>2010</v>
      </c>
      <c r="B6" s="22" t="n">
        <v>2</v>
      </c>
      <c r="C6" s="8">
        <f>SUMPRODUCT((YEAR('Doğrudan Alım İşlemleri'!$B$2:$B$2030)=$A$6)*(MONTH('Doğrudan Alım İşlemleri'!$B$2:$B$2030)=$B$6)*1)</f>
        <v/>
      </c>
      <c r="D6" s="8">
        <f>SUMPRODUCT((YEAR('Doğrudan Alım İşlemleri'!$B$2:$B$2030)=$A$6)*(MONTH('Doğrudan Alım İşlemleri'!$B$2:$B$2030)=$B$6)*('Doğrudan Alım İşlemleri'!$H$2:$H$2030&lt;&gt;"")*'Doğrudan Alım İşlemleri'!$H$2:$H$2030)</f>
        <v/>
      </c>
      <c r="E6" s="24">
        <f>IFERROR(SUMPRODUCT((YEAR('Doğrudan Alım İşlemleri'!$B$2:$B$2030)=$A$6)*(MONTH('Doğrudan Alım İşlemleri'!$B$2:$B$2030)=$B$6)*ISNUMBER('Doğrudan Alım İşlemleri'!$K$2:$K$2030)*'Doğrudan Alım İşlemleri'!$K$2:$K$2030*('Doğrudan Alım İşlemleri'!$H$2:$H$2030&lt;&gt;"")*'Doğrudan Alım İşlemleri'!$H$2:$H$2030)/D6,"")</f>
        <v/>
      </c>
      <c r="F6" s="24">
        <f>IFERROR(SUMPRODUCT((YEAR('Doğrudan Alım İşlemleri'!$B$2:$B$2030)=$A$6)*(MONTH('Doğrudan Alım İşlemleri'!$B$2:$B$2030)=$B$6)*ISNUMBER('Doğrudan Alım İşlemleri'!$N$2:$N$2030)*'Doğrudan Alım İşlemleri'!$N$2:$N$2030*('Doğrudan Alım İşlemleri'!$H$2:$H$2030&lt;&gt;"")*'Doğrudan Alım İşlemleri'!$H$2:$H$2030)/D6,"")</f>
        <v/>
      </c>
    </row>
    <row r="7">
      <c r="A7" s="16" t="n">
        <v>2010</v>
      </c>
      <c r="B7" s="25" t="n">
        <v>3</v>
      </c>
      <c r="C7" s="11">
        <f>SUMPRODUCT((YEAR('Doğrudan Alım İşlemleri'!$B$2:$B$2030)=$A$7)*(MONTH('Doğrudan Alım İşlemleri'!$B$2:$B$2030)=$B$7)*1)</f>
        <v/>
      </c>
      <c r="D7" s="11">
        <f>SUMPRODUCT((YEAR('Doğrudan Alım İşlemleri'!$B$2:$B$2030)=$A$7)*(MONTH('Doğrudan Alım İşlemleri'!$B$2:$B$2030)=$B$7)*('Doğrudan Alım İşlemleri'!$H$2:$H$2030&lt;&gt;"")*'Doğrudan Alım İşlemleri'!$H$2:$H$2030)</f>
        <v/>
      </c>
      <c r="E7" s="13">
        <f>IFERROR(SUMPRODUCT((YEAR('Doğrudan Alım İşlemleri'!$B$2:$B$2030)=$A$7)*(MONTH('Doğrudan Alım İşlemleri'!$B$2:$B$2030)=$B$7)*ISNUMBER('Doğrudan Alım İşlemleri'!$K$2:$K$2030)*'Doğrudan Alım İşlemleri'!$K$2:$K$2030*('Doğrudan Alım İşlemleri'!$H$2:$H$2030&lt;&gt;"")*'Doğrudan Alım İşlemleri'!$H$2:$H$2030)/D7,"")</f>
        <v/>
      </c>
      <c r="F7" s="13">
        <f>IFERROR(SUMPRODUCT((YEAR('Doğrudan Alım İşlemleri'!$B$2:$B$2030)=$A$7)*(MONTH('Doğrudan Alım İşlemleri'!$B$2:$B$2030)=$B$7)*ISNUMBER('Doğrudan Alım İşlemleri'!$N$2:$N$2030)*'Doğrudan Alım İşlemleri'!$N$2:$N$2030*('Doğrudan Alım İşlemleri'!$H$2:$H$2030&lt;&gt;"")*'Doğrudan Alım İşlemleri'!$H$2:$H$2030)/D7,"")</f>
        <v/>
      </c>
    </row>
    <row r="8">
      <c r="A8" s="15" t="n">
        <v>2010</v>
      </c>
      <c r="B8" s="22" t="n">
        <v>4</v>
      </c>
      <c r="C8" s="8">
        <f>SUMPRODUCT((YEAR('Doğrudan Alım İşlemleri'!$B$2:$B$2030)=$A$8)*(MONTH('Doğrudan Alım İşlemleri'!$B$2:$B$2030)=$B$8)*1)</f>
        <v/>
      </c>
      <c r="D8" s="8">
        <f>SUMPRODUCT((YEAR('Doğrudan Alım İşlemleri'!$B$2:$B$2030)=$A$8)*(MONTH('Doğrudan Alım İşlemleri'!$B$2:$B$2030)=$B$8)*('Doğrudan Alım İşlemleri'!$H$2:$H$2030&lt;&gt;"")*'Doğrudan Alım İşlemleri'!$H$2:$H$2030)</f>
        <v/>
      </c>
      <c r="E8" s="24">
        <f>IFERROR(SUMPRODUCT((YEAR('Doğrudan Alım İşlemleri'!$B$2:$B$2030)=$A$8)*(MONTH('Doğrudan Alım İşlemleri'!$B$2:$B$2030)=$B$8)*ISNUMBER('Doğrudan Alım İşlemleri'!$K$2:$K$2030)*'Doğrudan Alım İşlemleri'!$K$2:$K$2030*('Doğrudan Alım İşlemleri'!$H$2:$H$2030&lt;&gt;"")*'Doğrudan Alım İşlemleri'!$H$2:$H$2030)/D8,"")</f>
        <v/>
      </c>
      <c r="F8" s="24">
        <f>IFERROR(SUMPRODUCT((YEAR('Doğrudan Alım İşlemleri'!$B$2:$B$2030)=$A$8)*(MONTH('Doğrudan Alım İşlemleri'!$B$2:$B$2030)=$B$8)*ISNUMBER('Doğrudan Alım İşlemleri'!$N$2:$N$2030)*'Doğrudan Alım İşlemleri'!$N$2:$N$2030*('Doğrudan Alım İşlemleri'!$H$2:$H$2030&lt;&gt;"")*'Doğrudan Alım İşlemleri'!$H$2:$H$2030)/D8,"")</f>
        <v/>
      </c>
    </row>
    <row r="9">
      <c r="A9" s="16" t="n">
        <v>2010</v>
      </c>
      <c r="B9" s="25" t="n">
        <v>5</v>
      </c>
      <c r="C9" s="11">
        <f>SUMPRODUCT((YEAR('Doğrudan Alım İşlemleri'!$B$2:$B$2030)=$A$9)*(MONTH('Doğrudan Alım İşlemleri'!$B$2:$B$2030)=$B$9)*1)</f>
        <v/>
      </c>
      <c r="D9" s="11">
        <f>SUMPRODUCT((YEAR('Doğrudan Alım İşlemleri'!$B$2:$B$2030)=$A$9)*(MONTH('Doğrudan Alım İşlemleri'!$B$2:$B$2030)=$B$9)*('Doğrudan Alım İşlemleri'!$H$2:$H$2030&lt;&gt;"")*'Doğrudan Alım İşlemleri'!$H$2:$H$2030)</f>
        <v/>
      </c>
      <c r="E9" s="13">
        <f>IFERROR(SUMPRODUCT((YEAR('Doğrudan Alım İşlemleri'!$B$2:$B$2030)=$A$9)*(MONTH('Doğrudan Alım İşlemleri'!$B$2:$B$2030)=$B$9)*ISNUMBER('Doğrudan Alım İşlemleri'!$K$2:$K$2030)*'Doğrudan Alım İşlemleri'!$K$2:$K$2030*('Doğrudan Alım İşlemleri'!$H$2:$H$2030&lt;&gt;"")*'Doğrudan Alım İşlemleri'!$H$2:$H$2030)/D9,"")</f>
        <v/>
      </c>
      <c r="F9" s="13">
        <f>IFERROR(SUMPRODUCT((YEAR('Doğrudan Alım İşlemleri'!$B$2:$B$2030)=$A$9)*(MONTH('Doğrudan Alım İşlemleri'!$B$2:$B$2030)=$B$9)*ISNUMBER('Doğrudan Alım İşlemleri'!$N$2:$N$2030)*'Doğrudan Alım İşlemleri'!$N$2:$N$2030*('Doğrudan Alım İşlemleri'!$H$2:$H$2030&lt;&gt;"")*'Doğrudan Alım İşlemleri'!$H$2:$H$2030)/D9,"")</f>
        <v/>
      </c>
    </row>
    <row r="10">
      <c r="A10" s="15" t="n">
        <v>2010</v>
      </c>
      <c r="B10" s="22" t="n">
        <v>6</v>
      </c>
      <c r="C10" s="8">
        <f>SUMPRODUCT((YEAR('Doğrudan Alım İşlemleri'!$B$2:$B$2030)=$A$10)*(MONTH('Doğrudan Alım İşlemleri'!$B$2:$B$2030)=$B$10)*1)</f>
        <v/>
      </c>
      <c r="D10" s="8">
        <f>SUMPRODUCT((YEAR('Doğrudan Alım İşlemleri'!$B$2:$B$2030)=$A$10)*(MONTH('Doğrudan Alım İşlemleri'!$B$2:$B$2030)=$B$10)*('Doğrudan Alım İşlemleri'!$H$2:$H$2030&lt;&gt;"")*'Doğrudan Alım İşlemleri'!$H$2:$H$2030)</f>
        <v/>
      </c>
      <c r="E10" s="24">
        <f>IFERROR(SUMPRODUCT((YEAR('Doğrudan Alım İşlemleri'!$B$2:$B$2030)=$A$10)*(MONTH('Doğrudan Alım İşlemleri'!$B$2:$B$2030)=$B$10)*ISNUMBER('Doğrudan Alım İşlemleri'!$K$2:$K$2030)*'Doğrudan Alım İşlemleri'!$K$2:$K$2030*('Doğrudan Alım İşlemleri'!$H$2:$H$2030&lt;&gt;"")*'Doğrudan Alım İşlemleri'!$H$2:$H$2030)/D10,"")</f>
        <v/>
      </c>
      <c r="F10" s="24">
        <f>IFERROR(SUMPRODUCT((YEAR('Doğrudan Alım İşlemleri'!$B$2:$B$2030)=$A$10)*(MONTH('Doğrudan Alım İşlemleri'!$B$2:$B$2030)=$B$10)*ISNUMBER('Doğrudan Alım İşlemleri'!$N$2:$N$2030)*'Doğrudan Alım İşlemleri'!$N$2:$N$2030*('Doğrudan Alım İşlemleri'!$H$2:$H$2030&lt;&gt;"")*'Doğrudan Alım İşlemleri'!$H$2:$H$2030)/D10,"")</f>
        <v/>
      </c>
    </row>
    <row r="11">
      <c r="A11" s="16" t="n">
        <v>2010</v>
      </c>
      <c r="B11" s="25" t="n">
        <v>7</v>
      </c>
      <c r="C11" s="11">
        <f>SUMPRODUCT((YEAR('Doğrudan Alım İşlemleri'!$B$2:$B$2030)=$A$11)*(MONTH('Doğrudan Alım İşlemleri'!$B$2:$B$2030)=$B$11)*1)</f>
        <v/>
      </c>
      <c r="D11" s="11">
        <f>SUMPRODUCT((YEAR('Doğrudan Alım İşlemleri'!$B$2:$B$2030)=$A$11)*(MONTH('Doğrudan Alım İşlemleri'!$B$2:$B$2030)=$B$11)*('Doğrudan Alım İşlemleri'!$H$2:$H$2030&lt;&gt;"")*'Doğrudan Alım İşlemleri'!$H$2:$H$2030)</f>
        <v/>
      </c>
      <c r="E11" s="13">
        <f>IFERROR(SUMPRODUCT((YEAR('Doğrudan Alım İşlemleri'!$B$2:$B$2030)=$A$11)*(MONTH('Doğrudan Alım İşlemleri'!$B$2:$B$2030)=$B$11)*ISNUMBER('Doğrudan Alım İşlemleri'!$K$2:$K$2030)*'Doğrudan Alım İşlemleri'!$K$2:$K$2030*('Doğrudan Alım İşlemleri'!$H$2:$H$2030&lt;&gt;"")*'Doğrudan Alım İşlemleri'!$H$2:$H$2030)/D11,"")</f>
        <v/>
      </c>
      <c r="F11" s="13">
        <f>IFERROR(SUMPRODUCT((YEAR('Doğrudan Alım İşlemleri'!$B$2:$B$2030)=$A$11)*(MONTH('Doğrudan Alım İşlemleri'!$B$2:$B$2030)=$B$11)*ISNUMBER('Doğrudan Alım İşlemleri'!$N$2:$N$2030)*'Doğrudan Alım İşlemleri'!$N$2:$N$2030*('Doğrudan Alım İşlemleri'!$H$2:$H$2030&lt;&gt;"")*'Doğrudan Alım İşlemleri'!$H$2:$H$2030)/D11,"")</f>
        <v/>
      </c>
    </row>
    <row r="12">
      <c r="A12" s="15" t="n">
        <v>2010</v>
      </c>
      <c r="B12" s="22" t="n">
        <v>8</v>
      </c>
      <c r="C12" s="8">
        <f>SUMPRODUCT((YEAR('Doğrudan Alım İşlemleri'!$B$2:$B$2030)=$A$12)*(MONTH('Doğrudan Alım İşlemleri'!$B$2:$B$2030)=$B$12)*1)</f>
        <v/>
      </c>
      <c r="D12" s="8">
        <f>SUMPRODUCT((YEAR('Doğrudan Alım İşlemleri'!$B$2:$B$2030)=$A$12)*(MONTH('Doğrudan Alım İşlemleri'!$B$2:$B$2030)=$B$12)*('Doğrudan Alım İşlemleri'!$H$2:$H$2030&lt;&gt;"")*'Doğrudan Alım İşlemleri'!$H$2:$H$2030)</f>
        <v/>
      </c>
      <c r="E12" s="24">
        <f>IFERROR(SUMPRODUCT((YEAR('Doğrudan Alım İşlemleri'!$B$2:$B$2030)=$A$12)*(MONTH('Doğrudan Alım İşlemleri'!$B$2:$B$2030)=$B$12)*ISNUMBER('Doğrudan Alım İşlemleri'!$K$2:$K$2030)*'Doğrudan Alım İşlemleri'!$K$2:$K$2030*('Doğrudan Alım İşlemleri'!$H$2:$H$2030&lt;&gt;"")*'Doğrudan Alım İşlemleri'!$H$2:$H$2030)/D12,"")</f>
        <v/>
      </c>
      <c r="F12" s="24">
        <f>IFERROR(SUMPRODUCT((YEAR('Doğrudan Alım İşlemleri'!$B$2:$B$2030)=$A$12)*(MONTH('Doğrudan Alım İşlemleri'!$B$2:$B$2030)=$B$12)*ISNUMBER('Doğrudan Alım İşlemleri'!$N$2:$N$2030)*'Doğrudan Alım İşlemleri'!$N$2:$N$2030*('Doğrudan Alım İşlemleri'!$H$2:$H$2030&lt;&gt;"")*'Doğrudan Alım İşlemleri'!$H$2:$H$2030)/D12,"")</f>
        <v/>
      </c>
    </row>
    <row r="13">
      <c r="A13" s="16" t="n">
        <v>2010</v>
      </c>
      <c r="B13" s="25" t="n">
        <v>9</v>
      </c>
      <c r="C13" s="11">
        <f>SUMPRODUCT((YEAR('Doğrudan Alım İşlemleri'!$B$2:$B$2030)=$A$13)*(MONTH('Doğrudan Alım İşlemleri'!$B$2:$B$2030)=$B$13)*1)</f>
        <v/>
      </c>
      <c r="D13" s="11">
        <f>SUMPRODUCT((YEAR('Doğrudan Alım İşlemleri'!$B$2:$B$2030)=$A$13)*(MONTH('Doğrudan Alım İşlemleri'!$B$2:$B$2030)=$B$13)*('Doğrudan Alım İşlemleri'!$H$2:$H$2030&lt;&gt;"")*'Doğrudan Alım İşlemleri'!$H$2:$H$2030)</f>
        <v/>
      </c>
      <c r="E13" s="13">
        <f>IFERROR(SUMPRODUCT((YEAR('Doğrudan Alım İşlemleri'!$B$2:$B$2030)=$A$13)*(MONTH('Doğrudan Alım İşlemleri'!$B$2:$B$2030)=$B$13)*ISNUMBER('Doğrudan Alım İşlemleri'!$K$2:$K$2030)*'Doğrudan Alım İşlemleri'!$K$2:$K$2030*('Doğrudan Alım İşlemleri'!$H$2:$H$2030&lt;&gt;"")*'Doğrudan Alım İşlemleri'!$H$2:$H$2030)/D13,"")</f>
        <v/>
      </c>
      <c r="F13" s="13">
        <f>IFERROR(SUMPRODUCT((YEAR('Doğrudan Alım İşlemleri'!$B$2:$B$2030)=$A$13)*(MONTH('Doğrudan Alım İşlemleri'!$B$2:$B$2030)=$B$13)*ISNUMBER('Doğrudan Alım İşlemleri'!$N$2:$N$2030)*'Doğrudan Alım İşlemleri'!$N$2:$N$2030*('Doğrudan Alım İşlemleri'!$H$2:$H$2030&lt;&gt;"")*'Doğrudan Alım İşlemleri'!$H$2:$H$2030)/D13,"")</f>
        <v/>
      </c>
    </row>
    <row r="14">
      <c r="A14" s="15" t="n">
        <v>2010</v>
      </c>
      <c r="B14" s="22" t="n">
        <v>10</v>
      </c>
      <c r="C14" s="8">
        <f>SUMPRODUCT((YEAR('Doğrudan Alım İşlemleri'!$B$2:$B$2030)=$A$14)*(MONTH('Doğrudan Alım İşlemleri'!$B$2:$B$2030)=$B$14)*1)</f>
        <v/>
      </c>
      <c r="D14" s="8">
        <f>SUMPRODUCT((YEAR('Doğrudan Alım İşlemleri'!$B$2:$B$2030)=$A$14)*(MONTH('Doğrudan Alım İşlemleri'!$B$2:$B$2030)=$B$14)*('Doğrudan Alım İşlemleri'!$H$2:$H$2030&lt;&gt;"")*'Doğrudan Alım İşlemleri'!$H$2:$H$2030)</f>
        <v/>
      </c>
      <c r="E14" s="24">
        <f>IFERROR(SUMPRODUCT((YEAR('Doğrudan Alım İşlemleri'!$B$2:$B$2030)=$A$14)*(MONTH('Doğrudan Alım İşlemleri'!$B$2:$B$2030)=$B$14)*ISNUMBER('Doğrudan Alım İşlemleri'!$K$2:$K$2030)*'Doğrudan Alım İşlemleri'!$K$2:$K$2030*('Doğrudan Alım İşlemleri'!$H$2:$H$2030&lt;&gt;"")*'Doğrudan Alım İşlemleri'!$H$2:$H$2030)/D14,"")</f>
        <v/>
      </c>
      <c r="F14" s="24">
        <f>IFERROR(SUMPRODUCT((YEAR('Doğrudan Alım İşlemleri'!$B$2:$B$2030)=$A$14)*(MONTH('Doğrudan Alım İşlemleri'!$B$2:$B$2030)=$B$14)*ISNUMBER('Doğrudan Alım İşlemleri'!$N$2:$N$2030)*'Doğrudan Alım İşlemleri'!$N$2:$N$2030*('Doğrudan Alım İşlemleri'!$H$2:$H$2030&lt;&gt;"")*'Doğrudan Alım İşlemleri'!$H$2:$H$2030)/D14,"")</f>
        <v/>
      </c>
    </row>
    <row r="15">
      <c r="A15" s="16" t="n">
        <v>2010</v>
      </c>
      <c r="B15" s="25" t="n">
        <v>11</v>
      </c>
      <c r="C15" s="11">
        <f>SUMPRODUCT((YEAR('Doğrudan Alım İşlemleri'!$B$2:$B$2030)=$A$15)*(MONTH('Doğrudan Alım İşlemleri'!$B$2:$B$2030)=$B$15)*1)</f>
        <v/>
      </c>
      <c r="D15" s="11">
        <f>SUMPRODUCT((YEAR('Doğrudan Alım İşlemleri'!$B$2:$B$2030)=$A$15)*(MONTH('Doğrudan Alım İşlemleri'!$B$2:$B$2030)=$B$15)*('Doğrudan Alım İşlemleri'!$H$2:$H$2030&lt;&gt;"")*'Doğrudan Alım İşlemleri'!$H$2:$H$2030)</f>
        <v/>
      </c>
      <c r="E15" s="13">
        <f>IFERROR(SUMPRODUCT((YEAR('Doğrudan Alım İşlemleri'!$B$2:$B$2030)=$A$15)*(MONTH('Doğrudan Alım İşlemleri'!$B$2:$B$2030)=$B$15)*ISNUMBER('Doğrudan Alım İşlemleri'!$K$2:$K$2030)*'Doğrudan Alım İşlemleri'!$K$2:$K$2030*('Doğrudan Alım İşlemleri'!$H$2:$H$2030&lt;&gt;"")*'Doğrudan Alım İşlemleri'!$H$2:$H$2030)/D15,"")</f>
        <v/>
      </c>
      <c r="F15" s="13">
        <f>IFERROR(SUMPRODUCT((YEAR('Doğrudan Alım İşlemleri'!$B$2:$B$2030)=$A$15)*(MONTH('Doğrudan Alım İşlemleri'!$B$2:$B$2030)=$B$15)*ISNUMBER('Doğrudan Alım İşlemleri'!$N$2:$N$2030)*'Doğrudan Alım İşlemleri'!$N$2:$N$2030*('Doğrudan Alım İşlemleri'!$H$2:$H$2030&lt;&gt;"")*'Doğrudan Alım İşlemleri'!$H$2:$H$2030)/D15,"")</f>
        <v/>
      </c>
    </row>
    <row r="16">
      <c r="A16" s="15" t="n">
        <v>2010</v>
      </c>
      <c r="B16" s="22" t="n">
        <v>12</v>
      </c>
      <c r="C16" s="8">
        <f>SUMPRODUCT((YEAR('Doğrudan Alım İşlemleri'!$B$2:$B$2030)=$A$16)*(MONTH('Doğrudan Alım İşlemleri'!$B$2:$B$2030)=$B$16)*1)</f>
        <v/>
      </c>
      <c r="D16" s="8">
        <f>SUMPRODUCT((YEAR('Doğrudan Alım İşlemleri'!$B$2:$B$2030)=$A$16)*(MONTH('Doğrudan Alım İşlemleri'!$B$2:$B$2030)=$B$16)*('Doğrudan Alım İşlemleri'!$H$2:$H$2030&lt;&gt;"")*'Doğrudan Alım İşlemleri'!$H$2:$H$2030)</f>
        <v/>
      </c>
      <c r="E16" s="24">
        <f>IFERROR(SUMPRODUCT((YEAR('Doğrudan Alım İşlemleri'!$B$2:$B$2030)=$A$16)*(MONTH('Doğrudan Alım İşlemleri'!$B$2:$B$2030)=$B$16)*ISNUMBER('Doğrudan Alım İşlemleri'!$K$2:$K$2030)*'Doğrudan Alım İşlemleri'!$K$2:$K$2030*('Doğrudan Alım İşlemleri'!$H$2:$H$2030&lt;&gt;"")*'Doğrudan Alım İşlemleri'!$H$2:$H$2030)/D16,"")</f>
        <v/>
      </c>
      <c r="F16" s="24">
        <f>IFERROR(SUMPRODUCT((YEAR('Doğrudan Alım İşlemleri'!$B$2:$B$2030)=$A$16)*(MONTH('Doğrudan Alım İşlemleri'!$B$2:$B$2030)=$B$16)*ISNUMBER('Doğrudan Alım İşlemleri'!$N$2:$N$2030)*'Doğrudan Alım İşlemleri'!$N$2:$N$2030*('Doğrudan Alım İşlemleri'!$H$2:$H$2030&lt;&gt;"")*'Doğrudan Alım İşlemleri'!$H$2:$H$2030)/D16,"")</f>
        <v/>
      </c>
    </row>
    <row r="17">
      <c r="A17" s="16" t="n">
        <v>2011</v>
      </c>
      <c r="B17" s="25" t="n">
        <v>5</v>
      </c>
      <c r="C17" s="11">
        <f>SUMPRODUCT((YEAR('Doğrudan Alım İşlemleri'!$B$2:$B$2030)=$A$17)*(MONTH('Doğrudan Alım İşlemleri'!$B$2:$B$2030)=$B$17)*1)</f>
        <v/>
      </c>
      <c r="D17" s="11">
        <f>SUMPRODUCT((YEAR('Doğrudan Alım İşlemleri'!$B$2:$B$2030)=$A$17)*(MONTH('Doğrudan Alım İşlemleri'!$B$2:$B$2030)=$B$17)*('Doğrudan Alım İşlemleri'!$H$2:$H$2030&lt;&gt;"")*'Doğrudan Alım İşlemleri'!$H$2:$H$2030)</f>
        <v/>
      </c>
      <c r="E17" s="13">
        <f>IFERROR(SUMPRODUCT((YEAR('Doğrudan Alım İşlemleri'!$B$2:$B$2030)=$A$17)*(MONTH('Doğrudan Alım İşlemleri'!$B$2:$B$2030)=$B$17)*ISNUMBER('Doğrudan Alım İşlemleri'!$K$2:$K$2030)*'Doğrudan Alım İşlemleri'!$K$2:$K$2030*('Doğrudan Alım İşlemleri'!$H$2:$H$2030&lt;&gt;"")*'Doğrudan Alım İşlemleri'!$H$2:$H$2030)/D17,"")</f>
        <v/>
      </c>
      <c r="F17" s="13">
        <f>IFERROR(SUMPRODUCT((YEAR('Doğrudan Alım İşlemleri'!$B$2:$B$2030)=$A$17)*(MONTH('Doğrudan Alım İşlemleri'!$B$2:$B$2030)=$B$17)*ISNUMBER('Doğrudan Alım İşlemleri'!$N$2:$N$2030)*'Doğrudan Alım İşlemleri'!$N$2:$N$2030*('Doğrudan Alım İşlemleri'!$H$2:$H$2030&lt;&gt;"")*'Doğrudan Alım İşlemleri'!$H$2:$H$2030)/D17,"")</f>
        <v/>
      </c>
    </row>
    <row r="18">
      <c r="A18" s="15" t="n">
        <v>2011</v>
      </c>
      <c r="B18" s="22" t="n">
        <v>8</v>
      </c>
      <c r="C18" s="8">
        <f>SUMPRODUCT((YEAR('Doğrudan Alım İşlemleri'!$B$2:$B$2030)=$A$18)*(MONTH('Doğrudan Alım İşlemleri'!$B$2:$B$2030)=$B$18)*1)</f>
        <v/>
      </c>
      <c r="D18" s="8">
        <f>SUMPRODUCT((YEAR('Doğrudan Alım İşlemleri'!$B$2:$B$2030)=$A$18)*(MONTH('Doğrudan Alım İşlemleri'!$B$2:$B$2030)=$B$18)*('Doğrudan Alım İşlemleri'!$H$2:$H$2030&lt;&gt;"")*'Doğrudan Alım İşlemleri'!$H$2:$H$2030)</f>
        <v/>
      </c>
      <c r="E18" s="24">
        <f>IFERROR(SUMPRODUCT((YEAR('Doğrudan Alım İşlemleri'!$B$2:$B$2030)=$A$18)*(MONTH('Doğrudan Alım İşlemleri'!$B$2:$B$2030)=$B$18)*ISNUMBER('Doğrudan Alım İşlemleri'!$K$2:$K$2030)*'Doğrudan Alım İşlemleri'!$K$2:$K$2030*('Doğrudan Alım İşlemleri'!$H$2:$H$2030&lt;&gt;"")*'Doğrudan Alım İşlemleri'!$H$2:$H$2030)/D18,"")</f>
        <v/>
      </c>
      <c r="F18" s="24">
        <f>IFERROR(SUMPRODUCT((YEAR('Doğrudan Alım İşlemleri'!$B$2:$B$2030)=$A$18)*(MONTH('Doğrudan Alım İşlemleri'!$B$2:$B$2030)=$B$18)*ISNUMBER('Doğrudan Alım İşlemleri'!$N$2:$N$2030)*'Doğrudan Alım İşlemleri'!$N$2:$N$2030*('Doğrudan Alım İşlemleri'!$H$2:$H$2030&lt;&gt;"")*'Doğrudan Alım İşlemleri'!$H$2:$H$2030)/D18,"")</f>
        <v/>
      </c>
    </row>
    <row r="19">
      <c r="A19" s="16" t="n">
        <v>2011</v>
      </c>
      <c r="B19" s="25" t="n">
        <v>10</v>
      </c>
      <c r="C19" s="11">
        <f>SUMPRODUCT((YEAR('Doğrudan Alım İşlemleri'!$B$2:$B$2030)=$A$19)*(MONTH('Doğrudan Alım İşlemleri'!$B$2:$B$2030)=$B$19)*1)</f>
        <v/>
      </c>
      <c r="D19" s="11">
        <f>SUMPRODUCT((YEAR('Doğrudan Alım İşlemleri'!$B$2:$B$2030)=$A$19)*(MONTH('Doğrudan Alım İşlemleri'!$B$2:$B$2030)=$B$19)*('Doğrudan Alım İşlemleri'!$H$2:$H$2030&lt;&gt;"")*'Doğrudan Alım İşlemleri'!$H$2:$H$2030)</f>
        <v/>
      </c>
      <c r="E19" s="13">
        <f>IFERROR(SUMPRODUCT((YEAR('Doğrudan Alım İşlemleri'!$B$2:$B$2030)=$A$19)*(MONTH('Doğrudan Alım İşlemleri'!$B$2:$B$2030)=$B$19)*ISNUMBER('Doğrudan Alım İşlemleri'!$K$2:$K$2030)*'Doğrudan Alım İşlemleri'!$K$2:$K$2030*('Doğrudan Alım İşlemleri'!$H$2:$H$2030&lt;&gt;"")*'Doğrudan Alım İşlemleri'!$H$2:$H$2030)/D19,"")</f>
        <v/>
      </c>
      <c r="F19" s="13">
        <f>IFERROR(SUMPRODUCT((YEAR('Doğrudan Alım İşlemleri'!$B$2:$B$2030)=$A$19)*(MONTH('Doğrudan Alım İşlemleri'!$B$2:$B$2030)=$B$19)*ISNUMBER('Doğrudan Alım İşlemleri'!$N$2:$N$2030)*'Doğrudan Alım İşlemleri'!$N$2:$N$2030*('Doğrudan Alım İşlemleri'!$H$2:$H$2030&lt;&gt;"")*'Doğrudan Alım İşlemleri'!$H$2:$H$2030)/D19,"")</f>
        <v/>
      </c>
    </row>
    <row r="20">
      <c r="A20" s="15" t="n">
        <v>2011</v>
      </c>
      <c r="B20" s="22" t="n">
        <v>11</v>
      </c>
      <c r="C20" s="8">
        <f>SUMPRODUCT((YEAR('Doğrudan Alım İşlemleri'!$B$2:$B$2030)=$A$20)*(MONTH('Doğrudan Alım İşlemleri'!$B$2:$B$2030)=$B$20)*1)</f>
        <v/>
      </c>
      <c r="D20" s="8">
        <f>SUMPRODUCT((YEAR('Doğrudan Alım İşlemleri'!$B$2:$B$2030)=$A$20)*(MONTH('Doğrudan Alım İşlemleri'!$B$2:$B$2030)=$B$20)*('Doğrudan Alım İşlemleri'!$H$2:$H$2030&lt;&gt;"")*'Doğrudan Alım İşlemleri'!$H$2:$H$2030)</f>
        <v/>
      </c>
      <c r="E20" s="24">
        <f>IFERROR(SUMPRODUCT((YEAR('Doğrudan Alım İşlemleri'!$B$2:$B$2030)=$A$20)*(MONTH('Doğrudan Alım İşlemleri'!$B$2:$B$2030)=$B$20)*ISNUMBER('Doğrudan Alım İşlemleri'!$K$2:$K$2030)*'Doğrudan Alım İşlemleri'!$K$2:$K$2030*('Doğrudan Alım İşlemleri'!$H$2:$H$2030&lt;&gt;"")*'Doğrudan Alım İşlemleri'!$H$2:$H$2030)/D20,"")</f>
        <v/>
      </c>
      <c r="F20" s="24">
        <f>IFERROR(SUMPRODUCT((YEAR('Doğrudan Alım İşlemleri'!$B$2:$B$2030)=$A$20)*(MONTH('Doğrudan Alım İşlemleri'!$B$2:$B$2030)=$B$20)*ISNUMBER('Doğrudan Alım İşlemleri'!$N$2:$N$2030)*'Doğrudan Alım İşlemleri'!$N$2:$N$2030*('Doğrudan Alım İşlemleri'!$H$2:$H$2030&lt;&gt;"")*'Doğrudan Alım İşlemleri'!$H$2:$H$2030)/D20,"")</f>
        <v/>
      </c>
    </row>
    <row r="21">
      <c r="A21" s="16" t="n">
        <v>2012</v>
      </c>
      <c r="B21" s="25" t="n">
        <v>1</v>
      </c>
      <c r="C21" s="11">
        <f>SUMPRODUCT((YEAR('Doğrudan Alım İşlemleri'!$B$2:$B$2030)=$A$21)*(MONTH('Doğrudan Alım İşlemleri'!$B$2:$B$2030)=$B$21)*1)</f>
        <v/>
      </c>
      <c r="D21" s="11">
        <f>SUMPRODUCT((YEAR('Doğrudan Alım İşlemleri'!$B$2:$B$2030)=$A$21)*(MONTH('Doğrudan Alım İşlemleri'!$B$2:$B$2030)=$B$21)*('Doğrudan Alım İşlemleri'!$H$2:$H$2030&lt;&gt;"")*'Doğrudan Alım İşlemleri'!$H$2:$H$2030)</f>
        <v/>
      </c>
      <c r="E21" s="13">
        <f>IFERROR(SUMPRODUCT((YEAR('Doğrudan Alım İşlemleri'!$B$2:$B$2030)=$A$21)*(MONTH('Doğrudan Alım İşlemleri'!$B$2:$B$2030)=$B$21)*ISNUMBER('Doğrudan Alım İşlemleri'!$K$2:$K$2030)*'Doğrudan Alım İşlemleri'!$K$2:$K$2030*('Doğrudan Alım İşlemleri'!$H$2:$H$2030&lt;&gt;"")*'Doğrudan Alım İşlemleri'!$H$2:$H$2030)/D21,"")</f>
        <v/>
      </c>
      <c r="F21" s="13">
        <f>IFERROR(SUMPRODUCT((YEAR('Doğrudan Alım İşlemleri'!$B$2:$B$2030)=$A$21)*(MONTH('Doğrudan Alım İşlemleri'!$B$2:$B$2030)=$B$21)*ISNUMBER('Doğrudan Alım İşlemleri'!$N$2:$N$2030)*'Doğrudan Alım İşlemleri'!$N$2:$N$2030*('Doğrudan Alım İşlemleri'!$H$2:$H$2030&lt;&gt;"")*'Doğrudan Alım İşlemleri'!$H$2:$H$2030)/D21,"")</f>
        <v/>
      </c>
    </row>
    <row r="22">
      <c r="A22" s="15" t="n">
        <v>2012</v>
      </c>
      <c r="B22" s="22" t="n">
        <v>2</v>
      </c>
      <c r="C22" s="8">
        <f>SUMPRODUCT((YEAR('Doğrudan Alım İşlemleri'!$B$2:$B$2030)=$A$22)*(MONTH('Doğrudan Alım İşlemleri'!$B$2:$B$2030)=$B$22)*1)</f>
        <v/>
      </c>
      <c r="D22" s="8">
        <f>SUMPRODUCT((YEAR('Doğrudan Alım İşlemleri'!$B$2:$B$2030)=$A$22)*(MONTH('Doğrudan Alım İşlemleri'!$B$2:$B$2030)=$B$22)*('Doğrudan Alım İşlemleri'!$H$2:$H$2030&lt;&gt;"")*'Doğrudan Alım İşlemleri'!$H$2:$H$2030)</f>
        <v/>
      </c>
      <c r="E22" s="24">
        <f>IFERROR(SUMPRODUCT((YEAR('Doğrudan Alım İşlemleri'!$B$2:$B$2030)=$A$22)*(MONTH('Doğrudan Alım İşlemleri'!$B$2:$B$2030)=$B$22)*ISNUMBER('Doğrudan Alım İşlemleri'!$K$2:$K$2030)*'Doğrudan Alım İşlemleri'!$K$2:$K$2030*('Doğrudan Alım İşlemleri'!$H$2:$H$2030&lt;&gt;"")*'Doğrudan Alım İşlemleri'!$H$2:$H$2030)/D22,"")</f>
        <v/>
      </c>
      <c r="F22" s="24">
        <f>IFERROR(SUMPRODUCT((YEAR('Doğrudan Alım İşlemleri'!$B$2:$B$2030)=$A$22)*(MONTH('Doğrudan Alım İşlemleri'!$B$2:$B$2030)=$B$22)*ISNUMBER('Doğrudan Alım İşlemleri'!$N$2:$N$2030)*'Doğrudan Alım İşlemleri'!$N$2:$N$2030*('Doğrudan Alım İşlemleri'!$H$2:$H$2030&lt;&gt;"")*'Doğrudan Alım İşlemleri'!$H$2:$H$2030)/D22,"")</f>
        <v/>
      </c>
    </row>
    <row r="23">
      <c r="A23" s="16" t="n">
        <v>2012</v>
      </c>
      <c r="B23" s="25" t="n">
        <v>3</v>
      </c>
      <c r="C23" s="11">
        <f>SUMPRODUCT((YEAR('Doğrudan Alım İşlemleri'!$B$2:$B$2030)=$A$23)*(MONTH('Doğrudan Alım İşlemleri'!$B$2:$B$2030)=$B$23)*1)</f>
        <v/>
      </c>
      <c r="D23" s="11">
        <f>SUMPRODUCT((YEAR('Doğrudan Alım İşlemleri'!$B$2:$B$2030)=$A$23)*(MONTH('Doğrudan Alım İşlemleri'!$B$2:$B$2030)=$B$23)*('Doğrudan Alım İşlemleri'!$H$2:$H$2030&lt;&gt;"")*'Doğrudan Alım İşlemleri'!$H$2:$H$2030)</f>
        <v/>
      </c>
      <c r="E23" s="13">
        <f>IFERROR(SUMPRODUCT((YEAR('Doğrudan Alım İşlemleri'!$B$2:$B$2030)=$A$23)*(MONTH('Doğrudan Alım İşlemleri'!$B$2:$B$2030)=$B$23)*ISNUMBER('Doğrudan Alım İşlemleri'!$K$2:$K$2030)*'Doğrudan Alım İşlemleri'!$K$2:$K$2030*('Doğrudan Alım İşlemleri'!$H$2:$H$2030&lt;&gt;"")*'Doğrudan Alım İşlemleri'!$H$2:$H$2030)/D23,"")</f>
        <v/>
      </c>
      <c r="F23" s="13">
        <f>IFERROR(SUMPRODUCT((YEAR('Doğrudan Alım İşlemleri'!$B$2:$B$2030)=$A$23)*(MONTH('Doğrudan Alım İşlemleri'!$B$2:$B$2030)=$B$23)*ISNUMBER('Doğrudan Alım İşlemleri'!$N$2:$N$2030)*'Doğrudan Alım İşlemleri'!$N$2:$N$2030*('Doğrudan Alım İşlemleri'!$H$2:$H$2030&lt;&gt;"")*'Doğrudan Alım İşlemleri'!$H$2:$H$2030)/D23,"")</f>
        <v/>
      </c>
    </row>
    <row r="24">
      <c r="A24" s="15" t="n">
        <v>2012</v>
      </c>
      <c r="B24" s="22" t="n">
        <v>4</v>
      </c>
      <c r="C24" s="8">
        <f>SUMPRODUCT((YEAR('Doğrudan Alım İşlemleri'!$B$2:$B$2030)=$A$24)*(MONTH('Doğrudan Alım İşlemleri'!$B$2:$B$2030)=$B$24)*1)</f>
        <v/>
      </c>
      <c r="D24" s="8">
        <f>SUMPRODUCT((YEAR('Doğrudan Alım İşlemleri'!$B$2:$B$2030)=$A$24)*(MONTH('Doğrudan Alım İşlemleri'!$B$2:$B$2030)=$B$24)*('Doğrudan Alım İşlemleri'!$H$2:$H$2030&lt;&gt;"")*'Doğrudan Alım İşlemleri'!$H$2:$H$2030)</f>
        <v/>
      </c>
      <c r="E24" s="24">
        <f>IFERROR(SUMPRODUCT((YEAR('Doğrudan Alım İşlemleri'!$B$2:$B$2030)=$A$24)*(MONTH('Doğrudan Alım İşlemleri'!$B$2:$B$2030)=$B$24)*ISNUMBER('Doğrudan Alım İşlemleri'!$K$2:$K$2030)*'Doğrudan Alım İşlemleri'!$K$2:$K$2030*('Doğrudan Alım İşlemleri'!$H$2:$H$2030&lt;&gt;"")*'Doğrudan Alım İşlemleri'!$H$2:$H$2030)/D24,"")</f>
        <v/>
      </c>
      <c r="F24" s="24">
        <f>IFERROR(SUMPRODUCT((YEAR('Doğrudan Alım İşlemleri'!$B$2:$B$2030)=$A$24)*(MONTH('Doğrudan Alım İşlemleri'!$B$2:$B$2030)=$B$24)*ISNUMBER('Doğrudan Alım İşlemleri'!$N$2:$N$2030)*'Doğrudan Alım İşlemleri'!$N$2:$N$2030*('Doğrudan Alım İşlemleri'!$H$2:$H$2030&lt;&gt;"")*'Doğrudan Alım İşlemleri'!$H$2:$H$2030)/D24,"")</f>
        <v/>
      </c>
    </row>
    <row r="25">
      <c r="A25" s="16" t="n">
        <v>2012</v>
      </c>
      <c r="B25" s="25" t="n">
        <v>8</v>
      </c>
      <c r="C25" s="11">
        <f>SUMPRODUCT((YEAR('Doğrudan Alım İşlemleri'!$B$2:$B$2030)=$A$25)*(MONTH('Doğrudan Alım İşlemleri'!$B$2:$B$2030)=$B$25)*1)</f>
        <v/>
      </c>
      <c r="D25" s="11">
        <f>SUMPRODUCT((YEAR('Doğrudan Alım İşlemleri'!$B$2:$B$2030)=$A$25)*(MONTH('Doğrudan Alım İşlemleri'!$B$2:$B$2030)=$B$25)*('Doğrudan Alım İşlemleri'!$H$2:$H$2030&lt;&gt;"")*'Doğrudan Alım İşlemleri'!$H$2:$H$2030)</f>
        <v/>
      </c>
      <c r="E25" s="13">
        <f>IFERROR(SUMPRODUCT((YEAR('Doğrudan Alım İşlemleri'!$B$2:$B$2030)=$A$25)*(MONTH('Doğrudan Alım İşlemleri'!$B$2:$B$2030)=$B$25)*ISNUMBER('Doğrudan Alım İşlemleri'!$K$2:$K$2030)*'Doğrudan Alım İşlemleri'!$K$2:$K$2030*('Doğrudan Alım İşlemleri'!$H$2:$H$2030&lt;&gt;"")*'Doğrudan Alım İşlemleri'!$H$2:$H$2030)/D25,"")</f>
        <v/>
      </c>
      <c r="F25" s="13">
        <f>IFERROR(SUMPRODUCT((YEAR('Doğrudan Alım İşlemleri'!$B$2:$B$2030)=$A$25)*(MONTH('Doğrudan Alım İşlemleri'!$B$2:$B$2030)=$B$25)*ISNUMBER('Doğrudan Alım İşlemleri'!$N$2:$N$2030)*'Doğrudan Alım İşlemleri'!$N$2:$N$2030*('Doğrudan Alım İşlemleri'!$H$2:$H$2030&lt;&gt;"")*'Doğrudan Alım İşlemleri'!$H$2:$H$2030)/D25,"")</f>
        <v/>
      </c>
    </row>
    <row r="26">
      <c r="A26" s="15" t="n">
        <v>2012</v>
      </c>
      <c r="B26" s="22" t="n">
        <v>11</v>
      </c>
      <c r="C26" s="8">
        <f>SUMPRODUCT((YEAR('Doğrudan Alım İşlemleri'!$B$2:$B$2030)=$A$26)*(MONTH('Doğrudan Alım İşlemleri'!$B$2:$B$2030)=$B$26)*1)</f>
        <v/>
      </c>
      <c r="D26" s="8">
        <f>SUMPRODUCT((YEAR('Doğrudan Alım İşlemleri'!$B$2:$B$2030)=$A$26)*(MONTH('Doğrudan Alım İşlemleri'!$B$2:$B$2030)=$B$26)*('Doğrudan Alım İşlemleri'!$H$2:$H$2030&lt;&gt;"")*'Doğrudan Alım İşlemleri'!$H$2:$H$2030)</f>
        <v/>
      </c>
      <c r="E26" s="24">
        <f>IFERROR(SUMPRODUCT((YEAR('Doğrudan Alım İşlemleri'!$B$2:$B$2030)=$A$26)*(MONTH('Doğrudan Alım İşlemleri'!$B$2:$B$2030)=$B$26)*ISNUMBER('Doğrudan Alım İşlemleri'!$K$2:$K$2030)*'Doğrudan Alım İşlemleri'!$K$2:$K$2030*('Doğrudan Alım İşlemleri'!$H$2:$H$2030&lt;&gt;"")*'Doğrudan Alım İşlemleri'!$H$2:$H$2030)/D26,"")</f>
        <v/>
      </c>
      <c r="F26" s="24">
        <f>IFERROR(SUMPRODUCT((YEAR('Doğrudan Alım İşlemleri'!$B$2:$B$2030)=$A$26)*(MONTH('Doğrudan Alım İşlemleri'!$B$2:$B$2030)=$B$26)*ISNUMBER('Doğrudan Alım İşlemleri'!$N$2:$N$2030)*'Doğrudan Alım İşlemleri'!$N$2:$N$2030*('Doğrudan Alım İşlemleri'!$H$2:$H$2030&lt;&gt;"")*'Doğrudan Alım İşlemleri'!$H$2:$H$2030)/D26,"")</f>
        <v/>
      </c>
    </row>
    <row r="27">
      <c r="A27" s="16" t="n">
        <v>2013</v>
      </c>
      <c r="B27" s="25" t="n">
        <v>1</v>
      </c>
      <c r="C27" s="11">
        <f>SUMPRODUCT((YEAR('Doğrudan Alım İşlemleri'!$B$2:$B$2030)=$A$27)*(MONTH('Doğrudan Alım İşlemleri'!$B$2:$B$2030)=$B$27)*1)</f>
        <v/>
      </c>
      <c r="D27" s="11">
        <f>SUMPRODUCT((YEAR('Doğrudan Alım İşlemleri'!$B$2:$B$2030)=$A$27)*(MONTH('Doğrudan Alım İşlemleri'!$B$2:$B$2030)=$B$27)*('Doğrudan Alım İşlemleri'!$H$2:$H$2030&lt;&gt;"")*'Doğrudan Alım İşlemleri'!$H$2:$H$2030)</f>
        <v/>
      </c>
      <c r="E27" s="13">
        <f>IFERROR(SUMPRODUCT((YEAR('Doğrudan Alım İşlemleri'!$B$2:$B$2030)=$A$27)*(MONTH('Doğrudan Alım İşlemleri'!$B$2:$B$2030)=$B$27)*ISNUMBER('Doğrudan Alım İşlemleri'!$K$2:$K$2030)*'Doğrudan Alım İşlemleri'!$K$2:$K$2030*('Doğrudan Alım İşlemleri'!$H$2:$H$2030&lt;&gt;"")*'Doğrudan Alım İşlemleri'!$H$2:$H$2030)/D27,"")</f>
        <v/>
      </c>
      <c r="F27" s="13">
        <f>IFERROR(SUMPRODUCT((YEAR('Doğrudan Alım İşlemleri'!$B$2:$B$2030)=$A$27)*(MONTH('Doğrudan Alım İşlemleri'!$B$2:$B$2030)=$B$27)*ISNUMBER('Doğrudan Alım İşlemleri'!$N$2:$N$2030)*'Doğrudan Alım İşlemleri'!$N$2:$N$2030*('Doğrudan Alım İşlemleri'!$H$2:$H$2030&lt;&gt;"")*'Doğrudan Alım İşlemleri'!$H$2:$H$2030)/D27,"")</f>
        <v/>
      </c>
    </row>
    <row r="28">
      <c r="A28" s="15" t="n">
        <v>2013</v>
      </c>
      <c r="B28" s="22" t="n">
        <v>2</v>
      </c>
      <c r="C28" s="8">
        <f>SUMPRODUCT((YEAR('Doğrudan Alım İşlemleri'!$B$2:$B$2030)=$A$28)*(MONTH('Doğrudan Alım İşlemleri'!$B$2:$B$2030)=$B$28)*1)</f>
        <v/>
      </c>
      <c r="D28" s="8">
        <f>SUMPRODUCT((YEAR('Doğrudan Alım İşlemleri'!$B$2:$B$2030)=$A$28)*(MONTH('Doğrudan Alım İşlemleri'!$B$2:$B$2030)=$B$28)*('Doğrudan Alım İşlemleri'!$H$2:$H$2030&lt;&gt;"")*'Doğrudan Alım İşlemleri'!$H$2:$H$2030)</f>
        <v/>
      </c>
      <c r="E28" s="24">
        <f>IFERROR(SUMPRODUCT((YEAR('Doğrudan Alım İşlemleri'!$B$2:$B$2030)=$A$28)*(MONTH('Doğrudan Alım İşlemleri'!$B$2:$B$2030)=$B$28)*ISNUMBER('Doğrudan Alım İşlemleri'!$K$2:$K$2030)*'Doğrudan Alım İşlemleri'!$K$2:$K$2030*('Doğrudan Alım İşlemleri'!$H$2:$H$2030&lt;&gt;"")*'Doğrudan Alım İşlemleri'!$H$2:$H$2030)/D28,"")</f>
        <v/>
      </c>
      <c r="F28" s="24">
        <f>IFERROR(SUMPRODUCT((YEAR('Doğrudan Alım İşlemleri'!$B$2:$B$2030)=$A$28)*(MONTH('Doğrudan Alım İşlemleri'!$B$2:$B$2030)=$B$28)*ISNUMBER('Doğrudan Alım İşlemleri'!$N$2:$N$2030)*'Doğrudan Alım İşlemleri'!$N$2:$N$2030*('Doğrudan Alım İşlemleri'!$H$2:$H$2030&lt;&gt;"")*'Doğrudan Alım İşlemleri'!$H$2:$H$2030)/D28,"")</f>
        <v/>
      </c>
    </row>
    <row r="29">
      <c r="A29" s="16" t="n">
        <v>2013</v>
      </c>
      <c r="B29" s="25" t="n">
        <v>3</v>
      </c>
      <c r="C29" s="11">
        <f>SUMPRODUCT((YEAR('Doğrudan Alım İşlemleri'!$B$2:$B$2030)=$A$29)*(MONTH('Doğrudan Alım İşlemleri'!$B$2:$B$2030)=$B$29)*1)</f>
        <v/>
      </c>
      <c r="D29" s="11">
        <f>SUMPRODUCT((YEAR('Doğrudan Alım İşlemleri'!$B$2:$B$2030)=$A$29)*(MONTH('Doğrudan Alım İşlemleri'!$B$2:$B$2030)=$B$29)*('Doğrudan Alım İşlemleri'!$H$2:$H$2030&lt;&gt;"")*'Doğrudan Alım İşlemleri'!$H$2:$H$2030)</f>
        <v/>
      </c>
      <c r="E29" s="13">
        <f>IFERROR(SUMPRODUCT((YEAR('Doğrudan Alım İşlemleri'!$B$2:$B$2030)=$A$29)*(MONTH('Doğrudan Alım İşlemleri'!$B$2:$B$2030)=$B$29)*ISNUMBER('Doğrudan Alım İşlemleri'!$K$2:$K$2030)*'Doğrudan Alım İşlemleri'!$K$2:$K$2030*('Doğrudan Alım İşlemleri'!$H$2:$H$2030&lt;&gt;"")*'Doğrudan Alım İşlemleri'!$H$2:$H$2030)/D29,"")</f>
        <v/>
      </c>
      <c r="F29" s="13">
        <f>IFERROR(SUMPRODUCT((YEAR('Doğrudan Alım İşlemleri'!$B$2:$B$2030)=$A$29)*(MONTH('Doğrudan Alım İşlemleri'!$B$2:$B$2030)=$B$29)*ISNUMBER('Doğrudan Alım İşlemleri'!$N$2:$N$2030)*'Doğrudan Alım İşlemleri'!$N$2:$N$2030*('Doğrudan Alım İşlemleri'!$H$2:$H$2030&lt;&gt;"")*'Doğrudan Alım İşlemleri'!$H$2:$H$2030)/D29,"")</f>
        <v/>
      </c>
    </row>
    <row r="30">
      <c r="A30" s="15" t="n">
        <v>2013</v>
      </c>
      <c r="B30" s="22" t="n">
        <v>4</v>
      </c>
      <c r="C30" s="8">
        <f>SUMPRODUCT((YEAR('Doğrudan Alım İşlemleri'!$B$2:$B$2030)=$A$30)*(MONTH('Doğrudan Alım İşlemleri'!$B$2:$B$2030)=$B$30)*1)</f>
        <v/>
      </c>
      <c r="D30" s="8">
        <f>SUMPRODUCT((YEAR('Doğrudan Alım İşlemleri'!$B$2:$B$2030)=$A$30)*(MONTH('Doğrudan Alım İşlemleri'!$B$2:$B$2030)=$B$30)*('Doğrudan Alım İşlemleri'!$H$2:$H$2030&lt;&gt;"")*'Doğrudan Alım İşlemleri'!$H$2:$H$2030)</f>
        <v/>
      </c>
      <c r="E30" s="24">
        <f>IFERROR(SUMPRODUCT((YEAR('Doğrudan Alım İşlemleri'!$B$2:$B$2030)=$A$30)*(MONTH('Doğrudan Alım İşlemleri'!$B$2:$B$2030)=$B$30)*ISNUMBER('Doğrudan Alım İşlemleri'!$K$2:$K$2030)*'Doğrudan Alım İşlemleri'!$K$2:$K$2030*('Doğrudan Alım İşlemleri'!$H$2:$H$2030&lt;&gt;"")*'Doğrudan Alım İşlemleri'!$H$2:$H$2030)/D30,"")</f>
        <v/>
      </c>
      <c r="F30" s="24">
        <f>IFERROR(SUMPRODUCT((YEAR('Doğrudan Alım İşlemleri'!$B$2:$B$2030)=$A$30)*(MONTH('Doğrudan Alım İşlemleri'!$B$2:$B$2030)=$B$30)*ISNUMBER('Doğrudan Alım İşlemleri'!$N$2:$N$2030)*'Doğrudan Alım İşlemleri'!$N$2:$N$2030*('Doğrudan Alım İşlemleri'!$H$2:$H$2030&lt;&gt;"")*'Doğrudan Alım İşlemleri'!$H$2:$H$2030)/D30,"")</f>
        <v/>
      </c>
    </row>
    <row r="31">
      <c r="A31" s="16" t="n">
        <v>2013</v>
      </c>
      <c r="B31" s="25" t="n">
        <v>8</v>
      </c>
      <c r="C31" s="11">
        <f>SUMPRODUCT((YEAR('Doğrudan Alım İşlemleri'!$B$2:$B$2030)=$A$31)*(MONTH('Doğrudan Alım İşlemleri'!$B$2:$B$2030)=$B$31)*1)</f>
        <v/>
      </c>
      <c r="D31" s="11">
        <f>SUMPRODUCT((YEAR('Doğrudan Alım İşlemleri'!$B$2:$B$2030)=$A$31)*(MONTH('Doğrudan Alım İşlemleri'!$B$2:$B$2030)=$B$31)*('Doğrudan Alım İşlemleri'!$H$2:$H$2030&lt;&gt;"")*'Doğrudan Alım İşlemleri'!$H$2:$H$2030)</f>
        <v/>
      </c>
      <c r="E31" s="13">
        <f>IFERROR(SUMPRODUCT((YEAR('Doğrudan Alım İşlemleri'!$B$2:$B$2030)=$A$31)*(MONTH('Doğrudan Alım İşlemleri'!$B$2:$B$2030)=$B$31)*ISNUMBER('Doğrudan Alım İşlemleri'!$K$2:$K$2030)*'Doğrudan Alım İşlemleri'!$K$2:$K$2030*('Doğrudan Alım İşlemleri'!$H$2:$H$2030&lt;&gt;"")*'Doğrudan Alım İşlemleri'!$H$2:$H$2030)/D31,"")</f>
        <v/>
      </c>
      <c r="F31" s="13">
        <f>IFERROR(SUMPRODUCT((YEAR('Doğrudan Alım İşlemleri'!$B$2:$B$2030)=$A$31)*(MONTH('Doğrudan Alım İşlemleri'!$B$2:$B$2030)=$B$31)*ISNUMBER('Doğrudan Alım İşlemleri'!$N$2:$N$2030)*'Doğrudan Alım İşlemleri'!$N$2:$N$2030*('Doğrudan Alım İşlemleri'!$H$2:$H$2030&lt;&gt;"")*'Doğrudan Alım İşlemleri'!$H$2:$H$2030)/D31,"")</f>
        <v/>
      </c>
    </row>
    <row r="32">
      <c r="A32" s="15" t="n">
        <v>2013</v>
      </c>
      <c r="B32" s="22" t="n">
        <v>9</v>
      </c>
      <c r="C32" s="8">
        <f>SUMPRODUCT((YEAR('Doğrudan Alım İşlemleri'!$B$2:$B$2030)=$A$32)*(MONTH('Doğrudan Alım İşlemleri'!$B$2:$B$2030)=$B$32)*1)</f>
        <v/>
      </c>
      <c r="D32" s="8">
        <f>SUMPRODUCT((YEAR('Doğrudan Alım İşlemleri'!$B$2:$B$2030)=$A$32)*(MONTH('Doğrudan Alım İşlemleri'!$B$2:$B$2030)=$B$32)*('Doğrudan Alım İşlemleri'!$H$2:$H$2030&lt;&gt;"")*'Doğrudan Alım İşlemleri'!$H$2:$H$2030)</f>
        <v/>
      </c>
      <c r="E32" s="24">
        <f>IFERROR(SUMPRODUCT((YEAR('Doğrudan Alım İşlemleri'!$B$2:$B$2030)=$A$32)*(MONTH('Doğrudan Alım İşlemleri'!$B$2:$B$2030)=$B$32)*ISNUMBER('Doğrudan Alım İşlemleri'!$K$2:$K$2030)*'Doğrudan Alım İşlemleri'!$K$2:$K$2030*('Doğrudan Alım İşlemleri'!$H$2:$H$2030&lt;&gt;"")*'Doğrudan Alım İşlemleri'!$H$2:$H$2030)/D32,"")</f>
        <v/>
      </c>
      <c r="F32" s="24">
        <f>IFERROR(SUMPRODUCT((YEAR('Doğrudan Alım İşlemleri'!$B$2:$B$2030)=$A$32)*(MONTH('Doğrudan Alım İşlemleri'!$B$2:$B$2030)=$B$32)*ISNUMBER('Doğrudan Alım İşlemleri'!$N$2:$N$2030)*'Doğrudan Alım İşlemleri'!$N$2:$N$2030*('Doğrudan Alım İşlemleri'!$H$2:$H$2030&lt;&gt;"")*'Doğrudan Alım İşlemleri'!$H$2:$H$2030)/D32,"")</f>
        <v/>
      </c>
    </row>
    <row r="33">
      <c r="A33" s="16" t="n">
        <v>2013</v>
      </c>
      <c r="B33" s="25" t="n">
        <v>10</v>
      </c>
      <c r="C33" s="11">
        <f>SUMPRODUCT((YEAR('Doğrudan Alım İşlemleri'!$B$2:$B$2030)=$A$33)*(MONTH('Doğrudan Alım İşlemleri'!$B$2:$B$2030)=$B$33)*1)</f>
        <v/>
      </c>
      <c r="D33" s="11">
        <f>SUMPRODUCT((YEAR('Doğrudan Alım İşlemleri'!$B$2:$B$2030)=$A$33)*(MONTH('Doğrudan Alım İşlemleri'!$B$2:$B$2030)=$B$33)*('Doğrudan Alım İşlemleri'!$H$2:$H$2030&lt;&gt;"")*'Doğrudan Alım İşlemleri'!$H$2:$H$2030)</f>
        <v/>
      </c>
      <c r="E33" s="13">
        <f>IFERROR(SUMPRODUCT((YEAR('Doğrudan Alım İşlemleri'!$B$2:$B$2030)=$A$33)*(MONTH('Doğrudan Alım İşlemleri'!$B$2:$B$2030)=$B$33)*ISNUMBER('Doğrudan Alım İşlemleri'!$K$2:$K$2030)*'Doğrudan Alım İşlemleri'!$K$2:$K$2030*('Doğrudan Alım İşlemleri'!$H$2:$H$2030&lt;&gt;"")*'Doğrudan Alım İşlemleri'!$H$2:$H$2030)/D33,"")</f>
        <v/>
      </c>
      <c r="F33" s="13">
        <f>IFERROR(SUMPRODUCT((YEAR('Doğrudan Alım İşlemleri'!$B$2:$B$2030)=$A$33)*(MONTH('Doğrudan Alım İşlemleri'!$B$2:$B$2030)=$B$33)*ISNUMBER('Doğrudan Alım İşlemleri'!$N$2:$N$2030)*'Doğrudan Alım İşlemleri'!$N$2:$N$2030*('Doğrudan Alım İşlemleri'!$H$2:$H$2030&lt;&gt;"")*'Doğrudan Alım İşlemleri'!$H$2:$H$2030)/D33,"")</f>
        <v/>
      </c>
    </row>
    <row r="34">
      <c r="A34" s="15" t="n">
        <v>2013</v>
      </c>
      <c r="B34" s="22" t="n">
        <v>11</v>
      </c>
      <c r="C34" s="8">
        <f>SUMPRODUCT((YEAR('Doğrudan Alım İşlemleri'!$B$2:$B$2030)=$A$34)*(MONTH('Doğrudan Alım İşlemleri'!$B$2:$B$2030)=$B$34)*1)</f>
        <v/>
      </c>
      <c r="D34" s="8">
        <f>SUMPRODUCT((YEAR('Doğrudan Alım İşlemleri'!$B$2:$B$2030)=$A$34)*(MONTH('Doğrudan Alım İşlemleri'!$B$2:$B$2030)=$B$34)*('Doğrudan Alım İşlemleri'!$H$2:$H$2030&lt;&gt;"")*'Doğrudan Alım İşlemleri'!$H$2:$H$2030)</f>
        <v/>
      </c>
      <c r="E34" s="24">
        <f>IFERROR(SUMPRODUCT((YEAR('Doğrudan Alım İşlemleri'!$B$2:$B$2030)=$A$34)*(MONTH('Doğrudan Alım İşlemleri'!$B$2:$B$2030)=$B$34)*ISNUMBER('Doğrudan Alım İşlemleri'!$K$2:$K$2030)*'Doğrudan Alım İşlemleri'!$K$2:$K$2030*('Doğrudan Alım İşlemleri'!$H$2:$H$2030&lt;&gt;"")*'Doğrudan Alım İşlemleri'!$H$2:$H$2030)/D34,"")</f>
        <v/>
      </c>
      <c r="F34" s="24">
        <f>IFERROR(SUMPRODUCT((YEAR('Doğrudan Alım İşlemleri'!$B$2:$B$2030)=$A$34)*(MONTH('Doğrudan Alım İşlemleri'!$B$2:$B$2030)=$B$34)*ISNUMBER('Doğrudan Alım İşlemleri'!$N$2:$N$2030)*'Doğrudan Alım İşlemleri'!$N$2:$N$2030*('Doğrudan Alım İşlemleri'!$H$2:$H$2030&lt;&gt;"")*'Doğrudan Alım İşlemleri'!$H$2:$H$2030)/D34,"")</f>
        <v/>
      </c>
    </row>
    <row r="35">
      <c r="A35" s="16" t="n">
        <v>2013</v>
      </c>
      <c r="B35" s="25" t="n">
        <v>12</v>
      </c>
      <c r="C35" s="11">
        <f>SUMPRODUCT((YEAR('Doğrudan Alım İşlemleri'!$B$2:$B$2030)=$A$35)*(MONTH('Doğrudan Alım İşlemleri'!$B$2:$B$2030)=$B$35)*1)</f>
        <v/>
      </c>
      <c r="D35" s="11">
        <f>SUMPRODUCT((YEAR('Doğrudan Alım İşlemleri'!$B$2:$B$2030)=$A$35)*(MONTH('Doğrudan Alım İşlemleri'!$B$2:$B$2030)=$B$35)*('Doğrudan Alım İşlemleri'!$H$2:$H$2030&lt;&gt;"")*'Doğrudan Alım İşlemleri'!$H$2:$H$2030)</f>
        <v/>
      </c>
      <c r="E35" s="13">
        <f>IFERROR(SUMPRODUCT((YEAR('Doğrudan Alım İşlemleri'!$B$2:$B$2030)=$A$35)*(MONTH('Doğrudan Alım İşlemleri'!$B$2:$B$2030)=$B$35)*ISNUMBER('Doğrudan Alım İşlemleri'!$K$2:$K$2030)*'Doğrudan Alım İşlemleri'!$K$2:$K$2030*('Doğrudan Alım İşlemleri'!$H$2:$H$2030&lt;&gt;"")*'Doğrudan Alım İşlemleri'!$H$2:$H$2030)/D35,"")</f>
        <v/>
      </c>
      <c r="F35" s="13">
        <f>IFERROR(SUMPRODUCT((YEAR('Doğrudan Alım İşlemleri'!$B$2:$B$2030)=$A$35)*(MONTH('Doğrudan Alım İşlemleri'!$B$2:$B$2030)=$B$35)*ISNUMBER('Doğrudan Alım İşlemleri'!$N$2:$N$2030)*'Doğrudan Alım İşlemleri'!$N$2:$N$2030*('Doğrudan Alım İşlemleri'!$H$2:$H$2030&lt;&gt;"")*'Doğrudan Alım İşlemleri'!$H$2:$H$2030)/D35,"")</f>
        <v/>
      </c>
    </row>
    <row r="36">
      <c r="A36" s="15" t="n">
        <v>2014</v>
      </c>
      <c r="B36" s="22" t="n">
        <v>3</v>
      </c>
      <c r="C36" s="8">
        <f>SUMPRODUCT((YEAR('Doğrudan Alım İşlemleri'!$B$2:$B$2030)=$A$36)*(MONTH('Doğrudan Alım İşlemleri'!$B$2:$B$2030)=$B$36)*1)</f>
        <v/>
      </c>
      <c r="D36" s="8">
        <f>SUMPRODUCT((YEAR('Doğrudan Alım İşlemleri'!$B$2:$B$2030)=$A$36)*(MONTH('Doğrudan Alım İşlemleri'!$B$2:$B$2030)=$B$36)*('Doğrudan Alım İşlemleri'!$H$2:$H$2030&lt;&gt;"")*'Doğrudan Alım İşlemleri'!$H$2:$H$2030)</f>
        <v/>
      </c>
      <c r="E36" s="24">
        <f>IFERROR(SUMPRODUCT((YEAR('Doğrudan Alım İşlemleri'!$B$2:$B$2030)=$A$36)*(MONTH('Doğrudan Alım İşlemleri'!$B$2:$B$2030)=$B$36)*ISNUMBER('Doğrudan Alım İşlemleri'!$K$2:$K$2030)*'Doğrudan Alım İşlemleri'!$K$2:$K$2030*('Doğrudan Alım İşlemleri'!$H$2:$H$2030&lt;&gt;"")*'Doğrudan Alım İşlemleri'!$H$2:$H$2030)/D36,"")</f>
        <v/>
      </c>
      <c r="F36" s="24">
        <f>IFERROR(SUMPRODUCT((YEAR('Doğrudan Alım İşlemleri'!$B$2:$B$2030)=$A$36)*(MONTH('Doğrudan Alım İşlemleri'!$B$2:$B$2030)=$B$36)*ISNUMBER('Doğrudan Alım İşlemleri'!$N$2:$N$2030)*'Doğrudan Alım İşlemleri'!$N$2:$N$2030*('Doğrudan Alım İşlemleri'!$H$2:$H$2030&lt;&gt;"")*'Doğrudan Alım İşlemleri'!$H$2:$H$2030)/D36,"")</f>
        <v/>
      </c>
    </row>
    <row r="37">
      <c r="A37" s="16" t="n">
        <v>2014</v>
      </c>
      <c r="B37" s="25" t="n">
        <v>4</v>
      </c>
      <c r="C37" s="11">
        <f>SUMPRODUCT((YEAR('Doğrudan Alım İşlemleri'!$B$2:$B$2030)=$A$37)*(MONTH('Doğrudan Alım İşlemleri'!$B$2:$B$2030)=$B$37)*1)</f>
        <v/>
      </c>
      <c r="D37" s="11">
        <f>SUMPRODUCT((YEAR('Doğrudan Alım İşlemleri'!$B$2:$B$2030)=$A$37)*(MONTH('Doğrudan Alım İşlemleri'!$B$2:$B$2030)=$B$37)*('Doğrudan Alım İşlemleri'!$H$2:$H$2030&lt;&gt;"")*'Doğrudan Alım İşlemleri'!$H$2:$H$2030)</f>
        <v/>
      </c>
      <c r="E37" s="13">
        <f>IFERROR(SUMPRODUCT((YEAR('Doğrudan Alım İşlemleri'!$B$2:$B$2030)=$A$37)*(MONTH('Doğrudan Alım İşlemleri'!$B$2:$B$2030)=$B$37)*ISNUMBER('Doğrudan Alım İşlemleri'!$K$2:$K$2030)*'Doğrudan Alım İşlemleri'!$K$2:$K$2030*('Doğrudan Alım İşlemleri'!$H$2:$H$2030&lt;&gt;"")*'Doğrudan Alım İşlemleri'!$H$2:$H$2030)/D37,"")</f>
        <v/>
      </c>
      <c r="F37" s="13">
        <f>IFERROR(SUMPRODUCT((YEAR('Doğrudan Alım İşlemleri'!$B$2:$B$2030)=$A$37)*(MONTH('Doğrudan Alım İşlemleri'!$B$2:$B$2030)=$B$37)*ISNUMBER('Doğrudan Alım İşlemleri'!$N$2:$N$2030)*'Doğrudan Alım İşlemleri'!$N$2:$N$2030*('Doğrudan Alım İşlemleri'!$H$2:$H$2030&lt;&gt;"")*'Doğrudan Alım İşlemleri'!$H$2:$H$2030)/D37,"")</f>
        <v/>
      </c>
    </row>
    <row r="38">
      <c r="A38" s="15" t="n">
        <v>2014</v>
      </c>
      <c r="B38" s="22" t="n">
        <v>6</v>
      </c>
      <c r="C38" s="8">
        <f>SUMPRODUCT((YEAR('Doğrudan Alım İşlemleri'!$B$2:$B$2030)=$A$38)*(MONTH('Doğrudan Alım İşlemleri'!$B$2:$B$2030)=$B$38)*1)</f>
        <v/>
      </c>
      <c r="D38" s="8">
        <f>SUMPRODUCT((YEAR('Doğrudan Alım İşlemleri'!$B$2:$B$2030)=$A$38)*(MONTH('Doğrudan Alım İşlemleri'!$B$2:$B$2030)=$B$38)*('Doğrudan Alım İşlemleri'!$H$2:$H$2030&lt;&gt;"")*'Doğrudan Alım İşlemleri'!$H$2:$H$2030)</f>
        <v/>
      </c>
      <c r="E38" s="24">
        <f>IFERROR(SUMPRODUCT((YEAR('Doğrudan Alım İşlemleri'!$B$2:$B$2030)=$A$38)*(MONTH('Doğrudan Alım İşlemleri'!$B$2:$B$2030)=$B$38)*ISNUMBER('Doğrudan Alım İşlemleri'!$K$2:$K$2030)*'Doğrudan Alım İşlemleri'!$K$2:$K$2030*('Doğrudan Alım İşlemleri'!$H$2:$H$2030&lt;&gt;"")*'Doğrudan Alım İşlemleri'!$H$2:$H$2030)/D38,"")</f>
        <v/>
      </c>
      <c r="F38" s="24">
        <f>IFERROR(SUMPRODUCT((YEAR('Doğrudan Alım İşlemleri'!$B$2:$B$2030)=$A$38)*(MONTH('Doğrudan Alım İşlemleri'!$B$2:$B$2030)=$B$38)*ISNUMBER('Doğrudan Alım İşlemleri'!$N$2:$N$2030)*'Doğrudan Alım İşlemleri'!$N$2:$N$2030*('Doğrudan Alım İşlemleri'!$H$2:$H$2030&lt;&gt;"")*'Doğrudan Alım İşlemleri'!$H$2:$H$2030)/D38,"")</f>
        <v/>
      </c>
    </row>
    <row r="39">
      <c r="A39" s="16" t="n">
        <v>2014</v>
      </c>
      <c r="B39" s="25" t="n">
        <v>8</v>
      </c>
      <c r="C39" s="11">
        <f>SUMPRODUCT((YEAR('Doğrudan Alım İşlemleri'!$B$2:$B$2030)=$A$39)*(MONTH('Doğrudan Alım İşlemleri'!$B$2:$B$2030)=$B$39)*1)</f>
        <v/>
      </c>
      <c r="D39" s="11">
        <f>SUMPRODUCT((YEAR('Doğrudan Alım İşlemleri'!$B$2:$B$2030)=$A$39)*(MONTH('Doğrudan Alım İşlemleri'!$B$2:$B$2030)=$B$39)*('Doğrudan Alım İşlemleri'!$H$2:$H$2030&lt;&gt;"")*'Doğrudan Alım İşlemleri'!$H$2:$H$2030)</f>
        <v/>
      </c>
      <c r="E39" s="13">
        <f>IFERROR(SUMPRODUCT((YEAR('Doğrudan Alım İşlemleri'!$B$2:$B$2030)=$A$39)*(MONTH('Doğrudan Alım İşlemleri'!$B$2:$B$2030)=$B$39)*ISNUMBER('Doğrudan Alım İşlemleri'!$K$2:$K$2030)*'Doğrudan Alım İşlemleri'!$K$2:$K$2030*('Doğrudan Alım İşlemleri'!$H$2:$H$2030&lt;&gt;"")*'Doğrudan Alım İşlemleri'!$H$2:$H$2030)/D39,"")</f>
        <v/>
      </c>
      <c r="F39" s="13">
        <f>IFERROR(SUMPRODUCT((YEAR('Doğrudan Alım İşlemleri'!$B$2:$B$2030)=$A$39)*(MONTH('Doğrudan Alım İşlemleri'!$B$2:$B$2030)=$B$39)*ISNUMBER('Doğrudan Alım İşlemleri'!$N$2:$N$2030)*'Doğrudan Alım İşlemleri'!$N$2:$N$2030*('Doğrudan Alım İşlemleri'!$H$2:$H$2030&lt;&gt;"")*'Doğrudan Alım İşlemleri'!$H$2:$H$2030)/D39,"")</f>
        <v/>
      </c>
    </row>
    <row r="40">
      <c r="A40" s="15" t="n">
        <v>2014</v>
      </c>
      <c r="B40" s="22" t="n">
        <v>9</v>
      </c>
      <c r="C40" s="8">
        <f>SUMPRODUCT((YEAR('Doğrudan Alım İşlemleri'!$B$2:$B$2030)=$A$40)*(MONTH('Doğrudan Alım İşlemleri'!$B$2:$B$2030)=$B$40)*1)</f>
        <v/>
      </c>
      <c r="D40" s="8">
        <f>SUMPRODUCT((YEAR('Doğrudan Alım İşlemleri'!$B$2:$B$2030)=$A$40)*(MONTH('Doğrudan Alım İşlemleri'!$B$2:$B$2030)=$B$40)*('Doğrudan Alım İşlemleri'!$H$2:$H$2030&lt;&gt;"")*'Doğrudan Alım İşlemleri'!$H$2:$H$2030)</f>
        <v/>
      </c>
      <c r="E40" s="24">
        <f>IFERROR(SUMPRODUCT((YEAR('Doğrudan Alım İşlemleri'!$B$2:$B$2030)=$A$40)*(MONTH('Doğrudan Alım İşlemleri'!$B$2:$B$2030)=$B$40)*ISNUMBER('Doğrudan Alım İşlemleri'!$K$2:$K$2030)*'Doğrudan Alım İşlemleri'!$K$2:$K$2030*('Doğrudan Alım İşlemleri'!$H$2:$H$2030&lt;&gt;"")*'Doğrudan Alım İşlemleri'!$H$2:$H$2030)/D40,"")</f>
        <v/>
      </c>
      <c r="F40" s="24">
        <f>IFERROR(SUMPRODUCT((YEAR('Doğrudan Alım İşlemleri'!$B$2:$B$2030)=$A$40)*(MONTH('Doğrudan Alım İşlemleri'!$B$2:$B$2030)=$B$40)*ISNUMBER('Doğrudan Alım İşlemleri'!$N$2:$N$2030)*'Doğrudan Alım İşlemleri'!$N$2:$N$2030*('Doğrudan Alım İşlemleri'!$H$2:$H$2030&lt;&gt;"")*'Doğrudan Alım İşlemleri'!$H$2:$H$2030)/D40,"")</f>
        <v/>
      </c>
    </row>
    <row r="41">
      <c r="A41" s="16" t="n">
        <v>2015</v>
      </c>
      <c r="B41" s="25" t="n">
        <v>1</v>
      </c>
      <c r="C41" s="11">
        <f>SUMPRODUCT((YEAR('Doğrudan Alım İşlemleri'!$B$2:$B$2030)=$A$41)*(MONTH('Doğrudan Alım İşlemleri'!$B$2:$B$2030)=$B$41)*1)</f>
        <v/>
      </c>
      <c r="D41" s="11">
        <f>SUMPRODUCT((YEAR('Doğrudan Alım İşlemleri'!$B$2:$B$2030)=$A$41)*(MONTH('Doğrudan Alım İşlemleri'!$B$2:$B$2030)=$B$41)*('Doğrudan Alım İşlemleri'!$H$2:$H$2030&lt;&gt;"")*'Doğrudan Alım İşlemleri'!$H$2:$H$2030)</f>
        <v/>
      </c>
      <c r="E41" s="13">
        <f>IFERROR(SUMPRODUCT((YEAR('Doğrudan Alım İşlemleri'!$B$2:$B$2030)=$A$41)*(MONTH('Doğrudan Alım İşlemleri'!$B$2:$B$2030)=$B$41)*ISNUMBER('Doğrudan Alım İşlemleri'!$K$2:$K$2030)*'Doğrudan Alım İşlemleri'!$K$2:$K$2030*('Doğrudan Alım İşlemleri'!$H$2:$H$2030&lt;&gt;"")*'Doğrudan Alım İşlemleri'!$H$2:$H$2030)/D41,"")</f>
        <v/>
      </c>
      <c r="F41" s="13">
        <f>IFERROR(SUMPRODUCT((YEAR('Doğrudan Alım İşlemleri'!$B$2:$B$2030)=$A$41)*(MONTH('Doğrudan Alım İşlemleri'!$B$2:$B$2030)=$B$41)*ISNUMBER('Doğrudan Alım İşlemleri'!$N$2:$N$2030)*'Doğrudan Alım İşlemleri'!$N$2:$N$2030*('Doğrudan Alım İşlemleri'!$H$2:$H$2030&lt;&gt;"")*'Doğrudan Alım İşlemleri'!$H$2:$H$2030)/D41,"")</f>
        <v/>
      </c>
    </row>
    <row r="42">
      <c r="A42" s="15" t="n">
        <v>2015</v>
      </c>
      <c r="B42" s="22" t="n">
        <v>2</v>
      </c>
      <c r="C42" s="8">
        <f>SUMPRODUCT((YEAR('Doğrudan Alım İşlemleri'!$B$2:$B$2030)=$A$42)*(MONTH('Doğrudan Alım İşlemleri'!$B$2:$B$2030)=$B$42)*1)</f>
        <v/>
      </c>
      <c r="D42" s="8">
        <f>SUMPRODUCT((YEAR('Doğrudan Alım İşlemleri'!$B$2:$B$2030)=$A$42)*(MONTH('Doğrudan Alım İşlemleri'!$B$2:$B$2030)=$B$42)*('Doğrudan Alım İşlemleri'!$H$2:$H$2030&lt;&gt;"")*'Doğrudan Alım İşlemleri'!$H$2:$H$2030)</f>
        <v/>
      </c>
      <c r="E42" s="24">
        <f>IFERROR(SUMPRODUCT((YEAR('Doğrudan Alım İşlemleri'!$B$2:$B$2030)=$A$42)*(MONTH('Doğrudan Alım İşlemleri'!$B$2:$B$2030)=$B$42)*ISNUMBER('Doğrudan Alım İşlemleri'!$K$2:$K$2030)*'Doğrudan Alım İşlemleri'!$K$2:$K$2030*('Doğrudan Alım İşlemleri'!$H$2:$H$2030&lt;&gt;"")*'Doğrudan Alım İşlemleri'!$H$2:$H$2030)/D42,"")</f>
        <v/>
      </c>
      <c r="F42" s="24">
        <f>IFERROR(SUMPRODUCT((YEAR('Doğrudan Alım İşlemleri'!$B$2:$B$2030)=$A$42)*(MONTH('Doğrudan Alım İşlemleri'!$B$2:$B$2030)=$B$42)*ISNUMBER('Doğrudan Alım İşlemleri'!$N$2:$N$2030)*'Doğrudan Alım İşlemleri'!$N$2:$N$2030*('Doğrudan Alım İşlemleri'!$H$2:$H$2030&lt;&gt;"")*'Doğrudan Alım İşlemleri'!$H$2:$H$2030)/D42,"")</f>
        <v/>
      </c>
    </row>
    <row r="43">
      <c r="A43" s="16" t="n">
        <v>2015</v>
      </c>
      <c r="B43" s="25" t="n">
        <v>3</v>
      </c>
      <c r="C43" s="11">
        <f>SUMPRODUCT((YEAR('Doğrudan Alım İşlemleri'!$B$2:$B$2030)=$A$43)*(MONTH('Doğrudan Alım İşlemleri'!$B$2:$B$2030)=$B$43)*1)</f>
        <v/>
      </c>
      <c r="D43" s="11">
        <f>SUMPRODUCT((YEAR('Doğrudan Alım İşlemleri'!$B$2:$B$2030)=$A$43)*(MONTH('Doğrudan Alım İşlemleri'!$B$2:$B$2030)=$B$43)*('Doğrudan Alım İşlemleri'!$H$2:$H$2030&lt;&gt;"")*'Doğrudan Alım İşlemleri'!$H$2:$H$2030)</f>
        <v/>
      </c>
      <c r="E43" s="13">
        <f>IFERROR(SUMPRODUCT((YEAR('Doğrudan Alım İşlemleri'!$B$2:$B$2030)=$A$43)*(MONTH('Doğrudan Alım İşlemleri'!$B$2:$B$2030)=$B$43)*ISNUMBER('Doğrudan Alım İşlemleri'!$K$2:$K$2030)*'Doğrudan Alım İşlemleri'!$K$2:$K$2030*('Doğrudan Alım İşlemleri'!$H$2:$H$2030&lt;&gt;"")*'Doğrudan Alım İşlemleri'!$H$2:$H$2030)/D43,"")</f>
        <v/>
      </c>
      <c r="F43" s="13">
        <f>IFERROR(SUMPRODUCT((YEAR('Doğrudan Alım İşlemleri'!$B$2:$B$2030)=$A$43)*(MONTH('Doğrudan Alım İşlemleri'!$B$2:$B$2030)=$B$43)*ISNUMBER('Doğrudan Alım İşlemleri'!$N$2:$N$2030)*'Doğrudan Alım İşlemleri'!$N$2:$N$2030*('Doğrudan Alım İşlemleri'!$H$2:$H$2030&lt;&gt;"")*'Doğrudan Alım İşlemleri'!$H$2:$H$2030)/D43,"")</f>
        <v/>
      </c>
    </row>
    <row r="44">
      <c r="A44" s="15" t="n">
        <v>2015</v>
      </c>
      <c r="B44" s="22" t="n">
        <v>4</v>
      </c>
      <c r="C44" s="8">
        <f>SUMPRODUCT((YEAR('Doğrudan Alım İşlemleri'!$B$2:$B$2030)=$A$44)*(MONTH('Doğrudan Alım İşlemleri'!$B$2:$B$2030)=$B$44)*1)</f>
        <v/>
      </c>
      <c r="D44" s="8">
        <f>SUMPRODUCT((YEAR('Doğrudan Alım İşlemleri'!$B$2:$B$2030)=$A$44)*(MONTH('Doğrudan Alım İşlemleri'!$B$2:$B$2030)=$B$44)*('Doğrudan Alım İşlemleri'!$H$2:$H$2030&lt;&gt;"")*'Doğrudan Alım İşlemleri'!$H$2:$H$2030)</f>
        <v/>
      </c>
      <c r="E44" s="24">
        <f>IFERROR(SUMPRODUCT((YEAR('Doğrudan Alım İşlemleri'!$B$2:$B$2030)=$A$44)*(MONTH('Doğrudan Alım İşlemleri'!$B$2:$B$2030)=$B$44)*ISNUMBER('Doğrudan Alım İşlemleri'!$K$2:$K$2030)*'Doğrudan Alım İşlemleri'!$K$2:$K$2030*('Doğrudan Alım İşlemleri'!$H$2:$H$2030&lt;&gt;"")*'Doğrudan Alım İşlemleri'!$H$2:$H$2030)/D44,"")</f>
        <v/>
      </c>
      <c r="F44" s="24">
        <f>IFERROR(SUMPRODUCT((YEAR('Doğrudan Alım İşlemleri'!$B$2:$B$2030)=$A$44)*(MONTH('Doğrudan Alım İşlemleri'!$B$2:$B$2030)=$B$44)*ISNUMBER('Doğrudan Alım İşlemleri'!$N$2:$N$2030)*'Doğrudan Alım İşlemleri'!$N$2:$N$2030*('Doğrudan Alım İşlemleri'!$H$2:$H$2030&lt;&gt;"")*'Doğrudan Alım İşlemleri'!$H$2:$H$2030)/D44,"")</f>
        <v/>
      </c>
    </row>
    <row r="45">
      <c r="A45" s="16" t="n">
        <v>2015</v>
      </c>
      <c r="B45" s="25" t="n">
        <v>5</v>
      </c>
      <c r="C45" s="11">
        <f>SUMPRODUCT((YEAR('Doğrudan Alım İşlemleri'!$B$2:$B$2030)=$A$45)*(MONTH('Doğrudan Alım İşlemleri'!$B$2:$B$2030)=$B$45)*1)</f>
        <v/>
      </c>
      <c r="D45" s="11">
        <f>SUMPRODUCT((YEAR('Doğrudan Alım İşlemleri'!$B$2:$B$2030)=$A$45)*(MONTH('Doğrudan Alım İşlemleri'!$B$2:$B$2030)=$B$45)*('Doğrudan Alım İşlemleri'!$H$2:$H$2030&lt;&gt;"")*'Doğrudan Alım İşlemleri'!$H$2:$H$2030)</f>
        <v/>
      </c>
      <c r="E45" s="13">
        <f>IFERROR(SUMPRODUCT((YEAR('Doğrudan Alım İşlemleri'!$B$2:$B$2030)=$A$45)*(MONTH('Doğrudan Alım İşlemleri'!$B$2:$B$2030)=$B$45)*ISNUMBER('Doğrudan Alım İşlemleri'!$K$2:$K$2030)*'Doğrudan Alım İşlemleri'!$K$2:$K$2030*('Doğrudan Alım İşlemleri'!$H$2:$H$2030&lt;&gt;"")*'Doğrudan Alım İşlemleri'!$H$2:$H$2030)/D45,"")</f>
        <v/>
      </c>
      <c r="F45" s="13">
        <f>IFERROR(SUMPRODUCT((YEAR('Doğrudan Alım İşlemleri'!$B$2:$B$2030)=$A$45)*(MONTH('Doğrudan Alım İşlemleri'!$B$2:$B$2030)=$B$45)*ISNUMBER('Doğrudan Alım İşlemleri'!$N$2:$N$2030)*'Doğrudan Alım İşlemleri'!$N$2:$N$2030*('Doğrudan Alım İşlemleri'!$H$2:$H$2030&lt;&gt;"")*'Doğrudan Alım İşlemleri'!$H$2:$H$2030)/D45,"")</f>
        <v/>
      </c>
    </row>
    <row r="46">
      <c r="A46" s="15" t="n">
        <v>2015</v>
      </c>
      <c r="B46" s="22" t="n">
        <v>6</v>
      </c>
      <c r="C46" s="8">
        <f>SUMPRODUCT((YEAR('Doğrudan Alım İşlemleri'!$B$2:$B$2030)=$A$46)*(MONTH('Doğrudan Alım İşlemleri'!$B$2:$B$2030)=$B$46)*1)</f>
        <v/>
      </c>
      <c r="D46" s="8">
        <f>SUMPRODUCT((YEAR('Doğrudan Alım İşlemleri'!$B$2:$B$2030)=$A$46)*(MONTH('Doğrudan Alım İşlemleri'!$B$2:$B$2030)=$B$46)*('Doğrudan Alım İşlemleri'!$H$2:$H$2030&lt;&gt;"")*'Doğrudan Alım İşlemleri'!$H$2:$H$2030)</f>
        <v/>
      </c>
      <c r="E46" s="24">
        <f>IFERROR(SUMPRODUCT((YEAR('Doğrudan Alım İşlemleri'!$B$2:$B$2030)=$A$46)*(MONTH('Doğrudan Alım İşlemleri'!$B$2:$B$2030)=$B$46)*ISNUMBER('Doğrudan Alım İşlemleri'!$K$2:$K$2030)*'Doğrudan Alım İşlemleri'!$K$2:$K$2030*('Doğrudan Alım İşlemleri'!$H$2:$H$2030&lt;&gt;"")*'Doğrudan Alım İşlemleri'!$H$2:$H$2030)/D46,"")</f>
        <v/>
      </c>
      <c r="F46" s="24">
        <f>IFERROR(SUMPRODUCT((YEAR('Doğrudan Alım İşlemleri'!$B$2:$B$2030)=$A$46)*(MONTH('Doğrudan Alım İşlemleri'!$B$2:$B$2030)=$B$46)*ISNUMBER('Doğrudan Alım İşlemleri'!$N$2:$N$2030)*'Doğrudan Alım İşlemleri'!$N$2:$N$2030*('Doğrudan Alım İşlemleri'!$H$2:$H$2030&lt;&gt;"")*'Doğrudan Alım İşlemleri'!$H$2:$H$2030)/D46,"")</f>
        <v/>
      </c>
    </row>
    <row r="47">
      <c r="A47" s="16" t="n">
        <v>2015</v>
      </c>
      <c r="B47" s="25" t="n">
        <v>7</v>
      </c>
      <c r="C47" s="11">
        <f>SUMPRODUCT((YEAR('Doğrudan Alım İşlemleri'!$B$2:$B$2030)=$A$47)*(MONTH('Doğrudan Alım İşlemleri'!$B$2:$B$2030)=$B$47)*1)</f>
        <v/>
      </c>
      <c r="D47" s="11">
        <f>SUMPRODUCT((YEAR('Doğrudan Alım İşlemleri'!$B$2:$B$2030)=$A$47)*(MONTH('Doğrudan Alım İşlemleri'!$B$2:$B$2030)=$B$47)*('Doğrudan Alım İşlemleri'!$H$2:$H$2030&lt;&gt;"")*'Doğrudan Alım İşlemleri'!$H$2:$H$2030)</f>
        <v/>
      </c>
      <c r="E47" s="13">
        <f>IFERROR(SUMPRODUCT((YEAR('Doğrudan Alım İşlemleri'!$B$2:$B$2030)=$A$47)*(MONTH('Doğrudan Alım İşlemleri'!$B$2:$B$2030)=$B$47)*ISNUMBER('Doğrudan Alım İşlemleri'!$K$2:$K$2030)*'Doğrudan Alım İşlemleri'!$K$2:$K$2030*('Doğrudan Alım İşlemleri'!$H$2:$H$2030&lt;&gt;"")*'Doğrudan Alım İşlemleri'!$H$2:$H$2030)/D47,"")</f>
        <v/>
      </c>
      <c r="F47" s="13">
        <f>IFERROR(SUMPRODUCT((YEAR('Doğrudan Alım İşlemleri'!$B$2:$B$2030)=$A$47)*(MONTH('Doğrudan Alım İşlemleri'!$B$2:$B$2030)=$B$47)*ISNUMBER('Doğrudan Alım İşlemleri'!$N$2:$N$2030)*'Doğrudan Alım İşlemleri'!$N$2:$N$2030*('Doğrudan Alım İşlemleri'!$H$2:$H$2030&lt;&gt;"")*'Doğrudan Alım İşlemleri'!$H$2:$H$2030)/D47,"")</f>
        <v/>
      </c>
    </row>
    <row r="48">
      <c r="A48" s="15" t="n">
        <v>2015</v>
      </c>
      <c r="B48" s="22" t="n">
        <v>8</v>
      </c>
      <c r="C48" s="8">
        <f>SUMPRODUCT((YEAR('Doğrudan Alım İşlemleri'!$B$2:$B$2030)=$A$48)*(MONTH('Doğrudan Alım İşlemleri'!$B$2:$B$2030)=$B$48)*1)</f>
        <v/>
      </c>
      <c r="D48" s="8">
        <f>SUMPRODUCT((YEAR('Doğrudan Alım İşlemleri'!$B$2:$B$2030)=$A$48)*(MONTH('Doğrudan Alım İşlemleri'!$B$2:$B$2030)=$B$48)*('Doğrudan Alım İşlemleri'!$H$2:$H$2030&lt;&gt;"")*'Doğrudan Alım İşlemleri'!$H$2:$H$2030)</f>
        <v/>
      </c>
      <c r="E48" s="24">
        <f>IFERROR(SUMPRODUCT((YEAR('Doğrudan Alım İşlemleri'!$B$2:$B$2030)=$A$48)*(MONTH('Doğrudan Alım İşlemleri'!$B$2:$B$2030)=$B$48)*ISNUMBER('Doğrudan Alım İşlemleri'!$K$2:$K$2030)*'Doğrudan Alım İşlemleri'!$K$2:$K$2030*('Doğrudan Alım İşlemleri'!$H$2:$H$2030&lt;&gt;"")*'Doğrudan Alım İşlemleri'!$H$2:$H$2030)/D48,"")</f>
        <v/>
      </c>
      <c r="F48" s="24">
        <f>IFERROR(SUMPRODUCT((YEAR('Doğrudan Alım İşlemleri'!$B$2:$B$2030)=$A$48)*(MONTH('Doğrudan Alım İşlemleri'!$B$2:$B$2030)=$B$48)*ISNUMBER('Doğrudan Alım İşlemleri'!$N$2:$N$2030)*'Doğrudan Alım İşlemleri'!$N$2:$N$2030*('Doğrudan Alım İşlemleri'!$H$2:$H$2030&lt;&gt;"")*'Doğrudan Alım İşlemleri'!$H$2:$H$2030)/D48,"")</f>
        <v/>
      </c>
    </row>
    <row r="49">
      <c r="A49" s="16" t="n">
        <v>2015</v>
      </c>
      <c r="B49" s="25" t="n">
        <v>9</v>
      </c>
      <c r="C49" s="11">
        <f>SUMPRODUCT((YEAR('Doğrudan Alım İşlemleri'!$B$2:$B$2030)=$A$49)*(MONTH('Doğrudan Alım İşlemleri'!$B$2:$B$2030)=$B$49)*1)</f>
        <v/>
      </c>
      <c r="D49" s="11">
        <f>SUMPRODUCT((YEAR('Doğrudan Alım İşlemleri'!$B$2:$B$2030)=$A$49)*(MONTH('Doğrudan Alım İşlemleri'!$B$2:$B$2030)=$B$49)*('Doğrudan Alım İşlemleri'!$H$2:$H$2030&lt;&gt;"")*'Doğrudan Alım İşlemleri'!$H$2:$H$2030)</f>
        <v/>
      </c>
      <c r="E49" s="13">
        <f>IFERROR(SUMPRODUCT((YEAR('Doğrudan Alım İşlemleri'!$B$2:$B$2030)=$A$49)*(MONTH('Doğrudan Alım İşlemleri'!$B$2:$B$2030)=$B$49)*ISNUMBER('Doğrudan Alım İşlemleri'!$K$2:$K$2030)*'Doğrudan Alım İşlemleri'!$K$2:$K$2030*('Doğrudan Alım İşlemleri'!$H$2:$H$2030&lt;&gt;"")*'Doğrudan Alım İşlemleri'!$H$2:$H$2030)/D49,"")</f>
        <v/>
      </c>
      <c r="F49" s="13">
        <f>IFERROR(SUMPRODUCT((YEAR('Doğrudan Alım İşlemleri'!$B$2:$B$2030)=$A$49)*(MONTH('Doğrudan Alım İşlemleri'!$B$2:$B$2030)=$B$49)*ISNUMBER('Doğrudan Alım İşlemleri'!$N$2:$N$2030)*'Doğrudan Alım İşlemleri'!$N$2:$N$2030*('Doğrudan Alım İşlemleri'!$H$2:$H$2030&lt;&gt;"")*'Doğrudan Alım İşlemleri'!$H$2:$H$2030)/D49,"")</f>
        <v/>
      </c>
    </row>
    <row r="50">
      <c r="A50" s="15" t="n">
        <v>2015</v>
      </c>
      <c r="B50" s="22" t="n">
        <v>10</v>
      </c>
      <c r="C50" s="8">
        <f>SUMPRODUCT((YEAR('Doğrudan Alım İşlemleri'!$B$2:$B$2030)=$A$50)*(MONTH('Doğrudan Alım İşlemleri'!$B$2:$B$2030)=$B$50)*1)</f>
        <v/>
      </c>
      <c r="D50" s="8">
        <f>SUMPRODUCT((YEAR('Doğrudan Alım İşlemleri'!$B$2:$B$2030)=$A$50)*(MONTH('Doğrudan Alım İşlemleri'!$B$2:$B$2030)=$B$50)*('Doğrudan Alım İşlemleri'!$H$2:$H$2030&lt;&gt;"")*'Doğrudan Alım İşlemleri'!$H$2:$H$2030)</f>
        <v/>
      </c>
      <c r="E50" s="24">
        <f>IFERROR(SUMPRODUCT((YEAR('Doğrudan Alım İşlemleri'!$B$2:$B$2030)=$A$50)*(MONTH('Doğrudan Alım İşlemleri'!$B$2:$B$2030)=$B$50)*ISNUMBER('Doğrudan Alım İşlemleri'!$K$2:$K$2030)*'Doğrudan Alım İşlemleri'!$K$2:$K$2030*('Doğrudan Alım İşlemleri'!$H$2:$H$2030&lt;&gt;"")*'Doğrudan Alım İşlemleri'!$H$2:$H$2030)/D50,"")</f>
        <v/>
      </c>
      <c r="F50" s="24">
        <f>IFERROR(SUMPRODUCT((YEAR('Doğrudan Alım İşlemleri'!$B$2:$B$2030)=$A$50)*(MONTH('Doğrudan Alım İşlemleri'!$B$2:$B$2030)=$B$50)*ISNUMBER('Doğrudan Alım İşlemleri'!$N$2:$N$2030)*'Doğrudan Alım İşlemleri'!$N$2:$N$2030*('Doğrudan Alım İşlemleri'!$H$2:$H$2030&lt;&gt;"")*'Doğrudan Alım İşlemleri'!$H$2:$H$2030)/D50,"")</f>
        <v/>
      </c>
    </row>
    <row r="51">
      <c r="A51" s="16" t="n">
        <v>2016</v>
      </c>
      <c r="B51" s="25" t="n">
        <v>1</v>
      </c>
      <c r="C51" s="11">
        <f>SUMPRODUCT((YEAR('Doğrudan Alım İşlemleri'!$B$2:$B$2030)=$A$51)*(MONTH('Doğrudan Alım İşlemleri'!$B$2:$B$2030)=$B$51)*1)</f>
        <v/>
      </c>
      <c r="D51" s="11">
        <f>SUMPRODUCT((YEAR('Doğrudan Alım İşlemleri'!$B$2:$B$2030)=$A$51)*(MONTH('Doğrudan Alım İşlemleri'!$B$2:$B$2030)=$B$51)*('Doğrudan Alım İşlemleri'!$H$2:$H$2030&lt;&gt;"")*'Doğrudan Alım İşlemleri'!$H$2:$H$2030)</f>
        <v/>
      </c>
      <c r="E51" s="13">
        <f>IFERROR(SUMPRODUCT((YEAR('Doğrudan Alım İşlemleri'!$B$2:$B$2030)=$A$51)*(MONTH('Doğrudan Alım İşlemleri'!$B$2:$B$2030)=$B$51)*ISNUMBER('Doğrudan Alım İşlemleri'!$K$2:$K$2030)*'Doğrudan Alım İşlemleri'!$K$2:$K$2030*('Doğrudan Alım İşlemleri'!$H$2:$H$2030&lt;&gt;"")*'Doğrudan Alım İşlemleri'!$H$2:$H$2030)/D51,"")</f>
        <v/>
      </c>
      <c r="F51" s="13">
        <f>IFERROR(SUMPRODUCT((YEAR('Doğrudan Alım İşlemleri'!$B$2:$B$2030)=$A$51)*(MONTH('Doğrudan Alım İşlemleri'!$B$2:$B$2030)=$B$51)*ISNUMBER('Doğrudan Alım İşlemleri'!$N$2:$N$2030)*'Doğrudan Alım İşlemleri'!$N$2:$N$2030*('Doğrudan Alım İşlemleri'!$H$2:$H$2030&lt;&gt;"")*'Doğrudan Alım İşlemleri'!$H$2:$H$2030)/D51,"")</f>
        <v/>
      </c>
    </row>
    <row r="52">
      <c r="A52" s="15" t="n">
        <v>2016</v>
      </c>
      <c r="B52" s="22" t="n">
        <v>2</v>
      </c>
      <c r="C52" s="8">
        <f>SUMPRODUCT((YEAR('Doğrudan Alım İşlemleri'!$B$2:$B$2030)=$A$52)*(MONTH('Doğrudan Alım İşlemleri'!$B$2:$B$2030)=$B$52)*1)</f>
        <v/>
      </c>
      <c r="D52" s="8">
        <f>SUMPRODUCT((YEAR('Doğrudan Alım İşlemleri'!$B$2:$B$2030)=$A$52)*(MONTH('Doğrudan Alım İşlemleri'!$B$2:$B$2030)=$B$52)*('Doğrudan Alım İşlemleri'!$H$2:$H$2030&lt;&gt;"")*'Doğrudan Alım İşlemleri'!$H$2:$H$2030)</f>
        <v/>
      </c>
      <c r="E52" s="24">
        <f>IFERROR(SUMPRODUCT((YEAR('Doğrudan Alım İşlemleri'!$B$2:$B$2030)=$A$52)*(MONTH('Doğrudan Alım İşlemleri'!$B$2:$B$2030)=$B$52)*ISNUMBER('Doğrudan Alım İşlemleri'!$K$2:$K$2030)*'Doğrudan Alım İşlemleri'!$K$2:$K$2030*('Doğrudan Alım İşlemleri'!$H$2:$H$2030&lt;&gt;"")*'Doğrudan Alım İşlemleri'!$H$2:$H$2030)/D52,"")</f>
        <v/>
      </c>
      <c r="F52" s="24">
        <f>IFERROR(SUMPRODUCT((YEAR('Doğrudan Alım İşlemleri'!$B$2:$B$2030)=$A$52)*(MONTH('Doğrudan Alım İşlemleri'!$B$2:$B$2030)=$B$52)*ISNUMBER('Doğrudan Alım İşlemleri'!$N$2:$N$2030)*'Doğrudan Alım İşlemleri'!$N$2:$N$2030*('Doğrudan Alım İşlemleri'!$H$2:$H$2030&lt;&gt;"")*'Doğrudan Alım İşlemleri'!$H$2:$H$2030)/D52,"")</f>
        <v/>
      </c>
    </row>
    <row r="53">
      <c r="A53" s="16" t="n">
        <v>2016</v>
      </c>
      <c r="B53" s="25" t="n">
        <v>3</v>
      </c>
      <c r="C53" s="11">
        <f>SUMPRODUCT((YEAR('Doğrudan Alım İşlemleri'!$B$2:$B$2030)=$A$53)*(MONTH('Doğrudan Alım İşlemleri'!$B$2:$B$2030)=$B$53)*1)</f>
        <v/>
      </c>
      <c r="D53" s="11">
        <f>SUMPRODUCT((YEAR('Doğrudan Alım İşlemleri'!$B$2:$B$2030)=$A$53)*(MONTH('Doğrudan Alım İşlemleri'!$B$2:$B$2030)=$B$53)*('Doğrudan Alım İşlemleri'!$H$2:$H$2030&lt;&gt;"")*'Doğrudan Alım İşlemleri'!$H$2:$H$2030)</f>
        <v/>
      </c>
      <c r="E53" s="13">
        <f>IFERROR(SUMPRODUCT((YEAR('Doğrudan Alım İşlemleri'!$B$2:$B$2030)=$A$53)*(MONTH('Doğrudan Alım İşlemleri'!$B$2:$B$2030)=$B$53)*ISNUMBER('Doğrudan Alım İşlemleri'!$K$2:$K$2030)*'Doğrudan Alım İşlemleri'!$K$2:$K$2030*('Doğrudan Alım İşlemleri'!$H$2:$H$2030&lt;&gt;"")*'Doğrudan Alım İşlemleri'!$H$2:$H$2030)/D53,"")</f>
        <v/>
      </c>
      <c r="F53" s="13">
        <f>IFERROR(SUMPRODUCT((YEAR('Doğrudan Alım İşlemleri'!$B$2:$B$2030)=$A$53)*(MONTH('Doğrudan Alım İşlemleri'!$B$2:$B$2030)=$B$53)*ISNUMBER('Doğrudan Alım İşlemleri'!$N$2:$N$2030)*'Doğrudan Alım İşlemleri'!$N$2:$N$2030*('Doğrudan Alım İşlemleri'!$H$2:$H$2030&lt;&gt;"")*'Doğrudan Alım İşlemleri'!$H$2:$H$2030)/D53,"")</f>
        <v/>
      </c>
    </row>
    <row r="54">
      <c r="A54" s="15" t="n">
        <v>2016</v>
      </c>
      <c r="B54" s="22" t="n">
        <v>4</v>
      </c>
      <c r="C54" s="8">
        <f>SUMPRODUCT((YEAR('Doğrudan Alım İşlemleri'!$B$2:$B$2030)=$A$54)*(MONTH('Doğrudan Alım İşlemleri'!$B$2:$B$2030)=$B$54)*1)</f>
        <v/>
      </c>
      <c r="D54" s="8">
        <f>SUMPRODUCT((YEAR('Doğrudan Alım İşlemleri'!$B$2:$B$2030)=$A$54)*(MONTH('Doğrudan Alım İşlemleri'!$B$2:$B$2030)=$B$54)*('Doğrudan Alım İşlemleri'!$H$2:$H$2030&lt;&gt;"")*'Doğrudan Alım İşlemleri'!$H$2:$H$2030)</f>
        <v/>
      </c>
      <c r="E54" s="24">
        <f>IFERROR(SUMPRODUCT((YEAR('Doğrudan Alım İşlemleri'!$B$2:$B$2030)=$A$54)*(MONTH('Doğrudan Alım İşlemleri'!$B$2:$B$2030)=$B$54)*ISNUMBER('Doğrudan Alım İşlemleri'!$K$2:$K$2030)*'Doğrudan Alım İşlemleri'!$K$2:$K$2030*('Doğrudan Alım İşlemleri'!$H$2:$H$2030&lt;&gt;"")*'Doğrudan Alım İşlemleri'!$H$2:$H$2030)/D54,"")</f>
        <v/>
      </c>
      <c r="F54" s="24">
        <f>IFERROR(SUMPRODUCT((YEAR('Doğrudan Alım İşlemleri'!$B$2:$B$2030)=$A$54)*(MONTH('Doğrudan Alım İşlemleri'!$B$2:$B$2030)=$B$54)*ISNUMBER('Doğrudan Alım İşlemleri'!$N$2:$N$2030)*'Doğrudan Alım İşlemleri'!$N$2:$N$2030*('Doğrudan Alım İşlemleri'!$H$2:$H$2030&lt;&gt;"")*'Doğrudan Alım İşlemleri'!$H$2:$H$2030)/D54,"")</f>
        <v/>
      </c>
    </row>
    <row r="55">
      <c r="A55" s="16" t="n">
        <v>2016</v>
      </c>
      <c r="B55" s="25" t="n">
        <v>5</v>
      </c>
      <c r="C55" s="11">
        <f>SUMPRODUCT((YEAR('Doğrudan Alım İşlemleri'!$B$2:$B$2030)=$A$55)*(MONTH('Doğrudan Alım İşlemleri'!$B$2:$B$2030)=$B$55)*1)</f>
        <v/>
      </c>
      <c r="D55" s="11">
        <f>SUMPRODUCT((YEAR('Doğrudan Alım İşlemleri'!$B$2:$B$2030)=$A$55)*(MONTH('Doğrudan Alım İşlemleri'!$B$2:$B$2030)=$B$55)*('Doğrudan Alım İşlemleri'!$H$2:$H$2030&lt;&gt;"")*'Doğrudan Alım İşlemleri'!$H$2:$H$2030)</f>
        <v/>
      </c>
      <c r="E55" s="13">
        <f>IFERROR(SUMPRODUCT((YEAR('Doğrudan Alım İşlemleri'!$B$2:$B$2030)=$A$55)*(MONTH('Doğrudan Alım İşlemleri'!$B$2:$B$2030)=$B$55)*ISNUMBER('Doğrudan Alım İşlemleri'!$K$2:$K$2030)*'Doğrudan Alım İşlemleri'!$K$2:$K$2030*('Doğrudan Alım İşlemleri'!$H$2:$H$2030&lt;&gt;"")*'Doğrudan Alım İşlemleri'!$H$2:$H$2030)/D55,"")</f>
        <v/>
      </c>
      <c r="F55" s="13">
        <f>IFERROR(SUMPRODUCT((YEAR('Doğrudan Alım İşlemleri'!$B$2:$B$2030)=$A$55)*(MONTH('Doğrudan Alım İşlemleri'!$B$2:$B$2030)=$B$55)*ISNUMBER('Doğrudan Alım İşlemleri'!$N$2:$N$2030)*'Doğrudan Alım İşlemleri'!$N$2:$N$2030*('Doğrudan Alım İşlemleri'!$H$2:$H$2030&lt;&gt;"")*'Doğrudan Alım İşlemleri'!$H$2:$H$2030)/D55,"")</f>
        <v/>
      </c>
    </row>
    <row r="56">
      <c r="A56" s="15" t="n">
        <v>2016</v>
      </c>
      <c r="B56" s="22" t="n">
        <v>6</v>
      </c>
      <c r="C56" s="8">
        <f>SUMPRODUCT((YEAR('Doğrudan Alım İşlemleri'!$B$2:$B$2030)=$A$56)*(MONTH('Doğrudan Alım İşlemleri'!$B$2:$B$2030)=$B$56)*1)</f>
        <v/>
      </c>
      <c r="D56" s="8">
        <f>SUMPRODUCT((YEAR('Doğrudan Alım İşlemleri'!$B$2:$B$2030)=$A$56)*(MONTH('Doğrudan Alım İşlemleri'!$B$2:$B$2030)=$B$56)*('Doğrudan Alım İşlemleri'!$H$2:$H$2030&lt;&gt;"")*'Doğrudan Alım İşlemleri'!$H$2:$H$2030)</f>
        <v/>
      </c>
      <c r="E56" s="24">
        <f>IFERROR(SUMPRODUCT((YEAR('Doğrudan Alım İşlemleri'!$B$2:$B$2030)=$A$56)*(MONTH('Doğrudan Alım İşlemleri'!$B$2:$B$2030)=$B$56)*ISNUMBER('Doğrudan Alım İşlemleri'!$K$2:$K$2030)*'Doğrudan Alım İşlemleri'!$K$2:$K$2030*('Doğrudan Alım İşlemleri'!$H$2:$H$2030&lt;&gt;"")*'Doğrudan Alım İşlemleri'!$H$2:$H$2030)/D56,"")</f>
        <v/>
      </c>
      <c r="F56" s="24">
        <f>IFERROR(SUMPRODUCT((YEAR('Doğrudan Alım İşlemleri'!$B$2:$B$2030)=$A$56)*(MONTH('Doğrudan Alım İşlemleri'!$B$2:$B$2030)=$B$56)*ISNUMBER('Doğrudan Alım İşlemleri'!$N$2:$N$2030)*'Doğrudan Alım İşlemleri'!$N$2:$N$2030*('Doğrudan Alım İşlemleri'!$H$2:$H$2030&lt;&gt;"")*'Doğrudan Alım İşlemleri'!$H$2:$H$2030)/D56,"")</f>
        <v/>
      </c>
    </row>
    <row r="57">
      <c r="A57" s="16" t="n">
        <v>2016</v>
      </c>
      <c r="B57" s="25" t="n">
        <v>7</v>
      </c>
      <c r="C57" s="11">
        <f>SUMPRODUCT((YEAR('Doğrudan Alım İşlemleri'!$B$2:$B$2030)=$A$57)*(MONTH('Doğrudan Alım İşlemleri'!$B$2:$B$2030)=$B$57)*1)</f>
        <v/>
      </c>
      <c r="D57" s="11">
        <f>SUMPRODUCT((YEAR('Doğrudan Alım İşlemleri'!$B$2:$B$2030)=$A$57)*(MONTH('Doğrudan Alım İşlemleri'!$B$2:$B$2030)=$B$57)*('Doğrudan Alım İşlemleri'!$H$2:$H$2030&lt;&gt;"")*'Doğrudan Alım İşlemleri'!$H$2:$H$2030)</f>
        <v/>
      </c>
      <c r="E57" s="13">
        <f>IFERROR(SUMPRODUCT((YEAR('Doğrudan Alım İşlemleri'!$B$2:$B$2030)=$A$57)*(MONTH('Doğrudan Alım İşlemleri'!$B$2:$B$2030)=$B$57)*ISNUMBER('Doğrudan Alım İşlemleri'!$K$2:$K$2030)*'Doğrudan Alım İşlemleri'!$K$2:$K$2030*('Doğrudan Alım İşlemleri'!$H$2:$H$2030&lt;&gt;"")*'Doğrudan Alım İşlemleri'!$H$2:$H$2030)/D57,"")</f>
        <v/>
      </c>
      <c r="F57" s="13">
        <f>IFERROR(SUMPRODUCT((YEAR('Doğrudan Alım İşlemleri'!$B$2:$B$2030)=$A$57)*(MONTH('Doğrudan Alım İşlemleri'!$B$2:$B$2030)=$B$57)*ISNUMBER('Doğrudan Alım İşlemleri'!$N$2:$N$2030)*'Doğrudan Alım İşlemleri'!$N$2:$N$2030*('Doğrudan Alım İşlemleri'!$H$2:$H$2030&lt;&gt;"")*'Doğrudan Alım İşlemleri'!$H$2:$H$2030)/D57,"")</f>
        <v/>
      </c>
    </row>
    <row r="58">
      <c r="A58" s="15" t="n">
        <v>2016</v>
      </c>
      <c r="B58" s="22" t="n">
        <v>8</v>
      </c>
      <c r="C58" s="8">
        <f>SUMPRODUCT((YEAR('Doğrudan Alım İşlemleri'!$B$2:$B$2030)=$A$58)*(MONTH('Doğrudan Alım İşlemleri'!$B$2:$B$2030)=$B$58)*1)</f>
        <v/>
      </c>
      <c r="D58" s="8">
        <f>SUMPRODUCT((YEAR('Doğrudan Alım İşlemleri'!$B$2:$B$2030)=$A$58)*(MONTH('Doğrudan Alım İşlemleri'!$B$2:$B$2030)=$B$58)*('Doğrudan Alım İşlemleri'!$H$2:$H$2030&lt;&gt;"")*'Doğrudan Alım İşlemleri'!$H$2:$H$2030)</f>
        <v/>
      </c>
      <c r="E58" s="24">
        <f>IFERROR(SUMPRODUCT((YEAR('Doğrudan Alım İşlemleri'!$B$2:$B$2030)=$A$58)*(MONTH('Doğrudan Alım İşlemleri'!$B$2:$B$2030)=$B$58)*ISNUMBER('Doğrudan Alım İşlemleri'!$K$2:$K$2030)*'Doğrudan Alım İşlemleri'!$K$2:$K$2030*('Doğrudan Alım İşlemleri'!$H$2:$H$2030&lt;&gt;"")*'Doğrudan Alım İşlemleri'!$H$2:$H$2030)/D58,"")</f>
        <v/>
      </c>
      <c r="F58" s="24">
        <f>IFERROR(SUMPRODUCT((YEAR('Doğrudan Alım İşlemleri'!$B$2:$B$2030)=$A$58)*(MONTH('Doğrudan Alım İşlemleri'!$B$2:$B$2030)=$B$58)*ISNUMBER('Doğrudan Alım İşlemleri'!$N$2:$N$2030)*'Doğrudan Alım İşlemleri'!$N$2:$N$2030*('Doğrudan Alım İşlemleri'!$H$2:$H$2030&lt;&gt;"")*'Doğrudan Alım İşlemleri'!$H$2:$H$2030)/D58,"")</f>
        <v/>
      </c>
    </row>
    <row r="59">
      <c r="A59" s="16" t="n">
        <v>2016</v>
      </c>
      <c r="B59" s="25" t="n">
        <v>9</v>
      </c>
      <c r="C59" s="11">
        <f>SUMPRODUCT((YEAR('Doğrudan Alım İşlemleri'!$B$2:$B$2030)=$A$59)*(MONTH('Doğrudan Alım İşlemleri'!$B$2:$B$2030)=$B$59)*1)</f>
        <v/>
      </c>
      <c r="D59" s="11">
        <f>SUMPRODUCT((YEAR('Doğrudan Alım İşlemleri'!$B$2:$B$2030)=$A$59)*(MONTH('Doğrudan Alım İşlemleri'!$B$2:$B$2030)=$B$59)*('Doğrudan Alım İşlemleri'!$H$2:$H$2030&lt;&gt;"")*'Doğrudan Alım İşlemleri'!$H$2:$H$2030)</f>
        <v/>
      </c>
      <c r="E59" s="13">
        <f>IFERROR(SUMPRODUCT((YEAR('Doğrudan Alım İşlemleri'!$B$2:$B$2030)=$A$59)*(MONTH('Doğrudan Alım İşlemleri'!$B$2:$B$2030)=$B$59)*ISNUMBER('Doğrudan Alım İşlemleri'!$K$2:$K$2030)*'Doğrudan Alım İşlemleri'!$K$2:$K$2030*('Doğrudan Alım İşlemleri'!$H$2:$H$2030&lt;&gt;"")*'Doğrudan Alım İşlemleri'!$H$2:$H$2030)/D59,"")</f>
        <v/>
      </c>
      <c r="F59" s="13">
        <f>IFERROR(SUMPRODUCT((YEAR('Doğrudan Alım İşlemleri'!$B$2:$B$2030)=$A$59)*(MONTH('Doğrudan Alım İşlemleri'!$B$2:$B$2030)=$B$59)*ISNUMBER('Doğrudan Alım İşlemleri'!$N$2:$N$2030)*'Doğrudan Alım İşlemleri'!$N$2:$N$2030*('Doğrudan Alım İşlemleri'!$H$2:$H$2030&lt;&gt;"")*'Doğrudan Alım İşlemleri'!$H$2:$H$2030)/D59,"")</f>
        <v/>
      </c>
    </row>
    <row r="60">
      <c r="A60" s="15" t="n">
        <v>2016</v>
      </c>
      <c r="B60" s="22" t="n">
        <v>10</v>
      </c>
      <c r="C60" s="8">
        <f>SUMPRODUCT((YEAR('Doğrudan Alım İşlemleri'!$B$2:$B$2030)=$A$60)*(MONTH('Doğrudan Alım İşlemleri'!$B$2:$B$2030)=$B$60)*1)</f>
        <v/>
      </c>
      <c r="D60" s="8">
        <f>SUMPRODUCT((YEAR('Doğrudan Alım İşlemleri'!$B$2:$B$2030)=$A$60)*(MONTH('Doğrudan Alım İşlemleri'!$B$2:$B$2030)=$B$60)*('Doğrudan Alım İşlemleri'!$H$2:$H$2030&lt;&gt;"")*'Doğrudan Alım İşlemleri'!$H$2:$H$2030)</f>
        <v/>
      </c>
      <c r="E60" s="24">
        <f>IFERROR(SUMPRODUCT((YEAR('Doğrudan Alım İşlemleri'!$B$2:$B$2030)=$A$60)*(MONTH('Doğrudan Alım İşlemleri'!$B$2:$B$2030)=$B$60)*ISNUMBER('Doğrudan Alım İşlemleri'!$K$2:$K$2030)*'Doğrudan Alım İşlemleri'!$K$2:$K$2030*('Doğrudan Alım İşlemleri'!$H$2:$H$2030&lt;&gt;"")*'Doğrudan Alım İşlemleri'!$H$2:$H$2030)/D60,"")</f>
        <v/>
      </c>
      <c r="F60" s="24">
        <f>IFERROR(SUMPRODUCT((YEAR('Doğrudan Alım İşlemleri'!$B$2:$B$2030)=$A$60)*(MONTH('Doğrudan Alım İşlemleri'!$B$2:$B$2030)=$B$60)*ISNUMBER('Doğrudan Alım İşlemleri'!$N$2:$N$2030)*'Doğrudan Alım İşlemleri'!$N$2:$N$2030*('Doğrudan Alım İşlemleri'!$H$2:$H$2030&lt;&gt;"")*'Doğrudan Alım İşlemleri'!$H$2:$H$2030)/D60,"")</f>
        <v/>
      </c>
    </row>
    <row r="61">
      <c r="A61" s="16" t="n">
        <v>2016</v>
      </c>
      <c r="B61" s="25" t="n">
        <v>11</v>
      </c>
      <c r="C61" s="11">
        <f>SUMPRODUCT((YEAR('Doğrudan Alım İşlemleri'!$B$2:$B$2030)=$A$61)*(MONTH('Doğrudan Alım İşlemleri'!$B$2:$B$2030)=$B$61)*1)</f>
        <v/>
      </c>
      <c r="D61" s="11">
        <f>SUMPRODUCT((YEAR('Doğrudan Alım İşlemleri'!$B$2:$B$2030)=$A$61)*(MONTH('Doğrudan Alım İşlemleri'!$B$2:$B$2030)=$B$61)*('Doğrudan Alım İşlemleri'!$H$2:$H$2030&lt;&gt;"")*'Doğrudan Alım İşlemleri'!$H$2:$H$2030)</f>
        <v/>
      </c>
      <c r="E61" s="13">
        <f>IFERROR(SUMPRODUCT((YEAR('Doğrudan Alım İşlemleri'!$B$2:$B$2030)=$A$61)*(MONTH('Doğrudan Alım İşlemleri'!$B$2:$B$2030)=$B$61)*ISNUMBER('Doğrudan Alım İşlemleri'!$K$2:$K$2030)*'Doğrudan Alım İşlemleri'!$K$2:$K$2030*('Doğrudan Alım İşlemleri'!$H$2:$H$2030&lt;&gt;"")*'Doğrudan Alım İşlemleri'!$H$2:$H$2030)/D61,"")</f>
        <v/>
      </c>
      <c r="F61" s="13">
        <f>IFERROR(SUMPRODUCT((YEAR('Doğrudan Alım İşlemleri'!$B$2:$B$2030)=$A$61)*(MONTH('Doğrudan Alım İşlemleri'!$B$2:$B$2030)=$B$61)*ISNUMBER('Doğrudan Alım İşlemleri'!$N$2:$N$2030)*'Doğrudan Alım İşlemleri'!$N$2:$N$2030*('Doğrudan Alım İşlemleri'!$H$2:$H$2030&lt;&gt;"")*'Doğrudan Alım İşlemleri'!$H$2:$H$2030)/D61,"")</f>
        <v/>
      </c>
    </row>
    <row r="62">
      <c r="A62" s="15" t="n">
        <v>2016</v>
      </c>
      <c r="B62" s="22" t="n">
        <v>12</v>
      </c>
      <c r="C62" s="8">
        <f>SUMPRODUCT((YEAR('Doğrudan Alım İşlemleri'!$B$2:$B$2030)=$A$62)*(MONTH('Doğrudan Alım İşlemleri'!$B$2:$B$2030)=$B$62)*1)</f>
        <v/>
      </c>
      <c r="D62" s="8">
        <f>SUMPRODUCT((YEAR('Doğrudan Alım İşlemleri'!$B$2:$B$2030)=$A$62)*(MONTH('Doğrudan Alım İşlemleri'!$B$2:$B$2030)=$B$62)*('Doğrudan Alım İşlemleri'!$H$2:$H$2030&lt;&gt;"")*'Doğrudan Alım İşlemleri'!$H$2:$H$2030)</f>
        <v/>
      </c>
      <c r="E62" s="24">
        <f>IFERROR(SUMPRODUCT((YEAR('Doğrudan Alım İşlemleri'!$B$2:$B$2030)=$A$62)*(MONTH('Doğrudan Alım İşlemleri'!$B$2:$B$2030)=$B$62)*ISNUMBER('Doğrudan Alım İşlemleri'!$K$2:$K$2030)*'Doğrudan Alım İşlemleri'!$K$2:$K$2030*('Doğrudan Alım İşlemleri'!$H$2:$H$2030&lt;&gt;"")*'Doğrudan Alım İşlemleri'!$H$2:$H$2030)/D62,"")</f>
        <v/>
      </c>
      <c r="F62" s="24">
        <f>IFERROR(SUMPRODUCT((YEAR('Doğrudan Alım İşlemleri'!$B$2:$B$2030)=$A$62)*(MONTH('Doğrudan Alım İşlemleri'!$B$2:$B$2030)=$B$62)*ISNUMBER('Doğrudan Alım İşlemleri'!$N$2:$N$2030)*'Doğrudan Alım İşlemleri'!$N$2:$N$2030*('Doğrudan Alım İşlemleri'!$H$2:$H$2030&lt;&gt;"")*'Doğrudan Alım İşlemleri'!$H$2:$H$2030)/D62,"")</f>
        <v/>
      </c>
    </row>
    <row r="63">
      <c r="A63" s="16" t="n">
        <v>2017</v>
      </c>
      <c r="B63" s="25" t="n">
        <v>1</v>
      </c>
      <c r="C63" s="11">
        <f>SUMPRODUCT((YEAR('Doğrudan Alım İşlemleri'!$B$2:$B$2030)=$A$63)*(MONTH('Doğrudan Alım İşlemleri'!$B$2:$B$2030)=$B$63)*1)</f>
        <v/>
      </c>
      <c r="D63" s="11">
        <f>SUMPRODUCT((YEAR('Doğrudan Alım İşlemleri'!$B$2:$B$2030)=$A$63)*(MONTH('Doğrudan Alım İşlemleri'!$B$2:$B$2030)=$B$63)*('Doğrudan Alım İşlemleri'!$H$2:$H$2030&lt;&gt;"")*'Doğrudan Alım İşlemleri'!$H$2:$H$2030)</f>
        <v/>
      </c>
      <c r="E63" s="13">
        <f>IFERROR(SUMPRODUCT((YEAR('Doğrudan Alım İşlemleri'!$B$2:$B$2030)=$A$63)*(MONTH('Doğrudan Alım İşlemleri'!$B$2:$B$2030)=$B$63)*ISNUMBER('Doğrudan Alım İşlemleri'!$K$2:$K$2030)*'Doğrudan Alım İşlemleri'!$K$2:$K$2030*('Doğrudan Alım İşlemleri'!$H$2:$H$2030&lt;&gt;"")*'Doğrudan Alım İşlemleri'!$H$2:$H$2030)/D63,"")</f>
        <v/>
      </c>
      <c r="F63" s="13">
        <f>IFERROR(SUMPRODUCT((YEAR('Doğrudan Alım İşlemleri'!$B$2:$B$2030)=$A$63)*(MONTH('Doğrudan Alım İşlemleri'!$B$2:$B$2030)=$B$63)*ISNUMBER('Doğrudan Alım İşlemleri'!$N$2:$N$2030)*'Doğrudan Alım İşlemleri'!$N$2:$N$2030*('Doğrudan Alım İşlemleri'!$H$2:$H$2030&lt;&gt;"")*'Doğrudan Alım İşlemleri'!$H$2:$H$2030)/D63,"")</f>
        <v/>
      </c>
    </row>
    <row r="64">
      <c r="A64" s="15" t="n">
        <v>2017</v>
      </c>
      <c r="B64" s="22" t="n">
        <v>2</v>
      </c>
      <c r="C64" s="8">
        <f>SUMPRODUCT((YEAR('Doğrudan Alım İşlemleri'!$B$2:$B$2030)=$A$64)*(MONTH('Doğrudan Alım İşlemleri'!$B$2:$B$2030)=$B$64)*1)</f>
        <v/>
      </c>
      <c r="D64" s="8">
        <f>SUMPRODUCT((YEAR('Doğrudan Alım İşlemleri'!$B$2:$B$2030)=$A$64)*(MONTH('Doğrudan Alım İşlemleri'!$B$2:$B$2030)=$B$64)*('Doğrudan Alım İşlemleri'!$H$2:$H$2030&lt;&gt;"")*'Doğrudan Alım İşlemleri'!$H$2:$H$2030)</f>
        <v/>
      </c>
      <c r="E64" s="24">
        <f>IFERROR(SUMPRODUCT((YEAR('Doğrudan Alım İşlemleri'!$B$2:$B$2030)=$A$64)*(MONTH('Doğrudan Alım İşlemleri'!$B$2:$B$2030)=$B$64)*ISNUMBER('Doğrudan Alım İşlemleri'!$K$2:$K$2030)*'Doğrudan Alım İşlemleri'!$K$2:$K$2030*('Doğrudan Alım İşlemleri'!$H$2:$H$2030&lt;&gt;"")*'Doğrudan Alım İşlemleri'!$H$2:$H$2030)/D64,"")</f>
        <v/>
      </c>
      <c r="F64" s="24">
        <f>IFERROR(SUMPRODUCT((YEAR('Doğrudan Alım İşlemleri'!$B$2:$B$2030)=$A$64)*(MONTH('Doğrudan Alım İşlemleri'!$B$2:$B$2030)=$B$64)*ISNUMBER('Doğrudan Alım İşlemleri'!$N$2:$N$2030)*'Doğrudan Alım İşlemleri'!$N$2:$N$2030*('Doğrudan Alım İşlemleri'!$H$2:$H$2030&lt;&gt;"")*'Doğrudan Alım İşlemleri'!$H$2:$H$2030)/D64,"")</f>
        <v/>
      </c>
    </row>
    <row r="65">
      <c r="A65" s="16" t="n">
        <v>2017</v>
      </c>
      <c r="B65" s="25" t="n">
        <v>3</v>
      </c>
      <c r="C65" s="11">
        <f>SUMPRODUCT((YEAR('Doğrudan Alım İşlemleri'!$B$2:$B$2030)=$A$65)*(MONTH('Doğrudan Alım İşlemleri'!$B$2:$B$2030)=$B$65)*1)</f>
        <v/>
      </c>
      <c r="D65" s="11">
        <f>SUMPRODUCT((YEAR('Doğrudan Alım İşlemleri'!$B$2:$B$2030)=$A$65)*(MONTH('Doğrudan Alım İşlemleri'!$B$2:$B$2030)=$B$65)*('Doğrudan Alım İşlemleri'!$H$2:$H$2030&lt;&gt;"")*'Doğrudan Alım İşlemleri'!$H$2:$H$2030)</f>
        <v/>
      </c>
      <c r="E65" s="13">
        <f>IFERROR(SUMPRODUCT((YEAR('Doğrudan Alım İşlemleri'!$B$2:$B$2030)=$A$65)*(MONTH('Doğrudan Alım İşlemleri'!$B$2:$B$2030)=$B$65)*ISNUMBER('Doğrudan Alım İşlemleri'!$K$2:$K$2030)*'Doğrudan Alım İşlemleri'!$K$2:$K$2030*('Doğrudan Alım İşlemleri'!$H$2:$H$2030&lt;&gt;"")*'Doğrudan Alım İşlemleri'!$H$2:$H$2030)/D65,"")</f>
        <v/>
      </c>
      <c r="F65" s="13">
        <f>IFERROR(SUMPRODUCT((YEAR('Doğrudan Alım İşlemleri'!$B$2:$B$2030)=$A$65)*(MONTH('Doğrudan Alım İşlemleri'!$B$2:$B$2030)=$B$65)*ISNUMBER('Doğrudan Alım İşlemleri'!$N$2:$N$2030)*'Doğrudan Alım İşlemleri'!$N$2:$N$2030*('Doğrudan Alım İşlemleri'!$H$2:$H$2030&lt;&gt;"")*'Doğrudan Alım İşlemleri'!$H$2:$H$2030)/D65,"")</f>
        <v/>
      </c>
    </row>
    <row r="66">
      <c r="A66" s="15" t="n">
        <v>2018</v>
      </c>
      <c r="B66" s="22" t="n">
        <v>1</v>
      </c>
      <c r="C66" s="8">
        <f>SUMPRODUCT((YEAR('Doğrudan Alım İşlemleri'!$B$2:$B$2030)=$A$66)*(MONTH('Doğrudan Alım İşlemleri'!$B$2:$B$2030)=$B$66)*1)</f>
        <v/>
      </c>
      <c r="D66" s="8">
        <f>SUMPRODUCT((YEAR('Doğrudan Alım İşlemleri'!$B$2:$B$2030)=$A$66)*(MONTH('Doğrudan Alım İşlemleri'!$B$2:$B$2030)=$B$66)*('Doğrudan Alım İşlemleri'!$H$2:$H$2030&lt;&gt;"")*'Doğrudan Alım İşlemleri'!$H$2:$H$2030)</f>
        <v/>
      </c>
      <c r="E66" s="24">
        <f>IFERROR(SUMPRODUCT((YEAR('Doğrudan Alım İşlemleri'!$B$2:$B$2030)=$A$66)*(MONTH('Doğrudan Alım İşlemleri'!$B$2:$B$2030)=$B$66)*ISNUMBER('Doğrudan Alım İşlemleri'!$K$2:$K$2030)*'Doğrudan Alım İşlemleri'!$K$2:$K$2030*('Doğrudan Alım İşlemleri'!$H$2:$H$2030&lt;&gt;"")*'Doğrudan Alım İşlemleri'!$H$2:$H$2030)/D66,"")</f>
        <v/>
      </c>
      <c r="F66" s="24">
        <f>IFERROR(SUMPRODUCT((YEAR('Doğrudan Alım İşlemleri'!$B$2:$B$2030)=$A$66)*(MONTH('Doğrudan Alım İşlemleri'!$B$2:$B$2030)=$B$66)*ISNUMBER('Doğrudan Alım İşlemleri'!$N$2:$N$2030)*'Doğrudan Alım İşlemleri'!$N$2:$N$2030*('Doğrudan Alım İşlemleri'!$H$2:$H$2030&lt;&gt;"")*'Doğrudan Alım İşlemleri'!$H$2:$H$2030)/D66,"")</f>
        <v/>
      </c>
    </row>
    <row r="67">
      <c r="A67" s="16" t="n">
        <v>2018</v>
      </c>
      <c r="B67" s="25" t="n">
        <v>2</v>
      </c>
      <c r="C67" s="11">
        <f>SUMPRODUCT((YEAR('Doğrudan Alım İşlemleri'!$B$2:$B$2030)=$A$67)*(MONTH('Doğrudan Alım İşlemleri'!$B$2:$B$2030)=$B$67)*1)</f>
        <v/>
      </c>
      <c r="D67" s="11">
        <f>SUMPRODUCT((YEAR('Doğrudan Alım İşlemleri'!$B$2:$B$2030)=$A$67)*(MONTH('Doğrudan Alım İşlemleri'!$B$2:$B$2030)=$B$67)*('Doğrudan Alım İşlemleri'!$H$2:$H$2030&lt;&gt;"")*'Doğrudan Alım İşlemleri'!$H$2:$H$2030)</f>
        <v/>
      </c>
      <c r="E67" s="13">
        <f>IFERROR(SUMPRODUCT((YEAR('Doğrudan Alım İşlemleri'!$B$2:$B$2030)=$A$67)*(MONTH('Doğrudan Alım İşlemleri'!$B$2:$B$2030)=$B$67)*ISNUMBER('Doğrudan Alım İşlemleri'!$K$2:$K$2030)*'Doğrudan Alım İşlemleri'!$K$2:$K$2030*('Doğrudan Alım İşlemleri'!$H$2:$H$2030&lt;&gt;"")*'Doğrudan Alım İşlemleri'!$H$2:$H$2030)/D67,"")</f>
        <v/>
      </c>
      <c r="F67" s="13">
        <f>IFERROR(SUMPRODUCT((YEAR('Doğrudan Alım İşlemleri'!$B$2:$B$2030)=$A$67)*(MONTH('Doğrudan Alım İşlemleri'!$B$2:$B$2030)=$B$67)*ISNUMBER('Doğrudan Alım İşlemleri'!$N$2:$N$2030)*'Doğrudan Alım İşlemleri'!$N$2:$N$2030*('Doğrudan Alım İşlemleri'!$H$2:$H$2030&lt;&gt;"")*'Doğrudan Alım İşlemleri'!$H$2:$H$2030)/D67,"")</f>
        <v/>
      </c>
    </row>
    <row r="68">
      <c r="A68" s="15" t="n">
        <v>2018</v>
      </c>
      <c r="B68" s="22" t="n">
        <v>3</v>
      </c>
      <c r="C68" s="8">
        <f>SUMPRODUCT((YEAR('Doğrudan Alım İşlemleri'!$B$2:$B$2030)=$A$68)*(MONTH('Doğrudan Alım İşlemleri'!$B$2:$B$2030)=$B$68)*1)</f>
        <v/>
      </c>
      <c r="D68" s="8">
        <f>SUMPRODUCT((YEAR('Doğrudan Alım İşlemleri'!$B$2:$B$2030)=$A$68)*(MONTH('Doğrudan Alım İşlemleri'!$B$2:$B$2030)=$B$68)*('Doğrudan Alım İşlemleri'!$H$2:$H$2030&lt;&gt;"")*'Doğrudan Alım İşlemleri'!$H$2:$H$2030)</f>
        <v/>
      </c>
      <c r="E68" s="24">
        <f>IFERROR(SUMPRODUCT((YEAR('Doğrudan Alım İşlemleri'!$B$2:$B$2030)=$A$68)*(MONTH('Doğrudan Alım İşlemleri'!$B$2:$B$2030)=$B$68)*ISNUMBER('Doğrudan Alım İşlemleri'!$K$2:$K$2030)*'Doğrudan Alım İşlemleri'!$K$2:$K$2030*('Doğrudan Alım İşlemleri'!$H$2:$H$2030&lt;&gt;"")*'Doğrudan Alım İşlemleri'!$H$2:$H$2030)/D68,"")</f>
        <v/>
      </c>
      <c r="F68" s="24">
        <f>IFERROR(SUMPRODUCT((YEAR('Doğrudan Alım İşlemleri'!$B$2:$B$2030)=$A$68)*(MONTH('Doğrudan Alım İşlemleri'!$B$2:$B$2030)=$B$68)*ISNUMBER('Doğrudan Alım İşlemleri'!$N$2:$N$2030)*'Doğrudan Alım İşlemleri'!$N$2:$N$2030*('Doğrudan Alım İşlemleri'!$H$2:$H$2030&lt;&gt;"")*'Doğrudan Alım İşlemleri'!$H$2:$H$2030)/D68,"")</f>
        <v/>
      </c>
    </row>
    <row r="69">
      <c r="A69" s="16" t="n">
        <v>2018</v>
      </c>
      <c r="B69" s="25" t="n">
        <v>4</v>
      </c>
      <c r="C69" s="11">
        <f>SUMPRODUCT((YEAR('Doğrudan Alım İşlemleri'!$B$2:$B$2030)=$A$69)*(MONTH('Doğrudan Alım İşlemleri'!$B$2:$B$2030)=$B$69)*1)</f>
        <v/>
      </c>
      <c r="D69" s="11">
        <f>SUMPRODUCT((YEAR('Doğrudan Alım İşlemleri'!$B$2:$B$2030)=$A$69)*(MONTH('Doğrudan Alım İşlemleri'!$B$2:$B$2030)=$B$69)*('Doğrudan Alım İşlemleri'!$H$2:$H$2030&lt;&gt;"")*'Doğrudan Alım İşlemleri'!$H$2:$H$2030)</f>
        <v/>
      </c>
      <c r="E69" s="13">
        <f>IFERROR(SUMPRODUCT((YEAR('Doğrudan Alım İşlemleri'!$B$2:$B$2030)=$A$69)*(MONTH('Doğrudan Alım İşlemleri'!$B$2:$B$2030)=$B$69)*ISNUMBER('Doğrudan Alım İşlemleri'!$K$2:$K$2030)*'Doğrudan Alım İşlemleri'!$K$2:$K$2030*('Doğrudan Alım İşlemleri'!$H$2:$H$2030&lt;&gt;"")*'Doğrudan Alım İşlemleri'!$H$2:$H$2030)/D69,"")</f>
        <v/>
      </c>
      <c r="F69" s="13">
        <f>IFERROR(SUMPRODUCT((YEAR('Doğrudan Alım İşlemleri'!$B$2:$B$2030)=$A$69)*(MONTH('Doğrudan Alım İşlemleri'!$B$2:$B$2030)=$B$69)*ISNUMBER('Doğrudan Alım İşlemleri'!$N$2:$N$2030)*'Doğrudan Alım İşlemleri'!$N$2:$N$2030*('Doğrudan Alım İşlemleri'!$H$2:$H$2030&lt;&gt;"")*'Doğrudan Alım İşlemleri'!$H$2:$H$2030)/D69,"")</f>
        <v/>
      </c>
    </row>
    <row r="70">
      <c r="A70" s="15" t="n">
        <v>2018</v>
      </c>
      <c r="B70" s="22" t="n">
        <v>5</v>
      </c>
      <c r="C70" s="8">
        <f>SUMPRODUCT((YEAR('Doğrudan Alım İşlemleri'!$B$2:$B$2030)=$A$70)*(MONTH('Doğrudan Alım İşlemleri'!$B$2:$B$2030)=$B$70)*1)</f>
        <v/>
      </c>
      <c r="D70" s="8">
        <f>SUMPRODUCT((YEAR('Doğrudan Alım İşlemleri'!$B$2:$B$2030)=$A$70)*(MONTH('Doğrudan Alım İşlemleri'!$B$2:$B$2030)=$B$70)*('Doğrudan Alım İşlemleri'!$H$2:$H$2030&lt;&gt;"")*'Doğrudan Alım İşlemleri'!$H$2:$H$2030)</f>
        <v/>
      </c>
      <c r="E70" s="24">
        <f>IFERROR(SUMPRODUCT((YEAR('Doğrudan Alım İşlemleri'!$B$2:$B$2030)=$A$70)*(MONTH('Doğrudan Alım İşlemleri'!$B$2:$B$2030)=$B$70)*ISNUMBER('Doğrudan Alım İşlemleri'!$K$2:$K$2030)*'Doğrudan Alım İşlemleri'!$K$2:$K$2030*('Doğrudan Alım İşlemleri'!$H$2:$H$2030&lt;&gt;"")*'Doğrudan Alım İşlemleri'!$H$2:$H$2030)/D70,"")</f>
        <v/>
      </c>
      <c r="F70" s="24">
        <f>IFERROR(SUMPRODUCT((YEAR('Doğrudan Alım İşlemleri'!$B$2:$B$2030)=$A$70)*(MONTH('Doğrudan Alım İşlemleri'!$B$2:$B$2030)=$B$70)*ISNUMBER('Doğrudan Alım İşlemleri'!$N$2:$N$2030)*'Doğrudan Alım İşlemleri'!$N$2:$N$2030*('Doğrudan Alım İşlemleri'!$H$2:$H$2030&lt;&gt;"")*'Doğrudan Alım İşlemleri'!$H$2:$H$2030)/D70,"")</f>
        <v/>
      </c>
    </row>
    <row r="71">
      <c r="A71" s="16" t="n">
        <v>2018</v>
      </c>
      <c r="B71" s="25" t="n">
        <v>6</v>
      </c>
      <c r="C71" s="11">
        <f>SUMPRODUCT((YEAR('Doğrudan Alım İşlemleri'!$B$2:$B$2030)=$A$71)*(MONTH('Doğrudan Alım İşlemleri'!$B$2:$B$2030)=$B$71)*1)</f>
        <v/>
      </c>
      <c r="D71" s="11">
        <f>SUMPRODUCT((YEAR('Doğrudan Alım İşlemleri'!$B$2:$B$2030)=$A$71)*(MONTH('Doğrudan Alım İşlemleri'!$B$2:$B$2030)=$B$71)*('Doğrudan Alım İşlemleri'!$H$2:$H$2030&lt;&gt;"")*'Doğrudan Alım İşlemleri'!$H$2:$H$2030)</f>
        <v/>
      </c>
      <c r="E71" s="13">
        <f>IFERROR(SUMPRODUCT((YEAR('Doğrudan Alım İşlemleri'!$B$2:$B$2030)=$A$71)*(MONTH('Doğrudan Alım İşlemleri'!$B$2:$B$2030)=$B$71)*ISNUMBER('Doğrudan Alım İşlemleri'!$K$2:$K$2030)*'Doğrudan Alım İşlemleri'!$K$2:$K$2030*('Doğrudan Alım İşlemleri'!$H$2:$H$2030&lt;&gt;"")*'Doğrudan Alım İşlemleri'!$H$2:$H$2030)/D71,"")</f>
        <v/>
      </c>
      <c r="F71" s="13">
        <f>IFERROR(SUMPRODUCT((YEAR('Doğrudan Alım İşlemleri'!$B$2:$B$2030)=$A$71)*(MONTH('Doğrudan Alım İşlemleri'!$B$2:$B$2030)=$B$71)*ISNUMBER('Doğrudan Alım İşlemleri'!$N$2:$N$2030)*'Doğrudan Alım İşlemleri'!$N$2:$N$2030*('Doğrudan Alım İşlemleri'!$H$2:$H$2030&lt;&gt;"")*'Doğrudan Alım İşlemleri'!$H$2:$H$2030)/D71,"")</f>
        <v/>
      </c>
    </row>
    <row r="72">
      <c r="A72" s="15" t="n">
        <v>2018</v>
      </c>
      <c r="B72" s="22" t="n">
        <v>7</v>
      </c>
      <c r="C72" s="8">
        <f>SUMPRODUCT((YEAR('Doğrudan Alım İşlemleri'!$B$2:$B$2030)=$A$72)*(MONTH('Doğrudan Alım İşlemleri'!$B$2:$B$2030)=$B$72)*1)</f>
        <v/>
      </c>
      <c r="D72" s="8">
        <f>SUMPRODUCT((YEAR('Doğrudan Alım İşlemleri'!$B$2:$B$2030)=$A$72)*(MONTH('Doğrudan Alım İşlemleri'!$B$2:$B$2030)=$B$72)*('Doğrudan Alım İşlemleri'!$H$2:$H$2030&lt;&gt;"")*'Doğrudan Alım İşlemleri'!$H$2:$H$2030)</f>
        <v/>
      </c>
      <c r="E72" s="24">
        <f>IFERROR(SUMPRODUCT((YEAR('Doğrudan Alım İşlemleri'!$B$2:$B$2030)=$A$72)*(MONTH('Doğrudan Alım İşlemleri'!$B$2:$B$2030)=$B$72)*ISNUMBER('Doğrudan Alım İşlemleri'!$K$2:$K$2030)*'Doğrudan Alım İşlemleri'!$K$2:$K$2030*('Doğrudan Alım İşlemleri'!$H$2:$H$2030&lt;&gt;"")*'Doğrudan Alım İşlemleri'!$H$2:$H$2030)/D72,"")</f>
        <v/>
      </c>
      <c r="F72" s="24">
        <f>IFERROR(SUMPRODUCT((YEAR('Doğrudan Alım İşlemleri'!$B$2:$B$2030)=$A$72)*(MONTH('Doğrudan Alım İşlemleri'!$B$2:$B$2030)=$B$72)*ISNUMBER('Doğrudan Alım İşlemleri'!$N$2:$N$2030)*'Doğrudan Alım İşlemleri'!$N$2:$N$2030*('Doğrudan Alım İşlemleri'!$H$2:$H$2030&lt;&gt;"")*'Doğrudan Alım İşlemleri'!$H$2:$H$2030)/D72,"")</f>
        <v/>
      </c>
    </row>
    <row r="73">
      <c r="A73" s="16" t="n">
        <v>2018</v>
      </c>
      <c r="B73" s="25" t="n">
        <v>8</v>
      </c>
      <c r="C73" s="11">
        <f>SUMPRODUCT((YEAR('Doğrudan Alım İşlemleri'!$B$2:$B$2030)=$A$73)*(MONTH('Doğrudan Alım İşlemleri'!$B$2:$B$2030)=$B$73)*1)</f>
        <v/>
      </c>
      <c r="D73" s="11">
        <f>SUMPRODUCT((YEAR('Doğrudan Alım İşlemleri'!$B$2:$B$2030)=$A$73)*(MONTH('Doğrudan Alım İşlemleri'!$B$2:$B$2030)=$B$73)*('Doğrudan Alım İşlemleri'!$H$2:$H$2030&lt;&gt;"")*'Doğrudan Alım İşlemleri'!$H$2:$H$2030)</f>
        <v/>
      </c>
      <c r="E73" s="13">
        <f>IFERROR(SUMPRODUCT((YEAR('Doğrudan Alım İşlemleri'!$B$2:$B$2030)=$A$73)*(MONTH('Doğrudan Alım İşlemleri'!$B$2:$B$2030)=$B$73)*ISNUMBER('Doğrudan Alım İşlemleri'!$K$2:$K$2030)*'Doğrudan Alım İşlemleri'!$K$2:$K$2030*('Doğrudan Alım İşlemleri'!$H$2:$H$2030&lt;&gt;"")*'Doğrudan Alım İşlemleri'!$H$2:$H$2030)/D73,"")</f>
        <v/>
      </c>
      <c r="F73" s="13">
        <f>IFERROR(SUMPRODUCT((YEAR('Doğrudan Alım İşlemleri'!$B$2:$B$2030)=$A$73)*(MONTH('Doğrudan Alım İşlemleri'!$B$2:$B$2030)=$B$73)*ISNUMBER('Doğrudan Alım İşlemleri'!$N$2:$N$2030)*'Doğrudan Alım İşlemleri'!$N$2:$N$2030*('Doğrudan Alım İşlemleri'!$H$2:$H$2030&lt;&gt;"")*'Doğrudan Alım İşlemleri'!$H$2:$H$2030)/D73,"")</f>
        <v/>
      </c>
    </row>
    <row r="74">
      <c r="A74" s="15" t="n">
        <v>2018</v>
      </c>
      <c r="B74" s="22" t="n">
        <v>9</v>
      </c>
      <c r="C74" s="8">
        <f>SUMPRODUCT((YEAR('Doğrudan Alım İşlemleri'!$B$2:$B$2030)=$A$74)*(MONTH('Doğrudan Alım İşlemleri'!$B$2:$B$2030)=$B$74)*1)</f>
        <v/>
      </c>
      <c r="D74" s="8">
        <f>SUMPRODUCT((YEAR('Doğrudan Alım İşlemleri'!$B$2:$B$2030)=$A$74)*(MONTH('Doğrudan Alım İşlemleri'!$B$2:$B$2030)=$B$74)*('Doğrudan Alım İşlemleri'!$H$2:$H$2030&lt;&gt;"")*'Doğrudan Alım İşlemleri'!$H$2:$H$2030)</f>
        <v/>
      </c>
      <c r="E74" s="24">
        <f>IFERROR(SUMPRODUCT((YEAR('Doğrudan Alım İşlemleri'!$B$2:$B$2030)=$A$74)*(MONTH('Doğrudan Alım İşlemleri'!$B$2:$B$2030)=$B$74)*ISNUMBER('Doğrudan Alım İşlemleri'!$K$2:$K$2030)*'Doğrudan Alım İşlemleri'!$K$2:$K$2030*('Doğrudan Alım İşlemleri'!$H$2:$H$2030&lt;&gt;"")*'Doğrudan Alım İşlemleri'!$H$2:$H$2030)/D74,"")</f>
        <v/>
      </c>
      <c r="F74" s="24">
        <f>IFERROR(SUMPRODUCT((YEAR('Doğrudan Alım İşlemleri'!$B$2:$B$2030)=$A$74)*(MONTH('Doğrudan Alım İşlemleri'!$B$2:$B$2030)=$B$74)*ISNUMBER('Doğrudan Alım İşlemleri'!$N$2:$N$2030)*'Doğrudan Alım İşlemleri'!$N$2:$N$2030*('Doğrudan Alım İşlemleri'!$H$2:$H$2030&lt;&gt;"")*'Doğrudan Alım İşlemleri'!$H$2:$H$2030)/D74,"")</f>
        <v/>
      </c>
    </row>
    <row r="75">
      <c r="A75" s="16" t="n">
        <v>2018</v>
      </c>
      <c r="B75" s="25" t="n">
        <v>10</v>
      </c>
      <c r="C75" s="11">
        <f>SUMPRODUCT((YEAR('Doğrudan Alım İşlemleri'!$B$2:$B$2030)=$A$75)*(MONTH('Doğrudan Alım İşlemleri'!$B$2:$B$2030)=$B$75)*1)</f>
        <v/>
      </c>
      <c r="D75" s="11">
        <f>SUMPRODUCT((YEAR('Doğrudan Alım İşlemleri'!$B$2:$B$2030)=$A$75)*(MONTH('Doğrudan Alım İşlemleri'!$B$2:$B$2030)=$B$75)*('Doğrudan Alım İşlemleri'!$H$2:$H$2030&lt;&gt;"")*'Doğrudan Alım İşlemleri'!$H$2:$H$2030)</f>
        <v/>
      </c>
      <c r="E75" s="13">
        <f>IFERROR(SUMPRODUCT((YEAR('Doğrudan Alım İşlemleri'!$B$2:$B$2030)=$A$75)*(MONTH('Doğrudan Alım İşlemleri'!$B$2:$B$2030)=$B$75)*ISNUMBER('Doğrudan Alım İşlemleri'!$K$2:$K$2030)*'Doğrudan Alım İşlemleri'!$K$2:$K$2030*('Doğrudan Alım İşlemleri'!$H$2:$H$2030&lt;&gt;"")*'Doğrudan Alım İşlemleri'!$H$2:$H$2030)/D75,"")</f>
        <v/>
      </c>
      <c r="F75" s="13">
        <f>IFERROR(SUMPRODUCT((YEAR('Doğrudan Alım İşlemleri'!$B$2:$B$2030)=$A$75)*(MONTH('Doğrudan Alım İşlemleri'!$B$2:$B$2030)=$B$75)*ISNUMBER('Doğrudan Alım İşlemleri'!$N$2:$N$2030)*'Doğrudan Alım İşlemleri'!$N$2:$N$2030*('Doğrudan Alım İşlemleri'!$H$2:$H$2030&lt;&gt;"")*'Doğrudan Alım İşlemleri'!$H$2:$H$2030)/D75,"")</f>
        <v/>
      </c>
    </row>
    <row r="76">
      <c r="A76" s="15" t="n">
        <v>2018</v>
      </c>
      <c r="B76" s="22" t="n">
        <v>11</v>
      </c>
      <c r="C76" s="8">
        <f>SUMPRODUCT((YEAR('Doğrudan Alım İşlemleri'!$B$2:$B$2030)=$A$76)*(MONTH('Doğrudan Alım İşlemleri'!$B$2:$B$2030)=$B$76)*1)</f>
        <v/>
      </c>
      <c r="D76" s="8">
        <f>SUMPRODUCT((YEAR('Doğrudan Alım İşlemleri'!$B$2:$B$2030)=$A$76)*(MONTH('Doğrudan Alım İşlemleri'!$B$2:$B$2030)=$B$76)*('Doğrudan Alım İşlemleri'!$H$2:$H$2030&lt;&gt;"")*'Doğrudan Alım İşlemleri'!$H$2:$H$2030)</f>
        <v/>
      </c>
      <c r="E76" s="24">
        <f>IFERROR(SUMPRODUCT((YEAR('Doğrudan Alım İşlemleri'!$B$2:$B$2030)=$A$76)*(MONTH('Doğrudan Alım İşlemleri'!$B$2:$B$2030)=$B$76)*ISNUMBER('Doğrudan Alım İşlemleri'!$K$2:$K$2030)*'Doğrudan Alım İşlemleri'!$K$2:$K$2030*('Doğrudan Alım İşlemleri'!$H$2:$H$2030&lt;&gt;"")*'Doğrudan Alım İşlemleri'!$H$2:$H$2030)/D76,"")</f>
        <v/>
      </c>
      <c r="F76" s="24">
        <f>IFERROR(SUMPRODUCT((YEAR('Doğrudan Alım İşlemleri'!$B$2:$B$2030)=$A$76)*(MONTH('Doğrudan Alım İşlemleri'!$B$2:$B$2030)=$B$76)*ISNUMBER('Doğrudan Alım İşlemleri'!$N$2:$N$2030)*'Doğrudan Alım İşlemleri'!$N$2:$N$2030*('Doğrudan Alım İşlemleri'!$H$2:$H$2030&lt;&gt;"")*'Doğrudan Alım İşlemleri'!$H$2:$H$2030)/D76,"")</f>
        <v/>
      </c>
    </row>
    <row r="77">
      <c r="A77" s="16" t="n">
        <v>2018</v>
      </c>
      <c r="B77" s="25" t="n">
        <v>12</v>
      </c>
      <c r="C77" s="11">
        <f>SUMPRODUCT((YEAR('Doğrudan Alım İşlemleri'!$B$2:$B$2030)=$A$77)*(MONTH('Doğrudan Alım İşlemleri'!$B$2:$B$2030)=$B$77)*1)</f>
        <v/>
      </c>
      <c r="D77" s="11">
        <f>SUMPRODUCT((YEAR('Doğrudan Alım İşlemleri'!$B$2:$B$2030)=$A$77)*(MONTH('Doğrudan Alım İşlemleri'!$B$2:$B$2030)=$B$77)*('Doğrudan Alım İşlemleri'!$H$2:$H$2030&lt;&gt;"")*'Doğrudan Alım İşlemleri'!$H$2:$H$2030)</f>
        <v/>
      </c>
      <c r="E77" s="13">
        <f>IFERROR(SUMPRODUCT((YEAR('Doğrudan Alım İşlemleri'!$B$2:$B$2030)=$A$77)*(MONTH('Doğrudan Alım İşlemleri'!$B$2:$B$2030)=$B$77)*ISNUMBER('Doğrudan Alım İşlemleri'!$K$2:$K$2030)*'Doğrudan Alım İşlemleri'!$K$2:$K$2030*('Doğrudan Alım İşlemleri'!$H$2:$H$2030&lt;&gt;"")*'Doğrudan Alım İşlemleri'!$H$2:$H$2030)/D77,"")</f>
        <v/>
      </c>
      <c r="F77" s="13">
        <f>IFERROR(SUMPRODUCT((YEAR('Doğrudan Alım İşlemleri'!$B$2:$B$2030)=$A$77)*(MONTH('Doğrudan Alım İşlemleri'!$B$2:$B$2030)=$B$77)*ISNUMBER('Doğrudan Alım İşlemleri'!$N$2:$N$2030)*'Doğrudan Alım İşlemleri'!$N$2:$N$2030*('Doğrudan Alım İşlemleri'!$H$2:$H$2030&lt;&gt;"")*'Doğrudan Alım İşlemleri'!$H$2:$H$2030)/D77,"")</f>
        <v/>
      </c>
    </row>
    <row r="78">
      <c r="A78" s="15" t="n">
        <v>2019</v>
      </c>
      <c r="B78" s="22" t="n">
        <v>1</v>
      </c>
      <c r="C78" s="8">
        <f>SUMPRODUCT((YEAR('Doğrudan Alım İşlemleri'!$B$2:$B$2030)=$A$78)*(MONTH('Doğrudan Alım İşlemleri'!$B$2:$B$2030)=$B$78)*1)</f>
        <v/>
      </c>
      <c r="D78" s="8">
        <f>SUMPRODUCT((YEAR('Doğrudan Alım İşlemleri'!$B$2:$B$2030)=$A$78)*(MONTH('Doğrudan Alım İşlemleri'!$B$2:$B$2030)=$B$78)*('Doğrudan Alım İşlemleri'!$H$2:$H$2030&lt;&gt;"")*'Doğrudan Alım İşlemleri'!$H$2:$H$2030)</f>
        <v/>
      </c>
      <c r="E78" s="24">
        <f>IFERROR(SUMPRODUCT((YEAR('Doğrudan Alım İşlemleri'!$B$2:$B$2030)=$A$78)*(MONTH('Doğrudan Alım İşlemleri'!$B$2:$B$2030)=$B$78)*ISNUMBER('Doğrudan Alım İşlemleri'!$K$2:$K$2030)*'Doğrudan Alım İşlemleri'!$K$2:$K$2030*('Doğrudan Alım İşlemleri'!$H$2:$H$2030&lt;&gt;"")*'Doğrudan Alım İşlemleri'!$H$2:$H$2030)/D78,"")</f>
        <v/>
      </c>
      <c r="F78" s="24">
        <f>IFERROR(SUMPRODUCT((YEAR('Doğrudan Alım İşlemleri'!$B$2:$B$2030)=$A$78)*(MONTH('Doğrudan Alım İşlemleri'!$B$2:$B$2030)=$B$78)*ISNUMBER('Doğrudan Alım İşlemleri'!$N$2:$N$2030)*'Doğrudan Alım İşlemleri'!$N$2:$N$2030*('Doğrudan Alım İşlemleri'!$H$2:$H$2030&lt;&gt;"")*'Doğrudan Alım İşlemleri'!$H$2:$H$2030)/D78,"")</f>
        <v/>
      </c>
    </row>
    <row r="79">
      <c r="A79" s="16" t="n">
        <v>2019</v>
      </c>
      <c r="B79" s="25" t="n">
        <v>2</v>
      </c>
      <c r="C79" s="11">
        <f>SUMPRODUCT((YEAR('Doğrudan Alım İşlemleri'!$B$2:$B$2030)=$A$79)*(MONTH('Doğrudan Alım İşlemleri'!$B$2:$B$2030)=$B$79)*1)</f>
        <v/>
      </c>
      <c r="D79" s="11">
        <f>SUMPRODUCT((YEAR('Doğrudan Alım İşlemleri'!$B$2:$B$2030)=$A$79)*(MONTH('Doğrudan Alım İşlemleri'!$B$2:$B$2030)=$B$79)*('Doğrudan Alım İşlemleri'!$H$2:$H$2030&lt;&gt;"")*'Doğrudan Alım İşlemleri'!$H$2:$H$2030)</f>
        <v/>
      </c>
      <c r="E79" s="13">
        <f>IFERROR(SUMPRODUCT((YEAR('Doğrudan Alım İşlemleri'!$B$2:$B$2030)=$A$79)*(MONTH('Doğrudan Alım İşlemleri'!$B$2:$B$2030)=$B$79)*ISNUMBER('Doğrudan Alım İşlemleri'!$K$2:$K$2030)*'Doğrudan Alım İşlemleri'!$K$2:$K$2030*('Doğrudan Alım İşlemleri'!$H$2:$H$2030&lt;&gt;"")*'Doğrudan Alım İşlemleri'!$H$2:$H$2030)/D79,"")</f>
        <v/>
      </c>
      <c r="F79" s="13">
        <f>IFERROR(SUMPRODUCT((YEAR('Doğrudan Alım İşlemleri'!$B$2:$B$2030)=$A$79)*(MONTH('Doğrudan Alım İşlemleri'!$B$2:$B$2030)=$B$79)*ISNUMBER('Doğrudan Alım İşlemleri'!$N$2:$N$2030)*'Doğrudan Alım İşlemleri'!$N$2:$N$2030*('Doğrudan Alım İşlemleri'!$H$2:$H$2030&lt;&gt;"")*'Doğrudan Alım İşlemleri'!$H$2:$H$2030)/D79,"")</f>
        <v/>
      </c>
    </row>
    <row r="80">
      <c r="A80" s="15" t="n">
        <v>2019</v>
      </c>
      <c r="B80" s="22" t="n">
        <v>3</v>
      </c>
      <c r="C80" s="8">
        <f>SUMPRODUCT((YEAR('Doğrudan Alım İşlemleri'!$B$2:$B$2030)=$A$80)*(MONTH('Doğrudan Alım İşlemleri'!$B$2:$B$2030)=$B$80)*1)</f>
        <v/>
      </c>
      <c r="D80" s="8">
        <f>SUMPRODUCT((YEAR('Doğrudan Alım İşlemleri'!$B$2:$B$2030)=$A$80)*(MONTH('Doğrudan Alım İşlemleri'!$B$2:$B$2030)=$B$80)*('Doğrudan Alım İşlemleri'!$H$2:$H$2030&lt;&gt;"")*'Doğrudan Alım İşlemleri'!$H$2:$H$2030)</f>
        <v/>
      </c>
      <c r="E80" s="24">
        <f>IFERROR(SUMPRODUCT((YEAR('Doğrudan Alım İşlemleri'!$B$2:$B$2030)=$A$80)*(MONTH('Doğrudan Alım İşlemleri'!$B$2:$B$2030)=$B$80)*ISNUMBER('Doğrudan Alım İşlemleri'!$K$2:$K$2030)*'Doğrudan Alım İşlemleri'!$K$2:$K$2030*('Doğrudan Alım İşlemleri'!$H$2:$H$2030&lt;&gt;"")*'Doğrudan Alım İşlemleri'!$H$2:$H$2030)/D80,"")</f>
        <v/>
      </c>
      <c r="F80" s="24">
        <f>IFERROR(SUMPRODUCT((YEAR('Doğrudan Alım İşlemleri'!$B$2:$B$2030)=$A$80)*(MONTH('Doğrudan Alım İşlemleri'!$B$2:$B$2030)=$B$80)*ISNUMBER('Doğrudan Alım İşlemleri'!$N$2:$N$2030)*'Doğrudan Alım İşlemleri'!$N$2:$N$2030*('Doğrudan Alım İşlemleri'!$H$2:$H$2030&lt;&gt;"")*'Doğrudan Alım İşlemleri'!$H$2:$H$2030)/D80,"")</f>
        <v/>
      </c>
    </row>
    <row r="81">
      <c r="A81" s="16" t="n">
        <v>2019</v>
      </c>
      <c r="B81" s="25" t="n">
        <v>4</v>
      </c>
      <c r="C81" s="11">
        <f>SUMPRODUCT((YEAR('Doğrudan Alım İşlemleri'!$B$2:$B$2030)=$A$81)*(MONTH('Doğrudan Alım İşlemleri'!$B$2:$B$2030)=$B$81)*1)</f>
        <v/>
      </c>
      <c r="D81" s="11">
        <f>SUMPRODUCT((YEAR('Doğrudan Alım İşlemleri'!$B$2:$B$2030)=$A$81)*(MONTH('Doğrudan Alım İşlemleri'!$B$2:$B$2030)=$B$81)*('Doğrudan Alım İşlemleri'!$H$2:$H$2030&lt;&gt;"")*'Doğrudan Alım İşlemleri'!$H$2:$H$2030)</f>
        <v/>
      </c>
      <c r="E81" s="13">
        <f>IFERROR(SUMPRODUCT((YEAR('Doğrudan Alım İşlemleri'!$B$2:$B$2030)=$A$81)*(MONTH('Doğrudan Alım İşlemleri'!$B$2:$B$2030)=$B$81)*ISNUMBER('Doğrudan Alım İşlemleri'!$K$2:$K$2030)*'Doğrudan Alım İşlemleri'!$K$2:$K$2030*('Doğrudan Alım İşlemleri'!$H$2:$H$2030&lt;&gt;"")*'Doğrudan Alım İşlemleri'!$H$2:$H$2030)/D81,"")</f>
        <v/>
      </c>
      <c r="F81" s="13">
        <f>IFERROR(SUMPRODUCT((YEAR('Doğrudan Alım İşlemleri'!$B$2:$B$2030)=$A$81)*(MONTH('Doğrudan Alım İşlemleri'!$B$2:$B$2030)=$B$81)*ISNUMBER('Doğrudan Alım İşlemleri'!$N$2:$N$2030)*'Doğrudan Alım İşlemleri'!$N$2:$N$2030*('Doğrudan Alım İşlemleri'!$H$2:$H$2030&lt;&gt;"")*'Doğrudan Alım İşlemleri'!$H$2:$H$2030)/D81,"")</f>
        <v/>
      </c>
    </row>
    <row r="82">
      <c r="A82" s="15" t="n">
        <v>2019</v>
      </c>
      <c r="B82" s="22" t="n">
        <v>5</v>
      </c>
      <c r="C82" s="8">
        <f>SUMPRODUCT((YEAR('Doğrudan Alım İşlemleri'!$B$2:$B$2030)=$A$82)*(MONTH('Doğrudan Alım İşlemleri'!$B$2:$B$2030)=$B$82)*1)</f>
        <v/>
      </c>
      <c r="D82" s="8">
        <f>SUMPRODUCT((YEAR('Doğrudan Alım İşlemleri'!$B$2:$B$2030)=$A$82)*(MONTH('Doğrudan Alım İşlemleri'!$B$2:$B$2030)=$B$82)*('Doğrudan Alım İşlemleri'!$H$2:$H$2030&lt;&gt;"")*'Doğrudan Alım İşlemleri'!$H$2:$H$2030)</f>
        <v/>
      </c>
      <c r="E82" s="24">
        <f>IFERROR(SUMPRODUCT((YEAR('Doğrudan Alım İşlemleri'!$B$2:$B$2030)=$A$82)*(MONTH('Doğrudan Alım İşlemleri'!$B$2:$B$2030)=$B$82)*ISNUMBER('Doğrudan Alım İşlemleri'!$K$2:$K$2030)*'Doğrudan Alım İşlemleri'!$K$2:$K$2030*('Doğrudan Alım İşlemleri'!$H$2:$H$2030&lt;&gt;"")*'Doğrudan Alım İşlemleri'!$H$2:$H$2030)/D82,"")</f>
        <v/>
      </c>
      <c r="F82" s="24">
        <f>IFERROR(SUMPRODUCT((YEAR('Doğrudan Alım İşlemleri'!$B$2:$B$2030)=$A$82)*(MONTH('Doğrudan Alım İşlemleri'!$B$2:$B$2030)=$B$82)*ISNUMBER('Doğrudan Alım İşlemleri'!$N$2:$N$2030)*'Doğrudan Alım İşlemleri'!$N$2:$N$2030*('Doğrudan Alım İşlemleri'!$H$2:$H$2030&lt;&gt;"")*'Doğrudan Alım İşlemleri'!$H$2:$H$2030)/D82,"")</f>
        <v/>
      </c>
    </row>
    <row r="83">
      <c r="A83" s="16" t="n">
        <v>2019</v>
      </c>
      <c r="B83" s="25" t="n">
        <v>6</v>
      </c>
      <c r="C83" s="11">
        <f>SUMPRODUCT((YEAR('Doğrudan Alım İşlemleri'!$B$2:$B$2030)=$A$83)*(MONTH('Doğrudan Alım İşlemleri'!$B$2:$B$2030)=$B$83)*1)</f>
        <v/>
      </c>
      <c r="D83" s="11">
        <f>SUMPRODUCT((YEAR('Doğrudan Alım İşlemleri'!$B$2:$B$2030)=$A$83)*(MONTH('Doğrudan Alım İşlemleri'!$B$2:$B$2030)=$B$83)*('Doğrudan Alım İşlemleri'!$H$2:$H$2030&lt;&gt;"")*'Doğrudan Alım İşlemleri'!$H$2:$H$2030)</f>
        <v/>
      </c>
      <c r="E83" s="13">
        <f>IFERROR(SUMPRODUCT((YEAR('Doğrudan Alım İşlemleri'!$B$2:$B$2030)=$A$83)*(MONTH('Doğrudan Alım İşlemleri'!$B$2:$B$2030)=$B$83)*ISNUMBER('Doğrudan Alım İşlemleri'!$K$2:$K$2030)*'Doğrudan Alım İşlemleri'!$K$2:$K$2030*('Doğrudan Alım İşlemleri'!$H$2:$H$2030&lt;&gt;"")*'Doğrudan Alım İşlemleri'!$H$2:$H$2030)/D83,"")</f>
        <v/>
      </c>
      <c r="F83" s="13">
        <f>IFERROR(SUMPRODUCT((YEAR('Doğrudan Alım İşlemleri'!$B$2:$B$2030)=$A$83)*(MONTH('Doğrudan Alım İşlemleri'!$B$2:$B$2030)=$B$83)*ISNUMBER('Doğrudan Alım İşlemleri'!$N$2:$N$2030)*'Doğrudan Alım İşlemleri'!$N$2:$N$2030*('Doğrudan Alım İşlemleri'!$H$2:$H$2030&lt;&gt;"")*'Doğrudan Alım İşlemleri'!$H$2:$H$2030)/D83,"")</f>
        <v/>
      </c>
    </row>
    <row r="84">
      <c r="A84" s="15" t="n">
        <v>2019</v>
      </c>
      <c r="B84" s="22" t="n">
        <v>7</v>
      </c>
      <c r="C84" s="8">
        <f>SUMPRODUCT((YEAR('Doğrudan Alım İşlemleri'!$B$2:$B$2030)=$A$84)*(MONTH('Doğrudan Alım İşlemleri'!$B$2:$B$2030)=$B$84)*1)</f>
        <v/>
      </c>
      <c r="D84" s="8">
        <f>SUMPRODUCT((YEAR('Doğrudan Alım İşlemleri'!$B$2:$B$2030)=$A$84)*(MONTH('Doğrudan Alım İşlemleri'!$B$2:$B$2030)=$B$84)*('Doğrudan Alım İşlemleri'!$H$2:$H$2030&lt;&gt;"")*'Doğrudan Alım İşlemleri'!$H$2:$H$2030)</f>
        <v/>
      </c>
      <c r="E84" s="24">
        <f>IFERROR(SUMPRODUCT((YEAR('Doğrudan Alım İşlemleri'!$B$2:$B$2030)=$A$84)*(MONTH('Doğrudan Alım İşlemleri'!$B$2:$B$2030)=$B$84)*ISNUMBER('Doğrudan Alım İşlemleri'!$K$2:$K$2030)*'Doğrudan Alım İşlemleri'!$K$2:$K$2030*('Doğrudan Alım İşlemleri'!$H$2:$H$2030&lt;&gt;"")*'Doğrudan Alım İşlemleri'!$H$2:$H$2030)/D84,"")</f>
        <v/>
      </c>
      <c r="F84" s="24">
        <f>IFERROR(SUMPRODUCT((YEAR('Doğrudan Alım İşlemleri'!$B$2:$B$2030)=$A$84)*(MONTH('Doğrudan Alım İşlemleri'!$B$2:$B$2030)=$B$84)*ISNUMBER('Doğrudan Alım İşlemleri'!$N$2:$N$2030)*'Doğrudan Alım İşlemleri'!$N$2:$N$2030*('Doğrudan Alım İşlemleri'!$H$2:$H$2030&lt;&gt;"")*'Doğrudan Alım İşlemleri'!$H$2:$H$2030)/D84,"")</f>
        <v/>
      </c>
    </row>
    <row r="85">
      <c r="A85" s="16" t="n">
        <v>2019</v>
      </c>
      <c r="B85" s="25" t="n">
        <v>8</v>
      </c>
      <c r="C85" s="11">
        <f>SUMPRODUCT((YEAR('Doğrudan Alım İşlemleri'!$B$2:$B$2030)=$A$85)*(MONTH('Doğrudan Alım İşlemleri'!$B$2:$B$2030)=$B$85)*1)</f>
        <v/>
      </c>
      <c r="D85" s="11">
        <f>SUMPRODUCT((YEAR('Doğrudan Alım İşlemleri'!$B$2:$B$2030)=$A$85)*(MONTH('Doğrudan Alım İşlemleri'!$B$2:$B$2030)=$B$85)*('Doğrudan Alım İşlemleri'!$H$2:$H$2030&lt;&gt;"")*'Doğrudan Alım İşlemleri'!$H$2:$H$2030)</f>
        <v/>
      </c>
      <c r="E85" s="13">
        <f>IFERROR(SUMPRODUCT((YEAR('Doğrudan Alım İşlemleri'!$B$2:$B$2030)=$A$85)*(MONTH('Doğrudan Alım İşlemleri'!$B$2:$B$2030)=$B$85)*ISNUMBER('Doğrudan Alım İşlemleri'!$K$2:$K$2030)*'Doğrudan Alım İşlemleri'!$K$2:$K$2030*('Doğrudan Alım İşlemleri'!$H$2:$H$2030&lt;&gt;"")*'Doğrudan Alım İşlemleri'!$H$2:$H$2030)/D85,"")</f>
        <v/>
      </c>
      <c r="F85" s="13">
        <f>IFERROR(SUMPRODUCT((YEAR('Doğrudan Alım İşlemleri'!$B$2:$B$2030)=$A$85)*(MONTH('Doğrudan Alım İşlemleri'!$B$2:$B$2030)=$B$85)*ISNUMBER('Doğrudan Alım İşlemleri'!$N$2:$N$2030)*'Doğrudan Alım İşlemleri'!$N$2:$N$2030*('Doğrudan Alım İşlemleri'!$H$2:$H$2030&lt;&gt;"")*'Doğrudan Alım İşlemleri'!$H$2:$H$2030)/D85,"")</f>
        <v/>
      </c>
    </row>
    <row r="86">
      <c r="A86" s="15" t="n">
        <v>2019</v>
      </c>
      <c r="B86" s="22" t="n">
        <v>9</v>
      </c>
      <c r="C86" s="8">
        <f>SUMPRODUCT((YEAR('Doğrudan Alım İşlemleri'!$B$2:$B$2030)=$A$86)*(MONTH('Doğrudan Alım İşlemleri'!$B$2:$B$2030)=$B$86)*1)</f>
        <v/>
      </c>
      <c r="D86" s="8">
        <f>SUMPRODUCT((YEAR('Doğrudan Alım İşlemleri'!$B$2:$B$2030)=$A$86)*(MONTH('Doğrudan Alım İşlemleri'!$B$2:$B$2030)=$B$86)*('Doğrudan Alım İşlemleri'!$H$2:$H$2030&lt;&gt;"")*'Doğrudan Alım İşlemleri'!$H$2:$H$2030)</f>
        <v/>
      </c>
      <c r="E86" s="24">
        <f>IFERROR(SUMPRODUCT((YEAR('Doğrudan Alım İşlemleri'!$B$2:$B$2030)=$A$86)*(MONTH('Doğrudan Alım İşlemleri'!$B$2:$B$2030)=$B$86)*ISNUMBER('Doğrudan Alım İşlemleri'!$K$2:$K$2030)*'Doğrudan Alım İşlemleri'!$K$2:$K$2030*('Doğrudan Alım İşlemleri'!$H$2:$H$2030&lt;&gt;"")*'Doğrudan Alım İşlemleri'!$H$2:$H$2030)/D86,"")</f>
        <v/>
      </c>
      <c r="F86" s="24">
        <f>IFERROR(SUMPRODUCT((YEAR('Doğrudan Alım İşlemleri'!$B$2:$B$2030)=$A$86)*(MONTH('Doğrudan Alım İşlemleri'!$B$2:$B$2030)=$B$86)*ISNUMBER('Doğrudan Alım İşlemleri'!$N$2:$N$2030)*'Doğrudan Alım İşlemleri'!$N$2:$N$2030*('Doğrudan Alım İşlemleri'!$H$2:$H$2030&lt;&gt;"")*'Doğrudan Alım İşlemleri'!$H$2:$H$2030)/D86,"")</f>
        <v/>
      </c>
    </row>
    <row r="87">
      <c r="A87" s="16" t="n">
        <v>2019</v>
      </c>
      <c r="B87" s="25" t="n">
        <v>10</v>
      </c>
      <c r="C87" s="11">
        <f>SUMPRODUCT((YEAR('Doğrudan Alım İşlemleri'!$B$2:$B$2030)=$A$87)*(MONTH('Doğrudan Alım İşlemleri'!$B$2:$B$2030)=$B$87)*1)</f>
        <v/>
      </c>
      <c r="D87" s="11">
        <f>SUMPRODUCT((YEAR('Doğrudan Alım İşlemleri'!$B$2:$B$2030)=$A$87)*(MONTH('Doğrudan Alım İşlemleri'!$B$2:$B$2030)=$B$87)*('Doğrudan Alım İşlemleri'!$H$2:$H$2030&lt;&gt;"")*'Doğrudan Alım İşlemleri'!$H$2:$H$2030)</f>
        <v/>
      </c>
      <c r="E87" s="13">
        <f>IFERROR(SUMPRODUCT((YEAR('Doğrudan Alım İşlemleri'!$B$2:$B$2030)=$A$87)*(MONTH('Doğrudan Alım İşlemleri'!$B$2:$B$2030)=$B$87)*ISNUMBER('Doğrudan Alım İşlemleri'!$K$2:$K$2030)*'Doğrudan Alım İşlemleri'!$K$2:$K$2030*('Doğrudan Alım İşlemleri'!$H$2:$H$2030&lt;&gt;"")*'Doğrudan Alım İşlemleri'!$H$2:$H$2030)/D87,"")</f>
        <v/>
      </c>
      <c r="F87" s="13">
        <f>IFERROR(SUMPRODUCT((YEAR('Doğrudan Alım İşlemleri'!$B$2:$B$2030)=$A$87)*(MONTH('Doğrudan Alım İşlemleri'!$B$2:$B$2030)=$B$87)*ISNUMBER('Doğrudan Alım İşlemleri'!$N$2:$N$2030)*'Doğrudan Alım İşlemleri'!$N$2:$N$2030*('Doğrudan Alım İşlemleri'!$H$2:$H$2030&lt;&gt;"")*'Doğrudan Alım İşlemleri'!$H$2:$H$2030)/D87,"")</f>
        <v/>
      </c>
    </row>
    <row r="88">
      <c r="A88" s="15" t="n">
        <v>2019</v>
      </c>
      <c r="B88" s="22" t="n">
        <v>11</v>
      </c>
      <c r="C88" s="8">
        <f>SUMPRODUCT((YEAR('Doğrudan Alım İşlemleri'!$B$2:$B$2030)=$A$88)*(MONTH('Doğrudan Alım İşlemleri'!$B$2:$B$2030)=$B$88)*1)</f>
        <v/>
      </c>
      <c r="D88" s="8">
        <f>SUMPRODUCT((YEAR('Doğrudan Alım İşlemleri'!$B$2:$B$2030)=$A$88)*(MONTH('Doğrudan Alım İşlemleri'!$B$2:$B$2030)=$B$88)*('Doğrudan Alım İşlemleri'!$H$2:$H$2030&lt;&gt;"")*'Doğrudan Alım İşlemleri'!$H$2:$H$2030)</f>
        <v/>
      </c>
      <c r="E88" s="24">
        <f>IFERROR(SUMPRODUCT((YEAR('Doğrudan Alım İşlemleri'!$B$2:$B$2030)=$A$88)*(MONTH('Doğrudan Alım İşlemleri'!$B$2:$B$2030)=$B$88)*ISNUMBER('Doğrudan Alım İşlemleri'!$K$2:$K$2030)*'Doğrudan Alım İşlemleri'!$K$2:$K$2030*('Doğrudan Alım İşlemleri'!$H$2:$H$2030&lt;&gt;"")*'Doğrudan Alım İşlemleri'!$H$2:$H$2030)/D88,"")</f>
        <v/>
      </c>
      <c r="F88" s="24">
        <f>IFERROR(SUMPRODUCT((YEAR('Doğrudan Alım İşlemleri'!$B$2:$B$2030)=$A$88)*(MONTH('Doğrudan Alım İşlemleri'!$B$2:$B$2030)=$B$88)*ISNUMBER('Doğrudan Alım İşlemleri'!$N$2:$N$2030)*'Doğrudan Alım İşlemleri'!$N$2:$N$2030*('Doğrudan Alım İşlemleri'!$H$2:$H$2030&lt;&gt;"")*'Doğrudan Alım İşlemleri'!$H$2:$H$2030)/D88,"")</f>
        <v/>
      </c>
    </row>
    <row r="89">
      <c r="A89" s="16" t="n">
        <v>2019</v>
      </c>
      <c r="B89" s="25" t="n">
        <v>12</v>
      </c>
      <c r="C89" s="11">
        <f>SUMPRODUCT((YEAR('Doğrudan Alım İşlemleri'!$B$2:$B$2030)=$A$89)*(MONTH('Doğrudan Alım İşlemleri'!$B$2:$B$2030)=$B$89)*1)</f>
        <v/>
      </c>
      <c r="D89" s="11">
        <f>SUMPRODUCT((YEAR('Doğrudan Alım İşlemleri'!$B$2:$B$2030)=$A$89)*(MONTH('Doğrudan Alım İşlemleri'!$B$2:$B$2030)=$B$89)*('Doğrudan Alım İşlemleri'!$H$2:$H$2030&lt;&gt;"")*'Doğrudan Alım İşlemleri'!$H$2:$H$2030)</f>
        <v/>
      </c>
      <c r="E89" s="13">
        <f>IFERROR(SUMPRODUCT((YEAR('Doğrudan Alım İşlemleri'!$B$2:$B$2030)=$A$89)*(MONTH('Doğrudan Alım İşlemleri'!$B$2:$B$2030)=$B$89)*ISNUMBER('Doğrudan Alım İşlemleri'!$K$2:$K$2030)*'Doğrudan Alım İşlemleri'!$K$2:$K$2030*('Doğrudan Alım İşlemleri'!$H$2:$H$2030&lt;&gt;"")*'Doğrudan Alım İşlemleri'!$H$2:$H$2030)/D89,"")</f>
        <v/>
      </c>
      <c r="F89" s="13">
        <f>IFERROR(SUMPRODUCT((YEAR('Doğrudan Alım İşlemleri'!$B$2:$B$2030)=$A$89)*(MONTH('Doğrudan Alım İşlemleri'!$B$2:$B$2030)=$B$89)*ISNUMBER('Doğrudan Alım İşlemleri'!$N$2:$N$2030)*'Doğrudan Alım İşlemleri'!$N$2:$N$2030*('Doğrudan Alım İşlemleri'!$H$2:$H$2030&lt;&gt;"")*'Doğrudan Alım İşlemleri'!$H$2:$H$2030)/D89,"")</f>
        <v/>
      </c>
    </row>
    <row r="90">
      <c r="A90" s="15" t="n">
        <v>2020</v>
      </c>
      <c r="B90" s="22" t="n">
        <v>1</v>
      </c>
      <c r="C90" s="8">
        <f>SUMPRODUCT((YEAR('Doğrudan Alım İşlemleri'!$B$2:$B$2030)=$A$90)*(MONTH('Doğrudan Alım İşlemleri'!$B$2:$B$2030)=$B$90)*1)</f>
        <v/>
      </c>
      <c r="D90" s="8">
        <f>SUMPRODUCT((YEAR('Doğrudan Alım İşlemleri'!$B$2:$B$2030)=$A$90)*(MONTH('Doğrudan Alım İşlemleri'!$B$2:$B$2030)=$B$90)*('Doğrudan Alım İşlemleri'!$H$2:$H$2030&lt;&gt;"")*'Doğrudan Alım İşlemleri'!$H$2:$H$2030)</f>
        <v/>
      </c>
      <c r="E90" s="24">
        <f>IFERROR(SUMPRODUCT((YEAR('Doğrudan Alım İşlemleri'!$B$2:$B$2030)=$A$90)*(MONTH('Doğrudan Alım İşlemleri'!$B$2:$B$2030)=$B$90)*ISNUMBER('Doğrudan Alım İşlemleri'!$K$2:$K$2030)*'Doğrudan Alım İşlemleri'!$K$2:$K$2030*('Doğrudan Alım İşlemleri'!$H$2:$H$2030&lt;&gt;"")*'Doğrudan Alım İşlemleri'!$H$2:$H$2030)/D90,"")</f>
        <v/>
      </c>
      <c r="F90" s="24">
        <f>IFERROR(SUMPRODUCT((YEAR('Doğrudan Alım İşlemleri'!$B$2:$B$2030)=$A$90)*(MONTH('Doğrudan Alım İşlemleri'!$B$2:$B$2030)=$B$90)*ISNUMBER('Doğrudan Alım İşlemleri'!$N$2:$N$2030)*'Doğrudan Alım İşlemleri'!$N$2:$N$2030*('Doğrudan Alım İşlemleri'!$H$2:$H$2030&lt;&gt;"")*'Doğrudan Alım İşlemleri'!$H$2:$H$2030)/D90,"")</f>
        <v/>
      </c>
    </row>
    <row r="91">
      <c r="A91" s="16" t="n">
        <v>2020</v>
      </c>
      <c r="B91" s="25" t="n">
        <v>2</v>
      </c>
      <c r="C91" s="11">
        <f>SUMPRODUCT((YEAR('Doğrudan Alım İşlemleri'!$B$2:$B$2030)=$A$91)*(MONTH('Doğrudan Alım İşlemleri'!$B$2:$B$2030)=$B$91)*1)</f>
        <v/>
      </c>
      <c r="D91" s="11">
        <f>SUMPRODUCT((YEAR('Doğrudan Alım İşlemleri'!$B$2:$B$2030)=$A$91)*(MONTH('Doğrudan Alım İşlemleri'!$B$2:$B$2030)=$B$91)*('Doğrudan Alım İşlemleri'!$H$2:$H$2030&lt;&gt;"")*'Doğrudan Alım İşlemleri'!$H$2:$H$2030)</f>
        <v/>
      </c>
      <c r="E91" s="13">
        <f>IFERROR(SUMPRODUCT((YEAR('Doğrudan Alım İşlemleri'!$B$2:$B$2030)=$A$91)*(MONTH('Doğrudan Alım İşlemleri'!$B$2:$B$2030)=$B$91)*ISNUMBER('Doğrudan Alım İşlemleri'!$K$2:$K$2030)*'Doğrudan Alım İşlemleri'!$K$2:$K$2030*('Doğrudan Alım İşlemleri'!$H$2:$H$2030&lt;&gt;"")*'Doğrudan Alım İşlemleri'!$H$2:$H$2030)/D91,"")</f>
        <v/>
      </c>
      <c r="F91" s="13">
        <f>IFERROR(SUMPRODUCT((YEAR('Doğrudan Alım İşlemleri'!$B$2:$B$2030)=$A$91)*(MONTH('Doğrudan Alım İşlemleri'!$B$2:$B$2030)=$B$91)*ISNUMBER('Doğrudan Alım İşlemleri'!$N$2:$N$2030)*'Doğrudan Alım İşlemleri'!$N$2:$N$2030*('Doğrudan Alım İşlemleri'!$H$2:$H$2030&lt;&gt;"")*'Doğrudan Alım İşlemleri'!$H$2:$H$2030)/D91,"")</f>
        <v/>
      </c>
    </row>
    <row r="92">
      <c r="A92" s="15" t="n">
        <v>2020</v>
      </c>
      <c r="B92" s="22" t="n">
        <v>3</v>
      </c>
      <c r="C92" s="8">
        <f>SUMPRODUCT((YEAR('Doğrudan Alım İşlemleri'!$B$2:$B$2030)=$A$92)*(MONTH('Doğrudan Alım İşlemleri'!$B$2:$B$2030)=$B$92)*1)</f>
        <v/>
      </c>
      <c r="D92" s="8">
        <f>SUMPRODUCT((YEAR('Doğrudan Alım İşlemleri'!$B$2:$B$2030)=$A$92)*(MONTH('Doğrudan Alım İşlemleri'!$B$2:$B$2030)=$B$92)*('Doğrudan Alım İşlemleri'!$H$2:$H$2030&lt;&gt;"")*'Doğrudan Alım İşlemleri'!$H$2:$H$2030)</f>
        <v/>
      </c>
      <c r="E92" s="24">
        <f>IFERROR(SUMPRODUCT((YEAR('Doğrudan Alım İşlemleri'!$B$2:$B$2030)=$A$92)*(MONTH('Doğrudan Alım İşlemleri'!$B$2:$B$2030)=$B$92)*ISNUMBER('Doğrudan Alım İşlemleri'!$K$2:$K$2030)*'Doğrudan Alım İşlemleri'!$K$2:$K$2030*('Doğrudan Alım İşlemleri'!$H$2:$H$2030&lt;&gt;"")*'Doğrudan Alım İşlemleri'!$H$2:$H$2030)/D92,"")</f>
        <v/>
      </c>
      <c r="F92" s="24">
        <f>IFERROR(SUMPRODUCT((YEAR('Doğrudan Alım İşlemleri'!$B$2:$B$2030)=$A$92)*(MONTH('Doğrudan Alım İşlemleri'!$B$2:$B$2030)=$B$92)*ISNUMBER('Doğrudan Alım İşlemleri'!$N$2:$N$2030)*'Doğrudan Alım İşlemleri'!$N$2:$N$2030*('Doğrudan Alım İşlemleri'!$H$2:$H$2030&lt;&gt;"")*'Doğrudan Alım İşlemleri'!$H$2:$H$2030)/D92,"")</f>
        <v/>
      </c>
    </row>
    <row r="93">
      <c r="A93" s="16" t="n">
        <v>2020</v>
      </c>
      <c r="B93" s="25" t="n">
        <v>4</v>
      </c>
      <c r="C93" s="11">
        <f>SUMPRODUCT((YEAR('Doğrudan Alım İşlemleri'!$B$2:$B$2030)=$A$93)*(MONTH('Doğrudan Alım İşlemleri'!$B$2:$B$2030)=$B$93)*1)</f>
        <v/>
      </c>
      <c r="D93" s="11">
        <f>SUMPRODUCT((YEAR('Doğrudan Alım İşlemleri'!$B$2:$B$2030)=$A$93)*(MONTH('Doğrudan Alım İşlemleri'!$B$2:$B$2030)=$B$93)*('Doğrudan Alım İşlemleri'!$H$2:$H$2030&lt;&gt;"")*'Doğrudan Alım İşlemleri'!$H$2:$H$2030)</f>
        <v/>
      </c>
      <c r="E93" s="13">
        <f>IFERROR(SUMPRODUCT((YEAR('Doğrudan Alım İşlemleri'!$B$2:$B$2030)=$A$93)*(MONTH('Doğrudan Alım İşlemleri'!$B$2:$B$2030)=$B$93)*ISNUMBER('Doğrudan Alım İşlemleri'!$K$2:$K$2030)*'Doğrudan Alım İşlemleri'!$K$2:$K$2030*('Doğrudan Alım İşlemleri'!$H$2:$H$2030&lt;&gt;"")*'Doğrudan Alım İşlemleri'!$H$2:$H$2030)/D93,"")</f>
        <v/>
      </c>
      <c r="F93" s="13">
        <f>IFERROR(SUMPRODUCT((YEAR('Doğrudan Alım İşlemleri'!$B$2:$B$2030)=$A$93)*(MONTH('Doğrudan Alım İşlemleri'!$B$2:$B$2030)=$B$93)*ISNUMBER('Doğrudan Alım İşlemleri'!$N$2:$N$2030)*'Doğrudan Alım İşlemleri'!$N$2:$N$2030*('Doğrudan Alım İşlemleri'!$H$2:$H$2030&lt;&gt;"")*'Doğrudan Alım İşlemleri'!$H$2:$H$2030)/D93,"")</f>
        <v/>
      </c>
    </row>
    <row r="94">
      <c r="A94" s="15" t="n">
        <v>2020</v>
      </c>
      <c r="B94" s="22" t="n">
        <v>5</v>
      </c>
      <c r="C94" s="8">
        <f>SUMPRODUCT((YEAR('Doğrudan Alım İşlemleri'!$B$2:$B$2030)=$A$94)*(MONTH('Doğrudan Alım İşlemleri'!$B$2:$B$2030)=$B$94)*1)</f>
        <v/>
      </c>
      <c r="D94" s="8">
        <f>SUMPRODUCT((YEAR('Doğrudan Alım İşlemleri'!$B$2:$B$2030)=$A$94)*(MONTH('Doğrudan Alım İşlemleri'!$B$2:$B$2030)=$B$94)*('Doğrudan Alım İşlemleri'!$H$2:$H$2030&lt;&gt;"")*'Doğrudan Alım İşlemleri'!$H$2:$H$2030)</f>
        <v/>
      </c>
      <c r="E94" s="24">
        <f>IFERROR(SUMPRODUCT((YEAR('Doğrudan Alım İşlemleri'!$B$2:$B$2030)=$A$94)*(MONTH('Doğrudan Alım İşlemleri'!$B$2:$B$2030)=$B$94)*ISNUMBER('Doğrudan Alım İşlemleri'!$K$2:$K$2030)*'Doğrudan Alım İşlemleri'!$K$2:$K$2030*('Doğrudan Alım İşlemleri'!$H$2:$H$2030&lt;&gt;"")*'Doğrudan Alım İşlemleri'!$H$2:$H$2030)/D94,"")</f>
        <v/>
      </c>
      <c r="F94" s="24">
        <f>IFERROR(SUMPRODUCT((YEAR('Doğrudan Alım İşlemleri'!$B$2:$B$2030)=$A$94)*(MONTH('Doğrudan Alım İşlemleri'!$B$2:$B$2030)=$B$94)*ISNUMBER('Doğrudan Alım İşlemleri'!$N$2:$N$2030)*'Doğrudan Alım İşlemleri'!$N$2:$N$2030*('Doğrudan Alım İşlemleri'!$H$2:$H$2030&lt;&gt;"")*'Doğrudan Alım İşlemleri'!$H$2:$H$2030)/D94,"")</f>
        <v/>
      </c>
    </row>
    <row r="95">
      <c r="A95" s="16" t="n">
        <v>2020</v>
      </c>
      <c r="B95" s="25" t="n">
        <v>6</v>
      </c>
      <c r="C95" s="11">
        <f>SUMPRODUCT((YEAR('Doğrudan Alım İşlemleri'!$B$2:$B$2030)=$A$95)*(MONTH('Doğrudan Alım İşlemleri'!$B$2:$B$2030)=$B$95)*1)</f>
        <v/>
      </c>
      <c r="D95" s="11">
        <f>SUMPRODUCT((YEAR('Doğrudan Alım İşlemleri'!$B$2:$B$2030)=$A$95)*(MONTH('Doğrudan Alım İşlemleri'!$B$2:$B$2030)=$B$95)*('Doğrudan Alım İşlemleri'!$H$2:$H$2030&lt;&gt;"")*'Doğrudan Alım İşlemleri'!$H$2:$H$2030)</f>
        <v/>
      </c>
      <c r="E95" s="13">
        <f>IFERROR(SUMPRODUCT((YEAR('Doğrudan Alım İşlemleri'!$B$2:$B$2030)=$A$95)*(MONTH('Doğrudan Alım İşlemleri'!$B$2:$B$2030)=$B$95)*ISNUMBER('Doğrudan Alım İşlemleri'!$K$2:$K$2030)*'Doğrudan Alım İşlemleri'!$K$2:$K$2030*('Doğrudan Alım İşlemleri'!$H$2:$H$2030&lt;&gt;"")*'Doğrudan Alım İşlemleri'!$H$2:$H$2030)/D95,"")</f>
        <v/>
      </c>
      <c r="F95" s="13">
        <f>IFERROR(SUMPRODUCT((YEAR('Doğrudan Alım İşlemleri'!$B$2:$B$2030)=$A$95)*(MONTH('Doğrudan Alım İşlemleri'!$B$2:$B$2030)=$B$95)*ISNUMBER('Doğrudan Alım İşlemleri'!$N$2:$N$2030)*'Doğrudan Alım İşlemleri'!$N$2:$N$2030*('Doğrudan Alım İşlemleri'!$H$2:$H$2030&lt;&gt;"")*'Doğrudan Alım İşlemleri'!$H$2:$H$2030)/D95,"")</f>
        <v/>
      </c>
    </row>
    <row r="96">
      <c r="A96" s="15" t="n">
        <v>2020</v>
      </c>
      <c r="B96" s="22" t="n">
        <v>7</v>
      </c>
      <c r="C96" s="8">
        <f>SUMPRODUCT((YEAR('Doğrudan Alım İşlemleri'!$B$2:$B$2030)=$A$96)*(MONTH('Doğrudan Alım İşlemleri'!$B$2:$B$2030)=$B$96)*1)</f>
        <v/>
      </c>
      <c r="D96" s="8">
        <f>SUMPRODUCT((YEAR('Doğrudan Alım İşlemleri'!$B$2:$B$2030)=$A$96)*(MONTH('Doğrudan Alım İşlemleri'!$B$2:$B$2030)=$B$96)*('Doğrudan Alım İşlemleri'!$H$2:$H$2030&lt;&gt;"")*'Doğrudan Alım İşlemleri'!$H$2:$H$2030)</f>
        <v/>
      </c>
      <c r="E96" s="24">
        <f>IFERROR(SUMPRODUCT((YEAR('Doğrudan Alım İşlemleri'!$B$2:$B$2030)=$A$96)*(MONTH('Doğrudan Alım İşlemleri'!$B$2:$B$2030)=$B$96)*ISNUMBER('Doğrudan Alım İşlemleri'!$K$2:$K$2030)*'Doğrudan Alım İşlemleri'!$K$2:$K$2030*('Doğrudan Alım İşlemleri'!$H$2:$H$2030&lt;&gt;"")*'Doğrudan Alım İşlemleri'!$H$2:$H$2030)/D96,"")</f>
        <v/>
      </c>
      <c r="F96" s="24">
        <f>IFERROR(SUMPRODUCT((YEAR('Doğrudan Alım İşlemleri'!$B$2:$B$2030)=$A$96)*(MONTH('Doğrudan Alım İşlemleri'!$B$2:$B$2030)=$B$96)*ISNUMBER('Doğrudan Alım İşlemleri'!$N$2:$N$2030)*'Doğrudan Alım İşlemleri'!$N$2:$N$2030*('Doğrudan Alım İşlemleri'!$H$2:$H$2030&lt;&gt;"")*'Doğrudan Alım İşlemleri'!$H$2:$H$2030)/D96,"")</f>
        <v/>
      </c>
    </row>
    <row r="97">
      <c r="A97" s="16" t="n">
        <v>2022</v>
      </c>
      <c r="B97" s="25" t="n">
        <v>1</v>
      </c>
      <c r="C97" s="11">
        <f>SUMPRODUCT((YEAR('Doğrudan Alım İşlemleri'!$B$2:$B$2030)=$A$97)*(MONTH('Doğrudan Alım İşlemleri'!$B$2:$B$2030)=$B$97)*1)</f>
        <v/>
      </c>
      <c r="D97" s="11">
        <f>SUMPRODUCT((YEAR('Doğrudan Alım İşlemleri'!$B$2:$B$2030)=$A$97)*(MONTH('Doğrudan Alım İşlemleri'!$B$2:$B$2030)=$B$97)*('Doğrudan Alım İşlemleri'!$H$2:$H$2030&lt;&gt;"")*'Doğrudan Alım İşlemleri'!$H$2:$H$2030)</f>
        <v/>
      </c>
      <c r="E97" s="13">
        <f>IFERROR(SUMPRODUCT((YEAR('Doğrudan Alım İşlemleri'!$B$2:$B$2030)=$A$97)*(MONTH('Doğrudan Alım İşlemleri'!$B$2:$B$2030)=$B$97)*ISNUMBER('Doğrudan Alım İşlemleri'!$K$2:$K$2030)*'Doğrudan Alım İşlemleri'!$K$2:$K$2030*('Doğrudan Alım İşlemleri'!$H$2:$H$2030&lt;&gt;"")*'Doğrudan Alım İşlemleri'!$H$2:$H$2030)/D97,"")</f>
        <v/>
      </c>
      <c r="F97" s="13">
        <f>IFERROR(SUMPRODUCT((YEAR('Doğrudan Alım İşlemleri'!$B$2:$B$2030)=$A$97)*(MONTH('Doğrudan Alım İşlemleri'!$B$2:$B$2030)=$B$97)*ISNUMBER('Doğrudan Alım İşlemleri'!$N$2:$N$2030)*'Doğrudan Alım İşlemleri'!$N$2:$N$2030*('Doğrudan Alım İşlemleri'!$H$2:$H$2030&lt;&gt;"")*'Doğrudan Alım İşlemleri'!$H$2:$H$2030)/D97,"")</f>
        <v/>
      </c>
    </row>
    <row r="98">
      <c r="A98" s="15" t="n">
        <v>2022</v>
      </c>
      <c r="B98" s="22" t="n">
        <v>2</v>
      </c>
      <c r="C98" s="8">
        <f>SUMPRODUCT((YEAR('Doğrudan Alım İşlemleri'!$B$2:$B$2030)=$A$98)*(MONTH('Doğrudan Alım İşlemleri'!$B$2:$B$2030)=$B$98)*1)</f>
        <v/>
      </c>
      <c r="D98" s="8">
        <f>SUMPRODUCT((YEAR('Doğrudan Alım İşlemleri'!$B$2:$B$2030)=$A$98)*(MONTH('Doğrudan Alım İşlemleri'!$B$2:$B$2030)=$B$98)*('Doğrudan Alım İşlemleri'!$H$2:$H$2030&lt;&gt;"")*'Doğrudan Alım İşlemleri'!$H$2:$H$2030)</f>
        <v/>
      </c>
      <c r="E98" s="24">
        <f>IFERROR(SUMPRODUCT((YEAR('Doğrudan Alım İşlemleri'!$B$2:$B$2030)=$A$98)*(MONTH('Doğrudan Alım İşlemleri'!$B$2:$B$2030)=$B$98)*ISNUMBER('Doğrudan Alım İşlemleri'!$K$2:$K$2030)*'Doğrudan Alım İşlemleri'!$K$2:$K$2030*('Doğrudan Alım İşlemleri'!$H$2:$H$2030&lt;&gt;"")*'Doğrudan Alım İşlemleri'!$H$2:$H$2030)/D98,"")</f>
        <v/>
      </c>
      <c r="F98" s="24">
        <f>IFERROR(SUMPRODUCT((YEAR('Doğrudan Alım İşlemleri'!$B$2:$B$2030)=$A$98)*(MONTH('Doğrudan Alım İşlemleri'!$B$2:$B$2030)=$B$98)*ISNUMBER('Doğrudan Alım İşlemleri'!$N$2:$N$2030)*'Doğrudan Alım İşlemleri'!$N$2:$N$2030*('Doğrudan Alım İşlemleri'!$H$2:$H$2030&lt;&gt;"")*'Doğrudan Alım İşlemleri'!$H$2:$H$2030)/D98,"")</f>
        <v/>
      </c>
    </row>
    <row r="99">
      <c r="A99" s="16" t="n">
        <v>2022</v>
      </c>
      <c r="B99" s="25" t="n">
        <v>3</v>
      </c>
      <c r="C99" s="11">
        <f>SUMPRODUCT((YEAR('Doğrudan Alım İşlemleri'!$B$2:$B$2030)=$A$99)*(MONTH('Doğrudan Alım İşlemleri'!$B$2:$B$2030)=$B$99)*1)</f>
        <v/>
      </c>
      <c r="D99" s="11">
        <f>SUMPRODUCT((YEAR('Doğrudan Alım İşlemleri'!$B$2:$B$2030)=$A$99)*(MONTH('Doğrudan Alım İşlemleri'!$B$2:$B$2030)=$B$99)*('Doğrudan Alım İşlemleri'!$H$2:$H$2030&lt;&gt;"")*'Doğrudan Alım İşlemleri'!$H$2:$H$2030)</f>
        <v/>
      </c>
      <c r="E99" s="13">
        <f>IFERROR(SUMPRODUCT((YEAR('Doğrudan Alım İşlemleri'!$B$2:$B$2030)=$A$99)*(MONTH('Doğrudan Alım İşlemleri'!$B$2:$B$2030)=$B$99)*ISNUMBER('Doğrudan Alım İşlemleri'!$K$2:$K$2030)*'Doğrudan Alım İşlemleri'!$K$2:$K$2030*('Doğrudan Alım İşlemleri'!$H$2:$H$2030&lt;&gt;"")*'Doğrudan Alım İşlemleri'!$H$2:$H$2030)/D99,"")</f>
        <v/>
      </c>
      <c r="F99" s="13">
        <f>IFERROR(SUMPRODUCT((YEAR('Doğrudan Alım İşlemleri'!$B$2:$B$2030)=$A$99)*(MONTH('Doğrudan Alım İşlemleri'!$B$2:$B$2030)=$B$99)*ISNUMBER('Doğrudan Alım İşlemleri'!$N$2:$N$2030)*'Doğrudan Alım İşlemleri'!$N$2:$N$2030*('Doğrudan Alım İşlemleri'!$H$2:$H$2030&lt;&gt;"")*'Doğrudan Alım İşlemleri'!$H$2:$H$2030)/D99,"")</f>
        <v/>
      </c>
    </row>
    <row r="100">
      <c r="A100" s="15" t="n">
        <v>2022</v>
      </c>
      <c r="B100" s="22" t="n">
        <v>4</v>
      </c>
      <c r="C100" s="8">
        <f>SUMPRODUCT((YEAR('Doğrudan Alım İşlemleri'!$B$2:$B$2030)=$A$100)*(MONTH('Doğrudan Alım İşlemleri'!$B$2:$B$2030)=$B$100)*1)</f>
        <v/>
      </c>
      <c r="D100" s="8">
        <f>SUMPRODUCT((YEAR('Doğrudan Alım İşlemleri'!$B$2:$B$2030)=$A$100)*(MONTH('Doğrudan Alım İşlemleri'!$B$2:$B$2030)=$B$100)*('Doğrudan Alım İşlemleri'!$H$2:$H$2030&lt;&gt;"")*'Doğrudan Alım İşlemleri'!$H$2:$H$2030)</f>
        <v/>
      </c>
      <c r="E100" s="24">
        <f>IFERROR(SUMPRODUCT((YEAR('Doğrudan Alım İşlemleri'!$B$2:$B$2030)=$A$100)*(MONTH('Doğrudan Alım İşlemleri'!$B$2:$B$2030)=$B$100)*ISNUMBER('Doğrudan Alım İşlemleri'!$K$2:$K$2030)*'Doğrudan Alım İşlemleri'!$K$2:$K$2030*('Doğrudan Alım İşlemleri'!$H$2:$H$2030&lt;&gt;"")*'Doğrudan Alım İşlemleri'!$H$2:$H$2030)/D100,"")</f>
        <v/>
      </c>
      <c r="F100" s="24">
        <f>IFERROR(SUMPRODUCT((YEAR('Doğrudan Alım İşlemleri'!$B$2:$B$2030)=$A$100)*(MONTH('Doğrudan Alım İşlemleri'!$B$2:$B$2030)=$B$100)*ISNUMBER('Doğrudan Alım İşlemleri'!$N$2:$N$2030)*'Doğrudan Alım İşlemleri'!$N$2:$N$2030*('Doğrudan Alım İşlemleri'!$H$2:$H$2030&lt;&gt;"")*'Doğrudan Alım İşlemleri'!$H$2:$H$2030)/D100,"")</f>
        <v/>
      </c>
    </row>
    <row r="101">
      <c r="A101" s="16" t="n">
        <v>2022</v>
      </c>
      <c r="B101" s="25" t="n">
        <v>5</v>
      </c>
      <c r="C101" s="11">
        <f>SUMPRODUCT((YEAR('Doğrudan Alım İşlemleri'!$B$2:$B$2030)=$A$101)*(MONTH('Doğrudan Alım İşlemleri'!$B$2:$B$2030)=$B$101)*1)</f>
        <v/>
      </c>
      <c r="D101" s="11">
        <f>SUMPRODUCT((YEAR('Doğrudan Alım İşlemleri'!$B$2:$B$2030)=$A$101)*(MONTH('Doğrudan Alım İşlemleri'!$B$2:$B$2030)=$B$101)*('Doğrudan Alım İşlemleri'!$H$2:$H$2030&lt;&gt;"")*'Doğrudan Alım İşlemleri'!$H$2:$H$2030)</f>
        <v/>
      </c>
      <c r="E101" s="13">
        <f>IFERROR(SUMPRODUCT((YEAR('Doğrudan Alım İşlemleri'!$B$2:$B$2030)=$A$101)*(MONTH('Doğrudan Alım İşlemleri'!$B$2:$B$2030)=$B$101)*ISNUMBER('Doğrudan Alım İşlemleri'!$K$2:$K$2030)*'Doğrudan Alım İşlemleri'!$K$2:$K$2030*('Doğrudan Alım İşlemleri'!$H$2:$H$2030&lt;&gt;"")*'Doğrudan Alım İşlemleri'!$H$2:$H$2030)/D101,"")</f>
        <v/>
      </c>
      <c r="F101" s="13">
        <f>IFERROR(SUMPRODUCT((YEAR('Doğrudan Alım İşlemleri'!$B$2:$B$2030)=$A$101)*(MONTH('Doğrudan Alım İşlemleri'!$B$2:$B$2030)=$B$101)*ISNUMBER('Doğrudan Alım İşlemleri'!$N$2:$N$2030)*'Doğrudan Alım İşlemleri'!$N$2:$N$2030*('Doğrudan Alım İşlemleri'!$H$2:$H$2030&lt;&gt;"")*'Doğrudan Alım İşlemleri'!$H$2:$H$2030)/D101,"")</f>
        <v/>
      </c>
    </row>
    <row r="102">
      <c r="A102" s="15" t="n">
        <v>2022</v>
      </c>
      <c r="B102" s="22" t="n">
        <v>6</v>
      </c>
      <c r="C102" s="8">
        <f>SUMPRODUCT((YEAR('Doğrudan Alım İşlemleri'!$B$2:$B$2030)=$A$102)*(MONTH('Doğrudan Alım İşlemleri'!$B$2:$B$2030)=$B$102)*1)</f>
        <v/>
      </c>
      <c r="D102" s="8">
        <f>SUMPRODUCT((YEAR('Doğrudan Alım İşlemleri'!$B$2:$B$2030)=$A$102)*(MONTH('Doğrudan Alım İşlemleri'!$B$2:$B$2030)=$B$102)*('Doğrudan Alım İşlemleri'!$H$2:$H$2030&lt;&gt;"")*'Doğrudan Alım İşlemleri'!$H$2:$H$2030)</f>
        <v/>
      </c>
      <c r="E102" s="24">
        <f>IFERROR(SUMPRODUCT((YEAR('Doğrudan Alım İşlemleri'!$B$2:$B$2030)=$A$102)*(MONTH('Doğrudan Alım İşlemleri'!$B$2:$B$2030)=$B$102)*ISNUMBER('Doğrudan Alım İşlemleri'!$K$2:$K$2030)*'Doğrudan Alım İşlemleri'!$K$2:$K$2030*('Doğrudan Alım İşlemleri'!$H$2:$H$2030&lt;&gt;"")*'Doğrudan Alım İşlemleri'!$H$2:$H$2030)/D102,"")</f>
        <v/>
      </c>
      <c r="F102" s="24">
        <f>IFERROR(SUMPRODUCT((YEAR('Doğrudan Alım İşlemleri'!$B$2:$B$2030)=$A$102)*(MONTH('Doğrudan Alım İşlemleri'!$B$2:$B$2030)=$B$102)*ISNUMBER('Doğrudan Alım İşlemleri'!$N$2:$N$2030)*'Doğrudan Alım İşlemleri'!$N$2:$N$2030*('Doğrudan Alım İşlemleri'!$H$2:$H$2030&lt;&gt;"")*'Doğrudan Alım İşlemleri'!$H$2:$H$2030)/D102,"")</f>
        <v/>
      </c>
    </row>
    <row r="103">
      <c r="A103" s="16" t="n">
        <v>2022</v>
      </c>
      <c r="B103" s="25" t="n">
        <v>7</v>
      </c>
      <c r="C103" s="11">
        <f>SUMPRODUCT((YEAR('Doğrudan Alım İşlemleri'!$B$2:$B$2030)=$A$103)*(MONTH('Doğrudan Alım İşlemleri'!$B$2:$B$2030)=$B$103)*1)</f>
        <v/>
      </c>
      <c r="D103" s="11">
        <f>SUMPRODUCT((YEAR('Doğrudan Alım İşlemleri'!$B$2:$B$2030)=$A$103)*(MONTH('Doğrudan Alım İşlemleri'!$B$2:$B$2030)=$B$103)*('Doğrudan Alım İşlemleri'!$H$2:$H$2030&lt;&gt;"")*'Doğrudan Alım İşlemleri'!$H$2:$H$2030)</f>
        <v/>
      </c>
      <c r="E103" s="13">
        <f>IFERROR(SUMPRODUCT((YEAR('Doğrudan Alım İşlemleri'!$B$2:$B$2030)=$A$103)*(MONTH('Doğrudan Alım İşlemleri'!$B$2:$B$2030)=$B$103)*ISNUMBER('Doğrudan Alım İşlemleri'!$K$2:$K$2030)*'Doğrudan Alım İşlemleri'!$K$2:$K$2030*('Doğrudan Alım İşlemleri'!$H$2:$H$2030&lt;&gt;"")*'Doğrudan Alım İşlemleri'!$H$2:$H$2030)/D103,"")</f>
        <v/>
      </c>
      <c r="F103" s="13">
        <f>IFERROR(SUMPRODUCT((YEAR('Doğrudan Alım İşlemleri'!$B$2:$B$2030)=$A$103)*(MONTH('Doğrudan Alım İşlemleri'!$B$2:$B$2030)=$B$103)*ISNUMBER('Doğrudan Alım İşlemleri'!$N$2:$N$2030)*'Doğrudan Alım İşlemleri'!$N$2:$N$2030*('Doğrudan Alım İşlemleri'!$H$2:$H$2030&lt;&gt;"")*'Doğrudan Alım İşlemleri'!$H$2:$H$2030)/D103,"")</f>
        <v/>
      </c>
    </row>
    <row r="104">
      <c r="A104" s="15" t="n">
        <v>2022</v>
      </c>
      <c r="B104" s="22" t="n">
        <v>8</v>
      </c>
      <c r="C104" s="8">
        <f>SUMPRODUCT((YEAR('Doğrudan Alım İşlemleri'!$B$2:$B$2030)=$A$104)*(MONTH('Doğrudan Alım İşlemleri'!$B$2:$B$2030)=$B$104)*1)</f>
        <v/>
      </c>
      <c r="D104" s="8">
        <f>SUMPRODUCT((YEAR('Doğrudan Alım İşlemleri'!$B$2:$B$2030)=$A$104)*(MONTH('Doğrudan Alım İşlemleri'!$B$2:$B$2030)=$B$104)*('Doğrudan Alım İşlemleri'!$H$2:$H$2030&lt;&gt;"")*'Doğrudan Alım İşlemleri'!$H$2:$H$2030)</f>
        <v/>
      </c>
      <c r="E104" s="24">
        <f>IFERROR(SUMPRODUCT((YEAR('Doğrudan Alım İşlemleri'!$B$2:$B$2030)=$A$104)*(MONTH('Doğrudan Alım İşlemleri'!$B$2:$B$2030)=$B$104)*ISNUMBER('Doğrudan Alım İşlemleri'!$K$2:$K$2030)*'Doğrudan Alım İşlemleri'!$K$2:$K$2030*('Doğrudan Alım İşlemleri'!$H$2:$H$2030&lt;&gt;"")*'Doğrudan Alım İşlemleri'!$H$2:$H$2030)/D104,"")</f>
        <v/>
      </c>
      <c r="F104" s="24">
        <f>IFERROR(SUMPRODUCT((YEAR('Doğrudan Alım İşlemleri'!$B$2:$B$2030)=$A$104)*(MONTH('Doğrudan Alım İşlemleri'!$B$2:$B$2030)=$B$104)*ISNUMBER('Doğrudan Alım İşlemleri'!$N$2:$N$2030)*'Doğrudan Alım İşlemleri'!$N$2:$N$2030*('Doğrudan Alım İşlemleri'!$H$2:$H$2030&lt;&gt;"")*'Doğrudan Alım İşlemleri'!$H$2:$H$2030)/D104,"")</f>
        <v/>
      </c>
    </row>
    <row r="105">
      <c r="A105" s="16" t="n">
        <v>2022</v>
      </c>
      <c r="B105" s="25" t="n">
        <v>9</v>
      </c>
      <c r="C105" s="11">
        <f>SUMPRODUCT((YEAR('Doğrudan Alım İşlemleri'!$B$2:$B$2030)=$A$105)*(MONTH('Doğrudan Alım İşlemleri'!$B$2:$B$2030)=$B$105)*1)</f>
        <v/>
      </c>
      <c r="D105" s="11">
        <f>SUMPRODUCT((YEAR('Doğrudan Alım İşlemleri'!$B$2:$B$2030)=$A$105)*(MONTH('Doğrudan Alım İşlemleri'!$B$2:$B$2030)=$B$105)*('Doğrudan Alım İşlemleri'!$H$2:$H$2030&lt;&gt;"")*'Doğrudan Alım İşlemleri'!$H$2:$H$2030)</f>
        <v/>
      </c>
      <c r="E105" s="13">
        <f>IFERROR(SUMPRODUCT((YEAR('Doğrudan Alım İşlemleri'!$B$2:$B$2030)=$A$105)*(MONTH('Doğrudan Alım İşlemleri'!$B$2:$B$2030)=$B$105)*ISNUMBER('Doğrudan Alım İşlemleri'!$K$2:$K$2030)*'Doğrudan Alım İşlemleri'!$K$2:$K$2030*('Doğrudan Alım İşlemleri'!$H$2:$H$2030&lt;&gt;"")*'Doğrudan Alım İşlemleri'!$H$2:$H$2030)/D105,"")</f>
        <v/>
      </c>
      <c r="F105" s="13">
        <f>IFERROR(SUMPRODUCT((YEAR('Doğrudan Alım İşlemleri'!$B$2:$B$2030)=$A$105)*(MONTH('Doğrudan Alım İşlemleri'!$B$2:$B$2030)=$B$105)*ISNUMBER('Doğrudan Alım İşlemleri'!$N$2:$N$2030)*'Doğrudan Alım İşlemleri'!$N$2:$N$2030*('Doğrudan Alım İşlemleri'!$H$2:$H$2030&lt;&gt;"")*'Doğrudan Alım İşlemleri'!$H$2:$H$2030)/D105,"")</f>
        <v/>
      </c>
    </row>
    <row r="106">
      <c r="A106" s="15" t="n">
        <v>2022</v>
      </c>
      <c r="B106" s="22" t="n">
        <v>10</v>
      </c>
      <c r="C106" s="8">
        <f>SUMPRODUCT((YEAR('Doğrudan Alım İşlemleri'!$B$2:$B$2030)=$A$106)*(MONTH('Doğrudan Alım İşlemleri'!$B$2:$B$2030)=$B$106)*1)</f>
        <v/>
      </c>
      <c r="D106" s="8">
        <f>SUMPRODUCT((YEAR('Doğrudan Alım İşlemleri'!$B$2:$B$2030)=$A$106)*(MONTH('Doğrudan Alım İşlemleri'!$B$2:$B$2030)=$B$106)*('Doğrudan Alım İşlemleri'!$H$2:$H$2030&lt;&gt;"")*'Doğrudan Alım İşlemleri'!$H$2:$H$2030)</f>
        <v/>
      </c>
      <c r="E106" s="24">
        <f>IFERROR(SUMPRODUCT((YEAR('Doğrudan Alım İşlemleri'!$B$2:$B$2030)=$A$106)*(MONTH('Doğrudan Alım İşlemleri'!$B$2:$B$2030)=$B$106)*ISNUMBER('Doğrudan Alım İşlemleri'!$K$2:$K$2030)*'Doğrudan Alım İşlemleri'!$K$2:$K$2030*('Doğrudan Alım İşlemleri'!$H$2:$H$2030&lt;&gt;"")*'Doğrudan Alım İşlemleri'!$H$2:$H$2030)/D106,"")</f>
        <v/>
      </c>
      <c r="F106" s="24">
        <f>IFERROR(SUMPRODUCT((YEAR('Doğrudan Alım İşlemleri'!$B$2:$B$2030)=$A$106)*(MONTH('Doğrudan Alım İşlemleri'!$B$2:$B$2030)=$B$106)*ISNUMBER('Doğrudan Alım İşlemleri'!$N$2:$N$2030)*'Doğrudan Alım İşlemleri'!$N$2:$N$2030*('Doğrudan Alım İşlemleri'!$H$2:$H$2030&lt;&gt;"")*'Doğrudan Alım İşlemleri'!$H$2:$H$2030)/D106,"")</f>
        <v/>
      </c>
    </row>
    <row r="107">
      <c r="A107" s="16" t="n">
        <v>2022</v>
      </c>
      <c r="B107" s="25" t="n">
        <v>11</v>
      </c>
      <c r="C107" s="11">
        <f>SUMPRODUCT((YEAR('Doğrudan Alım İşlemleri'!$B$2:$B$2030)=$A$107)*(MONTH('Doğrudan Alım İşlemleri'!$B$2:$B$2030)=$B$107)*1)</f>
        <v/>
      </c>
      <c r="D107" s="11">
        <f>SUMPRODUCT((YEAR('Doğrudan Alım İşlemleri'!$B$2:$B$2030)=$A$107)*(MONTH('Doğrudan Alım İşlemleri'!$B$2:$B$2030)=$B$107)*('Doğrudan Alım İşlemleri'!$H$2:$H$2030&lt;&gt;"")*'Doğrudan Alım İşlemleri'!$H$2:$H$2030)</f>
        <v/>
      </c>
      <c r="E107" s="13">
        <f>IFERROR(SUMPRODUCT((YEAR('Doğrudan Alım İşlemleri'!$B$2:$B$2030)=$A$107)*(MONTH('Doğrudan Alım İşlemleri'!$B$2:$B$2030)=$B$107)*ISNUMBER('Doğrudan Alım İşlemleri'!$K$2:$K$2030)*'Doğrudan Alım İşlemleri'!$K$2:$K$2030*('Doğrudan Alım İşlemleri'!$H$2:$H$2030&lt;&gt;"")*'Doğrudan Alım İşlemleri'!$H$2:$H$2030)/D107,"")</f>
        <v/>
      </c>
      <c r="F107" s="13">
        <f>IFERROR(SUMPRODUCT((YEAR('Doğrudan Alım İşlemleri'!$B$2:$B$2030)=$A$107)*(MONTH('Doğrudan Alım İşlemleri'!$B$2:$B$2030)=$B$107)*ISNUMBER('Doğrudan Alım İşlemleri'!$N$2:$N$2030)*'Doğrudan Alım İşlemleri'!$N$2:$N$2030*('Doğrudan Alım İşlemleri'!$H$2:$H$2030&lt;&gt;"")*'Doğrudan Alım İşlemleri'!$H$2:$H$2030)/D107,"")</f>
        <v/>
      </c>
    </row>
    <row r="108">
      <c r="A108" s="15" t="n">
        <v>2022</v>
      </c>
      <c r="B108" s="22" t="n">
        <v>12</v>
      </c>
      <c r="C108" s="8">
        <f>SUMPRODUCT((YEAR('Doğrudan Alım İşlemleri'!$B$2:$B$2030)=$A$108)*(MONTH('Doğrudan Alım İşlemleri'!$B$2:$B$2030)=$B$108)*1)</f>
        <v/>
      </c>
      <c r="D108" s="8">
        <f>SUMPRODUCT((YEAR('Doğrudan Alım İşlemleri'!$B$2:$B$2030)=$A$108)*(MONTH('Doğrudan Alım İşlemleri'!$B$2:$B$2030)=$B$108)*('Doğrudan Alım İşlemleri'!$H$2:$H$2030&lt;&gt;"")*'Doğrudan Alım İşlemleri'!$H$2:$H$2030)</f>
        <v/>
      </c>
      <c r="E108" s="24">
        <f>IFERROR(SUMPRODUCT((YEAR('Doğrudan Alım İşlemleri'!$B$2:$B$2030)=$A$108)*(MONTH('Doğrudan Alım İşlemleri'!$B$2:$B$2030)=$B$108)*ISNUMBER('Doğrudan Alım İşlemleri'!$K$2:$K$2030)*'Doğrudan Alım İşlemleri'!$K$2:$K$2030*('Doğrudan Alım İşlemleri'!$H$2:$H$2030&lt;&gt;"")*'Doğrudan Alım İşlemleri'!$H$2:$H$2030)/D108,"")</f>
        <v/>
      </c>
      <c r="F108" s="24">
        <f>IFERROR(SUMPRODUCT((YEAR('Doğrudan Alım İşlemleri'!$B$2:$B$2030)=$A$108)*(MONTH('Doğrudan Alım İşlemleri'!$B$2:$B$2030)=$B$108)*ISNUMBER('Doğrudan Alım İşlemleri'!$N$2:$N$2030)*'Doğrudan Alım İşlemleri'!$N$2:$N$2030*('Doğrudan Alım İşlemleri'!$H$2:$H$2030&lt;&gt;"")*'Doğrudan Alım İşlemleri'!$H$2:$H$2030)/D108,"")</f>
        <v/>
      </c>
    </row>
    <row r="109">
      <c r="A109" s="16" t="n">
        <v>2023</v>
      </c>
      <c r="B109" s="25" t="n">
        <v>1</v>
      </c>
      <c r="C109" s="11">
        <f>SUMPRODUCT((YEAR('Doğrudan Alım İşlemleri'!$B$2:$B$2030)=$A$109)*(MONTH('Doğrudan Alım İşlemleri'!$B$2:$B$2030)=$B$109)*1)</f>
        <v/>
      </c>
      <c r="D109" s="11">
        <f>SUMPRODUCT((YEAR('Doğrudan Alım İşlemleri'!$B$2:$B$2030)=$A$109)*(MONTH('Doğrudan Alım İşlemleri'!$B$2:$B$2030)=$B$109)*('Doğrudan Alım İşlemleri'!$H$2:$H$2030&lt;&gt;"")*'Doğrudan Alım İşlemleri'!$H$2:$H$2030)</f>
        <v/>
      </c>
      <c r="E109" s="13">
        <f>IFERROR(SUMPRODUCT((YEAR('Doğrudan Alım İşlemleri'!$B$2:$B$2030)=$A$109)*(MONTH('Doğrudan Alım İşlemleri'!$B$2:$B$2030)=$B$109)*ISNUMBER('Doğrudan Alım İşlemleri'!$K$2:$K$2030)*'Doğrudan Alım İşlemleri'!$K$2:$K$2030*('Doğrudan Alım İşlemleri'!$H$2:$H$2030&lt;&gt;"")*'Doğrudan Alım İşlemleri'!$H$2:$H$2030)/D109,"")</f>
        <v/>
      </c>
      <c r="F109" s="13">
        <f>IFERROR(SUMPRODUCT((YEAR('Doğrudan Alım İşlemleri'!$B$2:$B$2030)=$A$109)*(MONTH('Doğrudan Alım İşlemleri'!$B$2:$B$2030)=$B$109)*ISNUMBER('Doğrudan Alım İşlemleri'!$N$2:$N$2030)*'Doğrudan Alım İşlemleri'!$N$2:$N$2030*('Doğrudan Alım İşlemleri'!$H$2:$H$2030&lt;&gt;"")*'Doğrudan Alım İşlemleri'!$H$2:$H$2030)/D109,"")</f>
        <v/>
      </c>
    </row>
    <row r="110">
      <c r="A110" s="15" t="n">
        <v>2023</v>
      </c>
      <c r="B110" s="22" t="n">
        <v>2</v>
      </c>
      <c r="C110" s="8">
        <f>SUMPRODUCT((YEAR('Doğrudan Alım İşlemleri'!$B$2:$B$2030)=$A$110)*(MONTH('Doğrudan Alım İşlemleri'!$B$2:$B$2030)=$B$110)*1)</f>
        <v/>
      </c>
      <c r="D110" s="8">
        <f>SUMPRODUCT((YEAR('Doğrudan Alım İşlemleri'!$B$2:$B$2030)=$A$110)*(MONTH('Doğrudan Alım İşlemleri'!$B$2:$B$2030)=$B$110)*('Doğrudan Alım İşlemleri'!$H$2:$H$2030&lt;&gt;"")*'Doğrudan Alım İşlemleri'!$H$2:$H$2030)</f>
        <v/>
      </c>
      <c r="E110" s="24">
        <f>IFERROR(SUMPRODUCT((YEAR('Doğrudan Alım İşlemleri'!$B$2:$B$2030)=$A$110)*(MONTH('Doğrudan Alım İşlemleri'!$B$2:$B$2030)=$B$110)*ISNUMBER('Doğrudan Alım İşlemleri'!$K$2:$K$2030)*'Doğrudan Alım İşlemleri'!$K$2:$K$2030*('Doğrudan Alım İşlemleri'!$H$2:$H$2030&lt;&gt;"")*'Doğrudan Alım İşlemleri'!$H$2:$H$2030)/D110,"")</f>
        <v/>
      </c>
      <c r="F110" s="24">
        <f>IFERROR(SUMPRODUCT((YEAR('Doğrudan Alım İşlemleri'!$B$2:$B$2030)=$A$110)*(MONTH('Doğrudan Alım İşlemleri'!$B$2:$B$2030)=$B$110)*ISNUMBER('Doğrudan Alım İşlemleri'!$N$2:$N$2030)*'Doğrudan Alım İşlemleri'!$N$2:$N$2030*('Doğrudan Alım İşlemleri'!$H$2:$H$2030&lt;&gt;"")*'Doğrudan Alım İşlemleri'!$H$2:$H$2030)/D110,"")</f>
        <v/>
      </c>
    </row>
    <row r="111">
      <c r="A111" s="16" t="n">
        <v>2023</v>
      </c>
      <c r="B111" s="25" t="n">
        <v>3</v>
      </c>
      <c r="C111" s="11">
        <f>SUMPRODUCT((YEAR('Doğrudan Alım İşlemleri'!$B$2:$B$2030)=$A$111)*(MONTH('Doğrudan Alım İşlemleri'!$B$2:$B$2030)=$B$111)*1)</f>
        <v/>
      </c>
      <c r="D111" s="11">
        <f>SUMPRODUCT((YEAR('Doğrudan Alım İşlemleri'!$B$2:$B$2030)=$A$111)*(MONTH('Doğrudan Alım İşlemleri'!$B$2:$B$2030)=$B$111)*('Doğrudan Alım İşlemleri'!$H$2:$H$2030&lt;&gt;"")*'Doğrudan Alım İşlemleri'!$H$2:$H$2030)</f>
        <v/>
      </c>
      <c r="E111" s="13">
        <f>IFERROR(SUMPRODUCT((YEAR('Doğrudan Alım İşlemleri'!$B$2:$B$2030)=$A$111)*(MONTH('Doğrudan Alım İşlemleri'!$B$2:$B$2030)=$B$111)*ISNUMBER('Doğrudan Alım İşlemleri'!$K$2:$K$2030)*'Doğrudan Alım İşlemleri'!$K$2:$K$2030*('Doğrudan Alım İşlemleri'!$H$2:$H$2030&lt;&gt;"")*'Doğrudan Alım İşlemleri'!$H$2:$H$2030)/D111,"")</f>
        <v/>
      </c>
      <c r="F111" s="13">
        <f>IFERROR(SUMPRODUCT((YEAR('Doğrudan Alım İşlemleri'!$B$2:$B$2030)=$A$111)*(MONTH('Doğrudan Alım İşlemleri'!$B$2:$B$2030)=$B$111)*ISNUMBER('Doğrudan Alım İşlemleri'!$N$2:$N$2030)*'Doğrudan Alım İşlemleri'!$N$2:$N$2030*('Doğrudan Alım İşlemleri'!$H$2:$H$2030&lt;&gt;"")*'Doğrudan Alım İşlemleri'!$H$2:$H$2030)/D111,"")</f>
        <v/>
      </c>
    </row>
    <row r="112">
      <c r="A112" s="15" t="n">
        <v>2023</v>
      </c>
      <c r="B112" s="22" t="n">
        <v>4</v>
      </c>
      <c r="C112" s="8">
        <f>SUMPRODUCT((YEAR('Doğrudan Alım İşlemleri'!$B$2:$B$2030)=$A$112)*(MONTH('Doğrudan Alım İşlemleri'!$B$2:$B$2030)=$B$112)*1)</f>
        <v/>
      </c>
      <c r="D112" s="8">
        <f>SUMPRODUCT((YEAR('Doğrudan Alım İşlemleri'!$B$2:$B$2030)=$A$112)*(MONTH('Doğrudan Alım İşlemleri'!$B$2:$B$2030)=$B$112)*('Doğrudan Alım İşlemleri'!$H$2:$H$2030&lt;&gt;"")*'Doğrudan Alım İşlemleri'!$H$2:$H$2030)</f>
        <v/>
      </c>
      <c r="E112" s="24">
        <f>IFERROR(SUMPRODUCT((YEAR('Doğrudan Alım İşlemleri'!$B$2:$B$2030)=$A$112)*(MONTH('Doğrudan Alım İşlemleri'!$B$2:$B$2030)=$B$112)*ISNUMBER('Doğrudan Alım İşlemleri'!$K$2:$K$2030)*'Doğrudan Alım İşlemleri'!$K$2:$K$2030*('Doğrudan Alım İşlemleri'!$H$2:$H$2030&lt;&gt;"")*'Doğrudan Alım İşlemleri'!$H$2:$H$2030)/D112,"")</f>
        <v/>
      </c>
      <c r="F112" s="24">
        <f>IFERROR(SUMPRODUCT((YEAR('Doğrudan Alım İşlemleri'!$B$2:$B$2030)=$A$112)*(MONTH('Doğrudan Alım İşlemleri'!$B$2:$B$2030)=$B$112)*ISNUMBER('Doğrudan Alım İşlemleri'!$N$2:$N$2030)*'Doğrudan Alım İşlemleri'!$N$2:$N$2030*('Doğrudan Alım İşlemleri'!$H$2:$H$2030&lt;&gt;"")*'Doğrudan Alım İşlemleri'!$H$2:$H$2030)/D112,"")</f>
        <v/>
      </c>
    </row>
    <row r="113">
      <c r="A113" s="16" t="n">
        <v>2023</v>
      </c>
      <c r="B113" s="25" t="n">
        <v>5</v>
      </c>
      <c r="C113" s="11">
        <f>SUMPRODUCT((YEAR('Doğrudan Alım İşlemleri'!$B$2:$B$2030)=$A$113)*(MONTH('Doğrudan Alım İşlemleri'!$B$2:$B$2030)=$B$113)*1)</f>
        <v/>
      </c>
      <c r="D113" s="11">
        <f>SUMPRODUCT((YEAR('Doğrudan Alım İşlemleri'!$B$2:$B$2030)=$A$113)*(MONTH('Doğrudan Alım İşlemleri'!$B$2:$B$2030)=$B$113)*('Doğrudan Alım İşlemleri'!$H$2:$H$2030&lt;&gt;"")*'Doğrudan Alım İşlemleri'!$H$2:$H$2030)</f>
        <v/>
      </c>
      <c r="E113" s="13">
        <f>IFERROR(SUMPRODUCT((YEAR('Doğrudan Alım İşlemleri'!$B$2:$B$2030)=$A$113)*(MONTH('Doğrudan Alım İşlemleri'!$B$2:$B$2030)=$B$113)*ISNUMBER('Doğrudan Alım İşlemleri'!$K$2:$K$2030)*'Doğrudan Alım İşlemleri'!$K$2:$K$2030*('Doğrudan Alım İşlemleri'!$H$2:$H$2030&lt;&gt;"")*'Doğrudan Alım İşlemleri'!$H$2:$H$2030)/D113,"")</f>
        <v/>
      </c>
      <c r="F113" s="13">
        <f>IFERROR(SUMPRODUCT((YEAR('Doğrudan Alım İşlemleri'!$B$2:$B$2030)=$A$113)*(MONTH('Doğrudan Alım İşlemleri'!$B$2:$B$2030)=$B$113)*ISNUMBER('Doğrudan Alım İşlemleri'!$N$2:$N$2030)*'Doğrudan Alım İşlemleri'!$N$2:$N$2030*('Doğrudan Alım İşlemleri'!$H$2:$H$2030&lt;&gt;"")*'Doğrudan Alım İşlemleri'!$H$2:$H$2030)/D113,"")</f>
        <v/>
      </c>
    </row>
    <row r="114">
      <c r="A114" s="15" t="n">
        <v>2023</v>
      </c>
      <c r="B114" s="22" t="n">
        <v>6</v>
      </c>
      <c r="C114" s="8">
        <f>SUMPRODUCT((YEAR('Doğrudan Alım İşlemleri'!$B$2:$B$2030)=$A$114)*(MONTH('Doğrudan Alım İşlemleri'!$B$2:$B$2030)=$B$114)*1)</f>
        <v/>
      </c>
      <c r="D114" s="8">
        <f>SUMPRODUCT((YEAR('Doğrudan Alım İşlemleri'!$B$2:$B$2030)=$A$114)*(MONTH('Doğrudan Alım İşlemleri'!$B$2:$B$2030)=$B$114)*('Doğrudan Alım İşlemleri'!$H$2:$H$2030&lt;&gt;"")*'Doğrudan Alım İşlemleri'!$H$2:$H$2030)</f>
        <v/>
      </c>
      <c r="E114" s="24">
        <f>IFERROR(SUMPRODUCT((YEAR('Doğrudan Alım İşlemleri'!$B$2:$B$2030)=$A$114)*(MONTH('Doğrudan Alım İşlemleri'!$B$2:$B$2030)=$B$114)*ISNUMBER('Doğrudan Alım İşlemleri'!$K$2:$K$2030)*'Doğrudan Alım İşlemleri'!$K$2:$K$2030*('Doğrudan Alım İşlemleri'!$H$2:$H$2030&lt;&gt;"")*'Doğrudan Alım İşlemleri'!$H$2:$H$2030)/D114,"")</f>
        <v/>
      </c>
      <c r="F114" s="24">
        <f>IFERROR(SUMPRODUCT((YEAR('Doğrudan Alım İşlemleri'!$B$2:$B$2030)=$A$114)*(MONTH('Doğrudan Alım İşlemleri'!$B$2:$B$2030)=$B$114)*ISNUMBER('Doğrudan Alım İşlemleri'!$N$2:$N$2030)*'Doğrudan Alım İşlemleri'!$N$2:$N$2030*('Doğrudan Alım İşlemleri'!$H$2:$H$2030&lt;&gt;"")*'Doğrudan Alım İşlemleri'!$H$2:$H$2030)/D114,"")</f>
        <v/>
      </c>
    </row>
    <row r="115">
      <c r="A115" s="16" t="n">
        <v>2024</v>
      </c>
      <c r="B115" s="25" t="n">
        <v>5</v>
      </c>
      <c r="C115" s="11">
        <f>SUMPRODUCT((YEAR('Doğrudan Alım İşlemleri'!$B$2:$B$2030)=$A$115)*(MONTH('Doğrudan Alım İşlemleri'!$B$2:$B$2030)=$B$115)*1)</f>
        <v/>
      </c>
      <c r="D115" s="11">
        <f>SUMPRODUCT((YEAR('Doğrudan Alım İşlemleri'!$B$2:$B$2030)=$A$115)*(MONTH('Doğrudan Alım İşlemleri'!$B$2:$B$2030)=$B$115)*('Doğrudan Alım İşlemleri'!$H$2:$H$2030&lt;&gt;"")*'Doğrudan Alım İşlemleri'!$H$2:$H$2030)</f>
        <v/>
      </c>
      <c r="E115" s="13">
        <f>IFERROR(SUMPRODUCT((YEAR('Doğrudan Alım İşlemleri'!$B$2:$B$2030)=$A$115)*(MONTH('Doğrudan Alım İşlemleri'!$B$2:$B$2030)=$B$115)*ISNUMBER('Doğrudan Alım İşlemleri'!$K$2:$K$2030)*'Doğrudan Alım İşlemleri'!$K$2:$K$2030*('Doğrudan Alım İşlemleri'!$H$2:$H$2030&lt;&gt;"")*'Doğrudan Alım İşlemleri'!$H$2:$H$2030)/D115,"")</f>
        <v/>
      </c>
      <c r="F115" s="13">
        <f>IFERROR(SUMPRODUCT((YEAR('Doğrudan Alım İşlemleri'!$B$2:$B$2030)=$A$115)*(MONTH('Doğrudan Alım İşlemleri'!$B$2:$B$2030)=$B$115)*ISNUMBER('Doğrudan Alım İşlemleri'!$N$2:$N$2030)*'Doğrudan Alım İşlemleri'!$N$2:$N$2030*('Doğrudan Alım İşlemleri'!$H$2:$H$2030&lt;&gt;"")*'Doğrudan Alım İşlemleri'!$H$2:$H$2030)/D115,"")</f>
        <v/>
      </c>
    </row>
    <row r="116">
      <c r="A116" s="15" t="n">
        <v>2024</v>
      </c>
      <c r="B116" s="22" t="n">
        <v>6</v>
      </c>
      <c r="C116" s="8">
        <f>SUMPRODUCT((YEAR('Doğrudan Alım İşlemleri'!$B$2:$B$2030)=$A$116)*(MONTH('Doğrudan Alım İşlemleri'!$B$2:$B$2030)=$B$116)*1)</f>
        <v/>
      </c>
      <c r="D116" s="8">
        <f>SUMPRODUCT((YEAR('Doğrudan Alım İşlemleri'!$B$2:$B$2030)=$A$116)*(MONTH('Doğrudan Alım İşlemleri'!$B$2:$B$2030)=$B$116)*('Doğrudan Alım İşlemleri'!$H$2:$H$2030&lt;&gt;"")*'Doğrudan Alım İşlemleri'!$H$2:$H$2030)</f>
        <v/>
      </c>
      <c r="E116" s="24">
        <f>IFERROR(SUMPRODUCT((YEAR('Doğrudan Alım İşlemleri'!$B$2:$B$2030)=$A$116)*(MONTH('Doğrudan Alım İşlemleri'!$B$2:$B$2030)=$B$116)*ISNUMBER('Doğrudan Alım İşlemleri'!$K$2:$K$2030)*'Doğrudan Alım İşlemleri'!$K$2:$K$2030*('Doğrudan Alım İşlemleri'!$H$2:$H$2030&lt;&gt;"")*'Doğrudan Alım İşlemleri'!$H$2:$H$2030)/D116,"")</f>
        <v/>
      </c>
      <c r="F116" s="24">
        <f>IFERROR(SUMPRODUCT((YEAR('Doğrudan Alım İşlemleri'!$B$2:$B$2030)=$A$116)*(MONTH('Doğrudan Alım İşlemleri'!$B$2:$B$2030)=$B$116)*ISNUMBER('Doğrudan Alım İşlemleri'!$N$2:$N$2030)*'Doğrudan Alım İşlemleri'!$N$2:$N$2030*('Doğrudan Alım İşlemleri'!$H$2:$H$2030&lt;&gt;"")*'Doğrudan Alım İşlemleri'!$H$2:$H$2030)/D116,"")</f>
        <v/>
      </c>
    </row>
    <row r="117">
      <c r="A117" s="16" t="n">
        <v>2024</v>
      </c>
      <c r="B117" s="25" t="n">
        <v>7</v>
      </c>
      <c r="C117" s="11">
        <f>SUMPRODUCT((YEAR('Doğrudan Alım İşlemleri'!$B$2:$B$2030)=$A$117)*(MONTH('Doğrudan Alım İşlemleri'!$B$2:$B$2030)=$B$117)*1)</f>
        <v/>
      </c>
      <c r="D117" s="11">
        <f>SUMPRODUCT((YEAR('Doğrudan Alım İşlemleri'!$B$2:$B$2030)=$A$117)*(MONTH('Doğrudan Alım İşlemleri'!$B$2:$B$2030)=$B$117)*('Doğrudan Alım İşlemleri'!$H$2:$H$2030&lt;&gt;"")*'Doğrudan Alım İşlemleri'!$H$2:$H$2030)</f>
        <v/>
      </c>
      <c r="E117" s="13">
        <f>IFERROR(SUMPRODUCT((YEAR('Doğrudan Alım İşlemleri'!$B$2:$B$2030)=$A$117)*(MONTH('Doğrudan Alım İşlemleri'!$B$2:$B$2030)=$B$117)*ISNUMBER('Doğrudan Alım İşlemleri'!$K$2:$K$2030)*'Doğrudan Alım İşlemleri'!$K$2:$K$2030*('Doğrudan Alım İşlemleri'!$H$2:$H$2030&lt;&gt;"")*'Doğrudan Alım İşlemleri'!$H$2:$H$2030)/D117,"")</f>
        <v/>
      </c>
      <c r="F117" s="13">
        <f>IFERROR(SUMPRODUCT((YEAR('Doğrudan Alım İşlemleri'!$B$2:$B$2030)=$A$117)*(MONTH('Doğrudan Alım İşlemleri'!$B$2:$B$2030)=$B$117)*ISNUMBER('Doğrudan Alım İşlemleri'!$N$2:$N$2030)*'Doğrudan Alım İşlemleri'!$N$2:$N$2030*('Doğrudan Alım İşlemleri'!$H$2:$H$2030&lt;&gt;"")*'Doğrudan Alım İşlemleri'!$H$2:$H$2030)/D117,"")</f>
        <v/>
      </c>
    </row>
    <row r="118">
      <c r="A118" s="15" t="n">
        <v>2024</v>
      </c>
      <c r="B118" s="22" t="n">
        <v>10</v>
      </c>
      <c r="C118" s="8">
        <f>SUMPRODUCT((YEAR('Doğrudan Alım İşlemleri'!$B$2:$B$2030)=$A$118)*(MONTH('Doğrudan Alım İşlemleri'!$B$2:$B$2030)=$B$118)*1)</f>
        <v/>
      </c>
      <c r="D118" s="8">
        <f>SUMPRODUCT((YEAR('Doğrudan Alım İşlemleri'!$B$2:$B$2030)=$A$118)*(MONTH('Doğrudan Alım İşlemleri'!$B$2:$B$2030)=$B$118)*('Doğrudan Alım İşlemleri'!$H$2:$H$2030&lt;&gt;"")*'Doğrudan Alım İşlemleri'!$H$2:$H$2030)</f>
        <v/>
      </c>
      <c r="E118" s="24">
        <f>IFERROR(SUMPRODUCT((YEAR('Doğrudan Alım İşlemleri'!$B$2:$B$2030)=$A$118)*(MONTH('Doğrudan Alım İşlemleri'!$B$2:$B$2030)=$B$118)*ISNUMBER('Doğrudan Alım İşlemleri'!$K$2:$K$2030)*'Doğrudan Alım İşlemleri'!$K$2:$K$2030*('Doğrudan Alım İşlemleri'!$H$2:$H$2030&lt;&gt;"")*'Doğrudan Alım İşlemleri'!$H$2:$H$2030)/D118,"")</f>
        <v/>
      </c>
      <c r="F118" s="24">
        <f>IFERROR(SUMPRODUCT((YEAR('Doğrudan Alım İşlemleri'!$B$2:$B$2030)=$A$118)*(MONTH('Doğrudan Alım İşlemleri'!$B$2:$B$2030)=$B$118)*ISNUMBER('Doğrudan Alım İşlemleri'!$N$2:$N$2030)*'Doğrudan Alım İşlemleri'!$N$2:$N$2030*('Doğrudan Alım İşlemleri'!$H$2:$H$2030&lt;&gt;"")*'Doğrudan Alım İşlemleri'!$H$2:$H$2030)/D118,"")</f>
        <v/>
      </c>
    </row>
    <row r="119">
      <c r="A119" s="16" t="n">
        <v>2025</v>
      </c>
      <c r="B119" s="25" t="n">
        <v>1</v>
      </c>
      <c r="C119" s="11">
        <f>SUMPRODUCT((YEAR('Doğrudan Alım İşlemleri'!$B$2:$B$2030)=$A$119)*(MONTH('Doğrudan Alım İşlemleri'!$B$2:$B$2030)=$B$119)*1)</f>
        <v/>
      </c>
      <c r="D119" s="11">
        <f>SUMPRODUCT((YEAR('Doğrudan Alım İşlemleri'!$B$2:$B$2030)=$A$119)*(MONTH('Doğrudan Alım İşlemleri'!$B$2:$B$2030)=$B$119)*('Doğrudan Alım İşlemleri'!$H$2:$H$2030&lt;&gt;"")*'Doğrudan Alım İşlemleri'!$H$2:$H$2030)</f>
        <v/>
      </c>
      <c r="E119" s="13">
        <f>IFERROR(SUMPRODUCT((YEAR('Doğrudan Alım İşlemleri'!$B$2:$B$2030)=$A$119)*(MONTH('Doğrudan Alım İşlemleri'!$B$2:$B$2030)=$B$119)*ISNUMBER('Doğrudan Alım İşlemleri'!$K$2:$K$2030)*'Doğrudan Alım İşlemleri'!$K$2:$K$2030*('Doğrudan Alım İşlemleri'!$H$2:$H$2030&lt;&gt;"")*'Doğrudan Alım İşlemleri'!$H$2:$H$2030)/D119,"")</f>
        <v/>
      </c>
      <c r="F119" s="13">
        <f>IFERROR(SUMPRODUCT((YEAR('Doğrudan Alım İşlemleri'!$B$2:$B$2030)=$A$119)*(MONTH('Doğrudan Alım İşlemleri'!$B$2:$B$2030)=$B$119)*ISNUMBER('Doğrudan Alım İşlemleri'!$N$2:$N$2030)*'Doğrudan Alım İşlemleri'!$N$2:$N$2030*('Doğrudan Alım İşlemleri'!$H$2:$H$2030&lt;&gt;"")*'Doğrudan Alım İşlemleri'!$H$2:$H$2030)/D119,"")</f>
        <v/>
      </c>
    </row>
    <row r="120">
      <c r="A120" s="15" t="n">
        <v>2025</v>
      </c>
      <c r="B120" s="22" t="n">
        <v>2</v>
      </c>
      <c r="C120" s="8">
        <f>SUMPRODUCT((YEAR('Doğrudan Alım İşlemleri'!$B$2:$B$2030)=$A$120)*(MONTH('Doğrudan Alım İşlemleri'!$B$2:$B$2030)=$B$120)*1)</f>
        <v/>
      </c>
      <c r="D120" s="8">
        <f>SUMPRODUCT((YEAR('Doğrudan Alım İşlemleri'!$B$2:$B$2030)=$A$120)*(MONTH('Doğrudan Alım İşlemleri'!$B$2:$B$2030)=$B$120)*('Doğrudan Alım İşlemleri'!$H$2:$H$2030&lt;&gt;"")*'Doğrudan Alım İşlemleri'!$H$2:$H$2030)</f>
        <v/>
      </c>
      <c r="E120" s="24">
        <f>IFERROR(SUMPRODUCT((YEAR('Doğrudan Alım İşlemleri'!$B$2:$B$2030)=$A$120)*(MONTH('Doğrudan Alım İşlemleri'!$B$2:$B$2030)=$B$120)*ISNUMBER('Doğrudan Alım İşlemleri'!$K$2:$K$2030)*'Doğrudan Alım İşlemleri'!$K$2:$K$2030*('Doğrudan Alım İşlemleri'!$H$2:$H$2030&lt;&gt;"")*'Doğrudan Alım İşlemleri'!$H$2:$H$2030)/D120,"")</f>
        <v/>
      </c>
      <c r="F120" s="24">
        <f>IFERROR(SUMPRODUCT((YEAR('Doğrudan Alım İşlemleri'!$B$2:$B$2030)=$A$120)*(MONTH('Doğrudan Alım İşlemleri'!$B$2:$B$2030)=$B$120)*ISNUMBER('Doğrudan Alım İşlemleri'!$N$2:$N$2030)*'Doğrudan Alım İşlemleri'!$N$2:$N$2030*('Doğrudan Alım İşlemleri'!$H$2:$H$2030&lt;&gt;"")*'Doğrudan Alım İşlemleri'!$H$2:$H$2030)/D120,"")</f>
        <v/>
      </c>
    </row>
    <row r="121">
      <c r="A121" s="16" t="n">
        <v>2025</v>
      </c>
      <c r="B121" s="25" t="n">
        <v>3</v>
      </c>
      <c r="C121" s="11">
        <f>SUMPRODUCT((YEAR('Doğrudan Alım İşlemleri'!$B$2:$B$2030)=$A$121)*(MONTH('Doğrudan Alım İşlemleri'!$B$2:$B$2030)=$B$121)*1)</f>
        <v/>
      </c>
      <c r="D121" s="11">
        <f>SUMPRODUCT((YEAR('Doğrudan Alım İşlemleri'!$B$2:$B$2030)=$A$121)*(MONTH('Doğrudan Alım İşlemleri'!$B$2:$B$2030)=$B$121)*('Doğrudan Alım İşlemleri'!$H$2:$H$2030&lt;&gt;"")*'Doğrudan Alım İşlemleri'!$H$2:$H$2030)</f>
        <v/>
      </c>
      <c r="E121" s="13">
        <f>IFERROR(SUMPRODUCT((YEAR('Doğrudan Alım İşlemleri'!$B$2:$B$2030)=$A$121)*(MONTH('Doğrudan Alım İşlemleri'!$B$2:$B$2030)=$B$121)*ISNUMBER('Doğrudan Alım İşlemleri'!$K$2:$K$2030)*'Doğrudan Alım İşlemleri'!$K$2:$K$2030*('Doğrudan Alım İşlemleri'!$H$2:$H$2030&lt;&gt;"")*'Doğrudan Alım İşlemleri'!$H$2:$H$2030)/D121,"")</f>
        <v/>
      </c>
      <c r="F121" s="13">
        <f>IFERROR(SUMPRODUCT((YEAR('Doğrudan Alım İşlemleri'!$B$2:$B$2030)=$A$121)*(MONTH('Doğrudan Alım İşlemleri'!$B$2:$B$2030)=$B$121)*ISNUMBER('Doğrudan Alım İşlemleri'!$N$2:$N$2030)*'Doğrudan Alım İşlemleri'!$N$2:$N$2030*('Doğrudan Alım İşlemleri'!$H$2:$H$2030&lt;&gt;"")*'Doğrudan Alım İşlemleri'!$H$2:$H$2030)/D121,"")</f>
        <v/>
      </c>
    </row>
    <row r="122">
      <c r="A122" s="15" t="n">
        <v>2025</v>
      </c>
      <c r="B122" s="22" t="n">
        <v>4</v>
      </c>
      <c r="C122" s="8">
        <f>SUMPRODUCT((YEAR('Doğrudan Alım İşlemleri'!$B$2:$B$2030)=$A$122)*(MONTH('Doğrudan Alım İşlemleri'!$B$2:$B$2030)=$B$122)*1)</f>
        <v/>
      </c>
      <c r="D122" s="8">
        <f>SUMPRODUCT((YEAR('Doğrudan Alım İşlemleri'!$B$2:$B$2030)=$A$122)*(MONTH('Doğrudan Alım İşlemleri'!$B$2:$B$2030)=$B$122)*('Doğrudan Alım İşlemleri'!$H$2:$H$2030&lt;&gt;"")*'Doğrudan Alım İşlemleri'!$H$2:$H$2030)</f>
        <v/>
      </c>
      <c r="E122" s="24">
        <f>IFERROR(SUMPRODUCT((YEAR('Doğrudan Alım İşlemleri'!$B$2:$B$2030)=$A$122)*(MONTH('Doğrudan Alım İşlemleri'!$B$2:$B$2030)=$B$122)*ISNUMBER('Doğrudan Alım İşlemleri'!$K$2:$K$2030)*'Doğrudan Alım İşlemleri'!$K$2:$K$2030*('Doğrudan Alım İşlemleri'!$H$2:$H$2030&lt;&gt;"")*'Doğrudan Alım İşlemleri'!$H$2:$H$2030)/D122,"")</f>
        <v/>
      </c>
      <c r="F122" s="24">
        <f>IFERROR(SUMPRODUCT((YEAR('Doğrudan Alım İşlemleri'!$B$2:$B$2030)=$A$122)*(MONTH('Doğrudan Alım İşlemleri'!$B$2:$B$2030)=$B$122)*ISNUMBER('Doğrudan Alım İşlemleri'!$N$2:$N$2030)*'Doğrudan Alım İşlemleri'!$N$2:$N$2030*('Doğrudan Alım İşlemleri'!$H$2:$H$2030&lt;&gt;"")*'Doğrudan Alım İşlemleri'!$H$2:$H$2030)/D122,"")</f>
        <v/>
      </c>
    </row>
    <row r="123">
      <c r="A123" s="16" t="n">
        <v>2026</v>
      </c>
      <c r="B123" s="25" t="n">
        <v>1</v>
      </c>
      <c r="C123" s="11">
        <f>SUMPRODUCT((YEAR('Doğrudan Alım İşlemleri'!$B$2:$B$2030)=$A$123)*(MONTH('Doğrudan Alım İşlemleri'!$B$2:$B$2030)=$B$123)*1)</f>
        <v/>
      </c>
      <c r="D123" s="11">
        <f>SUMPRODUCT((YEAR('Doğrudan Alım İşlemleri'!$B$2:$B$2030)=$A$123)*(MONTH('Doğrudan Alım İşlemleri'!$B$2:$B$2030)=$B$123)*('Doğrudan Alım İşlemleri'!$H$2:$H$2030&lt;&gt;"")*'Doğrudan Alım İşlemleri'!$H$2:$H$2030)</f>
        <v/>
      </c>
      <c r="E123" s="13">
        <f>IFERROR(SUMPRODUCT((YEAR('Doğrudan Alım İşlemleri'!$B$2:$B$2030)=$A$123)*(MONTH('Doğrudan Alım İşlemleri'!$B$2:$B$2030)=$B$123)*ISNUMBER('Doğrudan Alım İşlemleri'!$K$2:$K$2030)*'Doğrudan Alım İşlemleri'!$K$2:$K$2030*('Doğrudan Alım İşlemleri'!$H$2:$H$2030&lt;&gt;"")*'Doğrudan Alım İşlemleri'!$H$2:$H$2030)/D123,"")</f>
        <v/>
      </c>
      <c r="F123" s="13">
        <f>IFERROR(SUMPRODUCT((YEAR('Doğrudan Alım İşlemleri'!$B$2:$B$2030)=$A$123)*(MONTH('Doğrudan Alım İşlemleri'!$B$2:$B$2030)=$B$123)*ISNUMBER('Doğrudan Alım İşlemleri'!$N$2:$N$2030)*'Doğrudan Alım İşlemleri'!$N$2:$N$2030*('Doğrudan Alım İşlemleri'!$H$2:$H$2030&lt;&gt;"")*'Doğrudan Alım İşlemleri'!$H$2:$H$2030)/D123,"")</f>
        <v/>
      </c>
    </row>
    <row r="124">
      <c r="A124" s="15" t="n">
        <v>2026</v>
      </c>
      <c r="B124" s="22" t="n">
        <v>2</v>
      </c>
      <c r="C124" s="8">
        <f>SUMPRODUCT((YEAR('Doğrudan Alım İşlemleri'!$B$2:$B$2030)=$A$124)*(MONTH('Doğrudan Alım İşlemleri'!$B$2:$B$2030)=$B$124)*1)</f>
        <v/>
      </c>
      <c r="D124" s="8">
        <f>SUMPRODUCT((YEAR('Doğrudan Alım İşlemleri'!$B$2:$B$2030)=$A$124)*(MONTH('Doğrudan Alım İşlemleri'!$B$2:$B$2030)=$B$124)*('Doğrudan Alım İşlemleri'!$H$2:$H$2030&lt;&gt;"")*'Doğrudan Alım İşlemleri'!$H$2:$H$2030)</f>
        <v/>
      </c>
      <c r="E124" s="24">
        <f>IFERROR(SUMPRODUCT((YEAR('Doğrudan Alım İşlemleri'!$B$2:$B$2030)=$A$124)*(MONTH('Doğrudan Alım İşlemleri'!$B$2:$B$2030)=$B$124)*ISNUMBER('Doğrudan Alım İşlemleri'!$K$2:$K$2030)*'Doğrudan Alım İşlemleri'!$K$2:$K$2030*('Doğrudan Alım İşlemleri'!$H$2:$H$2030&lt;&gt;"")*'Doğrudan Alım İşlemleri'!$H$2:$H$2030)/D124,"")</f>
        <v/>
      </c>
      <c r="F124" s="24">
        <f>IFERROR(SUMPRODUCT((YEAR('Doğrudan Alım İşlemleri'!$B$2:$B$2030)=$A$124)*(MONTH('Doğrudan Alım İşlemleri'!$B$2:$B$2030)=$B$124)*ISNUMBER('Doğrudan Alım İşlemleri'!$N$2:$N$2030)*'Doğrudan Alım İşlemleri'!$N$2:$N$2030*('Doğrudan Alım İşlemleri'!$H$2:$H$2030&lt;&gt;"")*'Doğrudan Alım İşlemleri'!$H$2:$H$2030)/D124,"")</f>
        <v/>
      </c>
    </row>
    <row r="125">
      <c r="A125" s="16" t="n">
        <v>2026</v>
      </c>
      <c r="B125" s="25" t="n">
        <v>3</v>
      </c>
      <c r="C125" s="11">
        <f>SUMPRODUCT((YEAR('Doğrudan Alım İşlemleri'!$B$2:$B$2030)=$A$125)*(MONTH('Doğrudan Alım İşlemleri'!$B$2:$B$2030)=$B$125)*1)</f>
        <v/>
      </c>
      <c r="D125" s="11">
        <f>SUMPRODUCT((YEAR('Doğrudan Alım İşlemleri'!$B$2:$B$2030)=$A$125)*(MONTH('Doğrudan Alım İşlemleri'!$B$2:$B$2030)=$B$125)*('Doğrudan Alım İşlemleri'!$H$2:$H$2030&lt;&gt;"")*'Doğrudan Alım İşlemleri'!$H$2:$H$2030)</f>
        <v/>
      </c>
      <c r="E125" s="13">
        <f>IFERROR(SUMPRODUCT((YEAR('Doğrudan Alım İşlemleri'!$B$2:$B$2030)=$A$125)*(MONTH('Doğrudan Alım İşlemleri'!$B$2:$B$2030)=$B$125)*ISNUMBER('Doğrudan Alım İşlemleri'!$K$2:$K$2030)*'Doğrudan Alım İşlemleri'!$K$2:$K$2030*('Doğrudan Alım İşlemleri'!$H$2:$H$2030&lt;&gt;"")*'Doğrudan Alım İşlemleri'!$H$2:$H$2030)/D125,"")</f>
        <v/>
      </c>
      <c r="F125" s="13">
        <f>IFERROR(SUMPRODUCT((YEAR('Doğrudan Alım İşlemleri'!$B$2:$B$2030)=$A$125)*(MONTH('Doğrudan Alım İşlemleri'!$B$2:$B$2030)=$B$125)*ISNUMBER('Doğrudan Alım İşlemleri'!$N$2:$N$2030)*'Doğrudan Alım İşlemleri'!$N$2:$N$2030*('Doğrudan Alım İşlemleri'!$H$2:$H$2030&lt;&gt;"")*'Doğrudan Alım İşlemleri'!$H$2:$H$2030)/D125,"")</f>
        <v/>
      </c>
    </row>
    <row r="126">
      <c r="A126" s="15" t="n">
        <v>2026</v>
      </c>
      <c r="B126" s="22" t="n">
        <v>4</v>
      </c>
      <c r="C126" s="8">
        <f>SUMPRODUCT((YEAR('Doğrudan Alım İşlemleri'!$B$2:$B$2030)=$A$126)*(MONTH('Doğrudan Alım İşlemleri'!$B$2:$B$2030)=$B$126)*1)</f>
        <v/>
      </c>
      <c r="D126" s="8">
        <f>SUMPRODUCT((YEAR('Doğrudan Alım İşlemleri'!$B$2:$B$2030)=$A$126)*(MONTH('Doğrudan Alım İşlemleri'!$B$2:$B$2030)=$B$126)*('Doğrudan Alım İşlemleri'!$H$2:$H$2030&lt;&gt;"")*'Doğrudan Alım İşlemleri'!$H$2:$H$2030)</f>
        <v/>
      </c>
      <c r="E126" s="24">
        <f>IFERROR(SUMPRODUCT((YEAR('Doğrudan Alım İşlemleri'!$B$2:$B$2030)=$A$126)*(MONTH('Doğrudan Alım İşlemleri'!$B$2:$B$2030)=$B$126)*ISNUMBER('Doğrudan Alım İşlemleri'!$K$2:$K$2030)*'Doğrudan Alım İşlemleri'!$K$2:$K$2030*('Doğrudan Alım İşlemleri'!$H$2:$H$2030&lt;&gt;"")*'Doğrudan Alım İşlemleri'!$H$2:$H$2030)/D126,"")</f>
        <v/>
      </c>
      <c r="F126" s="24">
        <f>IFERROR(SUMPRODUCT((YEAR('Doğrudan Alım İşlemleri'!$B$2:$B$2030)=$A$126)*(MONTH('Doğrudan Alım İşlemleri'!$B$2:$B$2030)=$B$126)*ISNUMBER('Doğrudan Alım İşlemleri'!$N$2:$N$2030)*'Doğrudan Alım İşlemleri'!$N$2:$N$2030*('Doğrudan Alım İşlemleri'!$H$2:$H$2030&lt;&gt;"")*'Doğrudan Alım İşlemleri'!$H$2:$H$2030)/D126,"")</f>
        <v/>
      </c>
    </row>
    <row r="127">
      <c r="A127" s="16" t="n">
        <v>2026</v>
      </c>
      <c r="B127" s="25" t="n">
        <v>8</v>
      </c>
      <c r="C127" s="11">
        <f>SUMPRODUCT((YEAR('Doğrudan Alım İşlemleri'!$B$2:$B$2030)=$A$127)*(MONTH('Doğrudan Alım İşlemleri'!$B$2:$B$2030)=$B$127)*1)</f>
        <v/>
      </c>
      <c r="D127" s="11">
        <f>SUMPRODUCT((YEAR('Doğrudan Alım İşlemleri'!$B$2:$B$2030)=$A$127)*(MONTH('Doğrudan Alım İşlemleri'!$B$2:$B$2030)=$B$127)*('Doğrudan Alım İşlemleri'!$H$2:$H$2030&lt;&gt;"")*'Doğrudan Alım İşlemleri'!$H$2:$H$2030)</f>
        <v/>
      </c>
      <c r="E127" s="13">
        <f>IFERROR(SUMPRODUCT((YEAR('Doğrudan Alım İşlemleri'!$B$2:$B$2030)=$A$127)*(MONTH('Doğrudan Alım İşlemleri'!$B$2:$B$2030)=$B$127)*ISNUMBER('Doğrudan Alım İşlemleri'!$K$2:$K$2030)*'Doğrudan Alım İşlemleri'!$K$2:$K$2030*('Doğrudan Alım İşlemleri'!$H$2:$H$2030&lt;&gt;"")*'Doğrudan Alım İşlemleri'!$H$2:$H$2030)/D127,"")</f>
        <v/>
      </c>
      <c r="F127" s="13">
        <f>IFERROR(SUMPRODUCT((YEAR('Doğrudan Alım İşlemleri'!$B$2:$B$2030)=$A$127)*(MONTH('Doğrudan Alım İşlemleri'!$B$2:$B$2030)=$B$127)*ISNUMBER('Doğrudan Alım İşlemleri'!$N$2:$N$2030)*'Doğrudan Alım İşlemleri'!$N$2:$N$2030*('Doğrudan Alım İşlemleri'!$H$2:$H$2030&lt;&gt;"")*'Doğrudan Alım İşlemleri'!$H$2:$H$2030)/D127,"")</f>
        <v/>
      </c>
    </row>
    <row r="128">
      <c r="A128" s="15" t="n">
        <v>2026</v>
      </c>
      <c r="B128" s="22" t="n">
        <v>9</v>
      </c>
      <c r="C128" s="8">
        <f>SUMPRODUCT((YEAR('Doğrudan Alım İşlemleri'!$B$2:$B$2030)=$A$128)*(MONTH('Doğrudan Alım İşlemleri'!$B$2:$B$2030)=$B$128)*1)</f>
        <v/>
      </c>
      <c r="D128" s="8">
        <f>SUMPRODUCT((YEAR('Doğrudan Alım İşlemleri'!$B$2:$B$2030)=$A$128)*(MONTH('Doğrudan Alım İşlemleri'!$B$2:$B$2030)=$B$128)*('Doğrudan Alım İşlemleri'!$H$2:$H$2030&lt;&gt;"")*'Doğrudan Alım İşlemleri'!$H$2:$H$2030)</f>
        <v/>
      </c>
      <c r="E128" s="24">
        <f>IFERROR(SUMPRODUCT((YEAR('Doğrudan Alım İşlemleri'!$B$2:$B$2030)=$A$128)*(MONTH('Doğrudan Alım İşlemleri'!$B$2:$B$2030)=$B$128)*ISNUMBER('Doğrudan Alım İşlemleri'!$K$2:$K$2030)*'Doğrudan Alım İşlemleri'!$K$2:$K$2030*('Doğrudan Alım İşlemleri'!$H$2:$H$2030&lt;&gt;"")*'Doğrudan Alım İşlemleri'!$H$2:$H$2030)/D128,"")</f>
        <v/>
      </c>
      <c r="F128" s="24">
        <f>IFERROR(SUMPRODUCT((YEAR('Doğrudan Alım İşlemleri'!$B$2:$B$2030)=$A$128)*(MONTH('Doğrudan Alım İşlemleri'!$B$2:$B$2030)=$B$128)*ISNUMBER('Doğrudan Alım İşlemleri'!$N$2:$N$2030)*'Doğrudan Alım İşlemleri'!$N$2:$N$2030*('Doğrudan Alım İşlemleri'!$H$2:$H$2030&lt;&gt;"")*'Doğrudan Alım İşlemleri'!$H$2:$H$2030)/D128,"")</f>
        <v/>
      </c>
    </row>
    <row r="129">
      <c r="A129" s="16" t="n">
        <v>2026</v>
      </c>
      <c r="B129" s="25" t="n">
        <v>10</v>
      </c>
      <c r="C129" s="11">
        <f>SUMPRODUCT((YEAR('Doğrudan Alım İşlemleri'!$B$2:$B$2030)=$A$129)*(MONTH('Doğrudan Alım İşlemleri'!$B$2:$B$2030)=$B$129)*1)</f>
        <v/>
      </c>
      <c r="D129" s="11">
        <f>SUMPRODUCT((YEAR('Doğrudan Alım İşlemleri'!$B$2:$B$2030)=$A$129)*(MONTH('Doğrudan Alım İşlemleri'!$B$2:$B$2030)=$B$129)*('Doğrudan Alım İşlemleri'!$H$2:$H$2030&lt;&gt;"")*'Doğrudan Alım İşlemleri'!$H$2:$H$2030)</f>
        <v/>
      </c>
      <c r="E129" s="13">
        <f>IFERROR(SUMPRODUCT((YEAR('Doğrudan Alım İşlemleri'!$B$2:$B$2030)=$A$129)*(MONTH('Doğrudan Alım İşlemleri'!$B$2:$B$2030)=$B$129)*ISNUMBER('Doğrudan Alım İşlemleri'!$K$2:$K$2030)*'Doğrudan Alım İşlemleri'!$K$2:$K$2030*('Doğrudan Alım İşlemleri'!$H$2:$H$2030&lt;&gt;"")*'Doğrudan Alım İşlemleri'!$H$2:$H$2030)/D129,"")</f>
        <v/>
      </c>
      <c r="F129" s="13">
        <f>IFERROR(SUMPRODUCT((YEAR('Doğrudan Alım İşlemleri'!$B$2:$B$2030)=$A$129)*(MONTH('Doğrudan Alım İşlemleri'!$B$2:$B$2030)=$B$129)*ISNUMBER('Doğrudan Alım İşlemleri'!$N$2:$N$2030)*'Doğrudan Alım İşlemleri'!$N$2:$N$2030*('Doğrudan Alım İşlemleri'!$H$2:$H$2030&lt;&gt;"")*'Doğrudan Alım İşlemleri'!$H$2:$H$2030)/D129,"")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2026-10-23T15:57:53Z</dcterms:created>
  <dcterms:modified xsi:type="dcterms:W3CDTF">2026-10-23T15:57:55Z</dcterms:modified>
</cp:coreProperties>
</file>