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Tüm İhaleler" sheetId="2" state="visible" r:id="rId2"/>
    <sheet name="TLREF Endeksli Senetler" sheetId="3" state="visible" r:id="rId3"/>
    <sheet name="TL Cinsi Kira Sertifikalari" sheetId="4" state="visible" r:id="rId4"/>
    <sheet name="TL Cinsi Kuponsuz Senetler" sheetId="5" state="visible" r:id="rId5"/>
    <sheet name="TL Cinsi TUFE Endeksli Senetler" sheetId="6" state="visible" r:id="rId6"/>
    <sheet name="TL Cinsi Sabit Faizli Kuponlu S" sheetId="7" state="visible" r:id="rId7"/>
    <sheet name="TL Cinsi Degisken Faizli Kuponl" sheetId="8" state="visible" r:id="rId8"/>
    <sheet name="Analiz - Genel Özet" sheetId="9" state="visible" r:id="rId9"/>
    <sheet name="Analiz - Aylık &amp; Vade" sheetId="10" state="visible" r:id="rId10"/>
    <sheet name="Analiz - Maliyet &amp; Talep" sheetId="11" state="visible" r:id="rId11"/>
    <sheet name="Analiz - Detay" sheetId="12" state="visible" r:id="rId12"/>
    <sheet name="İç Borç Ödemeleri" sheetId="13" state="visible" r:id="rId13"/>
    <sheet name="Ödeme Analiz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&quot;x&quot;"/>
    <numFmt numFmtId="165" formatCode="0.000"/>
    <numFmt numFmtId="166" formatCode="0.0%"/>
    <numFmt numFmtId="167" formatCode="0.0"/>
    <numFmt numFmtId="168" formatCode="+0.0;-0.0"/>
    <numFmt numFmtId="169" formatCode="+#,##0.00;-#,##0.00"/>
  </numFmts>
  <fonts count="2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1A"/>
      <sz val="10"/>
    </font>
    <font>
      <b val="1"/>
      <color rgb="00FFFFFF"/>
      <sz val="16"/>
    </font>
    <font>
      <i val="1"/>
      <color rgb="001F4E79"/>
      <sz val="10"/>
    </font>
    <font>
      <color rgb="00333333"/>
      <sz val="12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color rgb="00888888"/>
      <sz val="10"/>
    </font>
    <font>
      <b val="1"/>
      <color rgb="00C00000"/>
      <sz val="10"/>
    </font>
    <font>
      <b val="1"/>
      <color rgb="001F4E79"/>
      <sz val="11"/>
    </font>
    <font>
      <color rgb="00333333"/>
      <sz val="11"/>
    </font>
    <font>
      <b val="1"/>
      <color rgb="001F4E79"/>
      <sz val="13"/>
    </font>
    <font>
      <b val="1"/>
      <color rgb="00FFFFFF"/>
      <sz val="14"/>
    </font>
    <font>
      <color rgb="00333333"/>
      <sz val="10"/>
    </font>
    <font>
      <sz val="10"/>
    </font>
    <font>
      <i val="1"/>
      <color rgb="00666666"/>
      <sz val="9"/>
    </font>
    <font>
      <b val="1"/>
      <color rgb="00FFFFFF"/>
      <sz val="9"/>
    </font>
    <font>
      <color rgb="00888888"/>
      <sz val="10"/>
    </font>
    <font>
      <color rgb="00C00000"/>
      <sz val="10"/>
    </font>
    <font>
      <color rgb="00888888"/>
    </font>
    <font>
      <sz val="9"/>
    </font>
    <font>
      <b val="1"/>
      <color rgb="00006100"/>
      <sz val="10"/>
    </font>
    <font>
      <color rgb="002E75B6"/>
      <sz val="10"/>
    </font>
    <font>
      <b val="1"/>
      <color rgb="00C00000"/>
      <sz val="11"/>
    </font>
    <font>
      <i val="1"/>
      <color rgb="00C00000"/>
      <sz val="10"/>
    </font>
  </fonts>
  <fills count="2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385723"/>
        <bgColor rgb="00385723"/>
      </patternFill>
    </fill>
    <fill>
      <patternFill patternType="solid">
        <fgColor rgb="00843C0C"/>
        <bgColor rgb="00843C0C"/>
      </patternFill>
    </fill>
    <fill>
      <patternFill patternType="solid">
        <fgColor rgb="00404040"/>
        <bgColor rgb="00404040"/>
      </patternFill>
    </fill>
    <fill>
      <patternFill patternType="solid">
        <fgColor rgb="009AAFC2"/>
        <bgColor rgb="009AAFC2"/>
      </patternFill>
    </fill>
    <fill>
      <patternFill patternType="solid">
        <fgColor rgb="00A0C0DE"/>
        <bgColor rgb="00A0C0DE"/>
      </patternFill>
    </fill>
    <fill>
      <patternFill patternType="solid">
        <fgColor rgb="00B2C6A4"/>
        <bgColor rgb="00B2C6A4"/>
      </patternFill>
    </fill>
    <fill>
      <patternFill patternType="solid">
        <fgColor rgb="00E2CC8C"/>
        <bgColor rgb="00E2CC8C"/>
      </patternFill>
    </fill>
    <fill>
      <patternFill patternType="solid">
        <fgColor rgb="00E4B493"/>
        <bgColor rgb="00E4B493"/>
      </patternFill>
    </fill>
    <fill>
      <patternFill patternType="solid">
        <fgColor rgb="00BEA1D4"/>
        <bgColor rgb="00BEA1D4"/>
      </patternFill>
    </fill>
    <fill>
      <patternFill patternType="solid">
        <fgColor rgb="00A5B39C"/>
        <bgColor rgb="00A5B39C"/>
      </patternFill>
    </fill>
    <fill>
      <patternFill patternType="solid">
        <fgColor rgb="00C7A791"/>
        <bgColor rgb="00C7A791"/>
      </patternFill>
    </fill>
    <fill>
      <patternFill patternType="solid">
        <fgColor rgb="00A9A9A9"/>
        <bgColor rgb="00A9A9A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11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left" vertical="center"/>
    </xf>
    <xf numFmtId="3" fontId="0" fillId="22" borderId="1" applyAlignment="1" pivotButton="0" quotePrefix="0" xfId="0">
      <alignment horizontal="center" vertical="center"/>
    </xf>
    <xf numFmtId="2" fontId="0" fillId="22" borderId="1" applyAlignment="1" pivotButton="0" quotePrefix="0" xfId="0">
      <alignment horizontal="center" vertical="center"/>
    </xf>
    <xf numFmtId="164" fontId="0" fillId="22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left" vertical="center"/>
    </xf>
    <xf numFmtId="0" fontId="0" fillId="22" borderId="1" pivotButton="0" quotePrefix="0" xfId="0"/>
    <xf numFmtId="0" fontId="12" fillId="22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2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0" fontId="14" fillId="2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0" borderId="6" applyAlignment="1" pivotButton="0" quotePrefix="0" xfId="0">
      <alignment horizontal="center" vertical="center"/>
    </xf>
    <xf numFmtId="0" fontId="15" fillId="23" borderId="6" applyAlignment="1" pivotButton="0" quotePrefix="0" xfId="0">
      <alignment horizontal="center" vertical="center"/>
    </xf>
    <xf numFmtId="0" fontId="7" fillId="24" borderId="6" applyAlignment="1" pivotButton="0" quotePrefix="0" xfId="0">
      <alignment horizontal="center" vertical="center" wrapText="1"/>
    </xf>
    <xf numFmtId="0" fontId="8" fillId="25" borderId="6" applyAlignment="1" pivotButton="0" quotePrefix="0" xfId="0">
      <alignment horizontal="center" vertical="center"/>
    </xf>
    <xf numFmtId="0" fontId="16" fillId="25" borderId="6" applyAlignment="1" pivotButton="0" quotePrefix="0" xfId="0">
      <alignment horizontal="center" vertical="center"/>
    </xf>
    <xf numFmtId="4" fontId="16" fillId="25" borderId="6" applyAlignment="1" pivotButton="0" quotePrefix="0" xfId="0">
      <alignment horizontal="right" vertical="center"/>
    </xf>
    <xf numFmtId="0" fontId="17" fillId="25" borderId="6" applyAlignment="1" pivotButton="0" quotePrefix="0" xfId="0">
      <alignment horizontal="center" vertical="center"/>
    </xf>
    <xf numFmtId="0" fontId="8" fillId="21" borderId="6" applyAlignment="1" pivotButton="0" quotePrefix="0" xfId="0">
      <alignment horizontal="center" vertical="center"/>
    </xf>
    <xf numFmtId="0" fontId="16" fillId="21" borderId="6" applyAlignment="1" pivotButton="0" quotePrefix="0" xfId="0">
      <alignment horizontal="center" vertical="center"/>
    </xf>
    <xf numFmtId="4" fontId="16" fillId="21" borderId="6" applyAlignment="1" pivotButton="0" quotePrefix="0" xfId="0">
      <alignment horizontal="right" vertical="center"/>
    </xf>
    <xf numFmtId="0" fontId="17" fillId="21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8" fillId="24" borderId="6" applyAlignment="1" pivotButton="0" quotePrefix="0" xfId="0">
      <alignment horizontal="center" vertical="center" wrapText="1"/>
    </xf>
    <xf numFmtId="0" fontId="8" fillId="20" borderId="6" applyAlignment="1" pivotButton="0" quotePrefix="0" xfId="0">
      <alignment horizontal="center" vertical="center"/>
    </xf>
    <xf numFmtId="4" fontId="16" fillId="20" borderId="6" applyAlignment="1" pivotButton="0" quotePrefix="0" xfId="0">
      <alignment horizontal="right" vertical="center"/>
    </xf>
    <xf numFmtId="4" fontId="8" fillId="20" borderId="6" applyAlignment="1" pivotButton="0" quotePrefix="0" xfId="0">
      <alignment horizontal="right" vertical="center"/>
    </xf>
    <xf numFmtId="167" fontId="16" fillId="20" borderId="6" applyAlignment="1" pivotButton="0" quotePrefix="0" xfId="0">
      <alignment horizontal="center" vertical="center"/>
    </xf>
    <xf numFmtId="0" fontId="16" fillId="20" borderId="6" applyAlignment="1" pivotButton="0" quotePrefix="0" xfId="0">
      <alignment horizontal="center" vertical="center"/>
    </xf>
    <xf numFmtId="0" fontId="19" fillId="20" borderId="6" applyAlignment="1" pivotButton="0" quotePrefix="0" xfId="0">
      <alignment horizontal="center" vertical="center"/>
    </xf>
    <xf numFmtId="0" fontId="17" fillId="20" borderId="6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 vertical="center"/>
    </xf>
    <xf numFmtId="4" fontId="16" fillId="23" borderId="6" applyAlignment="1" pivotButton="0" quotePrefix="0" xfId="0">
      <alignment horizontal="right" vertical="center"/>
    </xf>
    <xf numFmtId="4" fontId="8" fillId="23" borderId="6" applyAlignment="1" pivotButton="0" quotePrefix="0" xfId="0">
      <alignment horizontal="right" vertical="center"/>
    </xf>
    <xf numFmtId="167" fontId="16" fillId="23" borderId="6" applyAlignment="1" pivotButton="0" quotePrefix="0" xfId="0">
      <alignment horizontal="center" vertical="center"/>
    </xf>
    <xf numFmtId="0" fontId="16" fillId="23" borderId="6" applyAlignment="1" pivotButton="0" quotePrefix="0" xfId="0">
      <alignment horizontal="center" vertical="center"/>
    </xf>
    <xf numFmtId="168" fontId="20" fillId="23" borderId="6" applyAlignment="1" pivotButton="0" quotePrefix="0" xfId="0">
      <alignment horizontal="center" vertical="center"/>
    </xf>
    <xf numFmtId="0" fontId="17" fillId="23" borderId="6" applyAlignment="1" pivotButton="0" quotePrefix="0" xfId="0">
      <alignment horizontal="center" vertical="center"/>
    </xf>
    <xf numFmtId="168" fontId="20" fillId="20" borderId="6" applyAlignment="1" pivotButton="0" quotePrefix="0" xfId="0">
      <alignment horizontal="center" vertical="center"/>
    </xf>
    <xf numFmtId="4" fontId="8" fillId="25" borderId="6" applyAlignment="1" pivotButton="0" quotePrefix="0" xfId="0">
      <alignment horizontal="right" vertical="center"/>
    </xf>
    <xf numFmtId="0" fontId="21" fillId="25" borderId="6" applyAlignment="1" pivotButton="0" quotePrefix="0" xfId="0">
      <alignment horizontal="center" vertical="center"/>
    </xf>
    <xf numFmtId="0" fontId="22" fillId="25" borderId="6" applyAlignment="1" pivotButton="0" quotePrefix="0" xfId="0">
      <alignment horizontal="center" vertical="center"/>
    </xf>
    <xf numFmtId="4" fontId="8" fillId="21" borderId="6" applyAlignment="1" pivotButton="0" quotePrefix="0" xfId="0">
      <alignment horizontal="right" vertical="center"/>
    </xf>
    <xf numFmtId="0" fontId="21" fillId="21" borderId="6" applyAlignment="1" pivotButton="0" quotePrefix="0" xfId="0">
      <alignment horizontal="center" vertical="center"/>
    </xf>
    <xf numFmtId="0" fontId="22" fillId="21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0" fillId="3" borderId="6" pivotButton="0" quotePrefix="0" xfId="0"/>
    <xf numFmtId="4" fontId="7" fillId="3" borderId="6" applyAlignment="1" pivotButton="0" quotePrefix="0" xfId="0">
      <alignment horizontal="right" vertical="center"/>
    </xf>
    <xf numFmtId="2" fontId="16" fillId="20" borderId="6" applyAlignment="1" pivotButton="0" quotePrefix="0" xfId="0">
      <alignment horizontal="center" vertical="center"/>
    </xf>
    <xf numFmtId="0" fontId="21" fillId="20" borderId="6" applyAlignment="1" pivotButton="0" quotePrefix="0" xfId="0">
      <alignment horizontal="center" vertical="center"/>
    </xf>
    <xf numFmtId="2" fontId="16" fillId="23" borderId="6" applyAlignment="1" pivotButton="0" quotePrefix="0" xfId="0">
      <alignment horizontal="center" vertical="center"/>
    </xf>
    <xf numFmtId="169" fontId="10" fillId="20" borderId="6" applyAlignment="1" pivotButton="0" quotePrefix="0" xfId="0">
      <alignment horizontal="right" vertical="center"/>
    </xf>
    <xf numFmtId="169" fontId="10" fillId="23" borderId="6" applyAlignment="1" pivotButton="0" quotePrefix="0" xfId="0">
      <alignment horizontal="right" vertical="center"/>
    </xf>
    <xf numFmtId="169" fontId="23" fillId="20" borderId="6" applyAlignment="1" pivotButton="0" quotePrefix="0" xfId="0">
      <alignment horizontal="right" vertical="center"/>
    </xf>
    <xf numFmtId="169" fontId="23" fillId="23" borderId="6" applyAlignment="1" pivotButton="0" quotePrefix="0" xfId="0">
      <alignment horizontal="right" vertical="center"/>
    </xf>
    <xf numFmtId="167" fontId="16" fillId="21" borderId="6" applyAlignment="1" pivotButton="0" quotePrefix="0" xfId="0">
      <alignment horizontal="center" vertical="center"/>
    </xf>
    <xf numFmtId="0" fontId="24" fillId="21" borderId="6" applyAlignment="1" pivotButton="0" quotePrefix="0" xfId="0">
      <alignment horizontal="left" vertical="center"/>
    </xf>
    <xf numFmtId="0" fontId="0" fillId="21" borderId="6" pivotButton="0" quotePrefix="0" xfId="0"/>
    <xf numFmtId="0" fontId="7" fillId="26" borderId="6" applyAlignment="1" pivotButton="0" quotePrefix="0" xfId="0">
      <alignment horizontal="center" vertical="center"/>
    </xf>
    <xf numFmtId="0" fontId="0" fillId="26" borderId="6" pivotButton="0" quotePrefix="0" xfId="0"/>
    <xf numFmtId="4" fontId="25" fillId="26" borderId="6" applyAlignment="1" pivotButton="0" quotePrefix="0" xfId="0">
      <alignment horizontal="right" vertical="center"/>
    </xf>
    <xf numFmtId="0" fontId="26" fillId="26" borderId="6" applyAlignment="1" pivotButton="0" quotePrefix="0" xfId="0">
      <alignment horizontal="left" vertical="center"/>
    </xf>
    <xf numFmtId="0" fontId="11" fillId="20" borderId="6" applyAlignment="1" pivotButton="0" quotePrefix="0" xfId="0">
      <alignment horizontal="left" vertical="center"/>
    </xf>
    <xf numFmtId="0" fontId="0" fillId="20" borderId="6" pivotButton="0" quotePrefix="0" xfId="0"/>
    <xf numFmtId="0" fontId="12" fillId="20" borderId="6" applyAlignment="1" pivotButton="0" quotePrefix="0" xfId="0">
      <alignment horizontal="left" vertical="center" wrapText="1"/>
    </xf>
    <xf numFmtId="0" fontId="11" fillId="23" borderId="6" applyAlignment="1" pivotButton="0" quotePrefix="0" xfId="0">
      <alignment horizontal="left" vertical="center"/>
    </xf>
    <xf numFmtId="0" fontId="0" fillId="23" borderId="6" pivotButton="0" quotePrefix="0" xfId="0"/>
    <xf numFmtId="0" fontId="12" fillId="23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2" customWidth="1" min="5" max="5"/>
    <col width="22" customWidth="1" min="6" max="6"/>
    <col width="14" customWidth="1" min="7" max="7"/>
    <col width="28" customWidth="1" min="8" max="8"/>
  </cols>
  <sheetData>
    <row r="1" ht="42" customHeight="1">
      <c r="A1" s="1" t="inlineStr">
        <is>
          <t>HAZİNE İHALE VERİLERİ — ÖZET RAPORU</t>
        </is>
      </c>
      <c r="B1" s="2" t="n"/>
      <c r="C1" s="2" t="n"/>
      <c r="D1" s="2" t="n"/>
      <c r="E1" s="2" t="n"/>
      <c r="F1" s="2" t="n"/>
      <c r="G1" s="2" t="n"/>
      <c r="H1" s="3" t="n"/>
    </row>
    <row r="2" ht="24" customHeight="1">
      <c r="A2" s="4" t="inlineStr">
        <is>
          <t>Son Güncelleme: 29.10.2026  •  Toplam 1644 İhale Kaydı  •  Kaynak: T.C. Hazine ve Maliye Bakanlığı</t>
        </is>
      </c>
      <c r="B2" s="2" t="n"/>
      <c r="C2" s="2" t="n"/>
      <c r="D2" s="2" t="n"/>
      <c r="E2" s="2" t="n"/>
      <c r="F2" s="2" t="n"/>
      <c r="G2" s="2" t="n"/>
      <c r="H2" s="3" t="n"/>
    </row>
    <row r="4" ht="65" customHeight="1">
      <c r="A4" s="5" t="inlineStr">
        <is>
          <t>Hazine 2024 yılının tamamında ortalama %37.56 faizle, 1564 gün vadeyle, toplamda 1,725.05 Milyar TL borçlanırken, 2025 yılının tamamında bu rakamlar sırasıyla %36.92, 1321 gün ve 2,503.71 Milyar TL olarak gerçekleşirken; 2026 yılında şuana kadar %35.00, 1272 gün ve 2,646.53 Milyar TL'dir. (Geçen yıl aynı dönemde %37.33, 1375 gün ve 2,284.21 Milyar TL)</t>
        </is>
      </c>
      <c r="B4" s="2" t="n"/>
      <c r="C4" s="2" t="n"/>
      <c r="D4" s="2" t="n"/>
      <c r="E4" s="2" t="n"/>
      <c r="F4" s="2" t="n"/>
      <c r="G4" s="2" t="n"/>
      <c r="H4" s="3" t="n"/>
    </row>
    <row r="6" ht="28" customHeight="1">
      <c r="A6" s="6" t="inlineStr">
        <is>
          <t>DÖNEMSEL KARŞILAŞTIRMA</t>
        </is>
      </c>
      <c r="B6" s="2" t="n"/>
      <c r="C6" s="2" t="n"/>
      <c r="D6" s="2" t="n"/>
      <c r="E6" s="2" t="n"/>
      <c r="F6" s="2" t="n"/>
      <c r="G6" s="2" t="n"/>
      <c r="H6" s="3" t="n"/>
    </row>
    <row r="7" ht="32" customHeight="1">
      <c r="A7" s="7" t="inlineStr">
        <is>
          <t>Dönem</t>
        </is>
      </c>
      <c r="B7" s="7" t="inlineStr">
        <is>
          <t>İhale Sayısı</t>
        </is>
      </c>
      <c r="C7" s="7" t="inlineStr">
        <is>
          <t>Ort. Faiz (%)</t>
        </is>
      </c>
      <c r="D7" s="7" t="inlineStr">
        <is>
          <t>Ort. Vade (Gün)</t>
        </is>
      </c>
      <c r="E7" s="7" t="inlineStr">
        <is>
          <t>İhale Başı Ort. (Bin TL)</t>
        </is>
      </c>
      <c r="F7" s="7" t="inlineStr">
        <is>
          <t>Toplam Net (Bin TL)</t>
        </is>
      </c>
      <c r="G7" s="7" t="inlineStr">
        <is>
          <t>Teklif/Kabul</t>
        </is>
      </c>
      <c r="H7" s="7" t="inlineStr">
        <is>
          <t>Yıllık Değişim</t>
        </is>
      </c>
    </row>
    <row r="8">
      <c r="A8" s="8" t="inlineStr">
        <is>
          <t>2024 (Tam Yıl)</t>
        </is>
      </c>
      <c r="B8" s="9" t="n">
        <v>96</v>
      </c>
      <c r="C8" s="10" t="n">
        <v>37.56</v>
      </c>
      <c r="D8" s="9" t="n">
        <v>1564</v>
      </c>
      <c r="E8" s="9" t="n">
        <v>20536297</v>
      </c>
      <c r="F8" s="9" t="n">
        <v>1725048919</v>
      </c>
      <c r="G8" s="47" t="n">
        <v>2.24</v>
      </c>
      <c r="H8" s="12" t="inlineStr">
        <is>
          <t>Baz Dönem</t>
        </is>
      </c>
    </row>
    <row r="9">
      <c r="A9" s="13" t="inlineStr">
        <is>
          <t>2025 (Tam Yıl)</t>
        </is>
      </c>
      <c r="B9" s="14" t="n">
        <v>72</v>
      </c>
      <c r="C9" s="15" t="n">
        <v>36.92</v>
      </c>
      <c r="D9" s="14" t="n">
        <v>1321</v>
      </c>
      <c r="E9" s="14" t="n">
        <v>40382361</v>
      </c>
      <c r="F9" s="14" t="n">
        <v>2503706352</v>
      </c>
      <c r="G9" s="48" t="n">
        <v>1.99</v>
      </c>
      <c r="H9" s="17" t="inlineStr">
        <is>
          <t>Faiz ↓ 0.64 puan</t>
        </is>
      </c>
    </row>
    <row r="10">
      <c r="A10" s="8" t="inlineStr">
        <is>
          <t>2026 (Ocak-Ekim)</t>
        </is>
      </c>
      <c r="B10" s="9" t="n">
        <v>62</v>
      </c>
      <c r="C10" s="10" t="n">
        <v>35</v>
      </c>
      <c r="D10" s="9" t="n">
        <v>1272</v>
      </c>
      <c r="E10" s="9" t="n">
        <v>49934575</v>
      </c>
      <c r="F10" s="9" t="n">
        <v>2646532458</v>
      </c>
      <c r="G10" s="47" t="n">
        <v>1.82</v>
      </c>
      <c r="H10" s="18" t="inlineStr">
        <is>
          <t>Faiz ↓ 2.33 puan</t>
        </is>
      </c>
    </row>
    <row r="11">
      <c r="A11" s="13" t="inlineStr">
        <is>
          <t>2025 (Ocak-Ekim)</t>
        </is>
      </c>
      <c r="B11" s="14" t="n">
        <v>63</v>
      </c>
      <c r="C11" s="15" t="n">
        <v>37.33</v>
      </c>
      <c r="D11" s="14" t="n">
        <v>1375</v>
      </c>
      <c r="E11" s="14" t="n">
        <v>41531002</v>
      </c>
      <c r="F11" s="14" t="n">
        <v>2284205131</v>
      </c>
      <c r="G11" s="48" t="n">
        <v>1.96</v>
      </c>
      <c r="H11" s="19" t="inlineStr">
        <is>
          <t>Baz Dönem</t>
        </is>
      </c>
    </row>
    <row r="13" ht="28" customHeight="1">
      <c r="A13" s="6" t="inlineStr">
        <is>
          <t>DİKKAT ÇEKEN İSTATİSTİKLER</t>
        </is>
      </c>
      <c r="B13" s="2" t="n"/>
      <c r="C13" s="2" t="n"/>
      <c r="D13" s="2" t="n"/>
      <c r="E13" s="2" t="n"/>
      <c r="F13" s="2" t="n"/>
      <c r="G13" s="2" t="n"/>
      <c r="H13" s="3" t="n"/>
    </row>
    <row r="14" ht="28" customHeight="1">
      <c r="A14" s="20" t="inlineStr">
        <is>
          <t>📉 Faiz Trendi (Aynı Dönem)</t>
        </is>
      </c>
      <c r="B14" s="3" t="n"/>
      <c r="C14" s="22" t="inlineStr">
        <is>
          <t>2025 Ocak-Ekim: %37.33 → 2026 Ocak-Ekim: %35.00 (-2.33 puan, faizler düştü)</t>
        </is>
      </c>
      <c r="D14" s="2" t="n"/>
      <c r="E14" s="2" t="n"/>
      <c r="F14" s="2" t="n"/>
      <c r="G14" s="2" t="n"/>
      <c r="H14" s="3" t="n"/>
    </row>
    <row r="15" ht="28" customHeight="1">
      <c r="A15" s="23" t="inlineStr">
        <is>
          <t>📅 Vade Stratejisi</t>
        </is>
      </c>
      <c r="B15" s="3" t="n"/>
      <c r="C15" s="25" t="inlineStr">
        <is>
          <t>Ort. vade 2025 Ocak-Ekim: 1375 gün → 2026: 1272 gün (kısaldı, -103 gün)</t>
        </is>
      </c>
      <c r="D15" s="2" t="n"/>
      <c r="E15" s="2" t="n"/>
      <c r="F15" s="2" t="n"/>
      <c r="G15" s="2" t="n"/>
      <c r="H15" s="3" t="n"/>
    </row>
    <row r="16" ht="28" customHeight="1">
      <c r="A16" s="20" t="inlineStr">
        <is>
          <t>🏆 Tarihin En Büyük İhalesi</t>
        </is>
      </c>
      <c r="B16" s="3" t="n"/>
      <c r="C16" s="22" t="inlineStr">
        <is>
          <t>TLREF Endeksli Senetler — 08.07.2026 — 157.78 Milyar TL</t>
        </is>
      </c>
      <c r="D16" s="2" t="n"/>
      <c r="E16" s="2" t="n"/>
      <c r="F16" s="2" t="n"/>
      <c r="G16" s="2" t="n"/>
      <c r="H16" s="3" t="n"/>
    </row>
    <row r="17" ht="28" customHeight="1">
      <c r="A17" s="23" t="inlineStr">
        <is>
          <t>📊 2026 Ağırlıklı Senet Türü</t>
        </is>
      </c>
      <c r="B17" s="3" t="n"/>
      <c r="C17" s="25" t="inlineStr">
        <is>
          <t>TL Cinsi Sabit Faizli Kuponlu Senetler (%40.7 pay)</t>
        </is>
      </c>
      <c r="D17" s="2" t="n"/>
      <c r="E17" s="2" t="n"/>
      <c r="F17" s="2" t="n"/>
      <c r="G17" s="2" t="n"/>
      <c r="H17" s="3" t="n"/>
    </row>
    <row r="18" ht="28" customHeight="1">
      <c r="A18" s="20" t="inlineStr">
        <is>
          <t>💪 Talep Gücü (Teklif/Kabul)</t>
        </is>
      </c>
      <c r="B18" s="3" t="n"/>
      <c r="C18" s="22" t="inlineStr">
        <is>
          <t>2025 Ocak-Ekim: 1.96x → 2026: 1.82x (talep azaldı, -0.14x)</t>
        </is>
      </c>
      <c r="D18" s="2" t="n"/>
      <c r="E18" s="2" t="n"/>
      <c r="F18" s="2" t="n"/>
      <c r="G18" s="2" t="n"/>
      <c r="H18" s="3" t="n"/>
    </row>
    <row r="19" ht="28" customHeight="1">
      <c r="A19" s="23" t="inlineStr">
        <is>
          <t>🔮 2026 Yıllık Projeksiyon</t>
        </is>
      </c>
      <c r="B19" s="3" t="n"/>
      <c r="C19" s="25" t="inlineStr">
        <is>
          <t>İlk 10 ayda 2,646.53 Milyar TL → Yıl sonu tahmini: ~3,175.84 Milyar TL (2025 toplamı: 2,503.71 Milyar TL)</t>
        </is>
      </c>
      <c r="D19" s="2" t="n"/>
      <c r="E19" s="2" t="n"/>
      <c r="F19" s="2" t="n"/>
      <c r="G19" s="2" t="n"/>
      <c r="H19" s="3" t="n"/>
    </row>
    <row r="20" ht="28" customHeight="1">
      <c r="A20" s="20" t="inlineStr">
        <is>
          <t>⚡ 2024 → 2025 Değişim</t>
        </is>
      </c>
      <c r="B20" s="3" t="n"/>
      <c r="C20" s="22" t="inlineStr">
        <is>
          <t>Faiz: %37.56 → %36.92 (-0.64 puan), Toplam borçlanma: 1,725.05 Milyar TL → 2,503.71 Milyar TL (+45.1%)</t>
        </is>
      </c>
      <c r="D20" s="2" t="n"/>
      <c r="E20" s="2" t="n"/>
      <c r="F20" s="2" t="n"/>
      <c r="G20" s="2" t="n"/>
      <c r="H20" s="3" t="n"/>
    </row>
    <row r="21" ht="28" customHeight="1">
      <c r="A21" s="23" t="inlineStr">
        <is>
          <t>📈 Dönemsel Borçlanma Hacmi</t>
        </is>
      </c>
      <c r="B21" s="3" t="n"/>
      <c r="C21" s="25" t="inlineStr">
        <is>
          <t>2025 Ocak-Ekim: 2,284.21 Milyar TL → 2026 Ocak-Ekim: 2,646.53 Milyar TL (+15.9% değişim)</t>
        </is>
      </c>
      <c r="D21" s="2" t="n"/>
      <c r="E21" s="2" t="n"/>
      <c r="F21" s="2" t="n"/>
      <c r="G21" s="2" t="n"/>
      <c r="H21" s="3" t="n"/>
    </row>
  </sheetData>
  <mergeCells count="21">
    <mergeCell ref="C16:H16"/>
    <mergeCell ref="A15:B15"/>
    <mergeCell ref="A1:H1"/>
    <mergeCell ref="C21:H21"/>
    <mergeCell ref="A6:H6"/>
    <mergeCell ref="A16:B16"/>
    <mergeCell ref="C17:H17"/>
    <mergeCell ref="A18:B18"/>
    <mergeCell ref="A21:B21"/>
    <mergeCell ref="C19:H19"/>
    <mergeCell ref="A2:H2"/>
    <mergeCell ref="A14:B14"/>
    <mergeCell ref="C18:H18"/>
    <mergeCell ref="A17:B17"/>
    <mergeCell ref="C15:H15"/>
    <mergeCell ref="A4:H4"/>
    <mergeCell ref="A20:B20"/>
    <mergeCell ref="C14:H14"/>
    <mergeCell ref="A19:B19"/>
    <mergeCell ref="A13:H13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46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8" customHeight="1">
      <c r="A1" s="26" t="inlineStr">
        <is>
          <t>Genel Bilgiler</t>
        </is>
      </c>
      <c r="B1" s="2" t="n"/>
      <c r="C1" s="2" t="n"/>
      <c r="D1" s="2" t="n"/>
      <c r="E1" s="2" t="n"/>
      <c r="F1" s="2" t="n"/>
      <c r="G1" s="2" t="n"/>
      <c r="H1" s="3" t="n"/>
      <c r="I1" s="27" t="inlineStr">
        <is>
          <t>Teklif Edilen Tutar</t>
        </is>
      </c>
      <c r="J1" s="3" t="n"/>
      <c r="K1" s="28" t="inlineStr">
        <is>
          <t>İhale Kabul Edilen Tutar</t>
        </is>
      </c>
      <c r="L1" s="3" t="n"/>
      <c r="M1" s="29" t="inlineStr">
        <is>
          <t>Rek. Olmayan Teklif - Kamu</t>
        </is>
      </c>
      <c r="N1" s="3" t="n"/>
      <c r="O1" s="30" t="inlineStr">
        <is>
          <t>Rek. Olmayan Teklif - Piyasa Yapıcı</t>
        </is>
      </c>
      <c r="P1" s="3" t="n"/>
      <c r="Q1" s="31" t="inlineStr">
        <is>
          <t>İhale Sonrası Satış</t>
        </is>
      </c>
      <c r="R1" s="3" t="n"/>
      <c r="S1" s="32" t="inlineStr">
        <is>
          <t>Toplam Satış</t>
        </is>
      </c>
      <c r="T1" s="3" t="n"/>
      <c r="U1" s="33" t="inlineStr">
        <is>
          <t>Kabul Edilen Faiz (%)</t>
        </is>
      </c>
      <c r="V1" s="3" t="n"/>
      <c r="W1" s="34" t="inlineStr">
        <is>
          <t>Fiyat</t>
        </is>
      </c>
    </row>
    <row r="2" ht="36" customHeight="1">
      <c r="A2" s="35" t="inlineStr">
        <is>
          <t>Senet Türü</t>
        </is>
      </c>
      <c r="B2" s="35" t="inlineStr">
        <is>
          <t>Yıl</t>
        </is>
      </c>
      <c r="C2" s="35" t="inlineStr">
        <is>
          <t>ISIN Kodu</t>
        </is>
      </c>
      <c r="D2" s="35" t="inlineStr">
        <is>
          <t>Valör Tarihi</t>
        </is>
      </c>
      <c r="E2" s="35" t="inlineStr">
        <is>
          <t>İtfa Tarihi</t>
        </is>
      </c>
      <c r="F2" s="35" t="inlineStr">
        <is>
          <t>Vade (Gün)</t>
        </is>
      </c>
      <c r="G2" s="35" t="inlineStr">
        <is>
          <t>Kupon Dönemi</t>
        </is>
      </c>
      <c r="H2" s="35" t="inlineStr">
        <is>
          <t>Kupon Oranı (%)</t>
        </is>
      </c>
      <c r="I2" s="36" t="inlineStr">
        <is>
          <t>Nominal (Bin TL)</t>
        </is>
      </c>
      <c r="J2" s="36" t="inlineStr">
        <is>
          <t>Net (Bin TL)</t>
        </is>
      </c>
      <c r="K2" s="37" t="inlineStr">
        <is>
          <t>Nominal (Bin TL)</t>
        </is>
      </c>
      <c r="L2" s="37" t="inlineStr">
        <is>
          <t>Net (Bin TL)</t>
        </is>
      </c>
      <c r="M2" s="38" t="inlineStr">
        <is>
          <t>Nominal (Bin TL)</t>
        </is>
      </c>
      <c r="N2" s="38" t="inlineStr">
        <is>
          <t>Net (Bin TL)</t>
        </is>
      </c>
      <c r="O2" s="39" t="inlineStr">
        <is>
          <t>Nominal (Bin TL)</t>
        </is>
      </c>
      <c r="P2" s="39" t="inlineStr">
        <is>
          <t>Net (Bin TL)</t>
        </is>
      </c>
      <c r="Q2" s="40" t="inlineStr">
        <is>
          <t>Nominal (Bin TL)</t>
        </is>
      </c>
      <c r="R2" s="40" t="inlineStr">
        <is>
          <t>Net (Bin TL)</t>
        </is>
      </c>
      <c r="S2" s="41" t="inlineStr">
        <is>
          <t>Nominal (Bin TL)</t>
        </is>
      </c>
      <c r="T2" s="41" t="inlineStr">
        <is>
          <t>Net (Bin TL)</t>
        </is>
      </c>
      <c r="U2" s="42" t="inlineStr">
        <is>
          <t>Ort. Dönem (Basit)</t>
        </is>
      </c>
      <c r="V2" s="42" t="inlineStr">
        <is>
          <t>Ort. Yıllık Bileşik</t>
        </is>
      </c>
      <c r="W2" s="43" t="inlineStr">
        <is>
          <t>İhraç Birim Fiyatı (Ort.)</t>
        </is>
      </c>
    </row>
    <row r="3">
      <c r="A3" s="44" t="inlineStr">
        <is>
          <t>TLREF Endeksli Senetler</t>
        </is>
      </c>
      <c r="B3" s="44" t="n">
        <v>2026</v>
      </c>
      <c r="C3" s="44" t="inlineStr">
        <is>
          <t>TRT090130T12</t>
        </is>
      </c>
      <c r="D3" s="44" t="inlineStr">
        <is>
          <t>14.01.2026</t>
        </is>
      </c>
      <c r="E3" s="44" t="inlineStr">
        <is>
          <t>09.01.2030</t>
        </is>
      </c>
      <c r="F3" s="44" t="n">
        <v>1456</v>
      </c>
      <c r="G3" s="44" t="inlineStr">
        <is>
          <t>6 ay</t>
        </is>
      </c>
      <c r="H3" s="15" t="n"/>
      <c r="I3" s="45" t="n">
        <v>79609005.127</v>
      </c>
      <c r="J3" s="45" t="n">
        <v>78023609.79854</v>
      </c>
      <c r="K3" s="45" t="n">
        <v>29589001.003</v>
      </c>
      <c r="L3" s="45" t="n">
        <v>29392787.89905</v>
      </c>
      <c r="M3" s="45" t="n">
        <v>22247500.93</v>
      </c>
      <c r="N3" s="45" t="n">
        <v>22099999.99883</v>
      </c>
      <c r="O3" s="45" t="n">
        <v>23153507.751</v>
      </c>
      <c r="P3" s="45" t="n">
        <v>22999999.99462</v>
      </c>
      <c r="Q3" s="45" t="n">
        <v>2098463.573</v>
      </c>
      <c r="R3" s="45" t="n">
        <v>2084550.75951</v>
      </c>
      <c r="S3" s="45" t="n">
        <v>77088473.257</v>
      </c>
      <c r="T3" s="45" t="n">
        <v>76577338.65201001</v>
      </c>
      <c r="U3" s="15" t="n">
        <v>18.77</v>
      </c>
      <c r="V3" s="15" t="n">
        <v>41.05</v>
      </c>
      <c r="W3" s="49" t="n">
        <v>99.337</v>
      </c>
    </row>
    <row r="4">
      <c r="A4" s="44" t="inlineStr">
        <is>
          <t>TLREF Endeksli Senetler</t>
        </is>
      </c>
      <c r="B4" s="44" t="n">
        <v>2026</v>
      </c>
      <c r="C4" s="44" t="inlineStr">
        <is>
          <t>TRT090130T12</t>
        </is>
      </c>
      <c r="D4" s="44" t="inlineStr">
        <is>
          <t>11.02.2026</t>
        </is>
      </c>
      <c r="E4" s="44" t="inlineStr">
        <is>
          <t>09.01.2030</t>
        </is>
      </c>
      <c r="F4" s="44" t="n">
        <v>1428</v>
      </c>
      <c r="G4" s="44" t="inlineStr">
        <is>
          <t>6 ay</t>
        </is>
      </c>
      <c r="H4" s="15" t="n"/>
      <c r="I4" s="45" t="n">
        <v>56562000</v>
      </c>
      <c r="J4" s="45" t="n">
        <v>58027618.99</v>
      </c>
      <c r="K4" s="45" t="n">
        <v>31595000</v>
      </c>
      <c r="L4" s="45" t="n">
        <v>32495974.68</v>
      </c>
      <c r="M4" s="45" t="n">
        <v>14972970.868</v>
      </c>
      <c r="N4" s="45" t="n">
        <v>15399999.99716</v>
      </c>
      <c r="O4" s="45" t="n">
        <v>13611791.695</v>
      </c>
      <c r="P4" s="45" t="n">
        <v>13999999.99413</v>
      </c>
      <c r="Q4" s="45" t="n">
        <v>8396266.965</v>
      </c>
      <c r="R4" s="45" t="n">
        <v>8635728.49884</v>
      </c>
      <c r="S4" s="45" t="n">
        <v>68576029.528</v>
      </c>
      <c r="T4" s="45" t="n">
        <v>70531703.17013</v>
      </c>
      <c r="U4" s="15" t="n">
        <v>18.55</v>
      </c>
      <c r="V4" s="15" t="n">
        <v>40.54</v>
      </c>
      <c r="W4" s="49" t="n">
        <v>102.852</v>
      </c>
    </row>
    <row r="5">
      <c r="A5" s="44" t="inlineStr">
        <is>
          <t>TLREF Endeksli Senetler</t>
        </is>
      </c>
      <c r="B5" s="44" t="n">
        <v>2026</v>
      </c>
      <c r="C5" s="44" t="inlineStr">
        <is>
          <t>TRT090130T12</t>
        </is>
      </c>
      <c r="D5" s="44" t="inlineStr">
        <is>
          <t>18.03.2026</t>
        </is>
      </c>
      <c r="E5" s="44" t="inlineStr">
        <is>
          <t>09.01.2030</t>
        </is>
      </c>
      <c r="F5" s="44" t="n">
        <v>1393</v>
      </c>
      <c r="G5" s="44" t="inlineStr">
        <is>
          <t>6 ay</t>
        </is>
      </c>
      <c r="H5" s="15" t="n"/>
      <c r="I5" s="45" t="n">
        <v>81525000</v>
      </c>
      <c r="J5" s="45" t="n">
        <v>83978060.88</v>
      </c>
      <c r="K5" s="45" t="n">
        <v>16613000</v>
      </c>
      <c r="L5" s="45" t="n">
        <v>17209377.11</v>
      </c>
      <c r="M5" s="45" t="n">
        <v>9682401.774</v>
      </c>
      <c r="N5" s="45" t="n">
        <v>10029999.99769</v>
      </c>
      <c r="O5" s="45" t="n">
        <v>19789554.971</v>
      </c>
      <c r="P5" s="45" t="n">
        <v>20499999.99448</v>
      </c>
      <c r="Q5" s="45" t="n">
        <v>2606759.821</v>
      </c>
      <c r="R5" s="45" t="n">
        <v>2700342.49857</v>
      </c>
      <c r="S5" s="45" t="n">
        <v>48691716.56600001</v>
      </c>
      <c r="T5" s="45" t="n">
        <v>50439719.60074</v>
      </c>
      <c r="U5" s="15" t="n">
        <v>19.25</v>
      </c>
      <c r="V5" s="15" t="n">
        <v>42.19</v>
      </c>
      <c r="W5" s="49" t="n">
        <v>103.59</v>
      </c>
    </row>
    <row r="6">
      <c r="A6" s="44" t="inlineStr">
        <is>
          <t>TLREF Endeksli Senetler</t>
        </is>
      </c>
      <c r="B6" s="44" t="n">
        <v>2026</v>
      </c>
      <c r="C6" s="44" t="inlineStr">
        <is>
          <t>TRT090130T12</t>
        </is>
      </c>
      <c r="D6" s="44" t="inlineStr">
        <is>
          <t>08.04.2026</t>
        </is>
      </c>
      <c r="E6" s="44" t="inlineStr">
        <is>
          <t>09.01.2030</t>
        </is>
      </c>
      <c r="F6" s="44" t="n">
        <v>1372</v>
      </c>
      <c r="G6" s="44" t="inlineStr">
        <is>
          <t>6 ay</t>
        </is>
      </c>
      <c r="H6" s="15" t="n"/>
      <c r="I6" s="45" t="n">
        <v>101723858</v>
      </c>
      <c r="J6" s="45" t="n">
        <v>106711208.3</v>
      </c>
      <c r="K6" s="45" t="n">
        <v>62860858</v>
      </c>
      <c r="L6" s="45" t="n">
        <v>66117447.93</v>
      </c>
      <c r="M6" s="45" t="n">
        <v>190148.41</v>
      </c>
      <c r="N6" s="45" t="n">
        <v>199999.99912</v>
      </c>
      <c r="O6" s="45" t="n">
        <v>31849858.808</v>
      </c>
      <c r="P6" s="45" t="n">
        <v>33499999.99285</v>
      </c>
      <c r="Q6" s="45" t="n">
        <v>23923510.897</v>
      </c>
      <c r="R6" s="45" t="n">
        <v>25162987.99657</v>
      </c>
      <c r="S6" s="45" t="n">
        <v>118824376.115</v>
      </c>
      <c r="T6" s="45" t="n">
        <v>124980435.91854</v>
      </c>
      <c r="U6" s="15" t="n">
        <v>19.39</v>
      </c>
      <c r="V6" s="15" t="n">
        <v>42.53</v>
      </c>
      <c r="W6" s="49" t="n">
        <v>105.181</v>
      </c>
    </row>
    <row r="7">
      <c r="A7" s="44" t="inlineStr">
        <is>
          <t>TLREF Endeksli Senetler</t>
        </is>
      </c>
      <c r="B7" s="44" t="n">
        <v>2026</v>
      </c>
      <c r="C7" s="44" t="inlineStr">
        <is>
          <t>TRT090130T12</t>
        </is>
      </c>
      <c r="D7" s="44" t="inlineStr">
        <is>
          <t>13.05.2026</t>
        </is>
      </c>
      <c r="E7" s="44" t="inlineStr">
        <is>
          <t>09.01.2030</t>
        </is>
      </c>
      <c r="F7" s="44" t="n">
        <v>1337</v>
      </c>
      <c r="G7" s="44" t="inlineStr">
        <is>
          <t>6 ay</t>
        </is>
      </c>
      <c r="H7" s="15" t="n"/>
      <c r="I7" s="45" t="n">
        <v>122200001</v>
      </c>
      <c r="J7" s="45" t="n">
        <v>133373838.4747</v>
      </c>
      <c r="K7" s="45" t="n">
        <v>40607001</v>
      </c>
      <c r="L7" s="45" t="n">
        <v>44450411.2647</v>
      </c>
      <c r="M7" s="45" t="n">
        <v>1863609.372</v>
      </c>
      <c r="N7" s="45" t="n">
        <v>2039999.99906</v>
      </c>
      <c r="O7" s="45" t="n">
        <v>36541360.251</v>
      </c>
      <c r="P7" s="45" t="n">
        <v>39999999.99875</v>
      </c>
      <c r="Q7" s="45" t="n">
        <v>18248574.407</v>
      </c>
      <c r="R7" s="45" t="n">
        <v>19975801.97462</v>
      </c>
      <c r="S7" s="45" t="n">
        <v>97260545.03</v>
      </c>
      <c r="T7" s="45" t="n">
        <v>106466213.23713</v>
      </c>
      <c r="U7" s="15" t="n">
        <v>19.22</v>
      </c>
      <c r="V7" s="15" t="n">
        <v>42.12</v>
      </c>
      <c r="W7" s="49" t="n">
        <v>109.465</v>
      </c>
    </row>
    <row r="8">
      <c r="A8" s="44" t="inlineStr">
        <is>
          <t>TLREF Endeksli Senetler</t>
        </is>
      </c>
      <c r="B8" s="44" t="n">
        <v>2026</v>
      </c>
      <c r="C8" s="44" t="inlineStr">
        <is>
          <t>TRT090130T12</t>
        </is>
      </c>
      <c r="D8" s="44" t="inlineStr">
        <is>
          <t>10.06.2026</t>
        </is>
      </c>
      <c r="E8" s="44" t="inlineStr">
        <is>
          <t>09.01.2030</t>
        </is>
      </c>
      <c r="F8" s="44" t="n">
        <v>1309</v>
      </c>
      <c r="G8" s="44" t="inlineStr">
        <is>
          <t>6 ay</t>
        </is>
      </c>
      <c r="H8" s="15" t="n"/>
      <c r="I8" s="45" t="n">
        <v>104246000</v>
      </c>
      <c r="J8" s="45" t="n">
        <v>117004543.56</v>
      </c>
      <c r="K8" s="45" t="n">
        <v>60642000</v>
      </c>
      <c r="L8" s="45" t="n">
        <v>68135035.15000001</v>
      </c>
      <c r="M8" s="45" t="n">
        <v>3586813.342</v>
      </c>
      <c r="N8" s="45" t="n">
        <v>4029999.99854</v>
      </c>
      <c r="O8" s="45" t="n">
        <v>50731603.113</v>
      </c>
      <c r="P8" s="45" t="n">
        <v>56999999.99363</v>
      </c>
      <c r="Q8" s="45" t="n">
        <v>25428457.295</v>
      </c>
      <c r="R8" s="45" t="n">
        <v>28570397.47837</v>
      </c>
      <c r="S8" s="45" t="n">
        <v>140388873.75</v>
      </c>
      <c r="T8" s="45" t="n">
        <v>157735432.62054</v>
      </c>
      <c r="U8" s="15" t="n">
        <v>19.25</v>
      </c>
      <c r="V8" s="15" t="n">
        <v>42.19</v>
      </c>
      <c r="W8" s="49" t="n">
        <v>112.356</v>
      </c>
    </row>
    <row r="9">
      <c r="A9" s="44" t="inlineStr">
        <is>
          <t>TLREF Endeksli Senetler</t>
        </is>
      </c>
      <c r="B9" s="44" t="n">
        <v>2026</v>
      </c>
      <c r="C9" s="44" t="inlineStr">
        <is>
          <t>TRT030730T12*</t>
        </is>
      </c>
      <c r="D9" s="44" t="inlineStr">
        <is>
          <t>08.07.2026</t>
        </is>
      </c>
      <c r="E9" s="44" t="inlineStr">
        <is>
          <t>03.07.2030</t>
        </is>
      </c>
      <c r="F9" s="44" t="n">
        <v>1456</v>
      </c>
      <c r="G9" s="44" t="inlineStr">
        <is>
          <t>6 ay</t>
        </is>
      </c>
      <c r="H9" s="15" t="n"/>
      <c r="I9" s="45" t="n">
        <v>146238863.25</v>
      </c>
      <c r="J9" s="45" t="n">
        <v>142874760.20144</v>
      </c>
      <c r="K9" s="45" t="n">
        <v>75869822.22499999</v>
      </c>
      <c r="L9" s="45" t="n">
        <v>74576048.50206</v>
      </c>
      <c r="M9" s="45" t="n">
        <v>3764179.254</v>
      </c>
      <c r="N9" s="45" t="n">
        <v>3699999.99772</v>
      </c>
      <c r="O9" s="45" t="n">
        <v>80370313.846</v>
      </c>
      <c r="P9" s="45" t="n">
        <v>78999999.99492</v>
      </c>
      <c r="Q9" s="45" t="n">
        <v>508672.872</v>
      </c>
      <c r="R9" s="45" t="n">
        <v>499999.99953</v>
      </c>
      <c r="S9" s="45" t="n">
        <v>160512988.197</v>
      </c>
      <c r="T9" s="45" t="n">
        <v>157776048.49423</v>
      </c>
      <c r="U9" s="15" t="n">
        <v>20.45</v>
      </c>
      <c r="V9" s="15" t="n">
        <v>45.08</v>
      </c>
      <c r="W9" s="49" t="n">
        <v>98.295</v>
      </c>
    </row>
    <row r="10">
      <c r="A10" s="44" t="inlineStr">
        <is>
          <t>TLREF Endeksli Senetler</t>
        </is>
      </c>
      <c r="B10" s="44" t="n">
        <v>2026</v>
      </c>
      <c r="C10" s="44" t="inlineStr">
        <is>
          <t>TRT030730T12</t>
        </is>
      </c>
      <c r="D10" s="44" t="inlineStr">
        <is>
          <t>19.08.2026</t>
        </is>
      </c>
      <c r="E10" s="44" t="inlineStr">
        <is>
          <t>03.07.2030</t>
        </is>
      </c>
      <c r="F10" s="44" t="n">
        <v>1414</v>
      </c>
      <c r="G10" s="44" t="inlineStr">
        <is>
          <t>6 ay</t>
        </is>
      </c>
      <c r="H10" s="15" t="n"/>
      <c r="I10" s="45" t="n">
        <v>128932100</v>
      </c>
      <c r="J10" s="45" t="n">
        <v>131940763.893</v>
      </c>
      <c r="K10" s="45" t="n">
        <v>32323100</v>
      </c>
      <c r="L10" s="45" t="n">
        <v>33159965.693</v>
      </c>
      <c r="M10" s="45" t="n">
        <v>97476.337</v>
      </c>
      <c r="N10" s="45" t="n">
        <v>99999.99936</v>
      </c>
      <c r="O10" s="45" t="n">
        <v>53611985.685</v>
      </c>
      <c r="P10" s="45" t="n">
        <v>54999999.99439</v>
      </c>
      <c r="Q10" s="45" t="n">
        <v>14802106.581</v>
      </c>
      <c r="R10" s="45" t="n">
        <v>15185333.1204</v>
      </c>
      <c r="S10" s="45" t="n">
        <v>100834668.603</v>
      </c>
      <c r="T10" s="45" t="n">
        <v>103445298.80715</v>
      </c>
      <c r="U10" s="15" t="n">
        <v>20.46</v>
      </c>
      <c r="V10" s="15" t="n">
        <v>45.09</v>
      </c>
      <c r="W10" s="49" t="n">
        <v>102.589</v>
      </c>
    </row>
    <row r="11">
      <c r="A11" s="44" t="inlineStr">
        <is>
          <t>TLREF Endeksli Senetler</t>
        </is>
      </c>
      <c r="B11" s="44" t="n">
        <v>2026</v>
      </c>
      <c r="C11" s="44" t="inlineStr">
        <is>
          <t>TRT110930T36</t>
        </is>
      </c>
      <c r="D11" s="44" t="inlineStr">
        <is>
          <t>16.09.2026</t>
        </is>
      </c>
      <c r="E11" s="44" t="inlineStr">
        <is>
          <t>11.09.2030</t>
        </is>
      </c>
      <c r="F11" s="44" t="n">
        <v>1456</v>
      </c>
      <c r="G11" s="44" t="inlineStr">
        <is>
          <t>6 ay</t>
        </is>
      </c>
      <c r="H11" s="15" t="n"/>
      <c r="I11" s="45" t="n">
        <v>113114000</v>
      </c>
      <c r="J11" s="45" t="n">
        <v>110468966.72</v>
      </c>
      <c r="K11" s="45" t="n">
        <v>49631000</v>
      </c>
      <c r="L11" s="45" t="n">
        <v>48851314.97</v>
      </c>
      <c r="M11" s="45" t="n">
        <v>5486188.012</v>
      </c>
      <c r="N11" s="45" t="n">
        <v>5399999.99833</v>
      </c>
      <c r="O11" s="45" t="n">
        <v>30478822.292</v>
      </c>
      <c r="P11" s="45" t="n">
        <v>29999999.99381</v>
      </c>
      <c r="Q11" s="45" t="n">
        <v>0</v>
      </c>
      <c r="R11" s="45" t="n">
        <v>0</v>
      </c>
      <c r="S11" s="45" t="n">
        <v>85596010.30400001</v>
      </c>
      <c r="T11" s="45" t="n">
        <v>84251314.96213999</v>
      </c>
      <c r="U11" s="15" t="n">
        <v>18.64</v>
      </c>
      <c r="V11" s="15" t="n">
        <v>40.76</v>
      </c>
      <c r="W11" s="49" t="n">
        <v>98.429</v>
      </c>
    </row>
    <row r="12">
      <c r="A12" s="44" t="inlineStr">
        <is>
          <t>TLREF Endeksli Senetler</t>
        </is>
      </c>
      <c r="B12" s="44" t="n">
        <v>2026</v>
      </c>
      <c r="C12" s="44" t="inlineStr">
        <is>
          <t>TRT110930T36</t>
        </is>
      </c>
      <c r="D12" s="44" t="inlineStr">
        <is>
          <t>07.10.2026</t>
        </is>
      </c>
      <c r="E12" s="44" t="inlineStr">
        <is>
          <t>11.09.2030</t>
        </is>
      </c>
      <c r="F12" s="44" t="n">
        <v>1435</v>
      </c>
      <c r="G12" s="44" t="inlineStr">
        <is>
          <t>6 ay</t>
        </is>
      </c>
      <c r="H12" s="15" t="n"/>
      <c r="I12" s="45" t="n">
        <v>58939000</v>
      </c>
      <c r="J12" s="45" t="n">
        <v>58617039.08</v>
      </c>
      <c r="K12" s="45" t="n">
        <v>26298000</v>
      </c>
      <c r="L12" s="45" t="n">
        <v>26217249.42</v>
      </c>
      <c r="M12" s="45" t="n">
        <v>0</v>
      </c>
      <c r="N12" s="45" t="n">
        <v>0</v>
      </c>
      <c r="O12" s="45" t="n">
        <v>25076986.341</v>
      </c>
      <c r="P12" s="45" t="n">
        <v>24999999.99294</v>
      </c>
      <c r="Q12" s="45" t="n">
        <v>5300499.531</v>
      </c>
      <c r="R12" s="45" t="n">
        <v>5284226.99744</v>
      </c>
      <c r="S12" s="45" t="n">
        <v>56675485.872</v>
      </c>
      <c r="T12" s="45" t="n">
        <v>56501476.41038001</v>
      </c>
      <c r="U12" s="15" t="n">
        <v>18.82</v>
      </c>
      <c r="V12" s="15" t="n">
        <v>41.18</v>
      </c>
      <c r="W12" s="49" t="n">
        <v>99.693</v>
      </c>
    </row>
    <row r="13">
      <c r="A13" s="44" t="inlineStr">
        <is>
          <t>TLREF Endeksli Senetler</t>
        </is>
      </c>
      <c r="B13" s="44" t="n">
        <v>2026</v>
      </c>
      <c r="C13" s="44" t="inlineStr">
        <is>
          <t>(*) İlgili ihalede yükümlülüğün yerine getirilmemesi sebebiyle, ihalede kabul edilen tutar ve toplam satış tutarlarında yukarıda belirtilen istatistiklerden nominal satış tutarı 175.000.000,00 TL; net satış tutarı ise 203.234.500,00 TL eksik gerçekleşmiştir.</t>
        </is>
      </c>
      <c r="D13" s="44" t="inlineStr">
        <is>
          <t>nan</t>
        </is>
      </c>
      <c r="E13" s="44" t="inlineStr">
        <is>
          <t>nan</t>
        </is>
      </c>
      <c r="F13" s="44" t="n"/>
      <c r="G13" s="44" t="n"/>
      <c r="H13" s="1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15" t="n"/>
      <c r="V13" s="15" t="n"/>
      <c r="W13" s="49" t="n"/>
    </row>
    <row r="14">
      <c r="A14" s="44" t="inlineStr">
        <is>
          <t>TLREF Endeksli Senetler</t>
        </is>
      </c>
      <c r="B14" s="44" t="n">
        <v>2025</v>
      </c>
      <c r="C14" s="44" t="inlineStr">
        <is>
          <t>TRT061228T16</t>
        </is>
      </c>
      <c r="D14" s="44" t="inlineStr">
        <is>
          <t>15.01.2025</t>
        </is>
      </c>
      <c r="E14" s="44" t="inlineStr">
        <is>
          <t>06.12.2028</t>
        </is>
      </c>
      <c r="F14" s="44" t="n">
        <v>1421</v>
      </c>
      <c r="G14" s="44" t="inlineStr">
        <is>
          <t>3 ay</t>
        </is>
      </c>
      <c r="H14" s="15" t="n"/>
      <c r="I14" s="45" t="n">
        <v>49270032</v>
      </c>
      <c r="J14" s="45" t="n">
        <v>51262428.56</v>
      </c>
      <c r="K14" s="45" t="n">
        <v>16874000</v>
      </c>
      <c r="L14" s="45" t="n">
        <v>17661324.12</v>
      </c>
      <c r="M14" s="45" t="n">
        <v>2866260.294</v>
      </c>
      <c r="N14" s="45" t="n">
        <v>2999999.99932</v>
      </c>
      <c r="O14" s="45" t="n">
        <v>33439703.431</v>
      </c>
      <c r="P14" s="45" t="n">
        <v>34999999.99311</v>
      </c>
      <c r="Q14" s="45" t="n">
        <v>4284423.307</v>
      </c>
      <c r="R14" s="45" t="n">
        <v>4484334.4985</v>
      </c>
      <c r="S14" s="45" t="n">
        <v>57464387.03200001</v>
      </c>
      <c r="T14" s="45" t="n">
        <v>60145658.61093</v>
      </c>
      <c r="U14" s="15" t="n">
        <v>12.5</v>
      </c>
      <c r="V14" s="15" t="n">
        <v>60.15</v>
      </c>
      <c r="W14" s="49" t="n">
        <v>104.666</v>
      </c>
    </row>
    <row r="15">
      <c r="A15" s="44" t="inlineStr">
        <is>
          <t>TLREF Endeksli Senetler</t>
        </is>
      </c>
      <c r="B15" s="44" t="n">
        <v>2025</v>
      </c>
      <c r="C15" s="44" t="inlineStr">
        <is>
          <t>TRT061228T16</t>
        </is>
      </c>
      <c r="D15" s="44" t="inlineStr">
        <is>
          <t>19.02.2025</t>
        </is>
      </c>
      <c r="E15" s="44" t="inlineStr">
        <is>
          <t>06.12.2028</t>
        </is>
      </c>
      <c r="F15" s="44" t="n">
        <v>1386</v>
      </c>
      <c r="G15" s="44" t="inlineStr">
        <is>
          <t>3 ay</t>
        </is>
      </c>
      <c r="H15" s="15" t="n"/>
      <c r="I15" s="45" t="n">
        <v>75514318</v>
      </c>
      <c r="J15" s="45" t="n">
        <v>82300766.84838</v>
      </c>
      <c r="K15" s="45" t="n">
        <v>20501318</v>
      </c>
      <c r="L15" s="45" t="n">
        <v>22438293.33838</v>
      </c>
      <c r="M15" s="45" t="n">
        <v>2741027.702</v>
      </c>
      <c r="N15" s="45" t="n">
        <v>2999999.99928</v>
      </c>
      <c r="O15" s="45" t="n">
        <v>13705138.507</v>
      </c>
      <c r="P15" s="45" t="n">
        <v>14999999.99314</v>
      </c>
      <c r="Q15" s="45" t="n">
        <v>7709161.008</v>
      </c>
      <c r="R15" s="45" t="n">
        <v>8437522.540030001</v>
      </c>
      <c r="S15" s="45" t="n">
        <v>44656645.217</v>
      </c>
      <c r="T15" s="45" t="n">
        <v>48875815.87083001</v>
      </c>
      <c r="U15" s="15" t="n">
        <v>12.51</v>
      </c>
      <c r="V15" s="15" t="n">
        <v>60.21</v>
      </c>
      <c r="W15" s="49" t="n">
        <v>109.448</v>
      </c>
    </row>
    <row r="16">
      <c r="A16" s="44" t="inlineStr">
        <is>
          <t>TLREF Endeksli Senetler</t>
        </is>
      </c>
      <c r="B16" s="44" t="n">
        <v>2025</v>
      </c>
      <c r="C16" s="44" t="inlineStr">
        <is>
          <t>TRT070329T15</t>
        </is>
      </c>
      <c r="D16" s="44" t="inlineStr">
        <is>
          <t>12.03.2025</t>
        </is>
      </c>
      <c r="E16" s="44" t="inlineStr">
        <is>
          <t>07.03.2029</t>
        </is>
      </c>
      <c r="F16" s="44" t="n">
        <v>1456</v>
      </c>
      <c r="G16" s="44" t="inlineStr">
        <is>
          <t>3 ay</t>
        </is>
      </c>
      <c r="H16" s="15" t="n"/>
      <c r="I16" s="45" t="n">
        <v>52389000</v>
      </c>
      <c r="J16" s="45" t="n">
        <v>51236840.3</v>
      </c>
      <c r="K16" s="45" t="n">
        <v>30269000</v>
      </c>
      <c r="L16" s="45" t="n">
        <v>29794012.55</v>
      </c>
      <c r="M16" s="45" t="n">
        <v>6603610.65</v>
      </c>
      <c r="N16" s="45" t="n">
        <v>6499999.9989</v>
      </c>
      <c r="O16" s="45" t="n">
        <v>7619550.747</v>
      </c>
      <c r="P16" s="45" t="n">
        <v>7499999.99579</v>
      </c>
      <c r="Q16" s="45" t="n">
        <v>6652834.087</v>
      </c>
      <c r="R16" s="45" t="n">
        <v>6548451.12018</v>
      </c>
      <c r="S16" s="45" t="n">
        <v>51144995.484</v>
      </c>
      <c r="T16" s="45" t="n">
        <v>50342463.66486999</v>
      </c>
      <c r="U16" s="15" t="n">
        <v>10.83</v>
      </c>
      <c r="V16" s="15" t="n">
        <v>50.88</v>
      </c>
      <c r="W16" s="49" t="n">
        <v>98.431</v>
      </c>
    </row>
    <row r="17">
      <c r="A17" s="44" t="inlineStr">
        <is>
          <t>TLREF Endeksli Senetler</t>
        </is>
      </c>
      <c r="B17" s="44" t="n">
        <v>2025</v>
      </c>
      <c r="C17" s="44" t="inlineStr">
        <is>
          <t>TRT080426T16</t>
        </is>
      </c>
      <c r="D17" s="44" t="inlineStr">
        <is>
          <t>09.04.2025</t>
        </is>
      </c>
      <c r="E17" s="44" t="inlineStr">
        <is>
          <t>08.04.2026</t>
        </is>
      </c>
      <c r="F17" s="44" t="n">
        <v>364</v>
      </c>
      <c r="G17" s="44" t="inlineStr">
        <is>
          <t>3 ay</t>
        </is>
      </c>
      <c r="H17" s="15" t="n"/>
      <c r="I17" s="45" t="n">
        <v>100155019.954</v>
      </c>
      <c r="J17" s="45" t="n">
        <v>97925950.61947</v>
      </c>
      <c r="K17" s="45" t="n">
        <v>48823019.954</v>
      </c>
      <c r="L17" s="45" t="n">
        <v>48195551.33947</v>
      </c>
      <c r="M17" s="45" t="n">
        <v>0</v>
      </c>
      <c r="N17" s="45" t="n">
        <v>0</v>
      </c>
      <c r="O17" s="45" t="n">
        <v>30390518.153</v>
      </c>
      <c r="P17" s="45" t="n">
        <v>29999999.99474</v>
      </c>
      <c r="Q17" s="45" t="n">
        <v>110418.882</v>
      </c>
      <c r="R17" s="45" t="n">
        <v>108999.99937</v>
      </c>
      <c r="S17" s="45" t="n">
        <v>79323956.98900001</v>
      </c>
      <c r="T17" s="45" t="n">
        <v>78304551.33358</v>
      </c>
      <c r="U17" s="15" t="n">
        <v>12.05</v>
      </c>
      <c r="V17" s="15" t="n">
        <v>57.65</v>
      </c>
      <c r="W17" s="49" t="n">
        <v>98.715</v>
      </c>
    </row>
    <row r="18">
      <c r="A18" s="44" t="inlineStr">
        <is>
          <t>TLREF Endeksli Senetler</t>
        </is>
      </c>
      <c r="B18" s="44" t="n">
        <v>2025</v>
      </c>
      <c r="C18" s="44" t="inlineStr">
        <is>
          <t>TRT070329T15</t>
        </is>
      </c>
      <c r="D18" s="44" t="inlineStr">
        <is>
          <t>14.05.2025</t>
        </is>
      </c>
      <c r="E18" s="44" t="inlineStr">
        <is>
          <t>07.03.2029</t>
        </is>
      </c>
      <c r="F18" s="44" t="n">
        <v>1393</v>
      </c>
      <c r="G18" s="44" t="inlineStr">
        <is>
          <t>3 ay</t>
        </is>
      </c>
      <c r="H18" s="15" t="n"/>
      <c r="I18" s="45" t="n">
        <v>74609000</v>
      </c>
      <c r="J18" s="45" t="n">
        <v>74840592.59999999</v>
      </c>
      <c r="K18" s="45" t="n">
        <v>39461000</v>
      </c>
      <c r="L18" s="45" t="n">
        <v>39857748.71</v>
      </c>
      <c r="M18" s="45" t="n">
        <v>2970149.992</v>
      </c>
      <c r="N18" s="45" t="n">
        <v>2999999.99942</v>
      </c>
      <c r="O18" s="45" t="n">
        <v>14850749.957</v>
      </c>
      <c r="P18" s="45" t="n">
        <v>14999999.99406</v>
      </c>
      <c r="Q18" s="45" t="n">
        <v>16764389.383</v>
      </c>
      <c r="R18" s="45" t="n">
        <v>16932871.49629</v>
      </c>
      <c r="S18" s="45" t="n">
        <v>74046289.332</v>
      </c>
      <c r="T18" s="45" t="n">
        <v>74790620.19977</v>
      </c>
      <c r="U18" s="15" t="n">
        <v>11.5</v>
      </c>
      <c r="V18" s="15" t="n">
        <v>54.57</v>
      </c>
      <c r="W18" s="49" t="n">
        <v>101.005</v>
      </c>
    </row>
    <row r="19">
      <c r="A19" s="44" t="inlineStr">
        <is>
          <t>TLREF Endeksli Senetler</t>
        </is>
      </c>
      <c r="B19" s="44" t="n">
        <v>2025</v>
      </c>
      <c r="C19" s="44" t="inlineStr">
        <is>
          <t>TRT130629T30</t>
        </is>
      </c>
      <c r="D19" s="44" t="inlineStr">
        <is>
          <t>18.06.2025</t>
        </is>
      </c>
      <c r="E19" s="44" t="inlineStr">
        <is>
          <t>13.06.2029</t>
        </is>
      </c>
      <c r="F19" s="44" t="n">
        <v>1456</v>
      </c>
      <c r="G19" s="44" t="inlineStr">
        <is>
          <t>3 ay</t>
        </is>
      </c>
      <c r="H19" s="15" t="n"/>
      <c r="I19" s="45" t="n">
        <v>81751004.207</v>
      </c>
      <c r="J19" s="45" t="n">
        <v>75981893.4193</v>
      </c>
      <c r="K19" s="45" t="n">
        <v>50419004.207</v>
      </c>
      <c r="L19" s="45" t="n">
        <v>47098581.4193</v>
      </c>
      <c r="M19" s="45" t="n">
        <v>2676258.376</v>
      </c>
      <c r="N19" s="45" t="n">
        <v>2499999.99936</v>
      </c>
      <c r="O19" s="45" t="n">
        <v>18198556.957</v>
      </c>
      <c r="P19" s="45" t="n">
        <v>16999999.99583</v>
      </c>
      <c r="Q19" s="45" t="n">
        <v>20501646.613</v>
      </c>
      <c r="R19" s="45" t="n">
        <v>19151408.16707</v>
      </c>
      <c r="S19" s="45" t="n">
        <v>91795466.15300001</v>
      </c>
      <c r="T19" s="45" t="n">
        <v>85749989.58155999</v>
      </c>
      <c r="U19" s="15" t="n">
        <v>12.47</v>
      </c>
      <c r="V19" s="15" t="n">
        <v>60</v>
      </c>
      <c r="W19" s="49" t="n">
        <v>93.414</v>
      </c>
    </row>
    <row r="20">
      <c r="A20" s="44" t="inlineStr">
        <is>
          <t>TLREF Endeksli Senetler</t>
        </is>
      </c>
      <c r="B20" s="44" t="n">
        <v>2025</v>
      </c>
      <c r="C20" s="44" t="inlineStr">
        <is>
          <t>TRT040729T14</t>
        </is>
      </c>
      <c r="D20" s="44" t="inlineStr">
        <is>
          <t>09.07.2025</t>
        </is>
      </c>
      <c r="E20" s="44" t="inlineStr">
        <is>
          <t>04.07.2029</t>
        </is>
      </c>
      <c r="F20" s="44" t="n">
        <v>1456</v>
      </c>
      <c r="G20" s="44" t="inlineStr">
        <is>
          <t>6 ay</t>
        </is>
      </c>
      <c r="H20" s="15" t="n"/>
      <c r="I20" s="45" t="n">
        <v>101867278</v>
      </c>
      <c r="J20" s="45" t="n">
        <v>95052769.15000001</v>
      </c>
      <c r="K20" s="45" t="n">
        <v>32615000</v>
      </c>
      <c r="L20" s="45" t="n">
        <v>30774209.9</v>
      </c>
      <c r="M20" s="45" t="n">
        <v>9538344.142000001</v>
      </c>
      <c r="N20" s="45" t="n">
        <v>8999999.99862</v>
      </c>
      <c r="O20" s="45" t="n">
        <v>40273008.6</v>
      </c>
      <c r="P20" s="45" t="n">
        <v>37999999.99463</v>
      </c>
      <c r="Q20" s="45" t="n">
        <v>12202728.601</v>
      </c>
      <c r="R20" s="45" t="n">
        <v>11514006.59876</v>
      </c>
      <c r="S20" s="45" t="n">
        <v>94629081.34300001</v>
      </c>
      <c r="T20" s="45" t="n">
        <v>89288216.49201</v>
      </c>
      <c r="U20" s="15" t="n">
        <v>24.68</v>
      </c>
      <c r="V20" s="15" t="n">
        <v>55.45</v>
      </c>
      <c r="W20" s="49" t="n">
        <v>94.35599999999999</v>
      </c>
    </row>
    <row r="21">
      <c r="A21" s="44" t="inlineStr">
        <is>
          <t>TLREF Endeksli Senetler</t>
        </is>
      </c>
      <c r="B21" s="44" t="n">
        <v>2025</v>
      </c>
      <c r="C21" s="44" t="inlineStr">
        <is>
          <t>TRT040729T14</t>
        </is>
      </c>
      <c r="D21" s="44" t="inlineStr">
        <is>
          <t>20.08.2025</t>
        </is>
      </c>
      <c r="E21" s="44" t="inlineStr">
        <is>
          <t>04.07.2029</t>
        </is>
      </c>
      <c r="F21" s="44" t="n">
        <v>1414</v>
      </c>
      <c r="G21" s="44" t="inlineStr">
        <is>
          <t>6 ay</t>
        </is>
      </c>
      <c r="H21" s="15" t="n"/>
      <c r="I21" s="45" t="n">
        <v>179552851</v>
      </c>
      <c r="J21" s="45" t="n">
        <v>181045310.22788</v>
      </c>
      <c r="K21" s="45" t="n">
        <v>27285000</v>
      </c>
      <c r="L21" s="45" t="n">
        <v>27707455</v>
      </c>
      <c r="M21" s="45" t="n">
        <v>7917438.058</v>
      </c>
      <c r="N21" s="45" t="n">
        <v>8039999.99914</v>
      </c>
      <c r="O21" s="45" t="n">
        <v>31512191.271</v>
      </c>
      <c r="P21" s="45" t="n">
        <v>31999999.99185</v>
      </c>
      <c r="Q21" s="45" t="n">
        <v>9419403.630000001</v>
      </c>
      <c r="R21" s="45" t="n">
        <v>9565215.998190001</v>
      </c>
      <c r="S21" s="45" t="n">
        <v>76134032.95899999</v>
      </c>
      <c r="T21" s="45" t="n">
        <v>77312670.98918</v>
      </c>
      <c r="U21" s="15" t="n">
        <v>23.98</v>
      </c>
      <c r="V21" s="15" t="n">
        <v>53.72</v>
      </c>
      <c r="W21" s="49" t="n">
        <v>101.548</v>
      </c>
    </row>
    <row r="22">
      <c r="A22" s="44" t="inlineStr">
        <is>
          <t>TLREF Endeksli Senetler</t>
        </is>
      </c>
      <c r="B22" s="44" t="n">
        <v>2024</v>
      </c>
      <c r="C22" s="44" t="inlineStr">
        <is>
          <t>TRT190128T14</t>
        </is>
      </c>
      <c r="D22" s="44" t="inlineStr">
        <is>
          <t>24.01.2024</t>
        </is>
      </c>
      <c r="E22" s="44" t="inlineStr">
        <is>
          <t>19.01.2028</t>
        </is>
      </c>
      <c r="F22" s="44" t="n">
        <v>1456</v>
      </c>
      <c r="G22" s="44" t="inlineStr">
        <is>
          <t>3 ay</t>
        </is>
      </c>
      <c r="H22" s="15" t="n"/>
      <c r="I22" s="45" t="n">
        <v>38392210.984</v>
      </c>
      <c r="J22" s="45" t="n">
        <v>37023568.96606</v>
      </c>
      <c r="K22" s="45" t="n">
        <v>5910000</v>
      </c>
      <c r="L22" s="45" t="n">
        <v>5864075</v>
      </c>
      <c r="M22" s="45" t="n">
        <v>0</v>
      </c>
      <c r="N22" s="45" t="n">
        <v>0</v>
      </c>
      <c r="O22" s="45" t="n">
        <v>10078308.453</v>
      </c>
      <c r="P22" s="45" t="n">
        <v>9999999.996309999</v>
      </c>
      <c r="Q22" s="45" t="n">
        <v>3010000</v>
      </c>
      <c r="R22" s="45" t="n">
        <v>2986612.3</v>
      </c>
      <c r="S22" s="45" t="n">
        <v>18998308.453</v>
      </c>
      <c r="T22" s="45" t="n">
        <v>18850687.29631</v>
      </c>
      <c r="U22" s="15" t="n">
        <v>10.72</v>
      </c>
      <c r="V22" s="15" t="n">
        <v>50.3</v>
      </c>
      <c r="W22" s="49" t="n">
        <v>99.223</v>
      </c>
    </row>
    <row r="23">
      <c r="A23" s="44" t="inlineStr">
        <is>
          <t>TLREF Endeksli Senetler</t>
        </is>
      </c>
      <c r="B23" s="44" t="n">
        <v>2024</v>
      </c>
      <c r="C23" s="44" t="inlineStr">
        <is>
          <t>TRT190128T14</t>
        </is>
      </c>
      <c r="D23" s="44" t="inlineStr">
        <is>
          <t>14.02.2024</t>
        </is>
      </c>
      <c r="E23" s="44" t="inlineStr">
        <is>
          <t>19.01.2028</t>
        </is>
      </c>
      <c r="F23" s="44" t="n">
        <v>1435</v>
      </c>
      <c r="G23" s="44" t="inlineStr">
        <is>
          <t>3 ay</t>
        </is>
      </c>
      <c r="H23" s="15" t="n"/>
      <c r="I23" s="45" t="n">
        <v>29462003</v>
      </c>
      <c r="J23" s="45" t="n">
        <v>29493318.045</v>
      </c>
      <c r="K23" s="45" t="n">
        <v>7170000</v>
      </c>
      <c r="L23" s="45" t="n">
        <v>7319549.7</v>
      </c>
      <c r="M23" s="45" t="n">
        <v>0</v>
      </c>
      <c r="N23" s="45" t="n">
        <v>0</v>
      </c>
      <c r="O23" s="45" t="n">
        <v>5877397.484</v>
      </c>
      <c r="P23" s="45" t="n">
        <v>5999999.99552</v>
      </c>
      <c r="Q23" s="45" t="n">
        <v>1961823.952</v>
      </c>
      <c r="R23" s="45" t="n">
        <v>2002747.59964</v>
      </c>
      <c r="S23" s="45" t="n">
        <v>15009221.436</v>
      </c>
      <c r="T23" s="45" t="n">
        <v>15322297.29516</v>
      </c>
      <c r="U23" s="15" t="n">
        <v>10.66</v>
      </c>
      <c r="V23" s="15" t="n">
        <v>49.93</v>
      </c>
      <c r="W23" s="49" t="n">
        <v>102.086</v>
      </c>
    </row>
    <row r="24">
      <c r="A24" s="44" t="inlineStr">
        <is>
          <t>TLREF Endeksli Senetler</t>
        </is>
      </c>
      <c r="B24" s="44" t="n">
        <v>2024</v>
      </c>
      <c r="C24" s="44" t="inlineStr">
        <is>
          <t>TRT190128T14</t>
        </is>
      </c>
      <c r="D24" s="44" t="inlineStr">
        <is>
          <t>13.03.2024</t>
        </is>
      </c>
      <c r="E24" s="44" t="inlineStr">
        <is>
          <t>19.01.2028</t>
        </is>
      </c>
      <c r="F24" s="44" t="n">
        <v>1407</v>
      </c>
      <c r="G24" s="44" t="inlineStr">
        <is>
          <t>3 ay</t>
        </is>
      </c>
      <c r="H24" s="15" t="n"/>
      <c r="I24" s="45" t="n">
        <v>19044000</v>
      </c>
      <c r="J24" s="45" t="n">
        <v>19695209.72</v>
      </c>
      <c r="K24" s="45" t="n">
        <v>6310000</v>
      </c>
      <c r="L24" s="45" t="n">
        <v>6633671.55</v>
      </c>
      <c r="M24" s="45" t="n">
        <v>0</v>
      </c>
      <c r="N24" s="45" t="n">
        <v>0</v>
      </c>
      <c r="O24" s="45" t="n">
        <v>4280414.722</v>
      </c>
      <c r="P24" s="45" t="n">
        <v>4499999.99725</v>
      </c>
      <c r="Q24" s="45" t="n">
        <v>3245940.929</v>
      </c>
      <c r="R24" s="45" t="n">
        <v>3412457.69866</v>
      </c>
      <c r="S24" s="45" t="n">
        <v>13836355.651</v>
      </c>
      <c r="T24" s="45" t="n">
        <v>14546129.24591</v>
      </c>
      <c r="U24" s="15" t="n">
        <v>10.68</v>
      </c>
      <c r="V24" s="15" t="n">
        <v>50.07</v>
      </c>
      <c r="W24" s="49" t="n">
        <v>105.13</v>
      </c>
    </row>
    <row r="25">
      <c r="A25" s="44" t="inlineStr">
        <is>
          <t>TLREF Endeksli Senetler</t>
        </is>
      </c>
      <c r="B25" s="44" t="n">
        <v>2024</v>
      </c>
      <c r="C25" s="44" t="inlineStr">
        <is>
          <t>TRT190128T14</t>
        </is>
      </c>
      <c r="D25" s="44" t="inlineStr">
        <is>
          <t>17.04.2024</t>
        </is>
      </c>
      <c r="E25" s="44" t="inlineStr">
        <is>
          <t>19.01.2028</t>
        </is>
      </c>
      <c r="F25" s="44" t="n">
        <v>1372</v>
      </c>
      <c r="G25" s="44" t="inlineStr">
        <is>
          <t>3 ay</t>
        </is>
      </c>
      <c r="H25" s="15" t="n"/>
      <c r="I25" s="45" t="n">
        <v>25895005</v>
      </c>
      <c r="J25" s="45" t="n">
        <v>28269890</v>
      </c>
      <c r="K25" s="45" t="n">
        <v>12800000</v>
      </c>
      <c r="L25" s="45" t="n">
        <v>14045439.1</v>
      </c>
      <c r="M25" s="45" t="n">
        <v>0</v>
      </c>
      <c r="N25" s="45" t="n">
        <v>0</v>
      </c>
      <c r="O25" s="45" t="n">
        <v>8201950.238</v>
      </c>
      <c r="P25" s="45" t="n">
        <v>8999999.996160001</v>
      </c>
      <c r="Q25" s="45" t="n">
        <v>5125110.087</v>
      </c>
      <c r="R25" s="45" t="n">
        <v>5623783.29847</v>
      </c>
      <c r="S25" s="45" t="n">
        <v>26127060.325</v>
      </c>
      <c r="T25" s="45" t="n">
        <v>28669222.39463</v>
      </c>
      <c r="U25" s="15" t="n">
        <v>10.62</v>
      </c>
      <c r="V25" s="15" t="n">
        <v>49.76</v>
      </c>
      <c r="W25" s="49" t="n">
        <v>109.73</v>
      </c>
    </row>
    <row r="26">
      <c r="A26" s="44" t="inlineStr">
        <is>
          <t>TLREF Endeksli Senetler</t>
        </is>
      </c>
      <c r="B26" s="44" t="n">
        <v>2024</v>
      </c>
      <c r="C26" s="44" t="inlineStr">
        <is>
          <t>TRT170528T12</t>
        </is>
      </c>
      <c r="D26" s="44" t="inlineStr">
        <is>
          <t>22.05.2024</t>
        </is>
      </c>
      <c r="E26" s="44" t="inlineStr">
        <is>
          <t>17.05.2028</t>
        </is>
      </c>
      <c r="F26" s="44" t="n">
        <v>1456</v>
      </c>
      <c r="G26" s="44" t="inlineStr">
        <is>
          <t>3 ay</t>
        </is>
      </c>
      <c r="H26" s="15" t="n"/>
      <c r="I26" s="45" t="n">
        <v>23009008</v>
      </c>
      <c r="J26" s="45" t="n">
        <v>22742235.88</v>
      </c>
      <c r="K26" s="45" t="n">
        <v>11205000</v>
      </c>
      <c r="L26" s="45" t="n">
        <v>11155486</v>
      </c>
      <c r="M26" s="45" t="n">
        <v>2511099.057</v>
      </c>
      <c r="N26" s="45" t="n">
        <v>2499999.99917</v>
      </c>
      <c r="O26" s="45" t="n">
        <v>10044396.227</v>
      </c>
      <c r="P26" s="45" t="n">
        <v>9999999.995680001</v>
      </c>
      <c r="Q26" s="45" t="n">
        <v>5643619.658</v>
      </c>
      <c r="R26" s="45" t="n">
        <v>5618674.85911</v>
      </c>
      <c r="S26" s="45" t="n">
        <v>29404114.942</v>
      </c>
      <c r="T26" s="45" t="n">
        <v>29274160.85396</v>
      </c>
      <c r="U26" s="15" t="n">
        <v>12.57</v>
      </c>
      <c r="V26" s="15" t="n">
        <v>60.55</v>
      </c>
      <c r="W26" s="49" t="n">
        <v>99.55800000000001</v>
      </c>
    </row>
    <row r="27">
      <c r="A27" s="44" t="inlineStr">
        <is>
          <t>TLREF Endeksli Senetler</t>
        </is>
      </c>
      <c r="B27" s="44" t="n">
        <v>2024</v>
      </c>
      <c r="C27" s="44" t="inlineStr">
        <is>
          <t>TRT170528T12</t>
        </is>
      </c>
      <c r="D27" s="44" t="inlineStr">
        <is>
          <t>12.06.2024</t>
        </is>
      </c>
      <c r="E27" s="44" t="inlineStr">
        <is>
          <t>17.05.2028</t>
        </is>
      </c>
      <c r="F27" s="44" t="n">
        <v>1435</v>
      </c>
      <c r="G27" s="44" t="inlineStr">
        <is>
          <t>3 ay</t>
        </is>
      </c>
      <c r="H27" s="15" t="n"/>
      <c r="I27" s="45" t="n">
        <v>19250345.187</v>
      </c>
      <c r="J27" s="45" t="n">
        <v>19609952.20886</v>
      </c>
      <c r="K27" s="45" t="n">
        <v>13940245.187</v>
      </c>
      <c r="L27" s="45" t="n">
        <v>14226888.70886</v>
      </c>
      <c r="M27" s="45" t="n">
        <v>1469781.296</v>
      </c>
      <c r="N27" s="45" t="n">
        <v>1499999.99945</v>
      </c>
      <c r="O27" s="45" t="n">
        <v>13717958.762</v>
      </c>
      <c r="P27" s="45" t="n">
        <v>13999999.99414</v>
      </c>
      <c r="Q27" s="45" t="n">
        <v>2512598.473</v>
      </c>
      <c r="R27" s="45" t="n">
        <v>2564257.49761</v>
      </c>
      <c r="S27" s="45" t="n">
        <v>31640583.718</v>
      </c>
      <c r="T27" s="45" t="n">
        <v>32291146.20006</v>
      </c>
      <c r="U27" s="15" t="n">
        <v>12.6</v>
      </c>
      <c r="V27" s="15" t="n">
        <v>60.77</v>
      </c>
      <c r="W27" s="49" t="n">
        <v>102.056</v>
      </c>
    </row>
    <row r="28">
      <c r="A28" s="44" t="inlineStr">
        <is>
          <t>TLREF Endeksli Senetler</t>
        </is>
      </c>
      <c r="B28" s="44" t="n">
        <v>2024</v>
      </c>
      <c r="C28" s="44" t="inlineStr">
        <is>
          <t>TRT170528T12</t>
        </is>
      </c>
      <c r="D28" s="44" t="inlineStr">
        <is>
          <t>10.07.2024</t>
        </is>
      </c>
      <c r="E28" s="44" t="inlineStr">
        <is>
          <t>17.05.2028</t>
        </is>
      </c>
      <c r="F28" s="44" t="n">
        <v>1407</v>
      </c>
      <c r="G28" s="44" t="inlineStr">
        <is>
          <t>3 ay</t>
        </is>
      </c>
      <c r="H28" s="15" t="n"/>
      <c r="I28" s="45" t="n">
        <v>57303002.311</v>
      </c>
      <c r="J28" s="45" t="n">
        <v>60402676.05966</v>
      </c>
      <c r="K28" s="45" t="n">
        <v>18292002.311</v>
      </c>
      <c r="L28" s="45" t="n">
        <v>19316017.40966</v>
      </c>
      <c r="M28" s="45" t="n">
        <v>0</v>
      </c>
      <c r="N28" s="45" t="n">
        <v>0</v>
      </c>
      <c r="O28" s="45" t="n">
        <v>13257826.849</v>
      </c>
      <c r="P28" s="45" t="n">
        <v>13999999.99602</v>
      </c>
      <c r="Q28" s="45" t="n">
        <v>3355091.628</v>
      </c>
      <c r="R28" s="45" t="n">
        <v>3542909.65735</v>
      </c>
      <c r="S28" s="45" t="n">
        <v>34904920.788</v>
      </c>
      <c r="T28" s="45" t="n">
        <v>36858927.06303</v>
      </c>
      <c r="U28" s="15" t="n">
        <v>12.64</v>
      </c>
      <c r="V28" s="15" t="n">
        <v>60.99</v>
      </c>
      <c r="W28" s="49" t="n">
        <v>105.598</v>
      </c>
    </row>
    <row r="29">
      <c r="A29" s="44" t="inlineStr">
        <is>
          <t>TLREF Endeksli Senetler</t>
        </is>
      </c>
      <c r="B29" s="44" t="n">
        <v>2024</v>
      </c>
      <c r="C29" s="44" t="inlineStr">
        <is>
          <t>TRT170528T12</t>
        </is>
      </c>
      <c r="D29" s="44" t="inlineStr">
        <is>
          <t>14.08.2024</t>
        </is>
      </c>
      <c r="E29" s="44" t="inlineStr">
        <is>
          <t>17.05.2028</t>
        </is>
      </c>
      <c r="F29" s="44" t="n">
        <v>1372</v>
      </c>
      <c r="G29" s="44" t="inlineStr">
        <is>
          <t>3 ay</t>
        </is>
      </c>
      <c r="H29" s="15" t="n"/>
      <c r="I29" s="45" t="n">
        <v>40663917.458</v>
      </c>
      <c r="J29" s="45" t="n">
        <v>44708372.88757</v>
      </c>
      <c r="K29" s="45" t="n">
        <v>14962002.262</v>
      </c>
      <c r="L29" s="45" t="n">
        <v>16526158.55951</v>
      </c>
      <c r="M29" s="45" t="n">
        <v>0</v>
      </c>
      <c r="N29" s="45" t="n">
        <v>0</v>
      </c>
      <c r="O29" s="45" t="n">
        <v>14485668.237</v>
      </c>
      <c r="P29" s="45" t="n">
        <v>15999999.99449</v>
      </c>
      <c r="Q29" s="45" t="n">
        <v>4501595.685</v>
      </c>
      <c r="R29" s="45" t="n">
        <v>4972192.4979</v>
      </c>
      <c r="S29" s="45" t="n">
        <v>33949266.184</v>
      </c>
      <c r="T29" s="45" t="n">
        <v>37498351.0519</v>
      </c>
      <c r="U29" s="15" t="n">
        <v>12.66</v>
      </c>
      <c r="V29" s="15" t="n">
        <v>61.07</v>
      </c>
      <c r="W29" s="49" t="n">
        <v>110.454</v>
      </c>
    </row>
    <row r="30">
      <c r="A30" s="44" t="inlineStr">
        <is>
          <t>TLREF Endeksli Senetler</t>
        </is>
      </c>
      <c r="B30" s="44" t="n">
        <v>2024</v>
      </c>
      <c r="C30" s="44" t="inlineStr">
        <is>
          <t>TRT060928T11</t>
        </is>
      </c>
      <c r="D30" s="44" t="inlineStr">
        <is>
          <t>11.09.2024</t>
        </is>
      </c>
      <c r="E30" s="44" t="inlineStr">
        <is>
          <t>06.09.2028</t>
        </is>
      </c>
      <c r="F30" s="44" t="n">
        <v>1456</v>
      </c>
      <c r="G30" s="44" t="inlineStr">
        <is>
          <t>3 ay</t>
        </is>
      </c>
      <c r="H30" s="15" t="n"/>
      <c r="I30" s="45" t="n">
        <v>29510001</v>
      </c>
      <c r="J30" s="45" t="n">
        <v>28993722.475</v>
      </c>
      <c r="K30" s="45" t="n">
        <v>21760000</v>
      </c>
      <c r="L30" s="45" t="n">
        <v>21480376</v>
      </c>
      <c r="M30" s="45" t="n">
        <v>0</v>
      </c>
      <c r="N30" s="45" t="n">
        <v>0</v>
      </c>
      <c r="O30" s="45" t="n">
        <v>20260345.433</v>
      </c>
      <c r="P30" s="45" t="n">
        <v>19999999.99419</v>
      </c>
      <c r="Q30" s="45" t="n">
        <v>1261755</v>
      </c>
      <c r="R30" s="45" t="n">
        <v>1245541.44825</v>
      </c>
      <c r="S30" s="45" t="n">
        <v>43282100.433</v>
      </c>
      <c r="T30" s="45" t="n">
        <v>42725917.44244</v>
      </c>
      <c r="U30" s="15" t="n">
        <v>12.69</v>
      </c>
      <c r="V30" s="15" t="n">
        <v>61.27</v>
      </c>
      <c r="W30" s="49" t="n">
        <v>98.715</v>
      </c>
    </row>
    <row r="31">
      <c r="A31" s="44" t="inlineStr">
        <is>
          <t>TLREF Endeksli Senetler</t>
        </is>
      </c>
      <c r="B31" s="44" t="n">
        <v>2024</v>
      </c>
      <c r="C31" s="44" t="inlineStr">
        <is>
          <t>TRT060928T11</t>
        </is>
      </c>
      <c r="D31" s="44" t="inlineStr">
        <is>
          <t>09.10.2024</t>
        </is>
      </c>
      <c r="E31" s="44" t="inlineStr">
        <is>
          <t>06.09.2028</t>
        </is>
      </c>
      <c r="F31" s="44" t="n">
        <v>1428</v>
      </c>
      <c r="G31" s="44" t="inlineStr">
        <is>
          <t>3 ay</t>
        </is>
      </c>
      <c r="H31" s="15" t="n"/>
      <c r="I31" s="45" t="n">
        <v>31726135.677</v>
      </c>
      <c r="J31" s="45" t="n">
        <v>32077183.53844</v>
      </c>
      <c r="K31" s="45" t="n">
        <v>22001094.285</v>
      </c>
      <c r="L31" s="45" t="n">
        <v>22328169.28925</v>
      </c>
      <c r="M31" s="45" t="n">
        <v>0</v>
      </c>
      <c r="N31" s="45" t="n">
        <v>0</v>
      </c>
      <c r="O31" s="45" t="n">
        <v>10838826.644</v>
      </c>
      <c r="P31" s="45" t="n">
        <v>10999999.9962</v>
      </c>
      <c r="Q31" s="45" t="n">
        <v>9843697.091</v>
      </c>
      <c r="R31" s="45" t="n">
        <v>9990072.86675</v>
      </c>
      <c r="S31" s="45" t="n">
        <v>42683618.02</v>
      </c>
      <c r="T31" s="45" t="n">
        <v>43318242.15220001</v>
      </c>
      <c r="U31" s="15" t="n">
        <v>12.83</v>
      </c>
      <c r="V31" s="15" t="n">
        <v>62.08</v>
      </c>
      <c r="W31" s="49" t="n">
        <v>101.487</v>
      </c>
    </row>
    <row r="32">
      <c r="A32" s="44" t="inlineStr">
        <is>
          <t>TLREF Endeksli Senetler</t>
        </is>
      </c>
      <c r="B32" s="44" t="n">
        <v>2024</v>
      </c>
      <c r="C32" s="44" t="inlineStr">
        <is>
          <t>TRT060928T11</t>
        </is>
      </c>
      <c r="D32" s="44" t="inlineStr">
        <is>
          <t>06.11.2024</t>
        </is>
      </c>
      <c r="E32" s="44" t="inlineStr">
        <is>
          <t>06.09.2028</t>
        </is>
      </c>
      <c r="F32" s="44" t="n">
        <v>1400</v>
      </c>
      <c r="G32" s="44" t="inlineStr">
        <is>
          <t>3 ay</t>
        </is>
      </c>
      <c r="H32" s="15" t="n"/>
      <c r="I32" s="45" t="n">
        <v>26945128.266</v>
      </c>
      <c r="J32" s="45" t="n">
        <v>28008081.04997</v>
      </c>
      <c r="K32" s="45" t="n">
        <v>17245128.266</v>
      </c>
      <c r="L32" s="45" t="n">
        <v>17982829.54997</v>
      </c>
      <c r="M32" s="45" t="n">
        <v>0</v>
      </c>
      <c r="N32" s="45" t="n">
        <v>0</v>
      </c>
      <c r="O32" s="45" t="n">
        <v>7192312.853</v>
      </c>
      <c r="P32" s="45" t="n">
        <v>7499999.99686</v>
      </c>
      <c r="Q32" s="45" t="n">
        <v>4885605.277</v>
      </c>
      <c r="R32" s="45" t="n">
        <v>5094611.47075</v>
      </c>
      <c r="S32" s="45" t="n">
        <v>29323046.396</v>
      </c>
      <c r="T32" s="45" t="n">
        <v>30577441.01758</v>
      </c>
      <c r="U32" s="15" t="n">
        <v>13</v>
      </c>
      <c r="V32" s="15" t="n">
        <v>63.02</v>
      </c>
      <c r="W32" s="49" t="n">
        <v>104.278</v>
      </c>
    </row>
    <row r="33">
      <c r="A33" s="44" t="inlineStr">
        <is>
          <t>TLREF Endeksli Senetler</t>
        </is>
      </c>
      <c r="B33" s="44" t="n">
        <v>2024</v>
      </c>
      <c r="C33" s="44" t="inlineStr">
        <is>
          <t>TRT061228T16</t>
        </is>
      </c>
      <c r="D33" s="44" t="inlineStr">
        <is>
          <t>11.12.2024</t>
        </is>
      </c>
      <c r="E33" s="44" t="inlineStr">
        <is>
          <t>06.12.2028</t>
        </is>
      </c>
      <c r="F33" s="44" t="n">
        <v>1456</v>
      </c>
      <c r="G33" s="44" t="inlineStr">
        <is>
          <t>3 ay</t>
        </is>
      </c>
      <c r="H33" s="15" t="n"/>
      <c r="I33" s="45" t="n">
        <v>53208000</v>
      </c>
      <c r="J33" s="45" t="n">
        <v>51714865.35</v>
      </c>
      <c r="K33" s="45" t="n">
        <v>21604000</v>
      </c>
      <c r="L33" s="45" t="n">
        <v>21161924.7</v>
      </c>
      <c r="M33" s="45" t="n">
        <v>0</v>
      </c>
      <c r="N33" s="45" t="n">
        <v>0</v>
      </c>
      <c r="O33" s="45" t="n">
        <v>25522183.877</v>
      </c>
      <c r="P33" s="45" t="n">
        <v>24999999.99488</v>
      </c>
      <c r="Q33" s="45" t="n">
        <v>6915827.273</v>
      </c>
      <c r="R33" s="45" t="n">
        <v>6774329.447</v>
      </c>
      <c r="S33" s="45" t="n">
        <v>54042011.15000001</v>
      </c>
      <c r="T33" s="45" t="n">
        <v>52936254.14187999</v>
      </c>
      <c r="U33" s="15" t="n">
        <v>12.81</v>
      </c>
      <c r="V33" s="15" t="n">
        <v>61.93</v>
      </c>
      <c r="W33" s="49" t="n">
        <v>97.95399999999999</v>
      </c>
    </row>
    <row r="34">
      <c r="A34" s="44" t="inlineStr">
        <is>
          <t>TLREF Endeksli Senetler</t>
        </is>
      </c>
      <c r="B34" s="44" t="n">
        <v>2023</v>
      </c>
      <c r="C34" s="44" t="inlineStr">
        <is>
          <t>TRT200526T19</t>
        </is>
      </c>
      <c r="D34" s="44" t="inlineStr">
        <is>
          <t>25.01.2023</t>
        </is>
      </c>
      <c r="E34" s="44" t="inlineStr">
        <is>
          <t>20.05.2026</t>
        </is>
      </c>
      <c r="F34" s="44" t="n">
        <v>1211</v>
      </c>
      <c r="G34" s="44" t="inlineStr">
        <is>
          <t>3 ay</t>
        </is>
      </c>
      <c r="H34" s="15" t="n"/>
      <c r="I34" s="45" t="n">
        <v>7010508</v>
      </c>
      <c r="J34" s="45" t="n">
        <v>6524629.155</v>
      </c>
      <c r="K34" s="45" t="n">
        <v>3480505</v>
      </c>
      <c r="L34" s="45" t="n">
        <v>3274152.125</v>
      </c>
      <c r="M34" s="45" t="n">
        <v>0</v>
      </c>
      <c r="N34" s="45" t="n">
        <v>0</v>
      </c>
      <c r="O34" s="45" t="n">
        <v>265756.714</v>
      </c>
      <c r="P34" s="45" t="n">
        <v>249999.99843</v>
      </c>
      <c r="Q34" s="45" t="n">
        <v>972325.356</v>
      </c>
      <c r="R34" s="45" t="n">
        <v>914676.18564</v>
      </c>
      <c r="S34" s="45" t="n">
        <v>4718587.07</v>
      </c>
      <c r="T34" s="45" t="n">
        <v>4438828.30907</v>
      </c>
      <c r="U34" s="15" t="n">
        <v>4.11</v>
      </c>
      <c r="V34" s="15" t="n">
        <v>17.49</v>
      </c>
      <c r="W34" s="49" t="n">
        <v>94.071</v>
      </c>
    </row>
    <row r="35">
      <c r="A35" s="44" t="inlineStr">
        <is>
          <t>TLREF Endeksli Senetler</t>
        </is>
      </c>
      <c r="B35" s="44" t="n">
        <v>2023</v>
      </c>
      <c r="C35" s="44" t="inlineStr">
        <is>
          <t>TRT200526T19</t>
        </is>
      </c>
      <c r="D35" s="44" t="inlineStr">
        <is>
          <t>08.02.2023</t>
        </is>
      </c>
      <c r="E35" s="44" t="inlineStr">
        <is>
          <t>20.05.2026</t>
        </is>
      </c>
      <c r="F35" s="44" t="n">
        <v>1197</v>
      </c>
      <c r="G35" s="44" t="inlineStr">
        <is>
          <t>3 ay</t>
        </is>
      </c>
      <c r="H35" s="15" t="n"/>
      <c r="I35" s="45" t="n">
        <v>10510005</v>
      </c>
      <c r="J35" s="45" t="n">
        <v>9801689.385</v>
      </c>
      <c r="K35" s="45" t="n">
        <v>5455002</v>
      </c>
      <c r="L35" s="45" t="n">
        <v>5123372.38</v>
      </c>
      <c r="M35" s="45" t="n">
        <v>0</v>
      </c>
      <c r="N35" s="45" t="n">
        <v>0</v>
      </c>
      <c r="O35" s="45" t="n">
        <v>1597086.909</v>
      </c>
      <c r="P35" s="45" t="n">
        <v>1499999.99582</v>
      </c>
      <c r="Q35" s="45" t="n">
        <v>1924132.786</v>
      </c>
      <c r="R35" s="45" t="n">
        <v>1807164.75394</v>
      </c>
      <c r="S35" s="45" t="n">
        <v>8976221.695</v>
      </c>
      <c r="T35" s="45" t="n">
        <v>8430537.129759999</v>
      </c>
      <c r="U35" s="15" t="n">
        <v>4.19</v>
      </c>
      <c r="V35" s="15" t="n">
        <v>17.84</v>
      </c>
      <c r="W35" s="49" t="n">
        <v>93.92100000000001</v>
      </c>
    </row>
    <row r="36">
      <c r="A36" s="44" t="inlineStr">
        <is>
          <t>TLREF Endeksli Senetler</t>
        </is>
      </c>
      <c r="B36" s="44" t="n">
        <v>2023</v>
      </c>
      <c r="C36" s="44" t="inlineStr">
        <is>
          <t>TRT010328T12</t>
        </is>
      </c>
      <c r="D36" s="44" t="inlineStr">
        <is>
          <t>08.03.2023</t>
        </is>
      </c>
      <c r="E36" s="44" t="inlineStr">
        <is>
          <t>01.03.2028</t>
        </is>
      </c>
      <c r="F36" s="44" t="n">
        <v>1820</v>
      </c>
      <c r="G36" s="44" t="inlineStr">
        <is>
          <t>3 ay</t>
        </is>
      </c>
      <c r="H36" s="15" t="n"/>
      <c r="I36" s="45" t="n">
        <v>16547009</v>
      </c>
      <c r="J36" s="45" t="n">
        <v>14477789.46</v>
      </c>
      <c r="K36" s="45" t="n">
        <v>9898004</v>
      </c>
      <c r="L36" s="45" t="n">
        <v>8759539.1</v>
      </c>
      <c r="M36" s="45" t="n">
        <v>0</v>
      </c>
      <c r="N36" s="45" t="n">
        <v>0</v>
      </c>
      <c r="O36" s="45" t="n">
        <v>3954891.633</v>
      </c>
      <c r="P36" s="45" t="n">
        <v>3499999.99738</v>
      </c>
      <c r="Q36" s="45" t="n">
        <v>1813637.306</v>
      </c>
      <c r="R36" s="45" t="n">
        <v>1605032.74306</v>
      </c>
      <c r="S36" s="45" t="n">
        <v>15666532.939</v>
      </c>
      <c r="T36" s="45" t="n">
        <v>13864571.84044</v>
      </c>
      <c r="U36" s="15" t="n">
        <v>3.56</v>
      </c>
      <c r="V36" s="15" t="n">
        <v>15.04</v>
      </c>
      <c r="W36" s="49" t="n">
        <v>88.498</v>
      </c>
    </row>
    <row r="37">
      <c r="A37" s="44" t="inlineStr">
        <is>
          <t>TLREF Endeksli Senetler</t>
        </is>
      </c>
      <c r="B37" s="44" t="n">
        <v>2023</v>
      </c>
      <c r="C37" s="44" t="inlineStr">
        <is>
          <t>TRT010328T12</t>
        </is>
      </c>
      <c r="D37" s="44" t="inlineStr">
        <is>
          <t>12.04.2023</t>
        </is>
      </c>
      <c r="E37" s="44" t="inlineStr">
        <is>
          <t>01.03.2028</t>
        </is>
      </c>
      <c r="F37" s="44" t="n">
        <v>1785</v>
      </c>
      <c r="G37" s="44" t="inlineStr">
        <is>
          <t>3 ay</t>
        </is>
      </c>
      <c r="H37" s="15" t="n"/>
      <c r="I37" s="45" t="n">
        <v>16253510</v>
      </c>
      <c r="J37" s="45" t="n">
        <v>14753838.89</v>
      </c>
      <c r="K37" s="45" t="n">
        <v>10259003</v>
      </c>
      <c r="L37" s="45" t="n">
        <v>9415917.4</v>
      </c>
      <c r="M37" s="45" t="n">
        <v>0</v>
      </c>
      <c r="N37" s="45" t="n">
        <v>0</v>
      </c>
      <c r="O37" s="45" t="n">
        <v>5883506.564</v>
      </c>
      <c r="P37" s="45" t="n">
        <v>5399999.99457</v>
      </c>
      <c r="Q37" s="45" t="n">
        <v>0</v>
      </c>
      <c r="R37" s="45" t="n">
        <v>0</v>
      </c>
      <c r="S37" s="45" t="n">
        <v>16142509.564</v>
      </c>
      <c r="T37" s="45" t="n">
        <v>14815917.39457</v>
      </c>
      <c r="U37" s="15" t="n">
        <v>3.41</v>
      </c>
      <c r="V37" s="15" t="n">
        <v>14.33</v>
      </c>
      <c r="W37" s="49" t="n">
        <v>91.782</v>
      </c>
    </row>
    <row r="38">
      <c r="A38" s="44" t="inlineStr">
        <is>
          <t>TLREF Endeksli Senetler</t>
        </is>
      </c>
      <c r="B38" s="44" t="n">
        <v>2023</v>
      </c>
      <c r="C38" s="44" t="inlineStr">
        <is>
          <t>TRT010328T12</t>
        </is>
      </c>
      <c r="D38" s="44" t="inlineStr">
        <is>
          <t>03.05.2023</t>
        </is>
      </c>
      <c r="E38" s="44" t="inlineStr">
        <is>
          <t>01.03.2028</t>
        </is>
      </c>
      <c r="F38" s="44" t="n">
        <v>1764</v>
      </c>
      <c r="G38" s="44" t="inlineStr">
        <is>
          <t>3 ay</t>
        </is>
      </c>
      <c r="H38" s="15" t="n"/>
      <c r="I38" s="45" t="n">
        <v>15483750</v>
      </c>
      <c r="J38" s="45" t="n">
        <v>14060326.28</v>
      </c>
      <c r="K38" s="45" t="n">
        <v>8862500</v>
      </c>
      <c r="L38" s="45" t="n">
        <v>8101587.38</v>
      </c>
      <c r="M38" s="45" t="n">
        <v>0</v>
      </c>
      <c r="N38" s="45" t="n">
        <v>0</v>
      </c>
      <c r="O38" s="45" t="n">
        <v>9407749.356000001</v>
      </c>
      <c r="P38" s="45" t="n">
        <v>8599999.99628</v>
      </c>
      <c r="Q38" s="45" t="n">
        <v>1365123.284</v>
      </c>
      <c r="R38" s="45" t="n">
        <v>1247913.79884</v>
      </c>
      <c r="S38" s="45" t="n">
        <v>19635372.64</v>
      </c>
      <c r="T38" s="45" t="n">
        <v>17949501.17512</v>
      </c>
      <c r="U38" s="15" t="n">
        <v>3.49</v>
      </c>
      <c r="V38" s="15" t="n">
        <v>14.7</v>
      </c>
      <c r="W38" s="49" t="n">
        <v>91.414</v>
      </c>
    </row>
    <row r="39">
      <c r="A39" s="44" t="inlineStr">
        <is>
          <t>TLREF Endeksli Senetler</t>
        </is>
      </c>
      <c r="B39" s="44" t="n">
        <v>2023</v>
      </c>
      <c r="C39" s="44" t="inlineStr">
        <is>
          <t>TRT160627T13</t>
        </is>
      </c>
      <c r="D39" s="44" t="inlineStr">
        <is>
          <t>21.06.2023</t>
        </is>
      </c>
      <c r="E39" s="44" t="inlineStr">
        <is>
          <t>16.06.2027</t>
        </is>
      </c>
      <c r="F39" s="44" t="n">
        <v>1456</v>
      </c>
      <c r="G39" s="44" t="inlineStr">
        <is>
          <t>3 ay</t>
        </is>
      </c>
      <c r="H39" s="15" t="n"/>
      <c r="I39" s="45" t="n">
        <v>7936000</v>
      </c>
      <c r="J39" s="45" t="n">
        <v>7246802.13</v>
      </c>
      <c r="K39" s="45" t="n">
        <v>4195000</v>
      </c>
      <c r="L39" s="45" t="n">
        <v>3910149.03</v>
      </c>
      <c r="M39" s="45" t="n">
        <v>0</v>
      </c>
      <c r="N39" s="45" t="n">
        <v>0</v>
      </c>
      <c r="O39" s="45" t="n">
        <v>3754961.91</v>
      </c>
      <c r="P39" s="45" t="n">
        <v>3499999.99632</v>
      </c>
      <c r="Q39" s="45" t="n">
        <v>1097661.918</v>
      </c>
      <c r="R39" s="45" t="n">
        <v>1023130.67376</v>
      </c>
      <c r="S39" s="45" t="n">
        <v>9047623.828</v>
      </c>
      <c r="T39" s="45" t="n">
        <v>8433279.70008</v>
      </c>
      <c r="U39" s="15" t="n">
        <v>3.46</v>
      </c>
      <c r="V39" s="15" t="n">
        <v>14.57</v>
      </c>
      <c r="W39" s="49" t="n">
        <v>93.20999999999999</v>
      </c>
    </row>
    <row r="40">
      <c r="A40" s="44" t="inlineStr">
        <is>
          <t>TLREF Endeksli Senetler</t>
        </is>
      </c>
      <c r="B40" s="44" t="n">
        <v>2023</v>
      </c>
      <c r="C40" s="44" t="inlineStr">
        <is>
          <t>TRT160627T13</t>
        </is>
      </c>
      <c r="D40" s="44" t="inlineStr">
        <is>
          <t>19.07.2023</t>
        </is>
      </c>
      <c r="E40" s="44" t="inlineStr">
        <is>
          <t>16.06.2027</t>
        </is>
      </c>
      <c r="F40" s="44" t="n">
        <v>1428</v>
      </c>
      <c r="G40" s="44" t="inlineStr">
        <is>
          <t>3 ay</t>
        </is>
      </c>
      <c r="H40" s="15" t="n"/>
      <c r="I40" s="45" t="n">
        <v>15675002</v>
      </c>
      <c r="J40" s="45" t="n">
        <v>14402684.09</v>
      </c>
      <c r="K40" s="45" t="n">
        <v>10643000</v>
      </c>
      <c r="L40" s="45" t="n">
        <v>9865604.140000001</v>
      </c>
      <c r="M40" s="45" t="n">
        <v>0</v>
      </c>
      <c r="N40" s="45" t="n">
        <v>0</v>
      </c>
      <c r="O40" s="45" t="n">
        <v>3344265.121</v>
      </c>
      <c r="P40" s="45" t="n">
        <v>3099999.99658</v>
      </c>
      <c r="Q40" s="45" t="n">
        <v>2491873.977</v>
      </c>
      <c r="R40" s="45" t="n">
        <v>2309867.50171</v>
      </c>
      <c r="S40" s="45" t="n">
        <v>16479139.098</v>
      </c>
      <c r="T40" s="45" t="n">
        <v>15275471.63829</v>
      </c>
      <c r="U40" s="15" t="n">
        <v>3.59</v>
      </c>
      <c r="V40" s="15" t="n">
        <v>15.16</v>
      </c>
      <c r="W40" s="49" t="n">
        <v>92.696</v>
      </c>
    </row>
    <row r="41">
      <c r="A41" s="44" t="inlineStr">
        <is>
          <t>TLREF Endeksli Senetler</t>
        </is>
      </c>
      <c r="B41" s="44" t="n">
        <v>2023</v>
      </c>
      <c r="C41" s="44" t="inlineStr">
        <is>
          <t>TRT160627T13</t>
        </is>
      </c>
      <c r="D41" s="44" t="inlineStr">
        <is>
          <t>09.08.2023</t>
        </is>
      </c>
      <c r="E41" s="44" t="inlineStr">
        <is>
          <t>16.06.2027</t>
        </is>
      </c>
      <c r="F41" s="44" t="n">
        <v>1407</v>
      </c>
      <c r="G41" s="44" t="inlineStr">
        <is>
          <t>3 ay</t>
        </is>
      </c>
      <c r="H41" s="15" t="n"/>
      <c r="I41" s="45" t="n">
        <v>19181006</v>
      </c>
      <c r="J41" s="45" t="n">
        <v>17105583.06</v>
      </c>
      <c r="K41" s="45" t="n">
        <v>12937002</v>
      </c>
      <c r="L41" s="45" t="n">
        <v>11592472.46</v>
      </c>
      <c r="M41" s="45" t="n">
        <v>0</v>
      </c>
      <c r="N41" s="45" t="n">
        <v>0</v>
      </c>
      <c r="O41" s="45" t="n">
        <v>3626948.785</v>
      </c>
      <c r="P41" s="45" t="n">
        <v>3249999.99778</v>
      </c>
      <c r="Q41" s="45" t="n">
        <v>4036241.025</v>
      </c>
      <c r="R41" s="45" t="n">
        <v>3616754.49528</v>
      </c>
      <c r="S41" s="45" t="n">
        <v>20600191.81</v>
      </c>
      <c r="T41" s="45" t="n">
        <v>18459226.95306</v>
      </c>
      <c r="U41" s="15" t="n">
        <v>3.95</v>
      </c>
      <c r="V41" s="15" t="n">
        <v>16.74</v>
      </c>
      <c r="W41" s="49" t="n">
        <v>89.607</v>
      </c>
    </row>
    <row r="42">
      <c r="A42" s="44" t="inlineStr">
        <is>
          <t>TLREF Endeksli Senetler</t>
        </is>
      </c>
      <c r="B42" s="44" t="n">
        <v>2023</v>
      </c>
      <c r="C42" s="44" t="inlineStr">
        <is>
          <t>TRT160627T13</t>
        </is>
      </c>
      <c r="D42" s="44" t="inlineStr">
        <is>
          <t>13.09.2023</t>
        </is>
      </c>
      <c r="E42" s="44" t="inlineStr">
        <is>
          <t>16.06.2027</t>
        </is>
      </c>
      <c r="F42" s="44" t="n">
        <v>1372</v>
      </c>
      <c r="G42" s="44" t="inlineStr">
        <is>
          <t>3 ay</t>
        </is>
      </c>
      <c r="H42" s="15" t="n"/>
      <c r="I42" s="45" t="n">
        <v>33075500</v>
      </c>
      <c r="J42" s="45" t="n">
        <v>30368309.715</v>
      </c>
      <c r="K42" s="45" t="n">
        <v>8360000</v>
      </c>
      <c r="L42" s="45" t="n">
        <v>7775996.38</v>
      </c>
      <c r="M42" s="45" t="n">
        <v>2150213.946</v>
      </c>
      <c r="N42" s="45" t="n">
        <v>1999999.99973</v>
      </c>
      <c r="O42" s="45" t="n">
        <v>10751069.726</v>
      </c>
      <c r="P42" s="45" t="n">
        <v>9999999.99495</v>
      </c>
      <c r="Q42" s="45" t="n">
        <v>2347480.851</v>
      </c>
      <c r="R42" s="45" t="n">
        <v>2183485.83875</v>
      </c>
      <c r="S42" s="45" t="n">
        <v>23608764.523</v>
      </c>
      <c r="T42" s="45" t="n">
        <v>21959482.21343</v>
      </c>
      <c r="U42" s="15" t="n">
        <v>3.75</v>
      </c>
      <c r="V42" s="15" t="n">
        <v>15.87</v>
      </c>
      <c r="W42" s="49" t="n">
        <v>93.014</v>
      </c>
    </row>
    <row r="43">
      <c r="A43" s="44" t="inlineStr">
        <is>
          <t>TLREF Endeksli Senetler</t>
        </is>
      </c>
      <c r="B43" s="44" t="n">
        <v>2023</v>
      </c>
      <c r="C43" s="44" t="inlineStr">
        <is>
          <t>TRT131027T10</t>
        </is>
      </c>
      <c r="D43" s="44" t="inlineStr">
        <is>
          <t>18.10.2023</t>
        </is>
      </c>
      <c r="E43" s="44" t="inlineStr">
        <is>
          <t>13.10.2027</t>
        </is>
      </c>
      <c r="F43" s="44" t="n">
        <v>1456</v>
      </c>
      <c r="G43" s="44" t="inlineStr">
        <is>
          <t>3 ay</t>
        </is>
      </c>
      <c r="H43" s="15" t="n"/>
      <c r="I43" s="45" t="n">
        <v>35948008.525</v>
      </c>
      <c r="J43" s="45" t="n">
        <v>33826890.74975</v>
      </c>
      <c r="K43" s="45" t="n">
        <v>4375002.525</v>
      </c>
      <c r="L43" s="45" t="n">
        <v>4219417.04975</v>
      </c>
      <c r="M43" s="45" t="n">
        <v>0</v>
      </c>
      <c r="N43" s="45" t="n">
        <v>0</v>
      </c>
      <c r="O43" s="45" t="n">
        <v>7258097.957</v>
      </c>
      <c r="P43" s="45" t="n">
        <v>6999999.99363</v>
      </c>
      <c r="Q43" s="45" t="n">
        <v>1555128.634</v>
      </c>
      <c r="R43" s="45" t="n">
        <v>1499828.25977</v>
      </c>
      <c r="S43" s="45" t="n">
        <v>13188229.116</v>
      </c>
      <c r="T43" s="45" t="n">
        <v>12719245.30315</v>
      </c>
      <c r="U43" s="15" t="n">
        <v>7.9</v>
      </c>
      <c r="V43" s="15" t="n">
        <v>35.54</v>
      </c>
      <c r="W43" s="49" t="n">
        <v>96.444</v>
      </c>
    </row>
    <row r="44">
      <c r="A44" s="44" t="inlineStr">
        <is>
          <t>TLREF Endeksli Senetler</t>
        </is>
      </c>
      <c r="B44" s="44" t="n">
        <v>2023</v>
      </c>
      <c r="C44" s="44" t="inlineStr">
        <is>
          <t>TRT131027T10</t>
        </is>
      </c>
      <c r="D44" s="44" t="inlineStr">
        <is>
          <t>08.11.2023</t>
        </is>
      </c>
      <c r="E44" s="44" t="inlineStr">
        <is>
          <t>13.10.2027</t>
        </is>
      </c>
      <c r="F44" s="44" t="n">
        <v>1435</v>
      </c>
      <c r="G44" s="44" t="inlineStr">
        <is>
          <t>3 ay</t>
        </is>
      </c>
      <c r="H44" s="15" t="n"/>
      <c r="I44" s="45" t="n">
        <v>22963020.961</v>
      </c>
      <c r="J44" s="45" t="n">
        <v>22156508.43912</v>
      </c>
      <c r="K44" s="45" t="n">
        <v>9550012.82</v>
      </c>
      <c r="L44" s="45" t="n">
        <v>9335972.1295</v>
      </c>
      <c r="M44" s="45" t="n">
        <v>0</v>
      </c>
      <c r="N44" s="45" t="n">
        <v>0</v>
      </c>
      <c r="O44" s="45" t="n">
        <v>8183389.759</v>
      </c>
      <c r="P44" s="45" t="n">
        <v>7999999.99451</v>
      </c>
      <c r="Q44" s="45" t="n">
        <v>2621159.323</v>
      </c>
      <c r="R44" s="45" t="n">
        <v>2562419.14257</v>
      </c>
      <c r="S44" s="45" t="n">
        <v>20354561.902</v>
      </c>
      <c r="T44" s="45" t="n">
        <v>19898391.26658</v>
      </c>
      <c r="U44" s="15" t="n">
        <v>7.94</v>
      </c>
      <c r="V44" s="15" t="n">
        <v>35.77</v>
      </c>
      <c r="W44" s="49" t="n">
        <v>97.759</v>
      </c>
    </row>
    <row r="45">
      <c r="A45" s="44" t="inlineStr">
        <is>
          <t>TLREF Endeksli Senetler</t>
        </is>
      </c>
      <c r="B45" s="44" t="n">
        <v>2023</v>
      </c>
      <c r="C45" s="44" t="inlineStr">
        <is>
          <t>TRT131027T10</t>
        </is>
      </c>
      <c r="D45" s="44" t="inlineStr">
        <is>
          <t>06.12.2023</t>
        </is>
      </c>
      <c r="E45" s="44" t="inlineStr">
        <is>
          <t>13.10.2027</t>
        </is>
      </c>
      <c r="F45" s="44" t="n">
        <v>1407</v>
      </c>
      <c r="G45" s="44" t="inlineStr">
        <is>
          <t>3 ay</t>
        </is>
      </c>
      <c r="H45" s="15" t="n"/>
      <c r="I45" s="45" t="n">
        <v>25504012.101</v>
      </c>
      <c r="J45" s="45" t="n">
        <v>25302560.83999</v>
      </c>
      <c r="K45" s="45" t="n">
        <v>8405000</v>
      </c>
      <c r="L45" s="45" t="n">
        <v>8434744.15</v>
      </c>
      <c r="M45" s="45" t="n">
        <v>0</v>
      </c>
      <c r="N45" s="45" t="n">
        <v>0</v>
      </c>
      <c r="O45" s="45" t="n">
        <v>4982362.431</v>
      </c>
      <c r="P45" s="45" t="n">
        <v>4999999.994</v>
      </c>
      <c r="Q45" s="45" t="n">
        <v>2843532.344</v>
      </c>
      <c r="R45" s="45" t="n">
        <v>2853598.4485</v>
      </c>
      <c r="S45" s="45" t="n">
        <v>16230894.775</v>
      </c>
      <c r="T45" s="45" t="n">
        <v>16288342.5925</v>
      </c>
      <c r="U45" s="15" t="n">
        <v>7.91</v>
      </c>
      <c r="V45" s="15" t="n">
        <v>35.61</v>
      </c>
      <c r="W45" s="49" t="n">
        <v>100.354</v>
      </c>
    </row>
    <row r="46">
      <c r="A46" s="44" t="inlineStr">
        <is>
          <t>TLREF Endeksli Senetler</t>
        </is>
      </c>
      <c r="B46" s="44" t="n">
        <v>2022</v>
      </c>
      <c r="C46" s="44" t="inlineStr">
        <is>
          <t>TRT080726T13</t>
        </is>
      </c>
      <c r="D46" s="44" t="inlineStr">
        <is>
          <t>12.01.2022</t>
        </is>
      </c>
      <c r="E46" s="44" t="inlineStr">
        <is>
          <t>08.07.2026</t>
        </is>
      </c>
      <c r="F46" s="44" t="n">
        <v>1638</v>
      </c>
      <c r="G46" s="44" t="inlineStr">
        <is>
          <t>3 ay</t>
        </is>
      </c>
      <c r="H46" s="15" t="n"/>
      <c r="I46" s="45" t="n">
        <v>3952005</v>
      </c>
      <c r="J46" s="45" t="n">
        <v>3601168.53806</v>
      </c>
      <c r="K46" s="45" t="n">
        <v>1143000</v>
      </c>
      <c r="L46" s="45" t="n">
        <v>1082249.15</v>
      </c>
      <c r="M46" s="45" t="n">
        <v>0</v>
      </c>
      <c r="N46" s="45" t="n">
        <v>0</v>
      </c>
      <c r="O46" s="45" t="n">
        <v>633680.094</v>
      </c>
      <c r="P46" s="45" t="n">
        <v>599999.9970100001</v>
      </c>
      <c r="Q46" s="45" t="n">
        <v>180613.349</v>
      </c>
      <c r="R46" s="45" t="n">
        <v>171013.7495</v>
      </c>
      <c r="S46" s="45" t="n">
        <v>1957293.443</v>
      </c>
      <c r="T46" s="45" t="n">
        <v>1853262.89651</v>
      </c>
      <c r="U46" s="15" t="n">
        <v>5.47</v>
      </c>
      <c r="V46" s="15" t="n">
        <v>23.75</v>
      </c>
      <c r="W46" s="49" t="n">
        <v>94.685</v>
      </c>
    </row>
    <row r="47">
      <c r="A47" s="44" t="inlineStr">
        <is>
          <t>TLREF Endeksli Senetler</t>
        </is>
      </c>
      <c r="B47" s="44" t="n">
        <v>2022</v>
      </c>
      <c r="C47" s="44" t="inlineStr">
        <is>
          <t>TRT080726T13</t>
        </is>
      </c>
      <c r="D47" s="44" t="inlineStr">
        <is>
          <t>23.02.2022</t>
        </is>
      </c>
      <c r="E47" s="44" t="inlineStr">
        <is>
          <t>08.07.2026</t>
        </is>
      </c>
      <c r="F47" s="44" t="n">
        <v>1596</v>
      </c>
      <c r="G47" s="44" t="inlineStr">
        <is>
          <t>3 ay</t>
        </is>
      </c>
      <c r="H47" s="15" t="n"/>
      <c r="I47" s="45" t="n">
        <v>3665004</v>
      </c>
      <c r="J47" s="45" t="n">
        <v>3433996.1492</v>
      </c>
      <c r="K47" s="45" t="n">
        <v>1520004</v>
      </c>
      <c r="L47" s="45" t="n">
        <v>1451961.1492</v>
      </c>
      <c r="M47" s="45" t="n">
        <v>73280.01300000001</v>
      </c>
      <c r="N47" s="45" t="n">
        <v>69999.99962</v>
      </c>
      <c r="O47" s="45" t="n">
        <v>523428.664</v>
      </c>
      <c r="P47" s="45" t="n">
        <v>499999.99699</v>
      </c>
      <c r="Q47" s="45" t="n">
        <v>102822.352</v>
      </c>
      <c r="R47" s="45" t="n">
        <v>98220.02352</v>
      </c>
      <c r="S47" s="45" t="n">
        <v>2219535.029</v>
      </c>
      <c r="T47" s="45" t="n">
        <v>2120181.16933</v>
      </c>
      <c r="U47" s="15" t="n">
        <v>5.61</v>
      </c>
      <c r="V47" s="15" t="n">
        <v>24.42</v>
      </c>
      <c r="W47" s="49" t="n">
        <v>95.524</v>
      </c>
    </row>
    <row r="48">
      <c r="A48" s="44" t="inlineStr">
        <is>
          <t>TLREF Endeksli Senetler</t>
        </is>
      </c>
      <c r="B48" s="44" t="n">
        <v>2022</v>
      </c>
      <c r="C48" s="44" t="inlineStr">
        <is>
          <t>TRT080726T13</t>
        </is>
      </c>
      <c r="D48" s="44" t="inlineStr">
        <is>
          <t>23.03.2022</t>
        </is>
      </c>
      <c r="E48" s="44" t="inlineStr">
        <is>
          <t>08.07.2026</t>
        </is>
      </c>
      <c r="F48" s="44" t="n">
        <v>1568</v>
      </c>
      <c r="G48" s="44" t="inlineStr">
        <is>
          <t>3 ay</t>
        </is>
      </c>
      <c r="H48" s="15" t="n"/>
      <c r="I48" s="45" t="n">
        <v>2571002</v>
      </c>
      <c r="J48" s="45" t="n">
        <v>2452356.8376</v>
      </c>
      <c r="K48" s="45" t="n">
        <v>929001</v>
      </c>
      <c r="L48" s="45" t="n">
        <v>899116.0378</v>
      </c>
      <c r="M48" s="45" t="n">
        <v>0</v>
      </c>
      <c r="N48" s="45" t="n">
        <v>0</v>
      </c>
      <c r="O48" s="45" t="n">
        <v>516619.651</v>
      </c>
      <c r="P48" s="45" t="n">
        <v>499999.99683</v>
      </c>
      <c r="Q48" s="45" t="n">
        <v>0</v>
      </c>
      <c r="R48" s="45" t="n">
        <v>0</v>
      </c>
      <c r="S48" s="45" t="n">
        <v>1445620.651</v>
      </c>
      <c r="T48" s="45" t="n">
        <v>1399116.03463</v>
      </c>
      <c r="U48" s="15" t="n">
        <v>5.65</v>
      </c>
      <c r="V48" s="15" t="n">
        <v>24.59</v>
      </c>
      <c r="W48" s="49" t="n">
        <v>96.783</v>
      </c>
    </row>
    <row r="49">
      <c r="A49" s="44" t="inlineStr">
        <is>
          <t>TLREF Endeksli Senetler</t>
        </is>
      </c>
      <c r="B49" s="44" t="n">
        <v>2022</v>
      </c>
      <c r="C49" s="44" t="inlineStr">
        <is>
          <t>TRT200526T19</t>
        </is>
      </c>
      <c r="D49" s="44" t="inlineStr">
        <is>
          <t>23.11.2022</t>
        </is>
      </c>
      <c r="E49" s="44" t="inlineStr">
        <is>
          <t>20.05.2026</t>
        </is>
      </c>
      <c r="F49" s="44" t="n">
        <v>1274</v>
      </c>
      <c r="G49" s="44" t="inlineStr">
        <is>
          <t>3 ay</t>
        </is>
      </c>
      <c r="H49" s="15" t="n"/>
      <c r="I49" s="45" t="n">
        <v>2920006</v>
      </c>
      <c r="J49" s="45" t="n">
        <v>2594311.82</v>
      </c>
      <c r="K49" s="45" t="n">
        <v>1425003</v>
      </c>
      <c r="L49" s="45" t="n">
        <v>1319527.63</v>
      </c>
      <c r="M49" s="45" t="n">
        <v>0</v>
      </c>
      <c r="N49" s="45" t="n">
        <v>0</v>
      </c>
      <c r="O49" s="45" t="n">
        <v>647962.156</v>
      </c>
      <c r="P49" s="45" t="n">
        <v>599999.9972099999</v>
      </c>
      <c r="Q49" s="45" t="n">
        <v>512970.042</v>
      </c>
      <c r="R49" s="45" t="n">
        <v>474999.99949</v>
      </c>
      <c r="S49" s="45" t="n">
        <v>2585935.198</v>
      </c>
      <c r="T49" s="45" t="n">
        <v>2394527.6267</v>
      </c>
      <c r="U49" s="15" t="n">
        <v>4</v>
      </c>
      <c r="V49" s="15" t="n">
        <v>16.99</v>
      </c>
      <c r="W49" s="49" t="n">
        <v>92.598</v>
      </c>
    </row>
    <row r="50">
      <c r="A50" s="44" t="inlineStr">
        <is>
          <t>TLREF Endeksli Senetler</t>
        </is>
      </c>
      <c r="B50" s="44" t="n">
        <v>2022</v>
      </c>
      <c r="C50" s="44" t="inlineStr">
        <is>
          <t>TRT200526T19</t>
        </is>
      </c>
      <c r="D50" s="44" t="inlineStr">
        <is>
          <t>14.12.2022</t>
        </is>
      </c>
      <c r="E50" s="44" t="inlineStr">
        <is>
          <t>20.05.2026</t>
        </is>
      </c>
      <c r="F50" s="44" t="n">
        <v>1253</v>
      </c>
      <c r="G50" s="44" t="inlineStr">
        <is>
          <t>3 ay</t>
        </is>
      </c>
      <c r="H50" s="15" t="n"/>
      <c r="I50" s="45" t="n">
        <v>2769006</v>
      </c>
      <c r="J50" s="45" t="n">
        <v>2522625.09</v>
      </c>
      <c r="K50" s="45" t="n">
        <v>1045002</v>
      </c>
      <c r="L50" s="45" t="n">
        <v>969140.35</v>
      </c>
      <c r="M50" s="45" t="n">
        <v>269567.936</v>
      </c>
      <c r="N50" s="45" t="n">
        <v>249999.99953</v>
      </c>
      <c r="O50" s="45" t="n">
        <v>754790.22</v>
      </c>
      <c r="P50" s="45" t="n">
        <v>699999.99793</v>
      </c>
      <c r="Q50" s="45" t="n">
        <v>7542.456</v>
      </c>
      <c r="R50" s="45" t="n">
        <v>6994.94912</v>
      </c>
      <c r="S50" s="45" t="n">
        <v>2076902.612</v>
      </c>
      <c r="T50" s="45" t="n">
        <v>1926135.29658</v>
      </c>
      <c r="U50" s="15" t="n">
        <v>4.07</v>
      </c>
      <c r="V50" s="15" t="n">
        <v>17.31</v>
      </c>
      <c r="W50" s="49" t="n">
        <v>92.741</v>
      </c>
    </row>
    <row r="51">
      <c r="A51" s="44" t="inlineStr">
        <is>
          <t>TLREF Endeksli Senetler</t>
        </is>
      </c>
      <c r="B51" s="44" t="n">
        <v>2021</v>
      </c>
      <c r="C51" s="44" t="inlineStr">
        <is>
          <t>TRT140126T37</t>
        </is>
      </c>
      <c r="D51" s="44" t="inlineStr">
        <is>
          <t>20.01.2021</t>
        </is>
      </c>
      <c r="E51" s="44" t="inlineStr">
        <is>
          <t>14.01.2026</t>
        </is>
      </c>
      <c r="F51" s="44" t="n">
        <v>1820</v>
      </c>
      <c r="G51" s="44" t="inlineStr">
        <is>
          <t>3 ay</t>
        </is>
      </c>
      <c r="H51" s="15" t="n"/>
      <c r="I51" s="45" t="n">
        <v>3987030.958</v>
      </c>
      <c r="J51" s="45" t="n">
        <v>3956150.54985</v>
      </c>
      <c r="K51" s="45" t="n">
        <v>2487000</v>
      </c>
      <c r="L51" s="45" t="n">
        <v>2477682.9</v>
      </c>
      <c r="M51" s="45" t="n">
        <v>0</v>
      </c>
      <c r="N51" s="45" t="n">
        <v>0</v>
      </c>
      <c r="O51" s="45" t="n">
        <v>2007528.228</v>
      </c>
      <c r="P51" s="45" t="n">
        <v>1999999.99716</v>
      </c>
      <c r="Q51" s="45" t="n">
        <v>26159.116</v>
      </c>
      <c r="R51" s="45" t="n">
        <v>26061.01932</v>
      </c>
      <c r="S51" s="45" t="n">
        <v>4520687.344000001</v>
      </c>
      <c r="T51" s="45" t="n">
        <v>4503743.91648</v>
      </c>
      <c r="U51" s="15" t="n">
        <v>4.28</v>
      </c>
      <c r="V51" s="15" t="n">
        <v>18.24</v>
      </c>
      <c r="W51" s="49" t="n">
        <v>99.625</v>
      </c>
    </row>
    <row r="52">
      <c r="A52" s="44" t="inlineStr">
        <is>
          <t>TLREF Endeksli Senetler</t>
        </is>
      </c>
      <c r="B52" s="44" t="n">
        <v>2021</v>
      </c>
      <c r="C52" s="44" t="inlineStr">
        <is>
          <t>TRT140126T37</t>
        </is>
      </c>
      <c r="D52" s="44" t="inlineStr">
        <is>
          <t>24.02.2021</t>
        </is>
      </c>
      <c r="E52" s="44" t="inlineStr">
        <is>
          <t>14.01.2026</t>
        </is>
      </c>
      <c r="F52" s="44" t="n">
        <v>1785</v>
      </c>
      <c r="G52" s="44" t="inlineStr">
        <is>
          <t>3 ay</t>
        </is>
      </c>
      <c r="H52" s="15" t="n"/>
      <c r="I52" s="45" t="n">
        <v>3458000</v>
      </c>
      <c r="J52" s="45" t="n">
        <v>3478453.35</v>
      </c>
      <c r="K52" s="45" t="n">
        <v>2283000</v>
      </c>
      <c r="L52" s="45" t="n">
        <v>2300933.2</v>
      </c>
      <c r="M52" s="45" t="n">
        <v>0</v>
      </c>
      <c r="N52" s="45" t="n">
        <v>0</v>
      </c>
      <c r="O52" s="45" t="n">
        <v>595320.774</v>
      </c>
      <c r="P52" s="45" t="n">
        <v>599999.99528</v>
      </c>
      <c r="Q52" s="45" t="n">
        <v>331708.06</v>
      </c>
      <c r="R52" s="45" t="n">
        <v>334315.28536</v>
      </c>
      <c r="S52" s="45" t="n">
        <v>3210028.834</v>
      </c>
      <c r="T52" s="45" t="n">
        <v>3235248.48064</v>
      </c>
      <c r="U52" s="15" t="n">
        <v>4.31</v>
      </c>
      <c r="V52" s="15" t="n">
        <v>18.4</v>
      </c>
      <c r="W52" s="49" t="n">
        <v>100.786</v>
      </c>
    </row>
    <row r="53">
      <c r="A53" s="44" t="inlineStr">
        <is>
          <t>TLREF Endeksli Senetler</t>
        </is>
      </c>
      <c r="B53" s="44" t="n">
        <v>2021</v>
      </c>
      <c r="C53" s="44" t="inlineStr">
        <is>
          <t>TRT140126T37</t>
        </is>
      </c>
      <c r="D53" s="44" t="inlineStr">
        <is>
          <t>24.03.2021</t>
        </is>
      </c>
      <c r="E53" s="44" t="inlineStr">
        <is>
          <t>14.01.2026</t>
        </is>
      </c>
      <c r="F53" s="44" t="n">
        <v>1757</v>
      </c>
      <c r="G53" s="44" t="inlineStr">
        <is>
          <t>3 ay</t>
        </is>
      </c>
      <c r="H53" s="15" t="n"/>
      <c r="I53" s="45" t="n">
        <v>2357000</v>
      </c>
      <c r="J53" s="45" t="n">
        <v>2359745.88</v>
      </c>
      <c r="K53" s="45" t="n">
        <v>1522000</v>
      </c>
      <c r="L53" s="45" t="n">
        <v>1531130.03</v>
      </c>
      <c r="M53" s="45" t="n">
        <v>0</v>
      </c>
      <c r="N53" s="45" t="n">
        <v>0</v>
      </c>
      <c r="O53" s="45" t="n">
        <v>1093439.362</v>
      </c>
      <c r="P53" s="45" t="n">
        <v>1099999.99815</v>
      </c>
      <c r="Q53" s="45" t="n">
        <v>298000</v>
      </c>
      <c r="R53" s="45" t="n">
        <v>299788</v>
      </c>
      <c r="S53" s="45" t="n">
        <v>2913439.362</v>
      </c>
      <c r="T53" s="45" t="n">
        <v>2930918.02815</v>
      </c>
      <c r="U53" s="15" t="n">
        <v>4.43</v>
      </c>
      <c r="V53" s="15" t="n">
        <v>18.94</v>
      </c>
      <c r="W53" s="49" t="n">
        <v>100.6</v>
      </c>
    </row>
    <row r="54">
      <c r="A54" s="44" t="inlineStr">
        <is>
          <t>TLREF Endeksli Senetler</t>
        </is>
      </c>
      <c r="B54" s="44" t="n">
        <v>2021</v>
      </c>
      <c r="C54" s="44" t="inlineStr">
        <is>
          <t>TRT140126T37</t>
        </is>
      </c>
      <c r="D54" s="44" t="inlineStr">
        <is>
          <t>14.04.2021</t>
        </is>
      </c>
      <c r="E54" s="44" t="inlineStr">
        <is>
          <t>14.01.2026</t>
        </is>
      </c>
      <c r="F54" s="44" t="n">
        <v>1736</v>
      </c>
      <c r="G54" s="44" t="inlineStr">
        <is>
          <t>3 ay</t>
        </is>
      </c>
      <c r="H54" s="15" t="n"/>
      <c r="I54" s="45" t="n">
        <v>3676000</v>
      </c>
      <c r="J54" s="45" t="n">
        <v>3718680.13</v>
      </c>
      <c r="K54" s="45" t="n">
        <v>2278000</v>
      </c>
      <c r="L54" s="45" t="n">
        <v>2314067.47</v>
      </c>
      <c r="M54" s="45" t="n">
        <v>98441.66800000001</v>
      </c>
      <c r="N54" s="45" t="n">
        <v>99999.9996</v>
      </c>
      <c r="O54" s="45" t="n">
        <v>1771950.026</v>
      </c>
      <c r="P54" s="45" t="n">
        <v>1799999.99491</v>
      </c>
      <c r="Q54" s="45" t="n">
        <v>381308.041</v>
      </c>
      <c r="R54" s="45" t="n">
        <v>387344.1473</v>
      </c>
      <c r="S54" s="45" t="n">
        <v>4529699.735</v>
      </c>
      <c r="T54" s="45" t="n">
        <v>4601411.61181</v>
      </c>
      <c r="U54" s="15" t="n">
        <v>4.43</v>
      </c>
      <c r="V54" s="15" t="n">
        <v>18.95</v>
      </c>
      <c r="W54" s="49" t="n">
        <v>101.583</v>
      </c>
    </row>
    <row r="55">
      <c r="A55" s="44" t="inlineStr">
        <is>
          <t>TLREF Endeksli Senetler</t>
        </is>
      </c>
      <c r="B55" s="44" t="n">
        <v>2021</v>
      </c>
      <c r="C55" s="44" t="inlineStr">
        <is>
          <t>TRT190826T19</t>
        </is>
      </c>
      <c r="D55" s="44" t="inlineStr">
        <is>
          <t>26.05.2021</t>
        </is>
      </c>
      <c r="E55" s="44" t="inlineStr">
        <is>
          <t>19.08.2026</t>
        </is>
      </c>
      <c r="F55" s="44" t="n">
        <v>1911</v>
      </c>
      <c r="G55" s="44" t="inlineStr">
        <is>
          <t>3 ay</t>
        </is>
      </c>
      <c r="H55" s="15" t="n"/>
      <c r="I55" s="45" t="n">
        <v>5207000</v>
      </c>
      <c r="J55" s="45" t="n">
        <v>5069727.14</v>
      </c>
      <c r="K55" s="45" t="n">
        <v>3252000</v>
      </c>
      <c r="L55" s="45" t="n">
        <v>3173329.34</v>
      </c>
      <c r="M55" s="45" t="n">
        <v>87107.121</v>
      </c>
      <c r="N55" s="45" t="n">
        <v>84999.99974</v>
      </c>
      <c r="O55" s="45" t="n">
        <v>1793381.905</v>
      </c>
      <c r="P55" s="45" t="n">
        <v>1749999.99672</v>
      </c>
      <c r="Q55" s="45" t="n">
        <v>848906.456</v>
      </c>
      <c r="R55" s="45" t="n">
        <v>828371.40883</v>
      </c>
      <c r="S55" s="45" t="n">
        <v>5981395.482</v>
      </c>
      <c r="T55" s="45" t="n">
        <v>5836700.74529</v>
      </c>
      <c r="U55" s="15" t="n">
        <v>4.99</v>
      </c>
      <c r="V55" s="15" t="n">
        <v>21.5</v>
      </c>
      <c r="W55" s="49" t="n">
        <v>97.581</v>
      </c>
    </row>
    <row r="56">
      <c r="A56" s="44" t="inlineStr">
        <is>
          <t>TLREF Endeksli Senetler</t>
        </is>
      </c>
      <c r="B56" s="44" t="n">
        <v>2021</v>
      </c>
      <c r="C56" s="44" t="inlineStr">
        <is>
          <t>TRT190826T19</t>
        </is>
      </c>
      <c r="D56" s="44" t="inlineStr">
        <is>
          <t>23.06.2021</t>
        </is>
      </c>
      <c r="E56" s="44" t="inlineStr">
        <is>
          <t>19.08.2026</t>
        </is>
      </c>
      <c r="F56" s="44" t="n">
        <v>1883</v>
      </c>
      <c r="G56" s="44" t="inlineStr">
        <is>
          <t>3 ay</t>
        </is>
      </c>
      <c r="H56" s="15" t="n"/>
      <c r="I56" s="45" t="n">
        <v>5743500</v>
      </c>
      <c r="J56" s="45" t="n">
        <v>5656310.935</v>
      </c>
      <c r="K56" s="45" t="n">
        <v>3353000</v>
      </c>
      <c r="L56" s="45" t="n">
        <v>3310511.58</v>
      </c>
      <c r="M56" s="45" t="n">
        <v>0</v>
      </c>
      <c r="N56" s="45" t="n">
        <v>0</v>
      </c>
      <c r="O56" s="45" t="n">
        <v>1772457.025</v>
      </c>
      <c r="P56" s="45" t="n">
        <v>1749999.9945</v>
      </c>
      <c r="Q56" s="45" t="n">
        <v>770970.622</v>
      </c>
      <c r="R56" s="45" t="n">
        <v>761202.42423</v>
      </c>
      <c r="S56" s="45" t="n">
        <v>5896427.647</v>
      </c>
      <c r="T56" s="45" t="n">
        <v>5821713.99873</v>
      </c>
      <c r="U56" s="15" t="n">
        <v>5.01</v>
      </c>
      <c r="V56" s="15" t="n">
        <v>21.62</v>
      </c>
      <c r="W56" s="49" t="n">
        <v>98.733</v>
      </c>
    </row>
    <row r="57">
      <c r="A57" s="44" t="inlineStr">
        <is>
          <t>TLREF Endeksli Senetler</t>
        </is>
      </c>
      <c r="B57" s="44" t="n">
        <v>2021</v>
      </c>
      <c r="C57" s="44" t="inlineStr">
        <is>
          <t>TRT190826T19</t>
        </is>
      </c>
      <c r="D57" s="44" t="inlineStr">
        <is>
          <t>28.07.2021</t>
        </is>
      </c>
      <c r="E57" s="44" t="inlineStr">
        <is>
          <t>19.08.2026</t>
        </is>
      </c>
      <c r="F57" s="44" t="n">
        <v>1848</v>
      </c>
      <c r="G57" s="44" t="inlineStr">
        <is>
          <t>3 ay</t>
        </is>
      </c>
      <c r="H57" s="15" t="n"/>
      <c r="I57" s="45" t="n">
        <v>5777000</v>
      </c>
      <c r="J57" s="45" t="n">
        <v>5778978.86</v>
      </c>
      <c r="K57" s="45" t="n">
        <v>3987000</v>
      </c>
      <c r="L57" s="45" t="n">
        <v>3993799.46</v>
      </c>
      <c r="M57" s="45" t="n">
        <v>199658.583</v>
      </c>
      <c r="N57" s="45" t="n">
        <v>199999.99918</v>
      </c>
      <c r="O57" s="45" t="n">
        <v>1497439.375</v>
      </c>
      <c r="P57" s="45" t="n">
        <v>1499999.99634</v>
      </c>
      <c r="Q57" s="45" t="n">
        <v>706800.085</v>
      </c>
      <c r="R57" s="45" t="n">
        <v>708008.71315</v>
      </c>
      <c r="S57" s="45" t="n">
        <v>6390898.043000001</v>
      </c>
      <c r="T57" s="45" t="n">
        <v>6401808.168670001</v>
      </c>
      <c r="U57" s="15" t="n">
        <v>5.05</v>
      </c>
      <c r="V57" s="15" t="n">
        <v>21.78</v>
      </c>
      <c r="W57" s="49" t="n">
        <v>100.171</v>
      </c>
    </row>
    <row r="58">
      <c r="A58" s="44" t="inlineStr">
        <is>
          <t>TLREF Endeksli Senetler</t>
        </is>
      </c>
      <c r="B58" s="44" t="n">
        <v>2021</v>
      </c>
      <c r="C58" s="44" t="inlineStr">
        <is>
          <t>TRT190826T19</t>
        </is>
      </c>
      <c r="D58" s="44" t="inlineStr">
        <is>
          <t>18.08.2021</t>
        </is>
      </c>
      <c r="E58" s="44" t="inlineStr">
        <is>
          <t>19.08.2026</t>
        </is>
      </c>
      <c r="F58" s="44" t="n">
        <v>1827</v>
      </c>
      <c r="G58" s="44" t="inlineStr">
        <is>
          <t>3 ay</t>
        </is>
      </c>
      <c r="H58" s="15" t="n"/>
      <c r="I58" s="45" t="n">
        <v>5191450</v>
      </c>
      <c r="J58" s="45" t="n">
        <v>5245106.6995</v>
      </c>
      <c r="K58" s="45" t="n">
        <v>3066450</v>
      </c>
      <c r="L58" s="45" t="n">
        <v>3104517.3995</v>
      </c>
      <c r="M58" s="45" t="n">
        <v>0</v>
      </c>
      <c r="N58" s="45" t="n">
        <v>0</v>
      </c>
      <c r="O58" s="45" t="n">
        <v>1975484.238</v>
      </c>
      <c r="P58" s="45" t="n">
        <v>1999999.9974</v>
      </c>
      <c r="Q58" s="45" t="n">
        <v>671060.745</v>
      </c>
      <c r="R58" s="45" t="n">
        <v>679388.60884</v>
      </c>
      <c r="S58" s="45" t="n">
        <v>5712994.983</v>
      </c>
      <c r="T58" s="45" t="n">
        <v>5783906.00574</v>
      </c>
      <c r="U58" s="15" t="n">
        <v>5.06</v>
      </c>
      <c r="V58" s="15" t="n">
        <v>21.81</v>
      </c>
      <c r="W58" s="49" t="n">
        <v>101.241</v>
      </c>
    </row>
    <row r="59">
      <c r="A59" s="44" t="inlineStr">
        <is>
          <t>TLREF Endeksli Senetler</t>
        </is>
      </c>
      <c r="B59" s="44" t="n">
        <v>2021</v>
      </c>
      <c r="C59" s="44" t="inlineStr">
        <is>
          <t>TRT061223T11</t>
        </is>
      </c>
      <c r="D59" s="44" t="inlineStr">
        <is>
          <t>08.09.2021</t>
        </is>
      </c>
      <c r="E59" s="44" t="inlineStr">
        <is>
          <t>06.12.2023</t>
        </is>
      </c>
      <c r="F59" s="44" t="n">
        <v>819</v>
      </c>
      <c r="G59" s="44" t="inlineStr">
        <is>
          <t>3 ay</t>
        </is>
      </c>
      <c r="H59" s="15" t="n"/>
      <c r="I59" s="45" t="n">
        <v>5606000</v>
      </c>
      <c r="J59" s="45" t="n">
        <v>5525618.1</v>
      </c>
      <c r="K59" s="45" t="n">
        <v>2615000</v>
      </c>
      <c r="L59" s="45" t="n">
        <v>2588898.9</v>
      </c>
      <c r="M59" s="45" t="n">
        <v>131310.478</v>
      </c>
      <c r="N59" s="45" t="n">
        <v>129999.99943</v>
      </c>
      <c r="O59" s="45" t="n">
        <v>1515120.904</v>
      </c>
      <c r="P59" s="45" t="n">
        <v>1499999.99739</v>
      </c>
      <c r="Q59" s="45" t="n">
        <v>125202.217</v>
      </c>
      <c r="R59" s="45" t="n">
        <v>123952.69888</v>
      </c>
      <c r="S59" s="45" t="n">
        <v>4386633.599</v>
      </c>
      <c r="T59" s="45" t="n">
        <v>4342851.595699999</v>
      </c>
      <c r="U59" s="15" t="n">
        <v>4.99</v>
      </c>
      <c r="V59" s="15" t="n">
        <v>21.51</v>
      </c>
      <c r="W59" s="49" t="n">
        <v>99.002</v>
      </c>
    </row>
    <row r="60">
      <c r="A60" s="44" t="inlineStr">
        <is>
          <t>TLREF Endeksli Senetler</t>
        </is>
      </c>
      <c r="B60" s="44" t="n">
        <v>2021</v>
      </c>
      <c r="C60" s="44" t="inlineStr">
        <is>
          <t>TRT061223T11</t>
        </is>
      </c>
      <c r="D60" s="44" t="inlineStr">
        <is>
          <t>06.10.2021</t>
        </is>
      </c>
      <c r="E60" s="44" t="inlineStr">
        <is>
          <t>06.12.2023</t>
        </is>
      </c>
      <c r="F60" s="44" t="n">
        <v>791</v>
      </c>
      <c r="G60" s="44" t="inlineStr">
        <is>
          <t>3 ay</t>
        </is>
      </c>
      <c r="H60" s="15" t="n"/>
      <c r="I60" s="45" t="n">
        <v>3741000</v>
      </c>
      <c r="J60" s="45" t="n">
        <v>3737065.72</v>
      </c>
      <c r="K60" s="45" t="n">
        <v>1981000</v>
      </c>
      <c r="L60" s="45" t="n">
        <v>1984173.27</v>
      </c>
      <c r="M60" s="45" t="n">
        <v>0</v>
      </c>
      <c r="N60" s="45" t="n">
        <v>0</v>
      </c>
      <c r="O60" s="45" t="n">
        <v>798722.041</v>
      </c>
      <c r="P60" s="45" t="n">
        <v>799999.99627</v>
      </c>
      <c r="Q60" s="45" t="n">
        <v>20001.597</v>
      </c>
      <c r="R60" s="45" t="n">
        <v>20033.59956</v>
      </c>
      <c r="S60" s="45" t="n">
        <v>2799723.638</v>
      </c>
      <c r="T60" s="45" t="n">
        <v>2804206.86583</v>
      </c>
      <c r="U60" s="15" t="n">
        <v>5.04</v>
      </c>
      <c r="V60" s="15" t="n">
        <v>21.73</v>
      </c>
      <c r="W60" s="49" t="n">
        <v>100.16</v>
      </c>
    </row>
    <row r="61">
      <c r="A61" s="44" t="inlineStr">
        <is>
          <t>TLREF Endeksli Senetler</t>
        </is>
      </c>
      <c r="B61" s="44" t="n">
        <v>2021</v>
      </c>
      <c r="C61" s="44" t="inlineStr">
        <is>
          <t>TRT130127T11</t>
        </is>
      </c>
      <c r="D61" s="44" t="inlineStr">
        <is>
          <t>20.10.2021</t>
        </is>
      </c>
      <c r="E61" s="44" t="inlineStr">
        <is>
          <t>13.01.2027</t>
        </is>
      </c>
      <c r="F61" s="44" t="n">
        <v>1911</v>
      </c>
      <c r="G61" s="44" t="inlineStr">
        <is>
          <t>3 ay</t>
        </is>
      </c>
      <c r="H61" s="15" t="n"/>
      <c r="I61" s="45" t="n">
        <v>1956001</v>
      </c>
      <c r="J61" s="45" t="n">
        <v>1879141.51</v>
      </c>
      <c r="K61" s="45" t="n">
        <v>611001</v>
      </c>
      <c r="L61" s="45" t="n">
        <v>592442.3100000001</v>
      </c>
      <c r="M61" s="45" t="n">
        <v>0</v>
      </c>
      <c r="N61" s="45" t="n">
        <v>0</v>
      </c>
      <c r="O61" s="45" t="n">
        <v>773490.917</v>
      </c>
      <c r="P61" s="45" t="n">
        <v>749999.99786</v>
      </c>
      <c r="Q61" s="45" t="n">
        <v>155866.412</v>
      </c>
      <c r="R61" s="45" t="n">
        <v>151132.74907</v>
      </c>
      <c r="S61" s="45" t="n">
        <v>1540358.329</v>
      </c>
      <c r="T61" s="45" t="n">
        <v>1493575.05693</v>
      </c>
      <c r="U61" s="15" t="n">
        <v>5.19</v>
      </c>
      <c r="V61" s="15" t="n">
        <v>22.44</v>
      </c>
      <c r="W61" s="49" t="n">
        <v>96.96299999999999</v>
      </c>
    </row>
    <row r="62">
      <c r="A62" s="44" t="inlineStr">
        <is>
          <t>TLREF Endeksli Senetler</t>
        </is>
      </c>
      <c r="B62" s="44" t="n">
        <v>2021</v>
      </c>
      <c r="C62" s="44" t="inlineStr">
        <is>
          <t>TRT130127T11</t>
        </is>
      </c>
      <c r="D62" s="44" t="inlineStr">
        <is>
          <t>10.11.2021</t>
        </is>
      </c>
      <c r="E62" s="44" t="inlineStr">
        <is>
          <t>13.01.2027</t>
        </is>
      </c>
      <c r="F62" s="44" t="n">
        <v>1890</v>
      </c>
      <c r="G62" s="44" t="inlineStr">
        <is>
          <t>3 ay</t>
        </is>
      </c>
      <c r="H62" s="15" t="n"/>
      <c r="I62" s="45" t="n">
        <v>1514000</v>
      </c>
      <c r="J62" s="45" t="n">
        <v>1446712.1</v>
      </c>
      <c r="K62" s="45" t="n">
        <v>300000</v>
      </c>
      <c r="L62" s="45" t="n">
        <v>292099.05</v>
      </c>
      <c r="M62" s="45" t="n">
        <v>77028.942</v>
      </c>
      <c r="N62" s="45" t="n">
        <v>74999.99967</v>
      </c>
      <c r="O62" s="45" t="n">
        <v>333792.08</v>
      </c>
      <c r="P62" s="45" t="n">
        <v>324999.99663</v>
      </c>
      <c r="Q62" s="45" t="inlineStr">
        <is>
          <t>-</t>
        </is>
      </c>
      <c r="R62" s="45" t="inlineStr">
        <is>
          <t>-</t>
        </is>
      </c>
      <c r="S62" s="45" t="n">
        <v>710821.022</v>
      </c>
      <c r="T62" s="45" t="n">
        <v>692099.0463</v>
      </c>
      <c r="U62" s="15" t="n">
        <v>5.25</v>
      </c>
      <c r="V62" s="15" t="n">
        <v>22.72</v>
      </c>
      <c r="W62" s="49" t="n">
        <v>97.366</v>
      </c>
    </row>
    <row r="63">
      <c r="A63" s="44" t="inlineStr">
        <is>
          <t>TLREF Endeksli Senetler</t>
        </is>
      </c>
      <c r="B63" s="44" t="n">
        <v>2020</v>
      </c>
      <c r="C63" s="44" t="inlineStr">
        <is>
          <t>TRT260122T11</t>
        </is>
      </c>
      <c r="D63" s="44" t="inlineStr">
        <is>
          <t>29.01.2020</t>
        </is>
      </c>
      <c r="E63" s="44" t="inlineStr">
        <is>
          <t>26.01.2022</t>
        </is>
      </c>
      <c r="F63" s="44" t="n">
        <v>728</v>
      </c>
      <c r="G63" s="44" t="inlineStr">
        <is>
          <t>3 ay</t>
        </is>
      </c>
      <c r="H63" s="15" t="n"/>
      <c r="I63" s="45" t="n">
        <v>9789750</v>
      </c>
      <c r="J63" s="45" t="n">
        <v>9745880.9</v>
      </c>
      <c r="K63" s="45" t="n">
        <v>2140700</v>
      </c>
      <c r="L63" s="45" t="n">
        <v>2146697.325</v>
      </c>
      <c r="M63" s="45" t="n">
        <v>648185.081</v>
      </c>
      <c r="N63" s="45" t="n">
        <v>649999.99923</v>
      </c>
      <c r="O63" s="45" t="n">
        <v>1246509.767</v>
      </c>
      <c r="P63" s="45" t="n">
        <v>1249999.99436</v>
      </c>
      <c r="Q63" s="45" t="n">
        <v>634242.121</v>
      </c>
      <c r="R63" s="45" t="n">
        <v>636017.99894</v>
      </c>
      <c r="S63" s="45" t="n">
        <v>4669636.969000001</v>
      </c>
      <c r="T63" s="45" t="n">
        <v>4682715.31753</v>
      </c>
      <c r="U63" s="15" t="n">
        <v>2.46</v>
      </c>
      <c r="V63" s="15" t="n">
        <v>10.21</v>
      </c>
      <c r="W63" s="49" t="n">
        <v>100.28</v>
      </c>
    </row>
    <row r="64">
      <c r="A64" s="44" t="inlineStr">
        <is>
          <t>TLREF Endeksli Senetler</t>
        </is>
      </c>
      <c r="B64" s="44" t="n">
        <v>2020</v>
      </c>
      <c r="C64" s="44" t="inlineStr">
        <is>
          <t>TRT260122T11</t>
        </is>
      </c>
      <c r="D64" s="44" t="inlineStr">
        <is>
          <t>26.02.2020</t>
        </is>
      </c>
      <c r="E64" s="44" t="inlineStr">
        <is>
          <t>26.01.2022</t>
        </is>
      </c>
      <c r="F64" s="44" t="n">
        <v>700</v>
      </c>
      <c r="G64" s="44" t="inlineStr">
        <is>
          <t>3 ay</t>
        </is>
      </c>
      <c r="H64" s="15" t="n"/>
      <c r="I64" s="45" t="n">
        <v>3563330.6</v>
      </c>
      <c r="J64" s="45" t="n">
        <v>3563099.56392</v>
      </c>
      <c r="K64" s="45" t="n">
        <v>1850330.6</v>
      </c>
      <c r="L64" s="45" t="n">
        <v>1864659.46392</v>
      </c>
      <c r="M64" s="45" t="n">
        <v>0</v>
      </c>
      <c r="N64" s="45" t="n">
        <v>0</v>
      </c>
      <c r="O64" s="45" t="n">
        <v>1190783.333</v>
      </c>
      <c r="P64" s="45" t="n">
        <v>1199999.996</v>
      </c>
      <c r="Q64" s="45" t="n">
        <v>0</v>
      </c>
      <c r="R64" s="45" t="n">
        <v>0</v>
      </c>
      <c r="S64" s="45" t="n">
        <v>3041113.933</v>
      </c>
      <c r="T64" s="45" t="n">
        <v>3064659.45992</v>
      </c>
      <c r="U64" s="15" t="n">
        <v>2.5</v>
      </c>
      <c r="V64" s="15" t="n">
        <v>10.37</v>
      </c>
      <c r="W64" s="49" t="n">
        <v>100.774</v>
      </c>
    </row>
    <row r="65">
      <c r="A65" s="44" t="inlineStr">
        <is>
          <t>TLREF Endeksli Senetler</t>
        </is>
      </c>
      <c r="B65" s="44" t="n">
        <v>2020</v>
      </c>
      <c r="C65" s="44" t="inlineStr">
        <is>
          <t>TRT210623T10</t>
        </is>
      </c>
      <c r="D65" s="44" t="inlineStr">
        <is>
          <t>25.03.2020</t>
        </is>
      </c>
      <c r="E65" s="44" t="inlineStr">
        <is>
          <t>21.06.2023</t>
        </is>
      </c>
      <c r="F65" s="44" t="n">
        <v>1183</v>
      </c>
      <c r="G65" s="44" t="inlineStr">
        <is>
          <t>3 ay</t>
        </is>
      </c>
      <c r="H65" s="15" t="n"/>
      <c r="I65" s="45" t="n">
        <v>2492000</v>
      </c>
      <c r="J65" s="45" t="n">
        <v>2474935.05</v>
      </c>
      <c r="K65" s="45" t="n">
        <v>2167000</v>
      </c>
      <c r="L65" s="45" t="n">
        <v>2161092.5</v>
      </c>
      <c r="M65" s="45" t="n">
        <v>0</v>
      </c>
      <c r="N65" s="45" t="n">
        <v>0</v>
      </c>
      <c r="O65" s="45" t="n">
        <v>1403832.46</v>
      </c>
      <c r="P65" s="45" t="n">
        <v>1399999.99737</v>
      </c>
      <c r="Q65" s="45" t="n">
        <v>0</v>
      </c>
      <c r="R65" s="45" t="n">
        <v>0</v>
      </c>
      <c r="S65" s="45" t="n">
        <v>3570832.46</v>
      </c>
      <c r="T65" s="45" t="n">
        <v>3561092.49737</v>
      </c>
      <c r="U65" s="15" t="n">
        <v>2.52</v>
      </c>
      <c r="V65" s="15" t="n">
        <v>10.49</v>
      </c>
      <c r="W65" s="49" t="n">
        <v>99.727</v>
      </c>
    </row>
    <row r="66">
      <c r="A66" s="44" t="inlineStr">
        <is>
          <t>TLREF Endeksli Senetler</t>
        </is>
      </c>
      <c r="B66" s="44" t="n">
        <v>2020</v>
      </c>
      <c r="C66" s="44" t="inlineStr">
        <is>
          <t>TRT210623T10</t>
        </is>
      </c>
      <c r="D66" s="44" t="inlineStr">
        <is>
          <t>08.04.2020</t>
        </is>
      </c>
      <c r="E66" s="44" t="inlineStr">
        <is>
          <t>21.06.2023</t>
        </is>
      </c>
      <c r="F66" s="44" t="n">
        <v>1169</v>
      </c>
      <c r="G66" s="44" t="inlineStr">
        <is>
          <t>3 ay</t>
        </is>
      </c>
      <c r="H66" s="15" t="n"/>
      <c r="I66" s="45" t="n">
        <v>4503000</v>
      </c>
      <c r="J66" s="45" t="n">
        <v>4450136.16</v>
      </c>
      <c r="K66" s="45" t="n">
        <v>3718000</v>
      </c>
      <c r="L66" s="45" t="n">
        <v>3685173.16</v>
      </c>
      <c r="M66" s="45" t="n">
        <v>0</v>
      </c>
      <c r="N66" s="45" t="n">
        <v>0</v>
      </c>
      <c r="O66" s="45" t="n">
        <v>2522271.657</v>
      </c>
      <c r="P66" s="45" t="n">
        <v>2499999.99828</v>
      </c>
      <c r="Q66" s="45" t="n">
        <v>0</v>
      </c>
      <c r="R66" s="45" t="n">
        <v>0</v>
      </c>
      <c r="S66" s="45" t="n">
        <v>6240271.657</v>
      </c>
      <c r="T66" s="45" t="n">
        <v>6185173.15828</v>
      </c>
      <c r="U66" s="15" t="n">
        <v>2.62</v>
      </c>
      <c r="V66" s="15" t="n">
        <v>10.89</v>
      </c>
      <c r="W66" s="49" t="n">
        <v>99.117</v>
      </c>
    </row>
    <row r="67">
      <c r="A67" s="44" t="inlineStr">
        <is>
          <t>TLREF Endeksli Senetler</t>
        </is>
      </c>
      <c r="B67" s="44" t="n">
        <v>2020</v>
      </c>
      <c r="C67" s="44" t="inlineStr">
        <is>
          <t>TRT210623T10</t>
        </is>
      </c>
      <c r="D67" s="44" t="inlineStr">
        <is>
          <t>13.05.2020</t>
        </is>
      </c>
      <c r="E67" s="44" t="inlineStr">
        <is>
          <t>21.06.2023</t>
        </is>
      </c>
      <c r="F67" s="44" t="n">
        <v>1134</v>
      </c>
      <c r="G67" s="44" t="inlineStr">
        <is>
          <t>3 ay</t>
        </is>
      </c>
      <c r="H67" s="15" t="n"/>
      <c r="I67" s="45" t="n">
        <v>6015000</v>
      </c>
      <c r="J67" s="45" t="n">
        <v>6018106.4</v>
      </c>
      <c r="K67" s="45" t="n">
        <v>3510000</v>
      </c>
      <c r="L67" s="45" t="n">
        <v>3528348.4</v>
      </c>
      <c r="M67" s="45" t="n">
        <v>0</v>
      </c>
      <c r="N67" s="45" t="n">
        <v>0</v>
      </c>
      <c r="O67" s="45" t="n">
        <v>1492195.812</v>
      </c>
      <c r="P67" s="45" t="n">
        <v>1499999.99609</v>
      </c>
      <c r="Q67" s="45" t="n">
        <v>0</v>
      </c>
      <c r="R67" s="45" t="n">
        <v>0</v>
      </c>
      <c r="S67" s="45" t="n">
        <v>5002195.812</v>
      </c>
      <c r="T67" s="45" t="n">
        <v>5028348.39609</v>
      </c>
      <c r="U67" s="15" t="n">
        <v>2.58</v>
      </c>
      <c r="V67" s="15" t="n">
        <v>10.71</v>
      </c>
      <c r="W67" s="49" t="n">
        <v>100.523</v>
      </c>
    </row>
    <row r="68">
      <c r="A68" s="44" t="inlineStr">
        <is>
          <t>TLREF Endeksli Senetler</t>
        </is>
      </c>
      <c r="B68" s="44" t="n">
        <v>2020</v>
      </c>
      <c r="C68" s="44" t="inlineStr">
        <is>
          <t>TRT210623T10</t>
        </is>
      </c>
      <c r="D68" s="44" t="inlineStr">
        <is>
          <t>17.06.2020</t>
        </is>
      </c>
      <c r="E68" s="44" t="inlineStr">
        <is>
          <t>21.06.2023</t>
        </is>
      </c>
      <c r="F68" s="44" t="n">
        <v>1099</v>
      </c>
      <c r="G68" s="44" t="inlineStr">
        <is>
          <t>3 ay</t>
        </is>
      </c>
      <c r="H68" s="15" t="n"/>
      <c r="I68" s="45" t="n">
        <v>3659200</v>
      </c>
      <c r="J68" s="45" t="n">
        <v>3702398.205</v>
      </c>
      <c r="K68" s="45" t="n">
        <v>1673000</v>
      </c>
      <c r="L68" s="45" t="n">
        <v>1701212.89</v>
      </c>
      <c r="M68" s="45" t="n">
        <v>0</v>
      </c>
      <c r="N68" s="45" t="n">
        <v>0</v>
      </c>
      <c r="O68" s="45" t="n">
        <v>1475129.315</v>
      </c>
      <c r="P68" s="45" t="n">
        <v>1499999.99526</v>
      </c>
      <c r="Q68" s="45" t="n">
        <v>600</v>
      </c>
      <c r="R68" s="45" t="n">
        <v>610.116</v>
      </c>
      <c r="S68" s="45" t="n">
        <v>3148729.315</v>
      </c>
      <c r="T68" s="45" t="n">
        <v>3201823.00126</v>
      </c>
      <c r="U68" s="15" t="n">
        <v>2.56</v>
      </c>
      <c r="V68" s="15" t="n">
        <v>10.64</v>
      </c>
      <c r="W68" s="49" t="n">
        <v>101.686</v>
      </c>
    </row>
    <row r="69">
      <c r="A69" s="44" t="inlineStr">
        <is>
          <t>TLREF Endeksli Senetler</t>
        </is>
      </c>
      <c r="B69" s="44" t="n">
        <v>2020</v>
      </c>
      <c r="C69" s="44" t="inlineStr">
        <is>
          <t>TRT170724T14</t>
        </is>
      </c>
      <c r="D69" s="44" t="inlineStr">
        <is>
          <t>22.07.2020</t>
        </is>
      </c>
      <c r="E69" s="44" t="inlineStr">
        <is>
          <t>17.07.2024</t>
        </is>
      </c>
      <c r="F69" s="44" t="n">
        <v>1456</v>
      </c>
      <c r="G69" s="44" t="inlineStr">
        <is>
          <t>3 ay</t>
        </is>
      </c>
      <c r="H69" s="15" t="n"/>
      <c r="I69" s="45" t="n">
        <v>3057001</v>
      </c>
      <c r="J69" s="45" t="n">
        <v>3013522.85</v>
      </c>
      <c r="K69" s="45" t="n">
        <v>1208000</v>
      </c>
      <c r="L69" s="45" t="n">
        <v>1196907.83</v>
      </c>
      <c r="M69" s="45" t="n">
        <v>0</v>
      </c>
      <c r="N69" s="45" t="n">
        <v>0</v>
      </c>
      <c r="O69" s="45" t="n">
        <v>1614824.08</v>
      </c>
      <c r="P69" s="45" t="n">
        <v>1599999.99494</v>
      </c>
      <c r="Q69" s="45" t="n">
        <v>24000</v>
      </c>
      <c r="R69" s="45" t="n">
        <v>23779.68</v>
      </c>
      <c r="S69" s="45" t="n">
        <v>2846824.08</v>
      </c>
      <c r="T69" s="45" t="n">
        <v>2820687.50494</v>
      </c>
      <c r="U69" s="15" t="n">
        <v>2.57</v>
      </c>
      <c r="V69" s="15" t="n">
        <v>10.69</v>
      </c>
      <c r="W69" s="49" t="n">
        <v>99.08199999999999</v>
      </c>
    </row>
    <row r="70">
      <c r="A70" s="44" t="inlineStr">
        <is>
          <t>TLREF Endeksli Senetler</t>
        </is>
      </c>
      <c r="B70" s="44" t="n">
        <v>2020</v>
      </c>
      <c r="C70" s="44" t="inlineStr">
        <is>
          <t>TRT170724T14</t>
        </is>
      </c>
      <c r="D70" s="44" t="inlineStr">
        <is>
          <t>12.08.2020</t>
        </is>
      </c>
      <c r="E70" s="44" t="inlineStr">
        <is>
          <t>17.07.2024</t>
        </is>
      </c>
      <c r="F70" s="44" t="n">
        <v>1435</v>
      </c>
      <c r="G70" s="44" t="inlineStr">
        <is>
          <t>3 ay</t>
        </is>
      </c>
      <c r="H70" s="15" t="n"/>
      <c r="I70" s="45" t="n">
        <v>3437000</v>
      </c>
      <c r="J70" s="45" t="n">
        <v>3367727.82</v>
      </c>
      <c r="K70" s="45" t="n">
        <v>2187000</v>
      </c>
      <c r="L70" s="45" t="n">
        <v>2168142.92</v>
      </c>
      <c r="M70" s="45" t="n">
        <v>0</v>
      </c>
      <c r="N70" s="45" t="n">
        <v>0</v>
      </c>
      <c r="O70" s="45" t="n">
        <v>1008694.946</v>
      </c>
      <c r="P70" s="45" t="n">
        <v>999999.99555</v>
      </c>
      <c r="Q70" s="45" t="n">
        <v>60010.288</v>
      </c>
      <c r="R70" s="45" t="n">
        <v>59492.99932</v>
      </c>
      <c r="S70" s="45" t="n">
        <v>3255705.234</v>
      </c>
      <c r="T70" s="45" t="n">
        <v>3227635.91487</v>
      </c>
      <c r="U70" s="15" t="n">
        <v>2.61</v>
      </c>
      <c r="V70" s="15" t="n">
        <v>10.86</v>
      </c>
      <c r="W70" s="49" t="n">
        <v>99.13800000000001</v>
      </c>
    </row>
    <row r="71">
      <c r="A71" s="44" t="inlineStr">
        <is>
          <t>TLREF Endeksli Senetler</t>
        </is>
      </c>
      <c r="B71" s="44" t="n">
        <v>2020</v>
      </c>
      <c r="C71" s="44" t="inlineStr">
        <is>
          <t>TRT170724T14</t>
        </is>
      </c>
      <c r="D71" s="44" t="inlineStr">
        <is>
          <t>16.09.2020</t>
        </is>
      </c>
      <c r="E71" s="44" t="inlineStr">
        <is>
          <t>17.07.2024</t>
        </is>
      </c>
      <c r="F71" s="44" t="n">
        <v>1400</v>
      </c>
      <c r="G71" s="44" t="inlineStr">
        <is>
          <t>3 ay</t>
        </is>
      </c>
      <c r="H71" s="15" t="n"/>
      <c r="I71" s="45" t="n">
        <v>3577000</v>
      </c>
      <c r="J71" s="45" t="n">
        <v>3565572.46</v>
      </c>
      <c r="K71" s="45" t="n">
        <v>825000</v>
      </c>
      <c r="L71" s="45" t="n">
        <v>834835.5</v>
      </c>
      <c r="M71" s="45" t="n">
        <v>143291.959</v>
      </c>
      <c r="N71" s="45" t="n">
        <v>144999.99915</v>
      </c>
      <c r="O71" s="45" t="n">
        <v>889398.368</v>
      </c>
      <c r="P71" s="45" t="n">
        <v>899999.99653</v>
      </c>
      <c r="Q71" s="45" t="n">
        <v>0</v>
      </c>
      <c r="R71" s="45" t="n">
        <v>0</v>
      </c>
      <c r="S71" s="45" t="n">
        <v>1857690.327</v>
      </c>
      <c r="T71" s="45" t="n">
        <v>1879835.49568</v>
      </c>
      <c r="U71" s="15" t="n">
        <v>2.53</v>
      </c>
      <c r="V71" s="15" t="n">
        <v>10.5</v>
      </c>
      <c r="W71" s="49" t="n">
        <v>101.192</v>
      </c>
    </row>
    <row r="72">
      <c r="A72" s="44" t="inlineStr">
        <is>
          <t>TLREF Endeksli Senetler</t>
        </is>
      </c>
      <c r="B72" s="44" t="n">
        <v>2020</v>
      </c>
      <c r="C72" s="44" t="inlineStr">
        <is>
          <t>TRT170724T14</t>
        </is>
      </c>
      <c r="D72" s="44" t="inlineStr">
        <is>
          <t>07.10.2020</t>
        </is>
      </c>
      <c r="E72" s="44" t="inlineStr">
        <is>
          <t>17.07.2024</t>
        </is>
      </c>
      <c r="F72" s="44" t="n">
        <v>1379</v>
      </c>
      <c r="G72" s="44" t="inlineStr">
        <is>
          <t>3 ay</t>
        </is>
      </c>
      <c r="H72" s="15" t="n"/>
      <c r="I72" s="45" t="n">
        <v>6318000</v>
      </c>
      <c r="J72" s="45" t="n">
        <v>6388712.55</v>
      </c>
      <c r="K72" s="45" t="n">
        <v>1773000</v>
      </c>
      <c r="L72" s="45" t="n">
        <v>1806340.93</v>
      </c>
      <c r="M72" s="45" t="n">
        <v>54966.627</v>
      </c>
      <c r="N72" s="45" t="n">
        <v>55999.99959</v>
      </c>
      <c r="O72" s="45" t="n">
        <v>1472320.373</v>
      </c>
      <c r="P72" s="45" t="n">
        <v>1499999.99599</v>
      </c>
      <c r="Q72" s="45" t="n">
        <v>399200</v>
      </c>
      <c r="R72" s="45" t="n">
        <v>406704.96</v>
      </c>
      <c r="S72" s="45" t="n">
        <v>3699487</v>
      </c>
      <c r="T72" s="45" t="n">
        <v>3769045.88558</v>
      </c>
      <c r="U72" s="15" t="n">
        <v>2.52</v>
      </c>
      <c r="V72" s="15" t="n">
        <v>10.46</v>
      </c>
      <c r="W72" s="49" t="n">
        <v>101.88</v>
      </c>
    </row>
    <row r="73">
      <c r="A73" s="44" t="inlineStr">
        <is>
          <t>TL Cinsi Kira Sertifikalari</t>
        </is>
      </c>
      <c r="B73" s="44" t="n">
        <v>2012</v>
      </c>
      <c r="C73" s="44" t="inlineStr">
        <is>
          <t>TRD011014T17</t>
        </is>
      </c>
      <c r="D73" s="44" t="inlineStr">
        <is>
          <t>03.10.2012</t>
        </is>
      </c>
      <c r="E73" s="44" t="inlineStr">
        <is>
          <t>01.10.2014</t>
        </is>
      </c>
      <c r="F73" s="44" t="n">
        <v>728</v>
      </c>
      <c r="G73" s="44" t="inlineStr">
        <is>
          <t>6 Ay</t>
        </is>
      </c>
      <c r="H73" s="15" t="n">
        <v>3.7</v>
      </c>
      <c r="I73" s="45" t="n"/>
      <c r="J73" s="45" t="n"/>
      <c r="K73" s="45" t="n">
        <v>1624482.56</v>
      </c>
      <c r="L73" s="45" t="n">
        <v>1624482.56</v>
      </c>
      <c r="M73" s="45" t="n"/>
      <c r="N73" s="45" t="n"/>
      <c r="O73" s="45" t="n"/>
      <c r="P73" s="45" t="n"/>
      <c r="Q73" s="45" t="n"/>
      <c r="R73" s="45" t="n"/>
      <c r="S73" s="45" t="n"/>
      <c r="T73" s="45" t="n"/>
      <c r="U73" s="15" t="n"/>
      <c r="V73" s="15" t="n"/>
      <c r="W73" s="49" t="n">
        <v>100</v>
      </c>
    </row>
    <row r="74">
      <c r="A74" s="44" t="inlineStr">
        <is>
          <t>TL Cinsi Kira Sertifikalari</t>
        </is>
      </c>
      <c r="B74" s="44" t="n">
        <v>2013</v>
      </c>
      <c r="C74" s="44" t="inlineStr">
        <is>
          <t>TRD180215T17</t>
        </is>
      </c>
      <c r="D74" s="44" t="inlineStr">
        <is>
          <t>20.02.2013</t>
        </is>
      </c>
      <c r="E74" s="44" t="inlineStr">
        <is>
          <t>18.02.2015</t>
        </is>
      </c>
      <c r="F74" s="44" t="n">
        <v>728</v>
      </c>
      <c r="G74" s="44" t="inlineStr">
        <is>
          <t>6 Ay</t>
        </is>
      </c>
      <c r="H74" s="15" t="n">
        <v>2.85</v>
      </c>
      <c r="I74" s="45" t="n"/>
      <c r="J74" s="45" t="n"/>
      <c r="K74" s="45" t="n">
        <v>1515326.823</v>
      </c>
      <c r="L74" s="45" t="n">
        <v>1515326.823</v>
      </c>
      <c r="M74" s="45" t="n"/>
      <c r="N74" s="45" t="n"/>
      <c r="O74" s="45" t="n"/>
      <c r="P74" s="45" t="n"/>
      <c r="Q74" s="45" t="n"/>
      <c r="R74" s="45" t="n"/>
      <c r="S74" s="45" t="n"/>
      <c r="T74" s="45" t="n"/>
      <c r="U74" s="15" t="n"/>
      <c r="V74" s="15" t="n"/>
      <c r="W74" s="49" t="n">
        <v>100</v>
      </c>
    </row>
    <row r="75">
      <c r="A75" s="44" t="inlineStr">
        <is>
          <t>TL Cinsi Kira Sertifikalari</t>
        </is>
      </c>
      <c r="B75" s="44" t="n">
        <v>2013</v>
      </c>
      <c r="C75" s="44" t="inlineStr">
        <is>
          <t>TRD190815T10</t>
        </is>
      </c>
      <c r="D75" s="44" t="inlineStr">
        <is>
          <t>21.08.2013</t>
        </is>
      </c>
      <c r="E75" s="44" t="inlineStr">
        <is>
          <t>19.08.2015</t>
        </is>
      </c>
      <c r="F75" s="44" t="n">
        <v>728</v>
      </c>
      <c r="G75" s="44" t="inlineStr">
        <is>
          <t>6 Ay</t>
        </is>
      </c>
      <c r="H75" s="15" t="n">
        <v>4.5</v>
      </c>
      <c r="I75" s="45" t="n"/>
      <c r="J75" s="45" t="n"/>
      <c r="K75" s="45" t="n">
        <v>1817300</v>
      </c>
      <c r="L75" s="45" t="n">
        <v>1817300</v>
      </c>
      <c r="M75" s="45" t="n"/>
      <c r="N75" s="45" t="n"/>
      <c r="O75" s="45" t="n"/>
      <c r="P75" s="45" t="n"/>
      <c r="Q75" s="45" t="n"/>
      <c r="R75" s="45" t="n"/>
      <c r="S75" s="45" t="n"/>
      <c r="T75" s="45" t="n"/>
      <c r="U75" s="15" t="n"/>
      <c r="V75" s="15" t="n"/>
      <c r="W75" s="49" t="n">
        <v>100</v>
      </c>
    </row>
    <row r="76">
      <c r="A76" s="44" t="inlineStr">
        <is>
          <t>TL Cinsi Kira Sertifikalari</t>
        </is>
      </c>
      <c r="B76" s="44" t="n">
        <v>2014</v>
      </c>
      <c r="C76" s="44" t="inlineStr">
        <is>
          <t>TRD170216T17</t>
        </is>
      </c>
      <c r="D76" s="44" t="inlineStr">
        <is>
          <t>19.02.2014</t>
        </is>
      </c>
      <c r="E76" s="44" t="inlineStr">
        <is>
          <t>17.02.2016</t>
        </is>
      </c>
      <c r="F76" s="44" t="n">
        <v>728</v>
      </c>
      <c r="G76" s="44" t="inlineStr">
        <is>
          <t>6 Ay</t>
        </is>
      </c>
      <c r="H76" s="15" t="n">
        <v>5.3</v>
      </c>
      <c r="I76" s="45" t="n"/>
      <c r="J76" s="45" t="n"/>
      <c r="K76" s="45" t="n">
        <v>1332820</v>
      </c>
      <c r="L76" s="45" t="n">
        <v>1332820</v>
      </c>
      <c r="M76" s="45" t="n"/>
      <c r="N76" s="45" t="n"/>
      <c r="O76" s="45" t="n"/>
      <c r="P76" s="45" t="n"/>
      <c r="Q76" s="45" t="n"/>
      <c r="R76" s="45" t="n"/>
      <c r="S76" s="45" t="n"/>
      <c r="T76" s="45" t="n"/>
      <c r="U76" s="15" t="n"/>
      <c r="V76" s="15" t="n"/>
      <c r="W76" s="49" t="n">
        <v>100</v>
      </c>
    </row>
    <row r="77">
      <c r="A77" s="44" t="inlineStr">
        <is>
          <t>TL Cinsi Kira Sertifikalari</t>
        </is>
      </c>
      <c r="B77" s="44" t="n">
        <v>2014</v>
      </c>
      <c r="C77" s="44" t="inlineStr">
        <is>
          <t>TRD280916T17</t>
        </is>
      </c>
      <c r="D77" s="44" t="inlineStr">
        <is>
          <t>01.10.2014</t>
        </is>
      </c>
      <c r="E77" s="44" t="inlineStr">
        <is>
          <t>28.09.2016</t>
        </is>
      </c>
      <c r="F77" s="44" t="n">
        <v>728</v>
      </c>
      <c r="G77" s="44" t="inlineStr">
        <is>
          <t>6 Ay</t>
        </is>
      </c>
      <c r="H77" s="15" t="n">
        <v>4.84</v>
      </c>
      <c r="I77" s="45" t="n"/>
      <c r="J77" s="45" t="n"/>
      <c r="K77" s="45" t="n">
        <v>1839964.07</v>
      </c>
      <c r="L77" s="45" t="n">
        <v>1839964.07</v>
      </c>
      <c r="M77" s="45" t="n"/>
      <c r="N77" s="45" t="n"/>
      <c r="O77" s="45" t="n"/>
      <c r="P77" s="45" t="n"/>
      <c r="Q77" s="45" t="n"/>
      <c r="R77" s="45" t="n"/>
      <c r="S77" s="45" t="n"/>
      <c r="T77" s="45" t="n"/>
      <c r="U77" s="15" t="n"/>
      <c r="V77" s="15" t="n"/>
      <c r="W77" s="49" t="n">
        <v>100</v>
      </c>
    </row>
    <row r="78">
      <c r="A78" s="44" t="inlineStr">
        <is>
          <t>TL Cinsi Kira Sertifikalari</t>
        </is>
      </c>
      <c r="B78" s="44" t="n">
        <v>2015</v>
      </c>
      <c r="C78" s="44" t="inlineStr">
        <is>
          <t>TRD150217T18</t>
        </is>
      </c>
      <c r="D78" s="44" t="inlineStr">
        <is>
          <t>18.02.2015</t>
        </is>
      </c>
      <c r="E78" s="44" t="inlineStr">
        <is>
          <t>15.02.2017</t>
        </is>
      </c>
      <c r="F78" s="44" t="n">
        <v>728</v>
      </c>
      <c r="G78" s="44" t="inlineStr">
        <is>
          <t>6 Ay</t>
        </is>
      </c>
      <c r="H78" s="15" t="n">
        <v>3.9</v>
      </c>
      <c r="I78" s="45" t="n"/>
      <c r="J78" s="45" t="n"/>
      <c r="K78" s="45" t="n">
        <v>1801515.314</v>
      </c>
      <c r="L78" s="45" t="n">
        <v>1801515.314</v>
      </c>
      <c r="M78" s="45" t="n"/>
      <c r="N78" s="45" t="n"/>
      <c r="O78" s="45" t="n"/>
      <c r="P78" s="45" t="n"/>
      <c r="Q78" s="45" t="n"/>
      <c r="R78" s="45" t="n"/>
      <c r="S78" s="45" t="n"/>
      <c r="T78" s="45" t="n"/>
      <c r="U78" s="15" t="n"/>
      <c r="V78" s="15" t="n"/>
      <c r="W78" s="49" t="n">
        <v>100</v>
      </c>
    </row>
    <row r="79">
      <c r="A79" s="44" t="inlineStr">
        <is>
          <t>TL Cinsi Kira Sertifikalari</t>
        </is>
      </c>
      <c r="B79" s="44" t="n">
        <v>2015</v>
      </c>
      <c r="C79" s="44" t="inlineStr">
        <is>
          <t>TRD160817T11</t>
        </is>
      </c>
      <c r="D79" s="44" t="inlineStr">
        <is>
          <t>19.08.2015</t>
        </is>
      </c>
      <c r="E79" s="44" t="inlineStr">
        <is>
          <t>16.08.2017</t>
        </is>
      </c>
      <c r="F79" s="44" t="n">
        <v>728</v>
      </c>
      <c r="G79" s="44" t="inlineStr">
        <is>
          <t>6 Ay</t>
        </is>
      </c>
      <c r="H79" s="15" t="n">
        <v>4.98</v>
      </c>
      <c r="I79" s="45" t="n"/>
      <c r="J79" s="45" t="n"/>
      <c r="K79" s="45" t="n">
        <v>1588783.919</v>
      </c>
      <c r="L79" s="45" t="n">
        <v>1588783.919</v>
      </c>
      <c r="M79" s="45" t="n"/>
      <c r="N79" s="45" t="n"/>
      <c r="O79" s="45" t="n"/>
      <c r="P79" s="45" t="n"/>
      <c r="Q79" s="45" t="n"/>
      <c r="R79" s="45" t="n"/>
      <c r="S79" s="45" t="n"/>
      <c r="T79" s="45" t="n"/>
      <c r="U79" s="15" t="n"/>
      <c r="V79" s="15" t="n"/>
      <c r="W79" s="49" t="n">
        <v>100</v>
      </c>
    </row>
    <row r="80">
      <c r="A80" s="44" t="inlineStr">
        <is>
          <t>TL Cinsi Kira Sertifikalari</t>
        </is>
      </c>
      <c r="B80" s="44" t="n">
        <v>2016</v>
      </c>
      <c r="C80" s="44" t="inlineStr">
        <is>
          <t>TRD140218T18</t>
        </is>
      </c>
      <c r="D80" s="44" t="inlineStr">
        <is>
          <t>17.02.2016</t>
        </is>
      </c>
      <c r="E80" s="44" t="inlineStr">
        <is>
          <t>14.02.2018</t>
        </is>
      </c>
      <c r="F80" s="44" t="n">
        <v>728</v>
      </c>
      <c r="G80" s="44" t="inlineStr">
        <is>
          <t>6 Ay</t>
        </is>
      </c>
      <c r="H80" s="15" t="n">
        <v>5.32</v>
      </c>
      <c r="I80" s="45" t="n"/>
      <c r="J80" s="45" t="n"/>
      <c r="K80" s="45" t="n">
        <v>1900352.27</v>
      </c>
      <c r="L80" s="45" t="n">
        <v>1900352.27</v>
      </c>
      <c r="M80" s="45" t="n"/>
      <c r="N80" s="45" t="n"/>
      <c r="O80" s="45" t="n"/>
      <c r="P80" s="45" t="n"/>
      <c r="Q80" s="45" t="n"/>
      <c r="R80" s="45" t="n"/>
      <c r="S80" s="45" t="n"/>
      <c r="T80" s="45" t="n"/>
      <c r="U80" s="15" t="n"/>
      <c r="V80" s="15" t="n"/>
      <c r="W80" s="49" t="n">
        <v>100</v>
      </c>
    </row>
    <row r="81">
      <c r="A81" s="44" t="inlineStr">
        <is>
          <t>TL Cinsi Kira Sertifikalari</t>
        </is>
      </c>
      <c r="B81" s="44" t="n">
        <v>2016</v>
      </c>
      <c r="C81" s="44" t="inlineStr">
        <is>
          <t>TRD140721T18</t>
        </is>
      </c>
      <c r="D81" s="44" t="inlineStr">
        <is>
          <t>20.07.2016</t>
        </is>
      </c>
      <c r="E81" s="44" t="inlineStr">
        <is>
          <t>14.07.2021</t>
        </is>
      </c>
      <c r="F81" s="44" t="n">
        <v>1820</v>
      </c>
      <c r="G81" s="44" t="inlineStr">
        <is>
          <t>6 Ay</t>
        </is>
      </c>
      <c r="H81" s="15" t="n">
        <v>4.7</v>
      </c>
      <c r="I81" s="45" t="n"/>
      <c r="J81" s="45" t="n"/>
      <c r="K81" s="45" t="n">
        <v>907500</v>
      </c>
      <c r="L81" s="45" t="n">
        <v>907500</v>
      </c>
      <c r="M81" s="45" t="n"/>
      <c r="N81" s="45" t="n"/>
      <c r="O81" s="45" t="n"/>
      <c r="P81" s="45" t="n"/>
      <c r="Q81" s="45" t="n"/>
      <c r="R81" s="45" t="n"/>
      <c r="S81" s="45" t="n"/>
      <c r="T81" s="45" t="n"/>
      <c r="U81" s="15" t="n"/>
      <c r="V81" s="15" t="n"/>
      <c r="W81" s="49" t="n">
        <v>100</v>
      </c>
    </row>
    <row r="82">
      <c r="A82" s="44" t="inlineStr">
        <is>
          <t>TL Cinsi Kira Sertifikalari</t>
        </is>
      </c>
      <c r="B82" s="44" t="n">
        <v>2016</v>
      </c>
      <c r="C82" s="44" t="inlineStr">
        <is>
          <t>TRD260918T17</t>
        </is>
      </c>
      <c r="D82" s="44" t="inlineStr">
        <is>
          <t>28.09.2016</t>
        </is>
      </c>
      <c r="E82" s="44" t="inlineStr">
        <is>
          <t>26.09.2018</t>
        </is>
      </c>
      <c r="F82" s="44" t="n">
        <v>728</v>
      </c>
      <c r="G82" s="44" t="inlineStr">
        <is>
          <t>6 Ay</t>
        </is>
      </c>
      <c r="H82" s="15" t="n">
        <v>4.4</v>
      </c>
      <c r="I82" s="45" t="n"/>
      <c r="J82" s="45" t="n"/>
      <c r="K82" s="45" t="n">
        <v>1102839.178</v>
      </c>
      <c r="L82" s="45" t="n">
        <v>1102839.178</v>
      </c>
      <c r="M82" s="45" t="n"/>
      <c r="N82" s="45" t="n"/>
      <c r="O82" s="45" t="n"/>
      <c r="P82" s="45" t="n"/>
      <c r="Q82" s="45" t="n"/>
      <c r="R82" s="45" t="n"/>
      <c r="S82" s="45" t="n"/>
      <c r="T82" s="45" t="n"/>
      <c r="U82" s="15" t="n"/>
      <c r="V82" s="15" t="n"/>
      <c r="W82" s="49" t="n">
        <v>100</v>
      </c>
    </row>
    <row r="83">
      <c r="A83" s="44" t="inlineStr">
        <is>
          <t>TL Cinsi Kira Sertifikalari</t>
        </is>
      </c>
      <c r="B83" s="44" t="n">
        <v>2016</v>
      </c>
      <c r="C83" s="44" t="inlineStr">
        <is>
          <t>TRD220921T16</t>
        </is>
      </c>
      <c r="D83" s="44" t="inlineStr">
        <is>
          <t>28.09.2016</t>
        </is>
      </c>
      <c r="E83" s="44" t="inlineStr">
        <is>
          <t>22.09.2021</t>
        </is>
      </c>
      <c r="F83" s="44" t="n">
        <v>1820</v>
      </c>
      <c r="G83" s="44" t="inlineStr">
        <is>
          <t>6 Ay</t>
        </is>
      </c>
      <c r="H83" s="15" t="n">
        <v>1.12</v>
      </c>
      <c r="I83" s="45" t="n"/>
      <c r="J83" s="45" t="n"/>
      <c r="K83" s="45" t="n">
        <v>1066565.092</v>
      </c>
      <c r="L83" s="45" t="n">
        <v>1066565.092</v>
      </c>
      <c r="M83" s="45" t="n"/>
      <c r="N83" s="45" t="n"/>
      <c r="O83" s="45" t="n"/>
      <c r="P83" s="45" t="n"/>
      <c r="Q83" s="45" t="n"/>
      <c r="R83" s="45" t="n"/>
      <c r="S83" s="45" t="n"/>
      <c r="T83" s="45" t="n"/>
      <c r="U83" s="15" t="n"/>
      <c r="V83" s="15" t="n"/>
      <c r="W83" s="49" t="n">
        <v>100</v>
      </c>
    </row>
    <row r="84">
      <c r="A84" s="44" t="inlineStr">
        <is>
          <t>TL Cinsi Kira Sertifikalari</t>
        </is>
      </c>
      <c r="B84" s="44" t="n">
        <v>2016</v>
      </c>
      <c r="C84" s="44" t="inlineStr">
        <is>
          <t>TRD211118T18</t>
        </is>
      </c>
      <c r="D84" s="44" t="inlineStr">
        <is>
          <t>23.11.2016</t>
        </is>
      </c>
      <c r="E84" s="44" t="inlineStr">
        <is>
          <t>21.11.2018</t>
        </is>
      </c>
      <c r="F84" s="44" t="n">
        <v>728</v>
      </c>
      <c r="G84" s="44" t="inlineStr">
        <is>
          <t>6 Ay</t>
        </is>
      </c>
      <c r="H84" s="15" t="n">
        <v>5.08</v>
      </c>
      <c r="I84" s="45" t="n"/>
      <c r="J84" s="45" t="n"/>
      <c r="K84" s="45" t="n">
        <v>1285000</v>
      </c>
      <c r="L84" s="45" t="n">
        <v>1285000</v>
      </c>
      <c r="M84" s="45" t="n"/>
      <c r="N84" s="45" t="n"/>
      <c r="O84" s="45" t="n"/>
      <c r="P84" s="45" t="n"/>
      <c r="Q84" s="45" t="n"/>
      <c r="R84" s="45" t="n"/>
      <c r="S84" s="45" t="n"/>
      <c r="T84" s="45" t="n"/>
      <c r="U84" s="15" t="n"/>
      <c r="V84" s="15" t="n"/>
      <c r="W84" s="49" t="n">
        <v>100</v>
      </c>
    </row>
    <row r="85">
      <c r="A85" s="44" t="inlineStr">
        <is>
          <t>TL Cinsi Kira Sertifikalari</t>
        </is>
      </c>
      <c r="B85" s="44" t="n">
        <v>2017</v>
      </c>
      <c r="C85" s="44" t="inlineStr">
        <is>
          <t>TRD130219T18</t>
        </is>
      </c>
      <c r="D85" s="44" t="inlineStr">
        <is>
          <t>15.02.2017</t>
        </is>
      </c>
      <c r="E85" s="44" t="inlineStr">
        <is>
          <t>13.02.2019</t>
        </is>
      </c>
      <c r="F85" s="44" t="n">
        <v>728</v>
      </c>
      <c r="G85" s="44" t="inlineStr">
        <is>
          <t>6 Ay</t>
        </is>
      </c>
      <c r="H85" s="15" t="n">
        <v>5.52</v>
      </c>
      <c r="I85" s="45" t="n"/>
      <c r="J85" s="45" t="n"/>
      <c r="K85" s="45" t="n">
        <v>2023444.792</v>
      </c>
      <c r="L85" s="45" t="n">
        <v>2023444.792</v>
      </c>
      <c r="M85" s="45" t="n"/>
      <c r="N85" s="45" t="n"/>
      <c r="O85" s="45" t="n"/>
      <c r="P85" s="45" t="n"/>
      <c r="Q85" s="45" t="n"/>
      <c r="R85" s="45" t="n"/>
      <c r="S85" s="45" t="n"/>
      <c r="T85" s="45" t="n"/>
      <c r="U85" s="15" t="n"/>
      <c r="V85" s="15" t="n"/>
      <c r="W85" s="49" t="n">
        <v>100</v>
      </c>
    </row>
    <row r="86">
      <c r="A86" s="44" t="inlineStr">
        <is>
          <t>TL Cinsi Kira Sertifikalari</t>
        </is>
      </c>
      <c r="B86" s="44" t="n">
        <v>2017</v>
      </c>
      <c r="C86" s="44" t="inlineStr">
        <is>
          <t>TRD190619T18</t>
        </is>
      </c>
      <c r="D86" s="44" t="inlineStr">
        <is>
          <t>21.06.2017</t>
        </is>
      </c>
      <c r="E86" s="44" t="inlineStr">
        <is>
          <t>19.06.2019</t>
        </is>
      </c>
      <c r="F86" s="44" t="n">
        <v>728</v>
      </c>
      <c r="G86" s="44" t="inlineStr">
        <is>
          <t>6 Ay</t>
        </is>
      </c>
      <c r="H86" s="15" t="n">
        <v>5.36</v>
      </c>
      <c r="I86" s="45" t="n"/>
      <c r="J86" s="45" t="n"/>
      <c r="K86" s="45" t="n">
        <v>503000</v>
      </c>
      <c r="L86" s="45" t="n">
        <v>503000</v>
      </c>
      <c r="M86" s="45" t="n"/>
      <c r="N86" s="45" t="n"/>
      <c r="O86" s="45" t="n"/>
      <c r="P86" s="45" t="n"/>
      <c r="Q86" s="45" t="n"/>
      <c r="R86" s="45" t="n"/>
      <c r="S86" s="45" t="n"/>
      <c r="T86" s="45" t="n"/>
      <c r="U86" s="15" t="n"/>
      <c r="V86" s="15" t="n"/>
      <c r="W86" s="49" t="n">
        <v>100</v>
      </c>
    </row>
    <row r="87">
      <c r="A87" s="44" t="inlineStr">
        <is>
          <t>TL Cinsi Kira Sertifikalari</t>
        </is>
      </c>
      <c r="B87" s="44" t="n">
        <v>2017</v>
      </c>
      <c r="C87" s="44" t="inlineStr">
        <is>
          <t>TRD100822T10</t>
        </is>
      </c>
      <c r="D87" s="44" t="inlineStr">
        <is>
          <t>16.08.2017</t>
        </is>
      </c>
      <c r="E87" s="44" t="inlineStr">
        <is>
          <t>10.08.2022</t>
        </is>
      </c>
      <c r="F87" s="44" t="n">
        <v>1820</v>
      </c>
      <c r="G87" s="44" t="inlineStr">
        <is>
          <t>6 Ay</t>
        </is>
      </c>
      <c r="H87" s="15" t="n">
        <v>5.38</v>
      </c>
      <c r="I87" s="45" t="n"/>
      <c r="J87" s="45" t="n"/>
      <c r="K87" s="45" t="n">
        <v>1183520</v>
      </c>
      <c r="L87" s="45" t="n">
        <v>1183520</v>
      </c>
      <c r="M87" s="45" t="n"/>
      <c r="N87" s="45" t="n"/>
      <c r="O87" s="45" t="n"/>
      <c r="P87" s="45" t="n"/>
      <c r="Q87" s="45" t="n"/>
      <c r="R87" s="45" t="n"/>
      <c r="S87" s="45" t="n"/>
      <c r="T87" s="45" t="n"/>
      <c r="U87" s="15" t="n"/>
      <c r="V87" s="15" t="n"/>
      <c r="W87" s="49" t="n">
        <v>100</v>
      </c>
    </row>
    <row r="88">
      <c r="A88" s="44" t="inlineStr">
        <is>
          <t>TL Cinsi Kira Sertifikalari</t>
        </is>
      </c>
      <c r="B88" s="44" t="n">
        <v>2017</v>
      </c>
      <c r="C88" s="44" t="inlineStr">
        <is>
          <t>TRD121022T14</t>
        </is>
      </c>
      <c r="D88" s="44" t="inlineStr">
        <is>
          <t>18.10.2017</t>
        </is>
      </c>
      <c r="E88" s="44" t="inlineStr">
        <is>
          <t>12.10.2022</t>
        </is>
      </c>
      <c r="F88" s="44" t="n">
        <v>1820</v>
      </c>
      <c r="G88" s="44" t="inlineStr">
        <is>
          <t>6 Ay</t>
        </is>
      </c>
      <c r="H88" s="15" t="n">
        <v>1.4</v>
      </c>
      <c r="I88" s="45" t="n"/>
      <c r="J88" s="45" t="n"/>
      <c r="K88" s="45" t="n">
        <v>550000</v>
      </c>
      <c r="L88" s="45" t="n">
        <v>550000</v>
      </c>
      <c r="M88" s="45" t="n"/>
      <c r="N88" s="45" t="n"/>
      <c r="O88" s="45" t="n"/>
      <c r="P88" s="45" t="n"/>
      <c r="Q88" s="45" t="n"/>
      <c r="R88" s="45" t="n"/>
      <c r="S88" s="45" t="n"/>
      <c r="T88" s="45" t="n"/>
      <c r="U88" s="15" t="n"/>
      <c r="V88" s="15" t="n"/>
      <c r="W88" s="49" t="n">
        <v>100</v>
      </c>
    </row>
    <row r="89">
      <c r="A89" s="44" t="inlineStr">
        <is>
          <t>TL Cinsi Kira Sertifikalari</t>
        </is>
      </c>
      <c r="B89" s="44" t="n">
        <v>2018</v>
      </c>
      <c r="C89" s="44" t="inlineStr">
        <is>
          <t>TRD120220T16</t>
        </is>
      </c>
      <c r="D89" s="44" t="inlineStr">
        <is>
          <t>14.02.2018</t>
        </is>
      </c>
      <c r="E89" s="44" t="inlineStr">
        <is>
          <t>12.02.2020</t>
        </is>
      </c>
      <c r="F89" s="44" t="n">
        <v>728</v>
      </c>
      <c r="G89" s="44" t="inlineStr">
        <is>
          <t>6 Ay</t>
        </is>
      </c>
      <c r="H89" s="15" t="n">
        <v>6.36</v>
      </c>
      <c r="I89" s="45" t="n"/>
      <c r="J89" s="45" t="n"/>
      <c r="K89" s="45" t="n">
        <v>1876205</v>
      </c>
      <c r="L89" s="45" t="n">
        <v>1876205</v>
      </c>
      <c r="M89" s="45" t="n"/>
      <c r="N89" s="45" t="n"/>
      <c r="O89" s="45" t="n"/>
      <c r="P89" s="45" t="n"/>
      <c r="Q89" s="45" t="n"/>
      <c r="R89" s="45" t="n"/>
      <c r="S89" s="45" t="n"/>
      <c r="T89" s="45" t="n"/>
      <c r="U89" s="15" t="n"/>
      <c r="V89" s="15" t="n"/>
      <c r="W89" s="49" t="n">
        <v>100</v>
      </c>
    </row>
    <row r="90">
      <c r="A90" s="44" t="inlineStr">
        <is>
          <t>TL Cinsi Kira Sertifikalari</t>
        </is>
      </c>
      <c r="B90" s="44" t="n">
        <v>2018</v>
      </c>
      <c r="C90" s="44" t="inlineStr">
        <is>
          <t>TRD070623T16</t>
        </is>
      </c>
      <c r="D90" s="44" t="inlineStr">
        <is>
          <t>13.06.2018</t>
        </is>
      </c>
      <c r="E90" s="44" t="inlineStr">
        <is>
          <t>07.06.2023</t>
        </is>
      </c>
      <c r="F90" s="44" t="n">
        <v>1820</v>
      </c>
      <c r="G90" s="44" t="inlineStr">
        <is>
          <t>6 Ay</t>
        </is>
      </c>
      <c r="H90" s="15" t="n">
        <v>1.58</v>
      </c>
      <c r="I90" s="45" t="n"/>
      <c r="J90" s="45" t="n"/>
      <c r="K90" s="45" t="n">
        <v>436600</v>
      </c>
      <c r="L90" s="45" t="n">
        <v>436600</v>
      </c>
      <c r="M90" s="45" t="n"/>
      <c r="N90" s="45" t="n"/>
      <c r="O90" s="45" t="n"/>
      <c r="P90" s="45" t="n"/>
      <c r="Q90" s="45" t="n"/>
      <c r="R90" s="45" t="n"/>
      <c r="S90" s="45" t="n"/>
      <c r="T90" s="45" t="n"/>
      <c r="U90" s="15" t="n"/>
      <c r="V90" s="15" t="n"/>
      <c r="W90" s="49" t="n">
        <v>100</v>
      </c>
    </row>
    <row r="91">
      <c r="A91" s="44" t="inlineStr">
        <is>
          <t>TL Cinsi Kira Sertifikalari</t>
        </is>
      </c>
      <c r="B91" s="44" t="n">
        <v>2018</v>
      </c>
      <c r="C91" s="44" t="inlineStr">
        <is>
          <t>TRD230920T24</t>
        </is>
      </c>
      <c r="D91" s="44" t="inlineStr">
        <is>
          <t>26.09.2018</t>
        </is>
      </c>
      <c r="E91" s="44" t="inlineStr">
        <is>
          <t>23.09.2020</t>
        </is>
      </c>
      <c r="F91" s="44" t="n">
        <v>728</v>
      </c>
      <c r="G91" s="44" t="inlineStr">
        <is>
          <t>6 Ay</t>
        </is>
      </c>
      <c r="H91" s="15" t="n">
        <v>12.2</v>
      </c>
      <c r="I91" s="45" t="n"/>
      <c r="J91" s="45" t="n"/>
      <c r="K91" s="45" t="n">
        <v>1700000</v>
      </c>
      <c r="L91" s="45" t="n">
        <v>1700000</v>
      </c>
      <c r="M91" s="45" t="n"/>
      <c r="N91" s="45" t="n"/>
      <c r="O91" s="45" t="n"/>
      <c r="P91" s="45" t="n"/>
      <c r="Q91" s="45" t="n"/>
      <c r="R91" s="45" t="n"/>
      <c r="S91" s="45" t="n"/>
      <c r="T91" s="45" t="n"/>
      <c r="U91" s="15" t="n"/>
      <c r="V91" s="15" t="n"/>
      <c r="W91" s="49" t="n">
        <v>100</v>
      </c>
    </row>
    <row r="92">
      <c r="A92" s="44" t="inlineStr">
        <is>
          <t>TL Cinsi Kira Sertifikalari</t>
        </is>
      </c>
      <c r="B92" s="44" t="n">
        <v>2018</v>
      </c>
      <c r="C92" s="44" t="inlineStr">
        <is>
          <t>TRD181120T19</t>
        </is>
      </c>
      <c r="D92" s="44" t="inlineStr">
        <is>
          <t>21.11.2018</t>
        </is>
      </c>
      <c r="E92" s="44" t="inlineStr">
        <is>
          <t>18.11.2020</t>
        </is>
      </c>
      <c r="F92" s="44" t="n">
        <v>728</v>
      </c>
      <c r="G92" s="44" t="inlineStr">
        <is>
          <t>6 Ay</t>
        </is>
      </c>
      <c r="H92" s="15" t="n">
        <v>8.949999999999999</v>
      </c>
      <c r="I92" s="45" t="n"/>
      <c r="J92" s="45" t="n"/>
      <c r="K92" s="45" t="n">
        <v>3240870</v>
      </c>
      <c r="L92" s="45" t="n">
        <v>3240870</v>
      </c>
      <c r="M92" s="45" t="n"/>
      <c r="N92" s="45" t="n"/>
      <c r="O92" s="45" t="n"/>
      <c r="P92" s="45" t="n"/>
      <c r="Q92" s="45" t="n"/>
      <c r="R92" s="45" t="n"/>
      <c r="S92" s="45" t="n"/>
      <c r="T92" s="45" t="n"/>
      <c r="U92" s="15" t="n"/>
      <c r="V92" s="15" t="n"/>
      <c r="W92" s="49" t="n">
        <v>100</v>
      </c>
    </row>
    <row r="93">
      <c r="A93" s="44" t="inlineStr">
        <is>
          <t>TL Cinsi Kira Sertifikalari</t>
        </is>
      </c>
      <c r="B93" s="44" t="n">
        <v>2019</v>
      </c>
      <c r="C93" s="44" t="inlineStr">
        <is>
          <t>TRD100221T17</t>
        </is>
      </c>
      <c r="D93" s="44" t="inlineStr">
        <is>
          <t>13.02.2019</t>
        </is>
      </c>
      <c r="E93" s="44" t="inlineStr">
        <is>
          <t>10.02.2021</t>
        </is>
      </c>
      <c r="F93" s="44" t="n">
        <v>728</v>
      </c>
      <c r="G93" s="44" t="inlineStr">
        <is>
          <t>6 Ay</t>
        </is>
      </c>
      <c r="H93" s="15" t="n">
        <v>8.800000000000001</v>
      </c>
      <c r="I93" s="45" t="n"/>
      <c r="J93" s="45" t="n"/>
      <c r="K93" s="45" t="n">
        <v>1479130</v>
      </c>
      <c r="L93" s="45" t="n">
        <v>1479130</v>
      </c>
      <c r="M93" s="45" t="n"/>
      <c r="N93" s="45" t="n"/>
      <c r="O93" s="45" t="n"/>
      <c r="P93" s="45" t="n"/>
      <c r="Q93" s="45" t="n"/>
      <c r="R93" s="45" t="n"/>
      <c r="S93" s="45" t="n"/>
      <c r="T93" s="45" t="n"/>
      <c r="U93" s="15" t="n"/>
      <c r="V93" s="15" t="n"/>
      <c r="W93" s="49" t="n">
        <v>100</v>
      </c>
    </row>
    <row r="94">
      <c r="A94" s="44" t="inlineStr">
        <is>
          <t>TL Cinsi Kira Sertifikalari</t>
        </is>
      </c>
      <c r="B94" s="44" t="n">
        <v>2019</v>
      </c>
      <c r="C94" s="44" t="inlineStr">
        <is>
          <t>TRD160621T17</t>
        </is>
      </c>
      <c r="D94" s="44" t="inlineStr">
        <is>
          <t>19.06.2019</t>
        </is>
      </c>
      <c r="E94" s="44" t="inlineStr">
        <is>
          <t>16.06.2021</t>
        </is>
      </c>
      <c r="F94" s="44" t="n">
        <v>728</v>
      </c>
      <c r="G94" s="44" t="inlineStr">
        <is>
          <t>6 Ay</t>
        </is>
      </c>
      <c r="H94" s="15" t="n">
        <v>10.55</v>
      </c>
      <c r="I94" s="45" t="n"/>
      <c r="J94" s="45" t="n"/>
      <c r="K94" s="45" t="n">
        <v>1605960</v>
      </c>
      <c r="L94" s="45" t="n">
        <v>1605960</v>
      </c>
      <c r="M94" s="45" t="n"/>
      <c r="N94" s="45" t="n"/>
      <c r="O94" s="45" t="n"/>
      <c r="P94" s="45" t="n"/>
      <c r="Q94" s="45" t="n"/>
      <c r="R94" s="45" t="n"/>
      <c r="S94" s="45" t="n"/>
      <c r="T94" s="45" t="n"/>
      <c r="U94" s="15" t="n"/>
      <c r="V94" s="15" t="n"/>
      <c r="W94" s="49" t="n">
        <v>100</v>
      </c>
    </row>
    <row r="95">
      <c r="A95" s="44" t="inlineStr">
        <is>
          <t>TL Cinsi Kira Sertifikalari</t>
        </is>
      </c>
      <c r="B95" s="44" t="n">
        <v>2019</v>
      </c>
      <c r="C95" s="44" t="inlineStr">
        <is>
          <t>TRD180821T13</t>
        </is>
      </c>
      <c r="D95" s="44" t="inlineStr">
        <is>
          <t>21.08.2019</t>
        </is>
      </c>
      <c r="E95" s="44" t="inlineStr">
        <is>
          <t>18.08.2021</t>
        </is>
      </c>
      <c r="F95" s="44" t="n">
        <v>728</v>
      </c>
      <c r="G95" s="44" t="inlineStr">
        <is>
          <t>6 Ay</t>
        </is>
      </c>
      <c r="H95" s="15" t="n">
        <v>7.4</v>
      </c>
      <c r="I95" s="45" t="n"/>
      <c r="J95" s="45" t="n"/>
      <c r="K95" s="45" t="n">
        <v>846500</v>
      </c>
      <c r="L95" s="45" t="n">
        <v>846500</v>
      </c>
      <c r="M95" s="45" t="n"/>
      <c r="N95" s="45" t="n"/>
      <c r="O95" s="45" t="n"/>
      <c r="P95" s="45" t="n"/>
      <c r="Q95" s="45" t="n"/>
      <c r="R95" s="45" t="n"/>
      <c r="S95" s="45" t="n"/>
      <c r="T95" s="45" t="n"/>
      <c r="U95" s="15" t="n"/>
      <c r="V95" s="15" t="n"/>
      <c r="W95" s="49" t="n">
        <v>100</v>
      </c>
    </row>
    <row r="96">
      <c r="A96" s="44" t="inlineStr">
        <is>
          <t>TL Cinsi Kira Sertifikalari</t>
        </is>
      </c>
      <c r="B96" s="44" t="n">
        <v>2019</v>
      </c>
      <c r="C96" s="44" t="inlineStr">
        <is>
          <t>TRD301024T10</t>
        </is>
      </c>
      <c r="D96" s="44" t="inlineStr">
        <is>
          <t>06.11.2019</t>
        </is>
      </c>
      <c r="E96" s="44" t="inlineStr">
        <is>
          <t>30.10.2024</t>
        </is>
      </c>
      <c r="F96" s="44" t="n">
        <v>1820</v>
      </c>
      <c r="G96" s="44" t="inlineStr">
        <is>
          <t>6 Ay</t>
        </is>
      </c>
      <c r="H96" s="15" t="n">
        <v>1.63</v>
      </c>
      <c r="I96" s="45" t="n"/>
      <c r="J96" s="45" t="n"/>
      <c r="K96" s="45" t="n">
        <v>1721400</v>
      </c>
      <c r="L96" s="45" t="n">
        <v>1721400</v>
      </c>
      <c r="M96" s="45" t="n"/>
      <c r="N96" s="45" t="n"/>
      <c r="O96" s="45" t="n"/>
      <c r="P96" s="45" t="n"/>
      <c r="Q96" s="45" t="n"/>
      <c r="R96" s="45" t="n"/>
      <c r="S96" s="45" t="n"/>
      <c r="T96" s="45" t="n"/>
      <c r="U96" s="15" t="n"/>
      <c r="V96" s="15" t="n"/>
      <c r="W96" s="49" t="n">
        <v>100</v>
      </c>
    </row>
    <row r="97">
      <c r="A97" s="44" t="inlineStr">
        <is>
          <t>TL Cinsi Kira Sertifikalari</t>
        </is>
      </c>
      <c r="B97" s="44" t="n">
        <v>2019</v>
      </c>
      <c r="C97" s="44" t="inlineStr">
        <is>
          <t>TRD151221T10</t>
        </is>
      </c>
      <c r="D97" s="44" t="inlineStr">
        <is>
          <t>18.12.2019</t>
        </is>
      </c>
      <c r="E97" s="44" t="inlineStr">
        <is>
          <t>15.12.2021</t>
        </is>
      </c>
      <c r="F97" s="44" t="n">
        <v>728</v>
      </c>
      <c r="G97" s="44" t="inlineStr">
        <is>
          <t>6 Ay</t>
        </is>
      </c>
      <c r="H97" s="15" t="n">
        <v>5.75</v>
      </c>
      <c r="I97" s="45" t="n"/>
      <c r="J97" s="45" t="n"/>
      <c r="K97" s="45" t="n">
        <v>1948180</v>
      </c>
      <c r="L97" s="45" t="n">
        <v>1948180</v>
      </c>
      <c r="M97" s="45" t="n"/>
      <c r="N97" s="45" t="n"/>
      <c r="O97" s="45" t="n"/>
      <c r="P97" s="45" t="n"/>
      <c r="Q97" s="45" t="n"/>
      <c r="R97" s="45" t="n"/>
      <c r="S97" s="45" t="n"/>
      <c r="T97" s="45" t="n"/>
      <c r="U97" s="15" t="n"/>
      <c r="V97" s="15" t="n"/>
      <c r="W97" s="49" t="n">
        <v>100</v>
      </c>
    </row>
    <row r="98">
      <c r="A98" s="44" t="inlineStr">
        <is>
          <t>TL Cinsi Kira Sertifikalari</t>
        </is>
      </c>
      <c r="B98" s="44" t="n">
        <v>2020</v>
      </c>
      <c r="C98" s="44" t="inlineStr">
        <is>
          <t>TRD260122T19</t>
        </is>
      </c>
      <c r="D98" s="44" t="inlineStr">
        <is>
          <t>29.01.2020</t>
        </is>
      </c>
      <c r="E98" s="44" t="inlineStr">
        <is>
          <t>26.01.2022</t>
        </is>
      </c>
      <c r="F98" s="44" t="n">
        <v>728</v>
      </c>
      <c r="G98" s="44" t="inlineStr">
        <is>
          <t>6 Ay</t>
        </is>
      </c>
      <c r="H98" s="15" t="n">
        <v>4.88</v>
      </c>
      <c r="I98" s="45" t="n"/>
      <c r="J98" s="45" t="n"/>
      <c r="K98" s="45" t="n">
        <v>2925980</v>
      </c>
      <c r="L98" s="45" t="n">
        <v>2925980</v>
      </c>
      <c r="M98" s="45" t="n"/>
      <c r="N98" s="45" t="n"/>
      <c r="O98" s="45" t="n"/>
      <c r="P98" s="45" t="n"/>
      <c r="Q98" s="45" t="n"/>
      <c r="R98" s="45" t="n"/>
      <c r="S98" s="45" t="n"/>
      <c r="T98" s="45" t="n"/>
      <c r="U98" s="15" t="n"/>
      <c r="V98" s="15" t="n"/>
      <c r="W98" s="49" t="n">
        <v>100</v>
      </c>
    </row>
    <row r="99">
      <c r="A99" s="44" t="inlineStr">
        <is>
          <t>TL Cinsi Kira Sertifikalari</t>
        </is>
      </c>
      <c r="B99" s="44" t="n">
        <v>2020</v>
      </c>
      <c r="C99" s="44" t="inlineStr">
        <is>
          <t>TRD090222T19</t>
        </is>
      </c>
      <c r="D99" s="44" t="inlineStr">
        <is>
          <t>12.02.2020</t>
        </is>
      </c>
      <c r="E99" s="44" t="inlineStr">
        <is>
          <t>09.02.2022</t>
        </is>
      </c>
      <c r="F99" s="44" t="n">
        <v>728</v>
      </c>
      <c r="G99" s="44" t="inlineStr">
        <is>
          <t>6 Ay</t>
        </is>
      </c>
      <c r="H99" s="15" t="n">
        <v>4.89</v>
      </c>
      <c r="I99" s="45" t="n"/>
      <c r="J99" s="45" t="n"/>
      <c r="K99" s="45" t="n">
        <v>2204680</v>
      </c>
      <c r="L99" s="45" t="n">
        <v>2204680</v>
      </c>
      <c r="M99" s="45" t="n"/>
      <c r="N99" s="45" t="n"/>
      <c r="O99" s="45" t="n"/>
      <c r="P99" s="45" t="n"/>
      <c r="Q99" s="45" t="n"/>
      <c r="R99" s="45" t="n"/>
      <c r="S99" s="45" t="n"/>
      <c r="T99" s="45" t="n"/>
      <c r="U99" s="15" t="n"/>
      <c r="V99" s="15" t="n"/>
      <c r="W99" s="49" t="n">
        <v>100</v>
      </c>
    </row>
    <row r="100">
      <c r="A100" s="44" t="inlineStr">
        <is>
          <t>TL Cinsi Kira Sertifikalari</t>
        </is>
      </c>
      <c r="B100" s="44" t="n">
        <v>2020</v>
      </c>
      <c r="C100" s="44" t="inlineStr">
        <is>
          <t>TRD230322T10</t>
        </is>
      </c>
      <c r="D100" s="44" t="inlineStr">
        <is>
          <t>25.03.2020</t>
        </is>
      </c>
      <c r="E100" s="44" t="inlineStr">
        <is>
          <t>23.03.2022</t>
        </is>
      </c>
      <c r="F100" s="44" t="n">
        <v>728</v>
      </c>
      <c r="G100" s="44" t="inlineStr">
        <is>
          <t>6 Ay</t>
        </is>
      </c>
      <c r="H100" s="15" t="n">
        <v>5.33</v>
      </c>
      <c r="I100" s="45" t="n"/>
      <c r="J100" s="45" t="n"/>
      <c r="K100" s="45" t="n">
        <v>600000</v>
      </c>
      <c r="L100" s="45" t="n">
        <v>600000</v>
      </c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15" t="n"/>
      <c r="V100" s="15" t="n"/>
      <c r="W100" s="49" t="n">
        <v>100</v>
      </c>
    </row>
    <row r="101">
      <c r="A101" s="44" t="inlineStr">
        <is>
          <t>TL Cinsi Kira Sertifikalari</t>
        </is>
      </c>
      <c r="B101" s="44" t="n">
        <v>2020</v>
      </c>
      <c r="C101" s="44" t="inlineStr">
        <is>
          <t>TRD020425T11</t>
        </is>
      </c>
      <c r="D101" s="44" t="inlineStr">
        <is>
          <t>08.04.2020</t>
        </is>
      </c>
      <c r="E101" s="44" t="inlineStr">
        <is>
          <t>02.04.2025</t>
        </is>
      </c>
      <c r="F101" s="44" t="n">
        <v>1820</v>
      </c>
      <c r="G101" s="44" t="inlineStr">
        <is>
          <t>6 Ay</t>
        </is>
      </c>
      <c r="H101" s="15" t="n">
        <v>1.7</v>
      </c>
      <c r="I101" s="45" t="n"/>
      <c r="J101" s="45" t="n"/>
      <c r="K101" s="45" t="n">
        <v>1470000</v>
      </c>
      <c r="L101" s="45" t="n">
        <v>1470000</v>
      </c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15" t="n"/>
      <c r="V101" s="15" t="n"/>
      <c r="W101" s="49" t="n">
        <v>100</v>
      </c>
    </row>
    <row r="102">
      <c r="A102" s="44" t="inlineStr">
        <is>
          <t>TL Cinsi Kira Sertifikalari</t>
        </is>
      </c>
      <c r="B102" s="44" t="n">
        <v>2020</v>
      </c>
      <c r="C102" s="44" t="inlineStr">
        <is>
          <t>TRD281020T26</t>
        </is>
      </c>
      <c r="D102" s="44" t="inlineStr">
        <is>
          <t>29.04.2020</t>
        </is>
      </c>
      <c r="E102" s="44" t="inlineStr">
        <is>
          <t>28.10.2020</t>
        </is>
      </c>
      <c r="F102" s="44" t="n">
        <v>182</v>
      </c>
      <c r="G102" s="44" t="inlineStr">
        <is>
          <t>6 Ay</t>
        </is>
      </c>
      <c r="H102" s="15" t="n">
        <v>3.82</v>
      </c>
      <c r="I102" s="45" t="n"/>
      <c r="J102" s="45" t="n"/>
      <c r="K102" s="45" t="n">
        <v>5705200</v>
      </c>
      <c r="L102" s="45" t="n">
        <v>5705200</v>
      </c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15" t="n"/>
      <c r="V102" s="15" t="n"/>
      <c r="W102" s="49" t="n">
        <v>100</v>
      </c>
    </row>
    <row r="103">
      <c r="A103" s="44" t="inlineStr">
        <is>
          <t>TL Cinsi Kira Sertifikalari</t>
        </is>
      </c>
      <c r="B103" s="44" t="n">
        <v>2020</v>
      </c>
      <c r="C103" s="44" t="inlineStr">
        <is>
          <t>TRD251023T18</t>
        </is>
      </c>
      <c r="D103" s="44" t="inlineStr">
        <is>
          <t>29.04.2020</t>
        </is>
      </c>
      <c r="E103" s="44" t="inlineStr">
        <is>
          <t>25.10.2023</t>
        </is>
      </c>
      <c r="F103" s="44" t="n">
        <v>1274</v>
      </c>
      <c r="G103" s="44" t="inlineStr">
        <is>
          <t>6 Ay</t>
        </is>
      </c>
      <c r="H103" s="15" t="n">
        <v>0.79</v>
      </c>
      <c r="I103" s="45" t="n"/>
      <c r="J103" s="45" t="n"/>
      <c r="K103" s="45" t="n">
        <v>9460100</v>
      </c>
      <c r="L103" s="45" t="n">
        <v>9460100</v>
      </c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15" t="n"/>
      <c r="V103" s="15" t="n"/>
      <c r="W103" s="49" t="n">
        <v>100</v>
      </c>
    </row>
    <row r="104">
      <c r="A104" s="44" t="inlineStr">
        <is>
          <t>TL Cinsi Kira Sertifikalari</t>
        </is>
      </c>
      <c r="B104" s="44" t="n">
        <v>2020</v>
      </c>
      <c r="C104" s="44" t="inlineStr">
        <is>
          <t>TRD111120T16</t>
        </is>
      </c>
      <c r="D104" s="44" t="inlineStr">
        <is>
          <t>13.05.2020</t>
        </is>
      </c>
      <c r="E104" s="44" t="inlineStr">
        <is>
          <t>11.11.2020</t>
        </is>
      </c>
      <c r="F104" s="44" t="n">
        <v>182</v>
      </c>
      <c r="G104" s="44" t="inlineStr">
        <is>
          <t>6 Ay</t>
        </is>
      </c>
      <c r="H104" s="15" t="n">
        <v>3.83</v>
      </c>
      <c r="I104" s="45" t="n"/>
      <c r="J104" s="45" t="n"/>
      <c r="K104" s="45" t="n">
        <v>5353600</v>
      </c>
      <c r="L104" s="45" t="n">
        <v>5353600</v>
      </c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15" t="n"/>
      <c r="V104" s="15" t="n"/>
      <c r="W104" s="49" t="n">
        <v>100</v>
      </c>
    </row>
    <row r="105">
      <c r="A105" s="44" t="inlineStr">
        <is>
          <t>TL Cinsi Kira Sertifikalari</t>
        </is>
      </c>
      <c r="B105" s="44" t="n">
        <v>2020</v>
      </c>
      <c r="C105" s="44" t="inlineStr">
        <is>
          <t>TRD110522T12</t>
        </is>
      </c>
      <c r="D105" s="44" t="inlineStr">
        <is>
          <t>13.05.2020</t>
        </is>
      </c>
      <c r="E105" s="44" t="inlineStr">
        <is>
          <t>11.05.2022</t>
        </is>
      </c>
      <c r="F105" s="44" t="n">
        <v>728</v>
      </c>
      <c r="G105" s="44" t="inlineStr">
        <is>
          <t>6 Ay</t>
        </is>
      </c>
      <c r="H105" s="15" t="n">
        <v>4.7</v>
      </c>
      <c r="I105" s="45" t="n"/>
      <c r="J105" s="45" t="n"/>
      <c r="K105" s="45" t="n">
        <v>6456530</v>
      </c>
      <c r="L105" s="45" t="n">
        <v>6456530</v>
      </c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15" t="n"/>
      <c r="V105" s="15" t="n"/>
      <c r="W105" s="49" t="n">
        <v>100</v>
      </c>
    </row>
    <row r="106">
      <c r="A106" s="44" t="inlineStr">
        <is>
          <t>TL Cinsi Kira Sertifikalari</t>
        </is>
      </c>
      <c r="B106" s="44" t="n">
        <v>2020</v>
      </c>
      <c r="C106" s="44" t="inlineStr">
        <is>
          <t>TRD060722T17</t>
        </is>
      </c>
      <c r="D106" s="44" t="inlineStr">
        <is>
          <t>08.07.2020</t>
        </is>
      </c>
      <c r="E106" s="44" t="inlineStr">
        <is>
          <t>06.07.2022</t>
        </is>
      </c>
      <c r="F106" s="44" t="n">
        <v>728</v>
      </c>
      <c r="G106" s="44" t="inlineStr">
        <is>
          <t>6 Ay</t>
        </is>
      </c>
      <c r="H106" s="15" t="n">
        <v>4.75</v>
      </c>
      <c r="I106" s="45" t="n"/>
      <c r="J106" s="45" t="n"/>
      <c r="K106" s="45" t="n">
        <v>1095920</v>
      </c>
      <c r="L106" s="45" t="n">
        <v>1095920</v>
      </c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15" t="n"/>
      <c r="V106" s="15" t="n"/>
      <c r="W106" s="49" t="n">
        <v>100</v>
      </c>
    </row>
    <row r="107">
      <c r="A107" s="44" t="inlineStr">
        <is>
          <t>TL Cinsi Kira Sertifikalari</t>
        </is>
      </c>
      <c r="B107" s="44" t="n">
        <v>2020</v>
      </c>
      <c r="C107" s="44" t="inlineStr">
        <is>
          <t>TRD210824T15</t>
        </is>
      </c>
      <c r="D107" s="44" t="inlineStr">
        <is>
          <t>26.08.2020</t>
        </is>
      </c>
      <c r="E107" s="44" t="inlineStr">
        <is>
          <t>21.08.2024</t>
        </is>
      </c>
      <c r="F107" s="44" t="n">
        <v>1456</v>
      </c>
      <c r="G107" s="44" t="inlineStr">
        <is>
          <t>6 Ay</t>
        </is>
      </c>
      <c r="H107" s="15" t="n">
        <v>6.8</v>
      </c>
      <c r="I107" s="45" t="n"/>
      <c r="J107" s="45" t="n"/>
      <c r="K107" s="45" t="n">
        <v>547500</v>
      </c>
      <c r="L107" s="45" t="n">
        <v>547500</v>
      </c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15" t="n"/>
      <c r="V107" s="15" t="n"/>
      <c r="W107" s="49" t="n">
        <v>100</v>
      </c>
    </row>
    <row r="108">
      <c r="A108" s="44" t="inlineStr">
        <is>
          <t>TL Cinsi Kira Sertifikalari</t>
        </is>
      </c>
      <c r="B108" s="44" t="n">
        <v>2020</v>
      </c>
      <c r="C108" s="44" t="inlineStr">
        <is>
          <t>TRD170925T19</t>
        </is>
      </c>
      <c r="D108" s="44" t="inlineStr">
        <is>
          <t>23.09.2020</t>
        </is>
      </c>
      <c r="E108" s="44" t="inlineStr">
        <is>
          <t>17.09.2025</t>
        </is>
      </c>
      <c r="F108" s="44" t="n">
        <v>1820</v>
      </c>
      <c r="G108" s="44" t="inlineStr">
        <is>
          <t>6 Ay</t>
        </is>
      </c>
      <c r="H108" s="15" t="n">
        <v>0.95</v>
      </c>
      <c r="I108" s="45" t="n"/>
      <c r="J108" s="45" t="n"/>
      <c r="K108" s="45" t="n">
        <v>816000</v>
      </c>
      <c r="L108" s="45" t="n">
        <v>816000</v>
      </c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15" t="n"/>
      <c r="V108" s="15" t="n"/>
      <c r="W108" s="49" t="n">
        <v>100</v>
      </c>
    </row>
    <row r="109">
      <c r="A109" s="44" t="inlineStr">
        <is>
          <t>TL Cinsi Kira Sertifikalari</t>
        </is>
      </c>
      <c r="B109" s="44" t="n">
        <v>2020</v>
      </c>
      <c r="C109" s="44" t="inlineStr">
        <is>
          <t>TRD031225T10</t>
        </is>
      </c>
      <c r="D109" s="44" t="inlineStr">
        <is>
          <t>09.12.2020</t>
        </is>
      </c>
      <c r="E109" s="44" t="inlineStr">
        <is>
          <t>03.12.2025</t>
        </is>
      </c>
      <c r="F109" s="44" t="n">
        <v>1820</v>
      </c>
      <c r="G109" s="44" t="inlineStr">
        <is>
          <t>6 Ay</t>
        </is>
      </c>
      <c r="H109" s="15" t="n">
        <v>6.6</v>
      </c>
      <c r="I109" s="45" t="n"/>
      <c r="J109" s="45" t="n"/>
      <c r="K109" s="45" t="n">
        <v>519650</v>
      </c>
      <c r="L109" s="45" t="n">
        <v>519650</v>
      </c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15" t="n"/>
      <c r="V109" s="15" t="n"/>
      <c r="W109" s="49" t="n">
        <v>100</v>
      </c>
    </row>
    <row r="110">
      <c r="A110" s="44" t="inlineStr">
        <is>
          <t>TL Cinsi Kira Sertifikalari</t>
        </is>
      </c>
      <c r="B110" s="44" t="n">
        <v>2021</v>
      </c>
      <c r="C110" s="44" t="inlineStr">
        <is>
          <t>TRD080223T19</t>
        </is>
      </c>
      <c r="D110" s="44" t="inlineStr">
        <is>
          <t>10.02.2021</t>
        </is>
      </c>
      <c r="E110" s="44" t="inlineStr">
        <is>
          <t>08.02.2023</t>
        </is>
      </c>
      <c r="F110" s="44" t="n">
        <v>728</v>
      </c>
      <c r="G110" s="44" t="inlineStr">
        <is>
          <t>6 Ay</t>
        </is>
      </c>
      <c r="H110" s="15" t="n">
        <v>6.95</v>
      </c>
      <c r="I110" s="45" t="n"/>
      <c r="J110" s="45" t="n"/>
      <c r="K110" s="45" t="n">
        <v>1468130</v>
      </c>
      <c r="L110" s="45" t="n">
        <v>1468130</v>
      </c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15" t="n"/>
      <c r="V110" s="15" t="n"/>
      <c r="W110" s="49" t="n">
        <v>100</v>
      </c>
    </row>
    <row r="111">
      <c r="A111" s="44" t="inlineStr">
        <is>
          <t>TL Cinsi Kira Sertifikalari</t>
        </is>
      </c>
      <c r="B111" s="44" t="n">
        <v>2021</v>
      </c>
      <c r="C111" s="44" t="inlineStr">
        <is>
          <t>TRD150426T15</t>
        </is>
      </c>
      <c r="D111" s="44" t="inlineStr">
        <is>
          <t>21.04.2021</t>
        </is>
      </c>
      <c r="E111" s="44" t="inlineStr">
        <is>
          <t>15.04.2026</t>
        </is>
      </c>
      <c r="F111" s="44" t="n">
        <v>1820</v>
      </c>
      <c r="G111" s="44" t="inlineStr">
        <is>
          <t>6 Ay</t>
        </is>
      </c>
      <c r="H111" s="15" t="n">
        <v>1.43</v>
      </c>
      <c r="I111" s="45" t="n"/>
      <c r="J111" s="45" t="n"/>
      <c r="K111" s="45" t="n">
        <v>1361000</v>
      </c>
      <c r="L111" s="45" t="n">
        <v>1361000</v>
      </c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15" t="n"/>
      <c r="V111" s="15" t="n"/>
      <c r="W111" s="49" t="n">
        <v>100</v>
      </c>
    </row>
    <row r="112">
      <c r="A112" s="44" t="inlineStr">
        <is>
          <t>TL Cinsi Kira Sertifikalari</t>
        </is>
      </c>
      <c r="B112" s="44" t="n">
        <v>2021</v>
      </c>
      <c r="C112" s="44" t="inlineStr">
        <is>
          <t>TRD280531T12</t>
        </is>
      </c>
      <c r="D112" s="44" t="inlineStr">
        <is>
          <t>09.06.2021</t>
        </is>
      </c>
      <c r="E112" s="44" t="inlineStr">
        <is>
          <t>28.05.2031</t>
        </is>
      </c>
      <c r="F112" s="44" t="n">
        <v>3640</v>
      </c>
      <c r="G112" s="44" t="inlineStr">
        <is>
          <t>6 Ay</t>
        </is>
      </c>
      <c r="H112" s="15" t="n">
        <v>1.59</v>
      </c>
      <c r="I112" s="45" t="n"/>
      <c r="J112" s="45" t="n"/>
      <c r="K112" s="45" t="n">
        <v>951250</v>
      </c>
      <c r="L112" s="45" t="n">
        <v>951250</v>
      </c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15" t="n"/>
      <c r="V112" s="15" t="n"/>
      <c r="W112" s="49" t="n">
        <v>100</v>
      </c>
    </row>
    <row r="113">
      <c r="A113" s="44" t="inlineStr">
        <is>
          <t>TL Cinsi Kira Sertifikalari</t>
        </is>
      </c>
      <c r="B113" s="44" t="n">
        <v>2021</v>
      </c>
      <c r="C113" s="44" t="inlineStr">
        <is>
          <t>TRD120723T18</t>
        </is>
      </c>
      <c r="D113" s="44" t="inlineStr">
        <is>
          <t>14.07.2021</t>
        </is>
      </c>
      <c r="E113" s="44" t="inlineStr">
        <is>
          <t>12.07.2023</t>
        </is>
      </c>
      <c r="F113" s="44" t="n">
        <v>728</v>
      </c>
      <c r="G113" s="44" t="inlineStr">
        <is>
          <t>6 Ay</t>
        </is>
      </c>
      <c r="H113" s="15" t="n">
        <v>9.039999999999999</v>
      </c>
      <c r="I113" s="45" t="n"/>
      <c r="J113" s="45" t="n"/>
      <c r="K113" s="45" t="n">
        <v>1143740</v>
      </c>
      <c r="L113" s="45" t="n">
        <v>1143740</v>
      </c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15" t="n"/>
      <c r="V113" s="15" t="n"/>
      <c r="W113" s="49" t="n">
        <v>100</v>
      </c>
    </row>
    <row r="114">
      <c r="A114" s="44" t="inlineStr">
        <is>
          <t>TL Cinsi Kira Sertifikalari</t>
        </is>
      </c>
      <c r="B114" s="44" t="n"/>
      <c r="C114" s="44" t="inlineStr">
        <is>
          <t>TRD160823T13</t>
        </is>
      </c>
      <c r="D114" s="44" t="inlineStr">
        <is>
          <t>18.08.2021</t>
        </is>
      </c>
      <c r="E114" s="44" t="inlineStr">
        <is>
          <t>16.08.2023</t>
        </is>
      </c>
      <c r="F114" s="44" t="n">
        <v>728</v>
      </c>
      <c r="G114" s="44" t="inlineStr">
        <is>
          <t>6 Ay</t>
        </is>
      </c>
      <c r="H114" s="15" t="n">
        <v>8.9</v>
      </c>
      <c r="I114" s="45" t="n"/>
      <c r="J114" s="45" t="n"/>
      <c r="K114" s="45" t="n">
        <v>921700</v>
      </c>
      <c r="L114" s="45" t="n">
        <v>921700</v>
      </c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15" t="n"/>
      <c r="V114" s="15" t="n"/>
      <c r="W114" s="49" t="n">
        <v>100</v>
      </c>
    </row>
    <row r="115">
      <c r="A115" s="44" t="inlineStr">
        <is>
          <t>TL Cinsi Kira Sertifikalari</t>
        </is>
      </c>
      <c r="B115" s="44" t="n">
        <v>2021</v>
      </c>
      <c r="C115" s="44" t="inlineStr">
        <is>
          <t>TRD160926T19</t>
        </is>
      </c>
      <c r="D115" s="44" t="inlineStr">
        <is>
          <t>22.09.2021</t>
        </is>
      </c>
      <c r="E115" s="44" t="inlineStr">
        <is>
          <t>16.09.2026</t>
        </is>
      </c>
      <c r="F115" s="44" t="n">
        <v>1820</v>
      </c>
      <c r="G115" s="44" t="inlineStr">
        <is>
          <t>6 Ay</t>
        </is>
      </c>
      <c r="H115" s="15" t="n">
        <v>8.4</v>
      </c>
      <c r="I115" s="45" t="n"/>
      <c r="J115" s="45" t="n"/>
      <c r="K115" s="45" t="n">
        <v>725000</v>
      </c>
      <c r="L115" s="45" t="n">
        <v>725000</v>
      </c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15" t="n"/>
      <c r="V115" s="15" t="n"/>
      <c r="W115" s="49" t="n">
        <v>100</v>
      </c>
    </row>
    <row r="116">
      <c r="A116" s="44" t="inlineStr">
        <is>
          <t>TL Cinsi Kira Sertifikalari</t>
        </is>
      </c>
      <c r="B116" s="44" t="n">
        <v>2021</v>
      </c>
      <c r="C116" s="44" t="inlineStr">
        <is>
          <t>TRD181023T17</t>
        </is>
      </c>
      <c r="D116" s="44" t="inlineStr">
        <is>
          <t>20.10.2021</t>
        </is>
      </c>
      <c r="E116" s="44" t="inlineStr">
        <is>
          <t>18.10.2023</t>
        </is>
      </c>
      <c r="F116" s="44" t="n">
        <v>728</v>
      </c>
      <c r="G116" s="44" t="inlineStr">
        <is>
          <t>6 Ay</t>
        </is>
      </c>
      <c r="H116" s="15" t="n">
        <v>9.050000000000001</v>
      </c>
      <c r="I116" s="45" t="n"/>
      <c r="J116" s="45" t="n"/>
      <c r="K116" s="45" t="n">
        <v>1914500</v>
      </c>
      <c r="L116" s="45" t="n">
        <v>1914500</v>
      </c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15" t="n"/>
      <c r="V116" s="15" t="n"/>
      <c r="W116" s="49" t="n">
        <v>100</v>
      </c>
    </row>
    <row r="117">
      <c r="A117" s="44" t="inlineStr">
        <is>
          <t>TL Cinsi Kira Sertifikalari</t>
        </is>
      </c>
      <c r="B117" s="44" t="n">
        <v>2021</v>
      </c>
      <c r="C117" s="44" t="inlineStr">
        <is>
          <t>TRD131223T10</t>
        </is>
      </c>
      <c r="D117" s="44" t="inlineStr">
        <is>
          <t>15.12.2021</t>
        </is>
      </c>
      <c r="E117" s="44" t="inlineStr">
        <is>
          <t>13.12.2023</t>
        </is>
      </c>
      <c r="F117" s="44" t="n">
        <v>728</v>
      </c>
      <c r="G117" s="44" t="inlineStr">
        <is>
          <t>6 Ay</t>
        </is>
      </c>
      <c r="H117" s="15" t="n">
        <v>10.16</v>
      </c>
      <c r="I117" s="45" t="n"/>
      <c r="J117" s="45" t="n"/>
      <c r="K117" s="45" t="n">
        <v>2992530</v>
      </c>
      <c r="L117" s="45" t="n">
        <v>2992530</v>
      </c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15" t="n"/>
      <c r="V117" s="15" t="n"/>
      <c r="W117" s="49" t="n">
        <v>100</v>
      </c>
    </row>
    <row r="118">
      <c r="A118" s="44" t="inlineStr">
        <is>
          <t>TL Cinsi Kira Sertifikalari</t>
        </is>
      </c>
      <c r="B118" s="44" t="n">
        <v>2022</v>
      </c>
      <c r="C118" s="44" t="inlineStr">
        <is>
          <t>TRD200127T10</t>
        </is>
      </c>
      <c r="D118" s="44" t="inlineStr">
        <is>
          <t>26.01.2022</t>
        </is>
      </c>
      <c r="E118" s="44" t="inlineStr">
        <is>
          <t>20.01.2027</t>
        </is>
      </c>
      <c r="F118" s="44" t="n">
        <v>1820</v>
      </c>
      <c r="G118" s="44" t="inlineStr">
        <is>
          <t>6 Ay</t>
        </is>
      </c>
      <c r="H118" s="15" t="n">
        <v>0</v>
      </c>
      <c r="I118" s="45" t="n"/>
      <c r="J118" s="45" t="n"/>
      <c r="K118" s="45" t="n">
        <v>11111100</v>
      </c>
      <c r="L118" s="45" t="n">
        <v>13333320</v>
      </c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15" t="n"/>
      <c r="V118" s="15" t="n"/>
      <c r="W118" s="49" t="n">
        <v>120</v>
      </c>
    </row>
    <row r="119">
      <c r="A119" s="44" t="inlineStr">
        <is>
          <t>TL Cinsi Kira Sertifikalari</t>
        </is>
      </c>
      <c r="B119" s="44" t="n">
        <v>2022</v>
      </c>
      <c r="C119" s="44" t="inlineStr">
        <is>
          <t>TRD140224T10</t>
        </is>
      </c>
      <c r="D119" s="44" t="inlineStr">
        <is>
          <t>16.02.2022</t>
        </is>
      </c>
      <c r="E119" s="44" t="inlineStr">
        <is>
          <t>14.02.2024</t>
        </is>
      </c>
      <c r="F119" s="44" t="n">
        <v>728</v>
      </c>
      <c r="G119" s="44" t="inlineStr">
        <is>
          <t>6 Ay</t>
        </is>
      </c>
      <c r="H119" s="15" t="n">
        <v>10.1</v>
      </c>
      <c r="I119" s="45" t="n"/>
      <c r="J119" s="45" t="n"/>
      <c r="K119" s="45" t="n">
        <v>5561460</v>
      </c>
      <c r="L119" s="45" t="n">
        <v>5561460</v>
      </c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15" t="n"/>
      <c r="V119" s="15" t="n"/>
      <c r="W119" s="49" t="n">
        <v>100</v>
      </c>
    </row>
    <row r="120">
      <c r="A120" s="44" t="inlineStr">
        <is>
          <t>TL Cinsi Kira Sertifikalari</t>
        </is>
      </c>
      <c r="B120" s="44" t="n">
        <v>2022</v>
      </c>
      <c r="C120" s="44" t="inlineStr">
        <is>
          <t>TRD200324T29</t>
        </is>
      </c>
      <c r="D120" s="44" t="inlineStr">
        <is>
          <t>23.03.2022</t>
        </is>
      </c>
      <c r="E120" s="44" t="inlineStr">
        <is>
          <t>20.03.2024</t>
        </is>
      </c>
      <c r="F120" s="44" t="n">
        <v>728</v>
      </c>
      <c r="G120" s="44" t="inlineStr">
        <is>
          <t>6 Ay</t>
        </is>
      </c>
      <c r="H120" s="15" t="n">
        <v>12.15</v>
      </c>
      <c r="I120" s="45" t="n"/>
      <c r="J120" s="45" t="n"/>
      <c r="K120" s="45" t="n">
        <v>4098810</v>
      </c>
      <c r="L120" s="45" t="n">
        <v>4098810</v>
      </c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15" t="n"/>
      <c r="V120" s="15" t="n"/>
      <c r="W120" s="49" t="n">
        <v>100</v>
      </c>
    </row>
    <row r="121">
      <c r="A121" s="44" t="inlineStr">
        <is>
          <t>TL Cinsi Kira Sertifikalari</t>
        </is>
      </c>
      <c r="B121" s="44" t="n">
        <v>2022</v>
      </c>
      <c r="C121" s="44" t="inlineStr">
        <is>
          <t>TRD070432T17</t>
        </is>
      </c>
      <c r="D121" s="44" t="inlineStr">
        <is>
          <t>20.04.2022</t>
        </is>
      </c>
      <c r="E121" s="44" t="inlineStr">
        <is>
          <t>07.04.2032</t>
        </is>
      </c>
      <c r="F121" s="44" t="n">
        <v>3640</v>
      </c>
      <c r="G121" s="44" t="inlineStr">
        <is>
          <t>6 Ay</t>
        </is>
      </c>
      <c r="H121" s="15" t="n">
        <v>0</v>
      </c>
      <c r="I121" s="45" t="n"/>
      <c r="J121" s="45" t="n"/>
      <c r="K121" s="45" t="n">
        <v>8644000</v>
      </c>
      <c r="L121" s="45" t="n">
        <v>11064320</v>
      </c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15" t="n"/>
      <c r="V121" s="15" t="n"/>
      <c r="W121" s="49" t="n">
        <v>128</v>
      </c>
    </row>
    <row r="122">
      <c r="A122" s="44" t="inlineStr">
        <is>
          <t>TL Cinsi Kira Sertifikalari</t>
        </is>
      </c>
      <c r="B122" s="44" t="n">
        <v>2022</v>
      </c>
      <c r="C122" s="44" t="inlineStr">
        <is>
          <t>TRD080524T15</t>
        </is>
      </c>
      <c r="D122" s="44" t="inlineStr">
        <is>
          <t>11.05.2022</t>
        </is>
      </c>
      <c r="E122" s="44" t="inlineStr">
        <is>
          <t>08.05.2024</t>
        </is>
      </c>
      <c r="F122" s="44" t="n">
        <v>728</v>
      </c>
      <c r="G122" s="44" t="inlineStr">
        <is>
          <t>6 Ay</t>
        </is>
      </c>
      <c r="H122" s="15" t="n">
        <v>11.35</v>
      </c>
      <c r="I122" s="45" t="n"/>
      <c r="J122" s="45" t="n"/>
      <c r="K122" s="45" t="n">
        <v>2271520</v>
      </c>
      <c r="L122" s="45" t="n">
        <v>2271520</v>
      </c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15" t="n"/>
      <c r="V122" s="15" t="n"/>
      <c r="W122" s="49" t="n">
        <v>100</v>
      </c>
    </row>
    <row r="123">
      <c r="A123" s="44" t="inlineStr">
        <is>
          <t>TL Cinsi Kira Sertifikalari</t>
        </is>
      </c>
      <c r="B123" s="44" t="n">
        <v>2022</v>
      </c>
      <c r="C123" s="44" t="inlineStr">
        <is>
          <t>TRD230632T15</t>
        </is>
      </c>
      <c r="D123" s="44" t="inlineStr">
        <is>
          <t>06.07.2022</t>
        </is>
      </c>
      <c r="E123" s="44" t="inlineStr">
        <is>
          <t>23.06.2032</t>
        </is>
      </c>
      <c r="F123" s="44" t="n">
        <v>3640</v>
      </c>
      <c r="G123" s="44" t="inlineStr">
        <is>
          <t>6 Ay</t>
        </is>
      </c>
      <c r="H123" s="15" t="n">
        <v>9.039999999999999</v>
      </c>
      <c r="I123" s="45" t="n"/>
      <c r="J123" s="45" t="n"/>
      <c r="K123" s="45" t="n">
        <v>8240030</v>
      </c>
      <c r="L123" s="45" t="n">
        <v>8240030</v>
      </c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15" t="n"/>
      <c r="V123" s="15" t="n"/>
      <c r="W123" s="49" t="n">
        <v>100</v>
      </c>
    </row>
    <row r="124">
      <c r="A124" s="44" t="inlineStr">
        <is>
          <t>TL Cinsi Kira Sertifikalari</t>
        </is>
      </c>
      <c r="B124" s="44" t="n">
        <v>2022</v>
      </c>
      <c r="C124" s="44" t="inlineStr">
        <is>
          <t>TRD040832T16</t>
        </is>
      </c>
      <c r="D124" s="44" t="inlineStr">
        <is>
          <t>17.08.2022</t>
        </is>
      </c>
      <c r="E124" s="44" t="inlineStr">
        <is>
          <t>04.08.2032</t>
        </is>
      </c>
      <c r="F124" s="44" t="n">
        <v>3640</v>
      </c>
      <c r="G124" s="44" t="inlineStr">
        <is>
          <t>6 Ay</t>
        </is>
      </c>
      <c r="H124" s="15" t="n">
        <v>8.07</v>
      </c>
      <c r="I124" s="45" t="n"/>
      <c r="J124" s="45" t="n"/>
      <c r="K124" s="45" t="n">
        <v>10290430</v>
      </c>
      <c r="L124" s="45" t="n">
        <v>10290430</v>
      </c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15" t="n"/>
      <c r="V124" s="15" t="n"/>
      <c r="W124" s="49" t="n">
        <v>100</v>
      </c>
    </row>
    <row r="125">
      <c r="A125" s="44" t="inlineStr">
        <is>
          <t>TL Cinsi Kira Sertifikalari</t>
        </is>
      </c>
      <c r="B125" s="44" t="n">
        <v>2022</v>
      </c>
      <c r="C125" s="44" t="inlineStr">
        <is>
          <t>TRD080927T18</t>
        </is>
      </c>
      <c r="D125" s="44" t="inlineStr">
        <is>
          <t>14.09.2022</t>
        </is>
      </c>
      <c r="E125" s="44" t="inlineStr">
        <is>
          <t>08.09.2027</t>
        </is>
      </c>
      <c r="F125" s="44" t="n">
        <v>1820</v>
      </c>
      <c r="G125" s="44" t="inlineStr">
        <is>
          <t>6 Ay</t>
        </is>
      </c>
      <c r="H125" s="15" t="n">
        <v>5.09</v>
      </c>
      <c r="I125" s="45" t="n"/>
      <c r="J125" s="45" t="n"/>
      <c r="K125" s="45" t="n">
        <v>19718500</v>
      </c>
      <c r="L125" s="45" t="n">
        <v>19718500</v>
      </c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15" t="n"/>
      <c r="V125" s="15" t="n"/>
      <c r="W125" s="49" t="n">
        <v>100</v>
      </c>
    </row>
    <row r="126">
      <c r="A126" s="44" t="inlineStr">
        <is>
          <t>TL Cinsi Kira Sertifikalari</t>
        </is>
      </c>
      <c r="B126" s="44" t="n">
        <v>2022</v>
      </c>
      <c r="C126" s="44" t="inlineStr">
        <is>
          <t>TRD061027T17</t>
        </is>
      </c>
      <c r="D126" s="44" t="inlineStr">
        <is>
          <t>12.10.2022</t>
        </is>
      </c>
      <c r="E126" s="44" t="inlineStr">
        <is>
          <t>06.10.2027</t>
        </is>
      </c>
      <c r="F126" s="44" t="n">
        <v>1820</v>
      </c>
      <c r="G126" s="44" t="inlineStr">
        <is>
          <t>6 Ay</t>
        </is>
      </c>
      <c r="H126" s="15" t="n">
        <v>5.23</v>
      </c>
      <c r="I126" s="45" t="n"/>
      <c r="J126" s="45" t="n"/>
      <c r="K126" s="45" t="n">
        <v>11484000</v>
      </c>
      <c r="L126" s="45" t="n">
        <v>11484000</v>
      </c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15" t="n"/>
      <c r="V126" s="15" t="n"/>
      <c r="W126" s="49" t="n">
        <v>100</v>
      </c>
    </row>
    <row r="127">
      <c r="A127" s="44" t="inlineStr">
        <is>
          <t>TL Cinsi Kira Sertifikalari</t>
        </is>
      </c>
      <c r="B127" s="44" t="n">
        <v>2022</v>
      </c>
      <c r="C127" s="44" t="inlineStr">
        <is>
          <t>TRD271032T15</t>
        </is>
      </c>
      <c r="D127" s="44" t="inlineStr">
        <is>
          <t>09.11.2022</t>
        </is>
      </c>
      <c r="E127" s="44" t="inlineStr">
        <is>
          <t>27.10.2032</t>
        </is>
      </c>
      <c r="F127" s="44" t="n">
        <v>3640</v>
      </c>
      <c r="G127" s="44" t="inlineStr">
        <is>
          <t>6 Ay</t>
        </is>
      </c>
      <c r="H127" s="15" t="n">
        <v>5.86</v>
      </c>
      <c r="I127" s="45" t="n"/>
      <c r="J127" s="45" t="n"/>
      <c r="K127" s="45" t="n">
        <v>6892400</v>
      </c>
      <c r="L127" s="45" t="n">
        <v>6892400</v>
      </c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15" t="n"/>
      <c r="V127" s="15" t="n"/>
      <c r="W127" s="49" t="n">
        <v>100</v>
      </c>
    </row>
    <row r="128">
      <c r="A128" s="44" t="inlineStr">
        <is>
          <t>TL Cinsi Kira Sertifikalari</t>
        </is>
      </c>
      <c r="B128" s="44" t="n">
        <v>2023</v>
      </c>
      <c r="C128" s="44" t="inlineStr">
        <is>
          <t>TRD190128T12</t>
        </is>
      </c>
      <c r="D128" s="44" t="inlineStr">
        <is>
          <t>25.01.2023</t>
        </is>
      </c>
      <c r="E128" s="44" t="inlineStr">
        <is>
          <t>19.01.2028</t>
        </is>
      </c>
      <c r="F128" s="44" t="n">
        <v>1820</v>
      </c>
      <c r="G128" s="44" t="inlineStr">
        <is>
          <t>6 Ay</t>
        </is>
      </c>
      <c r="H128" s="15" t="n">
        <v>4.79</v>
      </c>
      <c r="I128" s="45" t="n"/>
      <c r="J128" s="45" t="n"/>
      <c r="K128" s="45" t="n">
        <v>14008700</v>
      </c>
      <c r="L128" s="45" t="n">
        <v>14008700</v>
      </c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15" t="n"/>
      <c r="V128" s="15" t="n"/>
      <c r="W128" s="49" t="n">
        <v>100</v>
      </c>
    </row>
    <row r="129">
      <c r="A129" s="44" t="inlineStr">
        <is>
          <t>TL Cinsi Kira Sertifikalari</t>
        </is>
      </c>
      <c r="B129" s="44" t="n">
        <v>2023</v>
      </c>
      <c r="C129" s="44" t="inlineStr">
        <is>
          <t>TRD160228T14</t>
        </is>
      </c>
      <c r="D129" s="44" t="inlineStr">
        <is>
          <t>22.02.2023</t>
        </is>
      </c>
      <c r="E129" s="44" t="inlineStr">
        <is>
          <t>16.02.2028</t>
        </is>
      </c>
      <c r="F129" s="44" t="n">
        <v>1820</v>
      </c>
      <c r="G129" s="44" t="inlineStr">
        <is>
          <t>6 Ay</t>
        </is>
      </c>
      <c r="H129" s="15" t="n">
        <v>4.64</v>
      </c>
      <c r="I129" s="45" t="n"/>
      <c r="J129" s="45" t="n"/>
      <c r="K129" s="45" t="n">
        <v>9946000</v>
      </c>
      <c r="L129" s="45" t="n">
        <v>9946000</v>
      </c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15" t="n"/>
      <c r="V129" s="15" t="n"/>
      <c r="W129" s="49" t="n">
        <v>100</v>
      </c>
    </row>
    <row r="130">
      <c r="A130" s="44" t="inlineStr">
        <is>
          <t>TL Cinsi Kira Sertifikalari</t>
        </is>
      </c>
      <c r="B130" s="44" t="n">
        <v>2023</v>
      </c>
      <c r="C130" s="44" t="inlineStr">
        <is>
          <t>TRD230233T18</t>
        </is>
      </c>
      <c r="D130" s="44" t="inlineStr">
        <is>
          <t>08.03.2023</t>
        </is>
      </c>
      <c r="E130" s="44" t="inlineStr">
        <is>
          <t>23.02.2033</t>
        </is>
      </c>
      <c r="F130" s="44" t="n">
        <v>3640</v>
      </c>
      <c r="G130" s="44" t="inlineStr">
        <is>
          <t>6 Ay</t>
        </is>
      </c>
      <c r="H130" s="15" t="n">
        <v>5.71</v>
      </c>
      <c r="I130" s="45" t="n"/>
      <c r="J130" s="45" t="n"/>
      <c r="K130" s="45" t="n">
        <v>5413000</v>
      </c>
      <c r="L130" s="45" t="n">
        <v>5413000</v>
      </c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15" t="n"/>
      <c r="V130" s="15" t="n"/>
      <c r="W130" s="49" t="n">
        <v>100</v>
      </c>
    </row>
    <row r="131">
      <c r="A131" s="44" t="inlineStr">
        <is>
          <t>TL Cinsi Kira Sertifikalari</t>
        </is>
      </c>
      <c r="B131" s="44" t="n">
        <v>2023</v>
      </c>
      <c r="C131" s="44" t="inlineStr">
        <is>
          <t>TRD140628T12</t>
        </is>
      </c>
      <c r="D131" s="44" t="inlineStr">
        <is>
          <t>21.06.2023</t>
        </is>
      </c>
      <c r="E131" s="44" t="inlineStr">
        <is>
          <t>14.06.2028</t>
        </is>
      </c>
      <c r="F131" s="44" t="n">
        <v>1820</v>
      </c>
      <c r="G131" s="44" t="inlineStr">
        <is>
          <t>6 Ay</t>
        </is>
      </c>
      <c r="H131" s="15" t="n">
        <v>8.619999999999999</v>
      </c>
      <c r="I131" s="45" t="n"/>
      <c r="J131" s="45" t="n"/>
      <c r="K131" s="45" t="n">
        <v>12086000</v>
      </c>
      <c r="L131" s="45" t="n">
        <v>12086000</v>
      </c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15" t="n"/>
      <c r="V131" s="15" t="n"/>
      <c r="W131" s="49" t="n">
        <v>100</v>
      </c>
    </row>
    <row r="132">
      <c r="A132" s="44" t="inlineStr">
        <is>
          <t>TL Cinsi Kira Sertifikalari</t>
        </is>
      </c>
      <c r="B132" s="44" t="n">
        <v>2023</v>
      </c>
      <c r="C132" s="44" t="inlineStr">
        <is>
          <t>TRD020828T14</t>
        </is>
      </c>
      <c r="D132" s="44" t="inlineStr">
        <is>
          <t>09.08.2023</t>
        </is>
      </c>
      <c r="E132" s="44" t="inlineStr">
        <is>
          <t>02.08.2028</t>
        </is>
      </c>
      <c r="F132" s="44" t="n">
        <v>1820</v>
      </c>
      <c r="G132" s="44" t="inlineStr">
        <is>
          <t>6 Ay</t>
        </is>
      </c>
      <c r="H132" s="15" t="n">
        <v>9.789999999999999</v>
      </c>
      <c r="I132" s="45" t="n"/>
      <c r="J132" s="45" t="n"/>
      <c r="K132" s="45" t="n">
        <v>27148000</v>
      </c>
      <c r="L132" s="45" t="n">
        <v>27148000</v>
      </c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15" t="n"/>
      <c r="V132" s="15" t="n"/>
      <c r="W132" s="49" t="n">
        <v>100</v>
      </c>
    </row>
    <row r="133">
      <c r="A133" s="44" t="inlineStr">
        <is>
          <t>TL Cinsi Kira Sertifikalari</t>
        </is>
      </c>
      <c r="B133" s="44" t="n">
        <v>2023</v>
      </c>
      <c r="C133" s="44" t="inlineStr">
        <is>
          <t>TRD070933T11</t>
        </is>
      </c>
      <c r="D133" s="44" t="inlineStr">
        <is>
          <t>20.09.2023</t>
        </is>
      </c>
      <c r="E133" s="44" t="inlineStr">
        <is>
          <t>07.09.2033</t>
        </is>
      </c>
      <c r="F133" s="44" t="n">
        <v>3640</v>
      </c>
      <c r="G133" s="44" t="inlineStr">
        <is>
          <t>6 Ay</t>
        </is>
      </c>
      <c r="H133" s="15" t="n">
        <v>13.19</v>
      </c>
      <c r="I133" s="45" t="n"/>
      <c r="J133" s="45" t="n"/>
      <c r="K133" s="45" t="n">
        <v>9898400</v>
      </c>
      <c r="L133" s="45" t="n">
        <v>9898400</v>
      </c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15" t="n"/>
      <c r="V133" s="15" t="n"/>
      <c r="W133" s="49" t="n">
        <v>100</v>
      </c>
    </row>
    <row r="134">
      <c r="A134" s="44" t="inlineStr">
        <is>
          <t>TL Cinsi Kira Sertifikalari</t>
        </is>
      </c>
      <c r="B134" s="44" t="n">
        <v>2023</v>
      </c>
      <c r="C134" s="44" t="inlineStr">
        <is>
          <t>TRD111028T19</t>
        </is>
      </c>
      <c r="D134" s="44" t="inlineStr">
        <is>
          <t>18.10.2023</t>
        </is>
      </c>
      <c r="E134" s="44" t="inlineStr">
        <is>
          <t>11.10.2028</t>
        </is>
      </c>
      <c r="F134" s="44" t="n">
        <v>1820</v>
      </c>
      <c r="G134" s="44" t="inlineStr">
        <is>
          <t>6 Ay</t>
        </is>
      </c>
      <c r="H134" s="15" t="n">
        <v>14.26</v>
      </c>
      <c r="I134" s="45" t="n"/>
      <c r="J134" s="45" t="n"/>
      <c r="K134" s="45" t="n">
        <v>28927230</v>
      </c>
      <c r="L134" s="45" t="n">
        <v>28927230</v>
      </c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15" t="n"/>
      <c r="V134" s="15" t="n"/>
      <c r="W134" s="49" t="n">
        <v>100</v>
      </c>
    </row>
    <row r="135">
      <c r="A135" s="44" t="inlineStr">
        <is>
          <t>TL Cinsi Kira Sertifikalari</t>
        </is>
      </c>
      <c r="B135" s="44" t="n">
        <v>2023</v>
      </c>
      <c r="C135" s="44" t="inlineStr">
        <is>
          <t>TRD081128T13</t>
        </is>
      </c>
      <c r="D135" s="44" t="inlineStr">
        <is>
          <t>15.11.2023</t>
        </is>
      </c>
      <c r="E135" s="44" t="inlineStr">
        <is>
          <t>08.11.2028</t>
        </is>
      </c>
      <c r="F135" s="44" t="n">
        <v>1820</v>
      </c>
      <c r="G135" s="44" t="inlineStr">
        <is>
          <t>6 Ay</t>
        </is>
      </c>
      <c r="H135" s="15" t="n">
        <v>16.48</v>
      </c>
      <c r="I135" s="45" t="n"/>
      <c r="J135" s="45" t="n"/>
      <c r="K135" s="45" t="n">
        <v>3566900</v>
      </c>
      <c r="L135" s="45" t="n">
        <v>3566900</v>
      </c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15" t="n"/>
      <c r="V135" s="15" t="n"/>
      <c r="W135" s="49" t="n">
        <v>100</v>
      </c>
    </row>
    <row r="136">
      <c r="A136" s="44" t="inlineStr">
        <is>
          <t>TL Cinsi Kira Sertifikalari</t>
        </is>
      </c>
      <c r="B136" s="44" t="n">
        <v>2023</v>
      </c>
      <c r="C136" s="44" t="inlineStr">
        <is>
          <t>TRD061228T14</t>
        </is>
      </c>
      <c r="D136" s="44" t="inlineStr">
        <is>
          <t>13.12.2023</t>
        </is>
      </c>
      <c r="E136" s="44" t="inlineStr">
        <is>
          <t>06.12.2028</t>
        </is>
      </c>
      <c r="F136" s="44" t="n">
        <v>1820</v>
      </c>
      <c r="G136" s="44" t="inlineStr">
        <is>
          <t>6 Ay</t>
        </is>
      </c>
      <c r="H136" s="15" t="n">
        <v>14.28</v>
      </c>
      <c r="I136" s="45" t="n"/>
      <c r="J136" s="45" t="n"/>
      <c r="K136" s="45" t="n">
        <v>10000000</v>
      </c>
      <c r="L136" s="45" t="n">
        <v>10000000</v>
      </c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15" t="n"/>
      <c r="V136" s="15" t="n"/>
      <c r="W136" s="49" t="n">
        <v>100</v>
      </c>
    </row>
    <row r="137">
      <c r="A137" s="44" t="inlineStr">
        <is>
          <t>TL Cinsi Kira Sertifikalari</t>
        </is>
      </c>
      <c r="B137" s="44" t="n">
        <v>2024</v>
      </c>
      <c r="C137" s="44" t="inlineStr">
        <is>
          <t>TRD170129T13</t>
        </is>
      </c>
      <c r="D137" s="44" t="inlineStr">
        <is>
          <t>24.01.2024</t>
        </is>
      </c>
      <c r="E137" s="44" t="inlineStr">
        <is>
          <t>17.01.2029</t>
        </is>
      </c>
      <c r="F137" s="44" t="n">
        <v>1820</v>
      </c>
      <c r="G137" s="44" t="inlineStr">
        <is>
          <t>6 Ay</t>
        </is>
      </c>
      <c r="H137" s="15" t="n">
        <v>14.34</v>
      </c>
      <c r="I137" s="45" t="n"/>
      <c r="J137" s="45" t="n"/>
      <c r="K137" s="45" t="n">
        <v>5856100</v>
      </c>
      <c r="L137" s="45" t="n">
        <v>5856100</v>
      </c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15" t="n"/>
      <c r="V137" s="15" t="n"/>
      <c r="W137" s="49" t="n">
        <v>100</v>
      </c>
    </row>
    <row r="138">
      <c r="A138" s="44" t="inlineStr">
        <is>
          <t>TL Cinsi Kira Sertifikalari</t>
        </is>
      </c>
      <c r="B138" s="44" t="n">
        <v>2024</v>
      </c>
      <c r="C138" s="44" t="inlineStr">
        <is>
          <t>TRD140229T15</t>
        </is>
      </c>
      <c r="D138" s="44" t="inlineStr">
        <is>
          <t>21.02.2024</t>
        </is>
      </c>
      <c r="E138" s="44" t="inlineStr">
        <is>
          <t>14.02.2029</t>
        </is>
      </c>
      <c r="F138" s="44" t="n">
        <v>1820</v>
      </c>
      <c r="G138" s="44" t="inlineStr">
        <is>
          <t>6 Ay</t>
        </is>
      </c>
      <c r="H138" s="15" t="n">
        <v>13.79</v>
      </c>
      <c r="I138" s="45" t="n"/>
      <c r="J138" s="45" t="n"/>
      <c r="K138" s="45" t="n">
        <v>3569500</v>
      </c>
      <c r="L138" s="45" t="n">
        <v>3569500</v>
      </c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15" t="n"/>
      <c r="V138" s="15" t="n"/>
      <c r="W138" s="49" t="n">
        <v>100</v>
      </c>
    </row>
    <row r="139">
      <c r="A139" s="44" t="inlineStr">
        <is>
          <t>TL Cinsi Kira Sertifikalari</t>
        </is>
      </c>
      <c r="B139" s="44" t="n">
        <v>2024</v>
      </c>
      <c r="C139" s="44" t="inlineStr">
        <is>
          <t>TRD140329T14</t>
        </is>
      </c>
      <c r="D139" s="44" t="inlineStr">
        <is>
          <t>20.03.2024</t>
        </is>
      </c>
      <c r="E139" s="44" t="inlineStr">
        <is>
          <t>14.03.2029</t>
        </is>
      </c>
      <c r="F139" s="44" t="n">
        <v>1820</v>
      </c>
      <c r="G139" s="44" t="inlineStr">
        <is>
          <t>6 Ay</t>
        </is>
      </c>
      <c r="H139" s="15" t="n">
        <v>15</v>
      </c>
      <c r="I139" s="45" t="n"/>
      <c r="J139" s="45" t="n"/>
      <c r="K139" s="45" t="n">
        <v>3562300</v>
      </c>
      <c r="L139" s="45" t="n">
        <v>3562300</v>
      </c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15" t="n"/>
      <c r="V139" s="15" t="n"/>
      <c r="W139" s="49" t="n">
        <v>100</v>
      </c>
    </row>
    <row r="140">
      <c r="A140" s="44" t="inlineStr">
        <is>
          <t>TL Cinsi Kira Sertifikalari</t>
        </is>
      </c>
      <c r="B140" s="44" t="n">
        <v>2024</v>
      </c>
      <c r="C140" s="44" t="inlineStr">
        <is>
          <t>TRD150426T49</t>
        </is>
      </c>
      <c r="D140" s="44" t="inlineStr">
        <is>
          <t>17.04.2024</t>
        </is>
      </c>
      <c r="E140" s="44" t="inlineStr">
        <is>
          <t>15.04.2026</t>
        </is>
      </c>
      <c r="F140" s="44" t="n">
        <v>728</v>
      </c>
      <c r="G140" s="44" t="inlineStr">
        <is>
          <t>6 Ay</t>
        </is>
      </c>
      <c r="H140" s="15" t="n">
        <v>20.23</v>
      </c>
      <c r="I140" s="45" t="n"/>
      <c r="J140" s="45" t="n"/>
      <c r="K140" s="45" t="n">
        <v>5683850</v>
      </c>
      <c r="L140" s="45" t="n">
        <v>5683850</v>
      </c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15" t="n"/>
      <c r="V140" s="15" t="n"/>
      <c r="W140" s="49" t="n">
        <v>100</v>
      </c>
    </row>
    <row r="141">
      <c r="A141" s="44" t="inlineStr">
        <is>
          <t>TL Cinsi Kira Sertifikalari</t>
        </is>
      </c>
      <c r="B141" s="44" t="n">
        <v>2024</v>
      </c>
      <c r="C141" s="44" t="inlineStr">
        <is>
          <t>TRD060526T15</t>
        </is>
      </c>
      <c r="D141" s="44" t="inlineStr">
        <is>
          <t>08.05.2024</t>
        </is>
      </c>
      <c r="E141" s="44" t="inlineStr">
        <is>
          <t>06.05.2026</t>
        </is>
      </c>
      <c r="F141" s="44" t="n">
        <v>728</v>
      </c>
      <c r="G141" s="44" t="inlineStr">
        <is>
          <t>6 Ay</t>
        </is>
      </c>
      <c r="H141" s="15" t="n">
        <v>20.45</v>
      </c>
      <c r="I141" s="45" t="n"/>
      <c r="J141" s="45" t="n"/>
      <c r="K141" s="45" t="n">
        <v>4357200</v>
      </c>
      <c r="L141" s="45" t="n">
        <v>4357200</v>
      </c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15" t="n"/>
      <c r="V141" s="15" t="n"/>
      <c r="W141" s="49" t="n">
        <v>100</v>
      </c>
    </row>
    <row r="142">
      <c r="A142" s="44" t="inlineStr">
        <is>
          <t>TL Cinsi Kira Sertifikalari</t>
        </is>
      </c>
      <c r="B142" s="44" t="n">
        <v>2024</v>
      </c>
      <c r="C142" s="44" t="inlineStr">
        <is>
          <t>TRD020627T17</t>
        </is>
      </c>
      <c r="D142" s="44" t="inlineStr">
        <is>
          <t>05.06.2024</t>
        </is>
      </c>
      <c r="E142" s="44" t="inlineStr">
        <is>
          <t>02.06.2027</t>
        </is>
      </c>
      <c r="F142" s="44" t="n">
        <v>1092</v>
      </c>
      <c r="G142" s="44" t="inlineStr">
        <is>
          <t>6 Ay</t>
        </is>
      </c>
      <c r="H142" s="15" t="n">
        <v>1.63</v>
      </c>
      <c r="I142" s="45" t="n"/>
      <c r="J142" s="45" t="n"/>
      <c r="K142" s="45" t="n">
        <v>14220000</v>
      </c>
      <c r="L142" s="45" t="n">
        <v>14220000</v>
      </c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15" t="n"/>
      <c r="V142" s="15" t="n"/>
      <c r="W142" s="49" t="n">
        <v>100</v>
      </c>
    </row>
    <row r="143">
      <c r="A143" s="44" t="inlineStr">
        <is>
          <t>TL Cinsi Kira Sertifikalari</t>
        </is>
      </c>
      <c r="B143" s="44" t="n">
        <v>2024</v>
      </c>
      <c r="C143" s="44" t="inlineStr">
        <is>
          <t>TRD220726T13</t>
        </is>
      </c>
      <c r="D143" s="44" t="inlineStr">
        <is>
          <t>24.07.2024</t>
        </is>
      </c>
      <c r="E143" s="44" t="inlineStr">
        <is>
          <t>22.07.2026</t>
        </is>
      </c>
      <c r="F143" s="44" t="n">
        <v>728</v>
      </c>
      <c r="G143" s="44" t="inlineStr">
        <is>
          <t>6 Ay</t>
        </is>
      </c>
      <c r="H143" s="15" t="n">
        <v>19.27</v>
      </c>
      <c r="I143" s="45" t="n"/>
      <c r="J143" s="45" t="n"/>
      <c r="K143" s="45" t="n">
        <v>12000000</v>
      </c>
      <c r="L143" s="45" t="n">
        <v>12000000</v>
      </c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15" t="n"/>
      <c r="V143" s="15" t="n"/>
      <c r="W143" s="49" t="n">
        <v>100</v>
      </c>
    </row>
    <row r="144">
      <c r="A144" s="44" t="inlineStr">
        <is>
          <t>TL Cinsi Kira Sertifikalari</t>
        </is>
      </c>
      <c r="B144" s="44" t="n">
        <v>2024</v>
      </c>
      <c r="C144" s="44" t="inlineStr">
        <is>
          <t>TRD120826T14</t>
        </is>
      </c>
      <c r="D144" s="44" t="inlineStr">
        <is>
          <t>14.08.2024</t>
        </is>
      </c>
      <c r="E144" s="44" t="inlineStr">
        <is>
          <t>12.08.2026</t>
        </is>
      </c>
      <c r="F144" s="44" t="n">
        <v>728</v>
      </c>
      <c r="G144" s="44" t="inlineStr">
        <is>
          <t>6 Ay</t>
        </is>
      </c>
      <c r="H144" s="15" t="n">
        <v>18.85</v>
      </c>
      <c r="I144" s="45" t="n"/>
      <c r="J144" s="45" t="n"/>
      <c r="K144" s="45" t="n">
        <v>3477500</v>
      </c>
      <c r="L144" s="45" t="n">
        <v>3477500</v>
      </c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15" t="n"/>
      <c r="V144" s="15" t="n"/>
      <c r="W144" s="49" t="n">
        <v>100</v>
      </c>
    </row>
    <row r="145">
      <c r="A145" s="44" t="inlineStr">
        <is>
          <t>TL Cinsi Kira Sertifikalari</t>
        </is>
      </c>
      <c r="B145" s="44" t="n">
        <v>2024</v>
      </c>
      <c r="C145" s="44" t="inlineStr">
        <is>
          <t>TRD160926T35</t>
        </is>
      </c>
      <c r="D145" s="44" t="inlineStr">
        <is>
          <t>18.09.2024</t>
        </is>
      </c>
      <c r="E145" s="44" t="inlineStr">
        <is>
          <t>16.09.2026</t>
        </is>
      </c>
      <c r="F145" s="44" t="n">
        <v>728</v>
      </c>
      <c r="G145" s="44" t="inlineStr">
        <is>
          <t>6 Ay</t>
        </is>
      </c>
      <c r="H145" s="15" t="n">
        <v>18.72</v>
      </c>
      <c r="I145" s="45" t="n"/>
      <c r="J145" s="45" t="n"/>
      <c r="K145" s="45" t="n">
        <v>4464000</v>
      </c>
      <c r="L145" s="45" t="n">
        <v>4464000</v>
      </c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15" t="n"/>
      <c r="V145" s="15" t="n"/>
      <c r="W145" s="49" t="n">
        <v>100</v>
      </c>
    </row>
    <row r="146">
      <c r="A146" s="44" t="inlineStr">
        <is>
          <t>TL Cinsi Kira Sertifikalari</t>
        </is>
      </c>
      <c r="B146" s="44" t="n">
        <v>2024</v>
      </c>
      <c r="C146" s="44" t="inlineStr">
        <is>
          <t>TRD141026T18</t>
        </is>
      </c>
      <c r="D146" s="44" t="inlineStr">
        <is>
          <t>16.10.2024</t>
        </is>
      </c>
      <c r="E146" s="44" t="inlineStr">
        <is>
          <t>14.10.2026</t>
        </is>
      </c>
      <c r="F146" s="44" t="n">
        <v>728</v>
      </c>
      <c r="G146" s="44" t="inlineStr">
        <is>
          <t>6 Ay</t>
        </is>
      </c>
      <c r="H146" s="15" t="n">
        <v>19.54</v>
      </c>
      <c r="I146" s="45" t="n"/>
      <c r="J146" s="45" t="n"/>
      <c r="K146" s="45" t="n">
        <v>12533000</v>
      </c>
      <c r="L146" s="45" t="n">
        <v>12533000</v>
      </c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15" t="n"/>
      <c r="V146" s="15" t="n"/>
      <c r="W146" s="49" t="n">
        <v>100</v>
      </c>
    </row>
    <row r="147">
      <c r="A147" s="44" t="inlineStr">
        <is>
          <t>TL Cinsi Kira Sertifikalari</t>
        </is>
      </c>
      <c r="B147" s="44" t="n">
        <v>2024</v>
      </c>
      <c r="C147" s="44" t="inlineStr">
        <is>
          <t>TRD111126T10</t>
        </is>
      </c>
      <c r="D147" s="44" t="inlineStr">
        <is>
          <t>13.11.2024</t>
        </is>
      </c>
      <c r="E147" s="44" t="inlineStr">
        <is>
          <t>11.11.2026</t>
        </is>
      </c>
      <c r="F147" s="44" t="n">
        <v>728</v>
      </c>
      <c r="G147" s="44" t="inlineStr">
        <is>
          <t>6 Ay</t>
        </is>
      </c>
      <c r="H147" s="15" t="n">
        <v>18.5</v>
      </c>
      <c r="I147" s="45" t="n"/>
      <c r="J147" s="45" t="n"/>
      <c r="K147" s="45" t="n">
        <v>12079710</v>
      </c>
      <c r="L147" s="45" t="n">
        <v>12079710</v>
      </c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15" t="n"/>
      <c r="V147" s="15" t="n"/>
      <c r="W147" s="49" t="n">
        <v>100</v>
      </c>
    </row>
    <row r="148">
      <c r="A148" s="44" t="inlineStr">
        <is>
          <t>TL Cinsi Kira Sertifikalari</t>
        </is>
      </c>
      <c r="B148" s="44" t="n">
        <v>2024</v>
      </c>
      <c r="C148" s="44" t="inlineStr">
        <is>
          <t>TRD161226T14</t>
        </is>
      </c>
      <c r="D148" s="44" t="inlineStr">
        <is>
          <t>18.12.2024</t>
        </is>
      </c>
      <c r="E148" s="44" t="inlineStr">
        <is>
          <t>16.12.2026</t>
        </is>
      </c>
      <c r="F148" s="44" t="n">
        <v>728</v>
      </c>
      <c r="G148" s="44" t="inlineStr">
        <is>
          <t>6 Ay</t>
        </is>
      </c>
      <c r="H148" s="15" t="n">
        <v>18.5</v>
      </c>
      <c r="I148" s="45" t="n"/>
      <c r="J148" s="45" t="n"/>
      <c r="K148" s="45" t="n">
        <v>1469011</v>
      </c>
      <c r="L148" s="45" t="n">
        <v>1469011</v>
      </c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15" t="n"/>
      <c r="V148" s="15" t="n"/>
      <c r="W148" s="49" t="n">
        <v>100</v>
      </c>
    </row>
    <row r="149">
      <c r="A149" s="44" t="inlineStr">
        <is>
          <t>TL Cinsi Kira Sertifikalari</t>
        </is>
      </c>
      <c r="B149" s="44" t="n">
        <v>2025</v>
      </c>
      <c r="C149" s="44" t="inlineStr">
        <is>
          <t>TRD100227T11</t>
        </is>
      </c>
      <c r="D149" s="44" t="inlineStr">
        <is>
          <t>12.02.2025</t>
        </is>
      </c>
      <c r="E149" s="44" t="inlineStr">
        <is>
          <t>10.02.2027</t>
        </is>
      </c>
      <c r="F149" s="44" t="n">
        <v>728</v>
      </c>
      <c r="G149" s="44" t="inlineStr">
        <is>
          <t>6 Ay</t>
        </is>
      </c>
      <c r="H149" s="15" t="n">
        <v>17.36</v>
      </c>
      <c r="I149" s="45" t="n"/>
      <c r="J149" s="45" t="n"/>
      <c r="K149" s="45" t="n">
        <v>7297500</v>
      </c>
      <c r="L149" s="45" t="n">
        <v>7297500</v>
      </c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15" t="n"/>
      <c r="V149" s="15" t="n"/>
      <c r="W149" s="49" t="n">
        <v>100</v>
      </c>
    </row>
    <row r="150">
      <c r="A150" s="44" t="inlineStr">
        <is>
          <t>TL Cinsi Kira Sertifikalari</t>
        </is>
      </c>
      <c r="B150" s="44" t="n">
        <v>2025</v>
      </c>
      <c r="C150" s="44" t="inlineStr">
        <is>
          <t>TRD070427T14</t>
        </is>
      </c>
      <c r="D150" s="44" t="inlineStr">
        <is>
          <t>09.04.2025</t>
        </is>
      </c>
      <c r="E150" s="44" t="inlineStr">
        <is>
          <t>07.04.2027</t>
        </is>
      </c>
      <c r="F150" s="44" t="n">
        <v>728</v>
      </c>
      <c r="G150" s="44" t="inlineStr">
        <is>
          <t>6 Ay</t>
        </is>
      </c>
      <c r="H150" s="15" t="n">
        <v>21.31</v>
      </c>
      <c r="I150" s="45" t="n"/>
      <c r="J150" s="45" t="n"/>
      <c r="K150" s="45" t="n">
        <v>22060437</v>
      </c>
      <c r="L150" s="45" t="n">
        <v>22060437</v>
      </c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15" t="n"/>
      <c r="V150" s="15" t="n"/>
      <c r="W150" s="49" t="n">
        <v>100</v>
      </c>
    </row>
    <row r="151">
      <c r="A151" s="44" t="inlineStr">
        <is>
          <t>TL Cinsi Kira Sertifikalari</t>
        </is>
      </c>
      <c r="B151" s="44" t="n">
        <v>2025</v>
      </c>
      <c r="C151" s="44" t="inlineStr">
        <is>
          <t>TRD160627T11</t>
        </is>
      </c>
      <c r="D151" s="44" t="inlineStr">
        <is>
          <t>18.06.2025</t>
        </is>
      </c>
      <c r="E151" s="44" t="inlineStr">
        <is>
          <t>16.06.2027</t>
        </is>
      </c>
      <c r="F151" s="44" t="n">
        <v>728</v>
      </c>
      <c r="G151" s="44" t="inlineStr">
        <is>
          <t>6 Ay</t>
        </is>
      </c>
      <c r="H151" s="15" t="n">
        <v>19.98</v>
      </c>
      <c r="I151" s="45" t="n"/>
      <c r="J151" s="45" t="n"/>
      <c r="K151" s="45" t="n">
        <v>15125830</v>
      </c>
      <c r="L151" s="45" t="n">
        <v>15125830</v>
      </c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15" t="n"/>
      <c r="V151" s="15" t="n"/>
      <c r="W151" s="49" t="n">
        <v>100</v>
      </c>
    </row>
    <row r="152">
      <c r="A152" s="44" t="inlineStr">
        <is>
          <t>TL Cinsi Kira Sertifikalari</t>
        </is>
      </c>
      <c r="B152" s="44" t="n">
        <v>2025</v>
      </c>
      <c r="C152" s="44" t="inlineStr">
        <is>
          <t>TRD170730T14</t>
        </is>
      </c>
      <c r="D152" s="44" t="inlineStr">
        <is>
          <t>23.07.2025</t>
        </is>
      </c>
      <c r="E152" s="44" t="inlineStr">
        <is>
          <t>17.07.2030</t>
        </is>
      </c>
      <c r="F152" s="44" t="n">
        <v>1820</v>
      </c>
      <c r="G152" s="44" t="inlineStr">
        <is>
          <t>6 Ay</t>
        </is>
      </c>
      <c r="H152" s="15" t="n">
        <v>16.68</v>
      </c>
      <c r="I152" s="45" t="n"/>
      <c r="J152" s="45" t="n"/>
      <c r="K152" s="45" t="n">
        <v>23773430</v>
      </c>
      <c r="L152" s="45" t="n">
        <v>23773430</v>
      </c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15" t="n"/>
      <c r="V152" s="15" t="n"/>
      <c r="W152" s="49" t="n">
        <v>100</v>
      </c>
    </row>
    <row r="153">
      <c r="A153" s="44" t="inlineStr">
        <is>
          <t>TL Cinsi Kira Sertifikalari</t>
        </is>
      </c>
      <c r="B153" s="44" t="n">
        <v>2025</v>
      </c>
      <c r="C153" s="44" t="inlineStr">
        <is>
          <t>TRD110827T14</t>
        </is>
      </c>
      <c r="D153" s="44" t="inlineStr">
        <is>
          <t>13.08.2025</t>
        </is>
      </c>
      <c r="E153" s="44" t="inlineStr">
        <is>
          <t>11.08.2027</t>
        </is>
      </c>
      <c r="F153" s="44" t="n">
        <v>728</v>
      </c>
      <c r="G153" s="44" t="inlineStr">
        <is>
          <t>6 Ay</t>
        </is>
      </c>
      <c r="H153" s="15" t="n">
        <v>18.41</v>
      </c>
      <c r="I153" s="45" t="n"/>
      <c r="J153" s="45" t="n"/>
      <c r="K153" s="45" t="n">
        <v>13901160</v>
      </c>
      <c r="L153" s="45" t="n">
        <v>13901160</v>
      </c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15" t="n"/>
      <c r="V153" s="15" t="n"/>
      <c r="W153" s="49" t="n">
        <v>100</v>
      </c>
    </row>
    <row r="154">
      <c r="A154" s="44" t="inlineStr">
        <is>
          <t>TL Cinsi Kira Sertifikalari</t>
        </is>
      </c>
      <c r="B154" s="44" t="n">
        <v>2025</v>
      </c>
      <c r="C154" s="44" t="inlineStr">
        <is>
          <t>TRD080927T34</t>
        </is>
      </c>
      <c r="D154" s="44" t="inlineStr">
        <is>
          <t>10.09.2025</t>
        </is>
      </c>
      <c r="E154" s="44" t="inlineStr">
        <is>
          <t>08.09.2027</t>
        </is>
      </c>
      <c r="F154" s="44" t="n">
        <v>728</v>
      </c>
      <c r="G154" s="44" t="inlineStr">
        <is>
          <t>6 Ay</t>
        </is>
      </c>
      <c r="H154" s="15" t="n">
        <v>21.5</v>
      </c>
      <c r="I154" s="45" t="n"/>
      <c r="J154" s="45" t="n"/>
      <c r="K154" s="45" t="n">
        <v>80074420</v>
      </c>
      <c r="L154" s="45" t="n">
        <v>80074420</v>
      </c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15" t="n"/>
      <c r="V154" s="15" t="n"/>
      <c r="W154" s="49" t="n">
        <v>100</v>
      </c>
    </row>
    <row r="155">
      <c r="A155" s="44" t="inlineStr">
        <is>
          <t>TL Cinsi Kira Sertifikalari</t>
        </is>
      </c>
      <c r="B155" s="44" t="n">
        <v>2025</v>
      </c>
      <c r="C155" s="44" t="inlineStr">
        <is>
          <t>TRD061027T33</t>
        </is>
      </c>
      <c r="D155" s="44" t="inlineStr">
        <is>
          <t>08.10.2025</t>
        </is>
      </c>
      <c r="E155" s="44" t="inlineStr">
        <is>
          <t>06.10.2027</t>
        </is>
      </c>
      <c r="F155" s="44" t="n">
        <v>728</v>
      </c>
      <c r="G155" s="44" t="inlineStr">
        <is>
          <t>6 Ay</t>
        </is>
      </c>
      <c r="H155" s="15" t="n">
        <v>20</v>
      </c>
      <c r="I155" s="45" t="n"/>
      <c r="J155" s="45" t="n"/>
      <c r="K155" s="45" t="n">
        <v>38373000</v>
      </c>
      <c r="L155" s="45" t="n">
        <v>38373000</v>
      </c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15" t="n"/>
      <c r="V155" s="15" t="n"/>
      <c r="W155" s="49" t="n">
        <v>100</v>
      </c>
    </row>
    <row r="156">
      <c r="A156" s="44" t="inlineStr">
        <is>
          <t>TL Cinsi Kira Sertifikalari</t>
        </is>
      </c>
      <c r="B156" s="44" t="n">
        <v>2025</v>
      </c>
      <c r="C156" s="44" t="inlineStr">
        <is>
          <t>TRD171127T13</t>
        </is>
      </c>
      <c r="D156" s="44" t="inlineStr">
        <is>
          <t>19.11.2025</t>
        </is>
      </c>
      <c r="E156" s="44" t="inlineStr">
        <is>
          <t>17.11.2027</t>
        </is>
      </c>
      <c r="F156" s="44" t="n">
        <v>728</v>
      </c>
      <c r="G156" s="44" t="inlineStr">
        <is>
          <t>6 Ay</t>
        </is>
      </c>
      <c r="H156" s="15" t="n">
        <v>19</v>
      </c>
      <c r="I156" s="45" t="n"/>
      <c r="J156" s="45" t="n"/>
      <c r="K156" s="45" t="n">
        <v>17782910</v>
      </c>
      <c r="L156" s="45" t="n">
        <v>17782910</v>
      </c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15" t="n"/>
      <c r="V156" s="15" t="n"/>
      <c r="W156" s="49" t="n">
        <v>100</v>
      </c>
    </row>
    <row r="157">
      <c r="A157" s="44" t="inlineStr">
        <is>
          <t>TL Cinsi Kira Sertifikalari</t>
        </is>
      </c>
      <c r="B157" s="44" t="n">
        <v>2025</v>
      </c>
      <c r="C157" s="44" t="inlineStr">
        <is>
          <t>TRD151227T14</t>
        </is>
      </c>
      <c r="D157" s="44" t="inlineStr">
        <is>
          <t>17.12.2025</t>
        </is>
      </c>
      <c r="E157" s="44" t="inlineStr">
        <is>
          <t>15.12.2027</t>
        </is>
      </c>
      <c r="F157" s="44" t="n">
        <v>728</v>
      </c>
      <c r="G157" s="44" t="inlineStr">
        <is>
          <t>6 Ay</t>
        </is>
      </c>
      <c r="H157" s="15" t="n">
        <v>18.25</v>
      </c>
      <c r="I157" s="45" t="n"/>
      <c r="J157" s="45" t="n"/>
      <c r="K157" s="45" t="n">
        <v>15045100</v>
      </c>
      <c r="L157" s="45" t="n">
        <v>15045100</v>
      </c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15" t="n"/>
      <c r="V157" s="15" t="n"/>
      <c r="W157" s="49" t="n">
        <v>100</v>
      </c>
    </row>
    <row r="158">
      <c r="A158" s="44" t="inlineStr">
        <is>
          <t>TL Cinsi Kira Sertifikalari</t>
        </is>
      </c>
      <c r="B158" s="44" t="n">
        <v>2026</v>
      </c>
      <c r="C158" s="44" t="inlineStr">
        <is>
          <t>TRD050128T18</t>
        </is>
      </c>
      <c r="D158" s="44" t="inlineStr">
        <is>
          <t>07.01.2026</t>
        </is>
      </c>
      <c r="E158" s="44" t="inlineStr">
        <is>
          <t>05.01.2028</t>
        </is>
      </c>
      <c r="F158" s="44" t="n">
        <v>728</v>
      </c>
      <c r="G158" s="44" t="inlineStr">
        <is>
          <t>6 Ay</t>
        </is>
      </c>
      <c r="H158" s="15" t="n">
        <v>16.7</v>
      </c>
      <c r="I158" s="45" t="n"/>
      <c r="J158" s="45" t="n"/>
      <c r="K158" s="45" t="n">
        <v>18907700</v>
      </c>
      <c r="L158" s="45" t="n">
        <v>18907700</v>
      </c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15" t="n"/>
      <c r="V158" s="15" t="n"/>
      <c r="W158" s="49" t="n">
        <v>100</v>
      </c>
    </row>
    <row r="159">
      <c r="A159" s="44" t="inlineStr">
        <is>
          <t>TL Cinsi Kira Sertifikalari</t>
        </is>
      </c>
      <c r="B159" s="44" t="n">
        <v>2026</v>
      </c>
      <c r="C159" s="44" t="inlineStr">
        <is>
          <t>TRD050231T12</t>
        </is>
      </c>
      <c r="D159" s="44" t="inlineStr">
        <is>
          <t>11.02.2026</t>
        </is>
      </c>
      <c r="E159" s="44" t="inlineStr">
        <is>
          <t>05.02.2031</t>
        </is>
      </c>
      <c r="F159" s="44" t="n">
        <v>1820</v>
      </c>
      <c r="G159" s="44" t="inlineStr">
        <is>
          <t>6 Ay</t>
        </is>
      </c>
      <c r="H159" s="15" t="n">
        <v>15.15</v>
      </c>
      <c r="I159" s="45" t="n"/>
      <c r="J159" s="45" t="n"/>
      <c r="K159" s="45" t="n">
        <v>29864500</v>
      </c>
      <c r="L159" s="45" t="n">
        <v>29864500</v>
      </c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15" t="n"/>
      <c r="V159" s="15" t="n"/>
      <c r="W159" s="49" t="n">
        <v>100</v>
      </c>
    </row>
    <row r="160">
      <c r="A160" s="44" t="inlineStr">
        <is>
          <t>TL Cinsi Kira Sertifikalari</t>
        </is>
      </c>
      <c r="B160" s="44" t="n">
        <v>2026</v>
      </c>
      <c r="C160" s="44" t="inlineStr">
        <is>
          <t>TRD120428T16</t>
        </is>
      </c>
      <c r="D160" s="44" t="inlineStr">
        <is>
          <t>15.04.2026</t>
        </is>
      </c>
      <c r="E160" s="44" t="inlineStr">
        <is>
          <t>12.04.2028</t>
        </is>
      </c>
      <c r="F160" s="44" t="n">
        <v>728</v>
      </c>
      <c r="G160" s="44" t="inlineStr">
        <is>
          <t>6 Ay</t>
        </is>
      </c>
      <c r="H160" s="15" t="n">
        <v>18.14</v>
      </c>
      <c r="I160" s="45" t="n"/>
      <c r="J160" s="45" t="n"/>
      <c r="K160" s="45" t="n">
        <v>24118800</v>
      </c>
      <c r="L160" s="45" t="n">
        <v>24118800</v>
      </c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15" t="n"/>
      <c r="V160" s="15" t="n"/>
      <c r="W160" s="49" t="n">
        <v>100</v>
      </c>
    </row>
    <row r="161">
      <c r="A161" s="44" t="inlineStr">
        <is>
          <t>TL Cinsi Kira Sertifikalari</t>
        </is>
      </c>
      <c r="B161" s="44" t="n">
        <v>2026</v>
      </c>
      <c r="C161" s="44" t="inlineStr">
        <is>
          <t>TRD160627T37</t>
        </is>
      </c>
      <c r="D161" s="44" t="inlineStr">
        <is>
          <t>17.06.2026</t>
        </is>
      </c>
      <c r="E161" s="44" t="inlineStr">
        <is>
          <t>16.06.2027</t>
        </is>
      </c>
      <c r="F161" s="44" t="n">
        <v>364</v>
      </c>
      <c r="G161" s="44" t="inlineStr">
        <is>
          <t>6 Ay</t>
        </is>
      </c>
      <c r="H161" s="15" t="n">
        <v>19</v>
      </c>
      <c r="I161" s="45" t="n"/>
      <c r="J161" s="45" t="n"/>
      <c r="K161" s="45" t="n">
        <v>13424000</v>
      </c>
      <c r="L161" s="45" t="n">
        <v>13424000</v>
      </c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15" t="n"/>
      <c r="V161" s="15" t="n"/>
      <c r="W161" s="49" t="n">
        <v>100</v>
      </c>
    </row>
    <row r="162">
      <c r="A162" s="44" t="inlineStr">
        <is>
          <t>TL Cinsi Kira Sertifikalari</t>
        </is>
      </c>
      <c r="B162" s="44" t="n">
        <v>2026</v>
      </c>
      <c r="C162" s="44" t="inlineStr">
        <is>
          <t>TRD190728T16</t>
        </is>
      </c>
      <c r="D162" s="44" t="inlineStr">
        <is>
          <t>22.07.2026</t>
        </is>
      </c>
      <c r="E162" s="44" t="inlineStr">
        <is>
          <t>19.07.2028</t>
        </is>
      </c>
      <c r="F162" s="44" t="n">
        <v>728</v>
      </c>
      <c r="G162" s="44" t="inlineStr">
        <is>
          <t>6 Ay</t>
        </is>
      </c>
      <c r="H162" s="15" t="n">
        <v>18.68</v>
      </c>
      <c r="I162" s="45" t="n"/>
      <c r="J162" s="45" t="n"/>
      <c r="K162" s="45" t="n">
        <v>19851540</v>
      </c>
      <c r="L162" s="45" t="n">
        <v>19851540</v>
      </c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15" t="n"/>
      <c r="V162" s="15" t="n"/>
      <c r="W162" s="49" t="n">
        <v>100</v>
      </c>
    </row>
    <row r="163">
      <c r="A163" s="44" t="inlineStr">
        <is>
          <t>TL Cinsi Kira Sertifikalari</t>
        </is>
      </c>
      <c r="B163" s="44" t="n">
        <v>2026</v>
      </c>
      <c r="C163" s="44" t="inlineStr">
        <is>
          <t>TRD090828T17</t>
        </is>
      </c>
      <c r="D163" s="44" t="inlineStr">
        <is>
          <t>12.08.2026</t>
        </is>
      </c>
      <c r="E163" s="44" t="inlineStr">
        <is>
          <t>09.08.2028</t>
        </is>
      </c>
      <c r="F163" s="44" t="n">
        <v>728</v>
      </c>
      <c r="G163" s="44" t="inlineStr">
        <is>
          <t>6 Ay</t>
        </is>
      </c>
      <c r="H163" s="15" t="n">
        <v>19.5</v>
      </c>
      <c r="I163" s="45" t="n"/>
      <c r="J163" s="45" t="n"/>
      <c r="K163" s="45" t="n">
        <v>66589500</v>
      </c>
      <c r="L163" s="45" t="n">
        <v>66589500</v>
      </c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15" t="n"/>
      <c r="V163" s="15" t="n"/>
      <c r="W163" s="49" t="n">
        <v>100</v>
      </c>
    </row>
    <row r="164">
      <c r="A164" s="44" t="inlineStr">
        <is>
          <t>TL Cinsi Kira Sertifikalari</t>
        </is>
      </c>
      <c r="B164" s="44" t="n">
        <v>2026</v>
      </c>
      <c r="C164" s="44" t="inlineStr">
        <is>
          <t>TRD130928T10</t>
        </is>
      </c>
      <c r="D164" s="44" t="inlineStr">
        <is>
          <t>16.09.2026</t>
        </is>
      </c>
      <c r="E164" s="44" t="inlineStr">
        <is>
          <t>13.09.2028</t>
        </is>
      </c>
      <c r="F164" s="44" t="n">
        <v>728</v>
      </c>
      <c r="G164" s="44" t="inlineStr">
        <is>
          <t>6 Ay</t>
        </is>
      </c>
      <c r="H164" s="15" t="n">
        <v>18.3</v>
      </c>
      <c r="I164" s="45" t="n"/>
      <c r="J164" s="45" t="n"/>
      <c r="K164" s="45" t="n">
        <v>32206100</v>
      </c>
      <c r="L164" s="45" t="n">
        <v>32206100</v>
      </c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15" t="n"/>
      <c r="V164" s="15" t="n"/>
      <c r="W164" s="49" t="n">
        <v>100</v>
      </c>
    </row>
    <row r="165">
      <c r="A165" s="44" t="inlineStr">
        <is>
          <t>TL Cinsi Kira Sertifikalari</t>
        </is>
      </c>
      <c r="B165" s="44" t="n">
        <v>2026</v>
      </c>
      <c r="C165" s="44" t="inlineStr">
        <is>
          <t>TRD041028T26</t>
        </is>
      </c>
      <c r="D165" s="44" t="inlineStr">
        <is>
          <t>07.10.2026</t>
        </is>
      </c>
      <c r="E165" s="44" t="inlineStr">
        <is>
          <t>04.10.2028</t>
        </is>
      </c>
      <c r="F165" s="44" t="n">
        <v>728</v>
      </c>
      <c r="G165" s="44" t="inlineStr">
        <is>
          <t>6 Ay</t>
        </is>
      </c>
      <c r="H165" s="15" t="n">
        <v>18.9</v>
      </c>
      <c r="I165" s="45" t="n"/>
      <c r="J165" s="45" t="n"/>
      <c r="K165" s="45" t="n">
        <v>59255500</v>
      </c>
      <c r="L165" s="45" t="n">
        <v>59255500</v>
      </c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15" t="n"/>
      <c r="V165" s="15" t="n"/>
      <c r="W165" s="49" t="n">
        <v>100</v>
      </c>
    </row>
    <row r="166">
      <c r="A166" s="44" t="inlineStr">
        <is>
          <t>TL Cinsi Kuponsuz Senetler</t>
        </is>
      </c>
      <c r="B166" s="44" t="n">
        <v>2026</v>
      </c>
      <c r="C166" s="44" t="inlineStr">
        <is>
          <t>TRT060127T10</t>
        </is>
      </c>
      <c r="D166" s="44" t="inlineStr">
        <is>
          <t>07.01.2026</t>
        </is>
      </c>
      <c r="E166" s="44" t="inlineStr">
        <is>
          <t>06.01.2027</t>
        </is>
      </c>
      <c r="F166" s="44" t="n">
        <v>364</v>
      </c>
      <c r="G166" s="44" t="n"/>
      <c r="H166" s="15" t="n"/>
      <c r="I166" s="45" t="n">
        <v>86764373</v>
      </c>
      <c r="J166" s="45" t="n">
        <v>63303336.39012</v>
      </c>
      <c r="K166" s="45" t="n">
        <v>38149825</v>
      </c>
      <c r="L166" s="45" t="n">
        <v>27918967.93902</v>
      </c>
      <c r="M166" s="45" t="n">
        <v>3279494.956</v>
      </c>
      <c r="N166" s="45" t="n">
        <v>2399999.9987</v>
      </c>
      <c r="O166" s="45" t="n">
        <v>21863299.712</v>
      </c>
      <c r="P166" s="45" t="n">
        <v>15999999.99523</v>
      </c>
      <c r="Q166" s="45" t="n">
        <v>11914727.921</v>
      </c>
      <c r="R166" s="45" t="n">
        <v>8719436.18715</v>
      </c>
      <c r="S166" s="45" t="n">
        <v>75207347.589</v>
      </c>
      <c r="T166" s="45" t="n">
        <v>55038404.1201</v>
      </c>
      <c r="U166" s="15" t="n">
        <v>36.64</v>
      </c>
      <c r="V166" s="15" t="n">
        <v>36.64</v>
      </c>
      <c r="W166" s="49" t="n">
        <v>73.182</v>
      </c>
    </row>
    <row r="167">
      <c r="A167" s="44" t="inlineStr">
        <is>
          <t>TL Cinsi Kuponsuz Senetler</t>
        </is>
      </c>
      <c r="B167" s="44" t="n">
        <v>2026</v>
      </c>
      <c r="C167" s="44" t="inlineStr">
        <is>
          <t>TRT060127T10</t>
        </is>
      </c>
      <c r="D167" s="44" t="inlineStr">
        <is>
          <t>11.02.2026</t>
        </is>
      </c>
      <c r="E167" s="44" t="inlineStr">
        <is>
          <t>06.01.2027</t>
        </is>
      </c>
      <c r="F167" s="44" t="n">
        <v>329</v>
      </c>
      <c r="G167" s="44" t="n"/>
      <c r="H167" s="15" t="n"/>
      <c r="I167" s="45" t="n">
        <v>55702053.969</v>
      </c>
      <c r="J167" s="45" t="n">
        <v>42172668.15256</v>
      </c>
      <c r="K167" s="45" t="n">
        <v>15325244.969</v>
      </c>
      <c r="L167" s="45" t="n">
        <v>11664498.5681</v>
      </c>
      <c r="M167" s="45" t="n">
        <v>1313836.006</v>
      </c>
      <c r="N167" s="45" t="n">
        <v>999999.99925</v>
      </c>
      <c r="O167" s="45" t="n">
        <v>3941508.015</v>
      </c>
      <c r="P167" s="45" t="n">
        <v>2999999.99548</v>
      </c>
      <c r="Q167" s="45" t="n">
        <v>6920380.216</v>
      </c>
      <c r="R167" s="45" t="n">
        <v>5267308.99381</v>
      </c>
      <c r="S167" s="45" t="n">
        <v>27500969.206</v>
      </c>
      <c r="T167" s="45" t="n">
        <v>20931807.55664</v>
      </c>
      <c r="U167" s="15" t="n">
        <v>31.38</v>
      </c>
      <c r="V167" s="15" t="n">
        <v>35.25</v>
      </c>
      <c r="W167" s="49" t="n">
        <v>76.113</v>
      </c>
    </row>
    <row r="168">
      <c r="A168" s="44" t="inlineStr">
        <is>
          <t>TL Cinsi Kuponsuz Senetler</t>
        </is>
      </c>
      <c r="B168" s="44" t="n">
        <v>2026</v>
      </c>
      <c r="C168" s="44" t="inlineStr">
        <is>
          <t>TRT060127T10</t>
        </is>
      </c>
      <c r="D168" s="44" t="inlineStr">
        <is>
          <t>11.03.2026</t>
        </is>
      </c>
      <c r="E168" s="44" t="inlineStr">
        <is>
          <t>06.01.2027</t>
        </is>
      </c>
      <c r="F168" s="44" t="n">
        <v>301</v>
      </c>
      <c r="G168" s="44" t="n"/>
      <c r="H168" s="15" t="n"/>
      <c r="I168" s="45" t="n">
        <v>36640334.425</v>
      </c>
      <c r="J168" s="45" t="n">
        <v>27782186.60789</v>
      </c>
      <c r="K168" s="45" t="n">
        <v>11543831</v>
      </c>
      <c r="L168" s="45" t="n">
        <v>8831242.764590001</v>
      </c>
      <c r="M168" s="45" t="n">
        <v>24509163.156</v>
      </c>
      <c r="N168" s="45" t="n">
        <v>18749999.9976</v>
      </c>
      <c r="O168" s="45" t="n">
        <v>6535776.84</v>
      </c>
      <c r="P168" s="45" t="n">
        <v>4999999.99814</v>
      </c>
      <c r="Q168" s="45" t="n">
        <v>4245222.219</v>
      </c>
      <c r="R168" s="45" t="n">
        <v>3247679.90198</v>
      </c>
      <c r="S168" s="45" t="n">
        <v>46833993.215</v>
      </c>
      <c r="T168" s="45" t="n">
        <v>35828922.66231</v>
      </c>
      <c r="U168" s="15" t="n">
        <v>30.72</v>
      </c>
      <c r="V168" s="15" t="n">
        <v>38.25</v>
      </c>
      <c r="W168" s="49" t="n">
        <v>76.502</v>
      </c>
    </row>
    <row r="169">
      <c r="A169" s="44" t="inlineStr">
        <is>
          <t>TL Cinsi Kuponsuz Senetler</t>
        </is>
      </c>
      <c r="B169" s="44" t="n">
        <v>2026</v>
      </c>
      <c r="C169" s="44" t="inlineStr">
        <is>
          <t>TRB170327T15</t>
        </is>
      </c>
      <c r="D169" s="44" t="inlineStr">
        <is>
          <t>08.04.2026</t>
        </is>
      </c>
      <c r="E169" s="44" t="inlineStr">
        <is>
          <t>17.03.2027</t>
        </is>
      </c>
      <c r="F169" s="44" t="n">
        <v>343</v>
      </c>
      <c r="G169" s="44" t="n"/>
      <c r="H169" s="15" t="n"/>
      <c r="I169" s="45" t="n">
        <v>33278500.11</v>
      </c>
      <c r="J169" s="45" t="n">
        <v>23579669.90436</v>
      </c>
      <c r="K169" s="45" t="n">
        <v>15836500.11</v>
      </c>
      <c r="L169" s="45" t="n">
        <v>11330429.51436</v>
      </c>
      <c r="M169" s="45" t="n">
        <v>314482.989</v>
      </c>
      <c r="N169" s="45" t="n">
        <v>224999.99931</v>
      </c>
      <c r="O169" s="45" t="n">
        <v>9783915.239</v>
      </c>
      <c r="P169" s="45" t="n">
        <v>6999999.9969</v>
      </c>
      <c r="Q169" s="45" t="n">
        <v>5678397.653</v>
      </c>
      <c r="R169" s="45" t="n">
        <v>4062666.38482</v>
      </c>
      <c r="S169" s="45" t="n">
        <v>31613295.991</v>
      </c>
      <c r="T169" s="45" t="n">
        <v>22618095.89539</v>
      </c>
      <c r="U169" s="15" t="n">
        <v>39.77</v>
      </c>
      <c r="V169" s="15" t="n">
        <v>42.66</v>
      </c>
      <c r="W169" s="49" t="n">
        <v>71.54600000000001</v>
      </c>
    </row>
    <row r="170">
      <c r="A170" s="44" t="inlineStr">
        <is>
          <t>TL Cinsi Kuponsuz Senetler</t>
        </is>
      </c>
      <c r="B170" s="44" t="n">
        <v>2026</v>
      </c>
      <c r="C170" s="44" t="inlineStr">
        <is>
          <t>TRB170327T15</t>
        </is>
      </c>
      <c r="D170" s="44" t="inlineStr">
        <is>
          <t>06.05.2026</t>
        </is>
      </c>
      <c r="E170" s="44" t="inlineStr">
        <is>
          <t>17.03.2027</t>
        </is>
      </c>
      <c r="F170" s="44" t="n">
        <v>315</v>
      </c>
      <c r="G170" s="44" t="n"/>
      <c r="H170" s="15" t="n"/>
      <c r="I170" s="45" t="n">
        <v>33625633</v>
      </c>
      <c r="J170" s="45" t="n">
        <v>24659834.28893</v>
      </c>
      <c r="K170" s="45" t="n">
        <v>20819633</v>
      </c>
      <c r="L170" s="45" t="n">
        <v>15322422.85893</v>
      </c>
      <c r="M170" s="45" t="n">
        <v>951138.648</v>
      </c>
      <c r="N170" s="45" t="n">
        <v>699999.9993800001</v>
      </c>
      <c r="O170" s="45" t="n">
        <v>10870155.981</v>
      </c>
      <c r="P170" s="45" t="n">
        <v>7999999.99578</v>
      </c>
      <c r="Q170" s="45" t="n">
        <v>6757230.295</v>
      </c>
      <c r="R170" s="45" t="n">
        <v>4973051.20791</v>
      </c>
      <c r="S170" s="45" t="n">
        <v>39398157.924</v>
      </c>
      <c r="T170" s="45" t="n">
        <v>28995474.062</v>
      </c>
      <c r="U170" s="15" t="n">
        <v>35.88</v>
      </c>
      <c r="V170" s="15" t="n">
        <v>42.51</v>
      </c>
      <c r="W170" s="49" t="n">
        <v>73.596</v>
      </c>
    </row>
    <row r="171">
      <c r="A171" s="44" t="inlineStr">
        <is>
          <t>TL Cinsi Kuponsuz Senetler</t>
        </is>
      </c>
      <c r="B171" s="44" t="n">
        <v>2026</v>
      </c>
      <c r="C171" s="44" t="inlineStr">
        <is>
          <t>TRB100227T13</t>
        </is>
      </c>
      <c r="D171" s="44" t="inlineStr">
        <is>
          <t>17.06.2026</t>
        </is>
      </c>
      <c r="E171" s="44" t="inlineStr">
        <is>
          <t>10.02.2027</t>
        </is>
      </c>
      <c r="F171" s="44" t="n">
        <v>238</v>
      </c>
      <c r="G171" s="44" t="n"/>
      <c r="H171" s="15" t="n"/>
      <c r="I171" s="45" t="n">
        <v>92542420.69599999</v>
      </c>
      <c r="J171" s="45" t="n">
        <v>73286937.08239</v>
      </c>
      <c r="K171" s="45" t="n">
        <v>27366584</v>
      </c>
      <c r="L171" s="45" t="n">
        <v>21725992.54461</v>
      </c>
      <c r="M171" s="45" t="n">
        <v>30419831.461</v>
      </c>
      <c r="N171" s="45" t="n">
        <v>24149999.99857</v>
      </c>
      <c r="O171" s="45" t="n">
        <v>32750129.104</v>
      </c>
      <c r="P171" s="45" t="n">
        <v>25999999.99439</v>
      </c>
      <c r="Q171" s="45" t="n">
        <v>9698184.721999999</v>
      </c>
      <c r="R171" s="45" t="n">
        <v>7699291.86894</v>
      </c>
      <c r="S171" s="45" t="n">
        <v>100234729.287</v>
      </c>
      <c r="T171" s="45" t="n">
        <v>79575284.40651</v>
      </c>
      <c r="U171" s="15" t="n">
        <v>25.96</v>
      </c>
      <c r="V171" s="15" t="n">
        <v>42.33</v>
      </c>
      <c r="W171" s="49" t="n">
        <v>79.389</v>
      </c>
    </row>
    <row r="172">
      <c r="A172" s="44" t="inlineStr">
        <is>
          <t>TL Cinsi Kuponsuz Senetler</t>
        </is>
      </c>
      <c r="B172" s="44" t="n">
        <v>2026</v>
      </c>
      <c r="C172" s="44" t="inlineStr">
        <is>
          <t>TRB100227T13</t>
        </is>
      </c>
      <c r="D172" s="44" t="inlineStr">
        <is>
          <t>22.07.2026</t>
        </is>
      </c>
      <c r="E172" s="44" t="inlineStr">
        <is>
          <t>10.02.2027</t>
        </is>
      </c>
      <c r="F172" s="44" t="n">
        <v>203</v>
      </c>
      <c r="G172" s="44" t="n"/>
      <c r="H172" s="15" t="n"/>
      <c r="I172" s="45" t="n">
        <v>90138208.169</v>
      </c>
      <c r="J172" s="45" t="n">
        <v>74178247.26439001</v>
      </c>
      <c r="K172" s="45" t="n">
        <v>52688916.516</v>
      </c>
      <c r="L172" s="45" t="n">
        <v>43425255.29793</v>
      </c>
      <c r="M172" s="45" t="n">
        <v>13831929.917</v>
      </c>
      <c r="N172" s="45" t="n">
        <v>11399999.999</v>
      </c>
      <c r="O172" s="45" t="n">
        <v>7279963.11</v>
      </c>
      <c r="P172" s="45" t="n">
        <v>5999999.996</v>
      </c>
      <c r="Q172" s="45" t="n">
        <v>22178424.499</v>
      </c>
      <c r="R172" s="45" t="n">
        <v>18279013.90359</v>
      </c>
      <c r="S172" s="45" t="n">
        <v>95979234.042</v>
      </c>
      <c r="T172" s="45" t="n">
        <v>79104269.19652</v>
      </c>
      <c r="U172" s="15" t="n">
        <v>21.33</v>
      </c>
      <c r="V172" s="15" t="n">
        <v>41.44</v>
      </c>
      <c r="W172" s="49" t="n">
        <v>82.41800000000001</v>
      </c>
    </row>
    <row r="173">
      <c r="A173" s="44" t="inlineStr">
        <is>
          <t>TL Cinsi Kuponsuz Senetler</t>
        </is>
      </c>
      <c r="B173" s="44" t="n">
        <v>2026</v>
      </c>
      <c r="C173" s="44" t="inlineStr">
        <is>
          <t>TRB100227T13</t>
        </is>
      </c>
      <c r="D173" s="44" t="inlineStr">
        <is>
          <t>12.08.2026</t>
        </is>
      </c>
      <c r="E173" s="44" t="inlineStr">
        <is>
          <t>10.02.2027</t>
        </is>
      </c>
      <c r="F173" s="44" t="n">
        <v>182</v>
      </c>
      <c r="G173" s="44" t="n"/>
      <c r="H173" s="15" t="n"/>
      <c r="I173" s="45" t="n">
        <v>133982416.967</v>
      </c>
      <c r="J173" s="45" t="n">
        <v>112642196.50945</v>
      </c>
      <c r="K173" s="45" t="n">
        <v>49116474</v>
      </c>
      <c r="L173" s="45" t="n">
        <v>41343991.7937</v>
      </c>
      <c r="M173" s="45" t="n">
        <v>7128007.128</v>
      </c>
      <c r="N173" s="45" t="n">
        <v>6000000</v>
      </c>
      <c r="O173" s="45" t="n">
        <v>32076032.07</v>
      </c>
      <c r="P173" s="45" t="n">
        <v>26999999.9949</v>
      </c>
      <c r="Q173" s="45" t="n">
        <v>22707825.065</v>
      </c>
      <c r="R173" s="45" t="n">
        <v>19114311.74847</v>
      </c>
      <c r="S173" s="45" t="n">
        <v>111028338.263</v>
      </c>
      <c r="T173" s="45" t="n">
        <v>93458303.53707001</v>
      </c>
      <c r="U173" s="15" t="n">
        <v>18.8</v>
      </c>
      <c r="V173" s="15" t="n">
        <v>41.13</v>
      </c>
      <c r="W173" s="49" t="n">
        <v>84.175</v>
      </c>
    </row>
    <row r="174">
      <c r="A174" s="44" t="inlineStr">
        <is>
          <t>TL Cinsi Kuponsuz Senetler</t>
        </is>
      </c>
      <c r="B174" s="44" t="n">
        <v>2025</v>
      </c>
      <c r="C174" s="44" t="inlineStr">
        <is>
          <t>TRB230725T15</t>
        </is>
      </c>
      <c r="D174" s="44" t="inlineStr">
        <is>
          <t>22.01.2025</t>
        </is>
      </c>
      <c r="E174" s="44" t="inlineStr">
        <is>
          <t>23.07.2025</t>
        </is>
      </c>
      <c r="F174" s="44" t="n">
        <v>182</v>
      </c>
      <c r="G174" s="44" t="n"/>
      <c r="H174" s="15" t="n"/>
      <c r="I174" s="45" t="n">
        <v>60390700</v>
      </c>
      <c r="J174" s="45" t="n">
        <v>50016785.992</v>
      </c>
      <c r="K174" s="45" t="n">
        <v>21593600</v>
      </c>
      <c r="L174" s="45" t="n">
        <v>17996378.5</v>
      </c>
      <c r="M174" s="45" t="n">
        <v>59994.48</v>
      </c>
      <c r="N174" s="45" t="n">
        <v>49999.99958</v>
      </c>
      <c r="O174" s="45" t="n">
        <v>11998896.097</v>
      </c>
      <c r="P174" s="45" t="n">
        <v>9999999.99622</v>
      </c>
      <c r="Q174" s="45" t="n">
        <v>10377034.593</v>
      </c>
      <c r="R174" s="45" t="n">
        <v>8648324.40016</v>
      </c>
      <c r="S174" s="45" t="n">
        <v>44029525.17</v>
      </c>
      <c r="T174" s="45" t="n">
        <v>36694702.89596</v>
      </c>
      <c r="U174" s="15" t="n">
        <v>19.99</v>
      </c>
      <c r="V174" s="15" t="n">
        <v>43.97</v>
      </c>
      <c r="W174" s="49" t="n">
        <v>83.34099999999999</v>
      </c>
    </row>
    <row r="175">
      <c r="A175" s="44" t="inlineStr">
        <is>
          <t>TL Cinsi Kuponsuz Senetler</t>
        </is>
      </c>
      <c r="B175" s="44" t="n">
        <v>2025</v>
      </c>
      <c r="C175" s="44" t="inlineStr">
        <is>
          <t>TRB230725T15</t>
        </is>
      </c>
      <c r="D175" s="44" t="inlineStr">
        <is>
          <t>12.02.2025</t>
        </is>
      </c>
      <c r="E175" s="44" t="inlineStr">
        <is>
          <t>23.07.2025</t>
        </is>
      </c>
      <c r="F175" s="44" t="n">
        <v>161</v>
      </c>
      <c r="G175" s="44" t="n"/>
      <c r="H175" s="15" t="n"/>
      <c r="I175" s="45" t="n">
        <v>32903775</v>
      </c>
      <c r="J175" s="45" t="n">
        <v>28014077.91025</v>
      </c>
      <c r="K175" s="45" t="n">
        <v>13083075</v>
      </c>
      <c r="L175" s="45" t="n">
        <v>11161317.33625</v>
      </c>
      <c r="M175" s="45" t="n">
        <v>58609.089</v>
      </c>
      <c r="N175" s="45" t="n">
        <v>49999.99992</v>
      </c>
      <c r="O175" s="45" t="n">
        <v>11721817.813</v>
      </c>
      <c r="P175" s="45" t="n">
        <v>9999999.99443</v>
      </c>
      <c r="Q175" s="45" t="n">
        <v>5921005.328</v>
      </c>
      <c r="R175" s="45" t="n">
        <v>5051268.85537</v>
      </c>
      <c r="S175" s="45" t="n">
        <v>30784507.23</v>
      </c>
      <c r="T175" s="45" t="n">
        <v>26262586.18597</v>
      </c>
      <c r="U175" s="15" t="n">
        <v>17.22</v>
      </c>
      <c r="V175" s="15" t="n">
        <v>43.21</v>
      </c>
      <c r="W175" s="49" t="n">
        <v>85.31100000000001</v>
      </c>
    </row>
    <row r="176">
      <c r="A176" s="44" t="inlineStr">
        <is>
          <t>TL Cinsi Kuponsuz Senetler</t>
        </is>
      </c>
      <c r="B176" s="44" t="n">
        <v>2025</v>
      </c>
      <c r="C176" s="44" t="inlineStr">
        <is>
          <t>TRB230725T15</t>
        </is>
      </c>
      <c r="D176" s="44" t="inlineStr">
        <is>
          <t>16.04.2025</t>
        </is>
      </c>
      <c r="E176" s="44" t="inlineStr">
        <is>
          <t>23.07.2025</t>
        </is>
      </c>
      <c r="F176" s="44" t="n">
        <v>98</v>
      </c>
      <c r="G176" s="44" t="n"/>
      <c r="H176" s="15" t="n"/>
      <c r="I176" s="45" t="n">
        <v>17595173</v>
      </c>
      <c r="J176" s="45" t="n">
        <v>15622158.65332</v>
      </c>
      <c r="K176" s="45" t="n">
        <v>5448102</v>
      </c>
      <c r="L176" s="45" t="n">
        <v>4887810.38558</v>
      </c>
      <c r="M176" s="45" t="n">
        <v>0</v>
      </c>
      <c r="N176" s="45" t="n">
        <v>0</v>
      </c>
      <c r="O176" s="45" t="n">
        <v>2786570.954</v>
      </c>
      <c r="P176" s="45" t="n">
        <v>2499999.99709</v>
      </c>
      <c r="Q176" s="45" t="n">
        <v>1736267.543</v>
      </c>
      <c r="R176" s="45" t="n">
        <v>1557709.78887</v>
      </c>
      <c r="S176" s="45" t="n">
        <v>9970940.497</v>
      </c>
      <c r="T176" s="45" t="n">
        <v>8945520.17154</v>
      </c>
      <c r="U176" s="15" t="n">
        <v>11.46</v>
      </c>
      <c r="V176" s="15" t="n">
        <v>49.64</v>
      </c>
      <c r="W176" s="49" t="n">
        <v>89.71599999999999</v>
      </c>
    </row>
    <row r="177">
      <c r="A177" s="44" t="inlineStr">
        <is>
          <t>TL Cinsi Kuponsuz Senetler</t>
        </is>
      </c>
      <c r="B177" s="44" t="n">
        <v>2025</v>
      </c>
      <c r="C177" s="44" t="inlineStr">
        <is>
          <t>TRB110326T12</t>
        </is>
      </c>
      <c r="D177" s="44" t="inlineStr">
        <is>
          <t>11.06.2025</t>
        </is>
      </c>
      <c r="E177" s="44" t="inlineStr">
        <is>
          <t>11.03.2026</t>
        </is>
      </c>
      <c r="F177" s="44" t="n">
        <v>273</v>
      </c>
      <c r="G177" s="44" t="n"/>
      <c r="H177" s="15" t="n"/>
      <c r="I177" s="45" t="n">
        <v>21616000</v>
      </c>
      <c r="J177" s="45" t="n">
        <v>16148857.83</v>
      </c>
      <c r="K177" s="45" t="n">
        <v>11771000</v>
      </c>
      <c r="L177" s="45" t="n">
        <v>8825634.43</v>
      </c>
      <c r="M177" s="45" t="n">
        <v>2734135.345</v>
      </c>
      <c r="N177" s="45" t="n">
        <v>2049999.99897</v>
      </c>
      <c r="O177" s="45" t="n">
        <v>3334311.393</v>
      </c>
      <c r="P177" s="45" t="n">
        <v>2499999.99624</v>
      </c>
      <c r="Q177" s="45" t="n">
        <v>4306148</v>
      </c>
      <c r="R177" s="45" t="n">
        <v>3228663.64744</v>
      </c>
      <c r="S177" s="45" t="n">
        <v>22145594.738</v>
      </c>
      <c r="T177" s="45" t="n">
        <v>16604298.07265</v>
      </c>
      <c r="U177" s="15" t="n">
        <v>33.37</v>
      </c>
      <c r="V177" s="15" t="n">
        <v>46.81</v>
      </c>
      <c r="W177" s="49" t="n">
        <v>74.97799999999999</v>
      </c>
    </row>
    <row r="178">
      <c r="A178" s="44" t="inlineStr">
        <is>
          <t>TL Cinsi Kuponsuz Senetler</t>
        </is>
      </c>
      <c r="B178" s="44" t="n">
        <v>2025</v>
      </c>
      <c r="C178" s="44" t="inlineStr">
        <is>
          <t>TRB110326T12</t>
        </is>
      </c>
      <c r="D178" s="44" t="inlineStr">
        <is>
          <t>09.07.2025</t>
        </is>
      </c>
      <c r="E178" s="44" t="inlineStr">
        <is>
          <t>11.03.2026</t>
        </is>
      </c>
      <c r="F178" s="44" t="n">
        <v>245</v>
      </c>
      <c r="G178" s="44" t="n"/>
      <c r="H178" s="15" t="n"/>
      <c r="I178" s="45" t="n">
        <v>27067158.852</v>
      </c>
      <c r="J178" s="45" t="n">
        <v>21106632.65029</v>
      </c>
      <c r="K178" s="45" t="n">
        <v>13968400</v>
      </c>
      <c r="L178" s="45" t="n">
        <v>10920551.83</v>
      </c>
      <c r="M178" s="45" t="n">
        <v>2596572.012</v>
      </c>
      <c r="N178" s="45" t="n">
        <v>2029999.99898</v>
      </c>
      <c r="O178" s="45" t="n">
        <v>8314146.837</v>
      </c>
      <c r="P178" s="45" t="n">
        <v>6499999.99718</v>
      </c>
      <c r="Q178" s="45" t="n">
        <v>7611256.902</v>
      </c>
      <c r="R178" s="45" t="n">
        <v>5950480.64598</v>
      </c>
      <c r="S178" s="45" t="n">
        <v>32490375.751</v>
      </c>
      <c r="T178" s="45" t="n">
        <v>25401032.47214</v>
      </c>
      <c r="U178" s="15" t="n">
        <v>27.91</v>
      </c>
      <c r="V178" s="15" t="n">
        <v>44.15</v>
      </c>
      <c r="W178" s="49" t="n">
        <v>78.18000000000001</v>
      </c>
    </row>
    <row r="179">
      <c r="A179" s="44" t="inlineStr">
        <is>
          <t>TL Cinsi Kuponsuz Senetler</t>
        </is>
      </c>
      <c r="B179" s="44" t="n">
        <v>2025</v>
      </c>
      <c r="C179" s="44" t="inlineStr">
        <is>
          <t>TRB170626T13</t>
        </is>
      </c>
      <c r="D179" s="44" t="inlineStr">
        <is>
          <t>13.08.2025</t>
        </is>
      </c>
      <c r="E179" s="44" t="inlineStr">
        <is>
          <t>17.06.2026</t>
        </is>
      </c>
      <c r="F179" s="44" t="n">
        <v>308</v>
      </c>
      <c r="G179" s="44" t="n"/>
      <c r="H179" s="15" t="n"/>
      <c r="I179" s="45" t="n">
        <v>67399714.281</v>
      </c>
      <c r="J179" s="45" t="n">
        <v>50337052.69734</v>
      </c>
      <c r="K179" s="45" t="n">
        <v>26173829.281</v>
      </c>
      <c r="L179" s="45" t="n">
        <v>19627947.01229</v>
      </c>
      <c r="M179" s="45" t="n">
        <v>13368270.857</v>
      </c>
      <c r="N179" s="45" t="n">
        <v>10024999.99837</v>
      </c>
      <c r="O179" s="45" t="n">
        <v>16001920.225</v>
      </c>
      <c r="P179" s="45" t="n">
        <v>11999999.99592</v>
      </c>
      <c r="Q179" s="45" t="n">
        <v>11480314.053</v>
      </c>
      <c r="R179" s="45" t="n">
        <v>8609202.3115</v>
      </c>
      <c r="S179" s="45" t="n">
        <v>67024334.41599999</v>
      </c>
      <c r="T179" s="45" t="n">
        <v>50262149.31808</v>
      </c>
      <c r="U179" s="15" t="n">
        <v>33.35</v>
      </c>
      <c r="V179" s="15" t="n">
        <v>40.51</v>
      </c>
      <c r="W179" s="49" t="n">
        <v>74.991</v>
      </c>
    </row>
    <row r="180">
      <c r="A180" s="44" t="inlineStr">
        <is>
          <t>TL Cinsi Kuponsuz Senetler</t>
        </is>
      </c>
      <c r="B180" s="44" t="n">
        <v>2025</v>
      </c>
      <c r="C180" s="44" t="inlineStr">
        <is>
          <t>TRB170626T13</t>
        </is>
      </c>
      <c r="D180" s="44" t="inlineStr">
        <is>
          <t>10.09.2025</t>
        </is>
      </c>
      <c r="E180" s="44" t="inlineStr">
        <is>
          <t>17.06.2026</t>
        </is>
      </c>
      <c r="F180" s="44" t="n">
        <v>280</v>
      </c>
      <c r="G180" s="44" t="n"/>
      <c r="H180" s="15" t="n"/>
      <c r="I180" s="45" t="n">
        <v>58801797.115</v>
      </c>
      <c r="J180" s="45" t="n">
        <v>45025118.7924</v>
      </c>
      <c r="K180" s="45" t="n">
        <v>33716679.115</v>
      </c>
      <c r="L180" s="45" t="n">
        <v>25954592.30209</v>
      </c>
      <c r="M180" s="45" t="n">
        <v>40336199.953</v>
      </c>
      <c r="N180" s="45" t="n">
        <v>31049999.99982</v>
      </c>
      <c r="O180" s="45" t="n">
        <v>12990724.618</v>
      </c>
      <c r="P180" s="45" t="n">
        <v>9999999.996440001</v>
      </c>
      <c r="Q180" s="45" t="n">
        <v>14216861.35</v>
      </c>
      <c r="R180" s="45" t="n">
        <v>10943855.53</v>
      </c>
      <c r="S180" s="45" t="n">
        <v>101260465.036</v>
      </c>
      <c r="T180" s="45" t="n">
        <v>77948447.82835001</v>
      </c>
      <c r="U180" s="15" t="n">
        <v>29.91</v>
      </c>
      <c r="V180" s="15" t="n">
        <v>40.51</v>
      </c>
      <c r="W180" s="49" t="n">
        <v>76.97799999999999</v>
      </c>
    </row>
    <row r="181">
      <c r="A181" s="44" t="inlineStr">
        <is>
          <t>TL Cinsi Kuponsuz Senetler</t>
        </is>
      </c>
      <c r="B181" s="44" t="n">
        <v>2025</v>
      </c>
      <c r="C181" s="44" t="inlineStr">
        <is>
          <t>TRB170626T13</t>
        </is>
      </c>
      <c r="D181" s="44" t="inlineStr">
        <is>
          <t>08.10.2025</t>
        </is>
      </c>
      <c r="E181" s="44" t="inlineStr">
        <is>
          <t>17.06.2026</t>
        </is>
      </c>
      <c r="F181" s="44" t="n">
        <v>252</v>
      </c>
      <c r="G181" s="44" t="n"/>
      <c r="H181" s="15" t="n"/>
      <c r="I181" s="45" t="n">
        <v>69390628.51199999</v>
      </c>
      <c r="J181" s="45" t="n">
        <v>54694582.93593</v>
      </c>
      <c r="K181" s="45" t="n">
        <v>34909111.212</v>
      </c>
      <c r="L181" s="45" t="n">
        <v>27610779.45933</v>
      </c>
      <c r="M181" s="45" t="n">
        <v>12706560.629</v>
      </c>
      <c r="N181" s="45" t="n">
        <v>10049999.9983</v>
      </c>
      <c r="O181" s="45" t="n">
        <v>6005588.352</v>
      </c>
      <c r="P181" s="45" t="n">
        <v>4749999.99524</v>
      </c>
      <c r="Q181" s="45" t="n">
        <v>10447655.456</v>
      </c>
      <c r="R181" s="45" t="n">
        <v>8263364.12981</v>
      </c>
      <c r="S181" s="45" t="n">
        <v>64068915.649</v>
      </c>
      <c r="T181" s="45" t="n">
        <v>50674143.58268</v>
      </c>
      <c r="U181" s="15" t="n">
        <v>26.43</v>
      </c>
      <c r="V181" s="15" t="n">
        <v>40.32</v>
      </c>
      <c r="W181" s="49" t="n">
        <v>79.093</v>
      </c>
    </row>
    <row r="182">
      <c r="A182" s="44" t="inlineStr">
        <is>
          <t>TL Cinsi Kuponsuz Senetler</t>
        </is>
      </c>
      <c r="B182" s="44" t="n">
        <v>2025</v>
      </c>
      <c r="C182" s="44" t="inlineStr">
        <is>
          <t>TRB170626T13</t>
        </is>
      </c>
      <c r="D182" s="44" t="inlineStr">
        <is>
          <t>12.11.2025</t>
        </is>
      </c>
      <c r="E182" s="44" t="inlineStr">
        <is>
          <t>17.06.2026</t>
        </is>
      </c>
      <c r="F182" s="44" t="n">
        <v>217</v>
      </c>
      <c r="G182" s="44" t="n"/>
      <c r="H182" s="15" t="n"/>
      <c r="I182" s="45" t="n">
        <v>82088446.002</v>
      </c>
      <c r="J182" s="45" t="n">
        <v>66713653.58633</v>
      </c>
      <c r="K182" s="45" t="n">
        <v>27927428.002</v>
      </c>
      <c r="L182" s="45" t="n">
        <v>22741862.04471</v>
      </c>
      <c r="M182" s="45" t="n">
        <v>3776156.793</v>
      </c>
      <c r="N182" s="45" t="n">
        <v>3074999.99967</v>
      </c>
      <c r="O182" s="45" t="n">
        <v>10192553.29</v>
      </c>
      <c r="P182" s="45" t="n">
        <v>8299999.99511</v>
      </c>
      <c r="Q182" s="45" t="n">
        <v>12971628.474</v>
      </c>
      <c r="R182" s="45" t="n">
        <v>10563056.49895</v>
      </c>
      <c r="S182" s="45" t="n">
        <v>54867766.559</v>
      </c>
      <c r="T182" s="45" t="n">
        <v>44679918.53844</v>
      </c>
      <c r="U182" s="15" t="n">
        <v>22.8</v>
      </c>
      <c r="V182" s="15" t="n">
        <v>41.13</v>
      </c>
      <c r="W182" s="49" t="n">
        <v>81.432</v>
      </c>
    </row>
    <row r="183">
      <c r="A183" s="44" t="inlineStr">
        <is>
          <t>TL Cinsi Kuponsuz Senetler</t>
        </is>
      </c>
      <c r="B183" s="44" t="n">
        <v>2025</v>
      </c>
      <c r="C183" s="44" t="inlineStr">
        <is>
          <t>TRB170626T13</t>
        </is>
      </c>
      <c r="D183" s="44" t="inlineStr">
        <is>
          <t>10.12.2025</t>
        </is>
      </c>
      <c r="E183" s="44" t="inlineStr">
        <is>
          <t>17.06.2026</t>
        </is>
      </c>
      <c r="F183" s="44" t="n">
        <v>189</v>
      </c>
      <c r="G183" s="44" t="n"/>
      <c r="H183" s="15" t="n"/>
      <c r="I183" s="45" t="n">
        <v>77827111.90000001</v>
      </c>
      <c r="J183" s="45" t="n">
        <v>65330627.72026</v>
      </c>
      <c r="K183" s="45" t="n">
        <v>28284135.9</v>
      </c>
      <c r="L183" s="45" t="n">
        <v>23774668.67382</v>
      </c>
      <c r="M183" s="45" t="n">
        <v>2498304.72</v>
      </c>
      <c r="N183" s="45" t="n">
        <v>2099999.99849</v>
      </c>
      <c r="O183" s="45" t="n">
        <v>9517351.314999999</v>
      </c>
      <c r="P183" s="45" t="n">
        <v>7999999.99487</v>
      </c>
      <c r="Q183" s="45" t="n">
        <v>19738222.161</v>
      </c>
      <c r="R183" s="45" t="n">
        <v>16591357.40186</v>
      </c>
      <c r="S183" s="45" t="n">
        <v>60038014.09599999</v>
      </c>
      <c r="T183" s="45" t="n">
        <v>50466026.06904</v>
      </c>
      <c r="U183" s="15" t="n">
        <v>18.97</v>
      </c>
      <c r="V183" s="15" t="n">
        <v>39.72</v>
      </c>
      <c r="W183" s="49" t="n">
        <v>84.057</v>
      </c>
    </row>
    <row r="184">
      <c r="A184" s="44" t="inlineStr">
        <is>
          <t>TL Cinsi Kuponsuz Senetler</t>
        </is>
      </c>
      <c r="B184" s="44" t="n">
        <v>2024</v>
      </c>
      <c r="C184" s="44" t="inlineStr">
        <is>
          <t>TRT090425T16</t>
        </is>
      </c>
      <c r="D184" s="44" t="inlineStr">
        <is>
          <t>10.01.2024</t>
        </is>
      </c>
      <c r="E184" s="44" t="inlineStr">
        <is>
          <t>09.04.2025</t>
        </is>
      </c>
      <c r="F184" s="44" t="n">
        <v>455</v>
      </c>
      <c r="G184" s="44" t="n"/>
      <c r="H184" s="15" t="n"/>
      <c r="I184" s="45" t="n">
        <v>18978300</v>
      </c>
      <c r="J184" s="45" t="n">
        <v>11918955.203</v>
      </c>
      <c r="K184" s="45" t="n">
        <v>3946300</v>
      </c>
      <c r="L184" s="45" t="n">
        <v>2559605.253</v>
      </c>
      <c r="M184" s="45" t="n">
        <v>3098934.644</v>
      </c>
      <c r="N184" s="45" t="n">
        <v>2009999.99945</v>
      </c>
      <c r="O184" s="45" t="n">
        <v>847967.189</v>
      </c>
      <c r="P184" s="45" t="n">
        <v>549999.99846</v>
      </c>
      <c r="Q184" s="45" t="n">
        <v>1811518.565</v>
      </c>
      <c r="R184" s="45" t="n">
        <v>1174969.05645</v>
      </c>
      <c r="S184" s="45" t="n">
        <v>9704720.398</v>
      </c>
      <c r="T184" s="45" t="n">
        <v>6294574.30736</v>
      </c>
      <c r="U184" s="15" t="n">
        <v>54.18</v>
      </c>
      <c r="V184" s="15" t="n">
        <v>41.39</v>
      </c>
      <c r="W184" s="49" t="n">
        <v>64.861</v>
      </c>
    </row>
    <row r="185">
      <c r="A185" s="44" t="inlineStr">
        <is>
          <t>TL Cinsi Kuponsuz Senetler</t>
        </is>
      </c>
      <c r="B185" s="44" t="n">
        <v>2024</v>
      </c>
      <c r="C185" s="44" t="inlineStr">
        <is>
          <t>TRT090425T16</t>
        </is>
      </c>
      <c r="D185" s="44" t="inlineStr">
        <is>
          <t>14.02.2024</t>
        </is>
      </c>
      <c r="E185" s="44" t="inlineStr">
        <is>
          <t>09.04.2025</t>
        </is>
      </c>
      <c r="F185" s="44" t="n">
        <v>420</v>
      </c>
      <c r="G185" s="44" t="n"/>
      <c r="H185" s="15" t="n"/>
      <c r="I185" s="45" t="n">
        <v>5700000</v>
      </c>
      <c r="J185" s="45" t="n">
        <v>3760907.24</v>
      </c>
      <c r="K185" s="45" t="n">
        <v>2017000</v>
      </c>
      <c r="L185" s="45" t="n">
        <v>1340112.49</v>
      </c>
      <c r="M185" s="45" t="n">
        <v>3055342.333</v>
      </c>
      <c r="N185" s="45" t="n">
        <v>2029999.99947</v>
      </c>
      <c r="O185" s="45" t="n">
        <v>2257642.116</v>
      </c>
      <c r="P185" s="45" t="n">
        <v>1499999.99829</v>
      </c>
      <c r="Q185" s="45" t="n">
        <v>300000</v>
      </c>
      <c r="R185" s="45" t="n">
        <v>199323</v>
      </c>
      <c r="S185" s="45" t="n">
        <v>7629984.449000001</v>
      </c>
      <c r="T185" s="45" t="n">
        <v>5069435.48776</v>
      </c>
      <c r="U185" s="15" t="n">
        <v>50.51</v>
      </c>
      <c r="V185" s="15" t="n">
        <v>42.52</v>
      </c>
      <c r="W185" s="49" t="n">
        <v>66.441</v>
      </c>
    </row>
    <row r="186">
      <c r="A186" s="44" t="inlineStr">
        <is>
          <t>TL Cinsi Kuponsuz Senetler</t>
        </is>
      </c>
      <c r="B186" s="44" t="n">
        <v>2024</v>
      </c>
      <c r="C186" s="44" t="inlineStr">
        <is>
          <t>TRT090425T16</t>
        </is>
      </c>
      <c r="D186" s="44" t="inlineStr">
        <is>
          <t>13.03.2024</t>
        </is>
      </c>
      <c r="E186" s="44" t="inlineStr">
        <is>
          <t>09.04.2025</t>
        </is>
      </c>
      <c r="F186" s="44" t="n">
        <v>392</v>
      </c>
      <c r="G186" s="44" t="n"/>
      <c r="H186" s="15" t="n"/>
      <c r="I186" s="45" t="n">
        <v>4513000</v>
      </c>
      <c r="J186" s="45" t="n">
        <v>2917905.18</v>
      </c>
      <c r="K186" s="45" t="n">
        <v>594000</v>
      </c>
      <c r="L186" s="45" t="n">
        <v>388442.8</v>
      </c>
      <c r="M186" s="45" t="n">
        <v>0</v>
      </c>
      <c r="N186" s="45" t="n">
        <v>0</v>
      </c>
      <c r="O186" s="45" t="n">
        <v>1911490.348</v>
      </c>
      <c r="P186" s="45" t="n">
        <v>1249999.99818</v>
      </c>
      <c r="Q186" s="45" t="n">
        <v>181007.691</v>
      </c>
      <c r="R186" s="45" t="n">
        <v>118368.16945</v>
      </c>
      <c r="S186" s="45" t="n">
        <v>2686498.039</v>
      </c>
      <c r="T186" s="45" t="n">
        <v>1756810.96763</v>
      </c>
      <c r="U186" s="15" t="n">
        <v>52.92</v>
      </c>
      <c r="V186" s="15" t="n">
        <v>48.35</v>
      </c>
      <c r="W186" s="49" t="n">
        <v>65.39400000000001</v>
      </c>
    </row>
    <row r="187">
      <c r="A187" s="44" t="inlineStr">
        <is>
          <t>TL Cinsi Kuponsuz Senetler</t>
        </is>
      </c>
      <c r="B187" s="44" t="n">
        <v>2024</v>
      </c>
      <c r="C187" s="44" t="inlineStr">
        <is>
          <t>TRT090425T16</t>
        </is>
      </c>
      <c r="D187" s="44" t="inlineStr">
        <is>
          <t>17.04.2024</t>
        </is>
      </c>
      <c r="E187" s="44" t="inlineStr">
        <is>
          <t>09.04.2025</t>
        </is>
      </c>
      <c r="F187" s="44" t="n">
        <v>357</v>
      </c>
      <c r="G187" s="44" t="n"/>
      <c r="H187" s="15" t="n"/>
      <c r="I187" s="45" t="n">
        <v>8910000</v>
      </c>
      <c r="J187" s="45" t="n">
        <v>5900685.65</v>
      </c>
      <c r="K187" s="45" t="n">
        <v>1757000</v>
      </c>
      <c r="L187" s="45" t="n">
        <v>1185063.39</v>
      </c>
      <c r="M187" s="45" t="n">
        <v>2223935.476</v>
      </c>
      <c r="N187" s="45" t="n">
        <v>1499999.99985</v>
      </c>
      <c r="O187" s="45" t="n">
        <v>518918.276</v>
      </c>
      <c r="P187" s="45" t="n">
        <v>349999.9988</v>
      </c>
      <c r="Q187" s="45" t="inlineStr">
        <is>
          <t>-</t>
        </is>
      </c>
      <c r="R187" s="45" t="inlineStr">
        <is>
          <t>-</t>
        </is>
      </c>
      <c r="S187" s="45" t="n">
        <v>4499853.751999999</v>
      </c>
      <c r="T187" s="45" t="n">
        <v>3035063.38865</v>
      </c>
      <c r="U187" s="15" t="n">
        <v>48.26</v>
      </c>
      <c r="V187" s="15" t="n">
        <v>49.41</v>
      </c>
      <c r="W187" s="49" t="n">
        <v>67.44799999999999</v>
      </c>
    </row>
    <row r="188">
      <c r="A188" s="44" t="inlineStr">
        <is>
          <t>TL Cinsi Kuponsuz Senetler</t>
        </is>
      </c>
      <c r="B188" s="44" t="n">
        <v>2024</v>
      </c>
      <c r="C188" s="44" t="inlineStr">
        <is>
          <t>TRT090425T16</t>
        </is>
      </c>
      <c r="D188" s="44" t="inlineStr">
        <is>
          <t>08.05.2024</t>
        </is>
      </c>
      <c r="E188" s="44" t="inlineStr">
        <is>
          <t>09.04.2025</t>
        </is>
      </c>
      <c r="F188" s="44" t="n">
        <v>336</v>
      </c>
      <c r="G188" s="44" t="n"/>
      <c r="H188" s="15" t="n"/>
      <c r="I188" s="45" t="n">
        <v>8417000</v>
      </c>
      <c r="J188" s="45" t="n">
        <v>5730230.91</v>
      </c>
      <c r="K188" s="45" t="n">
        <v>2469000</v>
      </c>
      <c r="L188" s="45" t="n">
        <v>1692680.36</v>
      </c>
      <c r="M188" s="45" t="n">
        <v>3646600.638</v>
      </c>
      <c r="N188" s="45" t="n">
        <v>2499999.99939</v>
      </c>
      <c r="O188" s="45" t="n">
        <v>1021048.175</v>
      </c>
      <c r="P188" s="45" t="n">
        <v>699999.99734</v>
      </c>
      <c r="Q188" s="45" t="n">
        <v>993994.777</v>
      </c>
      <c r="R188" s="45" t="n">
        <v>681452.99927</v>
      </c>
      <c r="S188" s="45" t="n">
        <v>8130643.59</v>
      </c>
      <c r="T188" s="45" t="n">
        <v>5574133.356000001</v>
      </c>
      <c r="U188" s="15" t="n">
        <v>45.86</v>
      </c>
      <c r="V188" s="15" t="n">
        <v>50.52</v>
      </c>
      <c r="W188" s="49" t="n">
        <v>68.557</v>
      </c>
    </row>
    <row r="189">
      <c r="A189" s="44" t="inlineStr">
        <is>
          <t>TL Cinsi Kuponsuz Senetler</t>
        </is>
      </c>
      <c r="B189" s="44" t="n">
        <v>2024</v>
      </c>
      <c r="C189" s="44" t="inlineStr">
        <is>
          <t>TRT090425T16</t>
        </is>
      </c>
      <c r="D189" s="44" t="inlineStr">
        <is>
          <t>12.06.2024</t>
        </is>
      </c>
      <c r="E189" s="44" t="inlineStr">
        <is>
          <t>09.04.2025</t>
        </is>
      </c>
      <c r="F189" s="44" t="n">
        <v>301</v>
      </c>
      <c r="G189" s="44" t="n"/>
      <c r="H189" s="15" t="n"/>
      <c r="I189" s="45" t="n">
        <v>15199000</v>
      </c>
      <c r="J189" s="45" t="n">
        <v>10816347.29</v>
      </c>
      <c r="K189" s="45" t="n">
        <v>3649000</v>
      </c>
      <c r="L189" s="45" t="n">
        <v>2609899.97</v>
      </c>
      <c r="M189" s="45" t="n">
        <v>6990660.477</v>
      </c>
      <c r="N189" s="45" t="n">
        <v>4999999.99957</v>
      </c>
      <c r="O189" s="45" t="n">
        <v>4893462.33</v>
      </c>
      <c r="P189" s="45" t="n">
        <v>3499999.9969</v>
      </c>
      <c r="Q189" s="45" t="n">
        <v>1370630.73</v>
      </c>
      <c r="R189" s="45" t="n">
        <v>980329.9233199999</v>
      </c>
      <c r="S189" s="45" t="n">
        <v>16903753.537</v>
      </c>
      <c r="T189" s="45" t="n">
        <v>12090229.88979</v>
      </c>
      <c r="U189" s="15" t="n">
        <v>39.81</v>
      </c>
      <c r="V189" s="15" t="n">
        <v>49.97</v>
      </c>
      <c r="W189" s="49" t="n">
        <v>71.524</v>
      </c>
    </row>
    <row r="190">
      <c r="A190" s="44" t="inlineStr">
        <is>
          <t>TL Cinsi Kuponsuz Senetler</t>
        </is>
      </c>
      <c r="B190" s="44" t="n">
        <v>2024</v>
      </c>
      <c r="C190" s="44" t="inlineStr">
        <is>
          <t>TRT090425T16</t>
        </is>
      </c>
      <c r="D190" s="44" t="inlineStr">
        <is>
          <t>10.07.2024</t>
        </is>
      </c>
      <c r="E190" s="44" t="inlineStr">
        <is>
          <t>09.04.2025</t>
        </is>
      </c>
      <c r="F190" s="44" t="n">
        <v>273</v>
      </c>
      <c r="G190" s="44" t="n"/>
      <c r="H190" s="15" t="n"/>
      <c r="I190" s="45" t="n">
        <v>27463005</v>
      </c>
      <c r="J190" s="45" t="n">
        <v>20317860.19685</v>
      </c>
      <c r="K190" s="45" t="n">
        <v>6025000</v>
      </c>
      <c r="L190" s="45" t="n">
        <v>4475774.25</v>
      </c>
      <c r="M190" s="45" t="n">
        <v>3432632.896</v>
      </c>
      <c r="N190" s="45" t="n">
        <v>2549999.99945</v>
      </c>
      <c r="O190" s="45" t="n">
        <v>6730652.734</v>
      </c>
      <c r="P190" s="45" t="n">
        <v>4999999.9965</v>
      </c>
      <c r="Q190" s="45" t="n">
        <v>1125196.198</v>
      </c>
      <c r="R190" s="45" t="n">
        <v>835874.4996100001</v>
      </c>
      <c r="S190" s="45" t="n">
        <v>17313481.828</v>
      </c>
      <c r="T190" s="45" t="n">
        <v>12861648.74556</v>
      </c>
      <c r="U190" s="15" t="n">
        <v>34.61</v>
      </c>
      <c r="V190" s="15" t="n">
        <v>48.63</v>
      </c>
      <c r="W190" s="49" t="n">
        <v>74.28700000000001</v>
      </c>
    </row>
    <row r="191">
      <c r="A191" s="44" t="inlineStr">
        <is>
          <t>TL Cinsi Kuponsuz Senetler</t>
        </is>
      </c>
      <c r="B191" s="44" t="n">
        <v>2024</v>
      </c>
      <c r="C191" s="44" t="inlineStr">
        <is>
          <t>TRT100925T18</t>
        </is>
      </c>
      <c r="D191" s="44" t="inlineStr">
        <is>
          <t>21.08.2024</t>
        </is>
      </c>
      <c r="E191" s="44" t="inlineStr">
        <is>
          <t>10.09.2025</t>
        </is>
      </c>
      <c r="F191" s="44" t="n">
        <v>385</v>
      </c>
      <c r="G191" s="44" t="n"/>
      <c r="H191" s="15" t="n"/>
      <c r="I191" s="45" t="n">
        <v>34700150</v>
      </c>
      <c r="J191" s="45" t="n">
        <v>23200468.063</v>
      </c>
      <c r="K191" s="45" t="n">
        <v>7694150</v>
      </c>
      <c r="L191" s="45" t="n">
        <v>5221390.283</v>
      </c>
      <c r="M191" s="45" t="n">
        <v>2298782.822</v>
      </c>
      <c r="N191" s="45" t="n">
        <v>1559999.99866</v>
      </c>
      <c r="O191" s="45" t="n">
        <v>6631104.296</v>
      </c>
      <c r="P191" s="45" t="n">
        <v>4499999.99735</v>
      </c>
      <c r="Q191" s="45" t="n">
        <v>1869018.64</v>
      </c>
      <c r="R191" s="45" t="n">
        <v>1268353.42947</v>
      </c>
      <c r="S191" s="45" t="n">
        <v>18493055.758</v>
      </c>
      <c r="T191" s="45" t="n">
        <v>12549743.70848</v>
      </c>
      <c r="U191" s="15" t="n">
        <v>47.36</v>
      </c>
      <c r="V191" s="15" t="n">
        <v>44.27</v>
      </c>
      <c r="W191" s="49" t="n">
        <v>67.86199999999999</v>
      </c>
    </row>
    <row r="192">
      <c r="A192" s="44" t="inlineStr">
        <is>
          <t>TL Cinsi Kuponsuz Senetler</t>
        </is>
      </c>
      <c r="B192" s="44" t="n">
        <v>2024</v>
      </c>
      <c r="C192" s="44" t="inlineStr">
        <is>
          <t>TRT100925T18</t>
        </is>
      </c>
      <c r="D192" s="44" t="inlineStr">
        <is>
          <t>11.09.2024</t>
        </is>
      </c>
      <c r="E192" s="44" t="inlineStr">
        <is>
          <t>10.09.2025</t>
        </is>
      </c>
      <c r="F192" s="44" t="n">
        <v>364</v>
      </c>
      <c r="G192" s="44" t="n"/>
      <c r="H192" s="15" t="n"/>
      <c r="I192" s="45" t="n">
        <v>6271000</v>
      </c>
      <c r="J192" s="45" t="n">
        <v>4262010.03</v>
      </c>
      <c r="K192" s="45" t="n">
        <v>3166000</v>
      </c>
      <c r="L192" s="45" t="n">
        <v>2170508.38</v>
      </c>
      <c r="M192" s="45" t="n">
        <v>2917280.511</v>
      </c>
      <c r="N192" s="45" t="n">
        <v>1999999.99993</v>
      </c>
      <c r="O192" s="45" t="n">
        <v>5834561.019</v>
      </c>
      <c r="P192" s="45" t="n">
        <v>3999999.99779</v>
      </c>
      <c r="Q192" s="45" t="inlineStr">
        <is>
          <t>-</t>
        </is>
      </c>
      <c r="R192" s="45" t="inlineStr">
        <is>
          <t>-</t>
        </is>
      </c>
      <c r="S192" s="45" t="n">
        <v>11917841.53</v>
      </c>
      <c r="T192" s="45" t="n">
        <v>8170508.37772</v>
      </c>
      <c r="U192" s="15" t="n">
        <v>45.86</v>
      </c>
      <c r="V192" s="15" t="n">
        <v>45.86</v>
      </c>
      <c r="W192" s="49" t="n">
        <v>68.557</v>
      </c>
    </row>
    <row r="193">
      <c r="A193" s="44" t="inlineStr">
        <is>
          <t>TL Cinsi Kuponsuz Senetler</t>
        </is>
      </c>
      <c r="B193" s="44" t="n">
        <v>2024</v>
      </c>
      <c r="C193" s="44" t="inlineStr">
        <is>
          <t>TRT100925T18</t>
        </is>
      </c>
      <c r="D193" s="44" t="inlineStr">
        <is>
          <t>09.10.2024</t>
        </is>
      </c>
      <c r="E193" s="44" t="inlineStr">
        <is>
          <t>10.09.2025</t>
        </is>
      </c>
      <c r="F193" s="44" t="n">
        <v>336</v>
      </c>
      <c r="G193" s="44" t="n"/>
      <c r="H193" s="15" t="n"/>
      <c r="I193" s="45" t="n">
        <v>21472219.71</v>
      </c>
      <c r="J193" s="45" t="n">
        <v>14851912.92696</v>
      </c>
      <c r="K193" s="45" t="n">
        <v>9694183.665999999</v>
      </c>
      <c r="L193" s="45" t="n">
        <v>6755548.9972</v>
      </c>
      <c r="M193" s="45" t="n">
        <v>4304963.623</v>
      </c>
      <c r="N193" s="45" t="n">
        <v>2999999.99996</v>
      </c>
      <c r="O193" s="45" t="n">
        <v>3228722.713</v>
      </c>
      <c r="P193" s="45" t="n">
        <v>2249999.99702</v>
      </c>
      <c r="Q193" s="45" t="n">
        <v>2685785.05</v>
      </c>
      <c r="R193" s="45" t="n">
        <v>1871643.02779</v>
      </c>
      <c r="S193" s="45" t="n">
        <v>19913655.052</v>
      </c>
      <c r="T193" s="45" t="n">
        <v>13877192.02197</v>
      </c>
      <c r="U193" s="15" t="n">
        <v>43.5</v>
      </c>
      <c r="V193" s="15" t="n">
        <v>47.88</v>
      </c>
      <c r="W193" s="49" t="n">
        <v>69.687</v>
      </c>
    </row>
    <row r="194">
      <c r="A194" s="44" t="inlineStr">
        <is>
          <t>TL Cinsi Kuponsuz Senetler</t>
        </is>
      </c>
      <c r="B194" s="44" t="n">
        <v>2024</v>
      </c>
      <c r="C194" s="44" t="inlineStr">
        <is>
          <t>TRT100925T18</t>
        </is>
      </c>
      <c r="D194" s="44" t="inlineStr">
        <is>
          <t>06.11.2024</t>
        </is>
      </c>
      <c r="E194" s="44" t="inlineStr">
        <is>
          <t>10.09.2025</t>
        </is>
      </c>
      <c r="F194" s="44" t="n">
        <v>308</v>
      </c>
      <c r="G194" s="44" t="n"/>
      <c r="H194" s="15" t="n"/>
      <c r="I194" s="45" t="n">
        <v>15800230.153</v>
      </c>
      <c r="J194" s="45" t="n">
        <v>11293579.2546</v>
      </c>
      <c r="K194" s="45" t="n">
        <v>5490000</v>
      </c>
      <c r="L194" s="45" t="n">
        <v>3940950.12</v>
      </c>
      <c r="M194" s="45" t="n">
        <v>0</v>
      </c>
      <c r="N194" s="45" t="n">
        <v>0</v>
      </c>
      <c r="O194" s="45" t="n">
        <v>3482670.23</v>
      </c>
      <c r="P194" s="45" t="n">
        <v>2499999.99789</v>
      </c>
      <c r="Q194" s="45" t="n">
        <v>2281609.339</v>
      </c>
      <c r="R194" s="45" t="n">
        <v>1637830.44791</v>
      </c>
      <c r="S194" s="45" t="n">
        <v>11254279.569</v>
      </c>
      <c r="T194" s="45" t="n">
        <v>8078780.5658</v>
      </c>
      <c r="U194" s="15" t="n">
        <v>39.31</v>
      </c>
      <c r="V194" s="15" t="n">
        <v>47.96</v>
      </c>
      <c r="W194" s="49" t="n">
        <v>71.78400000000001</v>
      </c>
    </row>
    <row r="195">
      <c r="A195" s="44" t="inlineStr">
        <is>
          <t>TL Cinsi Kuponsuz Senetler</t>
        </is>
      </c>
      <c r="B195" s="44" t="n">
        <v>2024</v>
      </c>
      <c r="C195" s="44" t="inlineStr">
        <is>
          <t>TRT100925T18</t>
        </is>
      </c>
      <c r="D195" s="44" t="inlineStr">
        <is>
          <t>11.12.2024</t>
        </is>
      </c>
      <c r="E195" s="44" t="inlineStr">
        <is>
          <t>10.09.2025</t>
        </is>
      </c>
      <c r="F195" s="44" t="n">
        <v>273</v>
      </c>
      <c r="G195" s="44" t="n"/>
      <c r="H195" s="15" t="n"/>
      <c r="I195" s="45" t="n">
        <v>25169000</v>
      </c>
      <c r="J195" s="45" t="n">
        <v>18827811.08</v>
      </c>
      <c r="K195" s="45" t="n">
        <v>6639000</v>
      </c>
      <c r="L195" s="45" t="n">
        <v>5017729.78</v>
      </c>
      <c r="M195" s="45" t="n">
        <v>5358560.465</v>
      </c>
      <c r="N195" s="45" t="n">
        <v>4049999.99945</v>
      </c>
      <c r="O195" s="45" t="n">
        <v>661550.671</v>
      </c>
      <c r="P195" s="45" t="n">
        <v>499999.99714</v>
      </c>
      <c r="Q195" s="45" t="n">
        <v>1634302.639</v>
      </c>
      <c r="R195" s="45" t="n">
        <v>1235205.93455</v>
      </c>
      <c r="S195" s="45" t="n">
        <v>14293413.775</v>
      </c>
      <c r="T195" s="45" t="n">
        <v>10802935.71114</v>
      </c>
      <c r="U195" s="15" t="n">
        <v>32.31</v>
      </c>
      <c r="V195" s="15" t="n">
        <v>45.25</v>
      </c>
      <c r="W195" s="49" t="n">
        <v>75.58</v>
      </c>
    </row>
    <row r="196">
      <c r="A196" s="44" t="inlineStr">
        <is>
          <t>TL Cinsi Kuponsuz Senetler</t>
        </is>
      </c>
      <c r="B196" s="44" t="n">
        <v>2023</v>
      </c>
      <c r="C196" s="44" t="inlineStr">
        <is>
          <t>TRT131223T12</t>
        </is>
      </c>
      <c r="D196" s="44" t="inlineStr">
        <is>
          <t>18.01.2023</t>
        </is>
      </c>
      <c r="E196" s="44" t="inlineStr">
        <is>
          <t>13.12.2023</t>
        </is>
      </c>
      <c r="F196" s="44" t="n">
        <v>329</v>
      </c>
      <c r="G196" s="44" t="n"/>
      <c r="H196" s="15" t="n"/>
      <c r="I196" s="45" t="n">
        <v>1422000</v>
      </c>
      <c r="J196" s="45" t="n">
        <v>1292928.05</v>
      </c>
      <c r="K196" s="45" t="n">
        <v>533000</v>
      </c>
      <c r="L196" s="45" t="n">
        <v>486057.72</v>
      </c>
      <c r="M196" s="45" t="n">
        <v>328972.618</v>
      </c>
      <c r="N196" s="45" t="n">
        <v>299999.99953</v>
      </c>
      <c r="O196" s="45" t="n">
        <v>137071.923</v>
      </c>
      <c r="P196" s="45" t="n">
        <v>124999.99874</v>
      </c>
      <c r="Q196" s="45" t="n">
        <v>30003.618</v>
      </c>
      <c r="R196" s="45" t="n">
        <v>27361.19936</v>
      </c>
      <c r="S196" s="45" t="n">
        <v>1029048.159</v>
      </c>
      <c r="T196" s="45" t="n">
        <v>938418.9176299998</v>
      </c>
      <c r="U196" s="15" t="n">
        <v>9.66</v>
      </c>
      <c r="V196" s="15" t="n">
        <v>10.74</v>
      </c>
      <c r="W196" s="49" t="n">
        <v>91.193</v>
      </c>
    </row>
    <row r="197">
      <c r="A197" s="44" t="inlineStr">
        <is>
          <t>TL Cinsi Kuponsuz Senetler</t>
        </is>
      </c>
      <c r="B197" s="44" t="n">
        <v>2023</v>
      </c>
      <c r="C197" s="44" t="inlineStr">
        <is>
          <t>TRT131223T12</t>
        </is>
      </c>
      <c r="D197" s="44" t="inlineStr">
        <is>
          <t>08.03.2023</t>
        </is>
      </c>
      <c r="E197" s="44" t="inlineStr">
        <is>
          <t>13.12.2023</t>
        </is>
      </c>
      <c r="F197" s="44" t="n">
        <v>280</v>
      </c>
      <c r="G197" s="44" t="n"/>
      <c r="H197" s="15" t="n"/>
      <c r="I197" s="45" t="n">
        <v>1346000</v>
      </c>
      <c r="J197" s="45" t="n">
        <v>1249938.59</v>
      </c>
      <c r="K197" s="45" t="n">
        <v>936000</v>
      </c>
      <c r="L197" s="45" t="n">
        <v>870350.99</v>
      </c>
      <c r="M197" s="45" t="n">
        <v>0</v>
      </c>
      <c r="N197" s="45" t="n">
        <v>0</v>
      </c>
      <c r="O197" s="45" t="n">
        <v>1290516.85</v>
      </c>
      <c r="P197" s="45" t="n">
        <v>1199999.99813</v>
      </c>
      <c r="Q197" s="45" t="n">
        <v>0</v>
      </c>
      <c r="R197" s="45" t="n">
        <v>0</v>
      </c>
      <c r="S197" s="45" t="n">
        <v>2226516.85</v>
      </c>
      <c r="T197" s="45" t="n">
        <v>2070350.98813</v>
      </c>
      <c r="U197" s="15" t="n">
        <v>7.54</v>
      </c>
      <c r="V197" s="15" t="n">
        <v>9.91</v>
      </c>
      <c r="W197" s="49" t="n">
        <v>92.986</v>
      </c>
    </row>
    <row r="198">
      <c r="A198" s="44" t="inlineStr">
        <is>
          <t>TL Cinsi Kuponsuz Senetler</t>
        </is>
      </c>
      <c r="B198" s="44" t="n">
        <v>2023</v>
      </c>
      <c r="C198" s="44" t="inlineStr">
        <is>
          <t>TRT161024T10</t>
        </is>
      </c>
      <c r="D198" s="44" t="inlineStr">
        <is>
          <t>19.07.2023</t>
        </is>
      </c>
      <c r="E198" s="44" t="inlineStr">
        <is>
          <t>16.10.2024</t>
        </is>
      </c>
      <c r="F198" s="44" t="n">
        <v>455</v>
      </c>
      <c r="G198" s="44" t="n"/>
      <c r="H198" s="15" t="n"/>
      <c r="I198" s="45" t="n">
        <v>1265000</v>
      </c>
      <c r="J198" s="45" t="n">
        <v>986195.4</v>
      </c>
      <c r="K198" s="45" t="n">
        <v>325000</v>
      </c>
      <c r="L198" s="45" t="n">
        <v>266954.35</v>
      </c>
      <c r="M198" s="45" t="n">
        <v>1217433.649</v>
      </c>
      <c r="N198" s="45" t="n">
        <v>999999.9992899999</v>
      </c>
      <c r="O198" s="45" t="n">
        <v>30435.84</v>
      </c>
      <c r="P198" s="45" t="n">
        <v>24999.99898</v>
      </c>
      <c r="Q198" s="45" t="n">
        <v>0</v>
      </c>
      <c r="R198" s="45" t="n">
        <v>0</v>
      </c>
      <c r="S198" s="45" t="n">
        <v>1572869.489</v>
      </c>
      <c r="T198" s="45" t="n">
        <v>1291954.34827</v>
      </c>
      <c r="U198" s="15" t="n">
        <v>21.74</v>
      </c>
      <c r="V198" s="15" t="n">
        <v>17.05</v>
      </c>
      <c r="W198" s="49" t="n">
        <v>82.14</v>
      </c>
    </row>
    <row r="199">
      <c r="A199" s="44" t="inlineStr">
        <is>
          <t>TL Cinsi Kuponsuz Senetler</t>
        </is>
      </c>
      <c r="B199" s="44" t="n">
        <v>2023</v>
      </c>
      <c r="C199" s="44" t="inlineStr">
        <is>
          <t>TRT161024T10</t>
        </is>
      </c>
      <c r="D199" s="44" t="inlineStr">
        <is>
          <t>18.10.2023</t>
        </is>
      </c>
      <c r="E199" s="44" t="inlineStr">
        <is>
          <t>16.10.2024</t>
        </is>
      </c>
      <c r="F199" s="44" t="n">
        <v>364</v>
      </c>
      <c r="G199" s="44" t="n"/>
      <c r="H199" s="15" t="n"/>
      <c r="I199" s="45" t="n">
        <v>3330001.804</v>
      </c>
      <c r="J199" s="45" t="n">
        <v>2462714.34931</v>
      </c>
      <c r="K199" s="45" t="n">
        <v>1030001.804</v>
      </c>
      <c r="L199" s="45" t="n">
        <v>815226.34931</v>
      </c>
      <c r="M199" s="45" t="n">
        <v>1895183.706</v>
      </c>
      <c r="N199" s="45" t="n">
        <v>1499999.99962</v>
      </c>
      <c r="O199" s="45" t="n">
        <v>37903.673</v>
      </c>
      <c r="P199" s="45" t="n">
        <v>29999.9991</v>
      </c>
      <c r="Q199" s="45" t="n">
        <v>0</v>
      </c>
      <c r="R199" s="45" t="n">
        <v>0</v>
      </c>
      <c r="S199" s="45" t="n">
        <v>2963089.183</v>
      </c>
      <c r="T199" s="45" t="n">
        <v>2345226.34803</v>
      </c>
      <c r="U199" s="15" t="n">
        <v>26.35</v>
      </c>
      <c r="V199" s="15" t="n">
        <v>26.35</v>
      </c>
      <c r="W199" s="49" t="n">
        <v>79.148</v>
      </c>
    </row>
    <row r="200">
      <c r="A200" s="44" t="inlineStr">
        <is>
          <t>TL Cinsi Kuponsuz Senetler</t>
        </is>
      </c>
      <c r="B200" s="44" t="n">
        <v>2023</v>
      </c>
      <c r="C200" s="44" t="inlineStr">
        <is>
          <t>TRT161024T10</t>
        </is>
      </c>
      <c r="D200" s="44" t="inlineStr">
        <is>
          <t>08.11.2023</t>
        </is>
      </c>
      <c r="E200" s="44" t="inlineStr">
        <is>
          <t>16.10.2024</t>
        </is>
      </c>
      <c r="F200" s="44" t="n">
        <v>343</v>
      </c>
      <c r="G200" s="44" t="n"/>
      <c r="H200" s="15" t="n"/>
      <c r="I200" s="45" t="n">
        <v>6561007</v>
      </c>
      <c r="J200" s="45" t="n">
        <v>4621859.42605</v>
      </c>
      <c r="K200" s="45" t="n">
        <v>1581007</v>
      </c>
      <c r="L200" s="45" t="n">
        <v>1151183.52605</v>
      </c>
      <c r="M200" s="45" t="n">
        <v>0</v>
      </c>
      <c r="N200" s="45" t="n">
        <v>0</v>
      </c>
      <c r="O200" s="45" t="n">
        <v>137338.11</v>
      </c>
      <c r="P200" s="45" t="n">
        <v>99999.99803</v>
      </c>
      <c r="Q200" s="45" t="n">
        <v>0</v>
      </c>
      <c r="R200" s="45" t="n">
        <v>0</v>
      </c>
      <c r="S200" s="45" t="n">
        <v>1718345.11</v>
      </c>
      <c r="T200" s="45" t="n">
        <v>1251183.52408</v>
      </c>
      <c r="U200" s="15" t="n">
        <v>37.34</v>
      </c>
      <c r="V200" s="15" t="n">
        <v>40.03</v>
      </c>
      <c r="W200" s="49" t="n">
        <v>72.813</v>
      </c>
    </row>
    <row r="201">
      <c r="A201" s="44" t="inlineStr">
        <is>
          <t>TL Cinsi Kuponsuz Senetler</t>
        </is>
      </c>
      <c r="B201" s="44" t="n">
        <v>2022</v>
      </c>
      <c r="C201" s="44" t="inlineStr">
        <is>
          <t>TRT250123T11</t>
        </is>
      </c>
      <c r="D201" s="44" t="inlineStr">
        <is>
          <t>12.01.2022</t>
        </is>
      </c>
      <c r="E201" s="44" t="inlineStr">
        <is>
          <t>25.01.2023</t>
        </is>
      </c>
      <c r="F201" s="44" t="n">
        <v>378</v>
      </c>
      <c r="G201" s="44" t="n"/>
      <c r="H201" s="15" t="n"/>
      <c r="I201" s="45" t="n">
        <v>3244010</v>
      </c>
      <c r="J201" s="45" t="n">
        <v>2589066.405</v>
      </c>
      <c r="K201" s="45" t="n">
        <v>1772010</v>
      </c>
      <c r="L201" s="45" t="n">
        <v>1420132.155</v>
      </c>
      <c r="M201" s="45" t="n">
        <v>499114.072</v>
      </c>
      <c r="N201" s="45" t="n">
        <v>399999.99958</v>
      </c>
      <c r="O201" s="45" t="n">
        <v>998228.142</v>
      </c>
      <c r="P201" s="45" t="n">
        <v>799999.99756</v>
      </c>
      <c r="Q201" s="45" t="n">
        <v>776000</v>
      </c>
      <c r="R201" s="45" t="n">
        <v>621901.92</v>
      </c>
      <c r="S201" s="45" t="n">
        <v>4045352.214</v>
      </c>
      <c r="T201" s="45" t="n">
        <v>3242034.07214</v>
      </c>
      <c r="U201" s="15" t="n">
        <v>24.78</v>
      </c>
      <c r="V201" s="15" t="n">
        <v>23.76</v>
      </c>
      <c r="W201" s="49" t="n">
        <v>80.142</v>
      </c>
    </row>
    <row r="202">
      <c r="A202" s="44" t="inlineStr">
        <is>
          <t>TL Cinsi Kuponsuz Senetler</t>
        </is>
      </c>
      <c r="B202" s="44" t="n">
        <v>2022</v>
      </c>
      <c r="C202" s="44" t="inlineStr">
        <is>
          <t>TRT250123T11</t>
        </is>
      </c>
      <c r="D202" s="44" t="inlineStr">
        <is>
          <t>16.02.2022</t>
        </is>
      </c>
      <c r="E202" s="44" t="inlineStr">
        <is>
          <t>25.01.2023</t>
        </is>
      </c>
      <c r="F202" s="44" t="n">
        <v>343</v>
      </c>
      <c r="G202" s="44" t="n"/>
      <c r="H202" s="15" t="n"/>
      <c r="I202" s="45" t="n">
        <v>6779010</v>
      </c>
      <c r="J202" s="45" t="n">
        <v>5713621.15</v>
      </c>
      <c r="K202" s="45" t="n">
        <v>1416010</v>
      </c>
      <c r="L202" s="45" t="n">
        <v>1198626.79</v>
      </c>
      <c r="M202" s="45" t="n">
        <v>1004158.397</v>
      </c>
      <c r="N202" s="45" t="n">
        <v>849999.9999000001</v>
      </c>
      <c r="O202" s="45" t="n">
        <v>2539930.062</v>
      </c>
      <c r="P202" s="45" t="n">
        <v>2149999.99888</v>
      </c>
      <c r="Q202" s="45" t="n">
        <v>0</v>
      </c>
      <c r="R202" s="45" t="n">
        <v>0</v>
      </c>
      <c r="S202" s="45" t="n">
        <v>4960098.459</v>
      </c>
      <c r="T202" s="45" t="n">
        <v>4198626.78878</v>
      </c>
      <c r="U202" s="15" t="n">
        <v>18.14</v>
      </c>
      <c r="V202" s="15" t="n">
        <v>19.35</v>
      </c>
      <c r="W202" s="49" t="n">
        <v>84.648</v>
      </c>
    </row>
    <row r="203">
      <c r="A203" s="44" t="inlineStr">
        <is>
          <t>TL Cinsi Kuponsuz Senetler</t>
        </is>
      </c>
      <c r="B203" s="44" t="n">
        <v>2022</v>
      </c>
      <c r="C203" s="44" t="inlineStr">
        <is>
          <t>TRT250123T11</t>
        </is>
      </c>
      <c r="D203" s="44" t="inlineStr">
        <is>
          <t>09.03.2022</t>
        </is>
      </c>
      <c r="E203" s="44" t="inlineStr">
        <is>
          <t>25.01.2023</t>
        </is>
      </c>
      <c r="F203" s="44" t="n">
        <v>322</v>
      </c>
      <c r="G203" s="44" t="n"/>
      <c r="H203" s="15" t="n"/>
      <c r="I203" s="45" t="n">
        <v>5277000</v>
      </c>
      <c r="J203" s="45" t="n">
        <v>4396263.79</v>
      </c>
      <c r="K203" s="45" t="n">
        <v>2436000</v>
      </c>
      <c r="L203" s="45" t="n">
        <v>2036769.28</v>
      </c>
      <c r="M203" s="45" t="n">
        <v>0</v>
      </c>
      <c r="N203" s="45" t="n">
        <v>0</v>
      </c>
      <c r="O203" s="45" t="n">
        <v>2152826.777</v>
      </c>
      <c r="P203" s="45" t="n">
        <v>1799999.99653</v>
      </c>
      <c r="Q203" s="45" t="n">
        <v>25012.857</v>
      </c>
      <c r="R203" s="45" t="n">
        <v>20913.49987</v>
      </c>
      <c r="S203" s="45" t="n">
        <v>4613839.634</v>
      </c>
      <c r="T203" s="45" t="n">
        <v>3857682.7764</v>
      </c>
      <c r="U203" s="15" t="n">
        <v>19.6</v>
      </c>
      <c r="V203" s="15" t="n">
        <v>22.43</v>
      </c>
      <c r="W203" s="49" t="n">
        <v>83.611</v>
      </c>
    </row>
    <row r="204">
      <c r="A204" s="44" t="inlineStr">
        <is>
          <t>TL Cinsi Kuponsuz Senetler</t>
        </is>
      </c>
      <c r="B204" s="44" t="n">
        <v>2022</v>
      </c>
      <c r="C204" s="44" t="inlineStr">
        <is>
          <t>TRB220223T13</t>
        </is>
      </c>
      <c r="D204" s="44" t="inlineStr">
        <is>
          <t>13.04.2022</t>
        </is>
      </c>
      <c r="E204" s="44" t="inlineStr">
        <is>
          <t>22.02.2023</t>
        </is>
      </c>
      <c r="F204" s="44" t="n">
        <v>315</v>
      </c>
      <c r="G204" s="44" t="n"/>
      <c r="H204" s="15" t="n"/>
      <c r="I204" s="45" t="n">
        <v>3865028.349</v>
      </c>
      <c r="J204" s="45" t="n">
        <v>3234798.94941</v>
      </c>
      <c r="K204" s="45" t="n">
        <v>2265028.349</v>
      </c>
      <c r="L204" s="45" t="n">
        <v>1898437.04941</v>
      </c>
      <c r="M204" s="45" t="n">
        <v>119310.385</v>
      </c>
      <c r="N204" s="45" t="n">
        <v>99999.99919</v>
      </c>
      <c r="O204" s="45" t="n">
        <v>1312414.242</v>
      </c>
      <c r="P204" s="45" t="n">
        <v>1099999.99694</v>
      </c>
      <c r="Q204" s="45" t="n">
        <v>345248.253</v>
      </c>
      <c r="R204" s="45" t="n">
        <v>289369.82326</v>
      </c>
      <c r="S204" s="45" t="n">
        <v>4042001.229</v>
      </c>
      <c r="T204" s="45" t="n">
        <v>3387806.8688</v>
      </c>
      <c r="U204" s="15" t="n">
        <v>19.31</v>
      </c>
      <c r="V204" s="15" t="n">
        <v>22.63</v>
      </c>
      <c r="W204" s="49" t="n">
        <v>83.815</v>
      </c>
    </row>
    <row r="205">
      <c r="A205" s="44" t="inlineStr">
        <is>
          <t>TL Cinsi Kuponsuz Senetler</t>
        </is>
      </c>
      <c r="B205" s="44" t="n">
        <v>2022</v>
      </c>
      <c r="C205" s="44" t="inlineStr">
        <is>
          <t>TRB220223T13</t>
        </is>
      </c>
      <c r="D205" s="44" t="inlineStr">
        <is>
          <t>25.05.2022</t>
        </is>
      </c>
      <c r="E205" s="44" t="inlineStr">
        <is>
          <t>22.02.2023</t>
        </is>
      </c>
      <c r="F205" s="44" t="n">
        <v>273</v>
      </c>
      <c r="G205" s="44" t="n"/>
      <c r="H205" s="15" t="n"/>
      <c r="I205" s="45" t="n">
        <v>3655000</v>
      </c>
      <c r="J205" s="45" t="n">
        <v>3093912.23</v>
      </c>
      <c r="K205" s="45" t="n">
        <v>2381000</v>
      </c>
      <c r="L205" s="45" t="n">
        <v>2017409.4</v>
      </c>
      <c r="M205" s="45" t="n">
        <v>118021.952</v>
      </c>
      <c r="N205" s="45" t="n">
        <v>99999.99993000001</v>
      </c>
      <c r="O205" s="45" t="n">
        <v>4248790.27</v>
      </c>
      <c r="P205" s="45" t="n">
        <v>3599999.99578</v>
      </c>
      <c r="Q205" s="45" t="n">
        <v>0</v>
      </c>
      <c r="R205" s="45" t="n">
        <v>0</v>
      </c>
      <c r="S205" s="45" t="n">
        <v>6747812.221999999</v>
      </c>
      <c r="T205" s="45" t="n">
        <v>5717409.39571</v>
      </c>
      <c r="U205" s="15" t="n">
        <v>18.02</v>
      </c>
      <c r="V205" s="15" t="n">
        <v>24.73</v>
      </c>
      <c r="W205" s="49" t="n">
        <v>84.73</v>
      </c>
    </row>
    <row r="206">
      <c r="A206" s="44" t="inlineStr">
        <is>
          <t>TL Cinsi Kuponsuz Senetler</t>
        </is>
      </c>
      <c r="B206" s="44" t="n">
        <v>2022</v>
      </c>
      <c r="C206" s="44" t="inlineStr">
        <is>
          <t>TRB220223T13</t>
        </is>
      </c>
      <c r="D206" s="44" t="inlineStr">
        <is>
          <t>15.06.2022</t>
        </is>
      </c>
      <c r="E206" s="44" t="inlineStr">
        <is>
          <t>22.02.2023</t>
        </is>
      </c>
      <c r="F206" s="44" t="n">
        <v>252</v>
      </c>
      <c r="G206" s="44" t="n"/>
      <c r="H206" s="15" t="n"/>
      <c r="I206" s="45" t="n">
        <v>1046000</v>
      </c>
      <c r="J206" s="45" t="n">
        <v>897288.03</v>
      </c>
      <c r="K206" s="45" t="n">
        <v>746000</v>
      </c>
      <c r="L206" s="45" t="n">
        <v>640970.23</v>
      </c>
      <c r="M206" s="45" t="n">
        <v>232771.964</v>
      </c>
      <c r="N206" s="45" t="n">
        <v>199999.99919</v>
      </c>
      <c r="O206" s="45" t="n">
        <v>814701.875</v>
      </c>
      <c r="P206" s="45" t="n">
        <v>699999.99801</v>
      </c>
      <c r="Q206" s="45" t="n">
        <v>225297.889</v>
      </c>
      <c r="R206" s="45" t="n">
        <v>193578.19921</v>
      </c>
      <c r="S206" s="45" t="n">
        <v>2018771.728</v>
      </c>
      <c r="T206" s="45" t="n">
        <v>1734548.42641</v>
      </c>
      <c r="U206" s="15" t="n">
        <v>16.39</v>
      </c>
      <c r="V206" s="15" t="n">
        <v>24.51</v>
      </c>
      <c r="W206" s="49" t="n">
        <v>85.92100000000001</v>
      </c>
    </row>
    <row r="207">
      <c r="A207" s="44" t="inlineStr">
        <is>
          <t>TL Cinsi Kuponsuz Senetler</t>
        </is>
      </c>
      <c r="B207" s="44" t="n">
        <v>2022</v>
      </c>
      <c r="C207" s="44" t="inlineStr">
        <is>
          <t>TRT111023T16</t>
        </is>
      </c>
      <c r="D207" s="44" t="inlineStr">
        <is>
          <t>21.09.2022</t>
        </is>
      </c>
      <c r="E207" s="44" t="inlineStr">
        <is>
          <t>11.10.2023</t>
        </is>
      </c>
      <c r="F207" s="44" t="n">
        <v>385</v>
      </c>
      <c r="G207" s="44" t="n"/>
      <c r="H207" s="15" t="n"/>
      <c r="I207" s="45" t="n">
        <v>990000</v>
      </c>
      <c r="J207" s="45" t="n">
        <v>853976.75</v>
      </c>
      <c r="K207" s="45" t="n">
        <v>335000</v>
      </c>
      <c r="L207" s="45" t="n">
        <v>289524.9</v>
      </c>
      <c r="M207" s="45" t="n">
        <v>2776974.254</v>
      </c>
      <c r="N207" s="45" t="n">
        <v>2399999.99902</v>
      </c>
      <c r="O207" s="45" t="n">
        <v>231414.52</v>
      </c>
      <c r="P207" s="45" t="n">
        <v>199999.99891</v>
      </c>
      <c r="Q207" s="45" t="n">
        <v>60070.639</v>
      </c>
      <c r="R207" s="45" t="n">
        <v>51916.04976</v>
      </c>
      <c r="S207" s="45" t="n">
        <v>3403459.413</v>
      </c>
      <c r="T207" s="45" t="n">
        <v>2941440.94769</v>
      </c>
      <c r="U207" s="15" t="n">
        <v>15.71</v>
      </c>
      <c r="V207" s="15" t="n">
        <v>14.79</v>
      </c>
      <c r="W207" s="49" t="n">
        <v>86.425</v>
      </c>
    </row>
    <row r="208">
      <c r="A208" s="44" t="inlineStr">
        <is>
          <t>TL Cinsi Kuponsuz Senetler</t>
        </is>
      </c>
      <c r="B208" s="44" t="n">
        <v>2022</v>
      </c>
      <c r="C208" s="44" t="inlineStr">
        <is>
          <t>TRT131223T12</t>
        </is>
      </c>
      <c r="D208" s="44" t="inlineStr">
        <is>
          <t>09.11.2022</t>
        </is>
      </c>
      <c r="E208" s="44" t="inlineStr">
        <is>
          <t>13.12.2023</t>
        </is>
      </c>
      <c r="F208" s="44" t="n">
        <v>399</v>
      </c>
      <c r="G208" s="44" t="n"/>
      <c r="H208" s="15" t="n"/>
      <c r="I208" s="45" t="n">
        <v>2167000</v>
      </c>
      <c r="J208" s="45" t="n">
        <v>1838101.12</v>
      </c>
      <c r="K208" s="45" t="n">
        <v>1143000</v>
      </c>
      <c r="L208" s="45" t="n">
        <v>982392.01</v>
      </c>
      <c r="M208" s="45" t="n">
        <v>1745221.003</v>
      </c>
      <c r="N208" s="45" t="n">
        <v>1499999.99987</v>
      </c>
      <c r="O208" s="45" t="n">
        <v>698088.397</v>
      </c>
      <c r="P208" s="45" t="n">
        <v>599999.99633</v>
      </c>
      <c r="Q208" s="45" t="n">
        <v>175156.197</v>
      </c>
      <c r="R208" s="45" t="n">
        <v>150544.99976</v>
      </c>
      <c r="S208" s="45" t="n">
        <v>3761465.597</v>
      </c>
      <c r="T208" s="45" t="n">
        <v>3232937.00596</v>
      </c>
      <c r="U208" s="15" t="n">
        <v>16.35</v>
      </c>
      <c r="V208" s="15" t="n">
        <v>14.81</v>
      </c>
      <c r="W208" s="49" t="n">
        <v>85.949</v>
      </c>
    </row>
    <row r="209">
      <c r="A209" s="44" t="inlineStr">
        <is>
          <t>TL Cinsi Kuponsuz Senetler</t>
        </is>
      </c>
      <c r="B209" s="44" t="n">
        <v>2021</v>
      </c>
      <c r="C209" s="44" t="inlineStr">
        <is>
          <t>TRT130422T13</t>
        </is>
      </c>
      <c r="D209" s="44" t="inlineStr">
        <is>
          <t>20.01.2021</t>
        </is>
      </c>
      <c r="E209" s="44" t="inlineStr">
        <is>
          <t>13.04.2022</t>
        </is>
      </c>
      <c r="F209" s="44" t="n">
        <v>448</v>
      </c>
      <c r="G209" s="44" t="n"/>
      <c r="H209" s="15" t="n"/>
      <c r="I209" s="45" t="n">
        <v>2273000</v>
      </c>
      <c r="J209" s="45" t="n">
        <v>1893033.34</v>
      </c>
      <c r="K209" s="45" t="n">
        <v>1220000</v>
      </c>
      <c r="L209" s="45" t="n">
        <v>1021845.4</v>
      </c>
      <c r="M209" s="45" t="n">
        <v>0</v>
      </c>
      <c r="N209" s="45" t="n">
        <v>0</v>
      </c>
      <c r="O209" s="45" t="n">
        <v>596957.9</v>
      </c>
      <c r="P209" s="45" t="n">
        <v>499999.9979</v>
      </c>
      <c r="Q209" s="45" t="n">
        <v>132547.367</v>
      </c>
      <c r="R209" s="45" t="n">
        <v>111019.02365</v>
      </c>
      <c r="S209" s="45" t="n">
        <v>1949505.267</v>
      </c>
      <c r="T209" s="45" t="n">
        <v>1632864.42155</v>
      </c>
      <c r="U209" s="15" t="n">
        <v>19.39</v>
      </c>
      <c r="V209" s="15" t="n">
        <v>15.49</v>
      </c>
      <c r="W209" s="49" t="n">
        <v>83.758</v>
      </c>
    </row>
    <row r="210">
      <c r="A210" s="44" t="inlineStr">
        <is>
          <t>TL Cinsi Kuponsuz Senetler</t>
        </is>
      </c>
      <c r="B210" s="44" t="n">
        <v>2021</v>
      </c>
      <c r="C210" s="44" t="inlineStr">
        <is>
          <t>TRT130422T13</t>
        </is>
      </c>
      <c r="D210" s="44" t="inlineStr">
        <is>
          <t>24.02.2021</t>
        </is>
      </c>
      <c r="E210" s="44" t="inlineStr">
        <is>
          <t>13.04.2022</t>
        </is>
      </c>
      <c r="F210" s="44" t="n">
        <v>413</v>
      </c>
      <c r="G210" s="44" t="n"/>
      <c r="H210" s="15" t="n"/>
      <c r="I210" s="45" t="n">
        <v>1112000</v>
      </c>
      <c r="J210" s="45" t="n">
        <v>936591.1</v>
      </c>
      <c r="K210" s="45" t="n">
        <v>232000</v>
      </c>
      <c r="L210" s="45" t="n">
        <v>196925.38</v>
      </c>
      <c r="M210" s="45" t="n">
        <v>58905.303</v>
      </c>
      <c r="N210" s="45" t="n">
        <v>49999.99929</v>
      </c>
      <c r="O210" s="45" t="n">
        <v>235621.212</v>
      </c>
      <c r="P210" s="45" t="n">
        <v>199999.99718</v>
      </c>
      <c r="Q210" s="45" t="n">
        <v>61000.341</v>
      </c>
      <c r="R210" s="45" t="n">
        <v>51778.30945</v>
      </c>
      <c r="S210" s="45" t="n">
        <v>587526.856</v>
      </c>
      <c r="T210" s="45" t="n">
        <v>498703.68592</v>
      </c>
      <c r="U210" s="15" t="n">
        <v>17.81</v>
      </c>
      <c r="V210" s="15" t="n">
        <v>15.54</v>
      </c>
      <c r="W210" s="49" t="n">
        <v>84.88200000000001</v>
      </c>
    </row>
    <row r="211">
      <c r="A211" s="44" t="inlineStr">
        <is>
          <t>TL Cinsi Kuponsuz Senetler</t>
        </is>
      </c>
      <c r="B211" s="44" t="n">
        <v>2021</v>
      </c>
      <c r="C211" s="44" t="inlineStr">
        <is>
          <t>TRT150622T19</t>
        </is>
      </c>
      <c r="D211" s="44" t="inlineStr">
        <is>
          <t>05.05.2021</t>
        </is>
      </c>
      <c r="E211" s="44" t="inlineStr">
        <is>
          <t>15.06.2022</t>
        </is>
      </c>
      <c r="F211" s="44" t="n">
        <v>406</v>
      </c>
      <c r="G211" s="44" t="n"/>
      <c r="H211" s="15" t="n"/>
      <c r="I211" s="45" t="n">
        <v>2155061.622</v>
      </c>
      <c r="J211" s="45" t="n">
        <v>1777476.13985</v>
      </c>
      <c r="K211" s="45" t="n">
        <v>662000</v>
      </c>
      <c r="L211" s="45" t="n">
        <v>549566.5600000001</v>
      </c>
      <c r="M211" s="45" t="n">
        <v>0</v>
      </c>
      <c r="N211" s="45" t="n">
        <v>0</v>
      </c>
      <c r="O211" s="45" t="n">
        <v>301146.764</v>
      </c>
      <c r="P211" s="45" t="n">
        <v>249999.9976</v>
      </c>
      <c r="Q211" s="45" t="n">
        <v>50012.527</v>
      </c>
      <c r="R211" s="45" t="n">
        <v>41518.39941</v>
      </c>
      <c r="S211" s="45" t="n">
        <v>1013159.291</v>
      </c>
      <c r="T211" s="45" t="n">
        <v>841084.95701</v>
      </c>
      <c r="U211" s="15" t="n">
        <v>20.46</v>
      </c>
      <c r="V211" s="15" t="n">
        <v>18.16</v>
      </c>
      <c r="W211" s="49" t="n">
        <v>83.01600000000001</v>
      </c>
    </row>
    <row r="212">
      <c r="A212" s="44" t="inlineStr">
        <is>
          <t>TL Cinsi Kuponsuz Senetler</t>
        </is>
      </c>
      <c r="B212" s="44" t="n">
        <v>2021</v>
      </c>
      <c r="C212" s="44" t="inlineStr">
        <is>
          <t>TRT150622T19</t>
        </is>
      </c>
      <c r="D212" s="44" t="inlineStr">
        <is>
          <t>09.06.2021</t>
        </is>
      </c>
      <c r="E212" s="44" t="inlineStr">
        <is>
          <t>15.06.2022</t>
        </is>
      </c>
      <c r="F212" s="44" t="n">
        <v>371</v>
      </c>
      <c r="G212" s="44" t="n"/>
      <c r="H212" s="15" t="n"/>
      <c r="I212" s="45" t="n">
        <v>1927095.937</v>
      </c>
      <c r="J212" s="45" t="n">
        <v>1614438.30899</v>
      </c>
      <c r="K212" s="45" t="n">
        <v>677000</v>
      </c>
      <c r="L212" s="45" t="n">
        <v>568453.97</v>
      </c>
      <c r="M212" s="45" t="n">
        <v>59547.203</v>
      </c>
      <c r="N212" s="45" t="n">
        <v>49999.99994</v>
      </c>
      <c r="O212" s="45" t="n">
        <v>178641.607</v>
      </c>
      <c r="P212" s="45" t="n">
        <v>149999.99814</v>
      </c>
      <c r="Q212" s="45" t="n">
        <v>85067.82399999999</v>
      </c>
      <c r="R212" s="45" t="n">
        <v>71428.89978000001</v>
      </c>
      <c r="S212" s="45" t="n">
        <v>1000256.634</v>
      </c>
      <c r="T212" s="45" t="n">
        <v>839882.86786</v>
      </c>
      <c r="U212" s="15" t="n">
        <v>19.09</v>
      </c>
      <c r="V212" s="15" t="n">
        <v>18.7</v>
      </c>
      <c r="W212" s="49" t="n">
        <v>83.967</v>
      </c>
    </row>
    <row r="213">
      <c r="A213" s="44" t="inlineStr">
        <is>
          <t>TL Cinsi Kuponsuz Senetler</t>
        </is>
      </c>
      <c r="B213" s="44" t="n">
        <v>2021</v>
      </c>
      <c r="C213" s="44" t="inlineStr">
        <is>
          <t>TRT150622T19</t>
        </is>
      </c>
      <c r="D213" s="44" t="inlineStr">
        <is>
          <t>28.07.2021</t>
        </is>
      </c>
      <c r="E213" s="44" t="inlineStr">
        <is>
          <t>15.06.2022</t>
        </is>
      </c>
      <c r="F213" s="44" t="n">
        <v>322</v>
      </c>
      <c r="G213" s="44" t="n"/>
      <c r="H213" s="15" t="n"/>
      <c r="I213" s="45" t="n">
        <v>2014000</v>
      </c>
      <c r="J213" s="45" t="n">
        <v>1723153.04</v>
      </c>
      <c r="K213" s="45" t="n">
        <v>884000</v>
      </c>
      <c r="L213" s="45" t="n">
        <v>757658.39</v>
      </c>
      <c r="M213" s="45" t="n">
        <v>262519.251</v>
      </c>
      <c r="N213" s="45" t="n">
        <v>224999.99965</v>
      </c>
      <c r="O213" s="45" t="n">
        <v>204181.637</v>
      </c>
      <c r="P213" s="45" t="n">
        <v>174999.99743</v>
      </c>
      <c r="Q213" s="45" t="n">
        <v>251709.502</v>
      </c>
      <c r="R213" s="45" t="n">
        <v>215735.17998</v>
      </c>
      <c r="S213" s="45" t="n">
        <v>1602410.39</v>
      </c>
      <c r="T213" s="45" t="n">
        <v>1373393.56706</v>
      </c>
      <c r="U213" s="15" t="n">
        <v>16.68</v>
      </c>
      <c r="V213" s="15" t="n">
        <v>19.05</v>
      </c>
      <c r="W213" s="49" t="n">
        <v>85.708</v>
      </c>
    </row>
    <row r="214">
      <c r="A214" s="44" t="inlineStr">
        <is>
          <t>TL Cinsi Kuponsuz Senetler</t>
        </is>
      </c>
      <c r="B214" s="44" t="n">
        <v>2021</v>
      </c>
      <c r="C214" s="44" t="inlineStr">
        <is>
          <t>TRT150622T19</t>
        </is>
      </c>
      <c r="D214" s="44" t="inlineStr">
        <is>
          <t>22.09.2021</t>
        </is>
      </c>
      <c r="E214" s="44" t="inlineStr">
        <is>
          <t>15.06.2022</t>
        </is>
      </c>
      <c r="F214" s="44" t="n">
        <v>266</v>
      </c>
      <c r="G214" s="44" t="n"/>
      <c r="H214" s="15" t="n"/>
      <c r="I214" s="45" t="n">
        <v>4185000</v>
      </c>
      <c r="J214" s="45" t="n">
        <v>3688608.1</v>
      </c>
      <c r="K214" s="45" t="n">
        <v>1795000</v>
      </c>
      <c r="L214" s="45" t="n">
        <v>1585167.35</v>
      </c>
      <c r="M214" s="45" t="n">
        <v>3170648.85</v>
      </c>
      <c r="N214" s="45" t="n">
        <v>2799999.99944</v>
      </c>
      <c r="O214" s="45" t="n">
        <v>1019137.126</v>
      </c>
      <c r="P214" s="45" t="n">
        <v>899999.99596</v>
      </c>
      <c r="Q214" s="45" t="n">
        <v>293824.778</v>
      </c>
      <c r="R214" s="45" t="n">
        <v>259476.66145</v>
      </c>
      <c r="S214" s="45" t="n">
        <v>6278610.754</v>
      </c>
      <c r="T214" s="45" t="n">
        <v>5544644.00685</v>
      </c>
      <c r="U214" s="15" t="n">
        <v>13.24</v>
      </c>
      <c r="V214" s="15" t="n">
        <v>18.54</v>
      </c>
      <c r="W214" s="49" t="n">
        <v>88.31</v>
      </c>
    </row>
    <row r="215">
      <c r="A215" s="44" t="inlineStr">
        <is>
          <t>TL Cinsi Kuponsuz Senetler</t>
        </is>
      </c>
      <c r="B215" s="44" t="n">
        <v>2021</v>
      </c>
      <c r="C215" s="44" t="inlineStr">
        <is>
          <t>TRT150622T19</t>
        </is>
      </c>
      <c r="D215" s="44" t="inlineStr">
        <is>
          <t>20.10.2021</t>
        </is>
      </c>
      <c r="E215" s="44" t="inlineStr">
        <is>
          <t>15.06.2022</t>
        </is>
      </c>
      <c r="F215" s="44" t="n">
        <v>238</v>
      </c>
      <c r="G215" s="44" t="n"/>
      <c r="H215" s="15" t="n"/>
      <c r="I215" s="45" t="n">
        <v>2681010</v>
      </c>
      <c r="J215" s="45" t="n">
        <v>2393245.608</v>
      </c>
      <c r="K215" s="45" t="n">
        <v>1006000</v>
      </c>
      <c r="L215" s="45" t="n">
        <v>899906.96</v>
      </c>
      <c r="M215" s="45" t="n">
        <v>1453260.893</v>
      </c>
      <c r="N215" s="45" t="n">
        <v>1299999.99923</v>
      </c>
      <c r="O215" s="45" t="n">
        <v>558946.495</v>
      </c>
      <c r="P215" s="45" t="n">
        <v>499999.99764</v>
      </c>
      <c r="Q215" s="45" t="n">
        <v>337120.195</v>
      </c>
      <c r="R215" s="45" t="n">
        <v>301567.49924</v>
      </c>
      <c r="S215" s="45" t="n">
        <v>3355327.583</v>
      </c>
      <c r="T215" s="45" t="n">
        <v>3001474.45611</v>
      </c>
      <c r="U215" s="15" t="n">
        <v>11.79</v>
      </c>
      <c r="V215" s="15" t="n">
        <v>18.58</v>
      </c>
      <c r="W215" s="49" t="n">
        <v>89.45399999999999</v>
      </c>
    </row>
    <row r="216">
      <c r="A216" s="44" t="inlineStr">
        <is>
          <t>TL Cinsi Kuponsuz Senetler</t>
        </is>
      </c>
      <c r="B216" s="44" t="n">
        <v>2021</v>
      </c>
      <c r="C216" s="44" t="inlineStr">
        <is>
          <t>TRT071222T11</t>
        </is>
      </c>
      <c r="D216" s="44" t="inlineStr">
        <is>
          <t>10.11.2021</t>
        </is>
      </c>
      <c r="E216" s="44" t="inlineStr">
        <is>
          <t>07.12.2022</t>
        </is>
      </c>
      <c r="F216" s="44" t="n">
        <v>392</v>
      </c>
      <c r="G216" s="44" t="n"/>
      <c r="H216" s="15" t="n"/>
      <c r="I216" s="45" t="n">
        <v>3125010</v>
      </c>
      <c r="J216" s="45" t="n">
        <v>2625027.478</v>
      </c>
      <c r="K216" s="45" t="n">
        <v>1794010</v>
      </c>
      <c r="L216" s="45" t="n">
        <v>1509476.568</v>
      </c>
      <c r="M216" s="45" t="n">
        <v>1842167.814</v>
      </c>
      <c r="N216" s="45" t="n">
        <v>1549999.9987</v>
      </c>
      <c r="O216" s="45" t="n">
        <v>831946.753</v>
      </c>
      <c r="P216" s="45" t="n">
        <v>699999.99797</v>
      </c>
      <c r="Q216" s="45" t="n">
        <v>533116.218</v>
      </c>
      <c r="R216" s="45" t="n">
        <v>448563.98583</v>
      </c>
      <c r="S216" s="45" t="n">
        <v>5001240.785</v>
      </c>
      <c r="T216" s="45" t="n">
        <v>4208040.5505</v>
      </c>
      <c r="U216" s="15" t="n">
        <v>18.85</v>
      </c>
      <c r="V216" s="15" t="n">
        <v>17.39</v>
      </c>
      <c r="W216" s="49" t="n">
        <v>84.14</v>
      </c>
    </row>
    <row r="217">
      <c r="A217" s="44" t="inlineStr">
        <is>
          <t>TL Cinsi Kuponsuz Senetler</t>
        </is>
      </c>
      <c r="B217" s="44" t="n">
        <v>2020</v>
      </c>
      <c r="C217" s="44" t="inlineStr">
        <is>
          <t>TRT140421T13</t>
        </is>
      </c>
      <c r="D217" s="44" t="inlineStr">
        <is>
          <t>15.01.2020</t>
        </is>
      </c>
      <c r="E217" s="44" t="inlineStr">
        <is>
          <t>14.04.2021</t>
        </is>
      </c>
      <c r="F217" s="44" t="n">
        <v>455</v>
      </c>
      <c r="G217" s="44" t="n"/>
      <c r="H217" s="15" t="n"/>
      <c r="I217" s="45" t="n">
        <v>8226630</v>
      </c>
      <c r="J217" s="45" t="n">
        <v>7255020.51945</v>
      </c>
      <c r="K217" s="45" t="n">
        <v>4061630</v>
      </c>
      <c r="L217" s="45" t="n">
        <v>3586970.19945</v>
      </c>
      <c r="M217" s="45" t="n">
        <v>509545.485</v>
      </c>
      <c r="N217" s="45" t="n">
        <v>449999.99962</v>
      </c>
      <c r="O217" s="45" t="n">
        <v>2038181.937</v>
      </c>
      <c r="P217" s="45" t="n">
        <v>1799999.99583</v>
      </c>
      <c r="Q217" s="45" t="n">
        <v>824498.534</v>
      </c>
      <c r="R217" s="45" t="n">
        <v>728147.63531</v>
      </c>
      <c r="S217" s="45" t="n">
        <v>7433855.956</v>
      </c>
      <c r="T217" s="45" t="n">
        <v>6565117.83021</v>
      </c>
      <c r="U217" s="15" t="n">
        <v>13.23</v>
      </c>
      <c r="V217" s="15" t="n">
        <v>10.45</v>
      </c>
      <c r="W217" s="49" t="n">
        <v>88.31399999999999</v>
      </c>
    </row>
    <row r="218">
      <c r="A218" s="44" t="inlineStr">
        <is>
          <t>TL Cinsi Kuponsuz Senetler</t>
        </is>
      </c>
      <c r="B218" s="44" t="n">
        <v>2020</v>
      </c>
      <c r="C218" s="44" t="inlineStr">
        <is>
          <t>TRB220420T14</t>
        </is>
      </c>
      <c r="D218" s="44" t="inlineStr">
        <is>
          <t>22.01.2020</t>
        </is>
      </c>
      <c r="E218" s="44" t="inlineStr">
        <is>
          <t>22.04.2020</t>
        </is>
      </c>
      <c r="F218" s="44" t="n">
        <v>91</v>
      </c>
      <c r="G218" s="44" t="n"/>
      <c r="H218" s="15" t="n"/>
      <c r="I218" s="45" t="n">
        <v>3952530</v>
      </c>
      <c r="J218" s="45" t="n">
        <v>3858754.0334</v>
      </c>
      <c r="K218" s="45" t="n">
        <v>408000</v>
      </c>
      <c r="L218" s="45" t="n">
        <v>398764.71</v>
      </c>
      <c r="M218" s="45" t="n">
        <v>102316.444</v>
      </c>
      <c r="N218" s="45" t="n">
        <v>99999.99971</v>
      </c>
      <c r="O218" s="45" t="n">
        <v>1534746.66</v>
      </c>
      <c r="P218" s="45" t="n">
        <v>1499999.99561</v>
      </c>
      <c r="Q218" s="45" t="n">
        <v>0</v>
      </c>
      <c r="R218" s="45" t="n">
        <v>0</v>
      </c>
      <c r="S218" s="45" t="n">
        <v>2045063.104</v>
      </c>
      <c r="T218" s="45" t="n">
        <v>1998764.70532</v>
      </c>
      <c r="U218" s="15" t="n">
        <v>2.32</v>
      </c>
      <c r="V218" s="15" t="n">
        <v>9.59</v>
      </c>
      <c r="W218" s="49" t="n">
        <v>97.736</v>
      </c>
    </row>
    <row r="219">
      <c r="A219" s="44" t="inlineStr">
        <is>
          <t>TL Cinsi Kuponsuz Senetler</t>
        </is>
      </c>
      <c r="B219" s="44" t="n">
        <v>2020</v>
      </c>
      <c r="C219" s="44" t="inlineStr">
        <is>
          <t>TRT140421T13</t>
        </is>
      </c>
      <c r="D219" s="44" t="inlineStr">
        <is>
          <t>05.02.2020</t>
        </is>
      </c>
      <c r="E219" s="44" t="inlineStr">
        <is>
          <t>14.04.2021</t>
        </is>
      </c>
      <c r="F219" s="44" t="n">
        <v>434</v>
      </c>
      <c r="G219" s="44" t="n"/>
      <c r="H219" s="15" t="n"/>
      <c r="I219" s="45" t="n">
        <v>5436000</v>
      </c>
      <c r="J219" s="45" t="n">
        <v>4837684.975</v>
      </c>
      <c r="K219" s="45" t="n">
        <v>2487000</v>
      </c>
      <c r="L219" s="45" t="n">
        <v>2215428.84</v>
      </c>
      <c r="M219" s="45" t="n">
        <v>729681.1850000001</v>
      </c>
      <c r="N219" s="45" t="n">
        <v>649999.9996</v>
      </c>
      <c r="O219" s="45" t="n">
        <v>1683879.654</v>
      </c>
      <c r="P219" s="45" t="n">
        <v>1499999.99576</v>
      </c>
      <c r="Q219" s="45" t="n">
        <v>0</v>
      </c>
      <c r="R219" s="45" t="n">
        <v>0</v>
      </c>
      <c r="S219" s="45" t="n">
        <v>4900560.839</v>
      </c>
      <c r="T219" s="45" t="n">
        <v>4365428.835360001</v>
      </c>
      <c r="U219" s="15" t="n">
        <v>12.26</v>
      </c>
      <c r="V219" s="15" t="n">
        <v>10.18</v>
      </c>
      <c r="W219" s="49" t="n">
        <v>89.08</v>
      </c>
    </row>
    <row r="220">
      <c r="A220" s="44" t="inlineStr">
        <is>
          <t>TL Cinsi Kuponsuz Senetler</t>
        </is>
      </c>
      <c r="B220" s="44" t="n">
        <v>2020</v>
      </c>
      <c r="C220" s="44" t="inlineStr">
        <is>
          <t>TRT090621T18</t>
        </is>
      </c>
      <c r="D220" s="44" t="inlineStr">
        <is>
          <t>11.03.2020</t>
        </is>
      </c>
      <c r="E220" s="44" t="inlineStr">
        <is>
          <t>09.06.2021</t>
        </is>
      </c>
      <c r="F220" s="44" t="n">
        <v>455</v>
      </c>
      <c r="G220" s="44" t="n"/>
      <c r="H220" s="15" t="n"/>
      <c r="I220" s="45" t="n">
        <v>4448000</v>
      </c>
      <c r="J220" s="45" t="n">
        <v>3891375.35</v>
      </c>
      <c r="K220" s="45" t="n">
        <v>1405000</v>
      </c>
      <c r="L220" s="45" t="n">
        <v>1231167.45</v>
      </c>
      <c r="M220" s="45" t="n">
        <v>2921440.634</v>
      </c>
      <c r="N220" s="45" t="n">
        <v>2559999.99876</v>
      </c>
      <c r="O220" s="45" t="n">
        <v>1255306.517</v>
      </c>
      <c r="P220" s="45" t="n">
        <v>1099999.99471</v>
      </c>
      <c r="Q220" s="45" t="n">
        <v>0</v>
      </c>
      <c r="R220" s="45" t="n">
        <v>0</v>
      </c>
      <c r="S220" s="45" t="n">
        <v>5581747.151</v>
      </c>
      <c r="T220" s="45" t="n">
        <v>4891167.443469999</v>
      </c>
      <c r="U220" s="15" t="n">
        <v>14.12</v>
      </c>
      <c r="V220" s="15" t="n">
        <v>11.14</v>
      </c>
      <c r="W220" s="49" t="n">
        <v>87.628</v>
      </c>
    </row>
    <row r="221">
      <c r="A221" s="44" t="inlineStr">
        <is>
          <t>TL Cinsi Kuponsuz Senetler</t>
        </is>
      </c>
      <c r="B221" s="44" t="n">
        <v>2020</v>
      </c>
      <c r="C221" s="44" t="inlineStr">
        <is>
          <t>TRT090621T18</t>
        </is>
      </c>
      <c r="D221" s="44" t="inlineStr">
        <is>
          <t>08.04.2020</t>
        </is>
      </c>
      <c r="E221" s="44" t="inlineStr">
        <is>
          <t>09.06.2021</t>
        </is>
      </c>
      <c r="F221" s="44" t="n">
        <v>427</v>
      </c>
      <c r="G221" s="44" t="n"/>
      <c r="H221" s="15" t="n"/>
      <c r="I221" s="45" t="n">
        <v>6401000</v>
      </c>
      <c r="J221" s="45" t="n">
        <v>5598290.08</v>
      </c>
      <c r="K221" s="45" t="n">
        <v>3543000</v>
      </c>
      <c r="L221" s="45" t="n">
        <v>3102294.09</v>
      </c>
      <c r="M221" s="45" t="n">
        <v>571030.481</v>
      </c>
      <c r="N221" s="45" t="n">
        <v>499999.99947</v>
      </c>
      <c r="O221" s="45" t="n">
        <v>4568243.848</v>
      </c>
      <c r="P221" s="45" t="n">
        <v>3999999.99577</v>
      </c>
      <c r="Q221" s="45" t="n">
        <v>0</v>
      </c>
      <c r="R221" s="45" t="n">
        <v>0</v>
      </c>
      <c r="S221" s="45" t="n">
        <v>8682274.329</v>
      </c>
      <c r="T221" s="45" t="n">
        <v>7602294.08524</v>
      </c>
      <c r="U221" s="15" t="n">
        <v>14.21</v>
      </c>
      <c r="V221" s="15" t="n">
        <v>11.99</v>
      </c>
      <c r="W221" s="49" t="n">
        <v>87.56100000000001</v>
      </c>
    </row>
    <row r="222">
      <c r="A222" s="44" t="inlineStr">
        <is>
          <t>TL Cinsi Kuponsuz Senetler</t>
        </is>
      </c>
      <c r="B222" s="44" t="n">
        <v>2020</v>
      </c>
      <c r="C222" s="44" t="inlineStr">
        <is>
          <t>TRT071020T23</t>
        </is>
      </c>
      <c r="D222" s="44" t="inlineStr">
        <is>
          <t>29.04.2020</t>
        </is>
      </c>
      <c r="E222" s="44" t="inlineStr">
        <is>
          <t>07.10.2020</t>
        </is>
      </c>
      <c r="F222" s="44" t="n">
        <v>161</v>
      </c>
      <c r="G222" s="44" t="n"/>
      <c r="H222" s="15" t="n"/>
      <c r="I222" s="45" t="n">
        <v>5210000</v>
      </c>
      <c r="J222" s="45" t="n">
        <v>5037093.93</v>
      </c>
      <c r="K222" s="45" t="n">
        <v>3081000</v>
      </c>
      <c r="L222" s="45" t="n">
        <v>2980476.69</v>
      </c>
      <c r="M222" s="45" t="n">
        <v>0</v>
      </c>
      <c r="N222" s="45" t="n">
        <v>0</v>
      </c>
      <c r="O222" s="45" t="n">
        <v>3101191.886</v>
      </c>
      <c r="P222" s="45" t="n">
        <v>2999999.99477</v>
      </c>
      <c r="Q222" s="45" t="n">
        <v>600000</v>
      </c>
      <c r="R222" s="45" t="n">
        <v>580422</v>
      </c>
      <c r="S222" s="45" t="n">
        <v>6782191.886</v>
      </c>
      <c r="T222" s="45" t="n">
        <v>6560898.68477</v>
      </c>
      <c r="U222" s="15" t="n">
        <v>3.37</v>
      </c>
      <c r="V222" s="15" t="n">
        <v>7.79</v>
      </c>
      <c r="W222" s="49" t="n">
        <v>96.73699999999999</v>
      </c>
    </row>
    <row r="223">
      <c r="A223" s="44" t="inlineStr">
        <is>
          <t>TL Cinsi Kuponsuz Senetler</t>
        </is>
      </c>
      <c r="B223" s="44" t="n">
        <v>2020</v>
      </c>
      <c r="C223" s="44" t="inlineStr">
        <is>
          <t>TRT090621T18</t>
        </is>
      </c>
      <c r="D223" s="44" t="inlineStr">
        <is>
          <t>06.05.2020</t>
        </is>
      </c>
      <c r="E223" s="44" t="inlineStr">
        <is>
          <t>09.06.2021</t>
        </is>
      </c>
      <c r="F223" s="44" t="n">
        <v>399</v>
      </c>
      <c r="G223" s="44" t="n"/>
      <c r="H223" s="15" t="n"/>
      <c r="I223" s="45" t="n">
        <v>10688000</v>
      </c>
      <c r="J223" s="45" t="n">
        <v>9780651.640000001</v>
      </c>
      <c r="K223" s="45" t="n">
        <v>6366000</v>
      </c>
      <c r="L223" s="45" t="n">
        <v>5833977.7</v>
      </c>
      <c r="M223" s="45" t="n">
        <v>0</v>
      </c>
      <c r="N223" s="45" t="n">
        <v>0</v>
      </c>
      <c r="O223" s="45" t="n">
        <v>3273572.444</v>
      </c>
      <c r="P223" s="45" t="n">
        <v>2999999.99487</v>
      </c>
      <c r="Q223" s="45" t="n">
        <v>1309719.646</v>
      </c>
      <c r="R223" s="45" t="n">
        <v>1200266.37518</v>
      </c>
      <c r="S223" s="45" t="n">
        <v>10949292.09</v>
      </c>
      <c r="T223" s="45" t="n">
        <v>10034244.07005</v>
      </c>
      <c r="U223" s="15" t="n">
        <v>9.119999999999999</v>
      </c>
      <c r="V223" s="15" t="n">
        <v>8.289999999999999</v>
      </c>
      <c r="W223" s="49" t="n">
        <v>91.643</v>
      </c>
    </row>
    <row r="224">
      <c r="A224" s="44" t="inlineStr">
        <is>
          <t>TL Cinsi Kuponsuz Senetler</t>
        </is>
      </c>
      <c r="B224" s="44" t="n">
        <v>2020</v>
      </c>
      <c r="C224" s="44" t="inlineStr">
        <is>
          <t>TRB091220T11</t>
        </is>
      </c>
      <c r="D224" s="44" t="inlineStr">
        <is>
          <t>27.05.2020</t>
        </is>
      </c>
      <c r="E224" s="44" t="inlineStr">
        <is>
          <t>09.12.2020</t>
        </is>
      </c>
      <c r="F224" s="44" t="n">
        <v>196</v>
      </c>
      <c r="G224" s="44" t="n"/>
      <c r="H224" s="15" t="n"/>
      <c r="I224" s="45" t="n">
        <v>1867000</v>
      </c>
      <c r="J224" s="45" t="n">
        <v>1790414.59</v>
      </c>
      <c r="K224" s="45" t="n">
        <v>846000</v>
      </c>
      <c r="L224" s="45" t="n">
        <v>811529.74</v>
      </c>
      <c r="M224" s="45" t="n">
        <v>0</v>
      </c>
      <c r="N224" s="45" t="n">
        <v>0</v>
      </c>
      <c r="O224" s="45" t="n">
        <v>1042470.234</v>
      </c>
      <c r="P224" s="45" t="n">
        <v>999999.99667</v>
      </c>
      <c r="Q224" s="45" t="n">
        <v>27608.089</v>
      </c>
      <c r="R224" s="45" t="n">
        <v>26483.33545</v>
      </c>
      <c r="S224" s="45" t="n">
        <v>1916078.323</v>
      </c>
      <c r="T224" s="45" t="n">
        <v>1838013.07212</v>
      </c>
      <c r="U224" s="15" t="n">
        <v>4.25</v>
      </c>
      <c r="V224" s="15" t="n">
        <v>8.029999999999999</v>
      </c>
      <c r="W224" s="49" t="n">
        <v>95.926</v>
      </c>
    </row>
    <row r="225">
      <c r="A225" s="44" t="inlineStr">
        <is>
          <t>TL Cinsi Kuponsuz Senetler</t>
        </is>
      </c>
      <c r="B225" s="44" t="n">
        <v>2020</v>
      </c>
      <c r="C225" s="44" t="inlineStr">
        <is>
          <t>TRT090621T18</t>
        </is>
      </c>
      <c r="D225" s="44" t="inlineStr">
        <is>
          <t>10.06.2020</t>
        </is>
      </c>
      <c r="E225" s="44" t="inlineStr">
        <is>
          <t>09.06.2021</t>
        </is>
      </c>
      <c r="F225" s="44" t="n">
        <v>364</v>
      </c>
      <c r="G225" s="44" t="n"/>
      <c r="H225" s="15" t="n"/>
      <c r="I225" s="45" t="n">
        <v>2260005.498</v>
      </c>
      <c r="J225" s="45" t="n">
        <v>2081744.49988</v>
      </c>
      <c r="K225" s="45" t="n">
        <v>925000</v>
      </c>
      <c r="L225" s="45" t="n">
        <v>852900.45</v>
      </c>
      <c r="M225" s="45" t="n">
        <v>433815.953</v>
      </c>
      <c r="N225" s="45" t="n">
        <v>399999.99946</v>
      </c>
      <c r="O225" s="45" t="n">
        <v>759177.916</v>
      </c>
      <c r="P225" s="45" t="n">
        <v>699999.99746</v>
      </c>
      <c r="Q225" s="45" t="inlineStr">
        <is>
          <t>-</t>
        </is>
      </c>
      <c r="R225" s="45" t="inlineStr">
        <is>
          <t>-</t>
        </is>
      </c>
      <c r="S225" s="45" t="n">
        <v>2117993.869</v>
      </c>
      <c r="T225" s="45" t="n">
        <v>1952900.44692</v>
      </c>
      <c r="U225" s="15" t="n">
        <v>8.449999999999999</v>
      </c>
      <c r="V225" s="15" t="n">
        <v>8.449999999999999</v>
      </c>
      <c r="W225" s="49" t="n">
        <v>92.205</v>
      </c>
    </row>
    <row r="226">
      <c r="A226" s="44" t="inlineStr">
        <is>
          <t>TL Cinsi Kuponsuz Senetler</t>
        </is>
      </c>
      <c r="B226" s="44" t="n">
        <v>2020</v>
      </c>
      <c r="C226" s="44" t="inlineStr">
        <is>
          <t>TRB091220T11</t>
        </is>
      </c>
      <c r="D226" s="44" t="inlineStr">
        <is>
          <t>17.06.2020</t>
        </is>
      </c>
      <c r="E226" s="44" t="inlineStr">
        <is>
          <t>09.12.2020</t>
        </is>
      </c>
      <c r="F226" s="44" t="n">
        <v>175</v>
      </c>
      <c r="G226" s="44" t="n"/>
      <c r="H226" s="15" t="n"/>
      <c r="I226" s="45" t="n">
        <v>3202000</v>
      </c>
      <c r="J226" s="45" t="n">
        <v>3080920.01</v>
      </c>
      <c r="K226" s="45" t="n">
        <v>1018000</v>
      </c>
      <c r="L226" s="45" t="n">
        <v>980092.29</v>
      </c>
      <c r="M226" s="45" t="n">
        <v>0</v>
      </c>
      <c r="N226" s="45" t="n">
        <v>0</v>
      </c>
      <c r="O226" s="45" t="n">
        <v>1558020.685</v>
      </c>
      <c r="P226" s="45" t="n">
        <v>1499999.9947</v>
      </c>
      <c r="Q226" s="45" t="inlineStr">
        <is>
          <t>-</t>
        </is>
      </c>
      <c r="R226" s="45" t="inlineStr">
        <is>
          <t>-</t>
        </is>
      </c>
      <c r="S226" s="45" t="n">
        <v>2576020.685</v>
      </c>
      <c r="T226" s="45" t="n">
        <v>2480092.2847</v>
      </c>
      <c r="U226" s="15" t="n">
        <v>3.87</v>
      </c>
      <c r="V226" s="15" t="n">
        <v>8.210000000000001</v>
      </c>
      <c r="W226" s="49" t="n">
        <v>96.276</v>
      </c>
    </row>
    <row r="227">
      <c r="A227" s="44" t="inlineStr">
        <is>
          <t>TL Cinsi Kuponsuz Senetler</t>
        </is>
      </c>
      <c r="B227" s="44" t="n">
        <v>2020</v>
      </c>
      <c r="C227" s="44" t="inlineStr">
        <is>
          <t>TRT180821T15</t>
        </is>
      </c>
      <c r="D227" s="44" t="inlineStr">
        <is>
          <t>22.07.2020</t>
        </is>
      </c>
      <c r="E227" s="44" t="inlineStr">
        <is>
          <t>18.08.2021</t>
        </is>
      </c>
      <c r="F227" s="44" t="n">
        <v>392</v>
      </c>
      <c r="G227" s="44" t="n"/>
      <c r="H227" s="15" t="n"/>
      <c r="I227" s="45" t="n">
        <v>2252055.637</v>
      </c>
      <c r="J227" s="45" t="n">
        <v>2039744.8493</v>
      </c>
      <c r="K227" s="45" t="n">
        <v>602000</v>
      </c>
      <c r="L227" s="45" t="n">
        <v>545779.21</v>
      </c>
      <c r="M227" s="45" t="n">
        <v>0</v>
      </c>
      <c r="N227" s="45" t="n">
        <v>0</v>
      </c>
      <c r="O227" s="45" t="n">
        <v>1103010.111</v>
      </c>
      <c r="P227" s="45" t="n">
        <v>999999.9967200001</v>
      </c>
      <c r="Q227" s="45" t="n">
        <v>0</v>
      </c>
      <c r="R227" s="45" t="n">
        <v>0</v>
      </c>
      <c r="S227" s="45" t="n">
        <v>1705010.111</v>
      </c>
      <c r="T227" s="45" t="n">
        <v>1545779.20672</v>
      </c>
      <c r="U227" s="15" t="n">
        <v>10.3</v>
      </c>
      <c r="V227" s="15" t="n">
        <v>9.529999999999999</v>
      </c>
      <c r="W227" s="49" t="n">
        <v>90.661</v>
      </c>
    </row>
    <row r="228">
      <c r="A228" s="44" t="inlineStr">
        <is>
          <t>TL Cinsi Kuponsuz Senetler</t>
        </is>
      </c>
      <c r="B228" s="44" t="n">
        <v>2019</v>
      </c>
      <c r="C228" s="44" t="inlineStr">
        <is>
          <t>TRT150120T32</t>
        </is>
      </c>
      <c r="D228" s="44" t="inlineStr">
        <is>
          <t>16.01.2019</t>
        </is>
      </c>
      <c r="E228" s="44" t="inlineStr">
        <is>
          <t>15.01.2020</t>
        </is>
      </c>
      <c r="F228" s="44" t="n">
        <v>364</v>
      </c>
      <c r="G228" s="44" t="n"/>
      <c r="H228" s="15" t="n"/>
      <c r="I228" s="45" t="n">
        <v>600200</v>
      </c>
      <c r="J228" s="45" t="n">
        <v>502998.542</v>
      </c>
      <c r="K228" s="45" t="n">
        <v>380000</v>
      </c>
      <c r="L228" s="45" t="n">
        <v>319368.66</v>
      </c>
      <c r="M228" s="45" t="n">
        <v>856694.112</v>
      </c>
      <c r="N228" s="45" t="n">
        <v>719999.99949</v>
      </c>
      <c r="O228" s="45" t="n">
        <v>956641.757</v>
      </c>
      <c r="P228" s="45" t="n">
        <v>803999.9982499999</v>
      </c>
      <c r="Q228" s="45" t="n">
        <v>0</v>
      </c>
      <c r="R228" s="45" t="n">
        <v>0</v>
      </c>
      <c r="S228" s="45" t="n">
        <v>2193335.869</v>
      </c>
      <c r="T228" s="45" t="n">
        <v>1843368.65774</v>
      </c>
      <c r="U228" s="15" t="n">
        <v>18.98</v>
      </c>
      <c r="V228" s="15" t="n">
        <v>18.98</v>
      </c>
      <c r="W228" s="49" t="n">
        <v>84.044</v>
      </c>
    </row>
    <row r="229">
      <c r="A229" s="44" t="inlineStr">
        <is>
          <t>TL Cinsi Kuponsuz Senetler</t>
        </is>
      </c>
      <c r="B229" s="44" t="n">
        <v>2019</v>
      </c>
      <c r="C229" s="44" t="inlineStr">
        <is>
          <t>TRT150120T32</t>
        </is>
      </c>
      <c r="D229" s="44" t="inlineStr">
        <is>
          <t>13.02.2019</t>
        </is>
      </c>
      <c r="E229" s="44" t="inlineStr">
        <is>
          <t>15.01.2020</t>
        </is>
      </c>
      <c r="F229" s="44" t="n">
        <v>336</v>
      </c>
      <c r="G229" s="44" t="n"/>
      <c r="H229" s="15" t="n"/>
      <c r="I229" s="45" t="n">
        <v>888000</v>
      </c>
      <c r="J229" s="45" t="n">
        <v>753021.2</v>
      </c>
      <c r="K229" s="45" t="n">
        <v>618000</v>
      </c>
      <c r="L229" s="45" t="n">
        <v>525263.25</v>
      </c>
      <c r="M229" s="45" t="n">
        <v>1176553.638</v>
      </c>
      <c r="N229" s="45" t="n">
        <v>999999.99908</v>
      </c>
      <c r="O229" s="45" t="n">
        <v>1158905.331</v>
      </c>
      <c r="P229" s="45" t="n">
        <v>984999.99703</v>
      </c>
      <c r="Q229" s="45" t="n">
        <v>0</v>
      </c>
      <c r="R229" s="45" t="n">
        <v>0</v>
      </c>
      <c r="S229" s="45" t="n">
        <v>2953458.969</v>
      </c>
      <c r="T229" s="45" t="n">
        <v>2510263.24611</v>
      </c>
      <c r="U229" s="15" t="n">
        <v>17.66</v>
      </c>
      <c r="V229" s="15" t="n">
        <v>19.26</v>
      </c>
      <c r="W229" s="49" t="n">
        <v>84.994</v>
      </c>
    </row>
    <row r="230">
      <c r="A230" s="44" t="inlineStr">
        <is>
          <t>TL Cinsi Kuponsuz Senetler</t>
        </is>
      </c>
      <c r="B230" s="44" t="n">
        <v>2019</v>
      </c>
      <c r="C230" s="44" t="inlineStr">
        <is>
          <t>TRT111219T10</t>
        </is>
      </c>
      <c r="D230" s="44" t="inlineStr">
        <is>
          <t>20.03.2019</t>
        </is>
      </c>
      <c r="E230" s="44" t="inlineStr">
        <is>
          <t>11.12.2019</t>
        </is>
      </c>
      <c r="F230" s="44" t="n">
        <v>266</v>
      </c>
      <c r="G230" s="44" t="n"/>
      <c r="H230" s="15" t="n"/>
      <c r="I230" s="45" t="n">
        <v>2052000</v>
      </c>
      <c r="J230" s="45" t="n">
        <v>1793960.8</v>
      </c>
      <c r="K230" s="45" t="n">
        <v>1117000</v>
      </c>
      <c r="L230" s="45" t="n">
        <v>977837.25</v>
      </c>
      <c r="M230" s="45" t="n">
        <v>721947.429</v>
      </c>
      <c r="N230" s="45" t="n">
        <v>631999.99882</v>
      </c>
      <c r="O230" s="45" t="n">
        <v>1313670.163</v>
      </c>
      <c r="P230" s="45" t="n">
        <v>1149999.99738</v>
      </c>
      <c r="Q230" s="45" t="n">
        <v>0</v>
      </c>
      <c r="R230" s="45" t="n">
        <v>0</v>
      </c>
      <c r="S230" s="45" t="n">
        <v>3152617.592</v>
      </c>
      <c r="T230" s="45" t="n">
        <v>2759837.2462</v>
      </c>
      <c r="U230" s="15" t="n">
        <v>14.23</v>
      </c>
      <c r="V230" s="15" t="n">
        <v>19.97</v>
      </c>
      <c r="W230" s="49" t="n">
        <v>87.541</v>
      </c>
    </row>
    <row r="231">
      <c r="A231" s="44" t="inlineStr">
        <is>
          <t>TL Cinsi Kuponsuz Senetler</t>
        </is>
      </c>
      <c r="B231" s="44" t="n">
        <v>2019</v>
      </c>
      <c r="C231" s="44" t="inlineStr">
        <is>
          <t>TRT130520T14</t>
        </is>
      </c>
      <c r="D231" s="44" t="inlineStr">
        <is>
          <t>15.05.2019</t>
        </is>
      </c>
      <c r="E231" s="44" t="inlineStr">
        <is>
          <t>13.05.2020</t>
        </is>
      </c>
      <c r="F231" s="44" t="n">
        <v>364</v>
      </c>
      <c r="G231" s="44" t="n"/>
      <c r="H231" s="15" t="n"/>
      <c r="I231" s="45" t="n">
        <v>6017001</v>
      </c>
      <c r="J231" s="45" t="n">
        <v>4750439.09786</v>
      </c>
      <c r="K231" s="45" t="n">
        <v>3472000</v>
      </c>
      <c r="L231" s="45" t="n">
        <v>2753011.46</v>
      </c>
      <c r="M231" s="45" t="n">
        <v>1639509.659</v>
      </c>
      <c r="N231" s="45" t="n">
        <v>1299999.99882</v>
      </c>
      <c r="O231" s="45" t="n">
        <v>3909599.956</v>
      </c>
      <c r="P231" s="45" t="n">
        <v>3099999.99712</v>
      </c>
      <c r="Q231" s="45" t="n">
        <v>112181.102</v>
      </c>
      <c r="R231" s="45" t="n">
        <v>88950.6394</v>
      </c>
      <c r="S231" s="45" t="n">
        <v>9133290.717</v>
      </c>
      <c r="T231" s="45" t="n">
        <v>7241962.09534</v>
      </c>
      <c r="U231" s="15" t="n">
        <v>26.12</v>
      </c>
      <c r="V231" s="15" t="n">
        <v>26.12</v>
      </c>
      <c r="W231" s="49" t="n">
        <v>79.292</v>
      </c>
    </row>
    <row r="232">
      <c r="A232" s="44" t="inlineStr">
        <is>
          <t>TL Cinsi Kuponsuz Senetler</t>
        </is>
      </c>
      <c r="B232" s="44" t="n">
        <v>2019</v>
      </c>
      <c r="C232" s="44" t="inlineStr">
        <is>
          <t>TRT100620T16</t>
        </is>
      </c>
      <c r="D232" s="44" t="inlineStr">
        <is>
          <t>12.06.2019</t>
        </is>
      </c>
      <c r="E232" s="44" t="inlineStr">
        <is>
          <t>10.06.2020</t>
        </is>
      </c>
      <c r="F232" s="44" t="n">
        <v>364</v>
      </c>
      <c r="G232" s="44" t="n"/>
      <c r="H232" s="15" t="n"/>
      <c r="I232" s="45" t="n">
        <v>4342285.33</v>
      </c>
      <c r="J232" s="45" t="n">
        <v>3484481.76955</v>
      </c>
      <c r="K232" s="45" t="n">
        <v>2924259.33</v>
      </c>
      <c r="L232" s="45" t="n">
        <v>2349683.11055</v>
      </c>
      <c r="M232" s="45" t="n">
        <v>1368993.539</v>
      </c>
      <c r="N232" s="45" t="n">
        <v>1099999.99852</v>
      </c>
      <c r="O232" s="45" t="n">
        <v>2240171.244</v>
      </c>
      <c r="P232" s="45" t="n">
        <v>1799999.99627</v>
      </c>
      <c r="Q232" s="45" t="n">
        <v>562555.103</v>
      </c>
      <c r="R232" s="45" t="n">
        <v>452018.65081</v>
      </c>
      <c r="S232" s="45" t="n">
        <v>7095979.216</v>
      </c>
      <c r="T232" s="45" t="n">
        <v>5701701.75615</v>
      </c>
      <c r="U232" s="15" t="n">
        <v>24.45</v>
      </c>
      <c r="V232" s="15" t="n">
        <v>24.45</v>
      </c>
      <c r="W232" s="49" t="n">
        <v>80.351</v>
      </c>
    </row>
    <row r="233">
      <c r="A233" s="44" t="inlineStr">
        <is>
          <t>TL Cinsi Kuponsuz Senetler</t>
        </is>
      </c>
      <c r="B233" s="44" t="n">
        <v>2019</v>
      </c>
      <c r="C233" s="44" t="inlineStr">
        <is>
          <t>TRT111219T10</t>
        </is>
      </c>
      <c r="D233" s="44" t="inlineStr">
        <is>
          <t>19.06.2019</t>
        </is>
      </c>
      <c r="E233" s="44" t="inlineStr">
        <is>
          <t>11.12.2019</t>
        </is>
      </c>
      <c r="F233" s="44" t="n">
        <v>175</v>
      </c>
      <c r="G233" s="44" t="n"/>
      <c r="H233" s="15" t="n"/>
      <c r="I233" s="45" t="n">
        <v>2389000</v>
      </c>
      <c r="J233" s="45" t="n">
        <v>2150572.045</v>
      </c>
      <c r="K233" s="45" t="n">
        <v>739000</v>
      </c>
      <c r="L233" s="45" t="n">
        <v>667707.92</v>
      </c>
      <c r="M233" s="45" t="n">
        <v>0</v>
      </c>
      <c r="N233" s="45" t="n">
        <v>0</v>
      </c>
      <c r="O233" s="45" t="n">
        <v>1549478.154</v>
      </c>
      <c r="P233" s="45" t="n">
        <v>1399999.99649</v>
      </c>
      <c r="Q233" s="45" t="n">
        <v>80821.249</v>
      </c>
      <c r="R233" s="45" t="n">
        <v>73024.42311</v>
      </c>
      <c r="S233" s="45" t="n">
        <v>2369299.403</v>
      </c>
      <c r="T233" s="45" t="n">
        <v>2140732.3396</v>
      </c>
      <c r="U233" s="15" t="n">
        <v>10.68</v>
      </c>
      <c r="V233" s="15" t="n">
        <v>23.49</v>
      </c>
      <c r="W233" s="49" t="n">
        <v>90.35299999999999</v>
      </c>
    </row>
    <row r="234">
      <c r="A234" s="44" t="inlineStr">
        <is>
          <t>TL Cinsi Kuponsuz Senetler</t>
        </is>
      </c>
      <c r="B234" s="44" t="n">
        <v>2019</v>
      </c>
      <c r="C234" s="44" t="inlineStr">
        <is>
          <t>TRT160920T25</t>
        </is>
      </c>
      <c r="D234" s="44" t="inlineStr">
        <is>
          <t>10.07.2019</t>
        </is>
      </c>
      <c r="E234" s="44" t="inlineStr">
        <is>
          <t>16.09.2020</t>
        </is>
      </c>
      <c r="F234" s="44" t="n">
        <v>434</v>
      </c>
      <c r="G234" s="44" t="n"/>
      <c r="H234" s="15" t="n"/>
      <c r="I234" s="45" t="n">
        <v>8506000</v>
      </c>
      <c r="J234" s="45" t="n">
        <v>6792942.8</v>
      </c>
      <c r="K234" s="45" t="n">
        <v>6347000</v>
      </c>
      <c r="L234" s="45" t="n">
        <v>5076693.43</v>
      </c>
      <c r="M234" s="45" t="n">
        <v>1000175.03</v>
      </c>
      <c r="N234" s="45" t="n">
        <v>799999.9995</v>
      </c>
      <c r="O234" s="45" t="n">
        <v>4813342.33</v>
      </c>
      <c r="P234" s="45" t="n">
        <v>3849999.99606</v>
      </c>
      <c r="Q234" s="45" t="n">
        <v>573491.2340000001</v>
      </c>
      <c r="R234" s="45" t="n">
        <v>458712.69842</v>
      </c>
      <c r="S234" s="45" t="n">
        <v>12734008.594</v>
      </c>
      <c r="T234" s="45" t="n">
        <v>10185406.12398</v>
      </c>
      <c r="U234" s="15" t="n">
        <v>25.02</v>
      </c>
      <c r="V234" s="15" t="n">
        <v>20.6</v>
      </c>
      <c r="W234" s="49" t="n">
        <v>79.986</v>
      </c>
    </row>
    <row r="235">
      <c r="A235" s="44" t="inlineStr">
        <is>
          <t>TL Cinsi Kuponsuz Senetler</t>
        </is>
      </c>
      <c r="B235" s="44" t="n">
        <v>2019</v>
      </c>
      <c r="C235" s="44" t="inlineStr">
        <is>
          <t>TRB091019T16</t>
        </is>
      </c>
      <c r="D235" s="44" t="inlineStr">
        <is>
          <t>10.07.2019</t>
        </is>
      </c>
      <c r="E235" s="44" t="inlineStr">
        <is>
          <t>09.10.2019</t>
        </is>
      </c>
      <c r="F235" s="44" t="n">
        <v>91</v>
      </c>
      <c r="G235" s="44" t="n"/>
      <c r="H235" s="15" t="n"/>
      <c r="I235" s="45" t="n">
        <v>1756500</v>
      </c>
      <c r="J235" s="45" t="n">
        <v>1666887.49</v>
      </c>
      <c r="K235" s="45" t="n">
        <v>556500</v>
      </c>
      <c r="L235" s="45" t="n">
        <v>529237.99</v>
      </c>
      <c r="M235" s="45" t="n">
        <v>105151.365</v>
      </c>
      <c r="N235" s="45" t="n">
        <v>99999.99963000001</v>
      </c>
      <c r="O235" s="45" t="n">
        <v>1535209.931</v>
      </c>
      <c r="P235" s="45" t="n">
        <v>1459999.99647</v>
      </c>
      <c r="Q235" s="45" t="n">
        <v>0</v>
      </c>
      <c r="R235" s="45" t="n">
        <v>0</v>
      </c>
      <c r="S235" s="45" t="n">
        <v>2196861.296</v>
      </c>
      <c r="T235" s="45" t="n">
        <v>2089237.9861</v>
      </c>
      <c r="U235" s="15" t="n">
        <v>5.15</v>
      </c>
      <c r="V235" s="15" t="n">
        <v>22.25</v>
      </c>
      <c r="W235" s="49" t="n">
        <v>95.101</v>
      </c>
    </row>
    <row r="236">
      <c r="A236" s="44" t="inlineStr">
        <is>
          <t>TL Cinsi Kuponsuz Senetler</t>
        </is>
      </c>
      <c r="B236" s="44" t="n">
        <v>2019</v>
      </c>
      <c r="C236" s="44" t="inlineStr">
        <is>
          <t>TRT160920T25</t>
        </is>
      </c>
      <c r="D236" s="44" t="inlineStr">
        <is>
          <t>21.08.2019</t>
        </is>
      </c>
      <c r="E236" s="44" t="inlineStr">
        <is>
          <t>16.09.2020</t>
        </is>
      </c>
      <c r="F236" s="44" t="n">
        <v>392</v>
      </c>
      <c r="G236" s="44" t="n"/>
      <c r="H236" s="15" t="n"/>
      <c r="I236" s="45" t="n">
        <v>2324000</v>
      </c>
      <c r="J236" s="45" t="n">
        <v>1990493.1</v>
      </c>
      <c r="K236" s="45" t="n">
        <v>1215000</v>
      </c>
      <c r="L236" s="45" t="n">
        <v>1042332.31</v>
      </c>
      <c r="M236" s="45" t="n">
        <v>1631910.85</v>
      </c>
      <c r="N236" s="45" t="n">
        <v>1399999.99911</v>
      </c>
      <c r="O236" s="45" t="n">
        <v>1165650.603</v>
      </c>
      <c r="P236" s="45" t="n">
        <v>999999.99579</v>
      </c>
      <c r="Q236" s="45" t="n">
        <v>0</v>
      </c>
      <c r="R236" s="45" t="n">
        <v>0</v>
      </c>
      <c r="S236" s="45" t="n">
        <v>4012561.453</v>
      </c>
      <c r="T236" s="45" t="n">
        <v>3442332.3049</v>
      </c>
      <c r="U236" s="15" t="n">
        <v>16.57</v>
      </c>
      <c r="V236" s="15" t="n">
        <v>15.3</v>
      </c>
      <c r="W236" s="49" t="n">
        <v>85.789</v>
      </c>
    </row>
    <row r="237">
      <c r="A237" s="44" t="inlineStr">
        <is>
          <t>TL Cinsi Kuponsuz Senetler</t>
        </is>
      </c>
      <c r="B237" s="44" t="n">
        <v>2019</v>
      </c>
      <c r="C237" s="44" t="inlineStr">
        <is>
          <t>TRT071020T23</t>
        </is>
      </c>
      <c r="D237" s="44" t="inlineStr">
        <is>
          <t>18.09.2019</t>
        </is>
      </c>
      <c r="E237" s="44" t="inlineStr">
        <is>
          <t>07.10.2020</t>
        </is>
      </c>
      <c r="F237" s="44" t="n">
        <v>385</v>
      </c>
      <c r="G237" s="44" t="n"/>
      <c r="H237" s="15" t="n"/>
      <c r="I237" s="45" t="n">
        <v>3190000</v>
      </c>
      <c r="J237" s="45" t="n">
        <v>2743995.9</v>
      </c>
      <c r="K237" s="45" t="n">
        <v>1328000</v>
      </c>
      <c r="L237" s="45" t="n">
        <v>1143638.65</v>
      </c>
      <c r="M237" s="45" t="n">
        <v>580605.455</v>
      </c>
      <c r="N237" s="45" t="n">
        <v>499999.99968</v>
      </c>
      <c r="O237" s="45" t="n">
        <v>1277331.997</v>
      </c>
      <c r="P237" s="45" t="n">
        <v>1099999.99584</v>
      </c>
      <c r="Q237" s="45" t="n">
        <v>600135.861</v>
      </c>
      <c r="R237" s="45" t="n">
        <v>516818.99942</v>
      </c>
      <c r="S237" s="45" t="n">
        <v>3786073.313</v>
      </c>
      <c r="T237" s="45" t="n">
        <v>3260457.64494</v>
      </c>
      <c r="U237" s="15" t="n">
        <v>16.12</v>
      </c>
      <c r="V237" s="15" t="n">
        <v>15.18</v>
      </c>
      <c r="W237" s="49" t="n">
        <v>86.117</v>
      </c>
    </row>
    <row r="238">
      <c r="A238" s="44" t="inlineStr">
        <is>
          <t>TL Cinsi Kuponsuz Senetler</t>
        </is>
      </c>
      <c r="B238" s="44" t="n">
        <v>2019</v>
      </c>
      <c r="C238" s="44" t="inlineStr">
        <is>
          <t>TRB220120T17</t>
        </is>
      </c>
      <c r="D238" s="44" t="inlineStr">
        <is>
          <t>23.10.2019</t>
        </is>
      </c>
      <c r="E238" s="44" t="inlineStr">
        <is>
          <t>22.01.2020</t>
        </is>
      </c>
      <c r="F238" s="44" t="n">
        <v>91</v>
      </c>
      <c r="G238" s="44" t="n"/>
      <c r="H238" s="15" t="n"/>
      <c r="I238" s="45" t="n">
        <v>504000</v>
      </c>
      <c r="J238" s="45" t="n">
        <v>487226.38</v>
      </c>
      <c r="K238" s="45" t="n">
        <v>252000</v>
      </c>
      <c r="L238" s="45" t="n">
        <v>243878.96</v>
      </c>
      <c r="M238" s="45" t="n">
        <v>0</v>
      </c>
      <c r="N238" s="45" t="n">
        <v>0</v>
      </c>
      <c r="O238" s="45" t="n">
        <v>1136633.7</v>
      </c>
      <c r="P238" s="45" t="n">
        <v>1099999.99585</v>
      </c>
      <c r="Q238" s="45" t="n">
        <v>20000</v>
      </c>
      <c r="R238" s="45" t="n">
        <v>19355.4</v>
      </c>
      <c r="S238" s="45" t="n">
        <v>1408633.7</v>
      </c>
      <c r="T238" s="45" t="n">
        <v>1363234.35585</v>
      </c>
      <c r="U238" s="15" t="n">
        <v>3.33</v>
      </c>
      <c r="V238" s="15" t="n">
        <v>14</v>
      </c>
      <c r="W238" s="49" t="n">
        <v>96.777</v>
      </c>
    </row>
    <row r="239">
      <c r="A239" s="44" t="inlineStr">
        <is>
          <t>TL Cinsi Kuponsuz Senetler</t>
        </is>
      </c>
      <c r="B239" s="44" t="n">
        <v>2019</v>
      </c>
      <c r="C239" s="44" t="inlineStr">
        <is>
          <t>TRT071020T23</t>
        </is>
      </c>
      <c r="D239" s="44" t="inlineStr">
        <is>
          <t>23.10.2019</t>
        </is>
      </c>
      <c r="E239" s="44" t="inlineStr">
        <is>
          <t>07.10.2020</t>
        </is>
      </c>
      <c r="F239" s="44" t="n">
        <v>350</v>
      </c>
      <c r="G239" s="44" t="n"/>
      <c r="H239" s="15" t="n"/>
      <c r="I239" s="45" t="n">
        <v>2248100</v>
      </c>
      <c r="J239" s="45" t="n">
        <v>1977000.808</v>
      </c>
      <c r="K239" s="45" t="n">
        <v>1537600</v>
      </c>
      <c r="L239" s="45" t="n">
        <v>1353516.478</v>
      </c>
      <c r="M239" s="45" t="n">
        <v>511200.981</v>
      </c>
      <c r="N239" s="45" t="n">
        <v>449999.99955</v>
      </c>
      <c r="O239" s="45" t="n">
        <v>503248.963</v>
      </c>
      <c r="P239" s="45" t="n">
        <v>442999.99717</v>
      </c>
      <c r="Q239" s="45" t="n">
        <v>250113.563</v>
      </c>
      <c r="R239" s="45" t="n">
        <v>220169.96724</v>
      </c>
      <c r="S239" s="45" t="n">
        <v>2802163.507</v>
      </c>
      <c r="T239" s="45" t="n">
        <v>2466686.44196</v>
      </c>
      <c r="U239" s="15" t="n">
        <v>13.6</v>
      </c>
      <c r="V239" s="15" t="n">
        <v>14.18</v>
      </c>
      <c r="W239" s="49" t="n">
        <v>88.02800000000001</v>
      </c>
    </row>
    <row r="240">
      <c r="A240" s="44" t="inlineStr">
        <is>
          <t>TL Cinsi Kuponsuz Senetler</t>
        </is>
      </c>
      <c r="B240" s="44" t="n">
        <v>2019</v>
      </c>
      <c r="C240" s="44" t="inlineStr">
        <is>
          <t>TRT071020T23</t>
        </is>
      </c>
      <c r="D240" s="44" t="inlineStr">
        <is>
          <t>13.11.2019</t>
        </is>
      </c>
      <c r="E240" s="44" t="inlineStr">
        <is>
          <t>07.10.2020</t>
        </is>
      </c>
      <c r="F240" s="44" t="n">
        <v>329</v>
      </c>
      <c r="G240" s="44" t="n"/>
      <c r="H240" s="15" t="n"/>
      <c r="I240" s="45" t="n">
        <v>4133322.24</v>
      </c>
      <c r="J240" s="45" t="n">
        <v>3721369.90405</v>
      </c>
      <c r="K240" s="45" t="n">
        <v>2637215</v>
      </c>
      <c r="L240" s="45" t="n">
        <v>2375677.96925</v>
      </c>
      <c r="M240" s="45" t="n">
        <v>555043.681</v>
      </c>
      <c r="N240" s="45" t="n">
        <v>499999.99916</v>
      </c>
      <c r="O240" s="45" t="n">
        <v>2497696.563</v>
      </c>
      <c r="P240" s="45" t="n">
        <v>2249999.99485</v>
      </c>
      <c r="Q240" s="45" t="n">
        <v>252046.667</v>
      </c>
      <c r="R240" s="45" t="n">
        <v>227051.19903</v>
      </c>
      <c r="S240" s="45" t="n">
        <v>5942001.911</v>
      </c>
      <c r="T240" s="45" t="n">
        <v>5352729.162289999</v>
      </c>
      <c r="U240" s="15" t="n">
        <v>11.01</v>
      </c>
      <c r="V240" s="15" t="n">
        <v>12.25</v>
      </c>
      <c r="W240" s="49" t="n">
        <v>90.083</v>
      </c>
    </row>
    <row r="241">
      <c r="A241" s="44" t="inlineStr">
        <is>
          <t>TL Cinsi Kuponsuz Senetler</t>
        </is>
      </c>
      <c r="B241" s="44" t="n">
        <v>2019</v>
      </c>
      <c r="C241" s="44" t="inlineStr">
        <is>
          <t>TRT100620T16</t>
        </is>
      </c>
      <c r="D241" s="44" t="inlineStr">
        <is>
          <t>11.12.2019</t>
        </is>
      </c>
      <c r="E241" s="44" t="inlineStr">
        <is>
          <t>10.06.2020</t>
        </is>
      </c>
      <c r="F241" s="44" t="n">
        <v>182</v>
      </c>
      <c r="G241" s="44" t="n"/>
      <c r="H241" s="15" t="n"/>
      <c r="I241" s="45" t="n">
        <v>1936250</v>
      </c>
      <c r="J241" s="45" t="n">
        <v>1834045.585</v>
      </c>
      <c r="K241" s="45" t="n">
        <v>1256000</v>
      </c>
      <c r="L241" s="45" t="n">
        <v>1190404.27</v>
      </c>
      <c r="M241" s="45" t="n">
        <v>633064.9840000001</v>
      </c>
      <c r="N241" s="45" t="n">
        <v>599999.99989</v>
      </c>
      <c r="O241" s="45" t="n">
        <v>2004705.776</v>
      </c>
      <c r="P241" s="45" t="n">
        <v>1899999.99331</v>
      </c>
      <c r="Q241" s="45" t="n">
        <v>104808.525</v>
      </c>
      <c r="R241" s="45" t="n">
        <v>99334.37574</v>
      </c>
      <c r="S241" s="45" t="n">
        <v>3998579.285</v>
      </c>
      <c r="T241" s="45" t="n">
        <v>3789738.63894</v>
      </c>
      <c r="U241" s="15" t="n">
        <v>5.51</v>
      </c>
      <c r="V241" s="15" t="n">
        <v>11.32</v>
      </c>
      <c r="W241" s="49" t="n">
        <v>94.777</v>
      </c>
    </row>
    <row r="242">
      <c r="A242" s="44" t="inlineStr">
        <is>
          <t>TL Cinsi Kuponsuz Senetler</t>
        </is>
      </c>
      <c r="B242" s="44" t="n">
        <v>2018</v>
      </c>
      <c r="C242" s="44" t="inlineStr">
        <is>
          <t>TRT160119T18</t>
        </is>
      </c>
      <c r="D242" s="44" t="inlineStr">
        <is>
          <t>17.01.2018</t>
        </is>
      </c>
      <c r="E242" s="44" t="inlineStr">
        <is>
          <t>16.01.2019</t>
        </is>
      </c>
      <c r="F242" s="44" t="n">
        <v>364</v>
      </c>
      <c r="G242" s="44" t="n"/>
      <c r="H242" s="15" t="n"/>
      <c r="I242" s="45" t="n">
        <v>727200</v>
      </c>
      <c r="J242" s="45" t="n">
        <v>638999.7929999999</v>
      </c>
      <c r="K242" s="45" t="n">
        <v>109200</v>
      </c>
      <c r="L242" s="45" t="n">
        <v>96186.883</v>
      </c>
      <c r="M242" s="45" t="n">
        <v>681175.709</v>
      </c>
      <c r="N242" s="45" t="n">
        <v>599999.99976</v>
      </c>
      <c r="O242" s="45" t="n">
        <v>231599.74</v>
      </c>
      <c r="P242" s="45" t="n">
        <v>203999.99899</v>
      </c>
      <c r="Q242" s="45" t="n">
        <v>0</v>
      </c>
      <c r="R242" s="45" t="n">
        <v>0</v>
      </c>
      <c r="S242" s="45" t="n">
        <v>1021975.449</v>
      </c>
      <c r="T242" s="45" t="n">
        <v>900186.8817500001</v>
      </c>
      <c r="U242" s="15" t="n">
        <v>13.53</v>
      </c>
      <c r="V242" s="15" t="n">
        <v>13.53</v>
      </c>
      <c r="W242" s="49" t="n">
        <v>88.083</v>
      </c>
    </row>
    <row r="243">
      <c r="A243" s="44" t="inlineStr">
        <is>
          <t>TL Cinsi Kuponsuz Senetler</t>
        </is>
      </c>
      <c r="B243" s="44" t="n">
        <v>2018</v>
      </c>
      <c r="C243" s="44" t="inlineStr">
        <is>
          <t>TRB121218T10</t>
        </is>
      </c>
      <c r="D243" s="44" t="inlineStr">
        <is>
          <t>14.02.2018</t>
        </is>
      </c>
      <c r="E243" s="44" t="inlineStr">
        <is>
          <t>12.12.2018</t>
        </is>
      </c>
      <c r="F243" s="44" t="n">
        <v>301</v>
      </c>
      <c r="G243" s="44" t="n"/>
      <c r="H243" s="15" t="n"/>
      <c r="I243" s="45" t="n">
        <v>514153.11</v>
      </c>
      <c r="J243" s="45" t="n">
        <v>463051.4825</v>
      </c>
      <c r="K243" s="45" t="n">
        <v>132000</v>
      </c>
      <c r="L243" s="45" t="n">
        <v>118968.2</v>
      </c>
      <c r="M243" s="45" t="n">
        <v>443818.167</v>
      </c>
      <c r="N243" s="45" t="n">
        <v>399999.99937</v>
      </c>
      <c r="O243" s="45" t="n">
        <v>499739.257</v>
      </c>
      <c r="P243" s="45" t="n">
        <v>450400.00015</v>
      </c>
      <c r="Q243" s="45" t="n">
        <v>0</v>
      </c>
      <c r="R243" s="45" t="n">
        <v>0</v>
      </c>
      <c r="S243" s="45" t="n">
        <v>1075557.424</v>
      </c>
      <c r="T243" s="45" t="n">
        <v>969368.1995199999</v>
      </c>
      <c r="U243" s="15" t="n">
        <v>10.95</v>
      </c>
      <c r="V243" s="15" t="n">
        <v>13.39</v>
      </c>
      <c r="W243" s="49" t="n">
        <v>90.127</v>
      </c>
    </row>
    <row r="244">
      <c r="A244" s="44" t="inlineStr">
        <is>
          <t>TL Cinsi Kuponsuz Senetler</t>
        </is>
      </c>
      <c r="B244" s="44" t="n">
        <v>2018</v>
      </c>
      <c r="C244" s="44" t="inlineStr">
        <is>
          <t>TRT120619T17</t>
        </is>
      </c>
      <c r="D244" s="44" t="inlineStr">
        <is>
          <t>13.06.2018</t>
        </is>
      </c>
      <c r="E244" s="44" t="inlineStr">
        <is>
          <t>12.06.2019</t>
        </is>
      </c>
      <c r="F244" s="44" t="n">
        <v>364</v>
      </c>
      <c r="G244" s="44" t="n"/>
      <c r="H244" s="15" t="n"/>
      <c r="I244" s="45" t="n">
        <v>1407461.4</v>
      </c>
      <c r="J244" s="45" t="n">
        <v>1179549.28346</v>
      </c>
      <c r="K244" s="45" t="n">
        <v>552461.4</v>
      </c>
      <c r="L244" s="45" t="n">
        <v>464257.04346</v>
      </c>
      <c r="M244" s="45" t="n">
        <v>475997.81</v>
      </c>
      <c r="N244" s="45" t="n">
        <v>399999.99966</v>
      </c>
      <c r="O244" s="45" t="n">
        <v>1162517.554</v>
      </c>
      <c r="P244" s="45" t="n">
        <v>976910.00132</v>
      </c>
      <c r="Q244" s="45" t="n">
        <v>0</v>
      </c>
      <c r="R244" s="45" t="n">
        <v>0</v>
      </c>
      <c r="S244" s="45" t="n">
        <v>2190976.764</v>
      </c>
      <c r="T244" s="45" t="n">
        <v>1841167.04444</v>
      </c>
      <c r="U244" s="15" t="n">
        <v>19</v>
      </c>
      <c r="V244" s="15" t="n">
        <v>19</v>
      </c>
      <c r="W244" s="49" t="n">
        <v>84.03400000000001</v>
      </c>
    </row>
    <row r="245">
      <c r="A245" s="44" t="inlineStr">
        <is>
          <t>TL Cinsi Kuponsuz Senetler</t>
        </is>
      </c>
      <c r="B245" s="44" t="n">
        <v>2018</v>
      </c>
      <c r="C245" s="44" t="inlineStr">
        <is>
          <t>TRT120619T17</t>
        </is>
      </c>
      <c r="D245" s="44" t="inlineStr">
        <is>
          <t>11.07.2018</t>
        </is>
      </c>
      <c r="E245" s="44" t="inlineStr">
        <is>
          <t>12.06.2019</t>
        </is>
      </c>
      <c r="F245" s="44" t="n">
        <v>336</v>
      </c>
      <c r="G245" s="44" t="n"/>
      <c r="H245" s="15" t="n"/>
      <c r="I245" s="45" t="n">
        <v>1445206.17</v>
      </c>
      <c r="J245" s="45" t="n">
        <v>1227519.91741</v>
      </c>
      <c r="K245" s="45" t="n">
        <v>754001.17</v>
      </c>
      <c r="L245" s="45" t="n">
        <v>642179.73606</v>
      </c>
      <c r="M245" s="45" t="n">
        <v>939297.874</v>
      </c>
      <c r="N245" s="45" t="n">
        <v>799999.9992899999</v>
      </c>
      <c r="O245" s="45" t="n">
        <v>2465950.452</v>
      </c>
      <c r="P245" s="45" t="n">
        <v>2100249.99997</v>
      </c>
      <c r="Q245" s="45" t="n">
        <v>0</v>
      </c>
      <c r="R245" s="45" t="n">
        <v>0</v>
      </c>
      <c r="S245" s="45" t="n">
        <v>4159249.496</v>
      </c>
      <c r="T245" s="45" t="n">
        <v>3542429.73532</v>
      </c>
      <c r="U245" s="15" t="n">
        <v>17.41</v>
      </c>
      <c r="V245" s="15" t="n">
        <v>18.99</v>
      </c>
      <c r="W245" s="49" t="n">
        <v>85.17</v>
      </c>
    </row>
    <row r="246">
      <c r="A246" s="44" t="inlineStr">
        <is>
          <t>TL Cinsi Kuponsuz Senetler</t>
        </is>
      </c>
      <c r="B246" s="44" t="n">
        <v>2018</v>
      </c>
      <c r="C246" s="44" t="inlineStr">
        <is>
          <t>TRT120619T17</t>
        </is>
      </c>
      <c r="D246" s="44" t="inlineStr">
        <is>
          <t>08.08.2018</t>
        </is>
      </c>
      <c r="E246" s="44" t="inlineStr">
        <is>
          <t>12.06.2019</t>
        </is>
      </c>
      <c r="F246" s="44" t="n">
        <v>308</v>
      </c>
      <c r="G246" s="44" t="n"/>
      <c r="H246" s="15" t="n"/>
      <c r="I246" s="45" t="n">
        <v>903602.485</v>
      </c>
      <c r="J246" s="45" t="n">
        <v>775263.38395</v>
      </c>
      <c r="K246" s="45" t="n">
        <v>661232.485</v>
      </c>
      <c r="L246" s="45" t="n">
        <v>568223.73755</v>
      </c>
      <c r="M246" s="45" t="n">
        <v>581841.878</v>
      </c>
      <c r="N246" s="45" t="n">
        <v>499999.99944</v>
      </c>
      <c r="O246" s="45" t="n">
        <v>1029301.558</v>
      </c>
      <c r="P246" s="45" t="n">
        <v>884520.00086</v>
      </c>
      <c r="Q246" s="45" t="n">
        <v>0</v>
      </c>
      <c r="R246" s="45" t="n">
        <v>0</v>
      </c>
      <c r="S246" s="45" t="n">
        <v>2272375.921</v>
      </c>
      <c r="T246" s="45" t="n">
        <v>1952743.73785</v>
      </c>
      <c r="U246" s="15" t="n">
        <v>16.37</v>
      </c>
      <c r="V246" s="15" t="n">
        <v>19.62</v>
      </c>
      <c r="W246" s="49" t="n">
        <v>85.934</v>
      </c>
    </row>
    <row r="247">
      <c r="A247" s="44" t="inlineStr">
        <is>
          <t>TL Cinsi Kuponsuz Senetler</t>
        </is>
      </c>
      <c r="B247" s="44" t="n">
        <v>2018</v>
      </c>
      <c r="C247" s="44" t="inlineStr">
        <is>
          <t>TRB141118T19</t>
        </is>
      </c>
      <c r="D247" s="44" t="inlineStr">
        <is>
          <t>15.08.2018</t>
        </is>
      </c>
      <c r="E247" s="44" t="inlineStr">
        <is>
          <t>14.11.2018</t>
        </is>
      </c>
      <c r="F247" s="44" t="n">
        <v>91</v>
      </c>
      <c r="G247" s="44" t="n"/>
      <c r="H247" s="15" t="n"/>
      <c r="I247" s="45" t="n">
        <v>1155026.62</v>
      </c>
      <c r="J247" s="45" t="n">
        <v>1090116.49937</v>
      </c>
      <c r="K247" s="45" t="n">
        <v>545000</v>
      </c>
      <c r="L247" s="45" t="n">
        <v>516176.25</v>
      </c>
      <c r="M247" s="45" t="n">
        <v>0</v>
      </c>
      <c r="N247" s="45" t="n">
        <v>0</v>
      </c>
      <c r="O247" s="45" t="n">
        <v>1033406.892</v>
      </c>
      <c r="P247" s="45" t="n">
        <v>978750.00147</v>
      </c>
      <c r="Q247" s="45" t="n">
        <v>0</v>
      </c>
      <c r="R247" s="45" t="n">
        <v>0</v>
      </c>
      <c r="S247" s="45" t="n">
        <v>1578406.892</v>
      </c>
      <c r="T247" s="45" t="n">
        <v>1494926.25147</v>
      </c>
      <c r="U247" s="15" t="n">
        <v>5.58</v>
      </c>
      <c r="V247" s="15" t="n">
        <v>24.28</v>
      </c>
      <c r="W247" s="49" t="n">
        <v>94.711</v>
      </c>
    </row>
    <row r="248">
      <c r="A248" s="44" t="inlineStr">
        <is>
          <t>TL Cinsi Kuponsuz Senetler</t>
        </is>
      </c>
      <c r="B248" s="44" t="n">
        <v>2018</v>
      </c>
      <c r="C248" s="44" t="inlineStr">
        <is>
          <t>TRT180919T18</t>
        </is>
      </c>
      <c r="D248" s="44" t="inlineStr">
        <is>
          <t>19.09.2018</t>
        </is>
      </c>
      <c r="E248" s="44" t="inlineStr">
        <is>
          <t>18.09.2019</t>
        </is>
      </c>
      <c r="F248" s="44" t="n">
        <v>364</v>
      </c>
      <c r="G248" s="44" t="n"/>
      <c r="H248" s="15" t="n"/>
      <c r="I248" s="45" t="n">
        <v>1552000</v>
      </c>
      <c r="J248" s="45" t="n">
        <v>1231301.74</v>
      </c>
      <c r="K248" s="45" t="n">
        <v>702000</v>
      </c>
      <c r="L248" s="45" t="n">
        <v>561375.49</v>
      </c>
      <c r="M248" s="45" t="n">
        <v>1050420.168</v>
      </c>
      <c r="N248" s="45" t="n">
        <v>839999.99995</v>
      </c>
      <c r="O248" s="45" t="n">
        <v>1006940.277</v>
      </c>
      <c r="P248" s="45" t="n">
        <v>805230.00073</v>
      </c>
      <c r="Q248" s="45" t="n">
        <v>0</v>
      </c>
      <c r="R248" s="45" t="n">
        <v>0</v>
      </c>
      <c r="S248" s="45" t="n">
        <v>2759360.445</v>
      </c>
      <c r="T248" s="45" t="n">
        <v>2206605.49068</v>
      </c>
      <c r="U248" s="15" t="n">
        <v>25.05</v>
      </c>
      <c r="V248" s="15" t="n">
        <v>25.05</v>
      </c>
      <c r="W248" s="49" t="n">
        <v>79.968</v>
      </c>
    </row>
    <row r="249">
      <c r="A249" s="44" t="inlineStr">
        <is>
          <t>TL Cinsi Kuponsuz Senetler</t>
        </is>
      </c>
      <c r="B249" s="44" t="n">
        <v>2018</v>
      </c>
      <c r="C249" s="44" t="inlineStr">
        <is>
          <t>TRT111219T10</t>
        </is>
      </c>
      <c r="D249" s="44" t="inlineStr">
        <is>
          <t>14.11.2018</t>
        </is>
      </c>
      <c r="E249" s="44" t="inlineStr">
        <is>
          <t>11.12.2019</t>
        </is>
      </c>
      <c r="F249" s="44" t="n">
        <v>392</v>
      </c>
      <c r="G249" s="44" t="n"/>
      <c r="H249" s="15" t="n"/>
      <c r="I249" s="45" t="n">
        <v>1560200</v>
      </c>
      <c r="J249" s="45" t="n">
        <v>1257550.084</v>
      </c>
      <c r="K249" s="45" t="n">
        <v>100000</v>
      </c>
      <c r="L249" s="45" t="n">
        <v>82375.14999999999</v>
      </c>
      <c r="M249" s="45" t="n">
        <v>909559.939</v>
      </c>
      <c r="N249" s="45" t="n">
        <v>749249.99975</v>
      </c>
      <c r="O249" s="45" t="n">
        <v>183459.788</v>
      </c>
      <c r="P249" s="45" t="n">
        <v>151125.00037</v>
      </c>
      <c r="Q249" s="45" t="n">
        <v>0</v>
      </c>
      <c r="R249" s="45" t="n">
        <v>0</v>
      </c>
      <c r="S249" s="45" t="n">
        <v>1193019.727</v>
      </c>
      <c r="T249" s="45" t="n">
        <v>982750.1501199999</v>
      </c>
      <c r="U249" s="15" t="n">
        <v>21.4</v>
      </c>
      <c r="V249" s="15" t="n">
        <v>19.73</v>
      </c>
      <c r="W249" s="49" t="n">
        <v>82.375</v>
      </c>
    </row>
    <row r="250">
      <c r="A250" s="44" t="inlineStr">
        <is>
          <t>TL Cinsi Kuponsuz Senetler</t>
        </is>
      </c>
      <c r="B250" s="44" t="n">
        <v>2017</v>
      </c>
      <c r="C250" s="44" t="inlineStr">
        <is>
          <t>TRB131217T10</t>
        </is>
      </c>
      <c r="D250" s="44" t="inlineStr">
        <is>
          <t>18.01.2017</t>
        </is>
      </c>
      <c r="E250" s="44" t="inlineStr">
        <is>
          <t>13.12.2017</t>
        </is>
      </c>
      <c r="F250" s="44" t="n">
        <v>329</v>
      </c>
      <c r="G250" s="44" t="n"/>
      <c r="H250" s="15" t="n"/>
      <c r="I250" s="45" t="n">
        <v>969000</v>
      </c>
      <c r="J250" s="45" t="n">
        <v>880348.97</v>
      </c>
      <c r="K250" s="45" t="n">
        <v>378000</v>
      </c>
      <c r="L250" s="45" t="n">
        <v>344041.73</v>
      </c>
      <c r="M250" s="45" t="n">
        <v>163707.48</v>
      </c>
      <c r="N250" s="45" t="n">
        <v>149000</v>
      </c>
      <c r="O250" s="45" t="n">
        <v>386635.317</v>
      </c>
      <c r="P250" s="45" t="n">
        <v>351900.00011</v>
      </c>
      <c r="Q250" s="45" t="n">
        <v>0</v>
      </c>
      <c r="R250" s="45" t="n">
        <v>0</v>
      </c>
      <c r="S250" s="45" t="n">
        <v>928342.797</v>
      </c>
      <c r="T250" s="45" t="n">
        <v>844941.73011</v>
      </c>
      <c r="U250" s="15" t="n">
        <v>9.869999999999999</v>
      </c>
      <c r="V250" s="15" t="n">
        <v>10.98</v>
      </c>
      <c r="W250" s="49" t="n">
        <v>91.01600000000001</v>
      </c>
    </row>
    <row r="251">
      <c r="A251" s="44" t="inlineStr">
        <is>
          <t>TL Cinsi Kuponsuz Senetler</t>
        </is>
      </c>
      <c r="B251" s="44" t="n">
        <v>2017</v>
      </c>
      <c r="C251" s="44" t="inlineStr">
        <is>
          <t>TRT180418T14</t>
        </is>
      </c>
      <c r="D251" s="44" t="inlineStr">
        <is>
          <t>08.02.2017</t>
        </is>
      </c>
      <c r="E251" s="44" t="inlineStr">
        <is>
          <t>18.04.2018</t>
        </is>
      </c>
      <c r="F251" s="44" t="n">
        <v>434</v>
      </c>
      <c r="G251" s="44" t="n"/>
      <c r="H251" s="15" t="n"/>
      <c r="I251" s="45" t="n">
        <v>1407000</v>
      </c>
      <c r="J251" s="45" t="n">
        <v>1235946.66</v>
      </c>
      <c r="K251" s="45" t="n">
        <v>640000</v>
      </c>
      <c r="L251" s="45" t="n">
        <v>562938.1899999999</v>
      </c>
      <c r="M251" s="45" t="n">
        <v>98909.719</v>
      </c>
      <c r="N251" s="45" t="n">
        <v>86999.99974</v>
      </c>
      <c r="O251" s="45" t="n">
        <v>336804.648</v>
      </c>
      <c r="P251" s="45" t="n">
        <v>296250.00034</v>
      </c>
      <c r="Q251" s="45" t="n">
        <v>24000</v>
      </c>
      <c r="R251" s="45" t="n">
        <v>21110.16</v>
      </c>
      <c r="S251" s="45" t="n">
        <v>1099714.367</v>
      </c>
      <c r="T251" s="45" t="n">
        <v>967298.35008</v>
      </c>
      <c r="U251" s="15" t="n">
        <v>13.69</v>
      </c>
      <c r="V251" s="15" t="n">
        <v>11.36</v>
      </c>
      <c r="W251" s="49" t="n">
        <v>87.959</v>
      </c>
    </row>
    <row r="252">
      <c r="A252" s="44" t="inlineStr">
        <is>
          <t>TL Cinsi Kuponsuz Senetler</t>
        </is>
      </c>
      <c r="B252" s="44" t="n">
        <v>2017</v>
      </c>
      <c r="C252" s="44" t="inlineStr">
        <is>
          <t>TRT180418T14</t>
        </is>
      </c>
      <c r="D252" s="44" t="inlineStr">
        <is>
          <t>22.03.2017</t>
        </is>
      </c>
      <c r="E252" s="44" t="inlineStr">
        <is>
          <t>18.04.2018</t>
        </is>
      </c>
      <c r="F252" s="44" t="n">
        <v>392</v>
      </c>
      <c r="G252" s="44" t="n"/>
      <c r="H252" s="15" t="n"/>
      <c r="I252" s="45" t="n">
        <v>1629801.13</v>
      </c>
      <c r="J252" s="45" t="n">
        <v>1444996.85709</v>
      </c>
      <c r="K252" s="45" t="n">
        <v>267700</v>
      </c>
      <c r="L252" s="45" t="n">
        <v>237704.2455</v>
      </c>
      <c r="M252" s="45" t="n">
        <v>349118.756</v>
      </c>
      <c r="N252" s="45" t="n">
        <v>309999.99939</v>
      </c>
      <c r="O252" s="45" t="n">
        <v>333352.104</v>
      </c>
      <c r="P252" s="45" t="n">
        <v>296000.00075</v>
      </c>
      <c r="Q252" s="45" t="n">
        <v>16000</v>
      </c>
      <c r="R252" s="45" t="n">
        <v>14207.2</v>
      </c>
      <c r="S252" s="45" t="n">
        <v>966170.8600000001</v>
      </c>
      <c r="T252" s="45" t="n">
        <v>857911.4456399999</v>
      </c>
      <c r="U252" s="15" t="n">
        <v>12.62</v>
      </c>
      <c r="V252" s="15" t="n">
        <v>11.67</v>
      </c>
      <c r="W252" s="49" t="n">
        <v>88.795</v>
      </c>
    </row>
    <row r="253">
      <c r="A253" s="44" t="inlineStr">
        <is>
          <t>TL Cinsi Kuponsuz Senetler</t>
        </is>
      </c>
      <c r="B253" s="44" t="n">
        <v>2017</v>
      </c>
      <c r="C253" s="44" t="inlineStr">
        <is>
          <t>TRB131217T10</t>
        </is>
      </c>
      <c r="D253" s="44" t="inlineStr">
        <is>
          <t>24.05.2017</t>
        </is>
      </c>
      <c r="E253" s="44" t="inlineStr">
        <is>
          <t>13.12.2017</t>
        </is>
      </c>
      <c r="F253" s="44" t="n">
        <v>203</v>
      </c>
      <c r="G253" s="44" t="n"/>
      <c r="H253" s="15" t="n"/>
      <c r="I253" s="45" t="n">
        <v>689000</v>
      </c>
      <c r="J253" s="45" t="n">
        <v>647226.63</v>
      </c>
      <c r="K253" s="45" t="n">
        <v>121000</v>
      </c>
      <c r="L253" s="45" t="n">
        <v>113784.82</v>
      </c>
      <c r="M253" s="45" t="n">
        <v>180779.905</v>
      </c>
      <c r="N253" s="45" t="n">
        <v>169999.99926</v>
      </c>
      <c r="O253" s="45" t="n">
        <v>390803.62</v>
      </c>
      <c r="P253" s="45" t="n">
        <v>367500.00013</v>
      </c>
      <c r="Q253" s="45" t="n">
        <v>12370.534</v>
      </c>
      <c r="R253" s="45" t="n">
        <v>11632.87905</v>
      </c>
      <c r="S253" s="45" t="n">
        <v>704954.059</v>
      </c>
      <c r="T253" s="45" t="n">
        <v>662917.6984399999</v>
      </c>
      <c r="U253" s="15" t="n">
        <v>6.34</v>
      </c>
      <c r="V253" s="15" t="n">
        <v>11.65</v>
      </c>
      <c r="W253" s="49" t="n">
        <v>94.03700000000001</v>
      </c>
    </row>
    <row r="254">
      <c r="A254" s="44" t="inlineStr">
        <is>
          <t>TL Cinsi Kuponsuz Senetler</t>
        </is>
      </c>
      <c r="B254" s="44" t="n">
        <v>2017</v>
      </c>
      <c r="C254" s="44" t="inlineStr">
        <is>
          <t>TRT080818T12</t>
        </is>
      </c>
      <c r="D254" s="44" t="inlineStr">
        <is>
          <t>14.06.2017</t>
        </is>
      </c>
      <c r="E254" s="44" t="inlineStr">
        <is>
          <t>08.08.2018</t>
        </is>
      </c>
      <c r="F254" s="44" t="n">
        <v>420</v>
      </c>
      <c r="G254" s="44" t="n"/>
      <c r="H254" s="15" t="n"/>
      <c r="I254" s="45" t="n">
        <v>1514650</v>
      </c>
      <c r="J254" s="45" t="n">
        <v>1337704.3605</v>
      </c>
      <c r="K254" s="45" t="n">
        <v>402750</v>
      </c>
      <c r="L254" s="45" t="n">
        <v>356149.1775</v>
      </c>
      <c r="M254" s="45" t="n">
        <v>576733.876</v>
      </c>
      <c r="N254" s="45" t="n">
        <v>509999.99921</v>
      </c>
      <c r="O254" s="45" t="n">
        <v>549248.549</v>
      </c>
      <c r="P254" s="45" t="n">
        <v>485694.99939</v>
      </c>
      <c r="Q254" s="45" t="n">
        <v>39211</v>
      </c>
      <c r="R254" s="45" t="n">
        <v>34673.89519</v>
      </c>
      <c r="S254" s="45" t="n">
        <v>1567943.425</v>
      </c>
      <c r="T254" s="45" t="n">
        <v>1386518.07129</v>
      </c>
      <c r="U254" s="15" t="n">
        <v>13.08</v>
      </c>
      <c r="V254" s="15" t="n">
        <v>11.25</v>
      </c>
      <c r="W254" s="49" t="n">
        <v>88.429</v>
      </c>
    </row>
    <row r="255">
      <c r="A255" s="44" t="inlineStr">
        <is>
          <t>TL Cinsi Kuponsuz Senetler</t>
        </is>
      </c>
      <c r="B255" s="44" t="n">
        <v>2017</v>
      </c>
      <c r="C255" s="44" t="inlineStr">
        <is>
          <t>TRT080818T12</t>
        </is>
      </c>
      <c r="D255" s="44" t="inlineStr">
        <is>
          <t>19.07.2017</t>
        </is>
      </c>
      <c r="E255" s="44" t="inlineStr">
        <is>
          <t>08.08.2018</t>
        </is>
      </c>
      <c r="F255" s="44" t="n">
        <v>385</v>
      </c>
      <c r="G255" s="44" t="n"/>
      <c r="H255" s="15" t="n"/>
      <c r="I255" s="45" t="n">
        <v>1343000</v>
      </c>
      <c r="J255" s="45" t="n">
        <v>1194958.81</v>
      </c>
      <c r="K255" s="45" t="n">
        <v>550000</v>
      </c>
      <c r="L255" s="45" t="n">
        <v>489886.93</v>
      </c>
      <c r="M255" s="45" t="n">
        <v>224542.494</v>
      </c>
      <c r="N255" s="45" t="n">
        <v>199999.99941</v>
      </c>
      <c r="O255" s="45" t="n">
        <v>454024.924</v>
      </c>
      <c r="P255" s="45" t="n">
        <v>404399.99981</v>
      </c>
      <c r="Q255" s="45" t="n">
        <v>98435.072</v>
      </c>
      <c r="R255" s="45" t="n">
        <v>87676.11863</v>
      </c>
      <c r="S255" s="45" t="n">
        <v>1327002.49</v>
      </c>
      <c r="T255" s="45" t="n">
        <v>1181963.04785</v>
      </c>
      <c r="U255" s="15" t="n">
        <v>12.27</v>
      </c>
      <c r="V255" s="15" t="n">
        <v>11.56</v>
      </c>
      <c r="W255" s="49" t="n">
        <v>89.06999999999999</v>
      </c>
    </row>
    <row r="256">
      <c r="A256" s="44" t="inlineStr">
        <is>
          <t>TL Cinsi Kuponsuz Senetler</t>
        </is>
      </c>
      <c r="B256" s="44" t="n">
        <v>2017</v>
      </c>
      <c r="C256" s="44" t="inlineStr">
        <is>
          <t>TRT080818T12</t>
        </is>
      </c>
      <c r="D256" s="44" t="inlineStr">
        <is>
          <t>20.09.2017</t>
        </is>
      </c>
      <c r="E256" s="44" t="inlineStr">
        <is>
          <t>08.08.2018</t>
        </is>
      </c>
      <c r="F256" s="44" t="n">
        <v>322</v>
      </c>
      <c r="G256" s="44" t="n"/>
      <c r="H256" s="15" t="n"/>
      <c r="I256" s="45" t="n">
        <v>1886000</v>
      </c>
      <c r="J256" s="45" t="n">
        <v>1705789.31</v>
      </c>
      <c r="K256" s="45" t="n">
        <v>450000</v>
      </c>
      <c r="L256" s="45" t="n">
        <v>407638.1</v>
      </c>
      <c r="M256" s="45" t="n">
        <v>441569.337</v>
      </c>
      <c r="N256" s="45" t="n">
        <v>399999.99961</v>
      </c>
      <c r="O256" s="45" t="n">
        <v>183913.629</v>
      </c>
      <c r="P256" s="45" t="n">
        <v>166599.99997</v>
      </c>
      <c r="Q256" s="45" t="n">
        <v>0</v>
      </c>
      <c r="R256" s="45" t="n">
        <v>0</v>
      </c>
      <c r="S256" s="45" t="n">
        <v>1075482.966</v>
      </c>
      <c r="T256" s="45" t="n">
        <v>974238.0995799999</v>
      </c>
      <c r="U256" s="15" t="n">
        <v>10.39</v>
      </c>
      <c r="V256" s="15" t="n">
        <v>11.83</v>
      </c>
      <c r="W256" s="49" t="n">
        <v>90.586</v>
      </c>
    </row>
    <row r="257">
      <c r="A257" s="44" t="inlineStr">
        <is>
          <t>TL Cinsi Kuponsuz Senetler</t>
        </is>
      </c>
      <c r="B257" s="44" t="n">
        <v>2017</v>
      </c>
      <c r="C257" s="44" t="inlineStr">
        <is>
          <t>TRT241018T18</t>
        </is>
      </c>
      <c r="D257" s="44" t="inlineStr">
        <is>
          <t>25.10.2017</t>
        </is>
      </c>
      <c r="E257" s="44" t="inlineStr">
        <is>
          <t>24.10.2018</t>
        </is>
      </c>
      <c r="F257" s="44" t="n">
        <v>364</v>
      </c>
      <c r="G257" s="44" t="n"/>
      <c r="H257" s="15" t="n"/>
      <c r="I257" s="45" t="n">
        <v>247004.87</v>
      </c>
      <c r="J257" s="45" t="n">
        <v>219465.27949</v>
      </c>
      <c r="K257" s="45" t="n">
        <v>88003.37</v>
      </c>
      <c r="L257" s="45" t="n">
        <v>78292.2574</v>
      </c>
      <c r="M257" s="45" t="n">
        <v>562018.7709999999</v>
      </c>
      <c r="N257" s="45" t="n">
        <v>499999.99962</v>
      </c>
      <c r="O257" s="45" t="n">
        <v>554712.528</v>
      </c>
      <c r="P257" s="45" t="n">
        <v>493500.00053</v>
      </c>
      <c r="Q257" s="45" t="n">
        <v>0</v>
      </c>
      <c r="R257" s="45" t="n">
        <v>0</v>
      </c>
      <c r="S257" s="45" t="n">
        <v>1204734.669</v>
      </c>
      <c r="T257" s="45" t="n">
        <v>1071792.25755</v>
      </c>
      <c r="U257" s="15" t="n">
        <v>12.4</v>
      </c>
      <c r="V257" s="15" t="n">
        <v>12.4</v>
      </c>
      <c r="W257" s="49" t="n">
        <v>88.965</v>
      </c>
    </row>
    <row r="258">
      <c r="A258" s="44" t="inlineStr">
        <is>
          <t>TL Cinsi Kuponsuz Senetler</t>
        </is>
      </c>
      <c r="B258" s="44" t="n">
        <v>2016</v>
      </c>
      <c r="C258" s="44" t="inlineStr">
        <is>
          <t>TRT141216T10</t>
        </is>
      </c>
      <c r="D258" s="44" t="inlineStr">
        <is>
          <t>20.01.2016</t>
        </is>
      </c>
      <c r="E258" s="44" t="inlineStr">
        <is>
          <t>14.12.2016</t>
        </is>
      </c>
      <c r="F258" s="44" t="n">
        <v>329</v>
      </c>
      <c r="G258" s="44" t="n"/>
      <c r="H258" s="15" t="n"/>
      <c r="I258" s="45" t="n">
        <v>1644400</v>
      </c>
      <c r="J258" s="45" t="n">
        <v>1493387.839</v>
      </c>
      <c r="K258" s="45" t="n">
        <v>932000</v>
      </c>
      <c r="L258" s="45" t="n">
        <v>846793.28</v>
      </c>
      <c r="M258" s="45" t="n">
        <v>330185.564</v>
      </c>
      <c r="N258" s="45" t="n">
        <v>299999.99974</v>
      </c>
      <c r="O258" s="45" t="n">
        <v>397048.141</v>
      </c>
      <c r="P258" s="45" t="n">
        <v>360749.99994</v>
      </c>
      <c r="Q258" s="45" t="n">
        <v>99991.19500000001</v>
      </c>
      <c r="R258" s="45" t="n">
        <v>90849.99995</v>
      </c>
      <c r="S258" s="45" t="n">
        <v>1759224.9</v>
      </c>
      <c r="T258" s="45" t="n">
        <v>1598393.27963</v>
      </c>
      <c r="U258" s="15" t="n">
        <v>10.06</v>
      </c>
      <c r="V258" s="15" t="n">
        <v>11.19</v>
      </c>
      <c r="W258" s="49" t="n">
        <v>90.858</v>
      </c>
    </row>
    <row r="259">
      <c r="A259" s="44" t="inlineStr">
        <is>
          <t>TL Cinsi Kuponsuz Senetler</t>
        </is>
      </c>
      <c r="B259" s="44" t="n">
        <v>2016</v>
      </c>
      <c r="C259" s="44" t="inlineStr">
        <is>
          <t>TRT141216T10</t>
        </is>
      </c>
      <c r="D259" s="44" t="inlineStr">
        <is>
          <t>17.02.2016</t>
        </is>
      </c>
      <c r="E259" s="44" t="inlineStr">
        <is>
          <t>14.12.2016</t>
        </is>
      </c>
      <c r="F259" s="44" t="n">
        <v>301</v>
      </c>
      <c r="G259" s="44" t="n"/>
      <c r="H259" s="15" t="n"/>
      <c r="I259" s="45" t="n">
        <v>1571930</v>
      </c>
      <c r="J259" s="45" t="n">
        <v>1439898.5932</v>
      </c>
      <c r="K259" s="45" t="n">
        <v>685700</v>
      </c>
      <c r="L259" s="45" t="n">
        <v>628398.281</v>
      </c>
      <c r="M259" s="45" t="n">
        <v>0</v>
      </c>
      <c r="N259" s="45" t="n">
        <v>0</v>
      </c>
      <c r="O259" s="45" t="n">
        <v>276289.514</v>
      </c>
      <c r="P259" s="45" t="n">
        <v>253199.99931</v>
      </c>
      <c r="Q259" s="45" t="n">
        <v>146819.658</v>
      </c>
      <c r="R259" s="45" t="n">
        <v>134549.93918</v>
      </c>
      <c r="S259" s="45" t="n">
        <v>1108809.172</v>
      </c>
      <c r="T259" s="45" t="n">
        <v>1016148.21949</v>
      </c>
      <c r="U259" s="15" t="n">
        <v>9.119999999999999</v>
      </c>
      <c r="V259" s="15" t="n">
        <v>11.13</v>
      </c>
      <c r="W259" s="49" t="n">
        <v>91.643</v>
      </c>
    </row>
    <row r="260">
      <c r="A260" s="44" t="inlineStr">
        <is>
          <t>TL Cinsi Kuponsuz Senetler</t>
        </is>
      </c>
      <c r="B260" s="44" t="n">
        <v>2016</v>
      </c>
      <c r="C260" s="44" t="inlineStr">
        <is>
          <t>TRT170517T15</t>
        </is>
      </c>
      <c r="D260" s="44" t="inlineStr">
        <is>
          <t>04.05.2016</t>
        </is>
      </c>
      <c r="E260" s="44" t="inlineStr">
        <is>
          <t>17.05.2017</t>
        </is>
      </c>
      <c r="F260" s="44" t="n">
        <v>378</v>
      </c>
      <c r="G260" s="44" t="n"/>
      <c r="H260" s="15" t="n"/>
      <c r="I260" s="45" t="n">
        <v>1373800</v>
      </c>
      <c r="J260" s="45" t="n">
        <v>1250847.77</v>
      </c>
      <c r="K260" s="45" t="n">
        <v>361300</v>
      </c>
      <c r="L260" s="45" t="n">
        <v>329225.675</v>
      </c>
      <c r="M260" s="45" t="n">
        <v>493837.998</v>
      </c>
      <c r="N260" s="45" t="n">
        <v>449999.99892</v>
      </c>
      <c r="O260" s="45" t="n">
        <v>224202.451</v>
      </c>
      <c r="P260" s="45" t="n">
        <v>204299.99943</v>
      </c>
      <c r="Q260" s="45" t="n">
        <v>0</v>
      </c>
      <c r="R260" s="45" t="n">
        <v>0</v>
      </c>
      <c r="S260" s="45" t="n">
        <v>1079340.449</v>
      </c>
      <c r="T260" s="45" t="n">
        <v>983525.6733500001</v>
      </c>
      <c r="U260" s="15" t="n">
        <v>9.74</v>
      </c>
      <c r="V260" s="15" t="n">
        <v>9.359999999999999</v>
      </c>
      <c r="W260" s="49" t="n">
        <v>91.123</v>
      </c>
    </row>
    <row r="261">
      <c r="A261" s="44" t="inlineStr">
        <is>
          <t>TL Cinsi Kuponsuz Senetler</t>
        </is>
      </c>
      <c r="B261" s="44" t="n">
        <v>2016</v>
      </c>
      <c r="C261" s="44" t="inlineStr">
        <is>
          <t>TRT170517T15</t>
        </is>
      </c>
      <c r="D261" s="44" t="inlineStr">
        <is>
          <t>20.07.2016</t>
        </is>
      </c>
      <c r="E261" s="44" t="inlineStr">
        <is>
          <t>17.05.2017</t>
        </is>
      </c>
      <c r="F261" s="44" t="n">
        <v>301</v>
      </c>
      <c r="G261" s="44" t="n"/>
      <c r="H261" s="15" t="n"/>
      <c r="I261" s="45" t="n">
        <v>1714000</v>
      </c>
      <c r="J261" s="45" t="n">
        <v>1591263.29</v>
      </c>
      <c r="K261" s="45" t="n">
        <v>878000</v>
      </c>
      <c r="L261" s="45" t="n">
        <v>816511.71</v>
      </c>
      <c r="M261" s="45" t="n">
        <v>160220.222</v>
      </c>
      <c r="N261" s="45" t="n">
        <v>148999.99985</v>
      </c>
      <c r="O261" s="45" t="n">
        <v>37635.623</v>
      </c>
      <c r="P261" s="45" t="n">
        <v>35000.00032</v>
      </c>
      <c r="Q261" s="45" t="n">
        <v>26005.311</v>
      </c>
      <c r="R261" s="45" t="n">
        <v>24184.15907</v>
      </c>
      <c r="S261" s="45" t="n">
        <v>1101861.156</v>
      </c>
      <c r="T261" s="45" t="n">
        <v>1024695.86924</v>
      </c>
      <c r="U261" s="15" t="n">
        <v>7.53</v>
      </c>
      <c r="V261" s="15" t="n">
        <v>9.18</v>
      </c>
      <c r="W261" s="49" t="n">
        <v>92.997</v>
      </c>
    </row>
    <row r="262">
      <c r="A262" s="44" t="inlineStr">
        <is>
          <t>TL Cinsi Kuponsuz Senetler</t>
        </is>
      </c>
      <c r="B262" s="44" t="n">
        <v>2016</v>
      </c>
      <c r="C262" s="44" t="inlineStr">
        <is>
          <t>TRT200917T16</t>
        </is>
      </c>
      <c r="D262" s="44" t="inlineStr">
        <is>
          <t>21.09.2016</t>
        </is>
      </c>
      <c r="E262" s="44" t="inlineStr">
        <is>
          <t>20.09.2017</t>
        </is>
      </c>
      <c r="F262" s="44" t="n">
        <v>364</v>
      </c>
      <c r="G262" s="44" t="n"/>
      <c r="H262" s="15" t="n"/>
      <c r="I262" s="45" t="n">
        <v>3267000</v>
      </c>
      <c r="J262" s="45" t="n">
        <v>3003523.35</v>
      </c>
      <c r="K262" s="45" t="n">
        <v>849000</v>
      </c>
      <c r="L262" s="45" t="n">
        <v>781528.66</v>
      </c>
      <c r="M262" s="45" t="n">
        <v>338935.178</v>
      </c>
      <c r="N262" s="45" t="n">
        <v>311999.9994</v>
      </c>
      <c r="O262" s="45" t="n">
        <v>282880.514</v>
      </c>
      <c r="P262" s="45" t="n">
        <v>260399.99956</v>
      </c>
      <c r="Q262" s="45" t="n">
        <v>96096.205</v>
      </c>
      <c r="R262" s="45" t="n">
        <v>88459.43958999999</v>
      </c>
      <c r="S262" s="45" t="n">
        <v>1566911.897</v>
      </c>
      <c r="T262" s="45" t="n">
        <v>1442388.09855</v>
      </c>
      <c r="U262" s="15" t="n">
        <v>8.630000000000001</v>
      </c>
      <c r="V262" s="15" t="n">
        <v>8.630000000000001</v>
      </c>
      <c r="W262" s="49" t="n">
        <v>92.053</v>
      </c>
    </row>
    <row r="263">
      <c r="A263" s="44" t="inlineStr">
        <is>
          <t>TL Cinsi Kuponsuz Senetler</t>
        </is>
      </c>
      <c r="B263" s="44" t="n">
        <v>2016</v>
      </c>
      <c r="C263" s="44" t="inlineStr">
        <is>
          <t>TRT221117T10</t>
        </is>
      </c>
      <c r="D263" s="44" t="inlineStr">
        <is>
          <t>23.11.2016</t>
        </is>
      </c>
      <c r="E263" s="44" t="inlineStr">
        <is>
          <t>22.11.2017</t>
        </is>
      </c>
      <c r="F263" s="44" t="n">
        <v>364</v>
      </c>
      <c r="G263" s="44" t="n"/>
      <c r="H263" s="15" t="n"/>
      <c r="I263" s="45" t="n">
        <v>751000</v>
      </c>
      <c r="J263" s="45" t="n">
        <v>681605.45</v>
      </c>
      <c r="K263" s="45" t="n">
        <v>314000</v>
      </c>
      <c r="L263" s="45" t="n">
        <v>285604.91</v>
      </c>
      <c r="M263" s="45" t="n">
        <v>245170.794</v>
      </c>
      <c r="N263" s="45" t="n">
        <v>222999.9991</v>
      </c>
      <c r="O263" s="45" t="n">
        <v>445265.344</v>
      </c>
      <c r="P263" s="45" t="n">
        <v>404999.99895</v>
      </c>
      <c r="Q263" s="45" t="n">
        <v>0</v>
      </c>
      <c r="R263" s="45" t="n">
        <v>0</v>
      </c>
      <c r="S263" s="45" t="n">
        <v>1004436.138</v>
      </c>
      <c r="T263" s="45" t="n">
        <v>913604.90805</v>
      </c>
      <c r="U263" s="15" t="n">
        <v>9.94</v>
      </c>
      <c r="V263" s="15" t="n">
        <v>9.94</v>
      </c>
      <c r="W263" s="49" t="n">
        <v>90.95699999999999</v>
      </c>
    </row>
    <row r="264">
      <c r="A264" s="44" t="inlineStr">
        <is>
          <t>TL Cinsi Kuponsuz Senetler</t>
        </is>
      </c>
      <c r="B264" s="44" t="n">
        <v>2015</v>
      </c>
      <c r="C264" s="44" t="inlineStr">
        <is>
          <t>TRT161215T19</t>
        </is>
      </c>
      <c r="D264" s="44" t="inlineStr">
        <is>
          <t>14.01.2015</t>
        </is>
      </c>
      <c r="E264" s="44" t="inlineStr">
        <is>
          <t>16.12.2015</t>
        </is>
      </c>
      <c r="F264" s="44" t="n">
        <v>336</v>
      </c>
      <c r="G264" s="44" t="n"/>
      <c r="H264" s="15" t="n"/>
      <c r="I264" s="45" t="n">
        <v>1913900</v>
      </c>
      <c r="J264" s="45" t="n">
        <v>1783801.06</v>
      </c>
      <c r="K264" s="45" t="n">
        <v>502500</v>
      </c>
      <c r="L264" s="45" t="n">
        <v>468943.38</v>
      </c>
      <c r="M264" s="45" t="n">
        <v>107155.868</v>
      </c>
      <c r="N264" s="45" t="n">
        <v>99999.99913</v>
      </c>
      <c r="O264" s="45" t="n">
        <v>316002.657</v>
      </c>
      <c r="P264" s="45" t="n">
        <v>294899.99957</v>
      </c>
      <c r="Q264" s="45" t="n">
        <v>120002.571</v>
      </c>
      <c r="R264" s="45" t="n">
        <v>111988.79931</v>
      </c>
      <c r="S264" s="45" t="n">
        <v>1045661.096</v>
      </c>
      <c r="T264" s="45" t="n">
        <v>975832.17801</v>
      </c>
      <c r="U264" s="15" t="n">
        <v>7.16</v>
      </c>
      <c r="V264" s="15" t="n">
        <v>7.77</v>
      </c>
      <c r="W264" s="49" t="n">
        <v>93.322</v>
      </c>
    </row>
    <row r="265">
      <c r="A265" s="44" t="inlineStr">
        <is>
          <t>TL Cinsi Kuponsuz Senetler</t>
        </is>
      </c>
      <c r="B265" s="44" t="n">
        <v>2015</v>
      </c>
      <c r="C265" s="44" t="inlineStr">
        <is>
          <t>TRT130416T11</t>
        </is>
      </c>
      <c r="D265" s="44" t="inlineStr">
        <is>
          <t>18.02.2015</t>
        </is>
      </c>
      <c r="E265" s="44" t="inlineStr">
        <is>
          <t>13.04.2016</t>
        </is>
      </c>
      <c r="F265" s="44" t="n">
        <v>420</v>
      </c>
      <c r="G265" s="44" t="n"/>
      <c r="H265" s="15" t="n"/>
      <c r="I265" s="45" t="n">
        <v>1118000</v>
      </c>
      <c r="J265" s="45" t="n">
        <v>1017201.051</v>
      </c>
      <c r="K265" s="45" t="n">
        <v>330000</v>
      </c>
      <c r="L265" s="45" t="n">
        <v>300709.1</v>
      </c>
      <c r="M265" s="45" t="n">
        <v>409332.338</v>
      </c>
      <c r="N265" s="45" t="n">
        <v>372999.99968</v>
      </c>
      <c r="O265" s="45" t="n">
        <v>252615.118</v>
      </c>
      <c r="P265" s="45" t="n">
        <v>230193.00013</v>
      </c>
      <c r="Q265" s="45" t="n">
        <v>0</v>
      </c>
      <c r="R265" s="45" t="n">
        <v>0</v>
      </c>
      <c r="S265" s="45" t="n">
        <v>991947.456</v>
      </c>
      <c r="T265" s="45" t="n">
        <v>903902.0998099999</v>
      </c>
      <c r="U265" s="15" t="n">
        <v>9.74</v>
      </c>
      <c r="V265" s="15" t="n">
        <v>8.390000000000001</v>
      </c>
      <c r="W265" s="49" t="n">
        <v>91.124</v>
      </c>
    </row>
    <row r="266">
      <c r="A266" s="44" t="inlineStr">
        <is>
          <t>TL Cinsi Kuponsuz Senetler</t>
        </is>
      </c>
      <c r="B266" s="44" t="n">
        <v>2015</v>
      </c>
      <c r="C266" s="44" t="inlineStr">
        <is>
          <t>TRT080616T16</t>
        </is>
      </c>
      <c r="D266" s="44" t="inlineStr">
        <is>
          <t>08.04.2015</t>
        </is>
      </c>
      <c r="E266" s="44" t="inlineStr">
        <is>
          <t>08.06.2016</t>
        </is>
      </c>
      <c r="F266" s="44" t="n">
        <v>427</v>
      </c>
      <c r="G266" s="44" t="n"/>
      <c r="H266" s="15" t="n"/>
      <c r="I266" s="45" t="n">
        <v>891500</v>
      </c>
      <c r="J266" s="45" t="n">
        <v>804329.63</v>
      </c>
      <c r="K266" s="45" t="n">
        <v>325000</v>
      </c>
      <c r="L266" s="45" t="n">
        <v>293650</v>
      </c>
      <c r="M266" s="45" t="n">
        <v>209177.236</v>
      </c>
      <c r="N266" s="45" t="n">
        <v>188999.99982</v>
      </c>
      <c r="O266" s="45" t="n">
        <v>248591.651</v>
      </c>
      <c r="P266" s="45" t="n">
        <v>224612.50034</v>
      </c>
      <c r="Q266" s="45" t="n">
        <v>51209.345</v>
      </c>
      <c r="R266" s="45" t="n">
        <v>46269.69158</v>
      </c>
      <c r="S266" s="45" t="n">
        <v>833978.2320000001</v>
      </c>
      <c r="T266" s="45" t="n">
        <v>753532.19174</v>
      </c>
      <c r="U266" s="15" t="n">
        <v>10.68</v>
      </c>
      <c r="V266" s="15" t="n">
        <v>9.029999999999999</v>
      </c>
      <c r="W266" s="49" t="n">
        <v>90.354</v>
      </c>
    </row>
    <row r="267">
      <c r="A267" s="44" t="inlineStr">
        <is>
          <t>TL Cinsi Kuponsuz Senetler</t>
        </is>
      </c>
      <c r="B267" s="44" t="n">
        <v>2015</v>
      </c>
      <c r="C267" s="44" t="inlineStr">
        <is>
          <t>TRT161215T19</t>
        </is>
      </c>
      <c r="D267" s="44" t="inlineStr">
        <is>
          <t>20.05.2015</t>
        </is>
      </c>
      <c r="E267" s="44" t="inlineStr">
        <is>
          <t>16.12.2015</t>
        </is>
      </c>
      <c r="F267" s="44" t="n">
        <v>210</v>
      </c>
      <c r="G267" s="44" t="n"/>
      <c r="H267" s="15" t="n"/>
      <c r="I267" s="45" t="n">
        <v>1009800</v>
      </c>
      <c r="J267" s="45" t="n">
        <v>955094.85</v>
      </c>
      <c r="K267" s="45" t="n">
        <v>193000</v>
      </c>
      <c r="L267" s="45" t="n">
        <v>182786.79</v>
      </c>
      <c r="M267" s="45" t="n">
        <v>501541.58</v>
      </c>
      <c r="N267" s="45" t="n">
        <v>474999.99959</v>
      </c>
      <c r="O267" s="45" t="n">
        <v>164373.654</v>
      </c>
      <c r="P267" s="45" t="n">
        <v>155675.00023</v>
      </c>
      <c r="Q267" s="45" t="n">
        <v>40001.097</v>
      </c>
      <c r="R267" s="45" t="n">
        <v>37884.23895000001</v>
      </c>
      <c r="S267" s="45" t="n">
        <v>898916.331</v>
      </c>
      <c r="T267" s="45" t="n">
        <v>851346.02877</v>
      </c>
      <c r="U267" s="15" t="n">
        <v>5.59</v>
      </c>
      <c r="V267" s="15" t="n">
        <v>9.880000000000001</v>
      </c>
      <c r="W267" s="49" t="n">
        <v>94.708</v>
      </c>
    </row>
    <row r="268">
      <c r="A268" s="44" t="inlineStr">
        <is>
          <t>TL Cinsi Kuponsuz Senetler</t>
        </is>
      </c>
      <c r="B268" s="44" t="n">
        <v>2015</v>
      </c>
      <c r="C268" s="44" t="inlineStr">
        <is>
          <t>TRT161215T19</t>
        </is>
      </c>
      <c r="D268" s="44" t="inlineStr">
        <is>
          <t>17.06.2015</t>
        </is>
      </c>
      <c r="E268" s="44" t="inlineStr">
        <is>
          <t>16.12.2015</t>
        </is>
      </c>
      <c r="F268" s="44" t="n">
        <v>182</v>
      </c>
      <c r="G268" s="44" t="n"/>
      <c r="H268" s="15" t="n"/>
      <c r="I268" s="45" t="n">
        <v>307000</v>
      </c>
      <c r="J268" s="45" t="n">
        <v>292387.45</v>
      </c>
      <c r="K268" s="45" t="n">
        <v>226000</v>
      </c>
      <c r="L268" s="45" t="n">
        <v>215386.55</v>
      </c>
      <c r="M268" s="45" t="n">
        <v>209854.78</v>
      </c>
      <c r="N268" s="45" t="n">
        <v>199999.99953</v>
      </c>
      <c r="O268" s="45" t="n">
        <v>360425.585</v>
      </c>
      <c r="P268" s="45" t="n">
        <v>343499.99953</v>
      </c>
      <c r="Q268" s="45" t="n">
        <v>5246.369</v>
      </c>
      <c r="R268" s="45" t="n">
        <v>4999.99951</v>
      </c>
      <c r="S268" s="45" t="n">
        <v>801526.7339999999</v>
      </c>
      <c r="T268" s="45" t="n">
        <v>763886.54857</v>
      </c>
      <c r="U268" s="15" t="n">
        <v>4.93</v>
      </c>
      <c r="V268" s="15" t="n">
        <v>10.1</v>
      </c>
      <c r="W268" s="49" t="n">
        <v>95.304</v>
      </c>
    </row>
    <row r="269">
      <c r="A269" s="44" t="inlineStr">
        <is>
          <t>TL Cinsi Kuponsuz Senetler</t>
        </is>
      </c>
      <c r="B269" s="44" t="n">
        <v>2015</v>
      </c>
      <c r="C269" s="44" t="inlineStr">
        <is>
          <t>TRT170816T13</t>
        </is>
      </c>
      <c r="D269" s="44" t="inlineStr">
        <is>
          <t>19.08.2015</t>
        </is>
      </c>
      <c r="E269" s="44" t="inlineStr">
        <is>
          <t>17.08.2016</t>
        </is>
      </c>
      <c r="F269" s="44" t="n">
        <v>364</v>
      </c>
      <c r="G269" s="44" t="n"/>
      <c r="H269" s="15" t="n"/>
      <c r="I269" s="45" t="n">
        <v>520498.3</v>
      </c>
      <c r="J269" s="45" t="n">
        <v>468436.15575</v>
      </c>
      <c r="K269" s="45" t="n">
        <v>384998.3</v>
      </c>
      <c r="L269" s="45" t="n">
        <v>346780.15575</v>
      </c>
      <c r="M269" s="45" t="n">
        <v>148768.221</v>
      </c>
      <c r="N269" s="45" t="n">
        <v>133999.9997</v>
      </c>
      <c r="O269" s="45" t="n">
        <v>305418.938</v>
      </c>
      <c r="P269" s="45" t="n">
        <v>275100.00002</v>
      </c>
      <c r="Q269" s="45" t="n">
        <v>13698.39</v>
      </c>
      <c r="R269" s="45" t="n">
        <v>12338.55082</v>
      </c>
      <c r="S269" s="45" t="n">
        <v>852883.849</v>
      </c>
      <c r="T269" s="45" t="n">
        <v>768218.70629</v>
      </c>
      <c r="U269" s="15" t="n">
        <v>11.02</v>
      </c>
      <c r="V269" s="15" t="n">
        <v>11.02</v>
      </c>
      <c r="W269" s="49" t="n">
        <v>90.07299999999999</v>
      </c>
    </row>
    <row r="270">
      <c r="A270" s="44" t="inlineStr">
        <is>
          <t>TL Cinsi Kuponsuz Senetler</t>
        </is>
      </c>
      <c r="B270" s="44" t="n">
        <v>2015</v>
      </c>
      <c r="C270" s="44" t="inlineStr">
        <is>
          <t>TRT141216T10</t>
        </is>
      </c>
      <c r="D270" s="44" t="inlineStr">
        <is>
          <t>07.10.2015</t>
        </is>
      </c>
      <c r="E270" s="44" t="inlineStr">
        <is>
          <t>14.12.2016</t>
        </is>
      </c>
      <c r="F270" s="44" t="n">
        <v>434</v>
      </c>
      <c r="G270" s="44" t="n"/>
      <c r="H270" s="15" t="n"/>
      <c r="I270" s="45" t="n">
        <v>892300</v>
      </c>
      <c r="J270" s="45" t="n">
        <v>785253.392</v>
      </c>
      <c r="K270" s="45" t="n">
        <v>382300</v>
      </c>
      <c r="L270" s="45" t="n">
        <v>337230.172</v>
      </c>
      <c r="M270" s="45" t="n">
        <v>113364.546</v>
      </c>
      <c r="N270" s="45" t="n">
        <v>99999.99967</v>
      </c>
      <c r="O270" s="45" t="n">
        <v>262042.149</v>
      </c>
      <c r="P270" s="45" t="n">
        <v>231150.00005</v>
      </c>
      <c r="Q270" s="45" t="n">
        <v>36023.126</v>
      </c>
      <c r="R270" s="45" t="n">
        <v>31776.35968</v>
      </c>
      <c r="S270" s="45" t="n">
        <v>793729.821</v>
      </c>
      <c r="T270" s="45" t="n">
        <v>700156.5314000001</v>
      </c>
      <c r="U270" s="15" t="n">
        <v>13.36</v>
      </c>
      <c r="V270" s="15" t="n">
        <v>11.09</v>
      </c>
      <c r="W270" s="49" t="n">
        <v>88.211</v>
      </c>
    </row>
    <row r="271">
      <c r="A271" s="44" t="inlineStr">
        <is>
          <t>TL Cinsi Kuponsuz Senetler</t>
        </is>
      </c>
      <c r="B271" s="44" t="n">
        <v>2015</v>
      </c>
      <c r="C271" s="44" t="inlineStr">
        <is>
          <t>TRT141216T10</t>
        </is>
      </c>
      <c r="D271" s="44" t="inlineStr">
        <is>
          <t>18.11.2015</t>
        </is>
      </c>
      <c r="E271" s="44" t="inlineStr">
        <is>
          <t>14.12.2016</t>
        </is>
      </c>
      <c r="F271" s="44" t="n">
        <v>392</v>
      </c>
      <c r="G271" s="44" t="n"/>
      <c r="H271" s="15" t="n"/>
      <c r="I271" s="45" t="n">
        <v>658002.12</v>
      </c>
      <c r="J271" s="45" t="n">
        <v>590853.10463</v>
      </c>
      <c r="K271" s="45" t="n">
        <v>242000</v>
      </c>
      <c r="L271" s="45" t="n">
        <v>217715.43</v>
      </c>
      <c r="M271" s="45" t="n">
        <v>181181.57</v>
      </c>
      <c r="N271" s="45" t="n">
        <v>162999.99945</v>
      </c>
      <c r="O271" s="45" t="n">
        <v>191077.086</v>
      </c>
      <c r="P271" s="45" t="n">
        <v>171902.50042</v>
      </c>
      <c r="Q271" s="45" t="n">
        <v>40000</v>
      </c>
      <c r="R271" s="45" t="n">
        <v>35986</v>
      </c>
      <c r="S271" s="45" t="n">
        <v>654258.656</v>
      </c>
      <c r="T271" s="45" t="n">
        <v>588603.92987</v>
      </c>
      <c r="U271" s="15" t="n">
        <v>11.15</v>
      </c>
      <c r="V271" s="15" t="n">
        <v>10.32</v>
      </c>
      <c r="W271" s="49" t="n">
        <v>89.965</v>
      </c>
    </row>
    <row r="272">
      <c r="A272" s="44" t="inlineStr">
        <is>
          <t>TL Cinsi Kuponsuz Senetler</t>
        </is>
      </c>
      <c r="B272" s="44" t="n">
        <v>2014</v>
      </c>
      <c r="C272" s="44" t="inlineStr">
        <is>
          <t>TRT250315T19</t>
        </is>
      </c>
      <c r="D272" s="44" t="inlineStr">
        <is>
          <t>22.01.2014</t>
        </is>
      </c>
      <c r="E272" s="44" t="inlineStr">
        <is>
          <t>25.03.2015</t>
        </is>
      </c>
      <c r="F272" s="44" t="n">
        <v>427</v>
      </c>
      <c r="G272" s="44" t="n"/>
      <c r="H272" s="15" t="n"/>
      <c r="I272" s="45" t="n">
        <v>1791191.245</v>
      </c>
      <c r="J272" s="45" t="n">
        <v>1595006.39559</v>
      </c>
      <c r="K272" s="45" t="n">
        <v>708085</v>
      </c>
      <c r="L272" s="45" t="n">
        <v>631673.76723</v>
      </c>
      <c r="M272" s="45" t="n">
        <v>0</v>
      </c>
      <c r="N272" s="45" t="n">
        <v>0</v>
      </c>
      <c r="O272" s="45" t="n">
        <v>869979.4863746931</v>
      </c>
      <c r="P272" s="45" t="n">
        <v>776100</v>
      </c>
      <c r="Q272" s="45" t="n">
        <v>40200.107</v>
      </c>
      <c r="R272" s="45" t="n">
        <v>35862.11345363</v>
      </c>
      <c r="S272" s="45" t="n">
        <v>1618264.593374693</v>
      </c>
      <c r="T272" s="45" t="n">
        <v>1443635.88068363</v>
      </c>
      <c r="U272" s="15" t="n">
        <v>12.1</v>
      </c>
      <c r="V272" s="15" t="n">
        <v>10.22</v>
      </c>
      <c r="W272" s="49" t="n">
        <v>89.209</v>
      </c>
    </row>
    <row r="273">
      <c r="A273" s="44" t="inlineStr">
        <is>
          <t>TL Cinsi Kuponsuz Senetler</t>
        </is>
      </c>
      <c r="B273" s="44" t="n">
        <v>2014</v>
      </c>
      <c r="C273" s="44" t="inlineStr">
        <is>
          <t>TRT250315T19</t>
        </is>
      </c>
      <c r="D273" s="44" t="inlineStr">
        <is>
          <t>19.02.2014</t>
        </is>
      </c>
      <c r="E273" s="44" t="inlineStr">
        <is>
          <t>25.03.2015</t>
        </is>
      </c>
      <c r="F273" s="44" t="n">
        <v>399</v>
      </c>
      <c r="G273" s="44" t="n"/>
      <c r="H273" s="15" t="n"/>
      <c r="I273" s="45" t="n">
        <v>2726391</v>
      </c>
      <c r="J273" s="45" t="n">
        <v>2424094.44323</v>
      </c>
      <c r="K273" s="45" t="n">
        <v>955840</v>
      </c>
      <c r="L273" s="45" t="n">
        <v>850884.0207</v>
      </c>
      <c r="M273" s="45" t="n">
        <v>0</v>
      </c>
      <c r="N273" s="45" t="n">
        <v>0</v>
      </c>
      <c r="O273" s="45" t="n">
        <v>198445.293192541</v>
      </c>
      <c r="P273" s="45" t="n">
        <v>176656</v>
      </c>
      <c r="Q273" s="45" t="n">
        <v>100014.828</v>
      </c>
      <c r="R273" s="45" t="n">
        <v>89033.19988559998</v>
      </c>
      <c r="S273" s="45" t="n">
        <v>1254300.121192541</v>
      </c>
      <c r="T273" s="45" t="n">
        <v>1116573.2205856</v>
      </c>
      <c r="U273" s="15" t="n">
        <v>12.33</v>
      </c>
      <c r="V273" s="15" t="n">
        <v>11.19</v>
      </c>
      <c r="W273" s="49" t="n">
        <v>89.02</v>
      </c>
    </row>
    <row r="274">
      <c r="A274" s="44" t="inlineStr">
        <is>
          <t>TL Cinsi Kuponsuz Senetler</t>
        </is>
      </c>
      <c r="B274" s="44" t="n">
        <v>2014</v>
      </c>
      <c r="C274" s="44" t="inlineStr">
        <is>
          <t>TRT150715T17</t>
        </is>
      </c>
      <c r="D274" s="44" t="inlineStr">
        <is>
          <t>19.03.2014</t>
        </is>
      </c>
      <c r="E274" s="44" t="inlineStr">
        <is>
          <t>15.07.2015</t>
        </is>
      </c>
      <c r="F274" s="44" t="n">
        <v>483</v>
      </c>
      <c r="G274" s="44" t="n"/>
      <c r="H274" s="15" t="n"/>
      <c r="I274" s="45" t="n">
        <v>2105900</v>
      </c>
      <c r="J274" s="45" t="n">
        <v>1821921.732</v>
      </c>
      <c r="K274" s="45" t="n">
        <v>185400</v>
      </c>
      <c r="L274" s="45" t="n">
        <v>160765.567</v>
      </c>
      <c r="M274" s="45" t="n">
        <v>318291.3749956754</v>
      </c>
      <c r="N274" s="45" t="n">
        <v>276000</v>
      </c>
      <c r="O274" s="45" t="n">
        <v>215100.3886383818</v>
      </c>
      <c r="P274" s="45" t="n">
        <v>186520</v>
      </c>
      <c r="Q274" s="45" t="n">
        <v>0</v>
      </c>
      <c r="R274" s="45" t="n">
        <v>0</v>
      </c>
      <c r="S274" s="45" t="n">
        <v>718791.7636340572</v>
      </c>
      <c r="T274" s="45" t="n">
        <v>623285.567</v>
      </c>
      <c r="U274" s="15" t="n">
        <v>15.32</v>
      </c>
      <c r="V274" s="15" t="n">
        <v>11.34</v>
      </c>
      <c r="W274" s="49" t="n">
        <v>86.71299999999999</v>
      </c>
    </row>
    <row r="275">
      <c r="A275" s="44" t="inlineStr">
        <is>
          <t>TL Cinsi Kuponsuz Senetler</t>
        </is>
      </c>
      <c r="B275" s="44" t="n">
        <v>2014</v>
      </c>
      <c r="C275" s="44" t="inlineStr">
        <is>
          <t>TRT150715T17</t>
        </is>
      </c>
      <c r="D275" s="44" t="inlineStr">
        <is>
          <t>09.04.2014</t>
        </is>
      </c>
      <c r="E275" s="44" t="inlineStr">
        <is>
          <t>15.07.2015</t>
        </is>
      </c>
      <c r="F275" s="44" t="n">
        <v>462</v>
      </c>
      <c r="G275" s="44" t="n"/>
      <c r="H275" s="15" t="n"/>
      <c r="I275" s="45" t="n">
        <v>2107750</v>
      </c>
      <c r="J275" s="45" t="n">
        <v>1864343.3515</v>
      </c>
      <c r="K275" s="45" t="n">
        <v>626000</v>
      </c>
      <c r="L275" s="45" t="n">
        <v>554941.38</v>
      </c>
      <c r="M275" s="45" t="n">
        <v>219968.6403681936</v>
      </c>
      <c r="N275" s="45" t="n">
        <v>195000</v>
      </c>
      <c r="O275" s="45" t="n">
        <v>174677.6613385374</v>
      </c>
      <c r="P275" s="45" t="n">
        <v>154850</v>
      </c>
      <c r="Q275" s="45" t="n">
        <v>43005.504</v>
      </c>
      <c r="R275" s="45" t="n">
        <v>38123.94924096</v>
      </c>
      <c r="S275" s="45" t="n">
        <v>1063651.805706731</v>
      </c>
      <c r="T275" s="45" t="n">
        <v>942915.32924096</v>
      </c>
      <c r="U275" s="15" t="n">
        <v>12.8</v>
      </c>
      <c r="V275" s="15" t="n">
        <v>9.960000000000001</v>
      </c>
      <c r="W275" s="49" t="n">
        <v>88.649</v>
      </c>
    </row>
    <row r="276">
      <c r="A276" s="44" t="inlineStr">
        <is>
          <t>TL Cinsi Kuponsuz Senetler</t>
        </is>
      </c>
      <c r="B276" s="44" t="n">
        <v>2014</v>
      </c>
      <c r="C276" s="44" t="inlineStr">
        <is>
          <t>TRT150715T17</t>
        </is>
      </c>
      <c r="D276" s="44" t="inlineStr">
        <is>
          <t>28.05.2014</t>
        </is>
      </c>
      <c r="E276" s="44" t="inlineStr">
        <is>
          <t>15.07.2015</t>
        </is>
      </c>
      <c r="F276" s="44" t="n">
        <v>413</v>
      </c>
      <c r="G276" s="44" t="n"/>
      <c r="H276" s="15" t="n"/>
      <c r="I276" s="45" t="n">
        <v>2903800</v>
      </c>
      <c r="J276" s="45" t="n">
        <v>2637549.92</v>
      </c>
      <c r="K276" s="45" t="n">
        <v>890000</v>
      </c>
      <c r="L276" s="45" t="n">
        <v>809412.75</v>
      </c>
      <c r="M276" s="45" t="n">
        <v>0</v>
      </c>
      <c r="N276" s="45" t="n">
        <v>0</v>
      </c>
      <c r="O276" s="45" t="n">
        <v>462004.9260000441</v>
      </c>
      <c r="P276" s="45" t="n">
        <v>420175.0000000001</v>
      </c>
      <c r="Q276" s="45" t="n">
        <v>0</v>
      </c>
      <c r="R276" s="45" t="n">
        <v>0</v>
      </c>
      <c r="S276" s="45" t="n">
        <v>1352004.926000044</v>
      </c>
      <c r="T276" s="45" t="n">
        <v>1229587.75</v>
      </c>
      <c r="U276" s="15" t="n">
        <v>9.960000000000001</v>
      </c>
      <c r="V276" s="15" t="n">
        <v>8.720000000000001</v>
      </c>
      <c r="W276" s="49" t="n">
        <v>90.946</v>
      </c>
    </row>
    <row r="277">
      <c r="A277" s="44" t="inlineStr">
        <is>
          <t>TL Cinsi Kuponsuz Senetler</t>
        </is>
      </c>
      <c r="B277" s="44" t="n">
        <v>2014</v>
      </c>
      <c r="C277" s="44" t="inlineStr">
        <is>
          <t>TRT190815T12</t>
        </is>
      </c>
      <c r="D277" s="44" t="inlineStr">
        <is>
          <t>11.06.2014</t>
        </is>
      </c>
      <c r="E277" s="44" t="inlineStr">
        <is>
          <t>19.08.2015</t>
        </is>
      </c>
      <c r="F277" s="44" t="n">
        <v>434</v>
      </c>
      <c r="G277" s="44" t="n"/>
      <c r="H277" s="15" t="n"/>
      <c r="I277" s="45" t="n">
        <v>1830179</v>
      </c>
      <c r="J277" s="45" t="n">
        <v>1660498.10068</v>
      </c>
      <c r="K277" s="45" t="n">
        <v>563278</v>
      </c>
      <c r="L277" s="45" t="n">
        <v>511784.78868</v>
      </c>
      <c r="M277" s="45" t="n">
        <v>0</v>
      </c>
      <c r="N277" s="45" t="n">
        <v>0</v>
      </c>
      <c r="O277" s="45" t="n">
        <v>450703.2952519316</v>
      </c>
      <c r="P277" s="45" t="n">
        <v>409500</v>
      </c>
      <c r="Q277" s="45" t="n">
        <v>45182.304</v>
      </c>
      <c r="R277" s="45" t="n">
        <v>41051.73776832</v>
      </c>
      <c r="S277" s="45" t="n">
        <v>1059163.599251932</v>
      </c>
      <c r="T277" s="45" t="n">
        <v>962336.52644832</v>
      </c>
      <c r="U277" s="15" t="n">
        <v>10.06</v>
      </c>
      <c r="V277" s="15" t="n">
        <v>8.369999999999999</v>
      </c>
      <c r="W277" s="49" t="n">
        <v>90.858</v>
      </c>
    </row>
    <row r="278">
      <c r="A278" s="44" t="inlineStr">
        <is>
          <t>TL Cinsi Kuponsuz Senetler</t>
        </is>
      </c>
      <c r="B278" s="44" t="n">
        <v>2014</v>
      </c>
      <c r="C278" s="44" t="inlineStr">
        <is>
          <t>TRT190815T12</t>
        </is>
      </c>
      <c r="D278" s="44" t="inlineStr">
        <is>
          <t>23.07.2014</t>
        </is>
      </c>
      <c r="E278" s="44" t="inlineStr">
        <is>
          <t>19.08.2015</t>
        </is>
      </c>
      <c r="F278" s="44" t="n">
        <v>392</v>
      </c>
      <c r="G278" s="44" t="n"/>
      <c r="H278" s="15" t="n"/>
      <c r="I278" s="45" t="n">
        <v>1187000</v>
      </c>
      <c r="J278" s="45" t="n">
        <v>1088151.479</v>
      </c>
      <c r="K278" s="45" t="n">
        <v>460700</v>
      </c>
      <c r="L278" s="45" t="n">
        <v>422648.464</v>
      </c>
      <c r="M278" s="45" t="n">
        <v>0</v>
      </c>
      <c r="N278" s="45" t="n">
        <v>0</v>
      </c>
      <c r="O278" s="45" t="n">
        <v>308273.3812949641</v>
      </c>
      <c r="P278" s="45" t="n">
        <v>282810</v>
      </c>
      <c r="Q278" s="45" t="n">
        <v>87501.60400000001</v>
      </c>
      <c r="R278" s="45" t="n">
        <v>80273.9715096</v>
      </c>
      <c r="S278" s="45" t="n">
        <v>856474.9852949642</v>
      </c>
      <c r="T278" s="45" t="n">
        <v>785732.4355096</v>
      </c>
      <c r="U278" s="15" t="n">
        <v>9</v>
      </c>
      <c r="V278" s="15" t="n">
        <v>8.33</v>
      </c>
      <c r="W278" s="49" t="n">
        <v>91.73999999999999</v>
      </c>
    </row>
    <row r="279">
      <c r="A279" s="44" t="inlineStr">
        <is>
          <t>TL Cinsi Kuponsuz Senetler</t>
        </is>
      </c>
      <c r="B279" s="44" t="n">
        <v>2014</v>
      </c>
      <c r="C279" s="44" t="inlineStr">
        <is>
          <t>TRT190815T12</t>
        </is>
      </c>
      <c r="D279" s="44" t="inlineStr">
        <is>
          <t>13.08.2014</t>
        </is>
      </c>
      <c r="E279" s="44" t="inlineStr">
        <is>
          <t>19.08.2015</t>
        </is>
      </c>
      <c r="F279" s="44" t="n">
        <v>371</v>
      </c>
      <c r="G279" s="44" t="n"/>
      <c r="H279" s="15" t="n"/>
      <c r="I279" s="45" t="n">
        <v>1638997.01</v>
      </c>
      <c r="J279" s="45" t="n">
        <v>1492024.90625</v>
      </c>
      <c r="K279" s="45" t="n">
        <v>755997.01</v>
      </c>
      <c r="L279" s="45" t="n">
        <v>688862.10625</v>
      </c>
      <c r="M279" s="45" t="n">
        <v>0</v>
      </c>
      <c r="N279" s="45" t="n">
        <v>0</v>
      </c>
      <c r="O279" s="45" t="n">
        <v>394863.9157155399</v>
      </c>
      <c r="P279" s="45" t="n">
        <v>359800</v>
      </c>
      <c r="Q279" s="45" t="n">
        <v>20000</v>
      </c>
      <c r="R279" s="45" t="n">
        <v>18224</v>
      </c>
      <c r="S279" s="45" t="n">
        <v>1170860.92571554</v>
      </c>
      <c r="T279" s="45" t="n">
        <v>1066886.10625</v>
      </c>
      <c r="U279" s="15" t="n">
        <v>9.75</v>
      </c>
      <c r="V279" s="15" t="n">
        <v>9.550000000000001</v>
      </c>
      <c r="W279" s="49" t="n">
        <v>91.12</v>
      </c>
    </row>
    <row r="280">
      <c r="A280" s="44" t="inlineStr">
        <is>
          <t>TL Cinsi Kuponsuz Senetler</t>
        </is>
      </c>
      <c r="B280" s="44" t="n">
        <v>2014</v>
      </c>
      <c r="C280" s="44" t="inlineStr">
        <is>
          <t>TRT181115T18</t>
        </is>
      </c>
      <c r="D280" s="44" t="inlineStr">
        <is>
          <t>17.09.2014</t>
        </is>
      </c>
      <c r="E280" s="44" t="inlineStr">
        <is>
          <t>18.11.2015</t>
        </is>
      </c>
      <c r="F280" s="44" t="n">
        <v>427</v>
      </c>
      <c r="G280" s="44" t="n"/>
      <c r="H280" s="15" t="n"/>
      <c r="I280" s="45" t="n">
        <v>2729797.25</v>
      </c>
      <c r="J280" s="45" t="n">
        <v>2458773.82048</v>
      </c>
      <c r="K280" s="45" t="n">
        <v>878740</v>
      </c>
      <c r="L280" s="45" t="n">
        <v>792334.5014</v>
      </c>
      <c r="M280" s="45" t="n">
        <v>364878.5032217996</v>
      </c>
      <c r="N280" s="45" t="n">
        <v>329000</v>
      </c>
      <c r="O280" s="45" t="n">
        <v>215599.9423292335</v>
      </c>
      <c r="P280" s="45" t="n">
        <v>194400</v>
      </c>
      <c r="Q280" s="45" t="n">
        <v>205948.06</v>
      </c>
      <c r="R280" s="45" t="n">
        <v>185697.1872602</v>
      </c>
      <c r="S280" s="45" t="n">
        <v>1665166.505551033</v>
      </c>
      <c r="T280" s="45" t="n">
        <v>1501431.6886602</v>
      </c>
      <c r="U280" s="15" t="n">
        <v>10.91</v>
      </c>
      <c r="V280" s="15" t="n">
        <v>9.220000000000001</v>
      </c>
      <c r="W280" s="49" t="n">
        <v>90.167</v>
      </c>
    </row>
    <row r="281">
      <c r="A281" s="44" t="inlineStr">
        <is>
          <t>TL Cinsi Kuponsuz Senetler</t>
        </is>
      </c>
      <c r="B281" s="44" t="n">
        <v>2014</v>
      </c>
      <c r="C281" s="44" t="inlineStr">
        <is>
          <t>TRT181115T18</t>
        </is>
      </c>
      <c r="D281" s="44" t="inlineStr">
        <is>
          <t>22.10.2014</t>
        </is>
      </c>
      <c r="E281" s="44" t="inlineStr">
        <is>
          <t>18.11.2015</t>
        </is>
      </c>
      <c r="F281" s="44" t="n">
        <v>392</v>
      </c>
      <c r="G281" s="44" t="n"/>
      <c r="H281" s="15" t="n"/>
      <c r="I281" s="45" t="n">
        <v>2075480</v>
      </c>
      <c r="J281" s="45" t="n">
        <v>1893339.2724</v>
      </c>
      <c r="K281" s="45" t="n">
        <v>695180</v>
      </c>
      <c r="L281" s="45" t="n">
        <v>634801.6224</v>
      </c>
      <c r="M281" s="45" t="n">
        <v>0</v>
      </c>
      <c r="N281" s="45" t="n">
        <v>0</v>
      </c>
      <c r="O281" s="45" t="n">
        <v>380682.253737064</v>
      </c>
      <c r="P281" s="45" t="n">
        <v>347620</v>
      </c>
      <c r="Q281" s="45" t="n">
        <v>0</v>
      </c>
      <c r="R281" s="45" t="n">
        <v>0</v>
      </c>
      <c r="S281" s="45" t="n">
        <v>1075862.253737064</v>
      </c>
      <c r="T281" s="45" t="n">
        <v>982421.6224</v>
      </c>
      <c r="U281" s="15" t="n">
        <v>9.51</v>
      </c>
      <c r="V281" s="15" t="n">
        <v>8.800000000000001</v>
      </c>
      <c r="W281" s="49" t="n">
        <v>91.315</v>
      </c>
    </row>
    <row r="282">
      <c r="A282" s="44" t="inlineStr">
        <is>
          <t>TL Cinsi Kuponsuz Senetler</t>
        </is>
      </c>
      <c r="B282" s="44" t="n">
        <v>2014</v>
      </c>
      <c r="C282" s="44" t="inlineStr">
        <is>
          <t>TRT161215T19</t>
        </is>
      </c>
      <c r="D282" s="44" t="inlineStr">
        <is>
          <t>17.12.2014</t>
        </is>
      </c>
      <c r="E282" s="44" t="inlineStr">
        <is>
          <t>16.12.2015</t>
        </is>
      </c>
      <c r="F282" s="44" t="n">
        <v>364</v>
      </c>
      <c r="G282" s="44" t="n"/>
      <c r="H282" s="15" t="n"/>
      <c r="I282" s="45" t="n">
        <v>1618610</v>
      </c>
      <c r="J282" s="45" t="n">
        <v>1484183.28085</v>
      </c>
      <c r="K282" s="45" t="n">
        <v>388505</v>
      </c>
      <c r="L282" s="45" t="n">
        <v>357040.54865</v>
      </c>
      <c r="M282" s="45" t="n">
        <v>488569.2212271902</v>
      </c>
      <c r="N282" s="45" t="n">
        <v>449000</v>
      </c>
      <c r="O282" s="45" t="n">
        <v>309071.7184796684</v>
      </c>
      <c r="P282" s="45" t="n">
        <v>284040</v>
      </c>
      <c r="Q282" s="45" t="n">
        <v>0</v>
      </c>
      <c r="R282" s="45" t="n">
        <v>0</v>
      </c>
      <c r="S282" s="45" t="n">
        <v>1186145.939706859</v>
      </c>
      <c r="T282" s="45" t="n">
        <v>1090080.54865</v>
      </c>
      <c r="U282" s="15" t="n">
        <v>8.81</v>
      </c>
      <c r="V282" s="15" t="n">
        <v>8.81</v>
      </c>
      <c r="W282" s="49" t="n">
        <v>91.901</v>
      </c>
    </row>
    <row r="283">
      <c r="A283" s="44" t="inlineStr">
        <is>
          <t>TL Cinsi Kuponsuz Senetler</t>
        </is>
      </c>
      <c r="B283" s="44" t="n">
        <v>2013</v>
      </c>
      <c r="C283" s="44" t="inlineStr">
        <is>
          <t>TRT090414T19</t>
        </is>
      </c>
      <c r="D283" s="44" t="inlineStr">
        <is>
          <t>nan</t>
        </is>
      </c>
      <c r="E283" s="44" t="inlineStr">
        <is>
          <t>nan</t>
        </is>
      </c>
      <c r="F283" s="44" t="n"/>
      <c r="G283" s="44" t="n"/>
      <c r="H283" s="15" t="n"/>
      <c r="I283" s="45" t="n">
        <v>4346600</v>
      </c>
      <c r="J283" s="45" t="n">
        <v>4031774.018</v>
      </c>
      <c r="K283" s="45" t="n">
        <v>964500</v>
      </c>
      <c r="L283" s="45" t="n">
        <v>895708.905</v>
      </c>
      <c r="M283" s="45" t="n">
        <v>0</v>
      </c>
      <c r="N283" s="45" t="n">
        <v>0</v>
      </c>
      <c r="O283" s="45" t="n">
        <v>409290.6060214498</v>
      </c>
      <c r="P283" s="45" t="n">
        <v>380100</v>
      </c>
      <c r="Q283" s="45" t="n">
        <v>186121.666</v>
      </c>
      <c r="R283" s="45" t="n">
        <v>172847.46878088</v>
      </c>
      <c r="S283" s="45" t="n">
        <v>1559912.27202145</v>
      </c>
      <c r="T283" s="45" t="n">
        <v>1448656.37378088</v>
      </c>
      <c r="U283" s="15" t="n">
        <v>7.68</v>
      </c>
      <c r="V283" s="15" t="n">
        <v>6.196383113224679</v>
      </c>
      <c r="W283" s="49" t="n">
        <v>92.86799999999999</v>
      </c>
    </row>
    <row r="284">
      <c r="A284" s="44" t="inlineStr">
        <is>
          <t>TL Cinsi Kuponsuz Senetler</t>
        </is>
      </c>
      <c r="B284" s="44" t="n">
        <v>2013</v>
      </c>
      <c r="C284" s="44" t="inlineStr">
        <is>
          <t>TRT090414T19</t>
        </is>
      </c>
      <c r="D284" s="44" t="inlineStr">
        <is>
          <t>nan</t>
        </is>
      </c>
      <c r="E284" s="44" t="inlineStr">
        <is>
          <t>nan</t>
        </is>
      </c>
      <c r="F284" s="44" t="n"/>
      <c r="G284" s="44" t="n"/>
      <c r="H284" s="15" t="n"/>
      <c r="I284" s="45" t="n">
        <v>2552700</v>
      </c>
      <c r="J284" s="45" t="n">
        <v>2391197.835</v>
      </c>
      <c r="K284" s="45" t="n">
        <v>696800</v>
      </c>
      <c r="L284" s="45" t="n">
        <v>653284.915</v>
      </c>
      <c r="M284" s="45" t="n">
        <v>0</v>
      </c>
      <c r="N284" s="45" t="n">
        <v>0</v>
      </c>
      <c r="O284" s="45" t="n">
        <v>656498.3200895953</v>
      </c>
      <c r="P284" s="45" t="n">
        <v>615500</v>
      </c>
      <c r="Q284" s="45" t="n">
        <v>24000</v>
      </c>
      <c r="R284" s="45" t="n">
        <v>22501.2</v>
      </c>
      <c r="S284" s="45" t="n">
        <v>1377298.320089595</v>
      </c>
      <c r="T284" s="45" t="n">
        <v>1291286.115</v>
      </c>
      <c r="U284" s="15" t="n">
        <v>6.66</v>
      </c>
      <c r="V284" s="15" t="n">
        <v>5.746995123464682</v>
      </c>
      <c r="W284" s="49" t="n">
        <v>93.755</v>
      </c>
    </row>
    <row r="285">
      <c r="A285" s="44" t="inlineStr">
        <is>
          <t>TL Cinsi Kuponsuz Senetler</t>
        </is>
      </c>
      <c r="B285" s="44" t="n">
        <v>2013</v>
      </c>
      <c r="C285" s="44" t="inlineStr">
        <is>
          <t>TRT110614T13</t>
        </is>
      </c>
      <c r="D285" s="44" t="inlineStr">
        <is>
          <t>nan</t>
        </is>
      </c>
      <c r="E285" s="44" t="inlineStr">
        <is>
          <t>nan</t>
        </is>
      </c>
      <c r="F285" s="44" t="n"/>
      <c r="G285" s="44" t="n"/>
      <c r="H285" s="15" t="n"/>
      <c r="I285" s="45" t="n">
        <v>2467194.687</v>
      </c>
      <c r="J285" s="45" t="n">
        <v>2300587.1088</v>
      </c>
      <c r="K285" s="45" t="n">
        <v>1202807</v>
      </c>
      <c r="L285" s="45" t="n">
        <v>1122177.93244</v>
      </c>
      <c r="M285" s="45" t="n">
        <v>0</v>
      </c>
      <c r="N285" s="45" t="n">
        <v>0</v>
      </c>
      <c r="O285" s="45" t="n">
        <v>430024.5452694084</v>
      </c>
      <c r="P285" s="45" t="n">
        <v>401200</v>
      </c>
      <c r="Q285" s="45" t="n">
        <v>95204.99400000001</v>
      </c>
      <c r="R285" s="45" t="n">
        <v>88823.40325218</v>
      </c>
      <c r="S285" s="45" t="n">
        <v>1728036.539269408</v>
      </c>
      <c r="T285" s="45" t="n">
        <v>1612201.33569218</v>
      </c>
      <c r="U285" s="15" t="n">
        <v>7.19</v>
      </c>
      <c r="V285" s="15" t="n">
        <v>5.71</v>
      </c>
      <c r="W285" s="49" t="n">
        <v>93.297</v>
      </c>
    </row>
    <row r="286">
      <c r="A286" s="44" t="inlineStr">
        <is>
          <t>TL Cinsi Kuponsuz Senetler</t>
        </is>
      </c>
      <c r="B286" s="44" t="n">
        <v>2013</v>
      </c>
      <c r="C286" s="44" t="inlineStr">
        <is>
          <t>TRT110614T13</t>
        </is>
      </c>
      <c r="D286" s="44" t="inlineStr">
        <is>
          <t>nan</t>
        </is>
      </c>
      <c r="E286" s="44" t="inlineStr">
        <is>
          <t>nan</t>
        </is>
      </c>
      <c r="F286" s="44" t="n"/>
      <c r="G286" s="44" t="n"/>
      <c r="H286" s="15" t="n"/>
      <c r="I286" s="45" t="n">
        <v>2034900</v>
      </c>
      <c r="J286" s="45" t="n">
        <v>1884112.176</v>
      </c>
      <c r="K286" s="45" t="n">
        <v>1020400</v>
      </c>
      <c r="L286" s="45" t="n">
        <v>945511.446</v>
      </c>
      <c r="M286" s="45" t="n">
        <v>0</v>
      </c>
      <c r="N286" s="45" t="n">
        <v>0</v>
      </c>
      <c r="O286" s="45" t="n">
        <v>282319.4224107229</v>
      </c>
      <c r="P286" s="45" t="n">
        <v>261600</v>
      </c>
      <c r="Q286" s="45" t="n">
        <v>152117.372</v>
      </c>
      <c r="R286" s="45" t="n">
        <v>140953.47807</v>
      </c>
      <c r="S286" s="45" t="n">
        <v>1454836.794410723</v>
      </c>
      <c r="T286" s="45" t="n">
        <v>1348064.92407</v>
      </c>
      <c r="U286" s="15" t="n">
        <v>7.92</v>
      </c>
      <c r="V286" s="15" t="n">
        <v>6.6</v>
      </c>
      <c r="W286" s="49" t="n">
        <v>92.661</v>
      </c>
    </row>
    <row r="287">
      <c r="A287" s="44" t="inlineStr">
        <is>
          <t>TL Cinsi Kuponsuz Senetler</t>
        </is>
      </c>
      <c r="B287" s="44" t="n">
        <v>2013</v>
      </c>
      <c r="C287" s="44" t="inlineStr">
        <is>
          <t>TRT060814T34</t>
        </is>
      </c>
      <c r="D287" s="44" t="inlineStr">
        <is>
          <t>nan</t>
        </is>
      </c>
      <c r="E287" s="44" t="inlineStr">
        <is>
          <t>nan</t>
        </is>
      </c>
      <c r="F287" s="44" t="n"/>
      <c r="G287" s="44" t="n"/>
      <c r="H287" s="15" t="n"/>
      <c r="I287" s="45" t="n">
        <v>2214300</v>
      </c>
      <c r="J287" s="45" t="n">
        <v>2080849.381</v>
      </c>
      <c r="K287" s="45" t="n">
        <v>490400</v>
      </c>
      <c r="L287" s="45" t="n">
        <v>461852.656</v>
      </c>
      <c r="M287" s="45" t="n">
        <v>0</v>
      </c>
      <c r="N287" s="45" t="n">
        <v>0</v>
      </c>
      <c r="O287" s="45" t="n">
        <v>258284.755624927</v>
      </c>
      <c r="P287" s="45" t="n">
        <v>243250</v>
      </c>
      <c r="Q287" s="45" t="n">
        <v>0</v>
      </c>
      <c r="R287" s="45" t="n">
        <v>0</v>
      </c>
      <c r="S287" s="45" t="n">
        <v>748684.755624927</v>
      </c>
      <c r="T287" s="45" t="n">
        <v>705102.656</v>
      </c>
      <c r="U287" s="15" t="n">
        <v>6.18</v>
      </c>
      <c r="V287" s="15" t="n">
        <v>5.07</v>
      </c>
      <c r="W287" s="49" t="n">
        <v>94.179</v>
      </c>
    </row>
    <row r="288">
      <c r="A288" s="44" t="inlineStr">
        <is>
          <t>TL Cinsi Kuponsuz Senetler</t>
        </is>
      </c>
      <c r="B288" s="44" t="n">
        <v>2013</v>
      </c>
      <c r="C288" s="44" t="inlineStr">
        <is>
          <t>TRT060814T34</t>
        </is>
      </c>
      <c r="D288" s="44" t="inlineStr">
        <is>
          <t>nan</t>
        </is>
      </c>
      <c r="E288" s="44" t="inlineStr">
        <is>
          <t>nan</t>
        </is>
      </c>
      <c r="F288" s="44" t="n"/>
      <c r="G288" s="44" t="n"/>
      <c r="H288" s="15" t="n"/>
      <c r="I288" s="45" t="n">
        <v>2794242.56</v>
      </c>
      <c r="J288" s="45" t="n">
        <v>2589806.99438</v>
      </c>
      <c r="K288" s="45" t="n">
        <v>742325</v>
      </c>
      <c r="L288" s="45" t="n">
        <v>689193.373</v>
      </c>
      <c r="M288" s="45" t="n">
        <v>207877.8152364745</v>
      </c>
      <c r="N288" s="45" t="n">
        <v>193000</v>
      </c>
      <c r="O288" s="45" t="n">
        <v>456027.9180982949</v>
      </c>
      <c r="P288" s="45" t="n">
        <v>423390</v>
      </c>
      <c r="Q288" s="45" t="n">
        <v>0</v>
      </c>
      <c r="R288" s="45" t="n">
        <v>0</v>
      </c>
      <c r="S288" s="45" t="n">
        <v>1406230.733334769</v>
      </c>
      <c r="T288" s="45" t="n">
        <v>1305583.373</v>
      </c>
      <c r="U288" s="15" t="n">
        <v>7.71</v>
      </c>
      <c r="V288" s="15" t="n">
        <v>6.76</v>
      </c>
      <c r="W288" s="49" t="n">
        <v>92.843</v>
      </c>
    </row>
    <row r="289">
      <c r="A289" s="44" t="inlineStr">
        <is>
          <t>TL Cinsi Kuponsuz Senetler</t>
        </is>
      </c>
      <c r="B289" s="44" t="n">
        <v>2013</v>
      </c>
      <c r="C289" s="44" t="inlineStr">
        <is>
          <t>TRT060814T34</t>
        </is>
      </c>
      <c r="D289" s="44" t="inlineStr">
        <is>
          <t>nan</t>
        </is>
      </c>
      <c r="E289" s="44" t="inlineStr">
        <is>
          <t>nan</t>
        </is>
      </c>
      <c r="F289" s="44" t="n"/>
      <c r="G289" s="44" t="n"/>
      <c r="H289" s="15" t="n"/>
      <c r="I289" s="45" t="n">
        <v>920740.8199999999</v>
      </c>
      <c r="J289" s="45" t="n">
        <v>843746.53967</v>
      </c>
      <c r="K289" s="45" t="n">
        <v>269340.82</v>
      </c>
      <c r="L289" s="45" t="n">
        <v>247469.03067</v>
      </c>
      <c r="M289" s="45" t="n">
        <v>0</v>
      </c>
      <c r="N289" s="45" t="n">
        <v>0</v>
      </c>
      <c r="O289" s="45" t="n">
        <v>209185.8946451894</v>
      </c>
      <c r="P289" s="45" t="n">
        <v>192200</v>
      </c>
      <c r="Q289" s="45" t="n">
        <v>4003.09</v>
      </c>
      <c r="R289" s="45" t="n">
        <v>3678.039092</v>
      </c>
      <c r="S289" s="45" t="n">
        <v>482529.8046451894</v>
      </c>
      <c r="T289" s="45" t="n">
        <v>443347.069762</v>
      </c>
      <c r="U289" s="15" t="n">
        <v>8.84</v>
      </c>
      <c r="V289" s="15" t="n">
        <v>8.5</v>
      </c>
      <c r="W289" s="49" t="n">
        <v>91.88</v>
      </c>
    </row>
    <row r="290">
      <c r="A290" s="44" t="inlineStr">
        <is>
          <t>TL Cinsi Kuponsuz Senetler</t>
        </is>
      </c>
      <c r="B290" s="44" t="n">
        <v>2013</v>
      </c>
      <c r="C290" s="44" t="inlineStr">
        <is>
          <t>TRT191114T18</t>
        </is>
      </c>
      <c r="D290" s="44" t="inlineStr">
        <is>
          <t>nan</t>
        </is>
      </c>
      <c r="E290" s="44" t="inlineStr">
        <is>
          <t>nan</t>
        </is>
      </c>
      <c r="F290" s="44" t="n"/>
      <c r="G290" s="44" t="n"/>
      <c r="H290" s="15" t="n"/>
      <c r="I290" s="45" t="n">
        <v>1816642.724</v>
      </c>
      <c r="J290" s="45" t="n">
        <v>1609903.17735</v>
      </c>
      <c r="K290" s="45" t="n">
        <v>499095.29</v>
      </c>
      <c r="L290" s="45" t="n">
        <v>443946.28898</v>
      </c>
      <c r="M290" s="45" t="n">
        <v>562113.5469364811</v>
      </c>
      <c r="N290" s="45" t="n">
        <v>500000</v>
      </c>
      <c r="O290" s="45" t="n">
        <v>292861.1579539067</v>
      </c>
      <c r="P290" s="45" t="n">
        <v>260500</v>
      </c>
      <c r="Q290" s="45" t="n">
        <v>20001.483</v>
      </c>
      <c r="R290" s="45" t="n">
        <v>17791.3191285</v>
      </c>
      <c r="S290" s="45" t="n">
        <v>1374071.477890388</v>
      </c>
      <c r="T290" s="45" t="n">
        <v>1222237.6081085</v>
      </c>
      <c r="U290" s="15" t="n">
        <v>12.42</v>
      </c>
      <c r="V290" s="15" t="n">
        <v>9.98</v>
      </c>
      <c r="W290" s="49" t="n">
        <v>88.95</v>
      </c>
    </row>
    <row r="291">
      <c r="A291" s="44" t="inlineStr">
        <is>
          <t>TL Cinsi Kuponsuz Senetler</t>
        </is>
      </c>
      <c r="B291" s="44" t="n">
        <v>2013</v>
      </c>
      <c r="C291" s="44" t="inlineStr">
        <is>
          <t>TRT191114T18</t>
        </is>
      </c>
      <c r="D291" s="44" t="inlineStr">
        <is>
          <t>nan</t>
        </is>
      </c>
      <c r="E291" s="44" t="inlineStr">
        <is>
          <t>nan</t>
        </is>
      </c>
      <c r="F291" s="44" t="n"/>
      <c r="G291" s="44" t="n"/>
      <c r="H291" s="15" t="n"/>
      <c r="I291" s="45" t="n">
        <v>1336300</v>
      </c>
      <c r="J291" s="45" t="n">
        <v>1232811.468</v>
      </c>
      <c r="K291" s="45" t="n">
        <v>326600</v>
      </c>
      <c r="L291" s="45" t="n">
        <v>301674.091</v>
      </c>
      <c r="M291" s="45" t="n">
        <v>0</v>
      </c>
      <c r="N291" s="45" t="n">
        <v>0</v>
      </c>
      <c r="O291" s="45" t="n">
        <v>292525.549974017</v>
      </c>
      <c r="P291" s="45" t="n">
        <v>270200</v>
      </c>
      <c r="Q291" s="45" t="n">
        <v>45202.238</v>
      </c>
      <c r="R291" s="45" t="n">
        <v>41752.40319583999</v>
      </c>
      <c r="S291" s="45" t="n">
        <v>664327.7879740171</v>
      </c>
      <c r="T291" s="45" t="n">
        <v>613626.49419584</v>
      </c>
      <c r="U291" s="15" t="n">
        <v>8.26</v>
      </c>
      <c r="V291" s="15" t="n">
        <v>7.65</v>
      </c>
      <c r="W291" s="49" t="n">
        <v>92.36799999999999</v>
      </c>
    </row>
    <row r="292">
      <c r="A292" s="44" t="inlineStr">
        <is>
          <t>TL Cinsi Kuponsuz Senetler</t>
        </is>
      </c>
      <c r="B292" s="44" t="n">
        <v>2013</v>
      </c>
      <c r="C292" s="44" t="inlineStr">
        <is>
          <t>TRT191114T18</t>
        </is>
      </c>
      <c r="D292" s="44" t="inlineStr">
        <is>
          <t>nan</t>
        </is>
      </c>
      <c r="E292" s="44" t="inlineStr">
        <is>
          <t>nan</t>
        </is>
      </c>
      <c r="F292" s="44" t="n"/>
      <c r="G292" s="44" t="n"/>
      <c r="H292" s="15" t="n"/>
      <c r="I292" s="45" t="n">
        <v>1303410.82</v>
      </c>
      <c r="J292" s="45" t="n">
        <v>1193544.55378</v>
      </c>
      <c r="K292" s="45" t="n">
        <v>495209.82</v>
      </c>
      <c r="L292" s="45" t="n">
        <v>454103.31699</v>
      </c>
      <c r="M292" s="45" t="n">
        <v>0</v>
      </c>
      <c r="N292" s="45" t="n">
        <v>0</v>
      </c>
      <c r="O292" s="45" t="n">
        <v>589292.14059041</v>
      </c>
      <c r="P292" s="45" t="n">
        <v>540375</v>
      </c>
      <c r="Q292" s="45" t="n">
        <v>87609.85799999999</v>
      </c>
      <c r="R292" s="45" t="n">
        <v>80337.36368741999</v>
      </c>
      <c r="S292" s="45" t="n">
        <v>1172111.81859041</v>
      </c>
      <c r="T292" s="45" t="n">
        <v>1074815.68067742</v>
      </c>
      <c r="U292" s="15" t="n">
        <v>9.050000000000001</v>
      </c>
      <c r="V292" s="15" t="n">
        <v>8.869999999999999</v>
      </c>
      <c r="W292" s="49" t="n">
        <v>91.699</v>
      </c>
    </row>
    <row r="293">
      <c r="A293" s="44" t="inlineStr">
        <is>
          <t>TL Cinsi Kuponsuz Senetler</t>
        </is>
      </c>
      <c r="B293" s="44" t="n">
        <v>2012</v>
      </c>
      <c r="C293" s="44" t="inlineStr">
        <is>
          <t>TRT200313T16</t>
        </is>
      </c>
      <c r="D293" s="44" t="inlineStr">
        <is>
          <t>nan</t>
        </is>
      </c>
      <c r="E293" s="44" t="inlineStr">
        <is>
          <t>nan</t>
        </is>
      </c>
      <c r="F293" s="44" t="n"/>
      <c r="G293" s="44" t="n"/>
      <c r="H293" s="15" t="n"/>
      <c r="I293" s="45" t="n">
        <v>6925649.684</v>
      </c>
      <c r="J293" s="45" t="n">
        <v>6122636.03854</v>
      </c>
      <c r="K293" s="45" t="n">
        <v>1890918.794</v>
      </c>
      <c r="L293" s="45" t="n">
        <v>1674083.6117</v>
      </c>
      <c r="M293" s="45" t="n">
        <v>406628.0370031514</v>
      </c>
      <c r="N293" s="45" t="n">
        <v>360000</v>
      </c>
      <c r="O293" s="45" t="n">
        <v>1893406.978188924</v>
      </c>
      <c r="P293" s="45" t="n">
        <v>1676290</v>
      </c>
      <c r="Q293" s="45" t="n">
        <v>359296.982</v>
      </c>
      <c r="R293" s="45" t="n">
        <v>318096.39707406</v>
      </c>
      <c r="S293" s="45" t="n">
        <v>4550250.791192075</v>
      </c>
      <c r="T293" s="45" t="n">
        <v>4028470.00877406</v>
      </c>
      <c r="U293" s="15" t="n">
        <v>12.9524703</v>
      </c>
      <c r="V293" s="15" t="n">
        <v>10.94083874444298</v>
      </c>
      <c r="W293" s="49" t="n">
        <v>88.533</v>
      </c>
    </row>
    <row r="294">
      <c r="A294" s="44" t="inlineStr">
        <is>
          <t>TL Cinsi Kuponsuz Senetler</t>
        </is>
      </c>
      <c r="B294" s="44" t="n">
        <v>2012</v>
      </c>
      <c r="C294" s="44" t="inlineStr">
        <is>
          <t>TRT200313T16</t>
        </is>
      </c>
      <c r="D294" s="44" t="inlineStr">
        <is>
          <t>nan</t>
        </is>
      </c>
      <c r="E294" s="44" t="inlineStr">
        <is>
          <t>nan</t>
        </is>
      </c>
      <c r="F294" s="44" t="n"/>
      <c r="G294" s="44" t="n"/>
      <c r="H294" s="15" t="n"/>
      <c r="I294" s="45" t="n">
        <v>3749649.138</v>
      </c>
      <c r="J294" s="45" t="n">
        <v>3395545.62038</v>
      </c>
      <c r="K294" s="45" t="n">
        <v>1086000</v>
      </c>
      <c r="L294" s="45" t="n">
        <v>984238.74</v>
      </c>
      <c r="M294" s="45" t="n">
        <v>1103387.3993159</v>
      </c>
      <c r="N294" s="45" t="n">
        <v>1000000</v>
      </c>
      <c r="O294" s="45" t="n">
        <v>642171.4664018536</v>
      </c>
      <c r="P294" s="45" t="n">
        <v>582000</v>
      </c>
      <c r="Q294" s="45" t="n">
        <v>226033.122</v>
      </c>
      <c r="R294" s="45" t="n">
        <v>204853.8184686</v>
      </c>
      <c r="S294" s="45" t="n">
        <v>3057591.987717753</v>
      </c>
      <c r="T294" s="45" t="n">
        <v>2771092.5584686</v>
      </c>
      <c r="U294" s="15" t="n">
        <v>10.34</v>
      </c>
      <c r="V294" s="15" t="n">
        <v>9.391725466863621</v>
      </c>
      <c r="W294" s="49" t="n">
        <v>90.63</v>
      </c>
    </row>
    <row r="295">
      <c r="A295" s="44" t="inlineStr">
        <is>
          <t>TL Cinsi Kuponsuz Senetler</t>
        </is>
      </c>
      <c r="B295" s="44" t="n">
        <v>2012</v>
      </c>
      <c r="C295" s="44" t="inlineStr">
        <is>
          <t>TRT200313T16</t>
        </is>
      </c>
      <c r="D295" s="44" t="inlineStr">
        <is>
          <t>nan</t>
        </is>
      </c>
      <c r="E295" s="44" t="inlineStr">
        <is>
          <t>nan</t>
        </is>
      </c>
      <c r="F295" s="44" t="n"/>
      <c r="G295" s="44" t="n"/>
      <c r="H295" s="15" t="n"/>
      <c r="I295" s="45" t="n">
        <v>1697908.44</v>
      </c>
      <c r="J295" s="45" t="n">
        <v>1557437.47575</v>
      </c>
      <c r="K295" s="45" t="n">
        <v>602343.4399999999</v>
      </c>
      <c r="L295" s="45" t="n">
        <v>552890.7983</v>
      </c>
      <c r="M295" s="45" t="n">
        <v>0</v>
      </c>
      <c r="N295" s="45" t="n">
        <v>0</v>
      </c>
      <c r="O295" s="45" t="n">
        <v>301993.681228892</v>
      </c>
      <c r="P295" s="45" t="n">
        <v>277200</v>
      </c>
      <c r="Q295" s="45" t="n">
        <v>112000.784</v>
      </c>
      <c r="R295" s="45" t="n">
        <v>102805.5196336</v>
      </c>
      <c r="S295" s="45" t="n">
        <v>1016337.905228892</v>
      </c>
      <c r="T295" s="45" t="n">
        <v>932896.3179336</v>
      </c>
      <c r="U295" s="15" t="n">
        <v>8.94</v>
      </c>
      <c r="V295" s="15" t="n">
        <v>9.936896875995217</v>
      </c>
      <c r="W295" s="49" t="n">
        <v>91.79000000000001</v>
      </c>
    </row>
    <row r="296">
      <c r="A296" s="44" t="inlineStr">
        <is>
          <t>TL Cinsi Kuponsuz Senetler</t>
        </is>
      </c>
      <c r="B296" s="44" t="n">
        <v>2012</v>
      </c>
      <c r="C296" s="44" t="inlineStr">
        <is>
          <t>TRT110913T11</t>
        </is>
      </c>
      <c r="D296" s="44" t="inlineStr">
        <is>
          <t>nan</t>
        </is>
      </c>
      <c r="E296" s="44" t="inlineStr">
        <is>
          <t>nan</t>
        </is>
      </c>
      <c r="F296" s="44" t="n"/>
      <c r="G296" s="44" t="n"/>
      <c r="H296" s="15" t="n"/>
      <c r="I296" s="45" t="n">
        <v>5129472</v>
      </c>
      <c r="J296" s="45" t="n">
        <v>4712536.71638</v>
      </c>
      <c r="K296" s="45" t="n">
        <v>2177500</v>
      </c>
      <c r="L296" s="45" t="n">
        <v>2002857.9406</v>
      </c>
      <c r="M296" s="45" t="n">
        <v>0</v>
      </c>
      <c r="N296" s="45" t="n">
        <v>0</v>
      </c>
      <c r="O296" s="45" t="n">
        <v>810746.9015003261</v>
      </c>
      <c r="P296" s="45" t="n">
        <v>745725</v>
      </c>
      <c r="Q296" s="45" t="n">
        <v>209059.188</v>
      </c>
      <c r="R296" s="45" t="n">
        <v>192292.6411224</v>
      </c>
      <c r="S296" s="45" t="n">
        <v>3197306.089500326</v>
      </c>
      <c r="T296" s="45" t="n">
        <v>2940875.5817224</v>
      </c>
      <c r="U296" s="15" t="n">
        <v>8.720000000000001</v>
      </c>
      <c r="V296" s="15" t="n">
        <v>8.072677695408647</v>
      </c>
      <c r="W296" s="49" t="n">
        <v>91.98</v>
      </c>
    </row>
    <row r="297">
      <c r="A297" s="44" t="inlineStr">
        <is>
          <t>TL Cinsi Kuponsuz Senetler</t>
        </is>
      </c>
      <c r="B297" s="44" t="n">
        <v>2012</v>
      </c>
      <c r="C297" s="44" t="inlineStr">
        <is>
          <t>TRT110913T11</t>
        </is>
      </c>
      <c r="D297" s="44" t="inlineStr">
        <is>
          <t>nan</t>
        </is>
      </c>
      <c r="E297" s="44" t="inlineStr">
        <is>
          <t>nan</t>
        </is>
      </c>
      <c r="F297" s="44" t="n"/>
      <c r="G297" s="44" t="n"/>
      <c r="H297" s="15" t="n"/>
      <c r="I297" s="45" t="n">
        <v>2404804.78</v>
      </c>
      <c r="J297" s="45" t="n">
        <v>2248194.77657</v>
      </c>
      <c r="K297" s="45" t="n">
        <v>953404.78</v>
      </c>
      <c r="L297" s="45" t="n">
        <v>891724.51957</v>
      </c>
      <c r="M297" s="45" t="n">
        <v>0</v>
      </c>
      <c r="N297" s="45" t="n">
        <v>0</v>
      </c>
      <c r="O297" s="45" t="n">
        <v>482406.9025242967</v>
      </c>
      <c r="P297" s="45" t="n">
        <v>451200</v>
      </c>
      <c r="Q297" s="45" t="n">
        <v>40402.39</v>
      </c>
      <c r="R297" s="45" t="n">
        <v>37788.7593909</v>
      </c>
      <c r="S297" s="45" t="n">
        <v>1476214.072524297</v>
      </c>
      <c r="T297" s="45" t="n">
        <v>1380713.2789609</v>
      </c>
      <c r="U297" s="15" t="n">
        <v>6.92</v>
      </c>
      <c r="V297" s="15" t="n">
        <v>7.206546994531693</v>
      </c>
      <c r="W297" s="49" t="n">
        <v>93.53100000000001</v>
      </c>
    </row>
    <row r="298">
      <c r="A298" s="44" t="inlineStr">
        <is>
          <t>TL Cinsi Kuponsuz Senetler</t>
        </is>
      </c>
      <c r="B298" s="44" t="n">
        <v>2012</v>
      </c>
      <c r="C298" s="44" t="inlineStr">
        <is>
          <t>TRT110913T11</t>
        </is>
      </c>
      <c r="D298" s="44" t="inlineStr">
        <is>
          <t>nan</t>
        </is>
      </c>
      <c r="E298" s="44" t="inlineStr">
        <is>
          <t>nan</t>
        </is>
      </c>
      <c r="F298" s="44" t="n"/>
      <c r="G298" s="44" t="n"/>
      <c r="H298" s="15" t="n"/>
      <c r="I298" s="45" t="n">
        <v>2560400</v>
      </c>
      <c r="J298" s="45" t="n">
        <v>2443061.459</v>
      </c>
      <c r="K298" s="45" t="n">
        <v>869500</v>
      </c>
      <c r="L298" s="45" t="n">
        <v>830164.475</v>
      </c>
      <c r="M298" s="45" t="n">
        <v>0</v>
      </c>
      <c r="N298" s="45" t="n">
        <v>0</v>
      </c>
      <c r="O298" s="45" t="n">
        <v>565979.9321295404</v>
      </c>
      <c r="P298" s="45" t="n">
        <v>540375</v>
      </c>
      <c r="Q298" s="45" t="n">
        <v>0</v>
      </c>
      <c r="R298" s="45" t="n">
        <v>0</v>
      </c>
      <c r="S298" s="45" t="n">
        <v>1435479.93212954</v>
      </c>
      <c r="T298" s="45" t="n">
        <v>1370539.475</v>
      </c>
      <c r="U298" s="15" t="n">
        <v>4.74</v>
      </c>
      <c r="V298" s="15" t="n">
        <v>5.901296402653178</v>
      </c>
      <c r="W298" s="49" t="n">
        <v>95.476</v>
      </c>
    </row>
    <row r="299">
      <c r="A299" s="44" t="inlineStr">
        <is>
          <t>TL Cinsi Kuponsuz Senetler</t>
        </is>
      </c>
      <c r="B299" s="44" t="n">
        <v>2011</v>
      </c>
      <c r="C299" s="44" t="inlineStr">
        <is>
          <t>TRT071112T14</t>
        </is>
      </c>
      <c r="D299" s="44" t="inlineStr">
        <is>
          <t>nan</t>
        </is>
      </c>
      <c r="E299" s="44" t="inlineStr">
        <is>
          <t>nan</t>
        </is>
      </c>
      <c r="F299" s="44" t="n"/>
      <c r="G299" s="44" t="n"/>
      <c r="H299" s="15" t="n"/>
      <c r="I299" s="45" t="n">
        <v>6342038.91</v>
      </c>
      <c r="J299" s="45" t="n">
        <v>5603340.77536</v>
      </c>
      <c r="K299" s="45" t="n">
        <v>3176900</v>
      </c>
      <c r="L299" s="45" t="n">
        <v>2808742.642</v>
      </c>
      <c r="M299" s="45" t="n">
        <v>1922837.655947789</v>
      </c>
      <c r="N299" s="45" t="n">
        <v>1700000</v>
      </c>
      <c r="O299" s="45" t="n">
        <v>2678399.746637862</v>
      </c>
      <c r="P299" s="45" t="n">
        <v>2368000</v>
      </c>
      <c r="Q299" s="45" t="n">
        <v>0</v>
      </c>
      <c r="R299" s="45" t="n">
        <v>0</v>
      </c>
      <c r="S299" s="45" t="n">
        <v>7778137.402585652</v>
      </c>
      <c r="T299" s="45" t="n">
        <v>6876742.642</v>
      </c>
      <c r="U299" s="15" t="n">
        <v>13.1075504</v>
      </c>
      <c r="V299" s="15" t="n">
        <v>6.98</v>
      </c>
      <c r="W299" s="49" t="n">
        <v>88.411</v>
      </c>
    </row>
    <row r="300">
      <c r="A300" s="44" t="inlineStr">
        <is>
          <t>TL Cinsi Kuponsuz Senetler</t>
        </is>
      </c>
      <c r="B300" s="44" t="n">
        <v>2011</v>
      </c>
      <c r="C300" s="44" t="inlineStr">
        <is>
          <t>TRT140312T15</t>
        </is>
      </c>
      <c r="D300" s="44" t="inlineStr">
        <is>
          <t>nan</t>
        </is>
      </c>
      <c r="E300" s="44" t="inlineStr">
        <is>
          <t>nan</t>
        </is>
      </c>
      <c r="F300" s="44" t="n"/>
      <c r="G300" s="44" t="n"/>
      <c r="H300" s="15" t="n"/>
      <c r="I300" s="45" t="n">
        <v>2775688.875</v>
      </c>
      <c r="J300" s="45" t="n">
        <v>2555415.00637</v>
      </c>
      <c r="K300" s="45" t="n">
        <v>1959688.875</v>
      </c>
      <c r="L300" s="45" t="n">
        <v>1804833.24637</v>
      </c>
      <c r="M300" s="45" t="n">
        <v>0</v>
      </c>
      <c r="N300" s="45" t="n">
        <v>0</v>
      </c>
      <c r="O300" s="45" t="n">
        <v>334448.0879063606</v>
      </c>
      <c r="P300" s="45" t="n">
        <v>308020</v>
      </c>
      <c r="Q300" s="45" t="n">
        <v>79955.65399999999</v>
      </c>
      <c r="R300" s="45" t="n">
        <v>73637.55822091999</v>
      </c>
      <c r="S300" s="45" t="n">
        <v>2374092.616906361</v>
      </c>
      <c r="T300" s="45" t="n">
        <v>2186490.80459092</v>
      </c>
      <c r="U300" s="15" t="n">
        <v>8.580051900000001</v>
      </c>
      <c r="V300" s="15" t="n">
        <v>7.39</v>
      </c>
      <c r="W300" s="49" t="n">
        <v>92.098</v>
      </c>
    </row>
    <row r="301">
      <c r="A301" s="44" t="inlineStr">
        <is>
          <t>TL Cinsi Kuponsuz Senetler</t>
        </is>
      </c>
      <c r="B301" s="44" t="n">
        <v>2011</v>
      </c>
      <c r="C301" s="44" t="inlineStr">
        <is>
          <t>TRT071112T14</t>
        </is>
      </c>
      <c r="D301" s="44" t="inlineStr">
        <is>
          <t>nan</t>
        </is>
      </c>
      <c r="E301" s="44" t="inlineStr">
        <is>
          <t>nan</t>
        </is>
      </c>
      <c r="F301" s="44" t="n"/>
      <c r="G301" s="44" t="n"/>
      <c r="H301" s="15" t="n"/>
      <c r="I301" s="45" t="n">
        <v>7016395.315</v>
      </c>
      <c r="J301" s="45" t="n">
        <v>6096785.767</v>
      </c>
      <c r="K301" s="45" t="n">
        <v>2706578.335</v>
      </c>
      <c r="L301" s="45" t="n">
        <v>2358068.92694</v>
      </c>
      <c r="M301" s="45" t="n">
        <v>1606905.100775906</v>
      </c>
      <c r="N301" s="45" t="n">
        <v>1400000</v>
      </c>
      <c r="O301" s="45" t="n">
        <v>1981084.431385152</v>
      </c>
      <c r="P301" s="45" t="n">
        <v>1726000</v>
      </c>
      <c r="Q301" s="45" t="n">
        <v>578996.464</v>
      </c>
      <c r="R301" s="45" t="n">
        <v>504444.87929536</v>
      </c>
      <c r="S301" s="45" t="n">
        <v>6873564.331161058</v>
      </c>
      <c r="T301" s="45" t="n">
        <v>5988513.80623536</v>
      </c>
      <c r="U301" s="15" t="n">
        <v>14.7794411</v>
      </c>
      <c r="V301" s="15" t="n">
        <v>8.1</v>
      </c>
      <c r="W301" s="49" t="n">
        <v>87.124</v>
      </c>
    </row>
    <row r="302">
      <c r="A302" s="44" t="inlineStr">
        <is>
          <t>TL Cinsi Kuponsuz Senetler</t>
        </is>
      </c>
      <c r="B302" s="44" t="n">
        <v>2011</v>
      </c>
      <c r="C302" s="44" t="inlineStr">
        <is>
          <t>TRB070911T19</t>
        </is>
      </c>
      <c r="D302" s="44" t="inlineStr">
        <is>
          <t>nan</t>
        </is>
      </c>
      <c r="E302" s="44" t="inlineStr">
        <is>
          <t>nan</t>
        </is>
      </c>
      <c r="F302" s="44" t="n"/>
      <c r="G302" s="44" t="n"/>
      <c r="H302" s="15" t="n"/>
      <c r="I302" s="45" t="n">
        <v>1550915.185</v>
      </c>
      <c r="J302" s="45" t="n">
        <v>1489795.17273</v>
      </c>
      <c r="K302" s="45" t="n">
        <v>754426.08</v>
      </c>
      <c r="L302" s="45" t="n">
        <v>724999.99956</v>
      </c>
      <c r="M302" s="45" t="n">
        <v>0</v>
      </c>
      <c r="N302" s="45" t="n">
        <v>0</v>
      </c>
      <c r="O302" s="45" t="n">
        <v>0</v>
      </c>
      <c r="P302" s="45" t="n">
        <v>0</v>
      </c>
      <c r="Q302" s="45" t="n">
        <v>0</v>
      </c>
      <c r="R302" s="45" t="n">
        <v>0</v>
      </c>
      <c r="S302" s="45" t="n">
        <v>754426.08</v>
      </c>
      <c r="T302" s="45" t="n">
        <v>724999.99956</v>
      </c>
      <c r="U302" s="15" t="n">
        <v>4.0587697</v>
      </c>
      <c r="V302" s="15" t="n">
        <v>8.279999999999999</v>
      </c>
      <c r="W302" s="49" t="n">
        <v>96.09999999999999</v>
      </c>
    </row>
    <row r="303">
      <c r="A303" s="44" t="inlineStr">
        <is>
          <t>TL Cinsi Kuponsuz Senetler</t>
        </is>
      </c>
      <c r="B303" s="44" t="n">
        <v>2011</v>
      </c>
      <c r="C303" s="44" t="inlineStr">
        <is>
          <t>TRT071112T14</t>
        </is>
      </c>
      <c r="D303" s="44" t="inlineStr">
        <is>
          <t>nan</t>
        </is>
      </c>
      <c r="E303" s="44" t="inlineStr">
        <is>
          <t>nan</t>
        </is>
      </c>
      <c r="F303" s="44" t="n"/>
      <c r="G303" s="44" t="n"/>
      <c r="H303" s="15" t="n"/>
      <c r="I303" s="45" t="n">
        <v>3372659.953</v>
      </c>
      <c r="J303" s="45" t="n">
        <v>2917840.30334</v>
      </c>
      <c r="K303" s="45" t="n">
        <v>2345235.603</v>
      </c>
      <c r="L303" s="45" t="n">
        <v>2029965.47278</v>
      </c>
      <c r="M303" s="45" t="n">
        <v>479452.846101413</v>
      </c>
      <c r="N303" s="45" t="n">
        <v>415000</v>
      </c>
      <c r="O303" s="45" t="n">
        <v>475237.1269799092</v>
      </c>
      <c r="P303" s="45" t="n">
        <v>411351</v>
      </c>
      <c r="Q303" s="45" t="n">
        <v>346018.069</v>
      </c>
      <c r="R303" s="45" t="n">
        <v>299502.85998433</v>
      </c>
      <c r="S303" s="45" t="n">
        <v>3645943.645081323</v>
      </c>
      <c r="T303" s="45" t="n">
        <v>3155819.33276433</v>
      </c>
      <c r="U303" s="15" t="n">
        <v>15.5308124</v>
      </c>
      <c r="V303" s="15" t="n">
        <v>9.01</v>
      </c>
      <c r="W303" s="49" t="n">
        <v>86.557</v>
      </c>
    </row>
    <row r="304">
      <c r="A304" s="44" t="inlineStr">
        <is>
          <t>TL Cinsi Kuponsuz Senetler</t>
        </is>
      </c>
      <c r="B304" s="44" t="n">
        <v>2011</v>
      </c>
      <c r="C304" s="44" t="inlineStr">
        <is>
          <t>TRT200213T25</t>
        </is>
      </c>
      <c r="D304" s="44" t="inlineStr">
        <is>
          <t>nan</t>
        </is>
      </c>
      <c r="E304" s="44" t="inlineStr">
        <is>
          <t>nan</t>
        </is>
      </c>
      <c r="F304" s="44" t="n"/>
      <c r="G304" s="44" t="n"/>
      <c r="H304" s="15" t="n"/>
      <c r="I304" s="45" t="n">
        <v>5866801.56</v>
      </c>
      <c r="J304" s="45" t="n">
        <v>5000484.53641</v>
      </c>
      <c r="K304" s="45" t="n">
        <v>1873363.085</v>
      </c>
      <c r="L304" s="45" t="n">
        <v>1598588.26004</v>
      </c>
      <c r="M304" s="45" t="n">
        <v>1458990.074179977</v>
      </c>
      <c r="N304" s="45" t="n">
        <v>1245000</v>
      </c>
      <c r="O304" s="45" t="n">
        <v>777576.6526431744</v>
      </c>
      <c r="P304" s="45" t="n">
        <v>663529.485</v>
      </c>
      <c r="Q304" s="45" t="n">
        <v>440177.351</v>
      </c>
      <c r="R304" s="45" t="n">
        <v>375616.53892883</v>
      </c>
      <c r="S304" s="45" t="n">
        <v>4550107.162823152</v>
      </c>
      <c r="T304" s="45" t="n">
        <v>3882734.28396883</v>
      </c>
      <c r="U304" s="15" t="n">
        <v>17.1885927</v>
      </c>
      <c r="V304" s="15" t="n">
        <v>8.880000000000001</v>
      </c>
      <c r="W304" s="49" t="n">
        <v>85.333</v>
      </c>
    </row>
    <row r="305">
      <c r="A305" s="44" t="inlineStr">
        <is>
          <t>TL Cinsi Kuponsuz Senetler</t>
        </is>
      </c>
      <c r="B305" s="44" t="n">
        <v>2011</v>
      </c>
      <c r="C305" s="44" t="inlineStr">
        <is>
          <t>TRT200213T25</t>
        </is>
      </c>
      <c r="D305" s="44" t="inlineStr">
        <is>
          <t>nan</t>
        </is>
      </c>
      <c r="E305" s="44" t="inlineStr">
        <is>
          <t>nan</t>
        </is>
      </c>
      <c r="F305" s="44" t="n"/>
      <c r="G305" s="44" t="n"/>
      <c r="H305" s="15" t="n"/>
      <c r="I305" s="45" t="n">
        <v>3334059.561</v>
      </c>
      <c r="J305" s="45" t="n">
        <v>2889671.91699</v>
      </c>
      <c r="K305" s="45" t="n">
        <v>1898879.775</v>
      </c>
      <c r="L305" s="45" t="n">
        <v>1646447.83479</v>
      </c>
      <c r="M305" s="45" t="n">
        <v>1689617.788849676</v>
      </c>
      <c r="N305" s="45" t="n">
        <v>1465000</v>
      </c>
      <c r="O305" s="45" t="n">
        <v>865222.7066177657</v>
      </c>
      <c r="P305" s="45" t="n">
        <v>750200</v>
      </c>
      <c r="Q305" s="45" t="n">
        <v>0</v>
      </c>
      <c r="R305" s="45" t="n">
        <v>0</v>
      </c>
      <c r="S305" s="45" t="n">
        <v>4453720.270467442</v>
      </c>
      <c r="T305" s="45" t="n">
        <v>3861647.83479</v>
      </c>
      <c r="U305" s="15" t="n">
        <v>15.3319124</v>
      </c>
      <c r="V305" s="15" t="n">
        <v>8.300000000000001</v>
      </c>
      <c r="W305" s="49" t="n">
        <v>86.706</v>
      </c>
    </row>
    <row r="306">
      <c r="A306" s="44" t="inlineStr">
        <is>
          <t>TL Cinsi Kuponsuz Senetler</t>
        </is>
      </c>
      <c r="B306" s="44" t="n">
        <v>2011</v>
      </c>
      <c r="C306" s="44" t="inlineStr">
        <is>
          <t>TRT200213T25</t>
        </is>
      </c>
      <c r="D306" s="44" t="inlineStr">
        <is>
          <t>nan</t>
        </is>
      </c>
      <c r="E306" s="44" t="inlineStr">
        <is>
          <t>nan</t>
        </is>
      </c>
      <c r="F306" s="44" t="n"/>
      <c r="G306" s="44" t="n"/>
      <c r="H306" s="15" t="n"/>
      <c r="I306" s="45" t="n">
        <v>4788791.688</v>
      </c>
      <c r="J306" s="45" t="n">
        <v>4128414.3871</v>
      </c>
      <c r="K306" s="45" t="n">
        <v>1095172.463</v>
      </c>
      <c r="L306" s="45" t="n">
        <v>945629.5996899999</v>
      </c>
      <c r="M306" s="45" t="n">
        <v>1326075.626000348</v>
      </c>
      <c r="N306" s="45" t="n">
        <v>1144999.99927</v>
      </c>
      <c r="O306" s="45" t="n">
        <v>683467.4850888876</v>
      </c>
      <c r="P306" s="45" t="n">
        <v>590140</v>
      </c>
      <c r="Q306" s="45" t="n">
        <v>140000.602</v>
      </c>
      <c r="R306" s="45" t="n">
        <v>120883.0535339</v>
      </c>
      <c r="S306" s="45" t="n">
        <v>3244715.636089235</v>
      </c>
      <c r="T306" s="45" t="n">
        <v>2801652.6524939</v>
      </c>
      <c r="U306" s="15" t="n">
        <v>15.8141056</v>
      </c>
      <c r="V306" s="15" t="n">
        <v>8.946685989424319</v>
      </c>
      <c r="W306" s="49" t="n">
        <v>86.345</v>
      </c>
    </row>
    <row r="307">
      <c r="A307" s="44" t="inlineStr">
        <is>
          <t>TL Cinsi Kuponsuz Senetler</t>
        </is>
      </c>
      <c r="B307" s="44" t="n">
        <v>2011</v>
      </c>
      <c r="C307" s="44" t="inlineStr">
        <is>
          <t>TRT150513T11</t>
        </is>
      </c>
      <c r="D307" s="44" t="inlineStr">
        <is>
          <t>nan</t>
        </is>
      </c>
      <c r="E307" s="44" t="inlineStr">
        <is>
          <t>nan</t>
        </is>
      </c>
      <c r="F307" s="44" t="n"/>
      <c r="G307" s="44" t="n"/>
      <c r="H307" s="15" t="n"/>
      <c r="I307" s="45" t="n">
        <v>5783637.57</v>
      </c>
      <c r="J307" s="45" t="n">
        <v>4951949.88729</v>
      </c>
      <c r="K307" s="45" t="n">
        <v>1590400</v>
      </c>
      <c r="L307" s="45" t="n">
        <v>1363020.386</v>
      </c>
      <c r="M307" s="45" t="n">
        <v>723428.5847636606</v>
      </c>
      <c r="N307" s="45" t="n">
        <v>620000</v>
      </c>
      <c r="O307" s="45" t="n">
        <v>958163.6582149983</v>
      </c>
      <c r="P307" s="45" t="n">
        <v>821175</v>
      </c>
      <c r="Q307" s="45" t="n">
        <v>275362.998</v>
      </c>
      <c r="R307" s="45" t="n">
        <v>235994.35017594</v>
      </c>
      <c r="S307" s="45" t="n">
        <v>3547355.240978659</v>
      </c>
      <c r="T307" s="45" t="n">
        <v>3040189.73617594</v>
      </c>
      <c r="U307" s="15" t="n">
        <v>16.6820406</v>
      </c>
      <c r="V307" s="15" t="n">
        <v>8.81177185776345</v>
      </c>
      <c r="W307" s="49" t="n">
        <v>85.703</v>
      </c>
    </row>
    <row r="308">
      <c r="A308" s="44" t="inlineStr">
        <is>
          <t>TL Cinsi Kuponsuz Senetler</t>
        </is>
      </c>
      <c r="B308" s="44" t="n">
        <v>2011</v>
      </c>
      <c r="C308" s="44" t="inlineStr">
        <is>
          <t>TRT150513T11</t>
        </is>
      </c>
      <c r="D308" s="44" t="inlineStr">
        <is>
          <t>nan</t>
        </is>
      </c>
      <c r="E308" s="44" t="inlineStr">
        <is>
          <t>nan</t>
        </is>
      </c>
      <c r="F308" s="44" t="n"/>
      <c r="G308" s="44" t="n"/>
      <c r="H308" s="15" t="n"/>
      <c r="I308" s="45" t="n">
        <v>5880121.515</v>
      </c>
      <c r="J308" s="45" t="n">
        <v>5061319.96286</v>
      </c>
      <c r="K308" s="45" t="n">
        <v>4150000</v>
      </c>
      <c r="L308" s="45" t="n">
        <v>3573361.11</v>
      </c>
      <c r="M308" s="45" t="n">
        <v>203240.229951803</v>
      </c>
      <c r="N308" s="45" t="n">
        <v>175000</v>
      </c>
      <c r="O308" s="45" t="n">
        <v>2457316.648278265</v>
      </c>
      <c r="P308" s="45" t="n">
        <v>2115872.5</v>
      </c>
      <c r="Q308" s="45" t="n">
        <v>720211.914</v>
      </c>
      <c r="R308" s="45" t="n">
        <v>620138.4685497</v>
      </c>
      <c r="S308" s="45" t="n">
        <v>7530768.792230067</v>
      </c>
      <c r="T308" s="45" t="n">
        <v>6484372.0785497</v>
      </c>
      <c r="U308" s="15" t="n">
        <v>16.1371569</v>
      </c>
      <c r="V308" s="15" t="n">
        <v>8.734639724822447</v>
      </c>
      <c r="W308" s="49" t="n">
        <v>86.105</v>
      </c>
    </row>
    <row r="309">
      <c r="A309" s="44" t="inlineStr">
        <is>
          <t>TL Cinsi Kuponsuz Senetler</t>
        </is>
      </c>
      <c r="B309" s="44" t="n">
        <v>2011</v>
      </c>
      <c r="C309" s="44" t="inlineStr">
        <is>
          <t>TRT150513T11</t>
        </is>
      </c>
      <c r="D309" s="44" t="inlineStr">
        <is>
          <t>nan</t>
        </is>
      </c>
      <c r="E309" s="44" t="inlineStr">
        <is>
          <t>nan</t>
        </is>
      </c>
      <c r="F309" s="44" t="n"/>
      <c r="G309" s="44" t="n"/>
      <c r="H309" s="15" t="n"/>
      <c r="I309" s="45" t="n">
        <v>2065113</v>
      </c>
      <c r="J309" s="45" t="n">
        <v>1820957.20221</v>
      </c>
      <c r="K309" s="45" t="n">
        <v>1719613</v>
      </c>
      <c r="L309" s="45" t="n">
        <v>1516852.96721</v>
      </c>
      <c r="M309" s="45" t="n">
        <v>646192.5653844846</v>
      </c>
      <c r="N309" s="45" t="n">
        <v>570000</v>
      </c>
      <c r="O309" s="45" t="n">
        <v>1542699.724517906</v>
      </c>
      <c r="P309" s="45" t="n">
        <v>1360800</v>
      </c>
      <c r="Q309" s="45" t="n">
        <v>0</v>
      </c>
      <c r="R309" s="45" t="n">
        <v>0</v>
      </c>
      <c r="S309" s="45" t="n">
        <v>3908505.289902391</v>
      </c>
      <c r="T309" s="45" t="n">
        <v>3447652.96721</v>
      </c>
      <c r="U309" s="15" t="n">
        <v>13.3671514</v>
      </c>
      <c r="V309" s="15" t="n">
        <v>7.695362396392413</v>
      </c>
      <c r="W309" s="49" t="n">
        <v>88.209</v>
      </c>
    </row>
    <row r="310">
      <c r="A310" s="44" t="inlineStr">
        <is>
          <t>TL Cinsi Kuponsuz Senetler</t>
        </is>
      </c>
      <c r="B310" s="44" t="n">
        <v>2011</v>
      </c>
      <c r="C310" s="44" t="inlineStr">
        <is>
          <t>TRT170713T17</t>
        </is>
      </c>
      <c r="D310" s="44" t="inlineStr">
        <is>
          <t>nan</t>
        </is>
      </c>
      <c r="E310" s="44" t="inlineStr">
        <is>
          <t>nan</t>
        </is>
      </c>
      <c r="F310" s="44" t="n"/>
      <c r="G310" s="44" t="n"/>
      <c r="H310" s="15" t="n"/>
      <c r="I310" s="45" t="n">
        <v>4864789.54</v>
      </c>
      <c r="J310" s="45" t="n">
        <v>4220859.62853</v>
      </c>
      <c r="K310" s="45" t="n">
        <v>2174368</v>
      </c>
      <c r="L310" s="45" t="n">
        <v>1887849.0348</v>
      </c>
      <c r="M310" s="45" t="n">
        <v>446886.1937505039</v>
      </c>
      <c r="N310" s="45" t="n">
        <v>388000</v>
      </c>
      <c r="O310" s="45" t="n">
        <v>838861.822328185</v>
      </c>
      <c r="P310" s="45" t="n">
        <v>728325</v>
      </c>
      <c r="Q310" s="45" t="n">
        <v>20000</v>
      </c>
      <c r="R310" s="45" t="n">
        <v>17364.6</v>
      </c>
      <c r="S310" s="45" t="n">
        <v>3480116.016078689</v>
      </c>
      <c r="T310" s="45" t="n">
        <v>3021538.6348</v>
      </c>
      <c r="U310" s="15" t="n">
        <v>15.1770062</v>
      </c>
      <c r="V310" s="15" t="n">
        <v>8.324103460177936</v>
      </c>
      <c r="W310" s="49" t="n">
        <v>86.82299999999999</v>
      </c>
    </row>
    <row r="311">
      <c r="A311" s="44" t="inlineStr">
        <is>
          <t>TL Cinsi Kuponsuz Senetler</t>
        </is>
      </c>
      <c r="B311" s="44" t="n">
        <v>2011</v>
      </c>
      <c r="C311" s="44" t="inlineStr">
        <is>
          <t>TRT170713T17</t>
        </is>
      </c>
      <c r="D311" s="44" t="inlineStr">
        <is>
          <t>nan</t>
        </is>
      </c>
      <c r="E311" s="44" t="inlineStr">
        <is>
          <t>nan</t>
        </is>
      </c>
      <c r="F311" s="44" t="n"/>
      <c r="G311" s="44" t="n"/>
      <c r="H311" s="15" t="n"/>
      <c r="I311" s="45" t="n">
        <v>3377201.272</v>
      </c>
      <c r="J311" s="45" t="n">
        <v>2851971.90125</v>
      </c>
      <c r="K311" s="45" t="n">
        <v>2685129.77</v>
      </c>
      <c r="L311" s="45" t="n">
        <v>2268985.30407</v>
      </c>
      <c r="M311" s="45" t="n">
        <v>591701.9715509693</v>
      </c>
      <c r="N311" s="45" t="n">
        <v>500000</v>
      </c>
      <c r="O311" s="45" t="n">
        <v>2011310.383186197</v>
      </c>
      <c r="P311" s="45" t="n">
        <v>1699597.5</v>
      </c>
      <c r="Q311" s="45" t="n">
        <v>485805.176</v>
      </c>
      <c r="R311" s="45" t="n">
        <v>410515.08982352</v>
      </c>
      <c r="S311" s="45" t="n">
        <v>5773947.300737166</v>
      </c>
      <c r="T311" s="45" t="n">
        <v>4879097.893893519</v>
      </c>
      <c r="U311" s="15" t="n">
        <v>18.3405536</v>
      </c>
      <c r="V311" s="15" t="n">
        <v>10.58902642300144</v>
      </c>
      <c r="W311" s="49" t="n">
        <v>84.502</v>
      </c>
    </row>
    <row r="312">
      <c r="A312" s="44" t="inlineStr">
        <is>
          <t>TL Cinsi Kuponsuz Senetler</t>
        </is>
      </c>
      <c r="B312" s="44" t="n">
        <v>2010</v>
      </c>
      <c r="C312" s="44" t="inlineStr">
        <is>
          <t>TRB140710T13</t>
        </is>
      </c>
      <c r="D312" s="44" t="inlineStr">
        <is>
          <t>nan</t>
        </is>
      </c>
      <c r="E312" s="44" t="inlineStr">
        <is>
          <t>nan</t>
        </is>
      </c>
      <c r="F312" s="44" t="n"/>
      <c r="G312" s="44" t="n"/>
      <c r="H312" s="15" t="n"/>
      <c r="I312" s="45" t="n">
        <v>6832509.555</v>
      </c>
      <c r="J312" s="45" t="n">
        <v>6590496.12435</v>
      </c>
      <c r="K312" s="45" t="n">
        <v>3024543.493</v>
      </c>
      <c r="L312" s="45" t="n">
        <v>2919000</v>
      </c>
      <c r="M312" s="45" t="n">
        <v>0</v>
      </c>
      <c r="N312" s="45" t="n">
        <v>0</v>
      </c>
      <c r="O312" s="45" t="n">
        <v>0</v>
      </c>
      <c r="P312" s="45" t="n">
        <v>0</v>
      </c>
      <c r="Q312" s="45" t="n">
        <v>0</v>
      </c>
      <c r="R312" s="45" t="n">
        <v>0</v>
      </c>
      <c r="S312" s="45" t="n">
        <v>3024543.493</v>
      </c>
      <c r="T312" s="45" t="n">
        <v>2919000</v>
      </c>
      <c r="U312" s="15" t="n">
        <v>3.6157415</v>
      </c>
      <c r="V312" s="15" t="n">
        <v>7.361218865948211</v>
      </c>
      <c r="W312" s="49" t="n">
        <v>96.51000000000001</v>
      </c>
    </row>
    <row r="313">
      <c r="A313" s="44" t="inlineStr">
        <is>
          <t>TL Cinsi Kuponsuz Senetler</t>
        </is>
      </c>
      <c r="B313" s="44" t="n">
        <v>2010</v>
      </c>
      <c r="C313" s="44" t="inlineStr">
        <is>
          <t>TRT130411T16</t>
        </is>
      </c>
      <c r="D313" s="44" t="inlineStr">
        <is>
          <t>nan</t>
        </is>
      </c>
      <c r="E313" s="44" t="inlineStr">
        <is>
          <t>nan</t>
        </is>
      </c>
      <c r="F313" s="44" t="n"/>
      <c r="G313" s="44" t="n"/>
      <c r="H313" s="15" t="n"/>
      <c r="I313" s="45" t="n">
        <v>5161202.2</v>
      </c>
      <c r="J313" s="45" t="n">
        <v>4681852.223264</v>
      </c>
      <c r="K313" s="45" t="n">
        <v>1550000</v>
      </c>
      <c r="L313" s="45" t="n">
        <v>1407803.5</v>
      </c>
      <c r="M313" s="45" t="n">
        <v>0</v>
      </c>
      <c r="N313" s="45" t="n">
        <v>0</v>
      </c>
      <c r="O313" s="45" t="n">
        <v>899824.9399951557</v>
      </c>
      <c r="P313" s="45" t="n">
        <v>817275</v>
      </c>
      <c r="Q313" s="45" t="n">
        <v>200000</v>
      </c>
      <c r="R313" s="45" t="n">
        <v>181652</v>
      </c>
      <c r="S313" s="45" t="n">
        <v>2649824.939995156</v>
      </c>
      <c r="T313" s="45" t="n">
        <v>2406730.5</v>
      </c>
      <c r="U313" s="15" t="n">
        <v>10.1005929</v>
      </c>
      <c r="V313" s="15" t="n">
        <v>8.130965424470567</v>
      </c>
      <c r="W313" s="49" t="n">
        <v>90.82599999999999</v>
      </c>
    </row>
    <row r="314">
      <c r="A314" s="44" t="inlineStr">
        <is>
          <t>TL Cinsi Kuponsuz Senetler</t>
        </is>
      </c>
      <c r="B314" s="44" t="n">
        <v>2010</v>
      </c>
      <c r="C314" s="44" t="inlineStr">
        <is>
          <t>TRT161111T14</t>
        </is>
      </c>
      <c r="D314" s="44" t="inlineStr">
        <is>
          <t>nan</t>
        </is>
      </c>
      <c r="E314" s="44" t="inlineStr">
        <is>
          <t>nan</t>
        </is>
      </c>
      <c r="F314" s="44" t="n"/>
      <c r="G314" s="44" t="n"/>
      <c r="H314" s="15" t="n"/>
      <c r="I314" s="45" t="n">
        <v>4030197.455</v>
      </c>
      <c r="J314" s="45" t="n">
        <v>3470350.66135</v>
      </c>
      <c r="K314" s="45" t="n">
        <v>1865697.455</v>
      </c>
      <c r="L314" s="45" t="n">
        <v>1608383.33335</v>
      </c>
      <c r="M314" s="45" t="n">
        <v>231997.0304380104</v>
      </c>
      <c r="N314" s="45" t="n">
        <v>200000</v>
      </c>
      <c r="O314" s="45" t="n">
        <v>1421967.798812175</v>
      </c>
      <c r="P314" s="45" t="n">
        <v>1225850</v>
      </c>
      <c r="Q314" s="45" t="n">
        <v>0</v>
      </c>
      <c r="R314" s="45" t="n">
        <v>0</v>
      </c>
      <c r="S314" s="45" t="n">
        <v>3519662.284250186</v>
      </c>
      <c r="T314" s="45" t="n">
        <v>3034233.33335</v>
      </c>
      <c r="U314" s="15" t="n">
        <v>15.9983081</v>
      </c>
      <c r="V314" s="15" t="n">
        <v>8.461297729264702</v>
      </c>
      <c r="W314" s="49" t="n">
        <v>86.208</v>
      </c>
    </row>
    <row r="315">
      <c r="A315" s="44" t="inlineStr">
        <is>
          <t>TL Cinsi Kuponsuz Senetler</t>
        </is>
      </c>
      <c r="B315" s="44" t="n">
        <v>2010</v>
      </c>
      <c r="C315" s="44" t="inlineStr">
        <is>
          <t>TRT130411T16</t>
        </is>
      </c>
      <c r="D315" s="44" t="inlineStr">
        <is>
          <t>nan</t>
        </is>
      </c>
      <c r="E315" s="44" t="inlineStr">
        <is>
          <t>nan</t>
        </is>
      </c>
      <c r="F315" s="44" t="n"/>
      <c r="G315" s="44" t="n"/>
      <c r="H315" s="15" t="n"/>
      <c r="I315" s="45" t="n">
        <v>2983106.65</v>
      </c>
      <c r="J315" s="45" t="n">
        <v>2721063.7899</v>
      </c>
      <c r="K315" s="45" t="n">
        <v>924509.5</v>
      </c>
      <c r="L315" s="45" t="n">
        <v>843683.50674</v>
      </c>
      <c r="M315" s="45" t="n">
        <v>1314967.618922384</v>
      </c>
      <c r="N315" s="45" t="n">
        <v>1200000</v>
      </c>
      <c r="O315" s="45" t="n">
        <v>1198866.936235029</v>
      </c>
      <c r="P315" s="45" t="n">
        <v>1094050</v>
      </c>
      <c r="Q315" s="45" t="n">
        <v>202037.257</v>
      </c>
      <c r="R315" s="45" t="n">
        <v>184373.13962049</v>
      </c>
      <c r="S315" s="45" t="n">
        <v>3640381.312157413</v>
      </c>
      <c r="T315" s="45" t="n">
        <v>3322106.64636049</v>
      </c>
      <c r="U315" s="15" t="n">
        <v>9.580132000000001</v>
      </c>
      <c r="V315" s="15" t="n">
        <v>8.109965914299851</v>
      </c>
      <c r="W315" s="49" t="n">
        <v>91.25700000000001</v>
      </c>
    </row>
    <row r="316">
      <c r="A316" s="44" t="inlineStr">
        <is>
          <t>TL Cinsi Kuponsuz Senetler</t>
        </is>
      </c>
      <c r="B316" s="44" t="n">
        <v>2010</v>
      </c>
      <c r="C316" s="44" t="inlineStr">
        <is>
          <t>TRB180810T18</t>
        </is>
      </c>
      <c r="D316" s="44" t="inlineStr">
        <is>
          <t>nan</t>
        </is>
      </c>
      <c r="E316" s="44" t="inlineStr">
        <is>
          <t>nan</t>
        </is>
      </c>
      <c r="F316" s="44" t="n"/>
      <c r="G316" s="44" t="n"/>
      <c r="H316" s="15" t="n"/>
      <c r="I316" s="45" t="n">
        <v>4540143.094</v>
      </c>
      <c r="J316" s="45" t="n">
        <v>4383605.20151</v>
      </c>
      <c r="K316" s="45" t="n">
        <v>3174504.944</v>
      </c>
      <c r="L316" s="45" t="n">
        <v>3065999.99898</v>
      </c>
      <c r="M316" s="45" t="n">
        <v>0</v>
      </c>
      <c r="N316" s="45" t="n">
        <v>0</v>
      </c>
      <c r="O316" s="45" t="n">
        <v>0</v>
      </c>
      <c r="P316" s="45" t="n">
        <v>0</v>
      </c>
      <c r="Q316" s="45" t="n">
        <v>0</v>
      </c>
      <c r="R316" s="45" t="n">
        <v>0</v>
      </c>
      <c r="S316" s="45" t="n">
        <v>3174504.944</v>
      </c>
      <c r="T316" s="45" t="n">
        <v>3065999.99898</v>
      </c>
      <c r="U316" s="15" t="n">
        <v>3.5389741</v>
      </c>
      <c r="V316" s="15" t="n">
        <v>7.203191576804691</v>
      </c>
      <c r="W316" s="49" t="n">
        <v>96.58199999999999</v>
      </c>
    </row>
    <row r="317">
      <c r="A317" s="44" t="inlineStr">
        <is>
          <t>TL Cinsi Kuponsuz Senetler</t>
        </is>
      </c>
      <c r="B317" s="44" t="n">
        <v>2010</v>
      </c>
      <c r="C317" s="44" t="inlineStr">
        <is>
          <t>TRT161111T14</t>
        </is>
      </c>
      <c r="D317" s="44" t="inlineStr">
        <is>
          <t>nan</t>
        </is>
      </c>
      <c r="E317" s="44" t="inlineStr">
        <is>
          <t>nan</t>
        </is>
      </c>
      <c r="F317" s="44" t="n"/>
      <c r="G317" s="44" t="n"/>
      <c r="H317" s="15" t="n"/>
      <c r="I317" s="45" t="n">
        <v>2049356.24</v>
      </c>
      <c r="J317" s="45" t="n">
        <v>1767357.12584</v>
      </c>
      <c r="K317" s="45" t="n">
        <v>1318931.57</v>
      </c>
      <c r="L317" s="45" t="n">
        <v>1138268.73944</v>
      </c>
      <c r="M317" s="45" t="n">
        <v>695233.0189335125</v>
      </c>
      <c r="N317" s="45" t="n">
        <v>600000</v>
      </c>
      <c r="O317" s="45" t="n">
        <v>864406.3868740005</v>
      </c>
      <c r="P317" s="45" t="n">
        <v>746000</v>
      </c>
      <c r="Q317" s="45" t="n">
        <v>30000</v>
      </c>
      <c r="R317" s="45" t="n">
        <v>25890.6</v>
      </c>
      <c r="S317" s="45" t="n">
        <v>2908570.975807513</v>
      </c>
      <c r="T317" s="45" t="n">
        <v>2510159.33944</v>
      </c>
      <c r="U317" s="15" t="n">
        <v>15.8717203</v>
      </c>
      <c r="V317" s="15" t="n">
        <v>8.781377317149483</v>
      </c>
      <c r="W317" s="49" t="n">
        <v>86.30200000000001</v>
      </c>
    </row>
    <row r="318">
      <c r="A318" s="44" t="inlineStr">
        <is>
          <t>TL Cinsi Kuponsuz Senetler</t>
        </is>
      </c>
      <c r="B318" s="44" t="n">
        <v>2010</v>
      </c>
      <c r="C318" s="44" t="inlineStr">
        <is>
          <t>TRT161111T14</t>
        </is>
      </c>
      <c r="D318" s="44" t="inlineStr">
        <is>
          <t>nan</t>
        </is>
      </c>
      <c r="E318" s="44" t="inlineStr">
        <is>
          <t>nan</t>
        </is>
      </c>
      <c r="F318" s="44" t="n"/>
      <c r="G318" s="44" t="n"/>
      <c r="H318" s="15" t="n"/>
      <c r="I318" s="45" t="n">
        <v>3868812.63</v>
      </c>
      <c r="J318" s="45" t="n">
        <v>3338839.16642</v>
      </c>
      <c r="K318" s="45" t="n">
        <v>1531345.53</v>
      </c>
      <c r="L318" s="45" t="n">
        <v>1322288.7358</v>
      </c>
      <c r="M318" s="45" t="n">
        <v>254782.9712326863</v>
      </c>
      <c r="N318" s="45" t="n">
        <v>220000</v>
      </c>
      <c r="O318" s="45" t="n">
        <v>1997504.284986334</v>
      </c>
      <c r="P318" s="45" t="n">
        <v>1724805</v>
      </c>
      <c r="Q318" s="45" t="n">
        <v>70200</v>
      </c>
      <c r="R318" s="45" t="n">
        <v>60616.29599999999</v>
      </c>
      <c r="S318" s="45" t="n">
        <v>3853832.786219021</v>
      </c>
      <c r="T318" s="45" t="n">
        <v>3327710.0318</v>
      </c>
      <c r="U318" s="15" t="n">
        <v>15.8102227</v>
      </c>
      <c r="V318" s="15" t="n">
        <v>8.953551642575126</v>
      </c>
      <c r="W318" s="49" t="n">
        <v>86.348</v>
      </c>
    </row>
    <row r="319">
      <c r="A319" s="44" t="inlineStr">
        <is>
          <t>TL Cinsi Kuponsuz Senetler</t>
        </is>
      </c>
      <c r="B319" s="44" t="n">
        <v>2010</v>
      </c>
      <c r="C319" s="44" t="inlineStr">
        <is>
          <t>TRB080910T19</t>
        </is>
      </c>
      <c r="D319" s="44" t="inlineStr">
        <is>
          <t>nan</t>
        </is>
      </c>
      <c r="E319" s="44" t="inlineStr">
        <is>
          <t>nan</t>
        </is>
      </c>
      <c r="F319" s="44" t="n"/>
      <c r="G319" s="44" t="n"/>
      <c r="H319" s="15" t="n"/>
      <c r="I319" s="45" t="n">
        <v>3309404</v>
      </c>
      <c r="J319" s="45" t="n">
        <v>3195435.22038</v>
      </c>
      <c r="K319" s="45" t="n">
        <v>2104860.758</v>
      </c>
      <c r="L319" s="45" t="n">
        <v>2033000.00041</v>
      </c>
      <c r="M319" s="45" t="n">
        <v>0</v>
      </c>
      <c r="N319" s="45" t="n">
        <v>0</v>
      </c>
      <c r="O319" s="45" t="n">
        <v>0</v>
      </c>
      <c r="P319" s="45" t="n">
        <v>0</v>
      </c>
      <c r="Q319" s="45" t="n">
        <v>0</v>
      </c>
      <c r="R319" s="45" t="n">
        <v>0</v>
      </c>
      <c r="S319" s="45" t="n">
        <v>2104860.758</v>
      </c>
      <c r="T319" s="45" t="n">
        <v>2033000.00041</v>
      </c>
      <c r="U319" s="15" t="n">
        <v>3.5347151</v>
      </c>
      <c r="V319" s="15" t="n">
        <v>7.194372308381691</v>
      </c>
      <c r="W319" s="49" t="n">
        <v>96.586</v>
      </c>
    </row>
    <row r="320">
      <c r="A320" s="44" t="inlineStr">
        <is>
          <t>TL Cinsi Kuponsuz Senetler</t>
        </is>
      </c>
      <c r="B320" s="44" t="n">
        <v>2010</v>
      </c>
      <c r="C320" s="44" t="inlineStr">
        <is>
          <t>TRT080611T11</t>
        </is>
      </c>
      <c r="D320" s="44" t="inlineStr">
        <is>
          <t>nan</t>
        </is>
      </c>
      <c r="E320" s="44" t="inlineStr">
        <is>
          <t>nan</t>
        </is>
      </c>
      <c r="F320" s="44" t="n"/>
      <c r="G320" s="44" t="n"/>
      <c r="H320" s="15" t="n"/>
      <c r="I320" s="45" t="n">
        <v>2436813.17</v>
      </c>
      <c r="J320" s="45" t="n">
        <v>2221708.46064</v>
      </c>
      <c r="K320" s="45" t="n">
        <v>1952300</v>
      </c>
      <c r="L320" s="45" t="n">
        <v>1780495.719</v>
      </c>
      <c r="M320" s="45" t="n">
        <v>1096491.228070176</v>
      </c>
      <c r="N320" s="45" t="n">
        <v>1000000</v>
      </c>
      <c r="O320" s="45" t="n">
        <v>479462.7192982456</v>
      </c>
      <c r="P320" s="45" t="n">
        <v>437270</v>
      </c>
      <c r="Q320" s="45" t="n">
        <v>296073.111</v>
      </c>
      <c r="R320" s="45" t="n">
        <v>270018.677232</v>
      </c>
      <c r="S320" s="45" t="n">
        <v>3824327.058368421</v>
      </c>
      <c r="T320" s="45" t="n">
        <v>3487784.396232</v>
      </c>
      <c r="U320" s="15" t="n">
        <v>9.6492386</v>
      </c>
      <c r="V320" s="15" t="n">
        <v>8.309743632418416</v>
      </c>
      <c r="W320" s="49" t="n">
        <v>91.2</v>
      </c>
    </row>
    <row r="321">
      <c r="A321" s="44" t="inlineStr">
        <is>
          <t>TL Cinsi Kuponsuz Senetler</t>
        </is>
      </c>
      <c r="B321" s="44" t="n">
        <v>2010</v>
      </c>
      <c r="C321" s="44" t="inlineStr">
        <is>
          <t>TRT250112T14</t>
        </is>
      </c>
      <c r="D321" s="44" t="inlineStr">
        <is>
          <t>nan</t>
        </is>
      </c>
      <c r="E321" s="44" t="inlineStr">
        <is>
          <t>nan</t>
        </is>
      </c>
      <c r="F321" s="44" t="n"/>
      <c r="G321" s="44" t="n"/>
      <c r="H321" s="15" t="n"/>
      <c r="I321" s="45" t="n">
        <v>2160445.13</v>
      </c>
      <c r="J321" s="45" t="n">
        <v>1845940.68779</v>
      </c>
      <c r="K321" s="45" t="n">
        <v>1361618.86</v>
      </c>
      <c r="L321" s="45" t="n">
        <v>1164352.39178</v>
      </c>
      <c r="M321" s="45" t="n">
        <v>877069.8849284311</v>
      </c>
      <c r="N321" s="45" t="n">
        <v>750000</v>
      </c>
      <c r="O321" s="45" t="n">
        <v>1116087.917485265</v>
      </c>
      <c r="P321" s="45" t="n">
        <v>954389.1</v>
      </c>
      <c r="Q321" s="45" t="n">
        <v>232258.588</v>
      </c>
      <c r="R321" s="45" t="n">
        <v>198608.96377056</v>
      </c>
      <c r="S321" s="45" t="n">
        <v>3587035.250413697</v>
      </c>
      <c r="T321" s="45" t="n">
        <v>3067350.45555056</v>
      </c>
      <c r="U321" s="15" t="n">
        <v>16.942162</v>
      </c>
      <c r="V321" s="15" t="n">
        <v>9.144379863700033</v>
      </c>
      <c r="W321" s="49" t="n">
        <v>85.512</v>
      </c>
    </row>
    <row r="322">
      <c r="A322" s="44" t="inlineStr">
        <is>
          <t>TL Cinsi Kuponsuz Senetler</t>
        </is>
      </c>
      <c r="B322" s="44" t="n">
        <v>2010</v>
      </c>
      <c r="C322" s="44" t="inlineStr">
        <is>
          <t>TRT250112T14</t>
        </is>
      </c>
      <c r="D322" s="44" t="inlineStr">
        <is>
          <t>nan</t>
        </is>
      </c>
      <c r="E322" s="44" t="inlineStr">
        <is>
          <t>nan</t>
        </is>
      </c>
      <c r="F322" s="44" t="n"/>
      <c r="G322" s="44" t="n"/>
      <c r="H322" s="15" t="n"/>
      <c r="I322" s="45" t="n">
        <v>3617634.42</v>
      </c>
      <c r="J322" s="45" t="n">
        <v>3089273.29018</v>
      </c>
      <c r="K322" s="45" t="n">
        <v>2023831.42</v>
      </c>
      <c r="L322" s="45" t="n">
        <v>1729344.69782</v>
      </c>
      <c r="M322" s="45" t="n">
        <v>0</v>
      </c>
      <c r="N322" s="45" t="n">
        <v>0</v>
      </c>
      <c r="O322" s="45" t="n">
        <v>1608678.861075027</v>
      </c>
      <c r="P322" s="45" t="n">
        <v>1374600</v>
      </c>
      <c r="Q322" s="45" t="n">
        <v>0</v>
      </c>
      <c r="R322" s="45" t="n">
        <v>0</v>
      </c>
      <c r="S322" s="45" t="n">
        <v>3632510.281075027</v>
      </c>
      <c r="T322" s="45" t="n">
        <v>3103944.69782</v>
      </c>
      <c r="U322" s="15" t="n">
        <v>17.0288042</v>
      </c>
      <c r="V322" s="15" t="n">
        <v>9.510075311008366</v>
      </c>
      <c r="W322" s="49" t="n">
        <v>85.449</v>
      </c>
    </row>
    <row r="323">
      <c r="A323" s="44" t="inlineStr">
        <is>
          <t>TL Cinsi Kuponsuz Senetler</t>
        </is>
      </c>
      <c r="B323" s="44" t="n">
        <v>2010</v>
      </c>
      <c r="C323" s="44" t="inlineStr">
        <is>
          <t>TRT250112T14</t>
        </is>
      </c>
      <c r="D323" s="44" t="inlineStr">
        <is>
          <t>nan</t>
        </is>
      </c>
      <c r="E323" s="44" t="inlineStr">
        <is>
          <t>nan</t>
        </is>
      </c>
      <c r="F323" s="44" t="n"/>
      <c r="G323" s="44" t="n"/>
      <c r="H323" s="15" t="n"/>
      <c r="I323" s="45" t="n">
        <v>3944846.88</v>
      </c>
      <c r="J323" s="45" t="n">
        <v>3444671.6205</v>
      </c>
      <c r="K323" s="45" t="n">
        <v>1230216.88</v>
      </c>
      <c r="L323" s="45" t="n">
        <v>1075334.32</v>
      </c>
      <c r="M323" s="45" t="n">
        <v>1716050.795103535</v>
      </c>
      <c r="N323" s="45" t="n">
        <v>1500000</v>
      </c>
      <c r="O323" s="45" t="n">
        <v>821530.7173092323</v>
      </c>
      <c r="P323" s="45" t="n">
        <v>718100</v>
      </c>
      <c r="Q323" s="45" t="n">
        <v>232054.181</v>
      </c>
      <c r="R323" s="45" t="n">
        <v>202838.5596121</v>
      </c>
      <c r="S323" s="45" t="n">
        <v>3999852.573412767</v>
      </c>
      <c r="T323" s="45" t="n">
        <v>3496272.8796121</v>
      </c>
      <c r="U323" s="15" t="n">
        <v>14.4032007</v>
      </c>
      <c r="V323" s="15" t="n">
        <v>8.794734543014501</v>
      </c>
      <c r="W323" s="49" t="n">
        <v>87.41</v>
      </c>
    </row>
    <row r="324">
      <c r="A324" s="44" t="inlineStr">
        <is>
          <t>TL Cinsi Kuponsuz Senetler</t>
        </is>
      </c>
      <c r="B324" s="44" t="n">
        <v>2010</v>
      </c>
      <c r="C324" s="44" t="inlineStr">
        <is>
          <t>TRT080611T11</t>
        </is>
      </c>
      <c r="D324" s="44" t="inlineStr">
        <is>
          <t>nan</t>
        </is>
      </c>
      <c r="E324" s="44" t="inlineStr">
        <is>
          <t>nan</t>
        </is>
      </c>
      <c r="F324" s="44" t="n"/>
      <c r="G324" s="44" t="n"/>
      <c r="H324" s="15" t="n"/>
      <c r="I324" s="45" t="n">
        <v>1515696.71</v>
      </c>
      <c r="J324" s="45" t="n">
        <v>1404028.11643</v>
      </c>
      <c r="K324" s="45" t="n">
        <v>559700</v>
      </c>
      <c r="L324" s="45" t="n">
        <v>518753.794</v>
      </c>
      <c r="M324" s="45" t="n">
        <v>204242.3719304303</v>
      </c>
      <c r="N324" s="45" t="n">
        <v>189300</v>
      </c>
      <c r="O324" s="45" t="n">
        <v>489081.179060032</v>
      </c>
      <c r="P324" s="45" t="n">
        <v>453300</v>
      </c>
      <c r="Q324" s="45" t="n">
        <v>22801.475</v>
      </c>
      <c r="R324" s="45" t="n">
        <v>21133.319089</v>
      </c>
      <c r="S324" s="45" t="n">
        <v>1275825.025990462</v>
      </c>
      <c r="T324" s="45" t="n">
        <v>1182487.113089</v>
      </c>
      <c r="U324" s="15" t="n">
        <v>7.8931868</v>
      </c>
      <c r="V324" s="15" t="n">
        <v>8.394201343300834</v>
      </c>
      <c r="W324" s="49" t="n">
        <v>92.684</v>
      </c>
    </row>
    <row r="325">
      <c r="A325" s="44" t="inlineStr">
        <is>
          <t>TL Cinsi Kuponsuz Senetler</t>
        </is>
      </c>
      <c r="B325" s="44" t="n">
        <v>2010</v>
      </c>
      <c r="C325" s="44" t="inlineStr">
        <is>
          <t>TRB120111T10</t>
        </is>
      </c>
      <c r="D325" s="44" t="inlineStr">
        <is>
          <t>nan</t>
        </is>
      </c>
      <c r="E325" s="44" t="inlineStr">
        <is>
          <t>nan</t>
        </is>
      </c>
      <c r="F325" s="44" t="n"/>
      <c r="G325" s="44" t="n"/>
      <c r="H325" s="15" t="n"/>
      <c r="I325" s="45" t="n">
        <v>3135691.5</v>
      </c>
      <c r="J325" s="45" t="n">
        <v>3016837.337</v>
      </c>
      <c r="K325" s="45" t="n">
        <v>1802605.118</v>
      </c>
      <c r="L325" s="45" t="n">
        <v>1734999.99941</v>
      </c>
      <c r="M325" s="45" t="n">
        <v>0</v>
      </c>
      <c r="N325" s="45" t="n">
        <v>0</v>
      </c>
      <c r="O325" s="45" t="n">
        <v>0</v>
      </c>
      <c r="P325" s="45" t="n">
        <v>0</v>
      </c>
      <c r="Q325" s="45" t="n">
        <v>0</v>
      </c>
      <c r="R325" s="45" t="n">
        <v>0</v>
      </c>
      <c r="S325" s="45" t="n">
        <v>1802605.118</v>
      </c>
      <c r="T325" s="45" t="n">
        <v>1734999.99941</v>
      </c>
      <c r="U325" s="15" t="n">
        <v>3.8965486</v>
      </c>
      <c r="V325" s="15" t="n">
        <v>7.944928109921601</v>
      </c>
      <c r="W325" s="49" t="n">
        <v>96.25</v>
      </c>
    </row>
    <row r="326">
      <c r="A326" s="44" t="inlineStr">
        <is>
          <t>TL Cinsi Kuponsuz Senetler</t>
        </is>
      </c>
      <c r="B326" s="44" t="n">
        <v>2010</v>
      </c>
      <c r="C326" s="44" t="inlineStr">
        <is>
          <t>TRT250412T11</t>
        </is>
      </c>
      <c r="D326" s="44" t="inlineStr">
        <is>
          <t>nan</t>
        </is>
      </c>
      <c r="E326" s="44" t="inlineStr">
        <is>
          <t>nan</t>
        </is>
      </c>
      <c r="F326" s="44" t="n"/>
      <c r="G326" s="44" t="n"/>
      <c r="H326" s="15" t="n"/>
      <c r="I326" s="45" t="n">
        <v>6452488.675</v>
      </c>
      <c r="J326" s="45" t="n">
        <v>5571686.99866</v>
      </c>
      <c r="K326" s="45" t="n">
        <v>3129254.335</v>
      </c>
      <c r="L326" s="45" t="n">
        <v>2703991.86476</v>
      </c>
      <c r="M326" s="45" t="n">
        <v>705936.8128688809</v>
      </c>
      <c r="N326" s="45" t="n">
        <v>610000</v>
      </c>
      <c r="O326" s="45" t="n">
        <v>1065443.814373336</v>
      </c>
      <c r="P326" s="45" t="n">
        <v>920650</v>
      </c>
      <c r="Q326" s="45" t="n">
        <v>503007.508</v>
      </c>
      <c r="R326" s="45" t="n">
        <v>434648.7876628</v>
      </c>
      <c r="S326" s="45" t="n">
        <v>5403642.470242218</v>
      </c>
      <c r="T326" s="45" t="n">
        <v>4669290.652422801</v>
      </c>
      <c r="U326" s="15" t="n">
        <v>15.7272097</v>
      </c>
      <c r="V326" s="15" t="n">
        <v>8.508884634094478</v>
      </c>
      <c r="W326" s="49" t="n">
        <v>86.41</v>
      </c>
    </row>
    <row r="327">
      <c r="A327" s="44" t="inlineStr">
        <is>
          <t>TL Cinsi Kuponsuz Senetler</t>
        </is>
      </c>
      <c r="B327" s="44" t="n">
        <v>2010</v>
      </c>
      <c r="C327" s="44" t="inlineStr">
        <is>
          <t>TRB200711T14</t>
        </is>
      </c>
      <c r="D327" s="44" t="inlineStr">
        <is>
          <t>nan</t>
        </is>
      </c>
      <c r="E327" s="44" t="inlineStr">
        <is>
          <t>nan</t>
        </is>
      </c>
      <c r="F327" s="44" t="n"/>
      <c r="G327" s="44" t="n"/>
      <c r="H327" s="15" t="n"/>
      <c r="I327" s="45" t="n">
        <v>4911136.176</v>
      </c>
      <c r="J327" s="45" t="n">
        <v>4558638.25295</v>
      </c>
      <c r="K327" s="45" t="n">
        <v>806700</v>
      </c>
      <c r="L327" s="45" t="n">
        <v>749449.96</v>
      </c>
      <c r="M327" s="45" t="n">
        <v>0</v>
      </c>
      <c r="N327" s="45" t="n">
        <v>0</v>
      </c>
      <c r="O327" s="45" t="n">
        <v>633617.8594878529</v>
      </c>
      <c r="P327" s="45" t="n">
        <v>588650</v>
      </c>
      <c r="Q327" s="45" t="n">
        <v>32004.951</v>
      </c>
      <c r="R327" s="45" t="n">
        <v>29733.55962753</v>
      </c>
      <c r="S327" s="45" t="n">
        <v>1472322.810487853</v>
      </c>
      <c r="T327" s="45" t="n">
        <v>1367833.51962753</v>
      </c>
      <c r="U327" s="15" t="n">
        <v>7.638941</v>
      </c>
      <c r="V327" s="15" t="n">
        <v>7.795416907217605</v>
      </c>
      <c r="W327" s="49" t="n">
        <v>92.90300000000001</v>
      </c>
    </row>
    <row r="328">
      <c r="A328" s="44" t="inlineStr">
        <is>
          <t>TL Cinsi Kuponsuz Senetler</t>
        </is>
      </c>
      <c r="B328" s="44" t="n">
        <v>2010</v>
      </c>
      <c r="C328" s="44" t="inlineStr">
        <is>
          <t>TRB200711T14</t>
        </is>
      </c>
      <c r="D328" s="44" t="inlineStr">
        <is>
          <t>nan</t>
        </is>
      </c>
      <c r="E328" s="44" t="inlineStr">
        <is>
          <t>nan</t>
        </is>
      </c>
      <c r="F328" s="44" t="n"/>
      <c r="G328" s="44" t="n"/>
      <c r="H328" s="15" t="n"/>
      <c r="I328" s="45" t="n">
        <v>7731847.81</v>
      </c>
      <c r="J328" s="45" t="n">
        <v>7210885.1624</v>
      </c>
      <c r="K328" s="45" t="n">
        <v>1600042.81</v>
      </c>
      <c r="L328" s="45" t="n">
        <v>1492957.03805</v>
      </c>
      <c r="M328" s="45" t="n">
        <v>0</v>
      </c>
      <c r="N328" s="45" t="n">
        <v>0</v>
      </c>
      <c r="O328" s="45" t="n">
        <v>979146.794988586</v>
      </c>
      <c r="P328" s="45" t="n">
        <v>913612.5</v>
      </c>
      <c r="Q328" s="45" t="n">
        <v>240004.286</v>
      </c>
      <c r="R328" s="45" t="n">
        <v>223940.79913802</v>
      </c>
      <c r="S328" s="45" t="n">
        <v>2819193.890988586</v>
      </c>
      <c r="T328" s="45" t="n">
        <v>2630510.33718802</v>
      </c>
      <c r="U328" s="15" t="n">
        <v>7.1727296</v>
      </c>
      <c r="V328" s="15" t="n">
        <v>7.794187965879667</v>
      </c>
      <c r="W328" s="49" t="n">
        <v>93.307</v>
      </c>
    </row>
    <row r="329">
      <c r="A329" s="44" t="inlineStr">
        <is>
          <t>TL Cinsi Kuponsuz Senetler</t>
        </is>
      </c>
      <c r="B329" s="44" t="n">
        <v>2010</v>
      </c>
      <c r="C329" s="44" t="inlineStr">
        <is>
          <t>TRT250412T11</t>
        </is>
      </c>
      <c r="D329" s="44" t="inlineStr">
        <is>
          <t>nan</t>
        </is>
      </c>
      <c r="E329" s="44" t="inlineStr">
        <is>
          <t>nan</t>
        </is>
      </c>
      <c r="F329" s="44" t="n"/>
      <c r="G329" s="44" t="n"/>
      <c r="H329" s="15" t="n"/>
      <c r="I329" s="45" t="n">
        <v>3705632</v>
      </c>
      <c r="J329" s="45" t="n">
        <v>3248027.00856</v>
      </c>
      <c r="K329" s="45" t="n">
        <v>2396032</v>
      </c>
      <c r="L329" s="45" t="n">
        <v>2101152.09556</v>
      </c>
      <c r="M329" s="45" t="n">
        <v>798239.3121457814</v>
      </c>
      <c r="N329" s="45" t="n">
        <v>700000</v>
      </c>
      <c r="O329" s="45" t="n">
        <v>1359167.778499994</v>
      </c>
      <c r="P329" s="45" t="n">
        <v>1191895</v>
      </c>
      <c r="Q329" s="45" t="n">
        <v>460234.998</v>
      </c>
      <c r="R329" s="45" t="n">
        <v>403593.8768</v>
      </c>
      <c r="S329" s="45" t="n">
        <v>5013674.088645775</v>
      </c>
      <c r="T329" s="45" t="n">
        <v>4396640.97236</v>
      </c>
      <c r="U329" s="15" t="n">
        <v>14.0342008</v>
      </c>
      <c r="V329" s="15" t="n">
        <v>8.068358323544031</v>
      </c>
      <c r="W329" s="49" t="n">
        <v>87.693</v>
      </c>
    </row>
    <row r="330">
      <c r="A330" s="44" t="inlineStr">
        <is>
          <t>TL Cinsi Kuponsuz Senetler</t>
        </is>
      </c>
      <c r="B330" s="44" t="n">
        <v>2010</v>
      </c>
      <c r="C330" s="44" t="inlineStr">
        <is>
          <t>TRB090311T13</t>
        </is>
      </c>
      <c r="D330" s="44" t="inlineStr">
        <is>
          <t>nan</t>
        </is>
      </c>
      <c r="E330" s="44" t="inlineStr">
        <is>
          <t>nan</t>
        </is>
      </c>
      <c r="F330" s="44" t="n"/>
      <c r="G330" s="44" t="n"/>
      <c r="H330" s="15" t="n"/>
      <c r="I330" s="45" t="n">
        <v>5761300</v>
      </c>
      <c r="J330" s="45" t="n">
        <v>5554906.476</v>
      </c>
      <c r="K330" s="45" t="n">
        <v>2010807.559</v>
      </c>
      <c r="L330" s="45" t="n">
        <v>1939999.99977</v>
      </c>
      <c r="M330" s="45" t="n">
        <v>0</v>
      </c>
      <c r="N330" s="45" t="n">
        <v>0</v>
      </c>
      <c r="O330" s="45" t="n">
        <v>0</v>
      </c>
      <c r="P330" s="45" t="n">
        <v>0</v>
      </c>
      <c r="Q330" s="45" t="n">
        <v>0</v>
      </c>
      <c r="R330" s="45" t="n">
        <v>0</v>
      </c>
      <c r="S330" s="45" t="n">
        <v>2010807.559</v>
      </c>
      <c r="T330" s="45" t="n">
        <v>1939999.99977</v>
      </c>
      <c r="U330" s="15" t="n">
        <v>3.6498742</v>
      </c>
      <c r="V330" s="15" t="n">
        <v>7.432964216758253</v>
      </c>
      <c r="W330" s="49" t="n">
        <v>96.479</v>
      </c>
    </row>
    <row r="331">
      <c r="A331" s="44" t="inlineStr">
        <is>
          <t>TL Cinsi Kuponsuz Senetler</t>
        </is>
      </c>
      <c r="B331" s="44" t="n">
        <v>2010</v>
      </c>
      <c r="C331" s="44" t="inlineStr">
        <is>
          <t>TRT250412T11</t>
        </is>
      </c>
      <c r="D331" s="44" t="inlineStr">
        <is>
          <t>nan</t>
        </is>
      </c>
      <c r="E331" s="44" t="inlineStr">
        <is>
          <t>nan</t>
        </is>
      </c>
      <c r="F331" s="44" t="n"/>
      <c r="G331" s="44" t="n"/>
      <c r="H331" s="15" t="n"/>
      <c r="I331" s="45" t="n">
        <v>6808287.213</v>
      </c>
      <c r="J331" s="45" t="n">
        <v>5988360.23424</v>
      </c>
      <c r="K331" s="45" t="n">
        <v>2117000</v>
      </c>
      <c r="L331" s="45" t="n">
        <v>1863014.38</v>
      </c>
      <c r="M331" s="45" t="n">
        <v>0</v>
      </c>
      <c r="N331" s="45" t="n"/>
      <c r="O331" s="45" t="n">
        <v>1989932.161403588</v>
      </c>
      <c r="P331" s="45" t="n">
        <v>1751200</v>
      </c>
      <c r="Q331" s="45" t="n">
        <v>256322.726</v>
      </c>
      <c r="R331" s="45" t="n">
        <v>225571.68856</v>
      </c>
      <c r="S331" s="45" t="n">
        <v>4363254.887403589</v>
      </c>
      <c r="T331" s="45" t="n">
        <v>3839786.06856</v>
      </c>
      <c r="U331" s="15" t="n">
        <v>13.6330467</v>
      </c>
      <c r="V331" s="15" t="n">
        <v>8.131386116899238</v>
      </c>
      <c r="W331" s="49" t="n">
        <v>88.003</v>
      </c>
    </row>
    <row r="332">
      <c r="A332" s="44" t="inlineStr">
        <is>
          <t>TL Cinsi Kuponsuz Senetler</t>
        </is>
      </c>
      <c r="B332" s="44" t="n">
        <v>2010</v>
      </c>
      <c r="C332" s="44" t="inlineStr">
        <is>
          <t>TRT121011T19</t>
        </is>
      </c>
      <c r="D332" s="44" t="inlineStr">
        <is>
          <t>nan</t>
        </is>
      </c>
      <c r="E332" s="44" t="inlineStr">
        <is>
          <t>nan</t>
        </is>
      </c>
      <c r="F332" s="44" t="n"/>
      <c r="G332" s="44" t="n"/>
      <c r="H332" s="15" t="n"/>
      <c r="I332" s="45" t="n">
        <v>7837406.5</v>
      </c>
      <c r="J332" s="45" t="n">
        <v>7261133.10254</v>
      </c>
      <c r="K332" s="45" t="n">
        <v>1410000</v>
      </c>
      <c r="L332" s="45" t="n">
        <v>1307560.8</v>
      </c>
      <c r="M332" s="45" t="n">
        <v>0</v>
      </c>
      <c r="N332" s="45" t="n">
        <v>0</v>
      </c>
      <c r="O332" s="45" t="n">
        <v>809510.9721248719</v>
      </c>
      <c r="P332" s="45" t="n">
        <v>750700</v>
      </c>
      <c r="Q332" s="45" t="n">
        <v>324891.012</v>
      </c>
      <c r="R332" s="45" t="n">
        <v>301287.67998</v>
      </c>
      <c r="S332" s="45" t="n">
        <v>2544401.984124872</v>
      </c>
      <c r="T332" s="45" t="n">
        <v>2359548.47998</v>
      </c>
      <c r="U332" s="15" t="n">
        <v>7.8343737</v>
      </c>
      <c r="V332" s="15" t="n">
        <v>7.532551618258749</v>
      </c>
      <c r="W332" s="49" t="n">
        <v>92.735</v>
      </c>
    </row>
    <row r="333">
      <c r="A333" s="44" t="inlineStr">
        <is>
          <t>TL Cinsi Kuponsuz Senetler</t>
        </is>
      </c>
      <c r="B333" s="44" t="n">
        <v>2010</v>
      </c>
      <c r="C333" s="44" t="inlineStr">
        <is>
          <t>TRT080812T26</t>
        </is>
      </c>
      <c r="D333" s="44" t="inlineStr">
        <is>
          <t>nan</t>
        </is>
      </c>
      <c r="E333" s="44" t="inlineStr">
        <is>
          <t>nan</t>
        </is>
      </c>
      <c r="F333" s="44" t="n"/>
      <c r="G333" s="44" t="n"/>
      <c r="H333" s="15" t="n"/>
      <c r="I333" s="45" t="n">
        <v>6654814</v>
      </c>
      <c r="J333" s="45" t="n">
        <v>5834563.08446</v>
      </c>
      <c r="K333" s="45" t="n">
        <v>2035600</v>
      </c>
      <c r="L333" s="45" t="n">
        <v>1787105.223</v>
      </c>
      <c r="M333" s="45" t="n">
        <v>341712.8928274463</v>
      </c>
      <c r="N333" s="45" t="n">
        <v>300000</v>
      </c>
      <c r="O333" s="45" t="n">
        <v>1428974.975225815</v>
      </c>
      <c r="P333" s="45" t="n">
        <v>1254540</v>
      </c>
      <c r="Q333" s="45" t="n">
        <v>0</v>
      </c>
      <c r="R333" s="45" t="n">
        <v>0</v>
      </c>
      <c r="S333" s="45" t="n">
        <v>3806287.868053262</v>
      </c>
      <c r="T333" s="45" t="n">
        <v>3341645.223</v>
      </c>
      <c r="U333" s="15" t="n">
        <v>13.9048767</v>
      </c>
      <c r="V333" s="15" t="n">
        <v>7.551150296974818</v>
      </c>
      <c r="W333" s="49" t="n">
        <v>87.79300000000001</v>
      </c>
    </row>
    <row r="334">
      <c r="A334" s="44" t="inlineStr">
        <is>
          <t>TL Cinsi Kuponsuz Senetler</t>
        </is>
      </c>
      <c r="B334" s="44" t="n">
        <v>2010</v>
      </c>
      <c r="C334" s="44" t="inlineStr">
        <is>
          <t>TRT080812T26</t>
        </is>
      </c>
      <c r="D334" s="44" t="inlineStr">
        <is>
          <t>nan</t>
        </is>
      </c>
      <c r="E334" s="44" t="inlineStr">
        <is>
          <t>nan</t>
        </is>
      </c>
      <c r="F334" s="44" t="n"/>
      <c r="G334" s="44" t="n"/>
      <c r="H334" s="15" t="n"/>
      <c r="I334" s="45" t="n">
        <v>3021214.26</v>
      </c>
      <c r="J334" s="45" t="n">
        <v>2653639.6399</v>
      </c>
      <c r="K334" s="45" t="n">
        <v>2271092.6</v>
      </c>
      <c r="L334" s="45" t="n">
        <v>1995063.7944</v>
      </c>
      <c r="M334" s="45" t="n">
        <v>1195273.546888874</v>
      </c>
      <c r="N334" s="45" t="n">
        <v>1050000</v>
      </c>
      <c r="O334" s="45" t="n">
        <v>1651469.617284794</v>
      </c>
      <c r="P334" s="45" t="n">
        <v>1450750</v>
      </c>
      <c r="Q334" s="45" t="n">
        <v>10000</v>
      </c>
      <c r="R334" s="45" t="n">
        <v>8784.6</v>
      </c>
      <c r="S334" s="45" t="n">
        <v>5127835.764173668</v>
      </c>
      <c r="T334" s="45" t="n">
        <v>4504598.3944</v>
      </c>
      <c r="U334" s="15" t="n">
        <v>13.8355879</v>
      </c>
      <c r="V334" s="15" t="n">
        <v>7.599272580540317</v>
      </c>
      <c r="W334" s="49" t="n">
        <v>87.846</v>
      </c>
    </row>
    <row r="335">
      <c r="A335" s="44" t="inlineStr">
        <is>
          <t>TL Cinsi Kuponsuz Senetler</t>
        </is>
      </c>
      <c r="B335" s="44" t="n">
        <v>2010</v>
      </c>
      <c r="C335" s="44" t="inlineStr">
        <is>
          <t>TRT121011T19</t>
        </is>
      </c>
      <c r="D335" s="44" t="inlineStr">
        <is>
          <t>nan</t>
        </is>
      </c>
      <c r="E335" s="44" t="inlineStr">
        <is>
          <t>nan</t>
        </is>
      </c>
      <c r="F335" s="44" t="n"/>
      <c r="G335" s="44" t="n"/>
      <c r="H335" s="15" t="n"/>
      <c r="I335" s="45" t="n">
        <v>621630</v>
      </c>
      <c r="J335" s="45" t="n">
        <v>583538.6459999999</v>
      </c>
      <c r="K335" s="45" t="n">
        <v>212730</v>
      </c>
      <c r="L335" s="45" t="n">
        <v>199843.942</v>
      </c>
      <c r="M335" s="45" t="n">
        <v>0</v>
      </c>
      <c r="N335" s="45" t="n">
        <v>0</v>
      </c>
      <c r="O335" s="45" t="n">
        <v>487157.1059046443</v>
      </c>
      <c r="P335" s="45" t="n">
        <v>457650</v>
      </c>
      <c r="Q335" s="45" t="n">
        <v>12000</v>
      </c>
      <c r="R335" s="45" t="n">
        <v>11273.16</v>
      </c>
      <c r="S335" s="45" t="n">
        <v>711887.1059046444</v>
      </c>
      <c r="T335" s="45" t="n">
        <v>668767.1020000001</v>
      </c>
      <c r="U335" s="15" t="n">
        <v>6.4480604</v>
      </c>
      <c r="V335" s="15" t="n">
        <v>7.318208097702056</v>
      </c>
      <c r="W335" s="49" t="n">
        <v>93.943</v>
      </c>
    </row>
    <row r="336">
      <c r="A336" s="44" t="inlineStr">
        <is>
          <t>TL Cinsi Kuponsuz Senetler</t>
        </is>
      </c>
      <c r="B336" s="44" t="n">
        <v>2010</v>
      </c>
      <c r="C336" s="44" t="inlineStr">
        <is>
          <t>TRT080812T26</t>
        </is>
      </c>
      <c r="D336" s="44" t="inlineStr">
        <is>
          <t>nan</t>
        </is>
      </c>
      <c r="E336" s="44" t="inlineStr">
        <is>
          <t>nan</t>
        </is>
      </c>
      <c r="F336" s="44" t="n"/>
      <c r="G336" s="44" t="n"/>
      <c r="H336" s="15" t="n"/>
      <c r="I336" s="45" t="n">
        <v>2151204</v>
      </c>
      <c r="J336" s="45" t="n">
        <v>1899984.55464</v>
      </c>
      <c r="K336" s="45" t="n">
        <v>1502704</v>
      </c>
      <c r="L336" s="45" t="n">
        <v>1327666.33464</v>
      </c>
      <c r="M336" s="45" t="n">
        <v>0</v>
      </c>
      <c r="N336" s="45" t="n">
        <v>0</v>
      </c>
      <c r="O336" s="45" t="n">
        <v>2589245.291561028</v>
      </c>
      <c r="P336" s="45" t="n">
        <v>2287650</v>
      </c>
      <c r="Q336" s="45" t="n">
        <v>386039.817</v>
      </c>
      <c r="R336" s="45" t="n">
        <v>341073.89911584</v>
      </c>
      <c r="S336" s="45" t="n">
        <v>4477989.108561029</v>
      </c>
      <c r="T336" s="45" t="n">
        <v>3956390.23375584</v>
      </c>
      <c r="U336" s="15" t="n">
        <v>13.1838596</v>
      </c>
      <c r="V336" s="15" t="n">
        <v>7.68297788817931</v>
      </c>
      <c r="W336" s="49" t="n">
        <v>88.352</v>
      </c>
    </row>
    <row r="337">
      <c r="A337" s="44" t="inlineStr">
        <is>
          <t>TL Cinsi Kuponsuz Senetler</t>
        </is>
      </c>
      <c r="B337" s="44" t="n">
        <v>2009</v>
      </c>
      <c r="C337" s="44" t="inlineStr">
        <is>
          <t>TRB150709T15</t>
        </is>
      </c>
      <c r="D337" s="44" t="inlineStr">
        <is>
          <t>nan</t>
        </is>
      </c>
      <c r="E337" s="44" t="inlineStr">
        <is>
          <t>nan</t>
        </is>
      </c>
      <c r="F337" s="44" t="n"/>
      <c r="G337" s="44" t="n"/>
      <c r="H337" s="15" t="n"/>
      <c r="I337" s="45" t="n">
        <v>3263426.196</v>
      </c>
      <c r="J337" s="45" t="n">
        <v>3025742.71402</v>
      </c>
      <c r="K337" s="45" t="n">
        <v>1069260.57</v>
      </c>
      <c r="L337" s="45" t="n">
        <v>991999.9961700001</v>
      </c>
      <c r="M337" s="45" t="n">
        <v>0</v>
      </c>
      <c r="N337" s="45" t="n">
        <v>0</v>
      </c>
      <c r="O337" s="45" t="n">
        <v>0</v>
      </c>
      <c r="P337" s="45" t="n">
        <v>0</v>
      </c>
      <c r="Q337" s="45" t="n">
        <v>0</v>
      </c>
      <c r="R337" s="45" t="n">
        <v>0</v>
      </c>
      <c r="S337" s="45" t="n">
        <v>1069260.57</v>
      </c>
      <c r="T337" s="45" t="n">
        <v>991999.9961700001</v>
      </c>
      <c r="U337" s="15" t="n">
        <v>7.7883643</v>
      </c>
      <c r="V337" s="15" t="n">
        <v>16.18331478469515</v>
      </c>
      <c r="W337" s="49" t="n">
        <v>92.774</v>
      </c>
    </row>
    <row r="338">
      <c r="A338" s="44" t="inlineStr">
        <is>
          <t>TL Cinsi Kuponsuz Senetler</t>
        </is>
      </c>
      <c r="B338" s="44" t="n">
        <v>2009</v>
      </c>
      <c r="C338" s="44" t="inlineStr">
        <is>
          <t>TRT031110T10</t>
        </is>
      </c>
      <c r="D338" s="44" t="inlineStr">
        <is>
          <t>nan</t>
        </is>
      </c>
      <c r="E338" s="44" t="inlineStr">
        <is>
          <t>nan</t>
        </is>
      </c>
      <c r="F338" s="44" t="n"/>
      <c r="G338" s="44" t="n"/>
      <c r="H338" s="15" t="n"/>
      <c r="I338" s="45" t="n">
        <v>3644289.373</v>
      </c>
      <c r="J338" s="45" t="n">
        <v>2777339.34255</v>
      </c>
      <c r="K338" s="45" t="n">
        <v>1796100.521</v>
      </c>
      <c r="L338" s="45" t="n">
        <v>1370132.98054</v>
      </c>
      <c r="M338" s="45" t="n">
        <v>235960.3586597451</v>
      </c>
      <c r="N338" s="45" t="n">
        <v>180000</v>
      </c>
      <c r="O338" s="45" t="n">
        <v>2369706.360442556</v>
      </c>
      <c r="P338" s="45" t="n">
        <v>1807706.8</v>
      </c>
      <c r="Q338" s="45" t="n">
        <v>207732.924</v>
      </c>
      <c r="R338" s="45" t="n">
        <v>158466.98374416</v>
      </c>
      <c r="S338" s="45" t="n">
        <v>4928039.851102301</v>
      </c>
      <c r="T338" s="45" t="n">
        <v>3759301.579115239</v>
      </c>
      <c r="U338" s="15" t="n">
        <v>31.0895035</v>
      </c>
      <c r="V338" s="15" t="n">
        <v>16.15590982237877</v>
      </c>
      <c r="W338" s="49" t="n">
        <v>76.28400000000001</v>
      </c>
    </row>
    <row r="339">
      <c r="A339" s="44" t="inlineStr">
        <is>
          <t>TL Cinsi Kuponsuz Senetler</t>
        </is>
      </c>
      <c r="B339" s="44" t="n">
        <v>2009</v>
      </c>
      <c r="C339" s="44" t="inlineStr">
        <is>
          <t>TRT030310T10</t>
        </is>
      </c>
      <c r="D339" s="44" t="inlineStr">
        <is>
          <t>nan</t>
        </is>
      </c>
      <c r="E339" s="44" t="inlineStr">
        <is>
          <t>nan</t>
        </is>
      </c>
      <c r="F339" s="44" t="n"/>
      <c r="G339" s="44" t="n"/>
      <c r="H339" s="15" t="n"/>
      <c r="I339" s="45" t="n">
        <v>4357713.069</v>
      </c>
      <c r="J339" s="45" t="n">
        <v>3753949.16452</v>
      </c>
      <c r="K339" s="45" t="n">
        <v>2622011.683</v>
      </c>
      <c r="L339" s="45" t="n">
        <v>2260340.85429</v>
      </c>
      <c r="M339" s="45" t="n">
        <v>0</v>
      </c>
      <c r="N339" s="45" t="n">
        <v>0</v>
      </c>
      <c r="O339" s="45" t="n">
        <v>3048233.301626337</v>
      </c>
      <c r="P339" s="45" t="n">
        <v>2627760</v>
      </c>
      <c r="Q339" s="45" t="n">
        <v>250490.164</v>
      </c>
      <c r="R339" s="45" t="n">
        <v>215937.55077784</v>
      </c>
      <c r="S339" s="45" t="n">
        <v>6152414.990626337</v>
      </c>
      <c r="T339" s="45" t="n">
        <v>5303760.32966236</v>
      </c>
      <c r="U339" s="15" t="n">
        <v>16.0007208</v>
      </c>
      <c r="V339" s="15" t="n">
        <v>14.77739216167631</v>
      </c>
      <c r="W339" s="49" t="n">
        <v>86.206</v>
      </c>
    </row>
    <row r="340">
      <c r="A340" s="44" t="inlineStr">
        <is>
          <t>TL Cinsi Kuponsuz Senetler</t>
        </is>
      </c>
      <c r="B340" s="44" t="n">
        <v>2009</v>
      </c>
      <c r="C340" s="44" t="inlineStr">
        <is>
          <t>TRT031110T10</t>
        </is>
      </c>
      <c r="D340" s="44" t="inlineStr">
        <is>
          <t>nan</t>
        </is>
      </c>
      <c r="E340" s="44" t="inlineStr">
        <is>
          <t>nan</t>
        </is>
      </c>
      <c r="F340" s="44" t="n"/>
      <c r="G340" s="44" t="n"/>
      <c r="H340" s="15" t="n"/>
      <c r="I340" s="45" t="n">
        <v>5241662.577</v>
      </c>
      <c r="J340" s="45" t="n">
        <v>4078160.72123</v>
      </c>
      <c r="K340" s="45" t="n">
        <v>2626911.761</v>
      </c>
      <c r="L340" s="45" t="n">
        <v>2045236.80151</v>
      </c>
      <c r="M340" s="45" t="n">
        <v>1862388.73832796</v>
      </c>
      <c r="N340" s="45" t="n">
        <v>1450000</v>
      </c>
      <c r="O340" s="45" t="n">
        <v>6063920.947377885</v>
      </c>
      <c r="P340" s="45" t="n">
        <v>4721186.932</v>
      </c>
      <c r="Q340" s="45" t="n">
        <v>427118.676</v>
      </c>
      <c r="R340" s="45" t="n">
        <v>332541.78757332</v>
      </c>
      <c r="S340" s="45" t="n">
        <v>11403921.21270584</v>
      </c>
      <c r="T340" s="45" t="n">
        <v>8878753.050324621</v>
      </c>
      <c r="U340" s="15" t="n">
        <v>28.44047</v>
      </c>
      <c r="V340" s="15" t="n">
        <v>15.37696952074038</v>
      </c>
      <c r="W340" s="49" t="n">
        <v>77.857</v>
      </c>
    </row>
    <row r="341">
      <c r="A341" s="44" t="inlineStr">
        <is>
          <t>TL Cinsi Kuponsuz Senetler</t>
        </is>
      </c>
      <c r="B341" s="44" t="n">
        <v>2009</v>
      </c>
      <c r="C341" s="44" t="inlineStr">
        <is>
          <t>TRB190809T10</t>
        </is>
      </c>
      <c r="D341" s="44" t="inlineStr">
        <is>
          <t>nan</t>
        </is>
      </c>
      <c r="E341" s="44" t="inlineStr">
        <is>
          <t>nan</t>
        </is>
      </c>
      <c r="F341" s="44" t="n"/>
      <c r="G341" s="44" t="n"/>
      <c r="H341" s="15" t="n"/>
      <c r="I341" s="45" t="n">
        <v>5455440.583</v>
      </c>
      <c r="J341" s="45" t="n">
        <v>5087837.97205</v>
      </c>
      <c r="K341" s="45" t="n">
        <v>3680995.568</v>
      </c>
      <c r="L341" s="45" t="n">
        <v>3442999.99567</v>
      </c>
      <c r="M341" s="45" t="n">
        <v>0</v>
      </c>
      <c r="N341" s="45" t="n">
        <v>0</v>
      </c>
      <c r="O341" s="45" t="n">
        <v>0</v>
      </c>
      <c r="P341" s="45" t="n">
        <v>0</v>
      </c>
      <c r="Q341" s="45" t="n">
        <v>0</v>
      </c>
      <c r="R341" s="45" t="n">
        <v>0</v>
      </c>
      <c r="S341" s="45" t="n">
        <v>3680995.568</v>
      </c>
      <c r="T341" s="45" t="n">
        <v>3442999.99567</v>
      </c>
      <c r="U341" s="15" t="n">
        <v>6.9124477</v>
      </c>
      <c r="V341" s="15" t="n">
        <v>14.30271473205234</v>
      </c>
      <c r="W341" s="49" t="n">
        <v>93.53400000000001</v>
      </c>
    </row>
    <row r="342">
      <c r="A342" s="44" t="inlineStr">
        <is>
          <t>TL Cinsi Kuponsuz Senetler</t>
        </is>
      </c>
      <c r="B342" s="44" t="n">
        <v>2009</v>
      </c>
      <c r="C342" s="44" t="inlineStr">
        <is>
          <t>TRB090909T11</t>
        </is>
      </c>
      <c r="D342" s="44" t="inlineStr">
        <is>
          <t>nan</t>
        </is>
      </c>
      <c r="E342" s="44" t="inlineStr">
        <is>
          <t>nan</t>
        </is>
      </c>
      <c r="F342" s="44" t="n"/>
      <c r="G342" s="44" t="n"/>
      <c r="H342" s="15" t="n"/>
      <c r="I342" s="45" t="n">
        <v>1796807.113</v>
      </c>
      <c r="J342" s="45" t="n">
        <v>1687152.28548</v>
      </c>
      <c r="K342" s="45" t="n">
        <v>655104.601</v>
      </c>
      <c r="L342" s="45" t="n">
        <v>616000.0003</v>
      </c>
      <c r="M342" s="45" t="n">
        <v>0</v>
      </c>
      <c r="N342" s="45" t="n">
        <v>0</v>
      </c>
      <c r="O342" s="45" t="n">
        <v>0</v>
      </c>
      <c r="P342" s="45" t="n">
        <v>0</v>
      </c>
      <c r="Q342" s="45" t="n">
        <v>0</v>
      </c>
      <c r="R342" s="45" t="n">
        <v>0</v>
      </c>
      <c r="S342" s="45" t="n">
        <v>655104.601</v>
      </c>
      <c r="T342" s="45" t="n">
        <v>616000.0003</v>
      </c>
      <c r="U342" s="15" t="n">
        <v>6.3481495</v>
      </c>
      <c r="V342" s="15" t="n">
        <v>13.09928902074351</v>
      </c>
      <c r="W342" s="49" t="n">
        <v>94.03100000000001</v>
      </c>
    </row>
    <row r="343">
      <c r="A343" s="44" t="inlineStr">
        <is>
          <t>TL Cinsi Kuponsuz Senetler</t>
        </is>
      </c>
      <c r="B343" s="44" t="n">
        <v>2009</v>
      </c>
      <c r="C343" s="44" t="inlineStr">
        <is>
          <t>TRT030310T10</t>
        </is>
      </c>
      <c r="D343" s="44" t="inlineStr">
        <is>
          <t>nan</t>
        </is>
      </c>
      <c r="E343" s="44" t="inlineStr">
        <is>
          <t>nan</t>
        </is>
      </c>
      <c r="F343" s="44" t="n"/>
      <c r="G343" s="44" t="n"/>
      <c r="H343" s="15" t="n"/>
      <c r="I343" s="45" t="n">
        <v>5726774.673</v>
      </c>
      <c r="J343" s="45" t="n">
        <v>5009867.19382</v>
      </c>
      <c r="K343" s="45" t="n">
        <v>1618752.86</v>
      </c>
      <c r="L343" s="45" t="n">
        <v>1416960.0141</v>
      </c>
      <c r="M343" s="45" t="n">
        <v>514085.9551717047</v>
      </c>
      <c r="N343" s="45" t="n">
        <v>450000</v>
      </c>
      <c r="O343" s="45" t="n">
        <v>1162268.375716864</v>
      </c>
      <c r="P343" s="45" t="n">
        <v>1017380</v>
      </c>
      <c r="Q343" s="45" t="n">
        <v>138928.291</v>
      </c>
      <c r="R343" s="45" t="n">
        <v>121609.49024394</v>
      </c>
      <c r="S343" s="45" t="n">
        <v>3717222.331888569</v>
      </c>
      <c r="T343" s="45" t="n">
        <v>3253834.28162294</v>
      </c>
      <c r="U343" s="15" t="n">
        <v>14.241252</v>
      </c>
      <c r="V343" s="15" t="n">
        <v>14.53988359673879</v>
      </c>
      <c r="W343" s="49" t="n">
        <v>87.53400000000001</v>
      </c>
    </row>
    <row r="344">
      <c r="A344" s="44" t="inlineStr">
        <is>
          <t>TL Cinsi Kuponsuz Senetler</t>
        </is>
      </c>
      <c r="B344" s="44" t="n">
        <v>2009</v>
      </c>
      <c r="C344" s="44" t="inlineStr">
        <is>
          <t>TRT020211T11</t>
        </is>
      </c>
      <c r="D344" s="44" t="inlineStr">
        <is>
          <t>nan</t>
        </is>
      </c>
      <c r="E344" s="44" t="inlineStr">
        <is>
          <t>nan</t>
        </is>
      </c>
      <c r="F344" s="44" t="n"/>
      <c r="G344" s="44" t="n"/>
      <c r="H344" s="15" t="n"/>
      <c r="I344" s="45" t="n">
        <v>4342718.733</v>
      </c>
      <c r="J344" s="45" t="n">
        <v>3448380.69329</v>
      </c>
      <c r="K344" s="45" t="n">
        <v>1231397.575</v>
      </c>
      <c r="L344" s="45" t="n">
        <v>979501.9725</v>
      </c>
      <c r="M344" s="45" t="n">
        <v>251433.1690636629</v>
      </c>
      <c r="N344" s="45" t="n">
        <v>200000</v>
      </c>
      <c r="O344" s="45" t="n">
        <v>1977961.88273157</v>
      </c>
      <c r="P344" s="45" t="n">
        <v>1573350</v>
      </c>
      <c r="Q344" s="45" t="n">
        <v>96224.946</v>
      </c>
      <c r="R344" s="45" t="n">
        <v>76541.17104623999</v>
      </c>
      <c r="S344" s="45" t="n">
        <v>3741547.115795233</v>
      </c>
      <c r="T344" s="45" t="n">
        <v>2976175.32323016</v>
      </c>
      <c r="U344" s="15" t="n">
        <v>25.7167019</v>
      </c>
      <c r="V344" s="15" t="n">
        <v>13.3455770944237</v>
      </c>
      <c r="W344" s="49" t="n">
        <v>79.544</v>
      </c>
    </row>
    <row r="345">
      <c r="A345" s="44" t="inlineStr">
        <is>
          <t>TL Cinsi Kuponsuz Senetler</t>
        </is>
      </c>
      <c r="B345" s="44" t="n">
        <v>2009</v>
      </c>
      <c r="C345" s="44" t="inlineStr">
        <is>
          <t>TRT050510T16</t>
        </is>
      </c>
      <c r="D345" s="44" t="inlineStr">
        <is>
          <t>nan</t>
        </is>
      </c>
      <c r="E345" s="44" t="inlineStr">
        <is>
          <t>nan</t>
        </is>
      </c>
      <c r="F345" s="44" t="n"/>
      <c r="G345" s="44" t="n"/>
      <c r="H345" s="15" t="n"/>
      <c r="I345" s="45" t="n">
        <v>3954558.786</v>
      </c>
      <c r="J345" s="45" t="n">
        <v>3546067.55557</v>
      </c>
      <c r="K345" s="45" t="n">
        <v>1899966.455</v>
      </c>
      <c r="L345" s="45" t="n">
        <v>1705189.14021</v>
      </c>
      <c r="M345" s="45" t="n">
        <v>222846.1915585863</v>
      </c>
      <c r="N345" s="45" t="n">
        <v>200000</v>
      </c>
      <c r="O345" s="45" t="n">
        <v>2914727.904800107</v>
      </c>
      <c r="P345" s="45" t="n">
        <v>2615910</v>
      </c>
      <c r="Q345" s="45" t="n">
        <v>0</v>
      </c>
      <c r="R345" s="45" t="n">
        <v>0</v>
      </c>
      <c r="S345" s="45" t="n">
        <v>5639414.259358693</v>
      </c>
      <c r="T345" s="45" t="n">
        <v>5061268.75566584</v>
      </c>
      <c r="U345" s="15" t="n">
        <v>11.4226223</v>
      </c>
      <c r="V345" s="15" t="n">
        <v>11.4226223</v>
      </c>
      <c r="W345" s="49" t="n">
        <v>89.748</v>
      </c>
    </row>
    <row r="346">
      <c r="A346" s="44" t="inlineStr">
        <is>
          <t>TL Cinsi Kuponsuz Senetler</t>
        </is>
      </c>
      <c r="B346" s="44" t="n">
        <v>2009</v>
      </c>
      <c r="C346" s="44" t="inlineStr">
        <is>
          <t>TRT020211T11</t>
        </is>
      </c>
      <c r="D346" s="44" t="inlineStr">
        <is>
          <t>nan</t>
        </is>
      </c>
      <c r="E346" s="44" t="inlineStr">
        <is>
          <t>nan</t>
        </is>
      </c>
      <c r="F346" s="44" t="n"/>
      <c r="G346" s="44" t="n"/>
      <c r="H346" s="15" t="n"/>
      <c r="I346" s="45" t="n">
        <v>4789055.85</v>
      </c>
      <c r="J346" s="45" t="n">
        <v>3932684.9425</v>
      </c>
      <c r="K346" s="45" t="n">
        <v>1576456.72</v>
      </c>
      <c r="L346" s="45" t="n">
        <v>1298553.11466</v>
      </c>
      <c r="M346" s="45" t="n">
        <v>2428009.51779731</v>
      </c>
      <c r="N346" s="45" t="n">
        <v>2000000</v>
      </c>
      <c r="O346" s="45" t="n">
        <v>3481826.348759287</v>
      </c>
      <c r="P346" s="45" t="n">
        <v>2868050</v>
      </c>
      <c r="Q346" s="45" t="n">
        <v>0</v>
      </c>
      <c r="R346" s="45" t="n">
        <v>0</v>
      </c>
      <c r="S346" s="45" t="n">
        <v>7538337.795556596</v>
      </c>
      <c r="T346" s="45" t="n">
        <v>6209473.79421748</v>
      </c>
      <c r="U346" s="15" t="n">
        <v>21.4010195</v>
      </c>
      <c r="V346" s="15" t="n">
        <v>11.71900212491597</v>
      </c>
      <c r="W346" s="49" t="n">
        <v>82.372</v>
      </c>
    </row>
    <row r="347">
      <c r="A347" s="44" t="inlineStr">
        <is>
          <t>TL Cinsi Kuponsuz Senetler</t>
        </is>
      </c>
      <c r="B347" s="44" t="n">
        <v>2009</v>
      </c>
      <c r="C347" s="44" t="inlineStr">
        <is>
          <t>TRT020211T11</t>
        </is>
      </c>
      <c r="D347" s="44" t="inlineStr">
        <is>
          <t>nan</t>
        </is>
      </c>
      <c r="E347" s="44" t="inlineStr">
        <is>
          <t>nan</t>
        </is>
      </c>
      <c r="F347" s="44" t="n"/>
      <c r="G347" s="44" t="n"/>
      <c r="H347" s="15" t="n"/>
      <c r="I347" s="45" t="n">
        <v>1524693.354</v>
      </c>
      <c r="J347" s="45" t="n">
        <v>1267085.93765</v>
      </c>
      <c r="K347" s="45" t="n">
        <v>1029571.085</v>
      </c>
      <c r="L347" s="45" t="n">
        <v>856174.1967</v>
      </c>
      <c r="M347" s="45" t="n">
        <v>240506.0246759181</v>
      </c>
      <c r="N347" s="45" t="n">
        <v>200000</v>
      </c>
      <c r="O347" s="45" t="n">
        <v>2080497.36645903</v>
      </c>
      <c r="P347" s="45" t="n">
        <v>1730100</v>
      </c>
      <c r="Q347" s="45" t="n">
        <v>0</v>
      </c>
      <c r="R347" s="45" t="n">
        <v>0</v>
      </c>
      <c r="S347" s="45" t="n">
        <v>3350574.476134948</v>
      </c>
      <c r="T347" s="45" t="n">
        <v>2786274.1967</v>
      </c>
      <c r="U347" s="15" t="n">
        <v>20.2525244</v>
      </c>
      <c r="V347" s="15" t="n">
        <v>12.09393757346626</v>
      </c>
      <c r="W347" s="49" t="n">
        <v>83.158</v>
      </c>
    </row>
    <row r="348">
      <c r="A348" s="44" t="inlineStr">
        <is>
          <t>TL Cinsi Kuponsuz Senetler</t>
        </is>
      </c>
      <c r="B348" s="44" t="n">
        <v>2009</v>
      </c>
      <c r="C348" s="44" t="inlineStr">
        <is>
          <t>TRB130110T10</t>
        </is>
      </c>
      <c r="D348" s="44" t="inlineStr">
        <is>
          <t>nan</t>
        </is>
      </c>
      <c r="E348" s="44" t="inlineStr">
        <is>
          <t>nan</t>
        </is>
      </c>
      <c r="F348" s="44" t="n"/>
      <c r="G348" s="44" t="n"/>
      <c r="H348" s="15" t="n"/>
      <c r="I348" s="45" t="n">
        <v>4390912.27</v>
      </c>
      <c r="J348" s="45" t="n">
        <v>4192512.09108</v>
      </c>
      <c r="K348" s="45" t="n">
        <v>1513742.763</v>
      </c>
      <c r="L348" s="45" t="n">
        <v>1446000.00001</v>
      </c>
      <c r="M348" s="45" t="n">
        <v>0</v>
      </c>
      <c r="N348" s="45" t="n">
        <v>0</v>
      </c>
      <c r="O348" s="45" t="n">
        <v>0</v>
      </c>
      <c r="P348" s="45" t="n">
        <v>0</v>
      </c>
      <c r="Q348" s="45" t="n">
        <v>0</v>
      </c>
      <c r="R348" s="45" t="n">
        <v>0</v>
      </c>
      <c r="S348" s="45" t="n">
        <v>1513742.763</v>
      </c>
      <c r="T348" s="45" t="n">
        <v>1446000.00001</v>
      </c>
      <c r="U348" s="15" t="n">
        <v>4.6848384</v>
      </c>
      <c r="V348" s="15" t="n">
        <v>9.589153908341142</v>
      </c>
      <c r="W348" s="49" t="n">
        <v>95.52500000000001</v>
      </c>
    </row>
    <row r="349">
      <c r="A349" s="44" t="inlineStr">
        <is>
          <t>TL Cinsi Kuponsuz Senetler</t>
        </is>
      </c>
      <c r="B349" s="44" t="n">
        <v>2009</v>
      </c>
      <c r="C349" s="44" t="inlineStr">
        <is>
          <t>TRT110511T17</t>
        </is>
      </c>
      <c r="D349" s="44" t="inlineStr">
        <is>
          <t>nan</t>
        </is>
      </c>
      <c r="E349" s="44" t="inlineStr">
        <is>
          <t>nan</t>
        </is>
      </c>
      <c r="F349" s="44" t="n"/>
      <c r="G349" s="44" t="n"/>
      <c r="H349" s="15" t="n"/>
      <c r="I349" s="45" t="n">
        <v>3284013.533</v>
      </c>
      <c r="J349" s="45" t="n">
        <v>2682755.88106</v>
      </c>
      <c r="K349" s="45" t="n">
        <v>1167874.558</v>
      </c>
      <c r="L349" s="45" t="n">
        <v>955582.64908</v>
      </c>
      <c r="M349" s="45" t="n">
        <v>244433.0375693579</v>
      </c>
      <c r="N349" s="45" t="n">
        <v>200000</v>
      </c>
      <c r="O349" s="45" t="n">
        <v>2926496.541272518</v>
      </c>
      <c r="P349" s="45" t="n">
        <v>2394518</v>
      </c>
      <c r="Q349" s="45" t="n">
        <v>0</v>
      </c>
      <c r="R349" s="45" t="n">
        <v>0</v>
      </c>
      <c r="S349" s="45" t="n">
        <v>4508579.966841877</v>
      </c>
      <c r="T349" s="45" t="n">
        <v>3689014.6287026</v>
      </c>
      <c r="U349" s="15" t="n">
        <v>22.2159652</v>
      </c>
      <c r="V349" s="15" t="n">
        <v>11.60690994697526</v>
      </c>
      <c r="W349" s="49" t="n">
        <v>81.822</v>
      </c>
    </row>
    <row r="350">
      <c r="A350" s="44" t="inlineStr">
        <is>
          <t>TL Cinsi Kuponsuz Senetler</t>
        </is>
      </c>
      <c r="B350" s="44" t="n">
        <v>2009</v>
      </c>
      <c r="C350" s="44" t="inlineStr">
        <is>
          <t>TRB280710T17</t>
        </is>
      </c>
      <c r="D350" s="44" t="inlineStr">
        <is>
          <t>nan</t>
        </is>
      </c>
      <c r="E350" s="44" t="inlineStr">
        <is>
          <t>nan</t>
        </is>
      </c>
      <c r="F350" s="44" t="n"/>
      <c r="G350" s="44" t="n"/>
      <c r="H350" s="15" t="n"/>
      <c r="I350" s="45" t="n">
        <v>6841959.18</v>
      </c>
      <c r="J350" s="45" t="n">
        <v>6250380.99736</v>
      </c>
      <c r="K350" s="45" t="n">
        <v>1770000</v>
      </c>
      <c r="L350" s="45" t="n">
        <v>1618717.35</v>
      </c>
      <c r="M350" s="45" t="n">
        <v>218691.5683465824</v>
      </c>
      <c r="N350" s="45" t="n">
        <v>200000</v>
      </c>
      <c r="O350" s="45" t="n">
        <v>3745694.509748177</v>
      </c>
      <c r="P350" s="45" t="n">
        <v>3425550</v>
      </c>
      <c r="Q350" s="45" t="n">
        <v>0</v>
      </c>
      <c r="R350" s="45" t="n">
        <v>0</v>
      </c>
      <c r="S350" s="45" t="n">
        <v>5812418.881094759</v>
      </c>
      <c r="T350" s="45" t="n">
        <v>5315630.689327589</v>
      </c>
      <c r="U350" s="15" t="n">
        <v>9.3458348</v>
      </c>
      <c r="V350" s="15" t="n">
        <v>9.537562593982729</v>
      </c>
      <c r="W350" s="49" t="n">
        <v>91.453</v>
      </c>
    </row>
    <row r="351">
      <c r="A351" s="44" t="inlineStr">
        <is>
          <t>TL Cinsi Kuponsuz Senetler</t>
        </is>
      </c>
      <c r="B351" s="44" t="n">
        <v>2009</v>
      </c>
      <c r="C351" s="44" t="inlineStr">
        <is>
          <t>TRT110511T17</t>
        </is>
      </c>
      <c r="D351" s="44" t="inlineStr">
        <is>
          <t>nan</t>
        </is>
      </c>
      <c r="E351" s="44" t="inlineStr">
        <is>
          <t>nan</t>
        </is>
      </c>
      <c r="F351" s="44" t="n"/>
      <c r="G351" s="44" t="n"/>
      <c r="H351" s="15" t="n"/>
      <c r="I351" s="45" t="n">
        <v>4806883.494</v>
      </c>
      <c r="J351" s="45" t="n">
        <v>4048784.02551</v>
      </c>
      <c r="K351" s="45" t="n">
        <v>1000011.75</v>
      </c>
      <c r="L351" s="45" t="n">
        <v>843464.98362</v>
      </c>
      <c r="M351" s="45" t="n">
        <v>2371185.355559244</v>
      </c>
      <c r="N351" s="45" t="n">
        <v>2000000</v>
      </c>
      <c r="O351" s="45" t="n">
        <v>1156673.612263771</v>
      </c>
      <c r="P351" s="45" t="n">
        <v>975607.925</v>
      </c>
      <c r="Q351" s="45" t="n">
        <v>0</v>
      </c>
      <c r="R351" s="45" t="n">
        <v>0</v>
      </c>
      <c r="S351" s="45" t="n">
        <v>4527870.717823015</v>
      </c>
      <c r="T351" s="45" t="n">
        <v>3819072.90862</v>
      </c>
      <c r="U351" s="15" t="n">
        <v>18.5599603</v>
      </c>
      <c r="V351" s="15" t="n">
        <v>10.10095069928256</v>
      </c>
      <c r="W351" s="49" t="n">
        <v>84.346</v>
      </c>
    </row>
    <row r="352">
      <c r="A352" s="44" t="inlineStr">
        <is>
          <t>TL Cinsi Kuponsuz Senetler</t>
        </is>
      </c>
      <c r="B352" s="44" t="n">
        <v>2009</v>
      </c>
      <c r="C352" s="44" t="inlineStr">
        <is>
          <t>TRB170210T15</t>
        </is>
      </c>
      <c r="D352" s="44" t="inlineStr">
        <is>
          <t>nan</t>
        </is>
      </c>
      <c r="E352" s="44" t="inlineStr">
        <is>
          <t>nan</t>
        </is>
      </c>
      <c r="F352" s="44" t="n"/>
      <c r="G352" s="44" t="n"/>
      <c r="H352" s="15" t="n"/>
      <c r="I352" s="45" t="n">
        <v>7069485.905</v>
      </c>
      <c r="J352" s="45" t="n">
        <v>6774250.92541</v>
      </c>
      <c r="K352" s="45" t="n">
        <v>3647706.336</v>
      </c>
      <c r="L352" s="45" t="n">
        <v>3498000.0003</v>
      </c>
      <c r="M352" s="45" t="n">
        <v>0</v>
      </c>
      <c r="N352" s="45" t="n">
        <v>0</v>
      </c>
      <c r="O352" s="45" t="n">
        <v>0</v>
      </c>
      <c r="P352" s="45" t="n">
        <v>0</v>
      </c>
      <c r="Q352" s="45" t="n">
        <v>0</v>
      </c>
      <c r="R352" s="45" t="n">
        <v>0</v>
      </c>
      <c r="S352" s="45" t="n">
        <v>3647706.336</v>
      </c>
      <c r="T352" s="45" t="n">
        <v>3498000.0003</v>
      </c>
      <c r="U352" s="15" t="n">
        <v>4.2797695</v>
      </c>
      <c r="V352" s="15" t="n">
        <v>8.742703269731301</v>
      </c>
      <c r="W352" s="49" t="n">
        <v>95.896</v>
      </c>
    </row>
    <row r="353">
      <c r="A353" s="44" t="inlineStr">
        <is>
          <t>TL Cinsi Kuponsuz Senetler</t>
        </is>
      </c>
      <c r="B353" s="44" t="n">
        <v>2009</v>
      </c>
      <c r="C353" s="44" t="inlineStr">
        <is>
          <t>TRB100310T11</t>
        </is>
      </c>
      <c r="D353" s="44" t="inlineStr">
        <is>
          <t>nan</t>
        </is>
      </c>
      <c r="E353" s="44" t="inlineStr">
        <is>
          <t>nan</t>
        </is>
      </c>
      <c r="F353" s="44" t="n"/>
      <c r="G353" s="44" t="n"/>
      <c r="H353" s="15" t="n"/>
      <c r="I353" s="45" t="n">
        <v>1940891.04</v>
      </c>
      <c r="J353" s="45" t="n">
        <v>1863487.19552</v>
      </c>
      <c r="K353" s="45" t="n">
        <v>799632.966</v>
      </c>
      <c r="L353" s="45" t="n">
        <v>767999.99959</v>
      </c>
      <c r="M353" s="45" t="n">
        <v>0</v>
      </c>
      <c r="N353" s="45" t="n">
        <v>0</v>
      </c>
      <c r="O353" s="45" t="n">
        <v>0</v>
      </c>
      <c r="P353" s="45" t="n">
        <v>0</v>
      </c>
      <c r="Q353" s="45" t="n"/>
      <c r="R353" s="45" t="n">
        <v>0</v>
      </c>
      <c r="S353" s="45" t="n">
        <v>799632.966</v>
      </c>
      <c r="T353" s="45" t="n">
        <v>767999.99959</v>
      </c>
      <c r="U353" s="15" t="n">
        <v>4.1188758</v>
      </c>
      <c r="V353" s="15" t="n">
        <v>8.407402978558288</v>
      </c>
      <c r="W353" s="49" t="n">
        <v>96.044</v>
      </c>
    </row>
    <row r="354">
      <c r="A354" s="44" t="inlineStr">
        <is>
          <t>TL Cinsi Kuponsuz Senetler</t>
        </is>
      </c>
      <c r="B354" s="44" t="n">
        <v>2009</v>
      </c>
      <c r="C354" s="44" t="inlineStr">
        <is>
          <t>TRT110511T17</t>
        </is>
      </c>
      <c r="D354" s="44" t="inlineStr">
        <is>
          <t>nan</t>
        </is>
      </c>
      <c r="E354" s="44" t="inlineStr">
        <is>
          <t>nan</t>
        </is>
      </c>
      <c r="F354" s="44" t="n"/>
      <c r="G354" s="44" t="n"/>
      <c r="H354" s="15" t="n"/>
      <c r="I354" s="45" t="n">
        <v>2406854.18</v>
      </c>
      <c r="J354" s="45" t="n">
        <v>2069806.56811</v>
      </c>
      <c r="K354" s="45" t="n">
        <v>963654.1800000001</v>
      </c>
      <c r="L354" s="45" t="n">
        <v>829343.90811</v>
      </c>
      <c r="M354" s="45" t="n">
        <v>174292.9515930376</v>
      </c>
      <c r="N354" s="45" t="n">
        <v>150000</v>
      </c>
      <c r="O354" s="45" t="n">
        <v>1322372.243266482</v>
      </c>
      <c r="P354" s="45" t="n">
        <v>1138060</v>
      </c>
      <c r="Q354" s="45" t="n">
        <v>0</v>
      </c>
      <c r="R354" s="45" t="n">
        <v>0</v>
      </c>
      <c r="S354" s="45" t="n">
        <v>2646362.16485952</v>
      </c>
      <c r="T354" s="45" t="n">
        <v>2277516.0540398</v>
      </c>
      <c r="U354" s="15" t="n">
        <v>16.194762</v>
      </c>
      <c r="V354" s="15" t="n">
        <v>9.376084337444878</v>
      </c>
      <c r="W354" s="49" t="n">
        <v>86.062</v>
      </c>
    </row>
    <row r="355">
      <c r="A355" s="44" t="inlineStr">
        <is>
          <t>TL Cinsi Kuponsuz Senetler</t>
        </is>
      </c>
      <c r="B355" s="44" t="n">
        <v>2009</v>
      </c>
      <c r="C355" s="44" t="inlineStr">
        <is>
          <t>TRT081210T14</t>
        </is>
      </c>
      <c r="D355" s="44" t="inlineStr">
        <is>
          <t>nan</t>
        </is>
      </c>
      <c r="E355" s="44" t="inlineStr">
        <is>
          <t>nan</t>
        </is>
      </c>
      <c r="F355" s="44" t="n"/>
      <c r="G355" s="44" t="n"/>
      <c r="H355" s="15" t="n"/>
      <c r="I355" s="45" t="n">
        <v>6322701</v>
      </c>
      <c r="J355" s="45" t="n">
        <v>5802601.16229</v>
      </c>
      <c r="K355" s="45" t="n">
        <v>2425000</v>
      </c>
      <c r="L355" s="45" t="n">
        <v>2230756.2</v>
      </c>
      <c r="M355" s="45" t="n">
        <v>217414.9364061311</v>
      </c>
      <c r="N355" s="45" t="n">
        <v>200000</v>
      </c>
      <c r="O355" s="45" t="n">
        <v>2608461.631699098</v>
      </c>
      <c r="P355" s="45" t="n">
        <v>2399523.855</v>
      </c>
      <c r="Q355" s="45" t="n">
        <v>0</v>
      </c>
      <c r="R355" s="45" t="n">
        <v>0</v>
      </c>
      <c r="S355" s="45" t="n">
        <v>5250876.568105228</v>
      </c>
      <c r="T355" s="45" t="n">
        <v>4830280.055</v>
      </c>
      <c r="U355" s="15" t="n">
        <v>8.707531599999999</v>
      </c>
      <c r="V355" s="15" t="n">
        <v>7.376650451702882</v>
      </c>
      <c r="W355" s="49" t="n">
        <v>91.98999999999999</v>
      </c>
    </row>
    <row r="356">
      <c r="A356" s="44" t="inlineStr">
        <is>
          <t>TL Cinsi Kuponsuz Senetler</t>
        </is>
      </c>
      <c r="B356" s="44" t="n">
        <v>2009</v>
      </c>
      <c r="C356" s="44" t="inlineStr">
        <is>
          <t>TRT030811T14</t>
        </is>
      </c>
      <c r="D356" s="44" t="inlineStr">
        <is>
          <t>nan</t>
        </is>
      </c>
      <c r="E356" s="44" t="inlineStr">
        <is>
          <t>nan</t>
        </is>
      </c>
      <c r="F356" s="44" t="n"/>
      <c r="G356" s="44" t="n"/>
      <c r="H356" s="15" t="n"/>
      <c r="I356" s="45" t="n">
        <v>1750912.218</v>
      </c>
      <c r="J356" s="45" t="n">
        <v>1527018.41477</v>
      </c>
      <c r="K356" s="45" t="n">
        <v>1107412.218</v>
      </c>
      <c r="L356" s="45" t="n">
        <v>966697.95677</v>
      </c>
      <c r="M356" s="45" t="n">
        <v>0</v>
      </c>
      <c r="N356" s="45" t="n">
        <v>0</v>
      </c>
      <c r="O356" s="45" t="n">
        <v>3439777.530844397</v>
      </c>
      <c r="P356" s="45" t="n">
        <v>3002685</v>
      </c>
      <c r="Q356" s="45" t="n">
        <v>0</v>
      </c>
      <c r="R356" s="45" t="n">
        <v>0</v>
      </c>
      <c r="S356" s="45" t="n">
        <v>4547189.748844397</v>
      </c>
      <c r="T356" s="45" t="n">
        <v>3969382.95677</v>
      </c>
      <c r="U356" s="15" t="n">
        <v>14.5561765</v>
      </c>
      <c r="V356" s="15" t="n">
        <v>7.722114228385224</v>
      </c>
      <c r="W356" s="49" t="n">
        <v>87.29300000000001</v>
      </c>
    </row>
    <row r="357">
      <c r="A357" s="44" t="inlineStr">
        <is>
          <t>TL Cinsi Kuponsuz Senetler</t>
        </is>
      </c>
      <c r="B357" s="44" t="n">
        <v>2009</v>
      </c>
      <c r="C357" s="44" t="inlineStr">
        <is>
          <t>TRT081210T14</t>
        </is>
      </c>
      <c r="D357" s="44" t="inlineStr">
        <is>
          <t>nan</t>
        </is>
      </c>
      <c r="E357" s="44" t="inlineStr">
        <is>
          <t>nan</t>
        </is>
      </c>
      <c r="F357" s="44" t="n"/>
      <c r="G357" s="44" t="n"/>
      <c r="H357" s="15" t="n"/>
      <c r="I357" s="45" t="n">
        <v>4066674</v>
      </c>
      <c r="J357" s="45" t="n">
        <v>3739514.18264</v>
      </c>
      <c r="K357" s="45" t="n">
        <v>1130674</v>
      </c>
      <c r="L357" s="45" t="n">
        <v>1040701.28314</v>
      </c>
      <c r="M357" s="45" t="n">
        <v>0</v>
      </c>
      <c r="N357" s="45" t="n">
        <v>0</v>
      </c>
      <c r="O357" s="45" t="n">
        <v>1845740.577773432</v>
      </c>
      <c r="P357" s="45" t="n">
        <v>1698875</v>
      </c>
      <c r="Q357" s="45" t="n">
        <v>0</v>
      </c>
      <c r="R357" s="45" t="n">
        <v>0</v>
      </c>
      <c r="S357" s="45" t="n">
        <v>3015615.845773432</v>
      </c>
      <c r="T357" s="45" t="n">
        <v>2775658.30624524</v>
      </c>
      <c r="U357" s="15" t="n">
        <v>8.6453931</v>
      </c>
      <c r="V357" s="15" t="n">
        <v>8.155114653977623</v>
      </c>
      <c r="W357" s="49" t="n">
        <v>92.04300000000001</v>
      </c>
    </row>
    <row r="358">
      <c r="A358" s="44" t="inlineStr">
        <is>
          <t>TL Cinsi Kuponsuz Senetler</t>
        </is>
      </c>
      <c r="B358" s="44" t="n">
        <v>2009</v>
      </c>
      <c r="C358" s="44" t="inlineStr">
        <is>
          <t>TRT030811T14</t>
        </is>
      </c>
      <c r="D358" s="44" t="inlineStr">
        <is>
          <t>nan</t>
        </is>
      </c>
      <c r="E358" s="44" t="inlineStr">
        <is>
          <t>nan</t>
        </is>
      </c>
      <c r="F358" s="44" t="n"/>
      <c r="G358" s="44" t="n"/>
      <c r="H358" s="15" t="n"/>
      <c r="I358" s="45" t="n">
        <v>8670670.408</v>
      </c>
      <c r="J358" s="45" t="n">
        <v>7501977.5062</v>
      </c>
      <c r="K358" s="45" t="n">
        <v>2405000</v>
      </c>
      <c r="L358" s="45" t="n">
        <v>2083148.9</v>
      </c>
      <c r="M358" s="45" t="n">
        <v>525301.0379024902</v>
      </c>
      <c r="N358" s="45" t="n">
        <v>455000</v>
      </c>
      <c r="O358" s="45" t="n">
        <v>1328838.449726959</v>
      </c>
      <c r="P358" s="45" t="n">
        <v>1151000</v>
      </c>
      <c r="Q358" s="45" t="n">
        <v>0</v>
      </c>
      <c r="R358" s="45" t="n">
        <v>0</v>
      </c>
      <c r="S358" s="45" t="n">
        <v>4519199.487629449</v>
      </c>
      <c r="T358" s="45" t="n">
        <v>3914405.0702</v>
      </c>
      <c r="U358" s="15" t="n">
        <v>15.4502206</v>
      </c>
      <c r="V358" s="15" t="n">
        <v>8.756536776039713</v>
      </c>
      <c r="W358" s="49" t="n">
        <v>86.617</v>
      </c>
    </row>
    <row r="359">
      <c r="A359" s="44" t="inlineStr">
        <is>
          <t>TL Cinsi Kuponsuz Senetler</t>
        </is>
      </c>
      <c r="B359" s="44" t="n">
        <v>2009</v>
      </c>
      <c r="C359" s="44" t="inlineStr">
        <is>
          <t>TRT030811T14</t>
        </is>
      </c>
      <c r="D359" s="44" t="inlineStr">
        <is>
          <t>nan</t>
        </is>
      </c>
      <c r="E359" s="44" t="inlineStr">
        <is>
          <t>nan</t>
        </is>
      </c>
      <c r="F359" s="44" t="n"/>
      <c r="G359" s="44" t="n"/>
      <c r="H359" s="15" t="n"/>
      <c r="I359" s="45" t="n">
        <v>3094745.425</v>
      </c>
      <c r="J359" s="45" t="n">
        <v>2681374.953</v>
      </c>
      <c r="K359" s="45" t="n">
        <v>1018594.27</v>
      </c>
      <c r="L359" s="45" t="n">
        <v>883240.11538</v>
      </c>
      <c r="M359" s="45" t="n">
        <v>57662.14595442384</v>
      </c>
      <c r="N359" s="45" t="n">
        <v>50000</v>
      </c>
      <c r="O359" s="45" t="n">
        <v>664267.9213949626</v>
      </c>
      <c r="P359" s="45" t="n">
        <v>576000</v>
      </c>
      <c r="Q359" s="45" t="n">
        <v>0</v>
      </c>
      <c r="R359" s="45" t="n">
        <v>0</v>
      </c>
      <c r="S359" s="45" t="n">
        <v>1790024.337349386</v>
      </c>
      <c r="T359" s="45" t="n">
        <v>1552162.55538</v>
      </c>
      <c r="U359" s="15" t="n">
        <v>15.3247291</v>
      </c>
      <c r="V359" s="15" t="n">
        <v>9.003759594123828</v>
      </c>
      <c r="W359" s="49" t="n">
        <v>86.712</v>
      </c>
    </row>
    <row r="360">
      <c r="A360" s="44" t="inlineStr">
        <is>
          <t>TL Cinsi Kuponsuz Senetler</t>
        </is>
      </c>
      <c r="B360" s="44" t="n">
        <v>2008</v>
      </c>
      <c r="C360" s="44" t="inlineStr">
        <is>
          <t>TRB020408T14</t>
        </is>
      </c>
      <c r="D360" s="44" t="inlineStr">
        <is>
          <t>nan</t>
        </is>
      </c>
      <c r="E360" s="44" t="inlineStr">
        <is>
          <t>nan</t>
        </is>
      </c>
      <c r="F360" s="44" t="n"/>
      <c r="G360" s="44" t="n"/>
      <c r="H360" s="15" t="n"/>
      <c r="I360" s="45" t="n">
        <v>1405916.33</v>
      </c>
      <c r="J360" s="45" t="n">
        <v>1353374.4013</v>
      </c>
      <c r="K360" s="45" t="n">
        <v>664606.279</v>
      </c>
      <c r="L360" s="45" t="n">
        <v>640000.00003</v>
      </c>
      <c r="M360" s="45" t="n">
        <v>0</v>
      </c>
      <c r="N360" s="45" t="n">
        <v>0</v>
      </c>
      <c r="O360" s="45" t="n">
        <v>0</v>
      </c>
      <c r="P360" s="45" t="n">
        <v>0</v>
      </c>
      <c r="Q360" s="45" t="n">
        <v>0</v>
      </c>
      <c r="R360" s="45" t="n">
        <v>0</v>
      </c>
      <c r="S360" s="45" t="n">
        <v>664606.279</v>
      </c>
      <c r="T360" s="45" t="n">
        <v>640000.00003</v>
      </c>
      <c r="U360" s="15" t="n">
        <v>3.8447311</v>
      </c>
      <c r="V360" s="15" t="n">
        <v>16.28879340041249</v>
      </c>
      <c r="W360" s="49" t="n">
        <v>96.298</v>
      </c>
    </row>
    <row r="361">
      <c r="A361" s="44" t="inlineStr">
        <is>
          <t>TL Cinsi Kuponsuz Senetler</t>
        </is>
      </c>
      <c r="B361" s="44" t="n">
        <v>2008</v>
      </c>
      <c r="C361" s="44" t="inlineStr">
        <is>
          <t>TRB160708T15</t>
        </is>
      </c>
      <c r="D361" s="44" t="inlineStr">
        <is>
          <t>nan</t>
        </is>
      </c>
      <c r="E361" s="44" t="inlineStr">
        <is>
          <t>nan</t>
        </is>
      </c>
      <c r="F361" s="44" t="n"/>
      <c r="G361" s="44" t="n"/>
      <c r="H361" s="15" t="n"/>
      <c r="I361" s="45" t="n">
        <v>3308987.785</v>
      </c>
      <c r="J361" s="45" t="n">
        <v>3067238.20376</v>
      </c>
      <c r="K361" s="45" t="n">
        <v>1036414.378</v>
      </c>
      <c r="L361" s="45" t="n">
        <v>961000.0006</v>
      </c>
      <c r="M361" s="45" t="n">
        <v>0</v>
      </c>
      <c r="N361" s="45" t="n">
        <v>0</v>
      </c>
      <c r="O361" s="45" t="n">
        <v>0</v>
      </c>
      <c r="P361" s="45" t="n">
        <v>0</v>
      </c>
      <c r="Q361" s="45" t="n">
        <v>0</v>
      </c>
      <c r="R361" s="45" t="n">
        <v>0</v>
      </c>
      <c r="S361" s="45" t="n">
        <v>1036414.378</v>
      </c>
      <c r="T361" s="45" t="n">
        <v>961000.0006</v>
      </c>
      <c r="U361" s="15" t="n">
        <v>7.8474898</v>
      </c>
      <c r="V361" s="15" t="n">
        <v>16.31081056161106</v>
      </c>
      <c r="W361" s="49" t="n">
        <v>92.724</v>
      </c>
    </row>
    <row r="362">
      <c r="A362" s="44" t="inlineStr">
        <is>
          <t>TL Cinsi Kuponsuz Senetler</t>
        </is>
      </c>
      <c r="B362" s="44" t="n">
        <v>2008</v>
      </c>
      <c r="C362" s="44" t="inlineStr">
        <is>
          <t>TRT071009T51</t>
        </is>
      </c>
      <c r="D362" s="44" t="inlineStr">
        <is>
          <t>nan</t>
        </is>
      </c>
      <c r="E362" s="44" t="inlineStr">
        <is>
          <t>nan</t>
        </is>
      </c>
      <c r="F362" s="44" t="n"/>
      <c r="G362" s="44" t="n"/>
      <c r="H362" s="15" t="n"/>
      <c r="I362" s="45" t="n">
        <v>5872876.5</v>
      </c>
      <c r="J362" s="45" t="n">
        <v>4525000.93005</v>
      </c>
      <c r="K362" s="45" t="n">
        <v>2157000</v>
      </c>
      <c r="L362" s="45" t="n">
        <v>1663362.668</v>
      </c>
      <c r="M362" s="45" t="n">
        <v>661349.93191986</v>
      </c>
      <c r="N362" s="45" t="n">
        <v>510000</v>
      </c>
      <c r="O362" s="45" t="n">
        <v>1622330.285936588</v>
      </c>
      <c r="P362" s="45" t="n">
        <v>1251060</v>
      </c>
      <c r="Q362" s="45" t="n">
        <v>0</v>
      </c>
      <c r="R362" s="45" t="n">
        <v>0</v>
      </c>
      <c r="S362" s="45" t="n">
        <v>4440680.217856448</v>
      </c>
      <c r="T362" s="45" t="n">
        <v>3424422.668</v>
      </c>
      <c r="U362" s="15" t="n">
        <v>29.67707</v>
      </c>
      <c r="V362" s="15" t="n">
        <v>16.20099388977714</v>
      </c>
      <c r="W362" s="49" t="n">
        <v>77.11499999999999</v>
      </c>
    </row>
    <row r="363">
      <c r="A363" s="44" t="inlineStr">
        <is>
          <t>TL Cinsi Kuponsuz Senetler</t>
        </is>
      </c>
      <c r="B363" s="44" t="n">
        <v>2008</v>
      </c>
      <c r="C363" s="44" t="inlineStr">
        <is>
          <t>TRB200808T18</t>
        </is>
      </c>
      <c r="D363" s="44" t="inlineStr">
        <is>
          <t>nan</t>
        </is>
      </c>
      <c r="E363" s="44" t="inlineStr">
        <is>
          <t>nan</t>
        </is>
      </c>
      <c r="F363" s="44" t="n"/>
      <c r="G363" s="44" t="n"/>
      <c r="H363" s="15" t="n"/>
      <c r="I363" s="45" t="n">
        <v>2701960.335</v>
      </c>
      <c r="J363" s="45" t="n">
        <v>2499031.96124</v>
      </c>
      <c r="K363" s="45" t="n">
        <v>989013.205</v>
      </c>
      <c r="L363" s="45" t="n">
        <v>915000.0023000001</v>
      </c>
      <c r="M363" s="45" t="n">
        <v>0</v>
      </c>
      <c r="N363" s="45" t="n">
        <v>0</v>
      </c>
      <c r="O363" s="45" t="n">
        <v>0</v>
      </c>
      <c r="P363" s="45" t="n">
        <v>0</v>
      </c>
      <c r="Q363" s="45" t="n">
        <v>0</v>
      </c>
      <c r="R363" s="45" t="n">
        <v>0</v>
      </c>
      <c r="S363" s="45" t="n">
        <v>989013.3050000001</v>
      </c>
      <c r="T363" s="45" t="n">
        <v>915000.0023000001</v>
      </c>
      <c r="U363" s="15" t="n">
        <v>8.0888746</v>
      </c>
      <c r="V363" s="15" t="n">
        <v>16.83204812294527</v>
      </c>
      <c r="W363" s="49" t="n">
        <v>92.51600000000001</v>
      </c>
    </row>
    <row r="364">
      <c r="A364" s="44" t="inlineStr">
        <is>
          <t>TL Cinsi Kuponsuz Senetler</t>
        </is>
      </c>
      <c r="B364" s="44" t="n">
        <v>2008</v>
      </c>
      <c r="C364" s="44" t="inlineStr">
        <is>
          <t>TRT071009T51</t>
        </is>
      </c>
      <c r="D364" s="44" t="inlineStr">
        <is>
          <t>nan</t>
        </is>
      </c>
      <c r="E364" s="44" t="inlineStr">
        <is>
          <t>nan</t>
        </is>
      </c>
      <c r="F364" s="44" t="n"/>
      <c r="G364" s="44" t="n"/>
      <c r="H364" s="15" t="n"/>
      <c r="I364" s="45" t="n">
        <v>3258996</v>
      </c>
      <c r="J364" s="45" t="n">
        <v>2530248.059</v>
      </c>
      <c r="K364" s="45" t="n">
        <v>834551.95</v>
      </c>
      <c r="L364" s="45" t="n">
        <v>648637.78764</v>
      </c>
      <c r="M364" s="45" t="n">
        <v>771972.2604634407</v>
      </c>
      <c r="N364" s="45" t="n">
        <v>600000</v>
      </c>
      <c r="O364" s="45" t="n">
        <v>1163757.960963936</v>
      </c>
      <c r="P364" s="45" t="n">
        <v>904507.6</v>
      </c>
      <c r="Q364" s="45" t="n">
        <v>97669.63800000001</v>
      </c>
      <c r="R364" s="45" t="n">
        <v>75911.77274274</v>
      </c>
      <c r="S364" s="45" t="n">
        <v>2867951.80942738</v>
      </c>
      <c r="T364" s="45" t="n">
        <v>2229057.16038274</v>
      </c>
      <c r="U364" s="15" t="n">
        <v>28.66225</v>
      </c>
      <c r="V364" s="15" t="n">
        <v>16.66977105699065</v>
      </c>
      <c r="W364" s="49" t="n">
        <v>77.723</v>
      </c>
    </row>
    <row r="365">
      <c r="A365" s="44" t="inlineStr">
        <is>
          <t>TL Cinsi Kuponsuz Senetler</t>
        </is>
      </c>
      <c r="B365" s="44" t="n">
        <v>2008</v>
      </c>
      <c r="C365" s="44" t="inlineStr">
        <is>
          <t>TRB100908T19</t>
        </is>
      </c>
      <c r="D365" s="44" t="inlineStr">
        <is>
          <t>nan</t>
        </is>
      </c>
      <c r="E365" s="44" t="inlineStr">
        <is>
          <t>nan</t>
        </is>
      </c>
      <c r="F365" s="44" t="n"/>
      <c r="G365" s="44" t="n"/>
      <c r="H365" s="15" t="n"/>
      <c r="I365" s="45" t="n">
        <v>1556205.205</v>
      </c>
      <c r="J365" s="45" t="n">
        <v>1437467.50838</v>
      </c>
      <c r="K365" s="45" t="n">
        <v>899452.583</v>
      </c>
      <c r="L365" s="45" t="n">
        <v>831000.00066</v>
      </c>
      <c r="M365" s="45" t="n">
        <v>0</v>
      </c>
      <c r="N365" s="45" t="n">
        <v>0</v>
      </c>
      <c r="O365" s="45" t="n">
        <v>0</v>
      </c>
      <c r="P365" s="45" t="n">
        <v>0</v>
      </c>
      <c r="Q365" s="45" t="n">
        <v>0</v>
      </c>
      <c r="R365" s="45" t="n">
        <v>0</v>
      </c>
      <c r="S365" s="45" t="n">
        <v>899452.583</v>
      </c>
      <c r="T365" s="45" t="n">
        <v>831000.00066</v>
      </c>
      <c r="U365" s="15" t="n">
        <v>8.2373745</v>
      </c>
      <c r="V365" s="15" t="n">
        <v>17.15329238653249</v>
      </c>
      <c r="W365" s="49" t="n">
        <v>92.39</v>
      </c>
    </row>
    <row r="366">
      <c r="A366" s="44" t="inlineStr">
        <is>
          <t>TL Cinsi Kuponsuz Senetler</t>
        </is>
      </c>
      <c r="B366" s="44" t="n">
        <v>2008</v>
      </c>
      <c r="C366" s="44" t="inlineStr">
        <is>
          <t>TRT071009T51</t>
        </is>
      </c>
      <c r="D366" s="44" t="inlineStr">
        <is>
          <t>nan</t>
        </is>
      </c>
      <c r="E366" s="44" t="inlineStr">
        <is>
          <t>nan</t>
        </is>
      </c>
      <c r="F366" s="44" t="n"/>
      <c r="G366" s="44" t="n"/>
      <c r="H366" s="15" t="n"/>
      <c r="I366" s="45" t="n">
        <v>3645750.6</v>
      </c>
      <c r="J366" s="45" t="n">
        <v>2820454.71609</v>
      </c>
      <c r="K366" s="45" t="n">
        <v>1452000</v>
      </c>
      <c r="L366" s="45" t="n">
        <v>1124375.34</v>
      </c>
      <c r="M366" s="45" t="n">
        <v>129138.9018027791</v>
      </c>
      <c r="N366" s="45" t="n">
        <v>100000</v>
      </c>
      <c r="O366" s="45" t="n">
        <v>1386790.381734594</v>
      </c>
      <c r="P366" s="45" t="n">
        <v>1073875</v>
      </c>
      <c r="Q366" s="45" t="n">
        <v>141871.029</v>
      </c>
      <c r="R366" s="45" t="n">
        <v>109859.25001644</v>
      </c>
      <c r="S366" s="45" t="n">
        <v>3314800.312537373</v>
      </c>
      <c r="T366" s="45" t="n">
        <v>2566853.39001644</v>
      </c>
      <c r="U366" s="15" t="n">
        <v>29.13837</v>
      </c>
      <c r="V366" s="15" t="n">
        <v>17.60487169491272</v>
      </c>
      <c r="W366" s="49" t="n">
        <v>77.43600000000001</v>
      </c>
    </row>
    <row r="367">
      <c r="A367" s="44" t="inlineStr">
        <is>
          <t>TL Cinsi Kuponsuz Senetler</t>
        </is>
      </c>
      <c r="B367" s="44" t="n">
        <v>2008</v>
      </c>
      <c r="C367" s="44" t="inlineStr">
        <is>
          <t>TRB020708T11</t>
        </is>
      </c>
      <c r="D367" s="44" t="inlineStr">
        <is>
          <t>nan</t>
        </is>
      </c>
      <c r="E367" s="44" t="inlineStr">
        <is>
          <t>nan</t>
        </is>
      </c>
      <c r="F367" s="44" t="n"/>
      <c r="G367" s="44" t="n"/>
      <c r="H367" s="15" t="n"/>
      <c r="I367" s="45" t="n">
        <v>2027434.17</v>
      </c>
      <c r="J367" s="45" t="n">
        <v>1945985.39747</v>
      </c>
      <c r="K367" s="45" t="n">
        <v>1334327.151</v>
      </c>
      <c r="L367" s="45" t="n">
        <v>1280999.99848</v>
      </c>
      <c r="M367" s="45" t="n">
        <v>0</v>
      </c>
      <c r="N367" s="45" t="n">
        <v>0</v>
      </c>
      <c r="O367" s="45" t="n">
        <v>0</v>
      </c>
      <c r="P367" s="45" t="n">
        <v>0</v>
      </c>
      <c r="Q367" s="45" t="n">
        <v>0</v>
      </c>
      <c r="R367" s="45" t="n">
        <v>0</v>
      </c>
      <c r="S367" s="45" t="n">
        <v>1334327.151</v>
      </c>
      <c r="T367" s="45" t="n">
        <v>1280999.99848</v>
      </c>
      <c r="U367" s="15" t="n">
        <v>4.1629315</v>
      </c>
      <c r="V367" s="15" t="n">
        <v>17.72068368822504</v>
      </c>
      <c r="W367" s="49" t="n">
        <v>96.003</v>
      </c>
    </row>
    <row r="368">
      <c r="A368" s="44" t="inlineStr">
        <is>
          <t>TL Cinsi Kuponsuz Senetler</t>
        </is>
      </c>
      <c r="B368" s="44" t="n">
        <v>2008</v>
      </c>
      <c r="C368" s="44" t="inlineStr">
        <is>
          <t>TRT080409T17</t>
        </is>
      </c>
      <c r="D368" s="44" t="inlineStr">
        <is>
          <t>nan</t>
        </is>
      </c>
      <c r="E368" s="44" t="inlineStr">
        <is>
          <t>nan</t>
        </is>
      </c>
      <c r="F368" s="44" t="n"/>
      <c r="G368" s="44" t="n"/>
      <c r="H368" s="15" t="n"/>
      <c r="I368" s="45" t="n">
        <v>2307951.954</v>
      </c>
      <c r="J368" s="45" t="n">
        <v>1950661.6743</v>
      </c>
      <c r="K368" s="45" t="n">
        <v>1416699.425</v>
      </c>
      <c r="L368" s="45" t="n">
        <v>1197920.62164</v>
      </c>
      <c r="M368" s="45" t="n">
        <v>0</v>
      </c>
      <c r="N368" s="45" t="n">
        <v>0</v>
      </c>
      <c r="O368" s="45" t="n">
        <v>842531.8595976677</v>
      </c>
      <c r="P368" s="45" t="n">
        <v>712419.66452</v>
      </c>
      <c r="Q368" s="45" t="n">
        <v>101270.381</v>
      </c>
      <c r="R368" s="45" t="n">
        <v>85631.19606217001</v>
      </c>
      <c r="S368" s="45" t="n">
        <v>2404503.273597668</v>
      </c>
      <c r="T368" s="45" t="n">
        <v>2033177.92189873</v>
      </c>
      <c r="U368" s="15" t="n">
        <v>18.2632137</v>
      </c>
      <c r="V368" s="15" t="n">
        <v>18.26321370000002</v>
      </c>
      <c r="W368" s="49" t="n">
        <v>84.557</v>
      </c>
    </row>
    <row r="369">
      <c r="A369" s="44" t="inlineStr">
        <is>
          <t>TL Cinsi Kuponsuz Senetler</t>
        </is>
      </c>
      <c r="B369" s="44" t="n">
        <v>2008</v>
      </c>
      <c r="C369" s="44" t="inlineStr">
        <is>
          <t>TRT130110T10</t>
        </is>
      </c>
      <c r="D369" s="44" t="inlineStr">
        <is>
          <t>nan</t>
        </is>
      </c>
      <c r="E369" s="44" t="inlineStr">
        <is>
          <t>nan</t>
        </is>
      </c>
      <c r="F369" s="44" t="n"/>
      <c r="G369" s="44" t="n"/>
      <c r="H369" s="15" t="n"/>
      <c r="I369" s="45" t="n">
        <v>5363947.697</v>
      </c>
      <c r="J369" s="45" t="n">
        <v>3973579.29734</v>
      </c>
      <c r="K369" s="45" t="n">
        <v>3317323.18</v>
      </c>
      <c r="L369" s="45" t="n">
        <v>2458631.10228</v>
      </c>
      <c r="M369" s="45" t="n">
        <v>809552.7221210282</v>
      </c>
      <c r="N369" s="45" t="n">
        <v>600000</v>
      </c>
      <c r="O369" s="45" t="n">
        <v>1314127.706941915</v>
      </c>
      <c r="P369" s="45" t="n">
        <v>973965.75</v>
      </c>
      <c r="Q369" s="45" t="n">
        <v>224199.207</v>
      </c>
      <c r="R369" s="45" t="n">
        <v>166165.24226805</v>
      </c>
      <c r="S369" s="45" t="n">
        <v>6004470.615062944</v>
      </c>
      <c r="T369" s="45" t="n">
        <v>4450210.4237769</v>
      </c>
      <c r="U369" s="15" t="n">
        <v>34.9256168</v>
      </c>
      <c r="V369" s="15" t="n">
        <v>18.44906154479982</v>
      </c>
      <c r="W369" s="49" t="n">
        <v>74.11499999999999</v>
      </c>
    </row>
    <row r="370">
      <c r="A370" s="44" t="inlineStr">
        <is>
          <t>TL Cinsi Kuponsuz Senetler</t>
        </is>
      </c>
      <c r="B370" s="44" t="n">
        <v>2008</v>
      </c>
      <c r="C370" s="44" t="inlineStr">
        <is>
          <t>TRT130110T10</t>
        </is>
      </c>
      <c r="D370" s="44" t="inlineStr">
        <is>
          <t>nan</t>
        </is>
      </c>
      <c r="E370" s="44" t="inlineStr">
        <is>
          <t>nan</t>
        </is>
      </c>
      <c r="F370" s="44" t="n"/>
      <c r="G370" s="44" t="n"/>
      <c r="H370" s="15" t="n"/>
      <c r="I370" s="45" t="n">
        <v>1711082.671</v>
      </c>
      <c r="J370" s="45" t="n">
        <v>1263468.29939</v>
      </c>
      <c r="K370" s="45" t="n">
        <v>1022593.951</v>
      </c>
      <c r="L370" s="45" t="n">
        <v>755641.19293</v>
      </c>
      <c r="M370" s="45" t="n">
        <v>135327.1533933284</v>
      </c>
      <c r="N370" s="45" t="n">
        <v>100000</v>
      </c>
      <c r="O370" s="45" t="n">
        <v>920729.4139928276</v>
      </c>
      <c r="P370" s="45" t="n">
        <v>680373.00047</v>
      </c>
      <c r="Q370" s="45" t="n">
        <v>74850.234</v>
      </c>
      <c r="R370" s="45" t="n">
        <v>55310.58041429999</v>
      </c>
      <c r="S370" s="45" t="n">
        <v>2153500.752386156</v>
      </c>
      <c r="T370" s="45" t="n">
        <v>1591324.7738143</v>
      </c>
      <c r="U370" s="15" t="n">
        <v>35.3279785</v>
      </c>
      <c r="V370" s="15" t="n">
        <v>19.57437622696141</v>
      </c>
      <c r="W370" s="49" t="n">
        <v>73.895</v>
      </c>
    </row>
    <row r="371">
      <c r="A371" s="44" t="inlineStr">
        <is>
          <t>TL Cinsi Kuponsuz Senetler</t>
        </is>
      </c>
      <c r="B371" s="44" t="n">
        <v>2008</v>
      </c>
      <c r="C371" s="44" t="inlineStr">
        <is>
          <t>TRT130110T10</t>
        </is>
      </c>
      <c r="D371" s="44" t="inlineStr">
        <is>
          <t>nan</t>
        </is>
      </c>
      <c r="E371" s="44" t="inlineStr">
        <is>
          <t>nan</t>
        </is>
      </c>
      <c r="F371" s="44" t="n"/>
      <c r="G371" s="44" t="n"/>
      <c r="H371" s="15" t="n"/>
      <c r="I371" s="45" t="n">
        <v>1746680.86</v>
      </c>
      <c r="J371" s="45" t="n">
        <v>1278756.114</v>
      </c>
      <c r="K371" s="45" t="n">
        <v>1259411.28</v>
      </c>
      <c r="L371" s="45" t="n">
        <v>922441.93045</v>
      </c>
      <c r="M371" s="45" t="n">
        <v>136529.9546720551</v>
      </c>
      <c r="N371" s="45" t="n">
        <v>100000</v>
      </c>
      <c r="O371" s="45" t="n">
        <v>948541.8600841025</v>
      </c>
      <c r="P371" s="45" t="n">
        <v>694750</v>
      </c>
      <c r="Q371" s="45" t="n">
        <v>90503.25599999999</v>
      </c>
      <c r="R371" s="45" t="n">
        <v>66288.20482463999</v>
      </c>
      <c r="S371" s="45" t="n">
        <v>2434986.350756158</v>
      </c>
      <c r="T371" s="45" t="n">
        <v>1783480.13527464</v>
      </c>
      <c r="U371" s="15" t="n">
        <v>36.5301423</v>
      </c>
      <c r="V371" s="15" t="n">
        <v>21.54063380016051</v>
      </c>
      <c r="W371" s="49" t="n">
        <v>73.244</v>
      </c>
    </row>
    <row r="372">
      <c r="A372" s="44" t="inlineStr">
        <is>
          <t>TL Cinsi Kuponsuz Senetler</t>
        </is>
      </c>
      <c r="B372" s="44" t="n">
        <v>2008</v>
      </c>
      <c r="C372" s="44" t="inlineStr">
        <is>
          <t>TRB140109T12</t>
        </is>
      </c>
      <c r="D372" s="44" t="inlineStr">
        <is>
          <t>nan</t>
        </is>
      </c>
      <c r="E372" s="44" t="inlineStr">
        <is>
          <t>nan</t>
        </is>
      </c>
      <c r="F372" s="44" t="n"/>
      <c r="G372" s="44" t="n"/>
      <c r="H372" s="15" t="n"/>
      <c r="I372" s="45" t="n">
        <v>7616437.91</v>
      </c>
      <c r="J372" s="45" t="n">
        <v>6961076.6206</v>
      </c>
      <c r="K372" s="45" t="n">
        <v>3839933.357</v>
      </c>
      <c r="L372" s="45" t="n">
        <v>3518999.99971</v>
      </c>
      <c r="M372" s="45" t="n">
        <v>0</v>
      </c>
      <c r="N372" s="45" t="n">
        <v>0</v>
      </c>
      <c r="O372" s="45" t="n">
        <v>0</v>
      </c>
      <c r="P372" s="45" t="n">
        <v>0</v>
      </c>
      <c r="Q372" s="45" t="n">
        <v>0</v>
      </c>
      <c r="R372" s="45" t="n">
        <v>0</v>
      </c>
      <c r="S372" s="45" t="n">
        <v>3839933.357</v>
      </c>
      <c r="T372" s="45" t="n">
        <v>3518999.99971</v>
      </c>
      <c r="U372" s="15" t="n">
        <v>9.120015799999999</v>
      </c>
      <c r="V372" s="15" t="n">
        <v>19.07177848192248</v>
      </c>
      <c r="W372" s="49" t="n">
        <v>91.642</v>
      </c>
    </row>
    <row r="373">
      <c r="A373" s="44" t="inlineStr">
        <is>
          <t>TL Cinsi Kuponsuz Senetler</t>
        </is>
      </c>
      <c r="B373" s="44" t="n">
        <v>2008</v>
      </c>
      <c r="C373" s="44" t="inlineStr">
        <is>
          <t>TRT150709T15</t>
        </is>
      </c>
      <c r="D373" s="44" t="inlineStr">
        <is>
          <t>nan</t>
        </is>
      </c>
      <c r="E373" s="44" t="inlineStr">
        <is>
          <t>nan</t>
        </is>
      </c>
      <c r="F373" s="44" t="n"/>
      <c r="G373" s="44" t="n"/>
      <c r="H373" s="15" t="n"/>
      <c r="I373" s="45" t="n">
        <v>1779806.903</v>
      </c>
      <c r="J373" s="45" t="n">
        <v>1476548.31744</v>
      </c>
      <c r="K373" s="45" t="n">
        <v>1117630.36</v>
      </c>
      <c r="L373" s="45" t="n">
        <v>928355.6219</v>
      </c>
      <c r="M373" s="45" t="n">
        <v>0</v>
      </c>
      <c r="N373" s="45" t="n">
        <v>0</v>
      </c>
      <c r="O373" s="45" t="n">
        <v>1080733.160777704</v>
      </c>
      <c r="P373" s="45" t="n">
        <v>897711</v>
      </c>
      <c r="Q373" s="45" t="n">
        <v>105254.402</v>
      </c>
      <c r="R373" s="45" t="n">
        <v>87429.56902130001</v>
      </c>
      <c r="S373" s="45" t="n">
        <v>2518840.890777704</v>
      </c>
      <c r="T373" s="45" t="n">
        <v>2092271.1492905</v>
      </c>
      <c r="U373" s="15" t="n">
        <v>20.3881717</v>
      </c>
      <c r="V373" s="15" t="n">
        <v>20.3881717</v>
      </c>
      <c r="W373" s="49" t="n">
        <v>83.065</v>
      </c>
    </row>
    <row r="374">
      <c r="A374" s="44" t="inlineStr">
        <is>
          <t>TL Cinsi Kuponsuz Senetler</t>
        </is>
      </c>
      <c r="B374" s="44" t="n">
        <v>2008</v>
      </c>
      <c r="C374" s="44" t="inlineStr">
        <is>
          <t>TRT140410T16</t>
        </is>
      </c>
      <c r="D374" s="44" t="inlineStr">
        <is>
          <t>nan</t>
        </is>
      </c>
      <c r="E374" s="44" t="inlineStr">
        <is>
          <t>nan</t>
        </is>
      </c>
      <c r="F374" s="44" t="n"/>
      <c r="G374" s="44" t="n"/>
      <c r="H374" s="15" t="n"/>
      <c r="I374" s="45" t="n">
        <v>4096475.36543</v>
      </c>
      <c r="J374" s="45" t="n">
        <v>2903249.25343</v>
      </c>
      <c r="K374" s="45" t="n">
        <v>2741625.809</v>
      </c>
      <c r="L374" s="45" t="n">
        <v>1945789.46007</v>
      </c>
      <c r="M374" s="45" t="n">
        <v>2254410.189934059</v>
      </c>
      <c r="N374" s="45" t="n">
        <v>1600000</v>
      </c>
      <c r="O374" s="45" t="n">
        <v>1228794.454150933</v>
      </c>
      <c r="P374" s="45" t="n">
        <v>872100</v>
      </c>
      <c r="Q374" s="45" t="n">
        <v>172796.983</v>
      </c>
      <c r="R374" s="45" t="n">
        <v>122637.47477476</v>
      </c>
      <c r="S374" s="45" t="n">
        <v>6880128.325084992</v>
      </c>
      <c r="T374" s="45" t="n">
        <v>4882967.465785841</v>
      </c>
      <c r="U374" s="15" t="n">
        <v>40.9004348</v>
      </c>
      <c r="V374" s="15" t="n">
        <v>21.64457961335278</v>
      </c>
      <c r="W374" s="49" t="n">
        <v>70.97199999999999</v>
      </c>
    </row>
    <row r="375">
      <c r="A375" s="44" t="inlineStr">
        <is>
          <t>TL Cinsi Kuponsuz Senetler</t>
        </is>
      </c>
      <c r="B375" s="44" t="n">
        <v>2008</v>
      </c>
      <c r="C375" s="44" t="inlineStr">
        <is>
          <t>TRT150709T15</t>
        </is>
      </c>
      <c r="D375" s="44" t="inlineStr">
        <is>
          <t>nan</t>
        </is>
      </c>
      <c r="E375" s="44" t="inlineStr">
        <is>
          <t>nan</t>
        </is>
      </c>
      <c r="F375" s="44" t="n"/>
      <c r="G375" s="44" t="n"/>
      <c r="H375" s="15" t="n"/>
      <c r="I375" s="45" t="n">
        <v>2254887.243</v>
      </c>
      <c r="J375" s="45" t="n">
        <v>1916302.59072</v>
      </c>
      <c r="K375" s="45" t="n">
        <v>1252395.103</v>
      </c>
      <c r="L375" s="45" t="n">
        <v>1064721.34751</v>
      </c>
      <c r="M375" s="45" t="n">
        <v>0</v>
      </c>
      <c r="N375" s="45" t="n">
        <v>0</v>
      </c>
      <c r="O375" s="45" t="n">
        <v>1000298.064988532</v>
      </c>
      <c r="P375" s="45" t="n">
        <v>850403.39995</v>
      </c>
      <c r="Q375" s="45" t="n">
        <v>109948.228</v>
      </c>
      <c r="R375" s="45" t="n">
        <v>93472.4860342</v>
      </c>
      <c r="S375" s="45" t="n">
        <v>2558040.953988532</v>
      </c>
      <c r="T375" s="45" t="n">
        <v>2174716.1677279</v>
      </c>
      <c r="U375" s="15" t="n">
        <v>17.6265608</v>
      </c>
      <c r="V375" s="15" t="n">
        <v>19.22871109655608</v>
      </c>
      <c r="W375" s="49" t="n">
        <v>85.015</v>
      </c>
    </row>
    <row r="376">
      <c r="A376" s="44" t="inlineStr">
        <is>
          <t>TL Cinsi Kuponsuz Senetler</t>
        </is>
      </c>
      <c r="B376" s="44" t="n">
        <v>2008</v>
      </c>
      <c r="C376" s="44" t="inlineStr">
        <is>
          <t>TRT140410T16</t>
        </is>
      </c>
      <c r="D376" s="44" t="inlineStr">
        <is>
          <t>nan</t>
        </is>
      </c>
      <c r="E376" s="44" t="inlineStr">
        <is>
          <t>nan</t>
        </is>
      </c>
      <c r="F376" s="44" t="n"/>
      <c r="G376" s="44" t="n"/>
      <c r="H376" s="15" t="n"/>
      <c r="I376" s="45" t="n">
        <v>6336850.689</v>
      </c>
      <c r="J376" s="45" t="n">
        <v>4746017.14876</v>
      </c>
      <c r="K376" s="45" t="n">
        <v>2678534.89</v>
      </c>
      <c r="L376" s="45" t="n">
        <v>2007901.43406</v>
      </c>
      <c r="M376" s="45" t="n">
        <v>1600789.722929979</v>
      </c>
      <c r="N376" s="45" t="n">
        <v>1200000</v>
      </c>
      <c r="O376" s="45" t="n">
        <v>1534758.280751838</v>
      </c>
      <c r="P376" s="45" t="n">
        <v>1150500.85</v>
      </c>
      <c r="Q376" s="45" t="n">
        <v>209851.214</v>
      </c>
      <c r="R376" s="45" t="n">
        <v>157310.76555082</v>
      </c>
      <c r="S376" s="45" t="n">
        <v>6499974.552681817</v>
      </c>
      <c r="T376" s="45" t="n">
        <v>4872567.248396169</v>
      </c>
      <c r="U376" s="15" t="n">
        <v>33.39972</v>
      </c>
      <c r="V376" s="15" t="n">
        <v>18.79693568541647</v>
      </c>
      <c r="W376" s="49" t="n">
        <v>74.96299999999999</v>
      </c>
    </row>
    <row r="377">
      <c r="A377" s="44" t="inlineStr">
        <is>
          <t>TL Cinsi Kuponsuz Senetler</t>
        </is>
      </c>
      <c r="B377" s="44" t="n">
        <v>2008</v>
      </c>
      <c r="C377" s="44" t="inlineStr">
        <is>
          <t>TRB180209T17</t>
        </is>
      </c>
      <c r="D377" s="44" t="inlineStr">
        <is>
          <t>nan</t>
        </is>
      </c>
      <c r="E377" s="44" t="inlineStr">
        <is>
          <t>nan</t>
        </is>
      </c>
      <c r="F377" s="44" t="n"/>
      <c r="G377" s="44" t="n"/>
      <c r="H377" s="15" t="n"/>
      <c r="I377" s="45" t="n">
        <v>4985605.115</v>
      </c>
      <c r="J377" s="45" t="n">
        <v>4567385.25256</v>
      </c>
      <c r="K377" s="45" t="n">
        <v>2974527.858</v>
      </c>
      <c r="L377" s="45" t="n">
        <v>2727000.0049</v>
      </c>
      <c r="M377" s="45" t="n">
        <v>0</v>
      </c>
      <c r="N377" s="45" t="n">
        <v>0</v>
      </c>
      <c r="O377" s="45" t="n">
        <v>0</v>
      </c>
      <c r="P377" s="45" t="n">
        <v>0</v>
      </c>
      <c r="Q377" s="45" t="n">
        <v>0</v>
      </c>
      <c r="R377" s="45" t="n">
        <v>0</v>
      </c>
      <c r="S377" s="45" t="n">
        <v>2974527.858</v>
      </c>
      <c r="T377" s="45" t="n">
        <v>2727000.0049</v>
      </c>
      <c r="U377" s="15" t="n">
        <v>9.076929</v>
      </c>
      <c r="V377" s="15" t="n">
        <v>18.9777644007104</v>
      </c>
      <c r="W377" s="49" t="n">
        <v>91.678</v>
      </c>
    </row>
    <row r="378">
      <c r="A378" s="44" t="inlineStr">
        <is>
          <t>TL Cinsi Kuponsuz Senetler</t>
        </is>
      </c>
      <c r="B378" s="44" t="n">
        <v>2008</v>
      </c>
      <c r="C378" s="44" t="inlineStr">
        <is>
          <t>TRB110309T13</t>
        </is>
      </c>
      <c r="D378" s="44" t="inlineStr">
        <is>
          <t>nan</t>
        </is>
      </c>
      <c r="E378" s="44" t="inlineStr">
        <is>
          <t>nan</t>
        </is>
      </c>
      <c r="F378" s="44" t="n"/>
      <c r="G378" s="44" t="n"/>
      <c r="H378" s="15" t="n"/>
      <c r="I378" s="45" t="n">
        <v>1823977.355</v>
      </c>
      <c r="J378" s="45" t="n">
        <v>1671950.25548</v>
      </c>
      <c r="K378" s="45" t="n">
        <v>711083.827</v>
      </c>
      <c r="L378" s="45" t="n">
        <v>651999.98996</v>
      </c>
      <c r="M378" s="45" t="n">
        <v>0</v>
      </c>
      <c r="N378" s="45" t="n">
        <v>0</v>
      </c>
      <c r="O378" s="45" t="n">
        <v>0</v>
      </c>
      <c r="P378" s="45" t="n">
        <v>0</v>
      </c>
      <c r="Q378" s="45" t="n">
        <v>0</v>
      </c>
      <c r="R378" s="45" t="n">
        <v>0</v>
      </c>
      <c r="S378" s="45" t="n">
        <v>711083.827</v>
      </c>
      <c r="T378" s="45" t="n">
        <v>651999.98996</v>
      </c>
      <c r="U378" s="15" t="n">
        <v>9.0619383</v>
      </c>
      <c r="V378" s="15" t="n">
        <v>18.94506385753005</v>
      </c>
      <c r="W378" s="49" t="n">
        <v>91.691</v>
      </c>
    </row>
    <row r="379">
      <c r="A379" s="44" t="inlineStr">
        <is>
          <t>TL Cinsi Kuponsuz Senetler</t>
        </is>
      </c>
      <c r="B379" s="44" t="n">
        <v>2008</v>
      </c>
      <c r="C379" s="44" t="inlineStr">
        <is>
          <t>TRT140410T16</t>
        </is>
      </c>
      <c r="D379" s="44" t="inlineStr">
        <is>
          <t>nan</t>
        </is>
      </c>
      <c r="E379" s="44" t="inlineStr">
        <is>
          <t>nan</t>
        </is>
      </c>
      <c r="F379" s="44" t="n"/>
      <c r="G379" s="44" t="n"/>
      <c r="H379" s="15" t="n"/>
      <c r="I379" s="45" t="n">
        <v>2282764.77</v>
      </c>
      <c r="J379" s="45" t="n">
        <v>1735806.60318</v>
      </c>
      <c r="K379" s="45" t="n">
        <v>1092130.98</v>
      </c>
      <c r="L379" s="45" t="n">
        <v>831014.06736</v>
      </c>
      <c r="M379" s="45" t="n">
        <v>131421.5873099316</v>
      </c>
      <c r="N379" s="45" t="n">
        <v>100000</v>
      </c>
      <c r="O379" s="45" t="n">
        <v>876687.1240094099</v>
      </c>
      <c r="P379" s="45" t="n">
        <v>667079.99953</v>
      </c>
      <c r="Q379" s="45" t="n">
        <v>94314.84299999999</v>
      </c>
      <c r="R379" s="45" t="n">
        <v>71765.10718712998</v>
      </c>
      <c r="S379" s="45" t="n">
        <v>2194554.534319342</v>
      </c>
      <c r="T379" s="45" t="n">
        <v>1669859.17407713</v>
      </c>
      <c r="U379" s="15" t="n">
        <v>31.4214792</v>
      </c>
      <c r="V379" s="15" t="n">
        <v>18.67115896323568</v>
      </c>
      <c r="W379" s="49" t="n">
        <v>76.09099999999999</v>
      </c>
    </row>
    <row r="380">
      <c r="A380" s="44" t="inlineStr">
        <is>
          <t>TL Cinsi Kuponsuz Senetler</t>
        </is>
      </c>
      <c r="B380" s="44" t="n">
        <v>2008</v>
      </c>
      <c r="C380" s="44" t="inlineStr">
        <is>
          <t>TRT181109T16</t>
        </is>
      </c>
      <c r="D380" s="44" t="inlineStr">
        <is>
          <t>nan</t>
        </is>
      </c>
      <c r="E380" s="44" t="inlineStr">
        <is>
          <t>nan</t>
        </is>
      </c>
      <c r="F380" s="44" t="n"/>
      <c r="G380" s="44" t="n"/>
      <c r="H380" s="15" t="n"/>
      <c r="I380" s="45" t="n">
        <v>433616.284</v>
      </c>
      <c r="J380" s="45" t="n">
        <v>351936.64655</v>
      </c>
      <c r="K380" s="45" t="n">
        <v>223130.494</v>
      </c>
      <c r="L380" s="45" t="n">
        <v>181267.32716</v>
      </c>
      <c r="M380" s="45" t="n">
        <v>0</v>
      </c>
      <c r="N380" s="45" t="n">
        <v>0</v>
      </c>
      <c r="O380" s="45" t="n">
        <v>457987.641251631</v>
      </c>
      <c r="P380" s="45" t="n">
        <v>372060</v>
      </c>
      <c r="Q380" s="45" t="n">
        <v>33678.569</v>
      </c>
      <c r="R380" s="45" t="n">
        <v>27359.79588422</v>
      </c>
      <c r="S380" s="45" t="n">
        <v>718956.8572516311</v>
      </c>
      <c r="T380" s="45" t="n">
        <v>584066.74813836</v>
      </c>
      <c r="U380" s="15" t="n">
        <v>23.0947118</v>
      </c>
      <c r="V380" s="15" t="n">
        <v>20.46703920548616</v>
      </c>
      <c r="W380" s="49" t="n">
        <v>81.238</v>
      </c>
    </row>
    <row r="381">
      <c r="A381" s="44" t="inlineStr">
        <is>
          <t>TL Cinsi Kuponsuz Senetler</t>
        </is>
      </c>
      <c r="B381" s="44" t="n">
        <v>2008</v>
      </c>
      <c r="C381" s="44" t="inlineStr">
        <is>
          <t>TRT230610T13</t>
        </is>
      </c>
      <c r="D381" s="44" t="inlineStr">
        <is>
          <t>nan</t>
        </is>
      </c>
      <c r="E381" s="44" t="inlineStr">
        <is>
          <t>nan</t>
        </is>
      </c>
      <c r="F381" s="44" t="n"/>
      <c r="G381" s="44" t="n"/>
      <c r="H381" s="15" t="n"/>
      <c r="I381" s="45" t="n">
        <v>2246012.598</v>
      </c>
      <c r="J381" s="45" t="n">
        <v>1627814.1341</v>
      </c>
      <c r="K381" s="45" t="n">
        <v>1110329.38</v>
      </c>
      <c r="L381" s="45" t="n">
        <v>805840.20334</v>
      </c>
      <c r="M381" s="45" t="n">
        <v>1618970.197169902</v>
      </c>
      <c r="N381" s="45" t="n">
        <v>1175000</v>
      </c>
      <c r="O381" s="45" t="n">
        <v>522493.3518883393</v>
      </c>
      <c r="P381" s="45" t="n">
        <v>379210</v>
      </c>
      <c r="Q381" s="45" t="n">
        <v>80845.507</v>
      </c>
      <c r="R381" s="45" t="n">
        <v>58675.24361539</v>
      </c>
      <c r="S381" s="45" t="n">
        <v>3332638.436058242</v>
      </c>
      <c r="T381" s="45" t="n">
        <v>2418725.44695539</v>
      </c>
      <c r="U381" s="15" t="n">
        <v>37.7853048</v>
      </c>
      <c r="V381" s="15" t="n">
        <v>20.59575816800416</v>
      </c>
      <c r="W381" s="49" t="n">
        <v>72.577</v>
      </c>
    </row>
    <row r="382">
      <c r="A382" s="44" t="inlineStr">
        <is>
          <t>TL Cinsi Kuponsuz Senetler</t>
        </is>
      </c>
      <c r="B382" s="44" t="n">
        <v>2008</v>
      </c>
      <c r="C382" s="44" t="inlineStr">
        <is>
          <t>TRT181109T16</t>
        </is>
      </c>
      <c r="D382" s="44" t="inlineStr">
        <is>
          <t>nan</t>
        </is>
      </c>
      <c r="E382" s="44" t="inlineStr">
        <is>
          <t>nan</t>
        </is>
      </c>
      <c r="F382" s="44" t="n"/>
      <c r="G382" s="44" t="n"/>
      <c r="H382" s="15" t="n"/>
      <c r="I382" s="45" t="n">
        <v>2811499.88</v>
      </c>
      <c r="J382" s="45" t="n">
        <v>2274780.54174</v>
      </c>
      <c r="K382" s="45" t="n">
        <v>933389.23</v>
      </c>
      <c r="L382" s="45" t="n">
        <v>757166.57915</v>
      </c>
      <c r="M382" s="45" t="n">
        <v>258875.7396449704</v>
      </c>
      <c r="N382" s="45" t="n">
        <v>210000</v>
      </c>
      <c r="O382" s="45" t="n">
        <v>209621.5483234714</v>
      </c>
      <c r="P382" s="45" t="n">
        <v>170045</v>
      </c>
      <c r="Q382" s="45" t="n">
        <v>55936.427</v>
      </c>
      <c r="R382" s="45" t="n">
        <v>45375.6295824</v>
      </c>
      <c r="S382" s="45" t="n">
        <v>1457822.944968442</v>
      </c>
      <c r="T382" s="45" t="n">
        <v>1182587.2087324</v>
      </c>
      <c r="U382" s="15" t="n">
        <v>23.2739605</v>
      </c>
      <c r="V382" s="15" t="n">
        <v>22.778245910266</v>
      </c>
      <c r="W382" s="49" t="n">
        <v>81.12</v>
      </c>
    </row>
    <row r="383">
      <c r="A383" s="44" t="inlineStr">
        <is>
          <t>TL Cinsi Kuponsuz Senetler</t>
        </is>
      </c>
      <c r="B383" s="44" t="n">
        <v>2008</v>
      </c>
      <c r="C383" s="44" t="inlineStr">
        <is>
          <t>TRB240609T15</t>
        </is>
      </c>
      <c r="D383" s="44" t="inlineStr">
        <is>
          <t>nan</t>
        </is>
      </c>
      <c r="E383" s="44" t="inlineStr">
        <is>
          <t>nan</t>
        </is>
      </c>
      <c r="F383" s="44" t="n"/>
      <c r="G383" s="44" t="n"/>
      <c r="H383" s="15" t="n"/>
      <c r="I383" s="45" t="n">
        <v>1993128.45</v>
      </c>
      <c r="J383" s="45" t="n">
        <v>1786965.66642</v>
      </c>
      <c r="K383" s="45" t="n">
        <v>1385366.72</v>
      </c>
      <c r="L383" s="45" t="n">
        <v>1242674.35731</v>
      </c>
      <c r="M383" s="45" t="n">
        <v>0</v>
      </c>
      <c r="N383" s="45" t="n">
        <v>0</v>
      </c>
      <c r="O383" s="45" t="n">
        <v>2046571.905016722</v>
      </c>
      <c r="P383" s="45" t="n">
        <v>1835774.9988</v>
      </c>
      <c r="Q383" s="45" t="n">
        <v>124580.9</v>
      </c>
      <c r="R383" s="45" t="n">
        <v>111749.0673</v>
      </c>
      <c r="S383" s="45" t="n">
        <v>3640513.728016722</v>
      </c>
      <c r="T383" s="45" t="n">
        <v>3265541.223501</v>
      </c>
      <c r="U383" s="15" t="n">
        <v>11.4826834</v>
      </c>
      <c r="V383" s="15" t="n">
        <v>20.73305323761119</v>
      </c>
      <c r="W383" s="49" t="n">
        <v>89.7</v>
      </c>
    </row>
    <row r="384">
      <c r="A384" s="44" t="inlineStr">
        <is>
          <t>TL Cinsi Kuponsuz Senetler</t>
        </is>
      </c>
      <c r="B384" s="44" t="n">
        <v>2008</v>
      </c>
      <c r="C384" s="44" t="inlineStr">
        <is>
          <t>TRT230610T13</t>
        </is>
      </c>
      <c r="D384" s="44" t="inlineStr">
        <is>
          <t>nan</t>
        </is>
      </c>
      <c r="E384" s="44" t="inlineStr">
        <is>
          <t>nan</t>
        </is>
      </c>
      <c r="F384" s="44" t="n"/>
      <c r="G384" s="44" t="n"/>
      <c r="H384" s="15" t="n"/>
      <c r="I384" s="45" t="n">
        <v>1845558.469</v>
      </c>
      <c r="J384" s="45" t="n">
        <v>1351389.29153</v>
      </c>
      <c r="K384" s="45" t="n">
        <v>916640.558</v>
      </c>
      <c r="L384" s="45" t="n">
        <v>673344.18064</v>
      </c>
      <c r="M384" s="45" t="n">
        <v>2926842.549484059</v>
      </c>
      <c r="N384" s="45" t="n">
        <v>2150000</v>
      </c>
      <c r="O384" s="45" t="n">
        <v>1845768.724985706</v>
      </c>
      <c r="P384" s="45" t="n">
        <v>1355864.79</v>
      </c>
      <c r="Q384" s="45" t="n">
        <v>130486.292</v>
      </c>
      <c r="R384" s="45" t="n">
        <v>95852.62043</v>
      </c>
      <c r="S384" s="45" t="n">
        <v>6018779.174469765</v>
      </c>
      <c r="T384" s="45" t="n">
        <v>4421273.165579</v>
      </c>
      <c r="U384" s="15" t="n">
        <v>36.1325433</v>
      </c>
      <c r="V384" s="15" t="n">
        <v>21.60401503243117</v>
      </c>
      <c r="W384" s="49" t="n">
        <v>73.458</v>
      </c>
    </row>
    <row r="385">
      <c r="A385" s="44" t="inlineStr">
        <is>
          <t>TL Cinsi Kuponsuz Senetler</t>
        </is>
      </c>
      <c r="B385" s="44" t="n">
        <v>2008</v>
      </c>
      <c r="C385" s="44" t="inlineStr">
        <is>
          <t>TRT181109T16</t>
        </is>
      </c>
      <c r="D385" s="44" t="inlineStr">
        <is>
          <t>nan</t>
        </is>
      </c>
      <c r="E385" s="44" t="inlineStr">
        <is>
          <t>nan</t>
        </is>
      </c>
      <c r="F385" s="44" t="n"/>
      <c r="G385" s="44" t="n"/>
      <c r="H385" s="15" t="n"/>
      <c r="I385" s="45" t="n">
        <v>1342384.277</v>
      </c>
      <c r="J385" s="45" t="n">
        <v>1144664.05174</v>
      </c>
      <c r="K385" s="45" t="n">
        <v>509591.559</v>
      </c>
      <c r="L385" s="45" t="n">
        <v>434824.72075</v>
      </c>
      <c r="M385" s="45" t="n">
        <v>0</v>
      </c>
      <c r="N385" s="45" t="n">
        <v>0</v>
      </c>
      <c r="O385" s="45" t="n">
        <v>1286271.800018751</v>
      </c>
      <c r="P385" s="45" t="n">
        <v>1097550.00152</v>
      </c>
      <c r="Q385" s="45" t="n">
        <v>43609.698</v>
      </c>
      <c r="R385" s="45" t="n">
        <v>37211.28310944</v>
      </c>
      <c r="S385" s="45" t="n">
        <v>1922045.755018751</v>
      </c>
      <c r="T385" s="45" t="n">
        <v>1640043.63712888</v>
      </c>
      <c r="U385" s="15" t="n">
        <v>17.1947074</v>
      </c>
      <c r="V385" s="15" t="n">
        <v>18.75457023608991</v>
      </c>
      <c r="W385" s="49" t="n">
        <v>85.328</v>
      </c>
    </row>
    <row r="386">
      <c r="A386" s="44" t="inlineStr">
        <is>
          <t>TL Cinsi Kuponsuz Senetler</t>
        </is>
      </c>
      <c r="B386" s="44" t="n">
        <v>2008</v>
      </c>
      <c r="C386" s="44" t="inlineStr">
        <is>
          <t>TRT230610T13</t>
        </is>
      </c>
      <c r="D386" s="44" t="inlineStr">
        <is>
          <t>nan</t>
        </is>
      </c>
      <c r="E386" s="44" t="inlineStr">
        <is>
          <t>nan</t>
        </is>
      </c>
      <c r="F386" s="44" t="n"/>
      <c r="G386" s="44" t="n"/>
      <c r="H386" s="15" t="n"/>
      <c r="I386" s="45" t="n">
        <v>2074185.62</v>
      </c>
      <c r="J386" s="45" t="n">
        <v>1599190.93381</v>
      </c>
      <c r="K386" s="45" t="n">
        <v>1227284.32</v>
      </c>
      <c r="L386" s="45" t="n">
        <v>947918.65926</v>
      </c>
      <c r="M386" s="45" t="n">
        <v>129471.6262930979</v>
      </c>
      <c r="N386" s="45" t="n">
        <v>100000</v>
      </c>
      <c r="O386" s="45" t="n">
        <v>546078.9638385748</v>
      </c>
      <c r="P386" s="45" t="n">
        <v>421775.0093</v>
      </c>
      <c r="Q386" s="45" t="n">
        <v>88024.128</v>
      </c>
      <c r="R386" s="45" t="n">
        <v>67987.19574335999</v>
      </c>
      <c r="S386" s="45" t="n">
        <v>2141553.092131673</v>
      </c>
      <c r="T386" s="45" t="n">
        <v>1654072.43079134</v>
      </c>
      <c r="U386" s="15" t="n">
        <v>29.4714803</v>
      </c>
      <c r="V386" s="15" t="n">
        <v>18.53214001040655</v>
      </c>
      <c r="W386" s="49" t="n">
        <v>77.23699999999999</v>
      </c>
    </row>
    <row r="387">
      <c r="A387" s="44" t="inlineStr">
        <is>
          <t>TL Cinsi Kuponsuz Senetler</t>
        </is>
      </c>
      <c r="B387" s="44" t="n">
        <v>2007</v>
      </c>
      <c r="C387" s="44" t="inlineStr">
        <is>
          <t>TRB040407T13</t>
        </is>
      </c>
      <c r="D387" s="44" t="inlineStr">
        <is>
          <t>nan</t>
        </is>
      </c>
      <c r="E387" s="44" t="inlineStr">
        <is>
          <t>nan</t>
        </is>
      </c>
      <c r="F387" s="44" t="n"/>
      <c r="G387" s="44" t="n"/>
      <c r="H387" s="15" t="n"/>
      <c r="I387" s="45" t="n">
        <v>4015909.859</v>
      </c>
      <c r="J387" s="45" t="n">
        <v>3835126.98696</v>
      </c>
      <c r="K387" s="45" t="n">
        <v>1701513.573</v>
      </c>
      <c r="L387" s="45" t="n">
        <v>1625999.99868</v>
      </c>
      <c r="M387" s="45" t="n">
        <v>0</v>
      </c>
      <c r="N387" s="45" t="n">
        <v>0</v>
      </c>
      <c r="O387" s="45" t="n">
        <v>0</v>
      </c>
      <c r="P387" s="45" t="n">
        <v>0</v>
      </c>
      <c r="Q387" s="45" t="n">
        <v>0</v>
      </c>
      <c r="R387" s="45" t="n">
        <v>0</v>
      </c>
      <c r="S387" s="45" t="n">
        <v>1701513.573</v>
      </c>
      <c r="T387" s="45" t="n">
        <v>1625999.99868</v>
      </c>
      <c r="U387" s="15" t="n">
        <v>4.6441313</v>
      </c>
      <c r="V387" s="15" t="n">
        <v>20.1533060362457</v>
      </c>
      <c r="W387" s="49" t="n">
        <v>95.562</v>
      </c>
    </row>
    <row r="388">
      <c r="A388" s="44" t="inlineStr">
        <is>
          <t>TL Cinsi Kuponsuz Senetler</t>
        </is>
      </c>
      <c r="B388" s="44" t="n">
        <v>2007</v>
      </c>
      <c r="C388" s="44" t="inlineStr">
        <is>
          <t>TRB180707T14</t>
        </is>
      </c>
      <c r="D388" s="44" t="inlineStr">
        <is>
          <t>nan</t>
        </is>
      </c>
      <c r="E388" s="44" t="inlineStr">
        <is>
          <t>nan</t>
        </is>
      </c>
      <c r="F388" s="44" t="n"/>
      <c r="G388" s="44" t="n"/>
      <c r="H388" s="15" t="n"/>
      <c r="I388" s="45" t="n">
        <v>7340770.07</v>
      </c>
      <c r="J388" s="45" t="n">
        <v>6684448.89959</v>
      </c>
      <c r="K388" s="45" t="n">
        <v>2675107.564</v>
      </c>
      <c r="L388" s="45" t="n">
        <v>2437999.99956</v>
      </c>
      <c r="M388" s="45" t="n">
        <v>0</v>
      </c>
      <c r="N388" s="45" t="n">
        <v>0</v>
      </c>
      <c r="O388" s="45" t="n">
        <v>0</v>
      </c>
      <c r="P388" s="45" t="n">
        <v>0</v>
      </c>
      <c r="Q388" s="45" t="n">
        <v>0</v>
      </c>
      <c r="R388" s="45" t="n">
        <v>0</v>
      </c>
      <c r="S388" s="45" t="n">
        <v>2675107.564</v>
      </c>
      <c r="T388" s="45" t="n">
        <v>2437999.99956</v>
      </c>
      <c r="U388" s="15" t="n">
        <v>9.725494899999999</v>
      </c>
      <c r="V388" s="15" t="n">
        <v>20.39684231049927</v>
      </c>
      <c r="W388" s="49" t="n">
        <v>91.137</v>
      </c>
    </row>
    <row r="389">
      <c r="A389" s="44" t="inlineStr">
        <is>
          <t>TL Cinsi Kuponsuz Senetler</t>
        </is>
      </c>
      <c r="B389" s="44" t="n">
        <v>2007</v>
      </c>
      <c r="C389" s="44" t="inlineStr">
        <is>
          <t>TRT261108T17</t>
        </is>
      </c>
      <c r="D389" s="44" t="inlineStr">
        <is>
          <t>nan</t>
        </is>
      </c>
      <c r="E389" s="44" t="inlineStr">
        <is>
          <t>nan</t>
        </is>
      </c>
      <c r="F389" s="44" t="n"/>
      <c r="G389" s="44" t="n"/>
      <c r="H389" s="15" t="n"/>
      <c r="I389" s="45" t="n">
        <v>15396895.612</v>
      </c>
      <c r="J389" s="45" t="n">
        <v>10907152.02036</v>
      </c>
      <c r="K389" s="45" t="n">
        <v>3616780.782</v>
      </c>
      <c r="L389" s="45" t="n">
        <v>2567319.51198</v>
      </c>
      <c r="M389" s="45" t="n">
        <v>2900653.668432323</v>
      </c>
      <c r="N389" s="45" t="n">
        <v>2059000</v>
      </c>
      <c r="O389" s="45" t="n">
        <v>2459089.231376085</v>
      </c>
      <c r="P389" s="45" t="n">
        <v>1745559.9</v>
      </c>
      <c r="Q389" s="45" t="n">
        <v>303773.932</v>
      </c>
      <c r="R389" s="45" t="n">
        <v>215630.88789088</v>
      </c>
      <c r="S389" s="45" t="n">
        <v>10098615.32880841</v>
      </c>
      <c r="T389" s="45" t="n">
        <v>7168384.946686479</v>
      </c>
      <c r="U389" s="15" t="n">
        <v>40.877704</v>
      </c>
      <c r="V389" s="15" t="n">
        <v>20.39900380115647</v>
      </c>
      <c r="W389" s="49" t="n">
        <v>70.98399999999999</v>
      </c>
    </row>
    <row r="390">
      <c r="A390" s="44" t="inlineStr">
        <is>
          <t>TL Cinsi Kuponsuz Senetler</t>
        </is>
      </c>
      <c r="B390" s="44" t="n">
        <v>2007</v>
      </c>
      <c r="C390" s="44" t="inlineStr">
        <is>
          <t>TRB220807T17</t>
        </is>
      </c>
      <c r="D390" s="44" t="inlineStr">
        <is>
          <t>nan</t>
        </is>
      </c>
      <c r="E390" s="44" t="inlineStr">
        <is>
          <t>nan</t>
        </is>
      </c>
      <c r="F390" s="44" t="n"/>
      <c r="G390" s="44" t="n"/>
      <c r="H390" s="15" t="n"/>
      <c r="I390" s="45" t="n">
        <v>5226170.898</v>
      </c>
      <c r="J390" s="45" t="n">
        <v>4784590.56312</v>
      </c>
      <c r="K390" s="45" t="n">
        <v>977715.977</v>
      </c>
      <c r="L390" s="45" t="n">
        <v>896000.0009</v>
      </c>
      <c r="M390" s="45" t="n">
        <v>0</v>
      </c>
      <c r="N390" s="45" t="n">
        <v>0</v>
      </c>
      <c r="O390" s="45" t="n">
        <v>0</v>
      </c>
      <c r="P390" s="45" t="n">
        <v>0</v>
      </c>
      <c r="Q390" s="45" t="n">
        <v>0</v>
      </c>
      <c r="R390" s="45" t="n">
        <v>0</v>
      </c>
      <c r="S390" s="45" t="n">
        <v>977715.977</v>
      </c>
      <c r="T390" s="45" t="n">
        <v>896000.0009</v>
      </c>
      <c r="U390" s="15" t="n">
        <v>9.1200866</v>
      </c>
      <c r="V390" s="15" t="n">
        <v>19.07193299591501</v>
      </c>
      <c r="W390" s="49" t="n">
        <v>91.642</v>
      </c>
    </row>
    <row r="391">
      <c r="A391" s="44" t="inlineStr">
        <is>
          <t>TL Cinsi Kuponsuz Senetler</t>
        </is>
      </c>
      <c r="B391" s="44" t="n">
        <v>2007</v>
      </c>
      <c r="C391" s="44" t="inlineStr">
        <is>
          <t>TRT261108T17</t>
        </is>
      </c>
      <c r="D391" s="44" t="inlineStr">
        <is>
          <t>nan</t>
        </is>
      </c>
      <c r="E391" s="44" t="inlineStr">
        <is>
          <t>nan</t>
        </is>
      </c>
      <c r="F391" s="44" t="n"/>
      <c r="G391" s="44" t="n"/>
      <c r="H391" s="15" t="n"/>
      <c r="I391" s="45" t="n">
        <v>2570414.221</v>
      </c>
      <c r="J391" s="45" t="n">
        <v>1892425.19645</v>
      </c>
      <c r="K391" s="45" t="n">
        <v>538178.2</v>
      </c>
      <c r="L391" s="45" t="n">
        <v>397302.77208</v>
      </c>
      <c r="M391" s="45" t="n">
        <v>1192024.273948851</v>
      </c>
      <c r="N391" s="45" t="n">
        <v>880000</v>
      </c>
      <c r="O391" s="45" t="n">
        <v>295823.5126788036</v>
      </c>
      <c r="P391" s="45" t="n">
        <v>218388.75</v>
      </c>
      <c r="Q391" s="45" t="n">
        <v>37214.943</v>
      </c>
      <c r="R391" s="45" t="n">
        <v>27473.55952032</v>
      </c>
      <c r="S391" s="45" t="n">
        <v>2063240.929627655</v>
      </c>
      <c r="T391" s="45" t="n">
        <v>1523165.08160032</v>
      </c>
      <c r="U391" s="15" t="n">
        <v>35.4579524</v>
      </c>
      <c r="V391" s="15" t="n">
        <v>18.71297789009006</v>
      </c>
      <c r="W391" s="49" t="n">
        <v>73.824</v>
      </c>
    </row>
    <row r="392">
      <c r="A392" s="44" t="inlineStr">
        <is>
          <t>TL Cinsi Kuponsuz Senetler</t>
        </is>
      </c>
      <c r="B392" s="44" t="n">
        <v>2007</v>
      </c>
      <c r="C392" s="44" t="inlineStr">
        <is>
          <t>TRT261108T17</t>
        </is>
      </c>
      <c r="D392" s="44" t="inlineStr">
        <is>
          <t>nan</t>
        </is>
      </c>
      <c r="E392" s="44" t="inlineStr">
        <is>
          <t>nan</t>
        </is>
      </c>
      <c r="F392" s="44" t="n"/>
      <c r="G392" s="44" t="n"/>
      <c r="H392" s="15" t="n"/>
      <c r="I392" s="45" t="n">
        <v>3600034.608</v>
      </c>
      <c r="J392" s="45" t="n">
        <v>2614979.41254</v>
      </c>
      <c r="K392" s="45" t="n">
        <v>1208044.432</v>
      </c>
      <c r="L392" s="45" t="n">
        <v>878624.1953500001</v>
      </c>
      <c r="M392" s="45" t="n">
        <v>529347.8709216153</v>
      </c>
      <c r="N392" s="45" t="n">
        <v>385000</v>
      </c>
      <c r="O392" s="45" t="n">
        <v>2427905.569839546</v>
      </c>
      <c r="P392" s="45" t="n">
        <v>1765840</v>
      </c>
      <c r="Q392" s="45" t="n">
        <v>178365.515</v>
      </c>
      <c r="R392" s="45" t="n">
        <v>129727.02271465</v>
      </c>
      <c r="S392" s="45" t="n">
        <v>4486391.156761161</v>
      </c>
      <c r="T392" s="45" t="n">
        <v>3262998.55173604</v>
      </c>
      <c r="U392" s="15" t="n">
        <v>37.4927345</v>
      </c>
      <c r="V392" s="15" t="n">
        <v>20.19737034043889</v>
      </c>
      <c r="W392" s="49" t="n">
        <v>72.73099999999999</v>
      </c>
    </row>
    <row r="393">
      <c r="A393" s="44" t="inlineStr">
        <is>
          <t>TL Cinsi Kuponsuz Senetler</t>
        </is>
      </c>
      <c r="B393" s="44" t="n">
        <v>2007</v>
      </c>
      <c r="C393" s="44" t="inlineStr">
        <is>
          <t>TRB120907T18</t>
        </is>
      </c>
      <c r="D393" s="44" t="inlineStr">
        <is>
          <t>nan</t>
        </is>
      </c>
      <c r="E393" s="44" t="inlineStr">
        <is>
          <t>nan</t>
        </is>
      </c>
      <c r="F393" s="44" t="n"/>
      <c r="G393" s="44" t="n"/>
      <c r="H393" s="15" t="n"/>
      <c r="I393" s="45" t="n">
        <v>6064993.483</v>
      </c>
      <c r="J393" s="45" t="n">
        <v>5548977.17357</v>
      </c>
      <c r="K393" s="45" t="n">
        <v>2471266.581</v>
      </c>
      <c r="L393" s="45" t="n">
        <v>2262999.99964</v>
      </c>
      <c r="M393" s="45" t="n">
        <v>0</v>
      </c>
      <c r="N393" s="45" t="n">
        <v>0</v>
      </c>
      <c r="O393" s="45" t="n">
        <v>0</v>
      </c>
      <c r="P393" s="45" t="n">
        <v>0</v>
      </c>
      <c r="Q393" s="45" t="n">
        <v>0</v>
      </c>
      <c r="R393" s="45" t="n">
        <v>0</v>
      </c>
      <c r="S393" s="45" t="n">
        <v>2471266.581</v>
      </c>
      <c r="T393" s="45" t="n">
        <v>2262999.99964</v>
      </c>
      <c r="U393" s="15" t="n">
        <v>9.2031189</v>
      </c>
      <c r="V393" s="15" t="n">
        <v>19.25321177487538</v>
      </c>
      <c r="W393" s="49" t="n">
        <v>91.572</v>
      </c>
    </row>
    <row r="394">
      <c r="A394" s="44" t="inlineStr">
        <is>
          <t>TL Cinsi Kuponsuz Senetler</t>
        </is>
      </c>
      <c r="B394" s="44" t="n">
        <v>2007</v>
      </c>
      <c r="C394" s="44" t="inlineStr">
        <is>
          <t>TRB040707T10</t>
        </is>
      </c>
      <c r="D394" s="44" t="inlineStr">
        <is>
          <t>nan</t>
        </is>
      </c>
      <c r="E394" s="44" t="inlineStr">
        <is>
          <t>nan</t>
        </is>
      </c>
      <c r="F394" s="44" t="n"/>
      <c r="G394" s="44" t="n"/>
      <c r="H394" s="15" t="n"/>
      <c r="I394" s="45" t="n">
        <v>2529616.787</v>
      </c>
      <c r="J394" s="45" t="n">
        <v>2420895.408</v>
      </c>
      <c r="K394" s="45" t="n">
        <v>1145987.911</v>
      </c>
      <c r="L394" s="45" t="n">
        <v>1097000.01192</v>
      </c>
      <c r="M394" s="45" t="n">
        <v>0</v>
      </c>
      <c r="N394" s="45" t="n">
        <v>0</v>
      </c>
      <c r="O394" s="45" t="n">
        <v>0</v>
      </c>
      <c r="P394" s="45" t="n">
        <v>0</v>
      </c>
      <c r="Q394" s="45" t="n">
        <v>0</v>
      </c>
      <c r="R394" s="45" t="n">
        <v>0</v>
      </c>
      <c r="S394" s="45" t="n">
        <v>1145987.911</v>
      </c>
      <c r="T394" s="45" t="n">
        <v>1097000.01192</v>
      </c>
      <c r="U394" s="15" t="n">
        <v>4.4656243</v>
      </c>
      <c r="V394" s="15" t="n">
        <v>19.09502393408842</v>
      </c>
      <c r="W394" s="49" t="n">
        <v>95.72499999999999</v>
      </c>
    </row>
    <row r="395">
      <c r="A395" s="44" t="inlineStr">
        <is>
          <t>TL Cinsi Kuponsuz Senetler</t>
        </is>
      </c>
      <c r="B395" s="44" t="n">
        <v>2007</v>
      </c>
      <c r="C395" s="44" t="inlineStr">
        <is>
          <t>TRT040209T13</t>
        </is>
      </c>
      <c r="D395" s="44" t="inlineStr">
        <is>
          <t>nan</t>
        </is>
      </c>
      <c r="E395" s="44" t="inlineStr">
        <is>
          <t>nan</t>
        </is>
      </c>
      <c r="F395" s="44" t="n"/>
      <c r="G395" s="44" t="n"/>
      <c r="H395" s="15" t="n"/>
      <c r="I395" s="45" t="n">
        <v>5486364.461</v>
      </c>
      <c r="J395" s="45" t="n">
        <v>3995116.99435</v>
      </c>
      <c r="K395" s="45" t="n">
        <v>1922039.646</v>
      </c>
      <c r="L395" s="45" t="n">
        <v>1401268.57081</v>
      </c>
      <c r="M395" s="45" t="n">
        <v>998559.7695631301</v>
      </c>
      <c r="N395" s="45" t="n">
        <v>728000</v>
      </c>
      <c r="O395" s="45" t="n">
        <v>1620938.399286743</v>
      </c>
      <c r="P395" s="45" t="n">
        <v>1181745.14</v>
      </c>
      <c r="Q395" s="45" t="n">
        <v>175432.638</v>
      </c>
      <c r="R395" s="45" t="n">
        <v>127899.1647339</v>
      </c>
      <c r="S395" s="45" t="n">
        <v>5085948.555849873</v>
      </c>
      <c r="T395" s="45" t="n">
        <v>3707916.36153605</v>
      </c>
      <c r="U395" s="15" t="n">
        <v>37.1642586</v>
      </c>
      <c r="V395" s="15" t="n">
        <v>19.10240503434652</v>
      </c>
      <c r="W395" s="49" t="n">
        <v>72.905</v>
      </c>
    </row>
    <row r="396">
      <c r="A396" s="44" t="inlineStr">
        <is>
          <t>TL Cinsi Kuponsuz Senetler</t>
        </is>
      </c>
      <c r="B396" s="44" t="n">
        <v>2007</v>
      </c>
      <c r="C396" s="44" t="inlineStr">
        <is>
          <t>TRT040209T13</t>
        </is>
      </c>
      <c r="D396" s="44" t="inlineStr">
        <is>
          <t>nan</t>
        </is>
      </c>
      <c r="E396" s="44" t="inlineStr">
        <is>
          <t>nan</t>
        </is>
      </c>
      <c r="F396" s="44" t="n"/>
      <c r="G396" s="44" t="n"/>
      <c r="H396" s="15" t="n"/>
      <c r="I396" s="45" t="n">
        <v>3717043.217</v>
      </c>
      <c r="J396" s="45" t="n">
        <v>2745654.24841</v>
      </c>
      <c r="K396" s="45" t="n">
        <v>1028310.542</v>
      </c>
      <c r="L396" s="45" t="n">
        <v>760540.80791</v>
      </c>
      <c r="M396" s="45" t="n">
        <v>0</v>
      </c>
      <c r="N396" s="45" t="n">
        <v>0</v>
      </c>
      <c r="O396" s="45" t="n">
        <v>3047744.997295836</v>
      </c>
      <c r="P396" s="45" t="n">
        <v>2254112.2</v>
      </c>
      <c r="Q396" s="45" t="n">
        <v>190000.257</v>
      </c>
      <c r="R396" s="45" t="n">
        <v>140524.1900772</v>
      </c>
      <c r="S396" s="45" t="n">
        <v>4266055.796295837</v>
      </c>
      <c r="T396" s="45" t="n">
        <v>3155177.1979872</v>
      </c>
      <c r="U396" s="15" t="n">
        <v>35.2078062</v>
      </c>
      <c r="V396" s="15" t="n">
        <v>18.81141060732237</v>
      </c>
      <c r="W396" s="49" t="n">
        <v>73.95999999999999</v>
      </c>
    </row>
    <row r="397">
      <c r="A397" s="44" t="inlineStr">
        <is>
          <t>TL Cinsi Kuponsuz Senetler</t>
        </is>
      </c>
      <c r="B397" s="44" t="n">
        <v>2007</v>
      </c>
      <c r="C397" s="44" t="inlineStr">
        <is>
          <t>TRT110608T11</t>
        </is>
      </c>
      <c r="D397" s="44" t="inlineStr">
        <is>
          <t>nan</t>
        </is>
      </c>
      <c r="E397" s="44" t="inlineStr">
        <is>
          <t>nan</t>
        </is>
      </c>
      <c r="F397" s="44" t="n"/>
      <c r="G397" s="44" t="n"/>
      <c r="H397" s="15" t="n"/>
      <c r="I397" s="45" t="n">
        <v>5145288.748</v>
      </c>
      <c r="J397" s="45" t="n">
        <v>4332525.75818</v>
      </c>
      <c r="K397" s="45" t="n">
        <v>1742067.59</v>
      </c>
      <c r="L397" s="45" t="n">
        <v>1468253.2038</v>
      </c>
      <c r="M397" s="45" t="n">
        <v>0</v>
      </c>
      <c r="N397" s="45" t="n">
        <v>0</v>
      </c>
      <c r="O397" s="45" t="n">
        <v>1950641.893002064</v>
      </c>
      <c r="P397" s="45" t="n">
        <v>1644040.00026</v>
      </c>
      <c r="Q397" s="45" t="n">
        <v>165241.884</v>
      </c>
      <c r="R397" s="45" t="n">
        <v>139269.16467288</v>
      </c>
      <c r="S397" s="45" t="n">
        <v>3857951.367002065</v>
      </c>
      <c r="T397" s="45" t="n">
        <v>3251562.36793288</v>
      </c>
      <c r="U397" s="15" t="n">
        <v>18.6489895</v>
      </c>
      <c r="V397" s="15" t="n">
        <v>18.6489895</v>
      </c>
      <c r="W397" s="49" t="n">
        <v>84.282</v>
      </c>
    </row>
    <row r="398">
      <c r="A398" s="44" t="inlineStr">
        <is>
          <t>TL Cinsi Kuponsuz Senetler</t>
        </is>
      </c>
      <c r="B398" s="44" t="n">
        <v>2007</v>
      </c>
      <c r="C398" s="44" t="inlineStr">
        <is>
          <t>TRT040209T13</t>
        </is>
      </c>
      <c r="D398" s="44" t="inlineStr">
        <is>
          <t>nan</t>
        </is>
      </c>
      <c r="E398" s="44" t="inlineStr">
        <is>
          <t>nan</t>
        </is>
      </c>
      <c r="F398" s="44" t="n"/>
      <c r="G398" s="44" t="n"/>
      <c r="H398" s="15" t="n"/>
      <c r="I398" s="45" t="n">
        <v>5731863.978</v>
      </c>
      <c r="J398" s="45" t="n">
        <v>4357659.61156</v>
      </c>
      <c r="K398" s="45" t="n">
        <v>2972407.703</v>
      </c>
      <c r="L398" s="45" t="n">
        <v>2261766.4303</v>
      </c>
      <c r="M398" s="45" t="n">
        <v>1022446.510999842</v>
      </c>
      <c r="N398" s="45" t="n">
        <v>777999.99915</v>
      </c>
      <c r="O398" s="45" t="n">
        <v>1926553.605990117</v>
      </c>
      <c r="P398" s="45" t="n">
        <v>1465953.16987</v>
      </c>
      <c r="Q398" s="45" t="n">
        <v>224517.491</v>
      </c>
      <c r="R398" s="45" t="n">
        <v>170839.84925172</v>
      </c>
      <c r="S398" s="45" t="n">
        <v>6295925.310989961</v>
      </c>
      <c r="T398" s="45" t="n">
        <v>4790697.44857172</v>
      </c>
      <c r="U398" s="15" t="n">
        <v>31.4197462</v>
      </c>
      <c r="V398" s="15" t="n">
        <v>18.42859496506517</v>
      </c>
      <c r="W398" s="49" t="n">
        <v>76.092</v>
      </c>
    </row>
    <row r="399">
      <c r="A399" s="44" t="inlineStr">
        <is>
          <t>TL Cinsi Kuponsuz Senetler</t>
        </is>
      </c>
      <c r="B399" s="44" t="n">
        <v>2007</v>
      </c>
      <c r="C399" s="44" t="inlineStr">
        <is>
          <t>TRB031007T16</t>
        </is>
      </c>
      <c r="D399" s="44" t="inlineStr">
        <is>
          <t>nan</t>
        </is>
      </c>
      <c r="E399" s="44" t="inlineStr">
        <is>
          <t>nan</t>
        </is>
      </c>
      <c r="F399" s="44" t="n"/>
      <c r="G399" s="44" t="n"/>
      <c r="H399" s="15" t="n"/>
      <c r="I399" s="45" t="n">
        <v>2684537.669</v>
      </c>
      <c r="J399" s="45" t="n">
        <v>2579038.70041</v>
      </c>
      <c r="K399" s="45" t="n">
        <v>1507404.382</v>
      </c>
      <c r="L399" s="45" t="n">
        <v>1448999.9998</v>
      </c>
      <c r="M399" s="45" t="n">
        <v>0</v>
      </c>
      <c r="N399" s="45" t="n">
        <v>0</v>
      </c>
      <c r="O399" s="45" t="n">
        <v>0</v>
      </c>
      <c r="P399" s="45" t="n">
        <v>0</v>
      </c>
      <c r="Q399" s="45" t="n">
        <v>0</v>
      </c>
      <c r="R399" s="45" t="n">
        <v>0</v>
      </c>
      <c r="S399" s="45" t="n">
        <v>1507404.382</v>
      </c>
      <c r="T399" s="45" t="n">
        <v>1448999.9998</v>
      </c>
      <c r="U399" s="15" t="n">
        <v>4.0306682</v>
      </c>
      <c r="V399" s="15" t="n">
        <v>17.12390726568536</v>
      </c>
      <c r="W399" s="49" t="n">
        <v>96.126</v>
      </c>
    </row>
    <row r="400">
      <c r="A400" s="44" t="inlineStr">
        <is>
          <t>TL Cinsi Kuponsuz Senetler</t>
        </is>
      </c>
      <c r="B400" s="44" t="n">
        <v>2007</v>
      </c>
      <c r="C400" s="44" t="inlineStr">
        <is>
          <t>TRT060509T18</t>
        </is>
      </c>
      <c r="D400" s="44" t="inlineStr">
        <is>
          <t>nan</t>
        </is>
      </c>
      <c r="E400" s="44" t="inlineStr">
        <is>
          <t>nan</t>
        </is>
      </c>
      <c r="F400" s="44" t="n"/>
      <c r="G400" s="44" t="n"/>
      <c r="H400" s="15" t="n"/>
      <c r="I400" s="45" t="n">
        <v>3639356.902</v>
      </c>
      <c r="J400" s="45" t="n">
        <v>2685959.01815</v>
      </c>
      <c r="K400" s="45" t="n">
        <v>1826643.1</v>
      </c>
      <c r="L400" s="45" t="n">
        <v>1349823.64533</v>
      </c>
      <c r="M400" s="45" t="n">
        <v>2655082.81909711</v>
      </c>
      <c r="N400" s="45" t="n">
        <v>1962000</v>
      </c>
      <c r="O400" s="45" t="n">
        <v>2713562.489850601</v>
      </c>
      <c r="P400" s="45" t="n">
        <v>2005214.1375</v>
      </c>
      <c r="Q400" s="45" t="n">
        <v>186012.407</v>
      </c>
      <c r="R400" s="45" t="n">
        <v>137455.72827672</v>
      </c>
      <c r="S400" s="45" t="n">
        <v>7599029.49794771</v>
      </c>
      <c r="T400" s="45" t="n">
        <v>5615386.29795744</v>
      </c>
      <c r="U400" s="15" t="n">
        <v>35.32457</v>
      </c>
      <c r="V400" s="15" t="n">
        <v>17.80462881370661</v>
      </c>
      <c r="W400" s="49" t="n">
        <v>73.896</v>
      </c>
    </row>
    <row r="401">
      <c r="A401" s="44" t="inlineStr">
        <is>
          <t>TL Cinsi Kuponsuz Senetler</t>
        </is>
      </c>
      <c r="B401" s="44" t="n">
        <v>2007</v>
      </c>
      <c r="C401" s="44" t="inlineStr">
        <is>
          <t>TRB160108T11</t>
        </is>
      </c>
      <c r="D401" s="44" t="inlineStr">
        <is>
          <t>nan</t>
        </is>
      </c>
      <c r="E401" s="44" t="inlineStr">
        <is>
          <t>nan</t>
        </is>
      </c>
      <c r="F401" s="44" t="n"/>
      <c r="G401" s="44" t="n"/>
      <c r="H401" s="15" t="n"/>
      <c r="I401" s="45" t="n">
        <v>5012516.529</v>
      </c>
      <c r="J401" s="45" t="n">
        <v>4623072.11633</v>
      </c>
      <c r="K401" s="45" t="n">
        <v>2352832.581</v>
      </c>
      <c r="L401" s="45" t="n">
        <v>2172999.99991</v>
      </c>
      <c r="M401" s="45" t="n">
        <v>0</v>
      </c>
      <c r="N401" s="45" t="n">
        <v>0</v>
      </c>
      <c r="O401" s="45" t="n">
        <v>0</v>
      </c>
      <c r="P401" s="45" t="n">
        <v>0</v>
      </c>
      <c r="Q401" s="45" t="n">
        <v>0</v>
      </c>
      <c r="R401" s="45" t="n">
        <v>0</v>
      </c>
      <c r="S401" s="45" t="n">
        <v>2352832.581</v>
      </c>
      <c r="T401" s="45" t="n">
        <v>2172999.99981</v>
      </c>
      <c r="U401" s="15" t="n">
        <v>8.2757746</v>
      </c>
      <c r="V401" s="15" t="n">
        <v>17.23643365230005</v>
      </c>
      <c r="W401" s="49" t="n">
        <v>92.357</v>
      </c>
    </row>
    <row r="402">
      <c r="A402" s="44" t="inlineStr">
        <is>
          <t>TL Cinsi Kuponsuz Senetler</t>
        </is>
      </c>
      <c r="B402" s="44" t="n">
        <v>2007</v>
      </c>
      <c r="C402" s="44" t="inlineStr">
        <is>
          <t>TRB200208T14</t>
        </is>
      </c>
      <c r="D402" s="44" t="inlineStr">
        <is>
          <t>nan</t>
        </is>
      </c>
      <c r="E402" s="44" t="inlineStr">
        <is>
          <t>nan</t>
        </is>
      </c>
      <c r="F402" s="44" t="n"/>
      <c r="G402" s="44" t="n"/>
      <c r="H402" s="15" t="n"/>
      <c r="I402" s="45" t="n">
        <v>2335116.394</v>
      </c>
      <c r="J402" s="45" t="n">
        <v>2141962.84569</v>
      </c>
      <c r="K402" s="45" t="n">
        <v>861342.465</v>
      </c>
      <c r="L402" s="45" t="n">
        <v>791000.0004200001</v>
      </c>
      <c r="M402" s="45" t="n">
        <v>0</v>
      </c>
      <c r="N402" s="45" t="n">
        <v>0</v>
      </c>
      <c r="O402" s="45" t="n">
        <v>0</v>
      </c>
      <c r="P402" s="45" t="n">
        <v>0</v>
      </c>
      <c r="Q402" s="45" t="n">
        <v>0</v>
      </c>
      <c r="R402" s="45" t="n">
        <v>0</v>
      </c>
      <c r="S402" s="45" t="n">
        <v>861342.465</v>
      </c>
      <c r="T402" s="45" t="n">
        <v>791000.0004200001</v>
      </c>
      <c r="U402" s="15" t="n">
        <v>8.892852700000001</v>
      </c>
      <c r="V402" s="15" t="n">
        <v>18.57653369143897</v>
      </c>
      <c r="W402" s="49" t="n">
        <v>91.833</v>
      </c>
    </row>
    <row r="403">
      <c r="A403" s="44" t="inlineStr">
        <is>
          <t>TL Cinsi Kuponsuz Senetler</t>
        </is>
      </c>
      <c r="B403" s="44" t="n">
        <v>2007</v>
      </c>
      <c r="C403" s="44" t="inlineStr">
        <is>
          <t>TRT081008T10</t>
        </is>
      </c>
      <c r="D403" s="44" t="inlineStr">
        <is>
          <t>nan</t>
        </is>
      </c>
      <c r="E403" s="44" t="inlineStr">
        <is>
          <t>nan</t>
        </is>
      </c>
      <c r="F403" s="44" t="n"/>
      <c r="G403" s="44" t="n"/>
      <c r="H403" s="15" t="n"/>
      <c r="I403" s="45" t="n">
        <v>2592569.285</v>
      </c>
      <c r="J403" s="45" t="n">
        <v>2151933.42326</v>
      </c>
      <c r="K403" s="45" t="n">
        <v>1159456.315</v>
      </c>
      <c r="L403" s="45" t="n">
        <v>963044.16114</v>
      </c>
      <c r="M403" s="45" t="n">
        <v>1444738.743077294</v>
      </c>
      <c r="N403" s="45" t="n">
        <v>1200000</v>
      </c>
      <c r="O403" s="45" t="n">
        <v>798796.0510474356</v>
      </c>
      <c r="P403" s="45" t="n">
        <v>663480</v>
      </c>
      <c r="Q403" s="45" t="n">
        <v>67933.842</v>
      </c>
      <c r="R403" s="45" t="n">
        <v>56425.8491652</v>
      </c>
      <c r="S403" s="45" t="n">
        <v>3680780.191124729</v>
      </c>
      <c r="T403" s="45" t="n">
        <v>3057255.7726492</v>
      </c>
      <c r="U403" s="15" t="n">
        <v>20.39493</v>
      </c>
      <c r="V403" s="15" t="n">
        <v>18.45061063802911</v>
      </c>
      <c r="W403" s="49" t="n">
        <v>83.06</v>
      </c>
    </row>
    <row r="404">
      <c r="A404" s="44" t="inlineStr">
        <is>
          <t>TL Cinsi Kuponsuz Senetler</t>
        </is>
      </c>
      <c r="B404" s="44" t="n">
        <v>2007</v>
      </c>
      <c r="C404" s="44" t="inlineStr">
        <is>
          <t>TRT060509T18</t>
        </is>
      </c>
      <c r="D404" s="44" t="inlineStr">
        <is>
          <t>nan</t>
        </is>
      </c>
      <c r="E404" s="44" t="inlineStr">
        <is>
          <t>nan</t>
        </is>
      </c>
      <c r="F404" s="44" t="n"/>
      <c r="G404" s="44" t="n"/>
      <c r="H404" s="15" t="n"/>
      <c r="I404" s="45" t="n">
        <v>3579322.091</v>
      </c>
      <c r="J404" s="45" t="n">
        <v>2707392.76162</v>
      </c>
      <c r="K404" s="45" t="n">
        <v>1664491.25</v>
      </c>
      <c r="L404" s="45" t="n">
        <v>1260019.14701</v>
      </c>
      <c r="M404" s="45" t="n">
        <v>1585204.755614267</v>
      </c>
      <c r="N404" s="45" t="n">
        <v>1200000</v>
      </c>
      <c r="O404" s="45" t="n">
        <v>1175132.100396301</v>
      </c>
      <c r="P404" s="45" t="n">
        <v>889575</v>
      </c>
      <c r="Q404" s="45" t="n">
        <v>79576.92</v>
      </c>
      <c r="R404" s="45" t="n">
        <v>60239.72844000001</v>
      </c>
      <c r="S404" s="45" t="n">
        <v>4630405.026010567</v>
      </c>
      <c r="T404" s="45" t="n">
        <v>3505215.87545</v>
      </c>
      <c r="U404" s="15" t="n">
        <v>32.10047</v>
      </c>
      <c r="V404" s="15" t="n">
        <v>18.10401899969636</v>
      </c>
      <c r="W404" s="49" t="n">
        <v>75.7</v>
      </c>
    </row>
    <row r="405">
      <c r="A405" s="44" t="inlineStr">
        <is>
          <t>TL Cinsi Kuponsuz Senetler</t>
        </is>
      </c>
      <c r="B405" s="44" t="n">
        <v>2007</v>
      </c>
      <c r="C405" s="44" t="inlineStr">
        <is>
          <t>TRB120308T13</t>
        </is>
      </c>
      <c r="D405" s="44" t="inlineStr">
        <is>
          <t>nan</t>
        </is>
      </c>
      <c r="E405" s="44" t="inlineStr">
        <is>
          <t>nan</t>
        </is>
      </c>
      <c r="F405" s="44" t="n"/>
      <c r="G405" s="44" t="n"/>
      <c r="H405" s="15" t="n"/>
      <c r="I405" s="45" t="n">
        <v>3497535.996</v>
      </c>
      <c r="J405" s="45" t="n">
        <v>3214823.83403</v>
      </c>
      <c r="K405" s="45" t="n">
        <v>2469105.212</v>
      </c>
      <c r="L405" s="45" t="n">
        <v>2270999.99984</v>
      </c>
      <c r="M405" s="45" t="n">
        <v>0</v>
      </c>
      <c r="N405" s="45" t="n">
        <v>0</v>
      </c>
      <c r="O405" s="45" t="n">
        <v>0</v>
      </c>
      <c r="P405" s="45" t="n">
        <v>0</v>
      </c>
      <c r="Q405" s="45" t="n">
        <v>0</v>
      </c>
      <c r="R405" s="45" t="n">
        <v>0</v>
      </c>
      <c r="S405" s="45" t="n">
        <v>2469105.212</v>
      </c>
      <c r="T405" s="45" t="n">
        <v>2270999.99984</v>
      </c>
      <c r="U405" s="15" t="n">
        <v>8.723259000000001</v>
      </c>
      <c r="V405" s="15" t="n">
        <v>18.20747047581079</v>
      </c>
      <c r="W405" s="49" t="n">
        <v>91.977</v>
      </c>
    </row>
    <row r="406">
      <c r="A406" s="44" t="inlineStr">
        <is>
          <t>TL Cinsi Kuponsuz Senetler</t>
        </is>
      </c>
      <c r="B406" s="44" t="n">
        <v>2007</v>
      </c>
      <c r="C406" s="44" t="inlineStr">
        <is>
          <t>TRB020108T17</t>
        </is>
      </c>
      <c r="D406" s="44" t="inlineStr">
        <is>
          <t>nan</t>
        </is>
      </c>
      <c r="E406" s="44" t="inlineStr">
        <is>
          <t>nan</t>
        </is>
      </c>
      <c r="F406" s="44" t="n"/>
      <c r="G406" s="44" t="n"/>
      <c r="H406" s="15" t="n"/>
      <c r="I406" s="45" t="n">
        <v>2023442.915</v>
      </c>
      <c r="J406" s="45" t="n">
        <v>1944433.97976</v>
      </c>
      <c r="K406" s="45" t="n">
        <v>935262.672</v>
      </c>
      <c r="L406" s="45" t="n">
        <v>898999.9994</v>
      </c>
      <c r="M406" s="45" t="n">
        <v>0</v>
      </c>
      <c r="N406" s="45" t="n">
        <v>0</v>
      </c>
      <c r="O406" s="45" t="n">
        <v>0</v>
      </c>
      <c r="P406" s="45" t="n">
        <v>0</v>
      </c>
      <c r="Q406" s="45" t="n">
        <v>0</v>
      </c>
      <c r="R406" s="45" t="n">
        <v>0</v>
      </c>
      <c r="S406" s="45" t="n">
        <v>935262.672</v>
      </c>
      <c r="T406" s="45" t="n">
        <v>898999.9994</v>
      </c>
      <c r="U406" s="15" t="n">
        <v>4.0336677</v>
      </c>
      <c r="V406" s="15" t="n">
        <v>17.13741591117428</v>
      </c>
      <c r="W406" s="49" t="n">
        <v>96.123</v>
      </c>
    </row>
    <row r="407">
      <c r="A407" s="44" t="inlineStr">
        <is>
          <t>TL Cinsi Kuponsuz Senetler</t>
        </is>
      </c>
      <c r="B407" s="44" t="n">
        <v>2007</v>
      </c>
      <c r="C407" s="44" t="inlineStr">
        <is>
          <t>TRT050809T16</t>
        </is>
      </c>
      <c r="D407" s="44" t="inlineStr">
        <is>
          <t>nan</t>
        </is>
      </c>
      <c r="E407" s="44" t="inlineStr">
        <is>
          <t>nan</t>
        </is>
      </c>
      <c r="F407" s="44" t="n"/>
      <c r="G407" s="44" t="n"/>
      <c r="H407" s="15" t="n"/>
      <c r="I407" s="45" t="n">
        <v>4259889.767</v>
      </c>
      <c r="J407" s="45" t="n">
        <v>3243411.68069</v>
      </c>
      <c r="K407" s="45" t="n">
        <v>1764247.481</v>
      </c>
      <c r="L407" s="45" t="n">
        <v>1344653.46058</v>
      </c>
      <c r="M407" s="45" t="n">
        <v>1312043.244945353</v>
      </c>
      <c r="N407" s="45" t="n">
        <v>1000000</v>
      </c>
      <c r="O407" s="45" t="n">
        <v>1167430.166498288</v>
      </c>
      <c r="P407" s="45" t="n">
        <v>889780.25</v>
      </c>
      <c r="Q407" s="45" t="n">
        <v>12729.738</v>
      </c>
      <c r="R407" s="45" t="n">
        <v>9702.22441146</v>
      </c>
      <c r="S407" s="45" t="n">
        <v>4533648.102443641</v>
      </c>
      <c r="T407" s="45" t="n">
        <v>3455407.5322257</v>
      </c>
      <c r="U407" s="15" t="n">
        <v>31.20462</v>
      </c>
      <c r="V407" s="15" t="n">
        <v>16.21132520615449</v>
      </c>
      <c r="W407" s="49" t="n">
        <v>76.217</v>
      </c>
    </row>
    <row r="408">
      <c r="A408" s="44" t="inlineStr">
        <is>
          <t>TL Cinsi Kuponsuz Senetler</t>
        </is>
      </c>
      <c r="B408" s="44" t="n">
        <v>2007</v>
      </c>
      <c r="C408" s="44" t="inlineStr">
        <is>
          <t>TRT050809T16</t>
        </is>
      </c>
      <c r="D408" s="44" t="inlineStr">
        <is>
          <t>nan</t>
        </is>
      </c>
      <c r="E408" s="44" t="inlineStr">
        <is>
          <t>nan</t>
        </is>
      </c>
      <c r="F408" s="44" t="n"/>
      <c r="G408" s="44" t="n"/>
      <c r="H408" s="15" t="n"/>
      <c r="I408" s="45" t="n">
        <v>3702402.758</v>
      </c>
      <c r="J408" s="45" t="n">
        <v>2844561.96809</v>
      </c>
      <c r="K408" s="45" t="n">
        <v>1527347.73</v>
      </c>
      <c r="L408" s="45" t="n">
        <v>1174226.69573</v>
      </c>
      <c r="M408" s="45" t="n">
        <v>1300728.407908429</v>
      </c>
      <c r="N408" s="45" t="n">
        <v>1000000</v>
      </c>
      <c r="O408" s="45" t="n">
        <v>1545647.762747139</v>
      </c>
      <c r="P408" s="45" t="n">
        <v>1188294</v>
      </c>
      <c r="Q408" s="45" t="n">
        <v>0</v>
      </c>
      <c r="R408" s="45" t="n">
        <v>0</v>
      </c>
      <c r="S408" s="45" t="n">
        <v>4373723.900655568</v>
      </c>
      <c r="T408" s="45" t="n">
        <v>3362520.69573</v>
      </c>
      <c r="U408" s="15" t="n">
        <v>30.07265</v>
      </c>
      <c r="V408" s="15" t="n">
        <v>16.21150784072576</v>
      </c>
      <c r="W408" s="49" t="n">
        <v>76.88</v>
      </c>
    </row>
    <row r="409">
      <c r="A409" s="44" t="inlineStr">
        <is>
          <t>TL Cinsi Kuponsuz Senetler</t>
        </is>
      </c>
      <c r="B409" s="44" t="n">
        <v>2007</v>
      </c>
      <c r="C409" s="44" t="inlineStr">
        <is>
          <t>TRT171208T17</t>
        </is>
      </c>
      <c r="D409" s="44" t="inlineStr">
        <is>
          <t>nan</t>
        </is>
      </c>
      <c r="E409" s="44" t="inlineStr">
        <is>
          <t>nan</t>
        </is>
      </c>
      <c r="F409" s="44" t="n"/>
      <c r="G409" s="44" t="n"/>
      <c r="H409" s="15" t="n"/>
      <c r="I409" s="45" t="n">
        <v>3188343.339</v>
      </c>
      <c r="J409" s="45" t="n">
        <v>2722961.0686</v>
      </c>
      <c r="K409" s="45" t="n">
        <v>1267855.061</v>
      </c>
      <c r="L409" s="45" t="n">
        <v>1083610.88917</v>
      </c>
      <c r="M409" s="45" t="n">
        <v>0</v>
      </c>
      <c r="N409" s="45" t="n">
        <v>0</v>
      </c>
      <c r="O409" s="45" t="n">
        <v>635579.9648991434</v>
      </c>
      <c r="P409" s="45" t="n">
        <v>543217.4844</v>
      </c>
      <c r="Q409" s="45" t="n">
        <v>0</v>
      </c>
      <c r="R409" s="45" t="n">
        <v>0</v>
      </c>
      <c r="S409" s="45" t="n">
        <v>2045641.135899143</v>
      </c>
      <c r="T409" s="45" t="n">
        <v>1748369.0916648</v>
      </c>
      <c r="U409" s="15" t="n">
        <v>17.0028</v>
      </c>
      <c r="V409" s="15" t="n">
        <v>16.65665871785695</v>
      </c>
      <c r="W409" s="49" t="n">
        <v>85.468</v>
      </c>
    </row>
    <row r="410">
      <c r="A410" s="44" t="inlineStr">
        <is>
          <t>TL Cinsi Kuponsuz Senetler</t>
        </is>
      </c>
      <c r="B410" s="44" t="n">
        <v>2007</v>
      </c>
      <c r="C410" s="44" t="inlineStr">
        <is>
          <t>TRT050809T16</t>
        </is>
      </c>
      <c r="D410" s="44" t="inlineStr">
        <is>
          <t>nan</t>
        </is>
      </c>
      <c r="E410" s="44" t="inlineStr">
        <is>
          <t>nan</t>
        </is>
      </c>
      <c r="F410" s="44" t="n"/>
      <c r="G410" s="44" t="n"/>
      <c r="H410" s="15" t="n"/>
      <c r="I410" s="45" t="n">
        <v>2816564.527</v>
      </c>
      <c r="J410" s="45" t="n">
        <v>2188400.81111</v>
      </c>
      <c r="K410" s="45" t="n">
        <v>1286392.02</v>
      </c>
      <c r="L410" s="45" t="n">
        <v>1000047.03979</v>
      </c>
      <c r="M410" s="45" t="n">
        <v>1543606.894777464</v>
      </c>
      <c r="N410" s="45" t="n">
        <v>1200000</v>
      </c>
      <c r="O410" s="45" t="n">
        <v>1216041.683817854</v>
      </c>
      <c r="P410" s="45" t="n">
        <v>945350.8049999999</v>
      </c>
      <c r="Q410" s="45" t="n">
        <v>0</v>
      </c>
      <c r="R410" s="45" t="n">
        <v>0</v>
      </c>
      <c r="S410" s="45" t="n">
        <v>4190860.325595317</v>
      </c>
      <c r="T410" s="45" t="n">
        <v>3257980.7005598</v>
      </c>
      <c r="U410" s="15" t="n">
        <v>28.63315</v>
      </c>
      <c r="V410" s="15" t="n">
        <v>16.4448701928559</v>
      </c>
      <c r="W410" s="49" t="n">
        <v>77.73999999999999</v>
      </c>
    </row>
    <row r="411">
      <c r="A411" s="44" t="inlineStr">
        <is>
          <t>TL Cinsi Kuponsuz Senetler</t>
        </is>
      </c>
      <c r="B411" s="44" t="n">
        <v>2006</v>
      </c>
      <c r="C411" s="44" t="inlineStr">
        <is>
          <t>TRB190706T14</t>
        </is>
      </c>
      <c r="D411" s="44" t="inlineStr">
        <is>
          <t>nan</t>
        </is>
      </c>
      <c r="E411" s="44" t="inlineStr">
        <is>
          <t>nan</t>
        </is>
      </c>
      <c r="F411" s="44" t="n"/>
      <c r="G411" s="44" t="n"/>
      <c r="H411" s="15" t="n"/>
      <c r="I411" s="45" t="n">
        <v>5560405.985</v>
      </c>
      <c r="J411" s="45" t="n">
        <v>5183982.01611</v>
      </c>
      <c r="K411" s="45" t="n">
        <v>1986960.514</v>
      </c>
      <c r="L411" s="45" t="n">
        <v>1855000.00308</v>
      </c>
      <c r="M411" s="45" t="n">
        <v>0</v>
      </c>
      <c r="N411" s="45" t="n">
        <v>0</v>
      </c>
      <c r="O411" s="45" t="n">
        <v>0</v>
      </c>
      <c r="P411" s="45" t="n">
        <v>0</v>
      </c>
      <c r="Q411" s="45" t="n">
        <v>0</v>
      </c>
      <c r="R411" s="45" t="n">
        <v>0</v>
      </c>
      <c r="S411" s="45" t="n">
        <v>1986960.514</v>
      </c>
      <c r="T411" s="45" t="n">
        <v>1855000.00308</v>
      </c>
      <c r="U411" s="15" t="n">
        <v>7.1137742</v>
      </c>
      <c r="V411" s="15" t="n">
        <v>14.73360623368583</v>
      </c>
      <c r="W411" s="49" t="n">
        <v>93.35899999999999</v>
      </c>
    </row>
    <row r="412">
      <c r="A412" s="44" t="inlineStr">
        <is>
          <t>TL Cinsi Kuponsuz Senetler</t>
        </is>
      </c>
      <c r="B412" s="44" t="n">
        <v>2006</v>
      </c>
      <c r="C412" s="44" t="inlineStr">
        <is>
          <t>TRT050907T17</t>
        </is>
      </c>
      <c r="D412" s="44" t="inlineStr">
        <is>
          <t>nan</t>
        </is>
      </c>
      <c r="E412" s="44" t="inlineStr">
        <is>
          <t>nan</t>
        </is>
      </c>
      <c r="F412" s="44" t="n"/>
      <c r="G412" s="44" t="n"/>
      <c r="H412" s="15" t="n"/>
      <c r="I412" s="45" t="n">
        <v>4715858.631</v>
      </c>
      <c r="J412" s="45" t="n">
        <v>3819777.45452</v>
      </c>
      <c r="K412" s="45" t="n">
        <v>1555512.32</v>
      </c>
      <c r="L412" s="45" t="n">
        <v>1263511.72256</v>
      </c>
      <c r="M412" s="45" t="n">
        <v>467818.9786773034</v>
      </c>
      <c r="N412" s="45" t="n">
        <v>380000</v>
      </c>
      <c r="O412" s="45" t="n">
        <v>1553996.158959965</v>
      </c>
      <c r="P412" s="45" t="n">
        <v>1262280</v>
      </c>
      <c r="Q412" s="45" t="n">
        <v>0</v>
      </c>
      <c r="R412" s="45" t="n">
        <v>0</v>
      </c>
      <c r="S412" s="45" t="n">
        <v>3577327.457637268</v>
      </c>
      <c r="T412" s="45" t="n">
        <v>2905791.72256</v>
      </c>
      <c r="U412" s="15" t="n">
        <v>23.1102405</v>
      </c>
      <c r="V412" s="15" t="n">
        <v>13.56350611537918</v>
      </c>
      <c r="W412" s="49" t="n">
        <v>81.22799999999999</v>
      </c>
    </row>
    <row r="413">
      <c r="A413" s="44" t="inlineStr">
        <is>
          <t>TL Cinsi Kuponsuz Senetler</t>
        </is>
      </c>
      <c r="B413" s="44" t="n">
        <v>2006</v>
      </c>
      <c r="C413" s="44" t="inlineStr">
        <is>
          <t>TRB131206T13</t>
        </is>
      </c>
      <c r="D413" s="44" t="inlineStr">
        <is>
          <t>nan</t>
        </is>
      </c>
      <c r="E413" s="44" t="inlineStr">
        <is>
          <t>nan</t>
        </is>
      </c>
      <c r="F413" s="44" t="n"/>
      <c r="G413" s="44" t="n"/>
      <c r="H413" s="15" t="n"/>
      <c r="I413" s="45" t="n">
        <v>3414283.037</v>
      </c>
      <c r="J413" s="45" t="n">
        <v>3041812.31096</v>
      </c>
      <c r="K413" s="45" t="n">
        <v>1047928.037</v>
      </c>
      <c r="L413" s="45" t="n">
        <v>934906.3354100001</v>
      </c>
      <c r="M413" s="45" t="n">
        <v>0</v>
      </c>
      <c r="N413" s="45" t="n">
        <v>0</v>
      </c>
      <c r="O413" s="45" t="n">
        <v>778307.2353303817</v>
      </c>
      <c r="P413" s="45" t="n">
        <v>694366.8</v>
      </c>
      <c r="Q413" s="45" t="n">
        <v>13464.595</v>
      </c>
      <c r="R413" s="45" t="n">
        <v>12012.43842925</v>
      </c>
      <c r="S413" s="45" t="n">
        <v>1839699.867330382</v>
      </c>
      <c r="T413" s="45" t="n">
        <v>1641285.57383925</v>
      </c>
      <c r="U413" s="15" t="n">
        <v>12.0890936</v>
      </c>
      <c r="V413" s="15" t="n">
        <v>14.4392167686364</v>
      </c>
      <c r="W413" s="49" t="n">
        <v>89.215</v>
      </c>
    </row>
    <row r="414">
      <c r="A414" s="44" t="inlineStr">
        <is>
          <t>TL Cinsi Kuponsuz Senetler</t>
        </is>
      </c>
      <c r="B414" s="44" t="n">
        <v>2006</v>
      </c>
      <c r="C414" s="44" t="inlineStr">
        <is>
          <t>TRB230806T17</t>
        </is>
      </c>
      <c r="D414" s="44" t="inlineStr">
        <is>
          <t>nan</t>
        </is>
      </c>
      <c r="E414" s="44" t="inlineStr">
        <is>
          <t>nan</t>
        </is>
      </c>
      <c r="F414" s="44" t="n"/>
      <c r="G414" s="44" t="n"/>
      <c r="H414" s="15" t="n"/>
      <c r="I414" s="45" t="n">
        <v>5871137.295</v>
      </c>
      <c r="J414" s="45" t="n">
        <v>5486040.86179</v>
      </c>
      <c r="K414" s="45" t="n">
        <v>2421673.118</v>
      </c>
      <c r="L414" s="45" t="n">
        <v>2264000.00008</v>
      </c>
      <c r="M414" s="45" t="n">
        <v>0</v>
      </c>
      <c r="N414" s="45" t="n">
        <v>0</v>
      </c>
      <c r="O414" s="45" t="n">
        <v>0</v>
      </c>
      <c r="P414" s="45" t="n">
        <v>0</v>
      </c>
      <c r="Q414" s="45" t="n">
        <v>0</v>
      </c>
      <c r="R414" s="45" t="n">
        <v>0</v>
      </c>
      <c r="S414" s="45" t="n">
        <v>2421673.118</v>
      </c>
      <c r="T414" s="45" t="n">
        <v>2264000.00008</v>
      </c>
      <c r="U414" s="15" t="n">
        <v>6.9643603</v>
      </c>
      <c r="V414" s="15" t="n">
        <v>14.41374374388218</v>
      </c>
      <c r="W414" s="49" t="n">
        <v>93.489</v>
      </c>
    </row>
    <row r="415">
      <c r="A415" s="44" t="inlineStr">
        <is>
          <t>TL Cinsi Kuponsuz Senetler</t>
        </is>
      </c>
      <c r="B415" s="44" t="n">
        <v>2006</v>
      </c>
      <c r="C415" s="44" t="inlineStr">
        <is>
          <t>TRT050907T17</t>
        </is>
      </c>
      <c r="D415" s="44" t="inlineStr">
        <is>
          <t>nan</t>
        </is>
      </c>
      <c r="E415" s="44" t="inlineStr">
        <is>
          <t>nan</t>
        </is>
      </c>
      <c r="F415" s="44" t="n"/>
      <c r="G415" s="44" t="n"/>
      <c r="H415" s="15" t="n"/>
      <c r="I415" s="45" t="n">
        <v>1973202.021</v>
      </c>
      <c r="J415" s="45" t="n">
        <v>1622033.00394</v>
      </c>
      <c r="K415" s="45" t="n">
        <v>1463977.11</v>
      </c>
      <c r="L415" s="45" t="n">
        <v>1204264.81923</v>
      </c>
      <c r="M415" s="45" t="n">
        <v>1235716.022368101</v>
      </c>
      <c r="N415" s="45" t="n">
        <v>1016500</v>
      </c>
      <c r="O415" s="45" t="n">
        <v>2177671.298322392</v>
      </c>
      <c r="P415" s="45" t="n">
        <v>1791352.41</v>
      </c>
      <c r="Q415" s="45" t="n">
        <v>0</v>
      </c>
      <c r="R415" s="45" t="n">
        <v>0</v>
      </c>
      <c r="S415" s="45" t="n">
        <v>4877364.430690493</v>
      </c>
      <c r="T415" s="45" t="n">
        <v>4012117.22923</v>
      </c>
      <c r="U415" s="15" t="n">
        <v>21.5660448</v>
      </c>
      <c r="V415" s="15" t="n">
        <v>13.53453525326869</v>
      </c>
      <c r="W415" s="49" t="n">
        <v>82.26000000000001</v>
      </c>
    </row>
    <row r="416">
      <c r="A416" s="44" t="inlineStr">
        <is>
          <t>TL Cinsi Kuponsuz Senetler</t>
        </is>
      </c>
      <c r="B416" s="44" t="n">
        <v>2006</v>
      </c>
      <c r="C416" s="44" t="inlineStr">
        <is>
          <t>TRB140606T10</t>
        </is>
      </c>
      <c r="D416" s="44" t="inlineStr">
        <is>
          <t>nan</t>
        </is>
      </c>
      <c r="E416" s="44" t="inlineStr">
        <is>
          <t>nan</t>
        </is>
      </c>
      <c r="F416" s="44" t="n"/>
      <c r="G416" s="44" t="n"/>
      <c r="H416" s="15" t="n"/>
      <c r="I416" s="45" t="n">
        <v>2590728.428</v>
      </c>
      <c r="J416" s="45" t="n">
        <v>2505039.42681</v>
      </c>
      <c r="K416" s="45" t="n">
        <v>978070.651</v>
      </c>
      <c r="L416" s="45" t="n">
        <v>945999.99975</v>
      </c>
      <c r="M416" s="45" t="n">
        <v>0</v>
      </c>
      <c r="N416" s="45" t="n">
        <v>0</v>
      </c>
      <c r="O416" s="45" t="n">
        <v>0</v>
      </c>
      <c r="P416" s="45" t="n">
        <v>0</v>
      </c>
      <c r="Q416" s="45" t="n">
        <v>0</v>
      </c>
      <c r="R416" s="45" t="n">
        <v>0</v>
      </c>
      <c r="S416" s="45" t="n">
        <v>978070.651</v>
      </c>
      <c r="T416" s="45" t="n">
        <v>945999.99975</v>
      </c>
      <c r="U416" s="15" t="n">
        <v>3.3901323</v>
      </c>
      <c r="V416" s="15" t="n">
        <v>14.26582622182753</v>
      </c>
      <c r="W416" s="49" t="n">
        <v>96.721</v>
      </c>
    </row>
    <row r="417">
      <c r="A417" s="44" t="inlineStr">
        <is>
          <t>TL Cinsi Kuponsuz Senetler</t>
        </is>
      </c>
      <c r="B417" s="44" t="n">
        <v>2006</v>
      </c>
      <c r="C417" s="44" t="inlineStr">
        <is>
          <t>TRT050907T17</t>
        </is>
      </c>
      <c r="D417" s="44" t="inlineStr">
        <is>
          <t>nan</t>
        </is>
      </c>
      <c r="E417" s="44" t="inlineStr">
        <is>
          <t>nan</t>
        </is>
      </c>
      <c r="F417" s="44" t="n"/>
      <c r="G417" s="44" t="n"/>
      <c r="H417" s="15" t="n"/>
      <c r="I417" s="45" t="n">
        <v>3801401.288</v>
      </c>
      <c r="J417" s="45" t="n">
        <v>3136989.417</v>
      </c>
      <c r="K417" s="45" t="n">
        <v>3183443.118</v>
      </c>
      <c r="L417" s="45" t="n">
        <v>2628322.19969</v>
      </c>
      <c r="M417" s="45" t="n">
        <v>499018.9189942104</v>
      </c>
      <c r="N417" s="45" t="n">
        <v>411999.9999</v>
      </c>
      <c r="O417" s="45" t="n">
        <v>1175498.412998716</v>
      </c>
      <c r="P417" s="45" t="n">
        <v>970514.99974</v>
      </c>
      <c r="Q417" s="45" t="n">
        <v>0</v>
      </c>
      <c r="R417" s="45" t="n">
        <v>0</v>
      </c>
      <c r="S417" s="45" t="n">
        <v>5475239.477992927</v>
      </c>
      <c r="T417" s="45" t="n">
        <v>4520475.11042736</v>
      </c>
      <c r="U417" s="15" t="n">
        <v>21.1207332</v>
      </c>
      <c r="V417" s="15" t="n">
        <v>13.81499942097577</v>
      </c>
      <c r="W417" s="49" t="n">
        <v>82.562</v>
      </c>
    </row>
    <row r="418">
      <c r="A418" s="44" t="inlineStr">
        <is>
          <t>TL Cinsi Kuponsuz Senetler</t>
        </is>
      </c>
      <c r="B418" s="44" t="n">
        <v>2006</v>
      </c>
      <c r="C418" s="44" t="inlineStr">
        <is>
          <t>TRT180407T17</t>
        </is>
      </c>
      <c r="D418" s="44" t="inlineStr">
        <is>
          <t>nan</t>
        </is>
      </c>
      <c r="E418" s="44" t="inlineStr">
        <is>
          <t>nan</t>
        </is>
      </c>
      <c r="F418" s="44" t="n"/>
      <c r="G418" s="44" t="n"/>
      <c r="H418" s="15" t="n"/>
      <c r="I418" s="45" t="n">
        <v>4643406.76</v>
      </c>
      <c r="J418" s="45" t="n">
        <v>4048578.22679</v>
      </c>
      <c r="K418" s="45" t="n">
        <v>2480260.727</v>
      </c>
      <c r="L418" s="45" t="n">
        <v>2163477.90741</v>
      </c>
      <c r="M418" s="45" t="n">
        <v>0</v>
      </c>
      <c r="N418" s="45" t="n">
        <v>0</v>
      </c>
      <c r="O418" s="45" t="n">
        <v>1006836.394277067</v>
      </c>
      <c r="P418" s="45" t="n">
        <v>878243.25</v>
      </c>
      <c r="Q418" s="45" t="n">
        <v>0</v>
      </c>
      <c r="R418" s="45" t="n">
        <v>0</v>
      </c>
      <c r="S418" s="45" t="n">
        <v>3877204.282277067</v>
      </c>
      <c r="T418" s="45" t="n">
        <v>3382003.83180708</v>
      </c>
      <c r="U418" s="15" t="n">
        <v>14.6422951</v>
      </c>
      <c r="V418" s="15" t="n">
        <v>14.06355779499084</v>
      </c>
      <c r="W418" s="49" t="n">
        <v>87.22799999999999</v>
      </c>
    </row>
    <row r="419">
      <c r="A419" s="44" t="inlineStr">
        <is>
          <t>TL Cinsi Kuponsuz Senetler</t>
        </is>
      </c>
      <c r="B419" s="44" t="n">
        <v>2006</v>
      </c>
      <c r="C419" s="44" t="inlineStr">
        <is>
          <t>TRT090408T17</t>
        </is>
      </c>
      <c r="D419" s="44" t="inlineStr">
        <is>
          <t>nan</t>
        </is>
      </c>
      <c r="E419" s="44" t="inlineStr">
        <is>
          <t>nan</t>
        </is>
      </c>
      <c r="F419" s="44" t="n"/>
      <c r="G419" s="44" t="n"/>
      <c r="H419" s="15" t="n"/>
      <c r="I419" s="45" t="n">
        <v>4106447.531</v>
      </c>
      <c r="J419" s="45" t="n">
        <v>3170286.30069</v>
      </c>
      <c r="K419" s="45" t="n">
        <v>3000509.375</v>
      </c>
      <c r="L419" s="45" t="n">
        <v>2317962.97681</v>
      </c>
      <c r="M419" s="45" t="n">
        <v>1440739.397996169</v>
      </c>
      <c r="N419" s="45" t="n">
        <v>1112999.99974</v>
      </c>
      <c r="O419" s="45" t="n">
        <v>2577294.255164915</v>
      </c>
      <c r="P419" s="45" t="n">
        <v>1991011.358</v>
      </c>
      <c r="Q419" s="45" t="n">
        <v>252904.028</v>
      </c>
      <c r="R419" s="45" t="n">
        <v>195373.41971056</v>
      </c>
      <c r="S419" s="45" t="n">
        <v>7271447.056161083</v>
      </c>
      <c r="T419" s="45" t="n">
        <v>5617347.75426056</v>
      </c>
      <c r="U419" s="15" t="n">
        <v>29.4459577</v>
      </c>
      <c r="V419" s="15" t="n">
        <v>13.77431946621346</v>
      </c>
      <c r="W419" s="49" t="n">
        <v>77.252</v>
      </c>
    </row>
    <row r="420">
      <c r="A420" s="44" t="inlineStr">
        <is>
          <t>TL Cinsi Kuponsuz Senetler</t>
        </is>
      </c>
      <c r="B420" s="44" t="n">
        <v>2006</v>
      </c>
      <c r="C420" s="44" t="inlineStr">
        <is>
          <t>TRT160507T18</t>
        </is>
      </c>
      <c r="D420" s="44" t="inlineStr">
        <is>
          <t>nan</t>
        </is>
      </c>
      <c r="E420" s="44" t="inlineStr">
        <is>
          <t>nan</t>
        </is>
      </c>
      <c r="F420" s="44" t="n"/>
      <c r="G420" s="44" t="n"/>
      <c r="H420" s="15" t="n"/>
      <c r="I420" s="45" t="n">
        <v>3133043.662</v>
      </c>
      <c r="J420" s="45" t="n">
        <v>2731496.536</v>
      </c>
      <c r="K420" s="45" t="n">
        <v>1597903.057</v>
      </c>
      <c r="L420" s="45" t="n">
        <v>1393763.22873</v>
      </c>
      <c r="M420" s="45" t="n">
        <v>0</v>
      </c>
      <c r="N420" s="45" t="n">
        <v>0</v>
      </c>
      <c r="O420" s="45" t="n">
        <v>756072.2269991402</v>
      </c>
      <c r="P420" s="45" t="n">
        <v>659484</v>
      </c>
      <c r="Q420" s="45" t="n">
        <v>0</v>
      </c>
      <c r="R420" s="45" t="n">
        <v>0</v>
      </c>
      <c r="S420" s="45" t="n">
        <v>2479689.557999141</v>
      </c>
      <c r="T420" s="45" t="n">
        <v>2162901.5042265</v>
      </c>
      <c r="U420" s="15" t="n">
        <v>14.6466648</v>
      </c>
      <c r="V420" s="15" t="n">
        <v>14.06774440917731</v>
      </c>
      <c r="W420" s="49" t="n">
        <v>87.22499999999999</v>
      </c>
    </row>
    <row r="421">
      <c r="A421" s="44" t="inlineStr">
        <is>
          <t>TL Cinsi Kuponsuz Senetler</t>
        </is>
      </c>
      <c r="B421" s="44" t="n">
        <v>2006</v>
      </c>
      <c r="C421" s="44" t="inlineStr">
        <is>
          <t>TRT090408T17</t>
        </is>
      </c>
      <c r="D421" s="44" t="inlineStr">
        <is>
          <t>nan</t>
        </is>
      </c>
      <c r="E421" s="44" t="inlineStr">
        <is>
          <t>nan</t>
        </is>
      </c>
      <c r="F421" s="44" t="n"/>
      <c r="G421" s="44" t="n"/>
      <c r="H421" s="15" t="n"/>
      <c r="I421" s="45" t="n">
        <v>1560043.948</v>
      </c>
      <c r="J421" s="45" t="n">
        <v>1178592.72004</v>
      </c>
      <c r="K421" s="45" t="n">
        <v>928344.603</v>
      </c>
      <c r="L421" s="45" t="n">
        <v>701890.25789</v>
      </c>
      <c r="M421" s="45" t="n">
        <v>0</v>
      </c>
      <c r="N421" s="45" t="n">
        <v>0</v>
      </c>
      <c r="O421" s="45" t="n">
        <v>1537526.287248535</v>
      </c>
      <c r="P421" s="45" t="n">
        <v>1162477.5</v>
      </c>
      <c r="Q421" s="45" t="n">
        <v>121113.283</v>
      </c>
      <c r="R421" s="45" t="n">
        <v>91570.11987780999</v>
      </c>
      <c r="S421" s="45" t="n">
        <v>2586984.173248535</v>
      </c>
      <c r="T421" s="45" t="n">
        <v>1955937.87776781</v>
      </c>
      <c r="U421" s="15" t="n">
        <v>32.2634974</v>
      </c>
      <c r="V421" s="15" t="n">
        <v>15.99454142986281</v>
      </c>
      <c r="W421" s="49" t="n">
        <v>75.607</v>
      </c>
    </row>
    <row r="422">
      <c r="A422" s="44" t="inlineStr">
        <is>
          <t>TL Cinsi Kuponsuz Senetler</t>
        </is>
      </c>
      <c r="B422" s="44" t="n">
        <v>2006</v>
      </c>
      <c r="C422" s="44" t="inlineStr">
        <is>
          <t>TRT130607T10</t>
        </is>
      </c>
      <c r="D422" s="44" t="inlineStr">
        <is>
          <t>nan</t>
        </is>
      </c>
      <c r="E422" s="44" t="inlineStr">
        <is>
          <t>nan</t>
        </is>
      </c>
      <c r="F422" s="44" t="n"/>
      <c r="G422" s="44" t="n"/>
      <c r="H422" s="15" t="n"/>
      <c r="I422" s="45" t="n">
        <v>1653589.774</v>
      </c>
      <c r="J422" s="45" t="n">
        <v>1388712.39022</v>
      </c>
      <c r="K422" s="45" t="n">
        <v>1048540.004</v>
      </c>
      <c r="L422" s="45" t="n">
        <v>881260.38726</v>
      </c>
      <c r="M422" s="45" t="n">
        <v>0</v>
      </c>
      <c r="N422" s="45" t="n">
        <v>0</v>
      </c>
      <c r="O422" s="45" t="n">
        <v>676147.5858458462</v>
      </c>
      <c r="P422" s="45" t="n">
        <v>568275</v>
      </c>
      <c r="Q422" s="45" t="n">
        <v>77973.351</v>
      </c>
      <c r="R422" s="45" t="n">
        <v>65533.48258146</v>
      </c>
      <c r="S422" s="45" t="n">
        <v>1816660.940845846</v>
      </c>
      <c r="T422" s="45" t="n">
        <v>1526835.30984146</v>
      </c>
      <c r="U422" s="15" t="n">
        <v>18.9818604</v>
      </c>
      <c r="V422" s="15" t="n">
        <v>18.59232680097316</v>
      </c>
      <c r="W422" s="49" t="n">
        <v>84.04600000000001</v>
      </c>
    </row>
    <row r="423">
      <c r="A423" s="44" t="inlineStr">
        <is>
          <t>TL Cinsi Kuponsuz Senetler</t>
        </is>
      </c>
      <c r="B423" s="44" t="n">
        <v>2006</v>
      </c>
      <c r="C423" s="44" t="inlineStr">
        <is>
          <t>TRB130906T18</t>
        </is>
      </c>
      <c r="D423" s="44" t="inlineStr">
        <is>
          <t>nan</t>
        </is>
      </c>
      <c r="E423" s="44" t="inlineStr">
        <is>
          <t>nan</t>
        </is>
      </c>
      <c r="F423" s="44" t="n"/>
      <c r="G423" s="44" t="n"/>
      <c r="H423" s="15" t="n"/>
      <c r="I423" s="45" t="n">
        <v>1741082.403</v>
      </c>
      <c r="J423" s="45" t="n">
        <v>1673613.87845</v>
      </c>
      <c r="K423" s="45" t="n">
        <v>1023814.304</v>
      </c>
      <c r="L423" s="45" t="n">
        <v>984999.99963</v>
      </c>
      <c r="M423" s="45" t="n">
        <v>0</v>
      </c>
      <c r="N423" s="45" t="n">
        <v>0</v>
      </c>
      <c r="O423" s="45" t="n">
        <v>0</v>
      </c>
      <c r="P423" s="45" t="n">
        <v>0</v>
      </c>
      <c r="Q423" s="45" t="n">
        <v>0</v>
      </c>
      <c r="R423" s="45" t="n">
        <v>0</v>
      </c>
      <c r="S423" s="45" t="n">
        <v>1023814.304</v>
      </c>
      <c r="T423" s="45" t="n">
        <v>984999.99963</v>
      </c>
      <c r="U423" s="15" t="n">
        <v>3.9405385</v>
      </c>
      <c r="V423" s="15" t="n">
        <v>16.7185409604494</v>
      </c>
      <c r="W423" s="49" t="n">
        <v>96.209</v>
      </c>
    </row>
    <row r="424">
      <c r="A424" s="44" t="inlineStr">
        <is>
          <t>TL Cinsi Kuponsuz Senetler</t>
        </is>
      </c>
      <c r="B424" s="44" t="n">
        <v>2006</v>
      </c>
      <c r="C424" s="44" t="inlineStr">
        <is>
          <t>TRT090408T17</t>
        </is>
      </c>
      <c r="D424" s="44" t="inlineStr">
        <is>
          <t>nan</t>
        </is>
      </c>
      <c r="E424" s="44" t="inlineStr">
        <is>
          <t>nan</t>
        </is>
      </c>
      <c r="F424" s="44" t="n"/>
      <c r="G424" s="44" t="n"/>
      <c r="H424" s="15" t="n"/>
      <c r="I424" s="45" t="n">
        <v>697432.461</v>
      </c>
      <c r="J424" s="45" t="n">
        <v>506846.03508</v>
      </c>
      <c r="K424" s="45" t="n">
        <v>549903.55</v>
      </c>
      <c r="L424" s="45" t="n">
        <v>400381.80058</v>
      </c>
      <c r="M424" s="45" t="n">
        <v>0</v>
      </c>
      <c r="N424" s="45" t="n">
        <v>0</v>
      </c>
      <c r="O424" s="45" t="n">
        <v>405169.690560233</v>
      </c>
      <c r="P424" s="45" t="n">
        <v>295000</v>
      </c>
      <c r="Q424" s="45" t="n">
        <v>47345.949</v>
      </c>
      <c r="R424" s="45" t="n">
        <v>34472.11200741</v>
      </c>
      <c r="S424" s="45" t="n">
        <v>1002419.189560233</v>
      </c>
      <c r="T424" s="45" t="n">
        <v>729853.9125874101</v>
      </c>
      <c r="U424" s="15" t="n">
        <v>37.3447917</v>
      </c>
      <c r="V424" s="15" t="n">
        <v>18.96906368522613</v>
      </c>
      <c r="W424" s="49" t="n">
        <v>72.809</v>
      </c>
    </row>
    <row r="425">
      <c r="A425" s="44" t="inlineStr">
        <is>
          <t>TL Cinsi Kuponsuz Senetler</t>
        </is>
      </c>
      <c r="B425" s="44" t="n">
        <v>2006</v>
      </c>
      <c r="C425" s="44" t="inlineStr">
        <is>
          <t>TRB041006T24</t>
        </is>
      </c>
      <c r="D425" s="44" t="inlineStr">
        <is>
          <t>nan</t>
        </is>
      </c>
      <c r="E425" s="44" t="inlineStr">
        <is>
          <t>nan</t>
        </is>
      </c>
      <c r="F425" s="44" t="n"/>
      <c r="G425" s="44" t="n"/>
      <c r="H425" s="15" t="n"/>
      <c r="I425" s="45" t="n">
        <v>1432120.844</v>
      </c>
      <c r="J425" s="45" t="n">
        <v>1360744.88456</v>
      </c>
      <c r="K425" s="45" t="n">
        <v>1309620.844</v>
      </c>
      <c r="L425" s="45" t="n">
        <v>1244710.75956</v>
      </c>
      <c r="M425" s="45" t="n">
        <v>0</v>
      </c>
      <c r="N425" s="45" t="n">
        <v>0</v>
      </c>
      <c r="O425" s="45" t="n">
        <v>0</v>
      </c>
      <c r="P425" s="45" t="n">
        <v>0</v>
      </c>
      <c r="Q425" s="45" t="n">
        <v>0</v>
      </c>
      <c r="R425" s="45" t="n">
        <v>0</v>
      </c>
      <c r="S425" s="45" t="n">
        <v>1309620.844</v>
      </c>
      <c r="T425" s="45" t="n">
        <v>1244710.75956</v>
      </c>
      <c r="U425" s="15" t="n">
        <v>5.2148729</v>
      </c>
      <c r="V425" s="15" t="n">
        <v>22.5486523018235</v>
      </c>
      <c r="W425" s="49" t="n">
        <v>95.044</v>
      </c>
    </row>
    <row r="426">
      <c r="A426" s="44" t="inlineStr">
        <is>
          <t>TL Cinsi Kuponsuz Senetler</t>
        </is>
      </c>
      <c r="B426" s="44" t="n">
        <v>2006</v>
      </c>
      <c r="C426" s="44" t="inlineStr">
        <is>
          <t>TRT040707T10</t>
        </is>
      </c>
      <c r="D426" s="44" t="inlineStr">
        <is>
          <t>nan</t>
        </is>
      </c>
      <c r="E426" s="44" t="inlineStr">
        <is>
          <t>nan</t>
        </is>
      </c>
      <c r="F426" s="44" t="n"/>
      <c r="G426" s="44" t="n"/>
      <c r="H426" s="15" t="n"/>
      <c r="I426" s="45" t="n">
        <v>2364597.93</v>
      </c>
      <c r="J426" s="45" t="n">
        <v>1944912.02022</v>
      </c>
      <c r="K426" s="45" t="n">
        <v>939804</v>
      </c>
      <c r="L426" s="45" t="n">
        <v>775525.687</v>
      </c>
      <c r="M426" s="45" t="n">
        <v>1165030.897855325</v>
      </c>
      <c r="N426" s="45" t="n">
        <v>961500</v>
      </c>
      <c r="O426" s="45" t="n">
        <v>730542.6039016115</v>
      </c>
      <c r="P426" s="45" t="n">
        <v>602916.811</v>
      </c>
      <c r="Q426" s="45" t="n">
        <v>82617.92200000001</v>
      </c>
      <c r="R426" s="45" t="n">
        <v>68184.57102660001</v>
      </c>
      <c r="S426" s="45" t="n">
        <v>3064231.016756937</v>
      </c>
      <c r="T426" s="45" t="n">
        <v>2528815.3039295</v>
      </c>
      <c r="U426" s="15" t="n">
        <v>21.1680601</v>
      </c>
      <c r="V426" s="15" t="n">
        <v>21.16806010000001</v>
      </c>
      <c r="W426" s="49" t="n">
        <v>82.53</v>
      </c>
    </row>
    <row r="427">
      <c r="A427" s="44" t="inlineStr">
        <is>
          <t>TL Cinsi Kuponsuz Senetler</t>
        </is>
      </c>
      <c r="B427" s="44" t="n">
        <v>2006</v>
      </c>
      <c r="C427" s="44" t="inlineStr">
        <is>
          <t>TRB170107T11</t>
        </is>
      </c>
      <c r="D427" s="44" t="inlineStr">
        <is>
          <t>nan</t>
        </is>
      </c>
      <c r="E427" s="44" t="inlineStr">
        <is>
          <t>nan</t>
        </is>
      </c>
      <c r="F427" s="44" t="n"/>
      <c r="G427" s="44" t="n"/>
      <c r="H427" s="15" t="n"/>
      <c r="I427" s="45" t="n">
        <v>2765138.568</v>
      </c>
      <c r="J427" s="45" t="n">
        <v>2494061.69189</v>
      </c>
      <c r="K427" s="45" t="n">
        <v>2321960.153</v>
      </c>
      <c r="L427" s="45" t="n">
        <v>2097000.00005</v>
      </c>
      <c r="M427" s="45" t="n">
        <v>0</v>
      </c>
      <c r="N427" s="45" t="n">
        <v>0</v>
      </c>
      <c r="O427" s="45" t="n">
        <v>0</v>
      </c>
      <c r="P427" s="45" t="n">
        <v>0</v>
      </c>
      <c r="Q427" s="45" t="n">
        <v>0</v>
      </c>
      <c r="R427" s="45" t="n">
        <v>0</v>
      </c>
      <c r="S427" s="45" t="n">
        <v>2321960.153</v>
      </c>
      <c r="T427" s="45" t="n">
        <v>2097000.00005</v>
      </c>
      <c r="U427" s="15" t="n">
        <v>10.7277135</v>
      </c>
      <c r="V427" s="15" t="n">
        <v>22.6062653693808</v>
      </c>
      <c r="W427" s="49" t="n">
        <v>90.312</v>
      </c>
    </row>
    <row r="428">
      <c r="A428" s="44" t="inlineStr">
        <is>
          <t>TL Cinsi Kuponsuz Senetler</t>
        </is>
      </c>
      <c r="B428" s="44" t="n">
        <v>2006</v>
      </c>
      <c r="C428" s="44" t="inlineStr">
        <is>
          <t>TRT160708T15</t>
        </is>
      </c>
      <c r="D428" s="44" t="inlineStr">
        <is>
          <t>nan</t>
        </is>
      </c>
      <c r="E428" s="44" t="inlineStr">
        <is>
          <t>nan</t>
        </is>
      </c>
      <c r="F428" s="44" t="n"/>
      <c r="G428" s="44" t="n"/>
      <c r="H428" s="15" t="n"/>
      <c r="I428" s="45" t="n">
        <v>2141599.361</v>
      </c>
      <c r="J428" s="45" t="n">
        <v>1474667.25861</v>
      </c>
      <c r="K428" s="45" t="n">
        <v>1462701.861</v>
      </c>
      <c r="L428" s="45" t="n">
        <v>1010006.90156</v>
      </c>
      <c r="M428" s="45" t="n">
        <v>485148.6582381139</v>
      </c>
      <c r="N428" s="45" t="n">
        <v>335000</v>
      </c>
      <c r="O428" s="45" t="n">
        <v>1260098.268236521</v>
      </c>
      <c r="P428" s="45" t="n">
        <v>870110.4552</v>
      </c>
      <c r="Q428" s="45" t="n">
        <v>135165.544</v>
      </c>
      <c r="R428" s="45" t="n">
        <v>93333.15978744</v>
      </c>
      <c r="S428" s="45" t="n">
        <v>3343114.331474635</v>
      </c>
      <c r="T428" s="45" t="n">
        <v>2308450.51654744</v>
      </c>
      <c r="U428" s="15" t="n">
        <v>44.8209768</v>
      </c>
      <c r="V428" s="15" t="n">
        <v>20.34158749160657</v>
      </c>
      <c r="W428" s="49" t="n">
        <v>69.051</v>
      </c>
    </row>
    <row r="429">
      <c r="A429" s="44" t="inlineStr">
        <is>
          <t>TL Cinsi Kuponsuz Senetler</t>
        </is>
      </c>
      <c r="B429" s="44" t="n">
        <v>2006</v>
      </c>
      <c r="C429" s="44" t="inlineStr">
        <is>
          <t>TRT040707T10</t>
        </is>
      </c>
      <c r="D429" s="44" t="inlineStr">
        <is>
          <t>nan</t>
        </is>
      </c>
      <c r="E429" s="44" t="inlineStr">
        <is>
          <t>nan</t>
        </is>
      </c>
      <c r="F429" s="44" t="n"/>
      <c r="G429" s="44" t="n"/>
      <c r="H429" s="15" t="n"/>
      <c r="I429" s="45" t="n">
        <v>2462085.829</v>
      </c>
      <c r="J429" s="45" t="n">
        <v>2069369.93715</v>
      </c>
      <c r="K429" s="45" t="n">
        <v>1275431.837</v>
      </c>
      <c r="L429" s="45" t="n">
        <v>1073399.29086</v>
      </c>
      <c r="M429" s="45" t="n">
        <v>594106.463878327</v>
      </c>
      <c r="N429" s="45" t="n">
        <v>500000</v>
      </c>
      <c r="O429" s="45" t="n">
        <v>472319.6292775666</v>
      </c>
      <c r="P429" s="45" t="n">
        <v>397504.2</v>
      </c>
      <c r="Q429" s="45" t="n">
        <v>84138.969</v>
      </c>
      <c r="R429" s="45" t="n">
        <v>70811.35631039999</v>
      </c>
      <c r="S429" s="45" t="n">
        <v>2649221.581155894</v>
      </c>
      <c r="T429" s="45" t="n">
        <v>2229580.7395416</v>
      </c>
      <c r="U429" s="15" t="n">
        <v>18.8217514</v>
      </c>
      <c r="V429" s="15" t="n">
        <v>21.02179877622557</v>
      </c>
      <c r="W429" s="49" t="n">
        <v>84.16</v>
      </c>
    </row>
    <row r="430">
      <c r="A430" s="44" t="inlineStr">
        <is>
          <t>TL Cinsi Kuponsuz Senetler</t>
        </is>
      </c>
      <c r="B430" s="44" t="n">
        <v>2006</v>
      </c>
      <c r="C430" s="44" t="inlineStr">
        <is>
          <t>TRT160708T15</t>
        </is>
      </c>
      <c r="D430" s="44" t="inlineStr">
        <is>
          <t>nan</t>
        </is>
      </c>
      <c r="E430" s="44" t="inlineStr">
        <is>
          <t>nan</t>
        </is>
      </c>
      <c r="F430" s="44" t="n"/>
      <c r="G430" s="44" t="n"/>
      <c r="H430" s="15" t="n"/>
      <c r="I430" s="45" t="n">
        <v>3385062.755</v>
      </c>
      <c r="J430" s="45" t="n">
        <v>2375477.52486</v>
      </c>
      <c r="K430" s="45" t="n">
        <v>1973100.32</v>
      </c>
      <c r="L430" s="45" t="n">
        <v>1387065.06064</v>
      </c>
      <c r="M430" s="45" t="n">
        <v>712670.1660052063</v>
      </c>
      <c r="N430" s="45" t="n">
        <v>501000</v>
      </c>
      <c r="O430" s="45" t="n">
        <v>2729377.3737891</v>
      </c>
      <c r="P430" s="45" t="n">
        <v>1918725</v>
      </c>
      <c r="Q430" s="45" t="n">
        <v>231484.859</v>
      </c>
      <c r="R430" s="45" t="n">
        <v>162731.54102841</v>
      </c>
      <c r="S430" s="45" t="n">
        <v>5922144.879794308</v>
      </c>
      <c r="T430" s="45" t="n">
        <v>4163203.8957298</v>
      </c>
      <c r="U430" s="15" t="n">
        <v>42.2500196</v>
      </c>
      <c r="V430" s="15" t="n">
        <v>19.89448924868016</v>
      </c>
      <c r="W430" s="49" t="n">
        <v>70.29900000000001</v>
      </c>
    </row>
    <row r="431">
      <c r="A431" s="44" t="inlineStr">
        <is>
          <t>TL Cinsi Kuponsuz Senetler</t>
        </is>
      </c>
      <c r="B431" s="44" t="n">
        <v>2006</v>
      </c>
      <c r="C431" s="44" t="inlineStr">
        <is>
          <t>TRB210207T14</t>
        </is>
      </c>
      <c r="D431" s="44" t="inlineStr">
        <is>
          <t>nan</t>
        </is>
      </c>
      <c r="E431" s="44" t="inlineStr">
        <is>
          <t>nan</t>
        </is>
      </c>
      <c r="F431" s="44" t="n"/>
      <c r="G431" s="44" t="n"/>
      <c r="H431" s="15" t="n"/>
      <c r="I431" s="45" t="n">
        <v>7729769.517</v>
      </c>
      <c r="J431" s="45" t="n">
        <v>7009891.56946</v>
      </c>
      <c r="K431" s="45" t="n">
        <v>2120252.697</v>
      </c>
      <c r="L431" s="45" t="n">
        <v>1926999.99984</v>
      </c>
      <c r="M431" s="45" t="n">
        <v>0</v>
      </c>
      <c r="N431" s="45" t="n">
        <v>0</v>
      </c>
      <c r="O431" s="45" t="n">
        <v>0</v>
      </c>
      <c r="P431" s="45" t="n">
        <v>0</v>
      </c>
      <c r="Q431" s="45" t="n">
        <v>0</v>
      </c>
      <c r="R431" s="45" t="n">
        <v>0</v>
      </c>
      <c r="S431" s="45" t="n">
        <v>2120252.697</v>
      </c>
      <c r="T431" s="45" t="n">
        <v>1926999.99984</v>
      </c>
      <c r="U431" s="15" t="n">
        <v>10.0286817</v>
      </c>
      <c r="V431" s="15" t="n">
        <v>21.06310796639914</v>
      </c>
      <c r="W431" s="49" t="n">
        <v>90.88500000000001</v>
      </c>
    </row>
    <row r="432">
      <c r="A432" s="44" t="inlineStr">
        <is>
          <t>TL Cinsi Kuponsuz Senetler</t>
        </is>
      </c>
      <c r="B432" s="44" t="n">
        <v>2006</v>
      </c>
      <c r="C432" s="44" t="inlineStr">
        <is>
          <t>TRB140307T12</t>
        </is>
      </c>
      <c r="D432" s="44" t="inlineStr">
        <is>
          <t>nan</t>
        </is>
      </c>
      <c r="E432" s="44" t="inlineStr">
        <is>
          <t>nan</t>
        </is>
      </c>
      <c r="F432" s="44" t="n"/>
      <c r="G432" s="44" t="n"/>
      <c r="H432" s="15" t="n"/>
      <c r="I432" s="45" t="n">
        <v>9102169.82</v>
      </c>
      <c r="J432" s="45" t="n">
        <v>8228057.63885</v>
      </c>
      <c r="K432" s="45" t="n">
        <v>2773567.376</v>
      </c>
      <c r="L432" s="45" t="n">
        <v>2513000.00245</v>
      </c>
      <c r="M432" s="45" t="n">
        <v>0</v>
      </c>
      <c r="N432" s="45" t="n">
        <v>0</v>
      </c>
      <c r="O432" s="45" t="n">
        <v>0</v>
      </c>
      <c r="P432" s="45" t="n">
        <v>0</v>
      </c>
      <c r="Q432" s="45" t="n">
        <v>0</v>
      </c>
      <c r="R432" s="45" t="n">
        <v>0</v>
      </c>
      <c r="S432" s="45" t="n">
        <v>2773567.376</v>
      </c>
      <c r="T432" s="45" t="n">
        <v>2513000.00245</v>
      </c>
      <c r="U432" s="15" t="n">
        <v>10.3687773</v>
      </c>
      <c r="V432" s="15" t="n">
        <v>21.81267002696998</v>
      </c>
      <c r="W432" s="49" t="n">
        <v>90.605</v>
      </c>
    </row>
    <row r="433">
      <c r="A433" s="44" t="inlineStr">
        <is>
          <t>TL Cinsi Kuponsuz Senetler</t>
        </is>
      </c>
      <c r="B433" s="44" t="n">
        <v>2006</v>
      </c>
      <c r="C433" s="44" t="inlineStr">
        <is>
          <t>TRT160708T15</t>
        </is>
      </c>
      <c r="D433" s="44" t="inlineStr">
        <is>
          <t>nan</t>
        </is>
      </c>
      <c r="E433" s="44" t="inlineStr">
        <is>
          <t>nan</t>
        </is>
      </c>
      <c r="F433" s="44" t="n"/>
      <c r="G433" s="44" t="n"/>
      <c r="H433" s="15" t="n"/>
      <c r="I433" s="45" t="n">
        <v>6481934.559</v>
      </c>
      <c r="J433" s="45" t="n">
        <v>4611802.31028</v>
      </c>
      <c r="K433" s="45" t="n">
        <v>2111061.934</v>
      </c>
      <c r="L433" s="45" t="n">
        <v>1504565.70955</v>
      </c>
      <c r="M433" s="45" t="n">
        <v>0</v>
      </c>
      <c r="N433" s="45" t="n">
        <v>0</v>
      </c>
      <c r="O433" s="45" t="n">
        <v>2533773.97538971</v>
      </c>
      <c r="P433" s="45" t="n">
        <v>1805846.05</v>
      </c>
      <c r="Q433" s="45" t="n">
        <v>230209.188</v>
      </c>
      <c r="R433" s="45" t="n">
        <v>164072.39037948</v>
      </c>
      <c r="S433" s="45" t="n">
        <v>5262767.09938971</v>
      </c>
      <c r="T433" s="45" t="n">
        <v>3750817.4979749</v>
      </c>
      <c r="U433" s="15" t="n">
        <v>40.3103846</v>
      </c>
      <c r="V433" s="15" t="n">
        <v>20.13613335092792</v>
      </c>
      <c r="W433" s="49" t="n">
        <v>71.271</v>
      </c>
    </row>
    <row r="434">
      <c r="A434" s="44" t="inlineStr">
        <is>
          <t>TL Cinsi Kuponsuz Senetler</t>
        </is>
      </c>
      <c r="B434" s="44" t="n">
        <v>2006</v>
      </c>
      <c r="C434" s="44" t="inlineStr">
        <is>
          <t>TRT071107T11</t>
        </is>
      </c>
      <c r="D434" s="44" t="inlineStr">
        <is>
          <t>nan</t>
        </is>
      </c>
      <c r="E434" s="44" t="inlineStr">
        <is>
          <t>nan</t>
        </is>
      </c>
      <c r="F434" s="44" t="n"/>
      <c r="G434" s="44" t="n"/>
      <c r="H434" s="15" t="n"/>
      <c r="I434" s="45" t="n">
        <v>2957271.743</v>
      </c>
      <c r="J434" s="45" t="n">
        <v>2369821.99506</v>
      </c>
      <c r="K434" s="45" t="n">
        <v>1301843.932</v>
      </c>
      <c r="L434" s="45" t="n">
        <v>1044843.0837</v>
      </c>
      <c r="M434" s="45" t="n">
        <v>1108909.9041852</v>
      </c>
      <c r="N434" s="45" t="n">
        <v>890000</v>
      </c>
      <c r="O434" s="45" t="n">
        <v>632740.2852016595</v>
      </c>
      <c r="P434" s="45" t="n">
        <v>507831.0255</v>
      </c>
      <c r="Q434" s="45" t="n">
        <v>95340.887</v>
      </c>
      <c r="R434" s="45" t="n">
        <v>76519.64249733</v>
      </c>
      <c r="S434" s="45" t="n">
        <v>3371185.04638686</v>
      </c>
      <c r="T434" s="45" t="n">
        <v>2705675.56869575</v>
      </c>
      <c r="U434" s="15" t="n">
        <v>24.5970761</v>
      </c>
      <c r="V434" s="15" t="n">
        <v>21.79451445900666</v>
      </c>
      <c r="W434" s="49" t="n">
        <v>80.259</v>
      </c>
    </row>
    <row r="435">
      <c r="A435" s="44" t="inlineStr">
        <is>
          <t>TL Cinsi Kuponsuz Senetler</t>
        </is>
      </c>
      <c r="B435" s="44" t="n">
        <v>2006</v>
      </c>
      <c r="C435" s="44" t="inlineStr">
        <is>
          <t>TRB030107T17</t>
        </is>
      </c>
      <c r="D435" s="44" t="inlineStr">
        <is>
          <t>nan</t>
        </is>
      </c>
      <c r="E435" s="44" t="inlineStr">
        <is>
          <t>nan</t>
        </is>
      </c>
      <c r="F435" s="44" t="n"/>
      <c r="G435" s="44" t="n"/>
      <c r="H435" s="15" t="n"/>
      <c r="I435" s="45" t="n">
        <v>2833445.563</v>
      </c>
      <c r="J435" s="45" t="n">
        <v>2706338.14235</v>
      </c>
      <c r="K435" s="45" t="n">
        <v>865002.1189999999</v>
      </c>
      <c r="L435" s="45" t="n">
        <v>827000.00035</v>
      </c>
      <c r="M435" s="45" t="n">
        <v>0</v>
      </c>
      <c r="N435" s="45" t="n">
        <v>0</v>
      </c>
      <c r="O435" s="45" t="n">
        <v>0</v>
      </c>
      <c r="P435" s="45" t="n">
        <v>0</v>
      </c>
      <c r="Q435" s="45" t="n">
        <v>0</v>
      </c>
      <c r="R435" s="45" t="n">
        <v>0</v>
      </c>
      <c r="S435" s="45" t="n">
        <v>865002.1189999999</v>
      </c>
      <c r="T435" s="45" t="n">
        <v>827000.00035</v>
      </c>
      <c r="U435" s="15" t="n">
        <v>4.5951776</v>
      </c>
      <c r="V435" s="15" t="n">
        <v>19.68690777945543</v>
      </c>
      <c r="W435" s="49" t="n">
        <v>95.607</v>
      </c>
    </row>
    <row r="436">
      <c r="A436" s="44" t="inlineStr">
        <is>
          <t>TL Cinsi Kuponsuz Senetler</t>
        </is>
      </c>
      <c r="B436" s="44" t="n">
        <v>2006</v>
      </c>
      <c r="C436" s="44" t="inlineStr">
        <is>
          <t>TRT130808T17</t>
        </is>
      </c>
      <c r="D436" s="44" t="inlineStr">
        <is>
          <t>nan</t>
        </is>
      </c>
      <c r="E436" s="44" t="inlineStr">
        <is>
          <t>nan</t>
        </is>
      </c>
      <c r="F436" s="44" t="n"/>
      <c r="G436" s="44" t="n"/>
      <c r="H436" s="15" t="n"/>
      <c r="I436" s="45" t="n">
        <v>4054901.38</v>
      </c>
      <c r="J436" s="45" t="n">
        <v>2768934.71811</v>
      </c>
      <c r="K436" s="45" t="n">
        <v>2506145.7</v>
      </c>
      <c r="L436" s="45" t="n">
        <v>1713925.85401</v>
      </c>
      <c r="M436" s="45" t="n">
        <v>0</v>
      </c>
      <c r="N436" s="45" t="n">
        <v>0</v>
      </c>
      <c r="O436" s="45" t="n">
        <v>1638732.106011201</v>
      </c>
      <c r="P436" s="45" t="n">
        <v>1120712.49998</v>
      </c>
      <c r="Q436" s="45" t="n">
        <v>206259.623</v>
      </c>
      <c r="R436" s="45" t="n">
        <v>141058.89357347</v>
      </c>
      <c r="S436" s="45" t="n">
        <v>4351137.429011201</v>
      </c>
      <c r="T436" s="45" t="n">
        <v>2975697.24751347</v>
      </c>
      <c r="U436" s="15" t="n">
        <v>46.2225273</v>
      </c>
      <c r="V436" s="15" t="n">
        <v>22.59175622205314</v>
      </c>
      <c r="W436" s="49" t="n">
        <v>68.389</v>
      </c>
    </row>
    <row r="437">
      <c r="A437" s="44" t="inlineStr">
        <is>
          <t>TL Cinsi Kuponsuz Senetler</t>
        </is>
      </c>
      <c r="B437" s="44" t="n">
        <v>2006</v>
      </c>
      <c r="C437" s="44" t="inlineStr">
        <is>
          <t>TRT121207T13</t>
        </is>
      </c>
      <c r="D437" s="44" t="inlineStr">
        <is>
          <t>nan</t>
        </is>
      </c>
      <c r="E437" s="44" t="inlineStr">
        <is>
          <t>nan</t>
        </is>
      </c>
      <c r="F437" s="44" t="n"/>
      <c r="G437" s="44" t="n"/>
      <c r="H437" s="15" t="n"/>
      <c r="I437" s="45" t="n">
        <v>4271973.318</v>
      </c>
      <c r="J437" s="45" t="n">
        <v>3469460.36737</v>
      </c>
      <c r="K437" s="45" t="n">
        <v>1188447.55</v>
      </c>
      <c r="L437" s="45" t="n">
        <v>966394.49335</v>
      </c>
      <c r="M437" s="45" t="n">
        <v>645629.3964287471</v>
      </c>
      <c r="N437" s="45" t="n">
        <v>525000</v>
      </c>
      <c r="O437" s="45" t="n">
        <v>713782.8859019135</v>
      </c>
      <c r="P437" s="45" t="n">
        <v>580419.6915</v>
      </c>
      <c r="Q437" s="45" t="n">
        <v>94033.879</v>
      </c>
      <c r="R437" s="45" t="n">
        <v>76464.58904764001</v>
      </c>
      <c r="S437" s="45" t="n">
        <v>2808590.709330661</v>
      </c>
      <c r="T437" s="45" t="n">
        <v>2283830.10479132</v>
      </c>
      <c r="U437" s="15" t="n">
        <v>22.9774754</v>
      </c>
      <c r="V437" s="15" t="n">
        <v>20.76640461574208</v>
      </c>
      <c r="W437" s="49" t="n">
        <v>81.316</v>
      </c>
    </row>
    <row r="438">
      <c r="A438" s="44" t="inlineStr">
        <is>
          <t>TL Cinsi Kuponsuz Senetler</t>
        </is>
      </c>
      <c r="B438" s="44" t="n">
        <v>2006</v>
      </c>
      <c r="C438" s="44" t="inlineStr">
        <is>
          <t>TRT130808T17</t>
        </is>
      </c>
      <c r="D438" s="44" t="inlineStr">
        <is>
          <t>nan</t>
        </is>
      </c>
      <c r="E438" s="44" t="inlineStr">
        <is>
          <t>nan</t>
        </is>
      </c>
      <c r="F438" s="44" t="n"/>
      <c r="G438" s="44" t="n"/>
      <c r="H438" s="15" t="n"/>
      <c r="I438" s="45" t="n">
        <v>6494205.342</v>
      </c>
      <c r="J438" s="45" t="n">
        <v>4637103.25118</v>
      </c>
      <c r="K438" s="45" t="n">
        <v>1793803.049</v>
      </c>
      <c r="L438" s="45" t="n">
        <v>1282401.05268</v>
      </c>
      <c r="M438" s="45" t="n">
        <v>1089647.647955687</v>
      </c>
      <c r="N438" s="45" t="n">
        <v>779000</v>
      </c>
      <c r="O438" s="45" t="n">
        <v>3674276.955141207</v>
      </c>
      <c r="P438" s="45" t="n">
        <v>2626777.338</v>
      </c>
      <c r="Q438" s="45" t="n">
        <v>273234.629</v>
      </c>
      <c r="R438" s="45" t="n">
        <v>195338.16861839</v>
      </c>
      <c r="S438" s="45" t="n">
        <v>6992004.380096894</v>
      </c>
      <c r="T438" s="45" t="n">
        <v>4998647.166294481</v>
      </c>
      <c r="U438" s="15" t="n">
        <v>39.878476</v>
      </c>
      <c r="V438" s="15" t="n">
        <v>20.88737268959346</v>
      </c>
      <c r="W438" s="49" t="n">
        <v>71.491</v>
      </c>
    </row>
    <row r="439">
      <c r="A439" s="44" t="inlineStr">
        <is>
          <t>TL Cinsi Kuponsuz Senetler</t>
        </is>
      </c>
      <c r="B439" s="44" t="n">
        <v>2006</v>
      </c>
      <c r="C439" s="44" t="inlineStr">
        <is>
          <t>TRT121207T13</t>
        </is>
      </c>
      <c r="D439" s="44" t="inlineStr">
        <is>
          <t>nan</t>
        </is>
      </c>
      <c r="E439" s="44" t="inlineStr">
        <is>
          <t>nan</t>
        </is>
      </c>
      <c r="F439" s="44" t="n"/>
      <c r="G439" s="44" t="n"/>
      <c r="H439" s="15" t="n"/>
      <c r="I439" s="45" t="n">
        <v>1402088.917</v>
      </c>
      <c r="J439" s="45" t="n">
        <v>1152643.81248</v>
      </c>
      <c r="K439" s="45" t="n">
        <v>630058.281</v>
      </c>
      <c r="L439" s="45" t="n">
        <v>518716.90007</v>
      </c>
      <c r="M439" s="45" t="n">
        <v>30366.33899766786</v>
      </c>
      <c r="N439" s="45" t="n">
        <v>24999.99957</v>
      </c>
      <c r="O439" s="45" t="n">
        <v>945078.3160042755</v>
      </c>
      <c r="P439" s="45" t="n">
        <v>778064.076</v>
      </c>
      <c r="Q439" s="45" t="n">
        <v>77241.048</v>
      </c>
      <c r="R439" s="45" t="n">
        <v>63591.00999744</v>
      </c>
      <c r="S439" s="45" t="n">
        <v>1763369.359001943</v>
      </c>
      <c r="T439" s="45" t="n">
        <v>1451749.24436744</v>
      </c>
      <c r="U439" s="15" t="n">
        <v>21.4647683</v>
      </c>
      <c r="V439" s="15" t="n">
        <v>21.01993732768723</v>
      </c>
      <c r="W439" s="49" t="n">
        <v>82.328</v>
      </c>
    </row>
    <row r="440">
      <c r="A440" s="44" t="inlineStr">
        <is>
          <t>TL Cinsi Kuponsuz Senetler</t>
        </is>
      </c>
      <c r="B440" s="44" t="n">
        <v>2006</v>
      </c>
      <c r="C440" s="44" t="inlineStr">
        <is>
          <t>TRT130808T17</t>
        </is>
      </c>
      <c r="D440" s="44" t="inlineStr">
        <is>
          <t>nan</t>
        </is>
      </c>
      <c r="E440" s="44" t="inlineStr">
        <is>
          <t>nan</t>
        </is>
      </c>
      <c r="F440" s="44" t="n"/>
      <c r="G440" s="44" t="n"/>
      <c r="H440" s="15" t="n"/>
      <c r="I440" s="45" t="n">
        <v>3071046.795</v>
      </c>
      <c r="J440" s="45" t="n">
        <v>2201296.2217</v>
      </c>
      <c r="K440" s="45" t="n">
        <v>1959502.995</v>
      </c>
      <c r="L440" s="45" t="n">
        <v>1405616.4757</v>
      </c>
      <c r="M440" s="45" t="n">
        <v>13940.58500271841</v>
      </c>
      <c r="N440" s="45" t="n">
        <v>9999.99984</v>
      </c>
      <c r="O440" s="45" t="n">
        <v>1682795.922044248</v>
      </c>
      <c r="P440" s="45" t="n">
        <v>1207119.99876</v>
      </c>
      <c r="Q440" s="45" t="n">
        <v>182003.353</v>
      </c>
      <c r="R440" s="45" t="n">
        <v>130556.46520749</v>
      </c>
      <c r="S440" s="45" t="n">
        <v>4269080.317046965</v>
      </c>
      <c r="T440" s="45" t="n">
        <v>3062345.57612395</v>
      </c>
      <c r="U440" s="15" t="n">
        <v>39.4052381</v>
      </c>
      <c r="V440" s="15" t="n">
        <v>21.6902623518062</v>
      </c>
      <c r="W440" s="49" t="n">
        <v>71.733</v>
      </c>
    </row>
    <row r="441">
      <c r="A441" s="44" t="inlineStr">
        <is>
          <t>TL Cinsi Kuponsuz Senetler</t>
        </is>
      </c>
      <c r="B441" s="44" t="n">
        <v>2005</v>
      </c>
      <c r="C441" s="44" t="inlineStr">
        <is>
          <t>TRB200405T15</t>
        </is>
      </c>
      <c r="D441" s="44" t="inlineStr">
        <is>
          <t>nan</t>
        </is>
      </c>
      <c r="E441" s="44" t="inlineStr">
        <is>
          <t>nan</t>
        </is>
      </c>
      <c r="F441" s="44" t="n"/>
      <c r="G441" s="44" t="n"/>
      <c r="H441" s="15" t="n"/>
      <c r="I441" s="45" t="n">
        <v>3939869.065</v>
      </c>
      <c r="J441" s="45" t="n">
        <v>3775878.50372</v>
      </c>
      <c r="K441" s="45" t="n">
        <v>2250007.776</v>
      </c>
      <c r="L441" s="45" t="n">
        <v>2157000.00012</v>
      </c>
      <c r="M441" s="45" t="n">
        <v>0</v>
      </c>
      <c r="N441" s="45" t="n">
        <v>0</v>
      </c>
      <c r="O441" s="45" t="n">
        <v>0</v>
      </c>
      <c r="P441" s="45" t="n">
        <v>0</v>
      </c>
      <c r="Q441" s="45" t="n">
        <v>0</v>
      </c>
      <c r="R441" s="45" t="n">
        <v>0</v>
      </c>
      <c r="S441" s="45" t="n">
        <v>2250007.776</v>
      </c>
      <c r="T441" s="45" t="n">
        <v>2157000.00012</v>
      </c>
      <c r="U441" s="15" t="n">
        <v>4.3119043</v>
      </c>
      <c r="V441" s="15" t="n">
        <v>18.39558166781174</v>
      </c>
      <c r="W441" s="49" t="n">
        <v>95.866</v>
      </c>
    </row>
    <row r="442">
      <c r="A442" s="44" t="inlineStr">
        <is>
          <t>TL Cinsi Kuponsuz Senetler</t>
        </is>
      </c>
      <c r="B442" s="44" t="n">
        <v>2005</v>
      </c>
      <c r="C442" s="44" t="inlineStr">
        <is>
          <t>TRB091105T11</t>
        </is>
      </c>
      <c r="D442" s="44" t="inlineStr">
        <is>
          <t>nan</t>
        </is>
      </c>
      <c r="E442" s="44" t="inlineStr">
        <is>
          <t>nan</t>
        </is>
      </c>
      <c r="F442" s="44" t="n"/>
      <c r="G442" s="44" t="n"/>
      <c r="H442" s="15" t="n"/>
      <c r="I442" s="45" t="n">
        <v>2081218.603</v>
      </c>
      <c r="J442" s="45" t="n">
        <v>1805668.58991</v>
      </c>
      <c r="K442" s="45" t="n">
        <v>1279480.547</v>
      </c>
      <c r="L442" s="45" t="n">
        <v>1110770.77368</v>
      </c>
      <c r="M442" s="45" t="n">
        <v>437717.4188494943</v>
      </c>
      <c r="N442" s="45" t="n">
        <v>380000</v>
      </c>
      <c r="O442" s="45" t="n">
        <v>1927108.223328035</v>
      </c>
      <c r="P442" s="45" t="n">
        <v>1672999.733</v>
      </c>
      <c r="Q442" s="45" t="n">
        <v>0</v>
      </c>
      <c r="R442" s="45" t="n">
        <v>0</v>
      </c>
      <c r="S442" s="45" t="n">
        <v>3847532.636177529</v>
      </c>
      <c r="T442" s="45" t="n">
        <v>3340199.51437858</v>
      </c>
      <c r="U442" s="15" t="n">
        <v>15.1885319</v>
      </c>
      <c r="V442" s="15" t="n">
        <v>19.64233868989012</v>
      </c>
      <c r="W442" s="49" t="n">
        <v>86.81399999999999</v>
      </c>
    </row>
    <row r="443">
      <c r="A443" s="44" t="inlineStr">
        <is>
          <t>TL Cinsi Kuponsuz Senetler</t>
        </is>
      </c>
      <c r="B443" s="44" t="n">
        <v>2005</v>
      </c>
      <c r="C443" s="44" t="inlineStr">
        <is>
          <t>TRT090806T15</t>
        </is>
      </c>
      <c r="D443" s="44" t="inlineStr">
        <is>
          <t>nan</t>
        </is>
      </c>
      <c r="E443" s="44" t="inlineStr">
        <is>
          <t>nan</t>
        </is>
      </c>
      <c r="F443" s="44" t="n"/>
      <c r="G443" s="44" t="n"/>
      <c r="H443" s="15" t="n"/>
      <c r="I443" s="45" t="n">
        <v>6082747.55</v>
      </c>
      <c r="J443" s="45" t="n">
        <v>4605430.93386</v>
      </c>
      <c r="K443" s="45" t="n">
        <v>3296794.842</v>
      </c>
      <c r="L443" s="45" t="n">
        <v>2498756.30664</v>
      </c>
      <c r="M443" s="45" t="n">
        <v>1054832.836372272</v>
      </c>
      <c r="N443" s="45" t="n">
        <v>799500</v>
      </c>
      <c r="O443" s="45" t="n">
        <v>1537326.864923345</v>
      </c>
      <c r="P443" s="45" t="n">
        <v>1165201.524</v>
      </c>
      <c r="Q443" s="45" t="n">
        <v>0</v>
      </c>
      <c r="R443" s="45" t="n">
        <v>0</v>
      </c>
      <c r="S443" s="45" t="n">
        <v>6358571.609295617</v>
      </c>
      <c r="T443" s="45" t="n">
        <v>4819399.38964404</v>
      </c>
      <c r="U443" s="15" t="n">
        <v>31.9374296</v>
      </c>
      <c r="V443" s="15" t="n">
        <v>19.73998855443691</v>
      </c>
      <c r="W443" s="49" t="n">
        <v>75.794</v>
      </c>
    </row>
    <row r="444">
      <c r="A444" s="44" t="inlineStr">
        <is>
          <t>TL Cinsi Kuponsuz Senetler</t>
        </is>
      </c>
      <c r="B444" s="44" t="n">
        <v>2005</v>
      </c>
      <c r="C444" s="44" t="inlineStr">
        <is>
          <t>TRB110505T15</t>
        </is>
      </c>
      <c r="D444" s="44" t="inlineStr">
        <is>
          <t>nan</t>
        </is>
      </c>
      <c r="E444" s="44" t="inlineStr">
        <is>
          <t>nan</t>
        </is>
      </c>
      <c r="F444" s="44" t="n"/>
      <c r="G444" s="44" t="n"/>
      <c r="H444" s="15" t="n"/>
      <c r="I444" s="45" t="n">
        <v>3278866.707</v>
      </c>
      <c r="J444" s="45" t="n">
        <v>3149965.23942</v>
      </c>
      <c r="K444" s="45" t="n">
        <v>1931663.752</v>
      </c>
      <c r="L444" s="45" t="n">
        <v>1855999.99917</v>
      </c>
      <c r="M444" s="45" t="n">
        <v>0</v>
      </c>
      <c r="N444" s="45" t="n">
        <v>0</v>
      </c>
      <c r="O444" s="45" t="n">
        <v>0</v>
      </c>
      <c r="P444" s="45" t="n">
        <v>0</v>
      </c>
      <c r="Q444" s="45" t="n">
        <v>0</v>
      </c>
      <c r="R444" s="45" t="n">
        <v>0</v>
      </c>
      <c r="S444" s="45" t="n">
        <v>1931663.752</v>
      </c>
      <c r="T444" s="45" t="n">
        <v>1855999.99917</v>
      </c>
      <c r="U444" s="15" t="n">
        <v>4.0767108</v>
      </c>
      <c r="V444" s="15" t="n">
        <v>17.3313949406968</v>
      </c>
      <c r="W444" s="49" t="n">
        <v>96.083</v>
      </c>
    </row>
    <row r="445">
      <c r="A445" s="44" t="inlineStr">
        <is>
          <t>TL Cinsi Kuponsuz Senetler</t>
        </is>
      </c>
      <c r="B445" s="44" t="n">
        <v>2005</v>
      </c>
      <c r="C445" s="44" t="inlineStr">
        <is>
          <t>TRT270906T12</t>
        </is>
      </c>
      <c r="D445" s="44" t="inlineStr">
        <is>
          <t>nan</t>
        </is>
      </c>
      <c r="E445" s="44" t="inlineStr">
        <is>
          <t>nan</t>
        </is>
      </c>
      <c r="F445" s="44" t="n"/>
      <c r="G445" s="44" t="n"/>
      <c r="H445" s="15" t="n"/>
      <c r="I445" s="45" t="n">
        <v>4563063.333</v>
      </c>
      <c r="J445" s="45" t="n">
        <v>3494219.97132</v>
      </c>
      <c r="K445" s="45" t="n">
        <v>1293425.291</v>
      </c>
      <c r="L445" s="45" t="n">
        <v>992069.71641</v>
      </c>
      <c r="M445" s="45" t="n">
        <v>544321.4560435979</v>
      </c>
      <c r="N445" s="45" t="n">
        <v>417500</v>
      </c>
      <c r="O445" s="45" t="n">
        <v>2602406.487529498</v>
      </c>
      <c r="P445" s="45" t="n">
        <v>1996071.8</v>
      </c>
      <c r="Q445" s="45" t="n">
        <v>0</v>
      </c>
      <c r="R445" s="45" t="n">
        <v>0</v>
      </c>
      <c r="S445" s="45" t="n">
        <v>4681965.953573096</v>
      </c>
      <c r="T445" s="45" t="n">
        <v>3591114.29001019</v>
      </c>
      <c r="U445" s="15" t="n">
        <v>30.3764513</v>
      </c>
      <c r="V445" s="15" t="n">
        <v>17.61826741427037</v>
      </c>
      <c r="W445" s="49" t="n">
        <v>76.70099999999999</v>
      </c>
    </row>
    <row r="446">
      <c r="A446" s="44" t="inlineStr">
        <is>
          <t>TL Cinsi Kuponsuz Senetler</t>
        </is>
      </c>
      <c r="B446" s="44" t="n">
        <v>2005</v>
      </c>
      <c r="C446" s="44" t="inlineStr">
        <is>
          <t>TRB240805T17</t>
        </is>
      </c>
      <c r="D446" s="44" t="inlineStr">
        <is>
          <t>nan</t>
        </is>
      </c>
      <c r="E446" s="44" t="inlineStr">
        <is>
          <t>nan</t>
        </is>
      </c>
      <c r="F446" s="44" t="n"/>
      <c r="G446" s="44" t="n"/>
      <c r="H446" s="15" t="n"/>
      <c r="I446" s="45" t="n">
        <v>2226651.099</v>
      </c>
      <c r="J446" s="45" t="n">
        <v>2051540.74486</v>
      </c>
      <c r="K446" s="45" t="n">
        <v>2014114.413</v>
      </c>
      <c r="L446" s="45" t="n">
        <v>1855999.99993</v>
      </c>
      <c r="M446" s="45" t="n">
        <v>0</v>
      </c>
      <c r="N446" s="45" t="n">
        <v>0</v>
      </c>
      <c r="O446" s="45" t="n">
        <v>0</v>
      </c>
      <c r="P446" s="45" t="n">
        <v>0</v>
      </c>
      <c r="Q446" s="45" t="n">
        <v>0</v>
      </c>
      <c r="R446" s="45" t="n">
        <v>0</v>
      </c>
      <c r="S446" s="45" t="n">
        <v>2014114.413</v>
      </c>
      <c r="T446" s="45" t="n">
        <v>1855999.99993</v>
      </c>
      <c r="U446" s="15" t="n">
        <v>8.519095500000001</v>
      </c>
      <c r="V446" s="15" t="n">
        <v>17.76394088138122</v>
      </c>
      <c r="W446" s="49" t="n">
        <v>92.15000000000001</v>
      </c>
    </row>
    <row r="447">
      <c r="A447" s="44" t="inlineStr">
        <is>
          <t>TL Cinsi Kuponsuz Senetler</t>
        </is>
      </c>
      <c r="B447" s="44" t="n">
        <v>2005</v>
      </c>
      <c r="C447" s="44" t="inlineStr">
        <is>
          <t>TRB150605T10</t>
        </is>
      </c>
      <c r="D447" s="44" t="inlineStr">
        <is>
          <t>nan</t>
        </is>
      </c>
      <c r="E447" s="44" t="inlineStr">
        <is>
          <t>nan</t>
        </is>
      </c>
      <c r="F447" s="44" t="n"/>
      <c r="G447" s="44" t="n"/>
      <c r="H447" s="15" t="n"/>
      <c r="I447" s="45" t="n">
        <v>2165560.6</v>
      </c>
      <c r="J447" s="45" t="n">
        <v>2085088.164</v>
      </c>
      <c r="K447" s="45" t="n">
        <v>1128685.213</v>
      </c>
      <c r="L447" s="45" t="n">
        <v>1086999.96608</v>
      </c>
      <c r="M447" s="45" t="n">
        <v>0</v>
      </c>
      <c r="N447" s="45" t="n">
        <v>0</v>
      </c>
      <c r="O447" s="45" t="n">
        <v>0</v>
      </c>
      <c r="P447" s="45" t="n">
        <v>0</v>
      </c>
      <c r="Q447" s="45" t="n">
        <v>0</v>
      </c>
      <c r="R447" s="45" t="n">
        <v>0</v>
      </c>
      <c r="S447" s="45" t="n">
        <v>1128685.213</v>
      </c>
      <c r="T447" s="45" t="n">
        <v>1086999.96608</v>
      </c>
      <c r="U447" s="15" t="n">
        <v>3.8348894</v>
      </c>
      <c r="V447" s="15" t="n">
        <v>16.24471541139329</v>
      </c>
      <c r="W447" s="49" t="n">
        <v>96.307</v>
      </c>
    </row>
    <row r="448">
      <c r="A448" s="44" t="inlineStr">
        <is>
          <t>TL Cinsi Kuponsuz Senetler</t>
        </is>
      </c>
      <c r="B448" s="44" t="n">
        <v>2005</v>
      </c>
      <c r="C448" s="44" t="inlineStr">
        <is>
          <t>TRB091105T11</t>
        </is>
      </c>
      <c r="D448" s="44" t="inlineStr">
        <is>
          <t>nan</t>
        </is>
      </c>
      <c r="E448" s="44" t="inlineStr">
        <is>
          <t>nan</t>
        </is>
      </c>
      <c r="F448" s="44" t="n"/>
      <c r="G448" s="44" t="n"/>
      <c r="H448" s="15" t="n"/>
      <c r="I448" s="45" t="n">
        <v>951950.829</v>
      </c>
      <c r="J448" s="45" t="n">
        <v>858956.09814</v>
      </c>
      <c r="K448" s="45" t="n">
        <v>361669.651</v>
      </c>
      <c r="L448" s="45" t="n">
        <v>326568.36965</v>
      </c>
      <c r="M448" s="45" t="n">
        <v>115178.0275762778</v>
      </c>
      <c r="N448" s="45" t="n">
        <v>104000</v>
      </c>
      <c r="O448" s="45" t="n">
        <v>540084.9437953375</v>
      </c>
      <c r="P448" s="45" t="n">
        <v>487669.7</v>
      </c>
      <c r="Q448" s="45" t="n">
        <v>0</v>
      </c>
      <c r="R448" s="45" t="n">
        <v>0</v>
      </c>
      <c r="S448" s="45" t="n">
        <v>1016932.622371615</v>
      </c>
      <c r="T448" s="45" t="n">
        <v>918238.06965</v>
      </c>
      <c r="U448" s="15" t="n">
        <v>10.7485245</v>
      </c>
      <c r="V448" s="15" t="n">
        <v>17.45347185092161</v>
      </c>
      <c r="W448" s="49" t="n">
        <v>90.295</v>
      </c>
    </row>
    <row r="449">
      <c r="A449" s="44" t="inlineStr">
        <is>
          <t>TL Cinsi Kuponsuz Senetler</t>
        </is>
      </c>
      <c r="B449" s="44" t="n">
        <v>2005</v>
      </c>
      <c r="C449" s="44" t="inlineStr">
        <is>
          <t>TRT270906T12</t>
        </is>
      </c>
      <c r="D449" s="44" t="inlineStr">
        <is>
          <t>nan</t>
        </is>
      </c>
      <c r="E449" s="44" t="inlineStr">
        <is>
          <t>nan</t>
        </is>
      </c>
      <c r="F449" s="44" t="n"/>
      <c r="G449" s="44" t="n"/>
      <c r="H449" s="15" t="n"/>
      <c r="I449" s="45" t="n">
        <v>2347529.482</v>
      </c>
      <c r="J449" s="45" t="n">
        <v>1841268.47762</v>
      </c>
      <c r="K449" s="45" t="n">
        <v>1050745.029</v>
      </c>
      <c r="L449" s="45" t="n">
        <v>825280.69559</v>
      </c>
      <c r="M449" s="45" t="n">
        <v>509281.6582210792</v>
      </c>
      <c r="N449" s="45" t="n">
        <v>400000</v>
      </c>
      <c r="O449" s="45" t="n">
        <v>926562.1158106491</v>
      </c>
      <c r="P449" s="45" t="n">
        <v>727740.417</v>
      </c>
      <c r="Q449" s="45" t="n">
        <v>0</v>
      </c>
      <c r="R449" s="45" t="n">
        <v>0</v>
      </c>
      <c r="S449" s="45" t="n">
        <v>2486588.803031728</v>
      </c>
      <c r="T449" s="45" t="n">
        <v>1953021.11259</v>
      </c>
      <c r="U449" s="15" t="n">
        <v>27.3197149</v>
      </c>
      <c r="V449" s="15" t="n">
        <v>17.23174860531913</v>
      </c>
      <c r="W449" s="49" t="n">
        <v>78.542</v>
      </c>
    </row>
    <row r="450">
      <c r="A450" s="44" t="inlineStr">
        <is>
          <t>TL Cinsi Kuponsuz Senetler</t>
        </is>
      </c>
      <c r="B450" s="44" t="n">
        <v>2005</v>
      </c>
      <c r="C450" s="44" t="inlineStr">
        <is>
          <t>TRB040106T17</t>
        </is>
      </c>
      <c r="D450" s="44" t="inlineStr">
        <is>
          <t>nan</t>
        </is>
      </c>
      <c r="E450" s="44" t="inlineStr">
        <is>
          <t>nan</t>
        </is>
      </c>
      <c r="F450" s="44" t="n"/>
      <c r="G450" s="44" t="n"/>
      <c r="H450" s="15" t="n"/>
      <c r="I450" s="45" t="n">
        <v>2188171.637</v>
      </c>
      <c r="J450" s="45" t="n">
        <v>1930586.68935</v>
      </c>
      <c r="K450" s="45" t="n">
        <v>751594.493</v>
      </c>
      <c r="L450" s="45" t="n">
        <v>663958.12047</v>
      </c>
      <c r="M450" s="45" t="n">
        <v>20941.81567886801</v>
      </c>
      <c r="N450" s="45" t="n">
        <v>18499.99937</v>
      </c>
      <c r="O450" s="45" t="n">
        <v>1114920.760697306</v>
      </c>
      <c r="P450" s="45" t="n">
        <v>984921</v>
      </c>
      <c r="Q450" s="45" t="n">
        <v>13759.59</v>
      </c>
      <c r="R450" s="45" t="n">
        <v>12155.221806</v>
      </c>
      <c r="S450" s="45" t="n">
        <v>2019695.800376174</v>
      </c>
      <c r="T450" s="45" t="n">
        <v>1784198.814816</v>
      </c>
      <c r="U450" s="15" t="n">
        <v>13.1990814</v>
      </c>
      <c r="V450" s="15" t="n">
        <v>17.97514962209412</v>
      </c>
      <c r="W450" s="49" t="n">
        <v>88.34</v>
      </c>
    </row>
    <row r="451">
      <c r="A451" s="44" t="inlineStr">
        <is>
          <t>TL Cinsi Kuponsuz Senetler</t>
        </is>
      </c>
      <c r="B451" s="44" t="n">
        <v>2005</v>
      </c>
      <c r="C451" s="44" t="inlineStr">
        <is>
          <t>TRB200705T12</t>
        </is>
      </c>
      <c r="D451" s="44" t="inlineStr">
        <is>
          <t>nan</t>
        </is>
      </c>
      <c r="E451" s="44" t="inlineStr">
        <is>
          <t>nan</t>
        </is>
      </c>
      <c r="F451" s="44" t="n"/>
      <c r="G451" s="44" t="n"/>
      <c r="H451" s="15" t="n"/>
      <c r="I451" s="45" t="n">
        <v>3334812.52</v>
      </c>
      <c r="J451" s="45" t="n">
        <v>3214427.00559</v>
      </c>
      <c r="K451" s="45" t="n">
        <v>2265200.106</v>
      </c>
      <c r="L451" s="45" t="n">
        <v>2184000</v>
      </c>
      <c r="M451" s="45" t="n">
        <v>0</v>
      </c>
      <c r="N451" s="45" t="n">
        <v>0</v>
      </c>
      <c r="O451" s="45" t="n">
        <v>0</v>
      </c>
      <c r="P451" s="45" t="n">
        <v>0</v>
      </c>
      <c r="Q451" s="45" t="n">
        <v>0</v>
      </c>
      <c r="R451" s="45" t="n">
        <v>0</v>
      </c>
      <c r="S451" s="45" t="n">
        <v>2265200.106</v>
      </c>
      <c r="T451" s="45" t="n">
        <v>2184000</v>
      </c>
      <c r="U451" s="15" t="n">
        <v>3.7179536</v>
      </c>
      <c r="V451" s="15" t="n">
        <v>15.72195379379064</v>
      </c>
      <c r="W451" s="49" t="n">
        <v>96.41500000000001</v>
      </c>
    </row>
    <row r="452">
      <c r="A452" s="44" t="inlineStr">
        <is>
          <t>TL Cinsi Kuponsuz Senetler</t>
        </is>
      </c>
      <c r="B452" s="44" t="n">
        <v>2005</v>
      </c>
      <c r="C452" s="44" t="inlineStr">
        <is>
          <t>TRT081106T11</t>
        </is>
      </c>
      <c r="D452" s="44" t="inlineStr">
        <is>
          <t>nan</t>
        </is>
      </c>
      <c r="E452" s="44" t="inlineStr">
        <is>
          <t>nan</t>
        </is>
      </c>
      <c r="F452" s="44" t="n"/>
      <c r="G452" s="44" t="n"/>
      <c r="H452" s="15" t="n"/>
      <c r="I452" s="45" t="n">
        <v>2929283.262</v>
      </c>
      <c r="J452" s="45" t="n">
        <v>2260195.05432</v>
      </c>
      <c r="K452" s="45" t="n">
        <v>945099.6767</v>
      </c>
      <c r="L452" s="45" t="n">
        <v>730464.08533</v>
      </c>
      <c r="M452" s="45" t="n">
        <v>137792.7286841765</v>
      </c>
      <c r="N452" s="45" t="n">
        <v>106500</v>
      </c>
      <c r="O452" s="45" t="n">
        <v>865669.2989908138</v>
      </c>
      <c r="P452" s="45" t="n">
        <v>669075.80119</v>
      </c>
      <c r="Q452" s="45" t="n">
        <v>89413.79700000001</v>
      </c>
      <c r="R452" s="45" t="n">
        <v>69107.92370130001</v>
      </c>
      <c r="S452" s="45" t="n">
        <v>2139067.97937499</v>
      </c>
      <c r="T452" s="45" t="n">
        <v>1653282.1864675</v>
      </c>
      <c r="U452" s="15" t="n">
        <v>29.3834558</v>
      </c>
      <c r="V452" s="15" t="n">
        <v>17.98407528420718</v>
      </c>
      <c r="W452" s="49" t="n">
        <v>77.29000000000001</v>
      </c>
    </row>
    <row r="453">
      <c r="A453" s="44" t="inlineStr">
        <is>
          <t>TL Cinsi Kuponsuz Senetler</t>
        </is>
      </c>
      <c r="B453" s="44" t="n">
        <v>2005</v>
      </c>
      <c r="C453" s="44" t="inlineStr">
        <is>
          <t>TRB231105T13</t>
        </is>
      </c>
      <c r="D453" s="44" t="inlineStr">
        <is>
          <t>nan</t>
        </is>
      </c>
      <c r="E453" s="44" t="inlineStr">
        <is>
          <t>nan</t>
        </is>
      </c>
      <c r="F453" s="44" t="n"/>
      <c r="G453" s="44" t="n"/>
      <c r="H453" s="15" t="n"/>
      <c r="I453" s="45" t="n">
        <v>2424260.865</v>
      </c>
      <c r="J453" s="45" t="n">
        <v>2217477.37802</v>
      </c>
      <c r="K453" s="45" t="n">
        <v>1559198.758</v>
      </c>
      <c r="L453" s="45" t="n">
        <v>1426831.26725</v>
      </c>
      <c r="M453" s="45" t="n">
        <v>32782.94412693556</v>
      </c>
      <c r="N453" s="45" t="n">
        <v>30000</v>
      </c>
      <c r="O453" s="45" t="n">
        <v>1008076.296838632</v>
      </c>
      <c r="P453" s="45" t="n">
        <v>922500.7</v>
      </c>
      <c r="Q453" s="45" t="n">
        <v>0</v>
      </c>
      <c r="R453" s="45" t="n">
        <v>0</v>
      </c>
      <c r="S453" s="45" t="n">
        <v>2736436.967965567</v>
      </c>
      <c r="T453" s="45" t="n">
        <v>2504133.72557159</v>
      </c>
      <c r="U453" s="15" t="n">
        <v>9.2770248</v>
      </c>
      <c r="V453" s="15" t="n">
        <v>16.62277237488483</v>
      </c>
      <c r="W453" s="49" t="n">
        <v>91.511</v>
      </c>
    </row>
    <row r="454">
      <c r="A454" s="44" t="inlineStr">
        <is>
          <t>TL Cinsi Kuponsuz Senetler</t>
        </is>
      </c>
      <c r="B454" s="44" t="n">
        <v>2005</v>
      </c>
      <c r="C454" s="44" t="inlineStr">
        <is>
          <t>TRT081106T11</t>
        </is>
      </c>
      <c r="D454" s="44" t="inlineStr">
        <is>
          <t>nan</t>
        </is>
      </c>
      <c r="E454" s="44" t="inlineStr">
        <is>
          <t>nan</t>
        </is>
      </c>
      <c r="F454" s="44" t="n"/>
      <c r="G454" s="44" t="n"/>
      <c r="H454" s="15" t="n"/>
      <c r="I454" s="45" t="n">
        <v>4457910.89</v>
      </c>
      <c r="J454" s="45" t="n">
        <v>3465045.5</v>
      </c>
      <c r="K454" s="45" t="n">
        <v>1559763.349</v>
      </c>
      <c r="L454" s="45" t="n">
        <v>1213922.341</v>
      </c>
      <c r="M454" s="45" t="n">
        <v>711835.2242794917</v>
      </c>
      <c r="N454" s="45" t="n">
        <v>554000</v>
      </c>
      <c r="O454" s="45" t="n">
        <v>1742672.995875467</v>
      </c>
      <c r="P454" s="45" t="n">
        <v>1356270.1125</v>
      </c>
      <c r="Q454" s="45" t="n">
        <v>163765.001</v>
      </c>
      <c r="R454" s="45" t="n">
        <v>127453.38732827</v>
      </c>
      <c r="S454" s="45" t="n">
        <v>4202038.970154959</v>
      </c>
      <c r="T454" s="45" t="n">
        <v>3270326.18867627</v>
      </c>
      <c r="U454" s="15" t="n">
        <v>28.4895073</v>
      </c>
      <c r="V454" s="15" t="n">
        <v>17.69661741723119</v>
      </c>
      <c r="W454" s="49" t="n">
        <v>77.827</v>
      </c>
    </row>
    <row r="455">
      <c r="A455" s="44" t="inlineStr">
        <is>
          <t>TL Cinsi Kuponsuz Senetler</t>
        </is>
      </c>
      <c r="B455" s="44" t="n">
        <v>2005</v>
      </c>
      <c r="C455" s="44" t="inlineStr">
        <is>
          <t>TRB080206T12</t>
        </is>
      </c>
      <c r="D455" s="44" t="inlineStr">
        <is>
          <t>nan</t>
        </is>
      </c>
      <c r="E455" s="44" t="inlineStr">
        <is>
          <t>nan</t>
        </is>
      </c>
      <c r="F455" s="44" t="n"/>
      <c r="G455" s="44" t="n"/>
      <c r="H455" s="15" t="n"/>
      <c r="I455" s="45" t="n">
        <v>1545820.137</v>
      </c>
      <c r="J455" s="45" t="n">
        <v>1372665.09225</v>
      </c>
      <c r="K455" s="45" t="n">
        <v>1245752.427</v>
      </c>
      <c r="L455" s="45" t="n">
        <v>1107775.19083</v>
      </c>
      <c r="M455" s="45" t="n">
        <v>28113.89500022491</v>
      </c>
      <c r="N455" s="45" t="n">
        <v>24999.99999</v>
      </c>
      <c r="O455" s="45" t="n">
        <v>450883.9008591606</v>
      </c>
      <c r="P455" s="45" t="n">
        <v>400944</v>
      </c>
      <c r="Q455" s="45" t="n">
        <v>0</v>
      </c>
      <c r="R455" s="45" t="n">
        <v>0</v>
      </c>
      <c r="S455" s="45" t="n">
        <v>1724750.222859385</v>
      </c>
      <c r="T455" s="45" t="n">
        <v>1533719.1908306</v>
      </c>
      <c r="U455" s="15" t="n">
        <v>12.4553463</v>
      </c>
      <c r="V455" s="15" t="n">
        <v>16.94279685074247</v>
      </c>
      <c r="W455" s="49" t="n">
        <v>88.92400000000001</v>
      </c>
    </row>
    <row r="456">
      <c r="A456" s="44" t="inlineStr">
        <is>
          <t>TL Cinsi Kuponsuz Senetler</t>
        </is>
      </c>
      <c r="B456" s="44" t="n">
        <v>2005</v>
      </c>
      <c r="C456" s="44" t="inlineStr">
        <is>
          <t>TRT081106T11</t>
        </is>
      </c>
      <c r="D456" s="44" t="inlineStr">
        <is>
          <t>nan</t>
        </is>
      </c>
      <c r="E456" s="44" t="inlineStr">
        <is>
          <t>nan</t>
        </is>
      </c>
      <c r="F456" s="44" t="n"/>
      <c r="G456" s="44" t="n"/>
      <c r="H456" s="15" t="n"/>
      <c r="I456" s="45" t="n">
        <v>2245861.522</v>
      </c>
      <c r="J456" s="45" t="n">
        <v>1766667.3645</v>
      </c>
      <c r="K456" s="45" t="n">
        <v>833586.637</v>
      </c>
      <c r="L456" s="45" t="n">
        <v>656459.72857</v>
      </c>
      <c r="M456" s="45" t="n">
        <v>610785.8939949969</v>
      </c>
      <c r="N456" s="45" t="n">
        <v>480999.99938</v>
      </c>
      <c r="O456" s="45" t="n">
        <v>552955.5180251679</v>
      </c>
      <c r="P456" s="45" t="n">
        <v>435458</v>
      </c>
      <c r="Q456" s="45" t="n">
        <v>57165.469</v>
      </c>
      <c r="R456" s="45" t="n">
        <v>45018.37849219</v>
      </c>
      <c r="S456" s="45" t="n">
        <v>2054493.518020165</v>
      </c>
      <c r="T456" s="45" t="n">
        <v>1617936.10644219</v>
      </c>
      <c r="U456" s="15" t="n">
        <v>26.9821439</v>
      </c>
      <c r="V456" s="15" t="n">
        <v>17.26320773424293</v>
      </c>
      <c r="W456" s="49" t="n">
        <v>78.751</v>
      </c>
    </row>
    <row r="457">
      <c r="A457" s="44" t="inlineStr">
        <is>
          <t>TL Cinsi Kuponsuz Senetler</t>
        </is>
      </c>
      <c r="B457" s="44" t="n">
        <v>2005</v>
      </c>
      <c r="C457" s="44" t="inlineStr">
        <is>
          <t>TRB231105T13</t>
        </is>
      </c>
      <c r="D457" s="44" t="inlineStr">
        <is>
          <t>nan</t>
        </is>
      </c>
      <c r="E457" s="44" t="inlineStr">
        <is>
          <t>nan</t>
        </is>
      </c>
      <c r="F457" s="44" t="n"/>
      <c r="G457" s="44" t="n"/>
      <c r="H457" s="15" t="n"/>
      <c r="I457" s="45" t="n">
        <v>913200.3199999999</v>
      </c>
      <c r="J457" s="45" t="n">
        <v>846245.4710200001</v>
      </c>
      <c r="K457" s="45" t="n">
        <v>708163.135</v>
      </c>
      <c r="L457" s="45" t="n">
        <v>656366.26399</v>
      </c>
      <c r="M457" s="45" t="n">
        <v>29130.61300520035</v>
      </c>
      <c r="N457" s="45" t="n">
        <v>26999.99997</v>
      </c>
      <c r="O457" s="45" t="n">
        <v>521170.4032971538</v>
      </c>
      <c r="P457" s="45" t="n">
        <v>483052</v>
      </c>
      <c r="Q457" s="45" t="n">
        <v>0</v>
      </c>
      <c r="R457" s="45" t="n">
        <v>0</v>
      </c>
      <c r="S457" s="45" t="n">
        <v>1326071.826302354</v>
      </c>
      <c r="T457" s="45" t="n">
        <v>1229081.1136105</v>
      </c>
      <c r="U457" s="15" t="n">
        <v>7.8914585</v>
      </c>
      <c r="V457" s="15" t="n">
        <v>16.40566817257221</v>
      </c>
      <c r="W457" s="49" t="n">
        <v>92.68600000000001</v>
      </c>
    </row>
    <row r="458">
      <c r="A458" s="44" t="inlineStr">
        <is>
          <t>TL Cinsi Kuponsuz Senetler</t>
        </is>
      </c>
      <c r="B458" s="44" t="n">
        <v>2005</v>
      </c>
      <c r="C458" s="44" t="inlineStr">
        <is>
          <t>TRT240107T12</t>
        </is>
      </c>
      <c r="D458" s="44" t="inlineStr">
        <is>
          <t>nan</t>
        </is>
      </c>
      <c r="E458" s="44" t="inlineStr">
        <is>
          <t>nan</t>
        </is>
      </c>
      <c r="F458" s="44" t="n"/>
      <c r="G458" s="44" t="n"/>
      <c r="H458" s="15" t="n"/>
      <c r="I458" s="45" t="n">
        <v>3494411.106</v>
      </c>
      <c r="J458" s="45" t="n">
        <v>2658323.21034</v>
      </c>
      <c r="K458" s="45" t="n">
        <v>2666255.828</v>
      </c>
      <c r="L458" s="45" t="n">
        <v>2029622.10598</v>
      </c>
      <c r="M458" s="45" t="n">
        <v>734337.8469976223</v>
      </c>
      <c r="N458" s="45" t="n">
        <v>558999.99927</v>
      </c>
      <c r="O458" s="45" t="n">
        <v>2017765.983999579</v>
      </c>
      <c r="P458" s="45" t="n">
        <v>1535984</v>
      </c>
      <c r="Q458" s="45" t="n">
        <v>207848.924</v>
      </c>
      <c r="R458" s="45" t="n">
        <v>158220.83641652</v>
      </c>
      <c r="S458" s="45" t="n">
        <v>5835074.620997202</v>
      </c>
      <c r="T458" s="45" t="n">
        <v>4441822.035773261</v>
      </c>
      <c r="U458" s="15" t="n">
        <v>31.3671062</v>
      </c>
      <c r="V458" s="15" t="n">
        <v>17.71169051762624</v>
      </c>
      <c r="W458" s="49" t="n">
        <v>76.123</v>
      </c>
    </row>
    <row r="459">
      <c r="A459" s="44" t="inlineStr">
        <is>
          <t>TL Cinsi Kuponsuz Senetler</t>
        </is>
      </c>
      <c r="B459" s="44" t="n">
        <v>2005</v>
      </c>
      <c r="C459" s="44" t="inlineStr">
        <is>
          <t>TRB140905T18</t>
        </is>
      </c>
      <c r="D459" s="44" t="inlineStr">
        <is>
          <t>nan</t>
        </is>
      </c>
      <c r="E459" s="44" t="inlineStr">
        <is>
          <t>nan</t>
        </is>
      </c>
      <c r="F459" s="44" t="n"/>
      <c r="G459" s="44" t="n"/>
      <c r="H459" s="15" t="n"/>
      <c r="I459" s="45" t="n">
        <v>2290456.479</v>
      </c>
      <c r="J459" s="45" t="n">
        <v>2211684.36352</v>
      </c>
      <c r="K459" s="45" t="n">
        <v>1335557.244</v>
      </c>
      <c r="L459" s="45" t="n">
        <v>1290000.00832</v>
      </c>
      <c r="M459" s="45" t="n">
        <v>0</v>
      </c>
      <c r="N459" s="45" t="n">
        <v>0</v>
      </c>
      <c r="O459" s="45" t="n">
        <v>0</v>
      </c>
      <c r="P459" s="45" t="n">
        <v>0</v>
      </c>
      <c r="Q459" s="45" t="n">
        <v>0</v>
      </c>
      <c r="R459" s="45" t="n">
        <v>0</v>
      </c>
      <c r="S459" s="45" t="n">
        <v>1335557.244</v>
      </c>
      <c r="T459" s="45" t="n">
        <v>1290000.00832</v>
      </c>
      <c r="U459" s="15" t="n">
        <v>3.5315686</v>
      </c>
      <c r="V459" s="15" t="n">
        <v>14.89236681342059</v>
      </c>
      <c r="W459" s="49" t="n">
        <v>96.589</v>
      </c>
    </row>
    <row r="460">
      <c r="A460" s="44" t="inlineStr">
        <is>
          <t>TL Cinsi Kuponsuz Senetler</t>
        </is>
      </c>
      <c r="B460" s="44" t="n">
        <v>2005</v>
      </c>
      <c r="C460" s="44" t="inlineStr">
        <is>
          <t>TRB050406T13</t>
        </is>
      </c>
      <c r="D460" s="44" t="inlineStr">
        <is>
          <t>nan</t>
        </is>
      </c>
      <c r="E460" s="44" t="inlineStr">
        <is>
          <t>nan</t>
        </is>
      </c>
      <c r="F460" s="44" t="n"/>
      <c r="G460" s="44" t="n"/>
      <c r="H460" s="15" t="n"/>
      <c r="I460" s="45" t="n">
        <v>1587364.29</v>
      </c>
      <c r="J460" s="45" t="n">
        <v>1412959.99035</v>
      </c>
      <c r="K460" s="45" t="n">
        <v>452764.921</v>
      </c>
      <c r="L460" s="45" t="n">
        <v>403349.25866</v>
      </c>
      <c r="M460" s="45" t="n">
        <v>78575.75799788968</v>
      </c>
      <c r="N460" s="45" t="n">
        <v>69999.99976999999</v>
      </c>
      <c r="O460" s="45" t="n">
        <v>1184018.836854276</v>
      </c>
      <c r="P460" s="45" t="n">
        <v>1054795.021</v>
      </c>
      <c r="Q460" s="45" t="n">
        <v>0</v>
      </c>
      <c r="R460" s="45" t="n">
        <v>0</v>
      </c>
      <c r="S460" s="45" t="n">
        <v>1738959.746852165</v>
      </c>
      <c r="T460" s="45" t="n">
        <v>1549168.78121866</v>
      </c>
      <c r="U460" s="15" t="n">
        <v>12.2513334</v>
      </c>
      <c r="V460" s="15" t="n">
        <v>16.21146099904658</v>
      </c>
      <c r="W460" s="49" t="n">
        <v>89.086</v>
      </c>
    </row>
    <row r="461">
      <c r="A461" s="44" t="inlineStr">
        <is>
          <t>TL Cinsi Kuponsuz Senetler</t>
        </is>
      </c>
      <c r="B461" s="44" t="n">
        <v>2005</v>
      </c>
      <c r="C461" s="44" t="inlineStr">
        <is>
          <t>TRB050406T13</t>
        </is>
      </c>
      <c r="D461" s="44" t="inlineStr">
        <is>
          <t>nan</t>
        </is>
      </c>
      <c r="E461" s="44" t="inlineStr">
        <is>
          <t>nan</t>
        </is>
      </c>
      <c r="F461" s="44" t="n"/>
      <c r="G461" s="44" t="n"/>
      <c r="H461" s="15" t="n"/>
      <c r="I461" s="45" t="n">
        <v>1376895.367</v>
      </c>
      <c r="J461" s="45" t="n">
        <v>1230060.90906</v>
      </c>
      <c r="K461" s="45" t="n">
        <v>987300.307</v>
      </c>
      <c r="L461" s="45" t="n">
        <v>882249.89373</v>
      </c>
      <c r="M461" s="45" t="n">
        <v>33572.06799462847</v>
      </c>
      <c r="N461" s="45" t="n">
        <v>29999.99996</v>
      </c>
      <c r="O461" s="45" t="n">
        <v>748247.5380483437</v>
      </c>
      <c r="P461" s="45" t="n">
        <v>668634</v>
      </c>
      <c r="Q461" s="45" t="n"/>
      <c r="R461" s="45" t="n">
        <v>0</v>
      </c>
      <c r="S461" s="45" t="n">
        <v>1875959.913042972</v>
      </c>
      <c r="T461" s="45" t="n">
        <v>1676356.11769</v>
      </c>
      <c r="U461" s="15" t="n">
        <v>11.9071041</v>
      </c>
      <c r="V461" s="15" t="n">
        <v>16.18325595616064</v>
      </c>
      <c r="W461" s="49" t="n">
        <v>89.36</v>
      </c>
    </row>
    <row r="462">
      <c r="A462" s="44" t="inlineStr">
        <is>
          <t>TL Cinsi Kuponsuz Senetler</t>
        </is>
      </c>
      <c r="B462" s="44" t="n">
        <v>2005</v>
      </c>
      <c r="C462" s="44" t="inlineStr">
        <is>
          <t>TRT240107T12</t>
        </is>
      </c>
      <c r="D462" s="44" t="inlineStr">
        <is>
          <t>nan</t>
        </is>
      </c>
      <c r="E462" s="44" t="inlineStr">
        <is>
          <t>nan</t>
        </is>
      </c>
      <c r="F462" s="44" t="n"/>
      <c r="G462" s="44" t="n"/>
      <c r="H462" s="15" t="n"/>
      <c r="I462" s="45" t="n">
        <v>3282281.736</v>
      </c>
      <c r="J462" s="45" t="n">
        <v>2604122.86746</v>
      </c>
      <c r="K462" s="45" t="n">
        <v>1533013.684</v>
      </c>
      <c r="L462" s="45" t="n">
        <v>1217127.81352</v>
      </c>
      <c r="M462" s="45" t="n">
        <v>1536640.048001108</v>
      </c>
      <c r="N462" s="45" t="n">
        <v>1219999.99971</v>
      </c>
      <c r="O462" s="45" t="n">
        <v>813702.0744640653</v>
      </c>
      <c r="P462" s="45" t="n">
        <v>646030.625</v>
      </c>
      <c r="Q462" s="45" t="n">
        <v>810.023</v>
      </c>
      <c r="R462" s="45" t="n">
        <v>643.1096606200001</v>
      </c>
      <c r="S462" s="45" t="n">
        <v>3956813.296465173</v>
      </c>
      <c r="T462" s="45" t="n">
        <v>3141479.2778406</v>
      </c>
      <c r="U462" s="15" t="n">
        <v>25.9533853</v>
      </c>
      <c r="V462" s="15" t="n">
        <v>15.96641885660421</v>
      </c>
      <c r="W462" s="49" t="n">
        <v>79.39400000000001</v>
      </c>
    </row>
    <row r="463">
      <c r="A463" s="44" t="inlineStr">
        <is>
          <t>TL Cinsi Kuponsuz Senetler</t>
        </is>
      </c>
      <c r="B463" s="44" t="n">
        <v>2005</v>
      </c>
      <c r="C463" s="44" t="inlineStr">
        <is>
          <t>TRB191005T10</t>
        </is>
      </c>
      <c r="D463" s="44" t="inlineStr">
        <is>
          <t>nan</t>
        </is>
      </c>
      <c r="E463" s="44" t="inlineStr">
        <is>
          <t>nan</t>
        </is>
      </c>
      <c r="F463" s="44" t="n"/>
      <c r="G463" s="44" t="n"/>
      <c r="H463" s="15" t="n"/>
      <c r="I463" s="45" t="n">
        <v>3174877.119</v>
      </c>
      <c r="J463" s="45" t="n">
        <v>3064358.27536</v>
      </c>
      <c r="K463" s="45" t="n">
        <v>2386744.016</v>
      </c>
      <c r="L463" s="45" t="n">
        <v>2304000.00116</v>
      </c>
      <c r="M463" s="45" t="n">
        <v>0</v>
      </c>
      <c r="N463" s="45" t="n">
        <v>0</v>
      </c>
      <c r="O463" s="45" t="n">
        <v>0</v>
      </c>
      <c r="P463" s="45" t="n">
        <v>0</v>
      </c>
      <c r="Q463" s="45" t="n">
        <v>0</v>
      </c>
      <c r="R463" s="45" t="n">
        <v>0</v>
      </c>
      <c r="S463" s="45" t="n">
        <v>2386744.016</v>
      </c>
      <c r="T463" s="45" t="n">
        <v>2304000.00116</v>
      </c>
      <c r="U463" s="15" t="n">
        <v>3.5913201</v>
      </c>
      <c r="V463" s="15" t="n">
        <v>15.1578292866166</v>
      </c>
      <c r="W463" s="49" t="n">
        <v>96.533</v>
      </c>
    </row>
    <row r="464">
      <c r="A464" s="44" t="inlineStr">
        <is>
          <t>TL Cinsi Kuponsuz Senetler</t>
        </is>
      </c>
      <c r="B464" s="44" t="n">
        <v>2005</v>
      </c>
      <c r="C464" s="44" t="inlineStr">
        <is>
          <t>TRB030506T14</t>
        </is>
      </c>
      <c r="D464" s="44" t="inlineStr">
        <is>
          <t>nan</t>
        </is>
      </c>
      <c r="E464" s="44" t="inlineStr">
        <is>
          <t>nan</t>
        </is>
      </c>
      <c r="F464" s="44" t="n"/>
      <c r="G464" s="44" t="n"/>
      <c r="H464" s="15" t="n"/>
      <c r="I464" s="45" t="n">
        <v>1591035.995</v>
      </c>
      <c r="J464" s="45" t="n">
        <v>1415054.09665</v>
      </c>
      <c r="K464" s="45" t="n">
        <v>1100278.299</v>
      </c>
      <c r="L464" s="45" t="n">
        <v>978786.39355</v>
      </c>
      <c r="M464" s="45" t="n">
        <v>53958.04699970773</v>
      </c>
      <c r="N464" s="45" t="n">
        <v>47999.99945</v>
      </c>
      <c r="O464" s="45" t="n">
        <v>826674.7060410531</v>
      </c>
      <c r="P464" s="45" t="n">
        <v>735393.285</v>
      </c>
      <c r="Q464" s="45" t="n">
        <v>28438.298</v>
      </c>
      <c r="R464" s="45" t="n">
        <v>25298.14113484</v>
      </c>
      <c r="S464" s="45" t="n">
        <v>2038625.848040761</v>
      </c>
      <c r="T464" s="45" t="n">
        <v>1813521.60622568</v>
      </c>
      <c r="U464" s="15" t="n">
        <v>12.4125045</v>
      </c>
      <c r="V464" s="15" t="n">
        <v>16.42842189611424</v>
      </c>
      <c r="W464" s="49" t="n">
        <v>88.958</v>
      </c>
    </row>
    <row r="465">
      <c r="A465" s="44" t="inlineStr">
        <is>
          <t>TL Cinsi Kuponsuz Senetler</t>
        </is>
      </c>
      <c r="B465" s="44" t="n">
        <v>2005</v>
      </c>
      <c r="C465" s="44" t="inlineStr">
        <is>
          <t>TRT070307T11</t>
        </is>
      </c>
      <c r="D465" s="44" t="inlineStr">
        <is>
          <t>nan</t>
        </is>
      </c>
      <c r="E465" s="44" t="inlineStr">
        <is>
          <t>nan</t>
        </is>
      </c>
      <c r="F465" s="44" t="n"/>
      <c r="G465" s="44" t="n"/>
      <c r="H465" s="15" t="n"/>
      <c r="I465" s="45" t="n">
        <v>3484634.64</v>
      </c>
      <c r="J465" s="45" t="n">
        <v>2725982.21167</v>
      </c>
      <c r="K465" s="45" t="n">
        <v>1405860.06</v>
      </c>
      <c r="L465" s="45" t="n">
        <v>1100673.08956</v>
      </c>
      <c r="M465" s="45" t="n">
        <v>403617.2260001022</v>
      </c>
      <c r="N465" s="45" t="n">
        <v>315999.99858</v>
      </c>
      <c r="O465" s="45" t="n">
        <v>2233159.869463036</v>
      </c>
      <c r="P465" s="45" t="n">
        <v>1748385.525</v>
      </c>
      <c r="Q465" s="45" t="n">
        <v>176928.702</v>
      </c>
      <c r="R465" s="45" t="n">
        <v>138521.01936984</v>
      </c>
      <c r="S465" s="45" t="n">
        <v>4466902.479463138</v>
      </c>
      <c r="T465" s="45" t="n">
        <v>3497224.42060608</v>
      </c>
      <c r="U465" s="15" t="n">
        <v>27.7273037</v>
      </c>
      <c r="V465" s="15" t="n">
        <v>16.35758500498252</v>
      </c>
      <c r="W465" s="49" t="n">
        <v>78.292</v>
      </c>
    </row>
    <row r="466">
      <c r="A466" s="44" t="inlineStr">
        <is>
          <t>TL Cinsi Kuponsuz Senetler</t>
        </is>
      </c>
      <c r="B466" s="44" t="n">
        <v>2005</v>
      </c>
      <c r="C466" s="44" t="inlineStr">
        <is>
          <t>TRT070307T11</t>
        </is>
      </c>
      <c r="D466" s="44" t="inlineStr">
        <is>
          <t>nan</t>
        </is>
      </c>
      <c r="E466" s="44" t="inlineStr">
        <is>
          <t>nan</t>
        </is>
      </c>
      <c r="F466" s="44" t="n"/>
      <c r="G466" s="44" t="n"/>
      <c r="H466" s="15" t="n"/>
      <c r="I466" s="45" t="n">
        <v>2510033.097</v>
      </c>
      <c r="J466" s="45" t="n">
        <v>1980547.83547</v>
      </c>
      <c r="K466" s="45" t="n">
        <v>766519.624</v>
      </c>
      <c r="L466" s="45" t="n">
        <v>605777.2511399999</v>
      </c>
      <c r="M466" s="45" t="n">
        <v>0</v>
      </c>
      <c r="N466" s="45" t="n">
        <v>0</v>
      </c>
      <c r="O466" s="45" t="n">
        <v>948304.5362520561</v>
      </c>
      <c r="P466" s="45" t="n">
        <v>749445.075</v>
      </c>
      <c r="Q466" s="45" t="n">
        <v>82133.819</v>
      </c>
      <c r="R466" s="45" t="n">
        <v>64910.3571557</v>
      </c>
      <c r="S466" s="45" t="n">
        <v>1796957.979252056</v>
      </c>
      <c r="T466" s="45" t="n">
        <v>1420132.6832957</v>
      </c>
      <c r="U466" s="15" t="n">
        <v>26.5348975</v>
      </c>
      <c r="V466" s="15" t="n">
        <v>16.09574397900173</v>
      </c>
      <c r="W466" s="49" t="n">
        <v>79.03</v>
      </c>
    </row>
    <row r="467">
      <c r="A467" s="44" t="inlineStr">
        <is>
          <t>TL Cinsi Kuponsuz Senetler</t>
        </is>
      </c>
      <c r="B467" s="44" t="n">
        <v>2005</v>
      </c>
      <c r="C467" s="44" t="inlineStr">
        <is>
          <t>TRB220206T14</t>
        </is>
      </c>
      <c r="D467" s="44" t="inlineStr">
        <is>
          <t>nan</t>
        </is>
      </c>
      <c r="E467" s="44" t="inlineStr">
        <is>
          <t>nan</t>
        </is>
      </c>
      <c r="F467" s="44" t="n"/>
      <c r="G467" s="44" t="n"/>
      <c r="H467" s="15" t="n"/>
      <c r="I467" s="45" t="n">
        <v>3399970.636</v>
      </c>
      <c r="J467" s="45" t="n">
        <v>3157863.89657</v>
      </c>
      <c r="K467" s="45" t="n">
        <v>2277511.048</v>
      </c>
      <c r="L467" s="45" t="n">
        <v>2115999.99582</v>
      </c>
      <c r="M467" s="45" t="n">
        <v>0</v>
      </c>
      <c r="N467" s="45" t="n">
        <v>0</v>
      </c>
      <c r="O467" s="45" t="n">
        <v>0</v>
      </c>
      <c r="P467" s="45" t="n">
        <v>0</v>
      </c>
      <c r="Q467" s="45" t="n">
        <v>0</v>
      </c>
      <c r="R467" s="45" t="n">
        <v>0</v>
      </c>
      <c r="S467" s="45" t="n">
        <v>2277511.048</v>
      </c>
      <c r="T467" s="45" t="n">
        <v>2115999.99582</v>
      </c>
      <c r="U467" s="15" t="n">
        <v>7.6328475</v>
      </c>
      <c r="V467" s="15" t="n">
        <v>15.84829860958255</v>
      </c>
      <c r="W467" s="49" t="n">
        <v>92.908</v>
      </c>
    </row>
    <row r="468">
      <c r="A468" s="44" t="inlineStr">
        <is>
          <t>TL Cinsi Kuponsuz Senetler</t>
        </is>
      </c>
      <c r="B468" s="44" t="n">
        <v>2005</v>
      </c>
      <c r="C468" s="44" t="inlineStr">
        <is>
          <t>TRT070307T11</t>
        </is>
      </c>
      <c r="D468" s="44" t="inlineStr">
        <is>
          <t>nan</t>
        </is>
      </c>
      <c r="E468" s="44" t="inlineStr">
        <is>
          <t>nan</t>
        </is>
      </c>
      <c r="F468" s="44" t="n"/>
      <c r="G468" s="44" t="n"/>
      <c r="H468" s="15" t="n"/>
      <c r="I468" s="45" t="n">
        <v>3755066.083</v>
      </c>
      <c r="J468" s="45" t="n">
        <v>2975010.31156</v>
      </c>
      <c r="K468" s="45" t="n">
        <v>1525885.135</v>
      </c>
      <c r="L468" s="45" t="n">
        <v>1209826.07175</v>
      </c>
      <c r="M468" s="45" t="n">
        <v>0</v>
      </c>
      <c r="N468" s="45" t="n">
        <v>0</v>
      </c>
      <c r="O468" s="45" t="n">
        <v>821959.4640231058</v>
      </c>
      <c r="P468" s="45" t="n">
        <v>651707.00024</v>
      </c>
      <c r="Q468" s="45" t="n">
        <v>109481.895</v>
      </c>
      <c r="R468" s="45" t="n">
        <v>86804.91008865001</v>
      </c>
      <c r="S468" s="45" t="n">
        <v>2457326.494023106</v>
      </c>
      <c r="T468" s="45" t="n">
        <v>1948337.98207865</v>
      </c>
      <c r="U468" s="15" t="n">
        <v>26.1243389</v>
      </c>
      <c r="V468" s="15" t="n">
        <v>16.28381910230157</v>
      </c>
      <c r="W468" s="49" t="n">
        <v>79.28700000000001</v>
      </c>
    </row>
    <row r="469">
      <c r="A469" s="44" t="inlineStr">
        <is>
          <t>TL Cinsi Kuponsuz Senetler</t>
        </is>
      </c>
      <c r="B469" s="44" t="n">
        <v>2005</v>
      </c>
      <c r="C469" s="44" t="inlineStr">
        <is>
          <t>TRB141205T13</t>
        </is>
      </c>
      <c r="D469" s="44" t="inlineStr">
        <is>
          <t>nan</t>
        </is>
      </c>
      <c r="E469" s="44" t="inlineStr">
        <is>
          <t>nan</t>
        </is>
      </c>
      <c r="F469" s="44" t="n"/>
      <c r="G469" s="44" t="n"/>
      <c r="H469" s="15" t="n"/>
      <c r="I469" s="45" t="n">
        <v>1499924.301</v>
      </c>
      <c r="J469" s="45" t="n">
        <v>1450751.67249</v>
      </c>
      <c r="K469" s="45" t="n">
        <v>1312872.679</v>
      </c>
      <c r="L469" s="45" t="n">
        <v>1270000.00075</v>
      </c>
      <c r="M469" s="45" t="n">
        <v>0</v>
      </c>
      <c r="N469" s="45" t="n">
        <v>0</v>
      </c>
      <c r="O469" s="45" t="n">
        <v>0</v>
      </c>
      <c r="P469" s="45" t="n">
        <v>0</v>
      </c>
      <c r="Q469" s="45" t="n">
        <v>0</v>
      </c>
      <c r="R469" s="45" t="n">
        <v>0</v>
      </c>
      <c r="S469" s="45" t="n">
        <v>1312872.679</v>
      </c>
      <c r="T469" s="45" t="n">
        <v>1270000.00075</v>
      </c>
      <c r="U469" s="15" t="n">
        <v>3.3758014</v>
      </c>
      <c r="V469" s="15" t="n">
        <v>14.20248587563786</v>
      </c>
      <c r="W469" s="49" t="n">
        <v>96.73399999999999</v>
      </c>
    </row>
    <row r="470">
      <c r="A470" s="44" t="inlineStr">
        <is>
          <t>TL Cinsi Kuponsuz Senetler</t>
        </is>
      </c>
      <c r="B470" s="44" t="n">
        <v>2005</v>
      </c>
      <c r="C470" s="44" t="inlineStr">
        <is>
          <t>TRT090507T17</t>
        </is>
      </c>
      <c r="D470" s="44" t="inlineStr">
        <is>
          <t>nan</t>
        </is>
      </c>
      <c r="E470" s="44" t="inlineStr">
        <is>
          <t>nan</t>
        </is>
      </c>
      <c r="F470" s="44" t="n"/>
      <c r="G470" s="44" t="n"/>
      <c r="H470" s="15" t="n"/>
      <c r="I470" s="45" t="n">
        <v>3594532.577</v>
      </c>
      <c r="J470" s="45" t="n">
        <v>2862699.38779</v>
      </c>
      <c r="K470" s="45" t="n">
        <v>1201854.835</v>
      </c>
      <c r="L470" s="45" t="n">
        <v>958173.43187</v>
      </c>
      <c r="M470" s="45" t="n">
        <v>440012.5420006271</v>
      </c>
      <c r="N470" s="45" t="n">
        <v>350799.99911</v>
      </c>
      <c r="O470" s="45" t="n">
        <v>2961637.098777046</v>
      </c>
      <c r="P470" s="45" t="n">
        <v>2361165.177</v>
      </c>
      <c r="Q470" s="45" t="n">
        <v>3135.779</v>
      </c>
      <c r="R470" s="45" t="n">
        <v>2499.99980775</v>
      </c>
      <c r="S470" s="45" t="n">
        <v>4606640.254777674</v>
      </c>
      <c r="T470" s="45" t="n">
        <v>3672638.60778775</v>
      </c>
      <c r="U470" s="15" t="n">
        <v>25.4318681</v>
      </c>
      <c r="V470" s="15" t="n">
        <v>15.05862249436611</v>
      </c>
      <c r="W470" s="49" t="n">
        <v>79.72499999999999</v>
      </c>
    </row>
    <row r="471">
      <c r="A471" s="44" t="inlineStr">
        <is>
          <t>TL Cinsi Kuponsuz Senetler</t>
        </is>
      </c>
      <c r="B471" s="44" t="n">
        <v>2005</v>
      </c>
      <c r="C471" s="44" t="inlineStr">
        <is>
          <t>TRT090507T17</t>
        </is>
      </c>
      <c r="D471" s="44" t="inlineStr">
        <is>
          <t>nan</t>
        </is>
      </c>
      <c r="E471" s="44" t="inlineStr">
        <is>
          <t>nan</t>
        </is>
      </c>
      <c r="F471" s="44" t="n"/>
      <c r="G471" s="44" t="n"/>
      <c r="H471" s="15" t="n"/>
      <c r="I471" s="45" t="n">
        <v>3190396.613</v>
      </c>
      <c r="J471" s="45" t="n">
        <v>2565486.85316</v>
      </c>
      <c r="K471" s="45" t="n">
        <v>1139536.999</v>
      </c>
      <c r="L471" s="45" t="n">
        <v>917122.88803</v>
      </c>
      <c r="M471" s="45" t="n">
        <v>1030043.983996422</v>
      </c>
      <c r="N471" s="45" t="n">
        <v>828999.9992</v>
      </c>
      <c r="O471" s="45" t="n">
        <v>2789322.146566934</v>
      </c>
      <c r="P471" s="45" t="n">
        <v>2244902.25</v>
      </c>
      <c r="Q471" s="45" t="n">
        <v>0</v>
      </c>
      <c r="R471" s="45" t="n">
        <v>0</v>
      </c>
      <c r="S471" s="45" t="n">
        <v>5025153.034563356</v>
      </c>
      <c r="T471" s="45" t="n">
        <v>4044344.3857721</v>
      </c>
      <c r="U471" s="15" t="n">
        <v>24.2512878</v>
      </c>
      <c r="V471" s="15" t="n">
        <v>14.57241860929912</v>
      </c>
      <c r="W471" s="49" t="n">
        <v>80.482</v>
      </c>
    </row>
    <row r="472">
      <c r="A472" s="44" t="inlineStr">
        <is>
          <t>TL Cinsi Kuponsuz Senetler</t>
        </is>
      </c>
      <c r="B472" s="44" t="n">
        <v>2005</v>
      </c>
      <c r="C472" s="44" t="inlineStr">
        <is>
          <t>TRB180106T11</t>
        </is>
      </c>
      <c r="D472" s="44" t="inlineStr">
        <is>
          <t>nan</t>
        </is>
      </c>
      <c r="E472" s="44" t="inlineStr">
        <is>
          <t>nan</t>
        </is>
      </c>
      <c r="F472" s="44" t="n"/>
      <c r="G472" s="44" t="n"/>
      <c r="H472" s="15" t="n"/>
      <c r="I472" s="45" t="n">
        <v>2120153.923</v>
      </c>
      <c r="J472" s="45" t="n">
        <v>2049304.30088</v>
      </c>
      <c r="K472" s="45" t="n">
        <v>1917153.923</v>
      </c>
      <c r="L472" s="45" t="n">
        <v>1853279.34088</v>
      </c>
      <c r="M472" s="45" t="n">
        <v>0</v>
      </c>
      <c r="N472" s="45" t="n">
        <v>0</v>
      </c>
      <c r="O472" s="45" t="n">
        <v>0</v>
      </c>
      <c r="P472" s="45" t="n">
        <v>0</v>
      </c>
      <c r="Q472" s="45" t="n">
        <v>0</v>
      </c>
      <c r="R472" s="45" t="n">
        <v>0</v>
      </c>
      <c r="S472" s="45" t="n">
        <v>1917153.923</v>
      </c>
      <c r="T472" s="45" t="n">
        <v>1853279.34088</v>
      </c>
      <c r="U472" s="15" t="n">
        <v>3.4465707</v>
      </c>
      <c r="V472" s="15" t="n">
        <v>14.51553140045232</v>
      </c>
      <c r="W472" s="49" t="n">
        <v>96.66800000000001</v>
      </c>
    </row>
    <row r="473">
      <c r="A473" s="44" t="inlineStr">
        <is>
          <t>TL Cinsi Kuponsuz Senetler</t>
        </is>
      </c>
      <c r="B473" s="44" t="n">
        <v>2005</v>
      </c>
      <c r="C473" s="44" t="inlineStr">
        <is>
          <t>TRB041006T16</t>
        </is>
      </c>
      <c r="D473" s="44" t="inlineStr">
        <is>
          <t>nan</t>
        </is>
      </c>
      <c r="E473" s="44" t="inlineStr">
        <is>
          <t>nan</t>
        </is>
      </c>
      <c r="F473" s="44" t="n"/>
      <c r="G473" s="44" t="n"/>
      <c r="H473" s="15" t="n"/>
      <c r="I473" s="45" t="n">
        <v>2358814.732</v>
      </c>
      <c r="J473" s="45" t="n">
        <v>2089897.95423</v>
      </c>
      <c r="K473" s="45" t="n">
        <v>1640270.54</v>
      </c>
      <c r="L473" s="45" t="n">
        <v>1453801.87179</v>
      </c>
      <c r="M473" s="45" t="n">
        <v>0</v>
      </c>
      <c r="N473" s="45" t="n">
        <v>0</v>
      </c>
      <c r="O473" s="45" t="n">
        <v>1129940.485987002</v>
      </c>
      <c r="P473" s="45" t="n">
        <v>1001488.85154</v>
      </c>
      <c r="Q473" s="45" t="n">
        <v>0</v>
      </c>
      <c r="R473" s="45" t="n">
        <v>0</v>
      </c>
      <c r="S473" s="45" t="n">
        <v>2770211.025987002</v>
      </c>
      <c r="T473" s="45" t="n">
        <v>2455290.72333</v>
      </c>
      <c r="U473" s="15" t="n">
        <v>12.8262779</v>
      </c>
      <c r="V473" s="15" t="n">
        <v>14.28410219085423</v>
      </c>
      <c r="W473" s="49" t="n">
        <v>88.63200000000001</v>
      </c>
    </row>
    <row r="474">
      <c r="A474" s="44" t="inlineStr">
        <is>
          <t>TL Cinsi Kuponsuz Senetler</t>
        </is>
      </c>
      <c r="B474" s="44" t="n">
        <v>2005</v>
      </c>
      <c r="C474" s="44" t="inlineStr">
        <is>
          <t>TRT270607T14</t>
        </is>
      </c>
      <c r="D474" s="44" t="inlineStr">
        <is>
          <t>nan</t>
        </is>
      </c>
      <c r="E474" s="44" t="inlineStr">
        <is>
          <t>nan</t>
        </is>
      </c>
      <c r="F474" s="44" t="n"/>
      <c r="G474" s="44" t="n"/>
      <c r="H474" s="15" t="n"/>
      <c r="I474" s="45" t="n">
        <v>5142406.361</v>
      </c>
      <c r="J474" s="45" t="n">
        <v>4147528.92095</v>
      </c>
      <c r="K474" s="45" t="n">
        <v>1827101.227</v>
      </c>
      <c r="L474" s="45" t="n">
        <v>1474981.16687</v>
      </c>
      <c r="M474" s="45" t="n">
        <v>412496.2829997027</v>
      </c>
      <c r="N474" s="45" t="n">
        <v>332999.99934</v>
      </c>
      <c r="O474" s="45" t="n">
        <v>2936326.307031018</v>
      </c>
      <c r="P474" s="45" t="n">
        <v>2370437.50114</v>
      </c>
      <c r="Q474" s="45" t="n">
        <v>103427.749</v>
      </c>
      <c r="R474" s="45" t="n">
        <v>83495.15321271999</v>
      </c>
      <c r="S474" s="45" t="n">
        <v>5519976.26503072</v>
      </c>
      <c r="T474" s="45" t="n">
        <v>4456165.32757144</v>
      </c>
      <c r="U474" s="15" t="n">
        <v>23.8728513</v>
      </c>
      <c r="V474" s="15" t="n">
        <v>14.17122334734549</v>
      </c>
      <c r="W474" s="49" t="n">
        <v>80.72799999999999</v>
      </c>
    </row>
    <row r="475">
      <c r="A475" s="44" t="inlineStr">
        <is>
          <t>TL Cinsi Kuponsuz Senetler</t>
        </is>
      </c>
      <c r="B475" s="44" t="n">
        <v>2005</v>
      </c>
      <c r="C475" s="44" t="inlineStr">
        <is>
          <t>TRB041006T16</t>
        </is>
      </c>
      <c r="D475" s="44" t="inlineStr">
        <is>
          <t>nan</t>
        </is>
      </c>
      <c r="E475" s="44" t="inlineStr">
        <is>
          <t>nan</t>
        </is>
      </c>
      <c r="F475" s="44" t="n"/>
      <c r="G475" s="44" t="n"/>
      <c r="H475" s="15" t="n"/>
      <c r="I475" s="45" t="n">
        <v>1352800.113</v>
      </c>
      <c r="J475" s="45" t="n">
        <v>1205923.74292</v>
      </c>
      <c r="K475" s="45" t="n">
        <v>1039225.909</v>
      </c>
      <c r="L475" s="45" t="n">
        <v>926596.86298</v>
      </c>
      <c r="M475" s="45" t="n">
        <v>0</v>
      </c>
      <c r="N475" s="45" t="n">
        <v>0</v>
      </c>
      <c r="O475" s="45" t="n">
        <v>1027629.732015881</v>
      </c>
      <c r="P475" s="45" t="n">
        <v>916255.22166</v>
      </c>
      <c r="Q475" s="45" t="n">
        <v>0</v>
      </c>
      <c r="R475" s="45" t="n">
        <v>0</v>
      </c>
      <c r="S475" s="45" t="n">
        <v>2172503.300015881</v>
      </c>
      <c r="T475" s="45" t="n">
        <v>1937049.65035758</v>
      </c>
      <c r="U475" s="15" t="n">
        <v>12.1551292</v>
      </c>
      <c r="V475" s="15" t="n">
        <v>14.1744120888216</v>
      </c>
      <c r="W475" s="49" t="n">
        <v>89.16200000000001</v>
      </c>
    </row>
    <row r="476">
      <c r="A476" s="44" t="inlineStr">
        <is>
          <t>TL Cinsi Kuponsuz Senetler</t>
        </is>
      </c>
      <c r="B476" s="44" t="n">
        <v>2005</v>
      </c>
      <c r="C476" s="44" t="inlineStr">
        <is>
          <t>TRT270607T14</t>
        </is>
      </c>
      <c r="D476" s="44" t="inlineStr">
        <is>
          <t>nan</t>
        </is>
      </c>
      <c r="E476" s="44" t="inlineStr">
        <is>
          <t>nan</t>
        </is>
      </c>
      <c r="F476" s="44" t="n"/>
      <c r="G476" s="44" t="n"/>
      <c r="H476" s="15" t="n"/>
      <c r="I476" s="45" t="n">
        <v>2445555.416</v>
      </c>
      <c r="J476" s="45" t="n">
        <v>1989171.62909</v>
      </c>
      <c r="K476" s="45" t="n">
        <v>1343326.248</v>
      </c>
      <c r="L476" s="45" t="n">
        <v>1093316.27313</v>
      </c>
      <c r="M476" s="45" t="n">
        <v>187248.8899974198</v>
      </c>
      <c r="N476" s="45" t="n">
        <v>152399.99908</v>
      </c>
      <c r="O476" s="45" t="n">
        <v>1789839.535993808</v>
      </c>
      <c r="P476" s="45" t="n">
        <v>1456732.49995</v>
      </c>
      <c r="Q476" s="45" t="n">
        <v>0</v>
      </c>
      <c r="R476" s="45" t="n">
        <v>0</v>
      </c>
      <c r="S476" s="45" t="n">
        <v>3345414.673991228</v>
      </c>
      <c r="T476" s="45" t="n">
        <v>2722796.02216</v>
      </c>
      <c r="U476" s="15" t="n">
        <v>22.8671228</v>
      </c>
      <c r="V476" s="15" t="n">
        <v>13.77111060502836</v>
      </c>
      <c r="W476" s="49" t="n">
        <v>81.389</v>
      </c>
    </row>
    <row r="477">
      <c r="A477" s="44" t="inlineStr">
        <is>
          <t>TL Cinsi Kuponsuz Senetler</t>
        </is>
      </c>
      <c r="B477" s="44" t="n">
        <v>2005</v>
      </c>
      <c r="C477" s="44" t="inlineStr">
        <is>
          <t>TRT061206T12</t>
        </is>
      </c>
      <c r="D477" s="44" t="inlineStr">
        <is>
          <t>nan</t>
        </is>
      </c>
      <c r="E477" s="44" t="inlineStr">
        <is>
          <t>nan</t>
        </is>
      </c>
      <c r="F477" s="44" t="n"/>
      <c r="G477" s="44" t="n"/>
      <c r="H477" s="15" t="n"/>
      <c r="I477" s="45" t="n">
        <v>1970732.066</v>
      </c>
      <c r="J477" s="45" t="n">
        <v>1724928.42</v>
      </c>
      <c r="K477" s="45" t="n">
        <v>1389202.702</v>
      </c>
      <c r="L477" s="45" t="n">
        <v>1216329.53451</v>
      </c>
      <c r="M477" s="45" t="n">
        <v>0</v>
      </c>
      <c r="N477" s="45" t="n">
        <v>0</v>
      </c>
      <c r="O477" s="45" t="n">
        <v>1561579.730983599</v>
      </c>
      <c r="P477" s="45" t="n">
        <v>1367256.74926</v>
      </c>
      <c r="Q477" s="45" t="n">
        <v>67259.629</v>
      </c>
      <c r="R477" s="45" t="n">
        <v>58889.84076724001</v>
      </c>
      <c r="S477" s="45" t="n">
        <v>3068042.061983599</v>
      </c>
      <c r="T477" s="45" t="n">
        <v>2686254.12453724</v>
      </c>
      <c r="U477" s="15" t="n">
        <v>14.2126918</v>
      </c>
      <c r="V477" s="15" t="n">
        <v>14.2126918</v>
      </c>
      <c r="W477" s="49" t="n">
        <v>87.556</v>
      </c>
    </row>
    <row r="478">
      <c r="A478" s="44" t="inlineStr">
        <is>
          <t>TL Cinsi Kuponsuz Senetler</t>
        </is>
      </c>
      <c r="B478" s="44" t="n">
        <v>2005</v>
      </c>
      <c r="C478" s="44" t="inlineStr">
        <is>
          <t>TRT270607T14</t>
        </is>
      </c>
      <c r="D478" s="44" t="inlineStr">
        <is>
          <t>nan</t>
        </is>
      </c>
      <c r="E478" s="44" t="inlineStr">
        <is>
          <t>nan</t>
        </is>
      </c>
      <c r="F478" s="44" t="n"/>
      <c r="G478" s="44" t="n"/>
      <c r="H478" s="15" t="n"/>
      <c r="I478" s="45" t="n">
        <v>2622862.923</v>
      </c>
      <c r="J478" s="45" t="n">
        <v>2141261.35156</v>
      </c>
      <c r="K478" s="45" t="n">
        <v>699685.313</v>
      </c>
      <c r="L478" s="45" t="n">
        <v>571643.55748</v>
      </c>
      <c r="M478" s="45" t="n">
        <v>28151.77400244798</v>
      </c>
      <c r="N478" s="45" t="n">
        <v>22999.99936</v>
      </c>
      <c r="O478" s="45" t="n">
        <v>1970891.2150306</v>
      </c>
      <c r="P478" s="45" t="n">
        <v>1610218.12268</v>
      </c>
      <c r="Q478" s="45" t="n">
        <v>122227.173</v>
      </c>
      <c r="R478" s="45" t="n">
        <v>99859.600341</v>
      </c>
      <c r="S478" s="45" t="n">
        <v>2820955.475033048</v>
      </c>
      <c r="T478" s="45" t="n">
        <v>2304721.279861</v>
      </c>
      <c r="U478" s="15" t="n">
        <v>22.3988802</v>
      </c>
      <c r="V478" s="15" t="n">
        <v>13.85469705626889</v>
      </c>
      <c r="W478" s="49" t="n">
        <v>81.7</v>
      </c>
    </row>
    <row r="479">
      <c r="A479" s="44" t="inlineStr">
        <is>
          <t>TL Cinsi Kuponsuz Senetler</t>
        </is>
      </c>
      <c r="B479" s="44" t="n">
        <v>2005</v>
      </c>
      <c r="C479" s="44" t="inlineStr">
        <is>
          <t>TRB150306T12</t>
        </is>
      </c>
      <c r="D479" s="44" t="inlineStr">
        <is>
          <t>nan</t>
        </is>
      </c>
      <c r="E479" s="44" t="inlineStr">
        <is>
          <t>nan</t>
        </is>
      </c>
      <c r="F479" s="44" t="n"/>
      <c r="G479" s="44" t="n"/>
      <c r="H479" s="15" t="n"/>
      <c r="I479" s="45" t="n">
        <v>2622203.804</v>
      </c>
      <c r="J479" s="45" t="n">
        <v>2532566.02621</v>
      </c>
      <c r="K479" s="45" t="n">
        <v>1451065.516</v>
      </c>
      <c r="L479" s="45" t="n">
        <v>1402000.00805</v>
      </c>
      <c r="M479" s="45" t="n">
        <v>0</v>
      </c>
      <c r="N479" s="45" t="n">
        <v>0</v>
      </c>
      <c r="O479" s="45" t="n">
        <v>0</v>
      </c>
      <c r="P479" s="45" t="n">
        <v>0</v>
      </c>
      <c r="Q479" s="45" t="n">
        <v>0</v>
      </c>
      <c r="R479" s="45" t="n">
        <v>0</v>
      </c>
      <c r="S479" s="45" t="n">
        <v>1451065.516</v>
      </c>
      <c r="T479" s="45" t="n">
        <v>1402000.00805</v>
      </c>
      <c r="U479" s="15" t="n">
        <v>3.4996796</v>
      </c>
      <c r="V479" s="15" t="n">
        <v>14.75087913626945</v>
      </c>
      <c r="W479" s="49" t="n">
        <v>96.619</v>
      </c>
    </row>
    <row r="480">
      <c r="A480" s="44" t="inlineStr">
        <is>
          <t>TL Cinsi Kuponsuz Senetler</t>
        </is>
      </c>
      <c r="B480" s="44" t="n">
        <v>2004</v>
      </c>
      <c r="C480" s="44" t="inlineStr">
        <is>
          <t>TRB210404T15</t>
        </is>
      </c>
      <c r="D480" s="44" t="inlineStr">
        <is>
          <t>nan</t>
        </is>
      </c>
      <c r="E480" s="44" t="inlineStr">
        <is>
          <t>nan</t>
        </is>
      </c>
      <c r="F480" s="44" t="n"/>
      <c r="G480" s="44" t="n"/>
      <c r="H480" s="15" t="n"/>
      <c r="I480" s="45" t="n">
        <v>2610874.855</v>
      </c>
      <c r="J480" s="45" t="n">
        <v>2464395.206</v>
      </c>
      <c r="K480" s="45" t="n">
        <v>2452633.95</v>
      </c>
      <c r="L480" s="45" t="n">
        <v>2306996.546049</v>
      </c>
      <c r="M480" s="45" t="n">
        <v>0</v>
      </c>
      <c r="N480" s="45" t="n">
        <v>0</v>
      </c>
      <c r="O480" s="45" t="n">
        <v>0</v>
      </c>
      <c r="P480" s="45" t="n">
        <v>0</v>
      </c>
      <c r="Q480" s="45" t="n">
        <v>0</v>
      </c>
      <c r="R480" s="45" t="n">
        <v>0</v>
      </c>
      <c r="S480" s="45" t="n">
        <v>2452633.95</v>
      </c>
      <c r="T480" s="45" t="n">
        <v>2306996.546049</v>
      </c>
      <c r="U480" s="15" t="n">
        <v>6.312857476983269</v>
      </c>
      <c r="V480" s="15" t="n">
        <v>27.74478070137432</v>
      </c>
      <c r="W480" s="49" t="n">
        <v>94.062</v>
      </c>
    </row>
    <row r="481">
      <c r="A481" s="44" t="inlineStr">
        <is>
          <t>TL Cinsi Kuponsuz Senetler</t>
        </is>
      </c>
      <c r="B481" s="44" t="n">
        <v>2004</v>
      </c>
      <c r="C481" s="44" t="inlineStr">
        <is>
          <t>TRT230305T13</t>
        </is>
      </c>
      <c r="D481" s="44" t="inlineStr">
        <is>
          <t>nan</t>
        </is>
      </c>
      <c r="E481" s="44" t="inlineStr">
        <is>
          <t>nan</t>
        </is>
      </c>
      <c r="F481" s="44" t="n"/>
      <c r="G481" s="44" t="n"/>
      <c r="H481" s="15" t="n"/>
      <c r="I481" s="45" t="n">
        <v>3138944.945</v>
      </c>
      <c r="J481" s="45" t="n">
        <v>2425596.417</v>
      </c>
      <c r="K481" s="45" t="n">
        <v>2285772.725</v>
      </c>
      <c r="L481" s="45" t="n">
        <v>1762650.7791565</v>
      </c>
      <c r="M481" s="45" t="n">
        <v>259356.2777187022</v>
      </c>
      <c r="N481" s="45" t="n">
        <v>200000</v>
      </c>
      <c r="O481" s="45" t="n">
        <v>142645.9527452862</v>
      </c>
      <c r="P481" s="45" t="n">
        <v>110000</v>
      </c>
      <c r="Q481" s="45" t="n">
        <v>0</v>
      </c>
      <c r="R481" s="45" t="n">
        <v>0</v>
      </c>
      <c r="S481" s="45" t="n">
        <v>3121679.160463989</v>
      </c>
      <c r="T481" s="45" t="n">
        <v>2407251.6678002</v>
      </c>
      <c r="U481" s="15" t="n">
        <v>29.67813885935109</v>
      </c>
      <c r="V481" s="15" t="n">
        <v>24.79991650559368</v>
      </c>
      <c r="W481" s="49" t="n">
        <v>77.114</v>
      </c>
    </row>
    <row r="482">
      <c r="A482" s="44" t="inlineStr">
        <is>
          <t>TL Cinsi Kuponsuz Senetler</t>
        </is>
      </c>
      <c r="B482" s="44" t="n">
        <v>2004</v>
      </c>
      <c r="C482" s="44" t="inlineStr">
        <is>
          <t>TRB110804T13</t>
        </is>
      </c>
      <c r="D482" s="44" t="inlineStr">
        <is>
          <t>nan</t>
        </is>
      </c>
      <c r="E482" s="44" t="inlineStr">
        <is>
          <t>nan</t>
        </is>
      </c>
      <c r="F482" s="44" t="n"/>
      <c r="G482" s="44" t="n"/>
      <c r="H482" s="15" t="n"/>
      <c r="I482" s="45" t="n">
        <v>1846287.85</v>
      </c>
      <c r="J482" s="45" t="n">
        <v>1642885.247</v>
      </c>
      <c r="K482" s="45" t="n">
        <v>1419191.825</v>
      </c>
      <c r="L482" s="45" t="n">
        <v>1253657.290532</v>
      </c>
      <c r="M482" s="45" t="n">
        <v>628282.9197609129</v>
      </c>
      <c r="N482" s="45" t="n">
        <v>555000</v>
      </c>
      <c r="O482" s="45" t="n">
        <v>424515.4863249411</v>
      </c>
      <c r="P482" s="45" t="n">
        <v>375000</v>
      </c>
      <c r="Q482" s="45" t="n">
        <v>15210.135</v>
      </c>
      <c r="R482" s="45" t="n">
        <v>13436.0248536</v>
      </c>
      <c r="S482" s="45" t="n">
        <v>2487200.366085854</v>
      </c>
      <c r="T482" s="45" t="n">
        <v>2197093.3153856</v>
      </c>
      <c r="U482" s="15" t="n">
        <v>13.20412968665097</v>
      </c>
      <c r="V482" s="15" t="n">
        <v>25.90121764535982</v>
      </c>
      <c r="W482" s="49" t="n">
        <v>88.336</v>
      </c>
    </row>
    <row r="483">
      <c r="A483" s="44" t="inlineStr">
        <is>
          <t>TL Cinsi Kuponsuz Senetler</t>
        </is>
      </c>
      <c r="B483" s="44" t="n">
        <v>2004</v>
      </c>
      <c r="C483" s="44" t="inlineStr">
        <is>
          <t>TRT230305T13</t>
        </is>
      </c>
      <c r="D483" s="44" t="inlineStr">
        <is>
          <t>nan</t>
        </is>
      </c>
      <c r="E483" s="44" t="inlineStr">
        <is>
          <t>nan</t>
        </is>
      </c>
      <c r="F483" s="44" t="n"/>
      <c r="G483" s="44" t="n"/>
      <c r="H483" s="15" t="n"/>
      <c r="I483" s="45" t="n">
        <v>2216937.37</v>
      </c>
      <c r="J483" s="45" t="n">
        <v>1734829.542</v>
      </c>
      <c r="K483" s="45" t="n">
        <v>1643993.75</v>
      </c>
      <c r="L483" s="45" t="n">
        <v>1283416.6008125</v>
      </c>
      <c r="M483" s="45" t="n">
        <v>1551231.634365353</v>
      </c>
      <c r="N483" s="45" t="n">
        <v>1211000</v>
      </c>
      <c r="O483" s="45" t="n">
        <v>257471.1465792204</v>
      </c>
      <c r="P483" s="45" t="n">
        <v>201000</v>
      </c>
      <c r="Q483" s="45" t="n">
        <v>7867.705</v>
      </c>
      <c r="R483" s="45" t="n">
        <v>6142.08126235</v>
      </c>
      <c r="S483" s="45" t="n">
        <v>3460564.235944573</v>
      </c>
      <c r="T483" s="45" t="n">
        <v>2701558.68207485</v>
      </c>
      <c r="U483" s="15" t="n">
        <v>28.09509780060717</v>
      </c>
      <c r="V483" s="15" t="n">
        <v>23.93524843161703</v>
      </c>
      <c r="W483" s="49" t="n">
        <v>78.06699999999999</v>
      </c>
    </row>
    <row r="484">
      <c r="A484" s="44" t="inlineStr">
        <is>
          <t>TL Cinsi Kuponsuz Senetler</t>
        </is>
      </c>
      <c r="B484" s="44" t="n">
        <v>2004</v>
      </c>
      <c r="C484" s="44" t="inlineStr">
        <is>
          <t>TRB120504T15</t>
        </is>
      </c>
      <c r="D484" s="44" t="inlineStr">
        <is>
          <t>nan</t>
        </is>
      </c>
      <c r="E484" s="44" t="inlineStr">
        <is>
          <t>nan</t>
        </is>
      </c>
      <c r="F484" s="44" t="n"/>
      <c r="G484" s="44" t="n"/>
      <c r="H484" s="15" t="n"/>
      <c r="I484" s="45" t="n">
        <v>2895096.84</v>
      </c>
      <c r="J484" s="45" t="n">
        <v>2732879.4674</v>
      </c>
      <c r="K484" s="45" t="n">
        <v>1651934.655</v>
      </c>
      <c r="L484" s="45" t="n">
        <v>1561000.0029</v>
      </c>
      <c r="M484" s="45" t="n">
        <v>0</v>
      </c>
      <c r="N484" s="45" t="n">
        <v>0</v>
      </c>
      <c r="O484" s="45" t="n">
        <v>0</v>
      </c>
      <c r="P484" s="45" t="n">
        <v>0</v>
      </c>
      <c r="Q484" s="45" t="n">
        <v>0</v>
      </c>
      <c r="R484" s="45" t="n">
        <v>0</v>
      </c>
      <c r="S484" s="45" t="n">
        <v>1651934.655</v>
      </c>
      <c r="T484" s="45" t="n">
        <v>1561000.0029</v>
      </c>
      <c r="U484" s="15" t="n">
        <v>5.8254101</v>
      </c>
      <c r="V484" s="15" t="n">
        <v>25.41799123692117</v>
      </c>
      <c r="W484" s="49" t="n">
        <v>94.495</v>
      </c>
    </row>
    <row r="485">
      <c r="A485" s="44" t="inlineStr">
        <is>
          <t>TL Cinsi Kuponsuz Senetler</t>
        </is>
      </c>
      <c r="B485" s="44" t="n">
        <v>2004</v>
      </c>
      <c r="C485" s="44" t="inlineStr">
        <is>
          <t>TRB080904T17</t>
        </is>
      </c>
      <c r="D485" s="44" t="inlineStr">
        <is>
          <t>nan</t>
        </is>
      </c>
      <c r="E485" s="44" t="inlineStr">
        <is>
          <t>nan</t>
        </is>
      </c>
      <c r="F485" s="44" t="n"/>
      <c r="G485" s="44" t="n"/>
      <c r="H485" s="15" t="n"/>
      <c r="I485" s="45" t="n">
        <v>1477154</v>
      </c>
      <c r="J485" s="45" t="n">
        <v>1306406.2556</v>
      </c>
      <c r="K485" s="45" t="n">
        <v>1258503.605</v>
      </c>
      <c r="L485" s="45" t="n">
        <v>1113403.3168</v>
      </c>
      <c r="M485" s="45" t="n">
        <v>27127.83994574432</v>
      </c>
      <c r="N485" s="45" t="n">
        <v>24000</v>
      </c>
      <c r="O485" s="45" t="n">
        <v>431041.0308579179</v>
      </c>
      <c r="P485" s="45" t="n">
        <v>381342</v>
      </c>
      <c r="Q485" s="45" t="n">
        <v>8163.525</v>
      </c>
      <c r="R485" s="45" t="n">
        <v>7222.2705675</v>
      </c>
      <c r="S485" s="45" t="n">
        <v>1724836.000803662</v>
      </c>
      <c r="T485" s="45" t="n">
        <v>1525967.5873675</v>
      </c>
      <c r="U485" s="15" t="n">
        <v>13.0321408</v>
      </c>
      <c r="V485" s="15" t="n">
        <v>24.56516441047274</v>
      </c>
      <c r="W485" s="49" t="n">
        <v>88.47</v>
      </c>
    </row>
    <row r="486">
      <c r="A486" s="44" t="inlineStr">
        <is>
          <t>TL Cinsi Kuponsuz Senetler</t>
        </is>
      </c>
      <c r="B486" s="44" t="n">
        <v>2004</v>
      </c>
      <c r="C486" s="44" t="inlineStr">
        <is>
          <t>TRT270405T18</t>
        </is>
      </c>
      <c r="D486" s="44" t="inlineStr">
        <is>
          <t>nan</t>
        </is>
      </c>
      <c r="E486" s="44" t="inlineStr">
        <is>
          <t>nan</t>
        </is>
      </c>
      <c r="F486" s="44" t="n"/>
      <c r="G486" s="44" t="n"/>
      <c r="H486" s="15" t="n"/>
      <c r="I486" s="45" t="n">
        <v>4896220.07</v>
      </c>
      <c r="J486" s="45" t="n">
        <v>3808928.9667</v>
      </c>
      <c r="K486" s="45" t="n">
        <v>4108399.275</v>
      </c>
      <c r="L486" s="45" t="n">
        <v>3204290.852</v>
      </c>
      <c r="M486" s="45" t="n">
        <v>282072.9799728184</v>
      </c>
      <c r="N486" s="45" t="n">
        <v>220000</v>
      </c>
      <c r="O486" s="45" t="n">
        <v>484869.3489242762</v>
      </c>
      <c r="P486" s="45" t="n">
        <v>378169</v>
      </c>
      <c r="Q486" s="45" t="n">
        <v>22911.26</v>
      </c>
      <c r="R486" s="45" t="n">
        <v>17869.4081244</v>
      </c>
      <c r="S486" s="45" t="n">
        <v>4898252.863897095</v>
      </c>
      <c r="T486" s="45" t="n">
        <v>3820329.2601244</v>
      </c>
      <c r="U486" s="15" t="n">
        <v>28.2155542</v>
      </c>
      <c r="V486" s="15" t="n">
        <v>23.17736836750481</v>
      </c>
      <c r="W486" s="49" t="n">
        <v>77.994</v>
      </c>
    </row>
    <row r="487">
      <c r="A487" s="44" t="inlineStr">
        <is>
          <t>TL Cinsi Kuponsuz Senetler</t>
        </is>
      </c>
      <c r="B487" s="44" t="n">
        <v>2004</v>
      </c>
      <c r="C487" s="44" t="inlineStr">
        <is>
          <t>TRT240805T17</t>
        </is>
      </c>
      <c r="D487" s="44" t="inlineStr">
        <is>
          <t>nan</t>
        </is>
      </c>
      <c r="E487" s="44" t="inlineStr">
        <is>
          <t>nan</t>
        </is>
      </c>
      <c r="F487" s="44" t="n"/>
      <c r="G487" s="44" t="n"/>
      <c r="H487" s="15" t="n"/>
      <c r="I487" s="45" t="n">
        <v>4274032.02</v>
      </c>
      <c r="J487" s="45" t="n">
        <v>3089286.7697</v>
      </c>
      <c r="K487" s="45" t="n">
        <v>2906996.96</v>
      </c>
      <c r="L487" s="45" t="n">
        <v>2103906.1667</v>
      </c>
      <c r="M487" s="45" t="n">
        <v>397932.9593500429</v>
      </c>
      <c r="N487" s="45" t="n">
        <v>288000</v>
      </c>
      <c r="O487" s="45" t="n">
        <v>437684.8039351148</v>
      </c>
      <c r="P487" s="45" t="n">
        <v>316770</v>
      </c>
      <c r="Q487" s="45" t="n">
        <v>114821.305</v>
      </c>
      <c r="R487" s="45" t="n">
        <v>83100.77128070001</v>
      </c>
      <c r="S487" s="45" t="n">
        <v>4364184.568285157</v>
      </c>
      <c r="T487" s="45" t="n">
        <v>3158531.1263203</v>
      </c>
      <c r="U487" s="15" t="n">
        <v>38.1714169</v>
      </c>
      <c r="V487" s="15" t="n">
        <v>24.40214904712865</v>
      </c>
      <c r="W487" s="49" t="n">
        <v>72.374</v>
      </c>
    </row>
    <row r="488">
      <c r="A488" s="44" t="inlineStr">
        <is>
          <t>TL Cinsi Kuponsuz Senetler</t>
        </is>
      </c>
      <c r="B488" s="44" t="n">
        <v>2004</v>
      </c>
      <c r="C488" s="44" t="inlineStr">
        <is>
          <t>TRB131004T17</t>
        </is>
      </c>
      <c r="D488" s="44" t="inlineStr">
        <is>
          <t>nan</t>
        </is>
      </c>
      <c r="E488" s="44" t="inlineStr">
        <is>
          <t>nan</t>
        </is>
      </c>
      <c r="F488" s="44" t="n"/>
      <c r="G488" s="44" t="n"/>
      <c r="H488" s="15" t="n"/>
      <c r="I488" s="45" t="n">
        <v>2017047.14</v>
      </c>
      <c r="J488" s="45" t="n">
        <v>1760208.467</v>
      </c>
      <c r="K488" s="45" t="n">
        <v>1867053.36</v>
      </c>
      <c r="L488" s="45" t="n">
        <v>1629546.946</v>
      </c>
      <c r="M488" s="45" t="n">
        <v>171805.359823096</v>
      </c>
      <c r="N488" s="45" t="n">
        <v>149950</v>
      </c>
      <c r="O488" s="45" t="n">
        <v>690636.3730106899</v>
      </c>
      <c r="P488" s="45" t="n">
        <v>602780.52</v>
      </c>
      <c r="Q488" s="45" t="n">
        <v>15301.925</v>
      </c>
      <c r="R488" s="45" t="n">
        <v>13355.36712075</v>
      </c>
      <c r="S488" s="45" t="n">
        <v>2870986.522833786</v>
      </c>
      <c r="T488" s="45" t="n">
        <v>2505769.7711897</v>
      </c>
      <c r="U488" s="15" t="n">
        <v>14.5749967</v>
      </c>
      <c r="V488" s="15" t="n">
        <v>24.744386590193</v>
      </c>
      <c r="W488" s="49" t="n">
        <v>87.279</v>
      </c>
    </row>
    <row r="489">
      <c r="A489" s="44" t="inlineStr">
        <is>
          <t>TL Cinsi Kuponsuz Senetler</t>
        </is>
      </c>
      <c r="B489" s="44" t="n">
        <v>2004</v>
      </c>
      <c r="C489" s="44" t="inlineStr">
        <is>
          <t>TRT270405T18</t>
        </is>
      </c>
      <c r="D489" s="44" t="inlineStr">
        <is>
          <t>nan</t>
        </is>
      </c>
      <c r="E489" s="44" t="inlineStr">
        <is>
          <t>nan</t>
        </is>
      </c>
      <c r="F489" s="44" t="n"/>
      <c r="G489" s="44" t="n"/>
      <c r="H489" s="15" t="n"/>
      <c r="I489" s="45" t="n">
        <v>3284089.59</v>
      </c>
      <c r="J489" s="45" t="n">
        <v>2550456.8167</v>
      </c>
      <c r="K489" s="45" t="n">
        <v>2544820.82</v>
      </c>
      <c r="L489" s="45" t="n">
        <v>1977204.3675</v>
      </c>
      <c r="M489" s="45" t="n">
        <v>128708.411094665</v>
      </c>
      <c r="N489" s="45" t="n">
        <v>100000</v>
      </c>
      <c r="O489" s="45" t="n">
        <v>406996.149945299</v>
      </c>
      <c r="P489" s="45" t="n">
        <v>316215.6587</v>
      </c>
      <c r="Q489" s="45" t="n">
        <v>103749.275</v>
      </c>
      <c r="R489" s="45" t="n">
        <v>80607.99921125</v>
      </c>
      <c r="S489" s="45" t="n">
        <v>3468897.231039964</v>
      </c>
      <c r="T489" s="45" t="n">
        <v>2695165.5350575</v>
      </c>
      <c r="U489" s="15" t="n">
        <v>28.7080315</v>
      </c>
      <c r="V489" s="15" t="n">
        <v>24.44904312350176</v>
      </c>
      <c r="W489" s="49" t="n">
        <v>77.69499999999999</v>
      </c>
    </row>
    <row r="490">
      <c r="A490" s="44" t="inlineStr">
        <is>
          <t>TL Cinsi Kuponsuz Senetler</t>
        </is>
      </c>
      <c r="B490" s="44" t="n">
        <v>2004</v>
      </c>
      <c r="C490" s="44" t="inlineStr">
        <is>
          <t>TRB160604T10</t>
        </is>
      </c>
      <c r="D490" s="44" t="inlineStr">
        <is>
          <t>nan</t>
        </is>
      </c>
      <c r="E490" s="44" t="inlineStr">
        <is>
          <t>nan</t>
        </is>
      </c>
      <c r="F490" s="44" t="n"/>
      <c r="G490" s="44" t="n"/>
      <c r="H490" s="15" t="n"/>
      <c r="I490" s="45" t="n">
        <v>1492817.05</v>
      </c>
      <c r="J490" s="45" t="n">
        <v>1414598.3842</v>
      </c>
      <c r="K490" s="45" t="n">
        <v>1405464.235</v>
      </c>
      <c r="L490" s="45" t="n">
        <v>1332000.004</v>
      </c>
      <c r="M490" s="45" t="n">
        <v>0</v>
      </c>
      <c r="N490" s="45" t="n">
        <v>0</v>
      </c>
      <c r="O490" s="45" t="n">
        <v>0</v>
      </c>
      <c r="P490" s="45" t="n">
        <v>0</v>
      </c>
      <c r="Q490" s="45" t="n">
        <v>0</v>
      </c>
      <c r="R490" s="45" t="n">
        <v>0</v>
      </c>
      <c r="S490" s="45" t="n">
        <v>1405464.235</v>
      </c>
      <c r="T490" s="45" t="n">
        <v>1332000.004</v>
      </c>
      <c r="U490" s="15" t="n">
        <v>5.5153326</v>
      </c>
      <c r="V490" s="15" t="n">
        <v>23.95449745681726</v>
      </c>
      <c r="W490" s="49" t="n">
        <v>94.773</v>
      </c>
    </row>
    <row r="491">
      <c r="A491" s="44" t="inlineStr">
        <is>
          <t>TL Cinsi Kuponsuz Senetler</t>
        </is>
      </c>
      <c r="B491" s="44" t="n">
        <v>2004</v>
      </c>
      <c r="C491" s="44" t="inlineStr">
        <is>
          <t>TRB241104T13</t>
        </is>
      </c>
      <c r="D491" s="44" t="inlineStr">
        <is>
          <t>nan</t>
        </is>
      </c>
      <c r="E491" s="44" t="inlineStr">
        <is>
          <t>nan</t>
        </is>
      </c>
      <c r="F491" s="44" t="n"/>
      <c r="G491" s="44" t="n"/>
      <c r="H491" s="15" t="n"/>
      <c r="I491" s="45" t="n">
        <v>2406434.9</v>
      </c>
      <c r="J491" s="45" t="n">
        <v>2104078.4116</v>
      </c>
      <c r="K491" s="45" t="n">
        <v>1705388.92</v>
      </c>
      <c r="L491" s="45" t="n">
        <v>1493031.4213</v>
      </c>
      <c r="M491" s="45" t="n">
        <v>77671.67725133641</v>
      </c>
      <c r="N491" s="45" t="n">
        <v>68000</v>
      </c>
      <c r="O491" s="45" t="n">
        <v>362930.0749965733</v>
      </c>
      <c r="P491" s="45" t="n">
        <v>317738.022058</v>
      </c>
      <c r="Q491" s="45" t="n">
        <v>0</v>
      </c>
      <c r="R491" s="45" t="n">
        <v>0</v>
      </c>
      <c r="S491" s="45" t="n">
        <v>2373037.58724791</v>
      </c>
      <c r="T491" s="45" t="n">
        <v>2077544.4765022</v>
      </c>
      <c r="U491" s="15" t="n">
        <v>14.2232438</v>
      </c>
      <c r="V491" s="15" t="n">
        <v>23.31249195434506</v>
      </c>
      <c r="W491" s="49" t="n">
        <v>87.548</v>
      </c>
    </row>
    <row r="492">
      <c r="A492" s="44" t="inlineStr">
        <is>
          <t>TL Cinsi Kuponsuz Senetler</t>
        </is>
      </c>
      <c r="B492" s="44" t="n">
        <v>2004</v>
      </c>
      <c r="C492" s="44" t="inlineStr">
        <is>
          <t>TRT240805T17</t>
        </is>
      </c>
      <c r="D492" s="44" t="inlineStr">
        <is>
          <t>nan</t>
        </is>
      </c>
      <c r="E492" s="44" t="inlineStr">
        <is>
          <t>nan</t>
        </is>
      </c>
      <c r="F492" s="44" t="n"/>
      <c r="G492" s="44" t="n"/>
      <c r="H492" s="15" t="n"/>
      <c r="I492" s="45" t="n">
        <v>4242657.485</v>
      </c>
      <c r="J492" s="45" t="n">
        <v>3221967.093</v>
      </c>
      <c r="K492" s="45" t="n">
        <v>2652681.095</v>
      </c>
      <c r="L492" s="45" t="n">
        <v>2017342.0933</v>
      </c>
      <c r="M492" s="45" t="n">
        <v>310326.2370313876</v>
      </c>
      <c r="N492" s="45" t="n">
        <v>236000</v>
      </c>
      <c r="O492" s="45" t="n">
        <v>484891.3449933596</v>
      </c>
      <c r="P492" s="45" t="n">
        <v>368755.018954</v>
      </c>
      <c r="Q492" s="45" t="n">
        <v>0</v>
      </c>
      <c r="R492" s="45" t="n">
        <v>0</v>
      </c>
      <c r="S492" s="45" t="n">
        <v>3580479.012024747</v>
      </c>
      <c r="T492" s="45" t="n">
        <v>2722923.13121815</v>
      </c>
      <c r="U492" s="15" t="n">
        <v>31.4938653</v>
      </c>
      <c r="V492" s="15" t="n">
        <v>21.86421309673994</v>
      </c>
      <c r="W492" s="49" t="n">
        <v>76.04900000000001</v>
      </c>
    </row>
    <row r="493">
      <c r="A493" s="44" t="inlineStr">
        <is>
          <t>TL Cinsi Kuponsuz Senetler</t>
        </is>
      </c>
      <c r="B493" s="44" t="n">
        <v>2004</v>
      </c>
      <c r="C493" s="44" t="inlineStr">
        <is>
          <t>TRB210704T20</t>
        </is>
      </c>
      <c r="D493" s="44" t="inlineStr">
        <is>
          <t>nan</t>
        </is>
      </c>
      <c r="E493" s="44" t="inlineStr">
        <is>
          <t>nan</t>
        </is>
      </c>
      <c r="F493" s="44" t="n"/>
      <c r="G493" s="44" t="n"/>
      <c r="H493" s="15" t="n"/>
      <c r="I493" s="45" t="n">
        <v>4950572.34</v>
      </c>
      <c r="J493" s="45" t="n">
        <v>4693491.3265</v>
      </c>
      <c r="K493" s="45" t="n">
        <v>2304934.615</v>
      </c>
      <c r="L493" s="45" t="n">
        <v>2187000.0079</v>
      </c>
      <c r="M493" s="45" t="n">
        <v>0</v>
      </c>
      <c r="N493" s="45" t="n">
        <v>0</v>
      </c>
      <c r="O493" s="45" t="n">
        <v>0</v>
      </c>
      <c r="P493" s="45" t="n">
        <v>0</v>
      </c>
      <c r="Q493" s="45" t="n">
        <v>0</v>
      </c>
      <c r="R493" s="45" t="n">
        <v>0</v>
      </c>
      <c r="S493" s="45" t="n">
        <v>2304934.615</v>
      </c>
      <c r="T493" s="45" t="n">
        <v>2187000.0079</v>
      </c>
      <c r="U493" s="15" t="n">
        <v>5.3925289</v>
      </c>
      <c r="V493" s="15" t="n">
        <v>23.37844781867804</v>
      </c>
      <c r="W493" s="49" t="n">
        <v>94.883</v>
      </c>
    </row>
    <row r="494">
      <c r="A494" s="44" t="inlineStr">
        <is>
          <t>TL Cinsi Kuponsuz Senetler</t>
        </is>
      </c>
      <c r="B494" s="44" t="n">
        <v>2004</v>
      </c>
      <c r="C494" s="44" t="inlineStr">
        <is>
          <t>TRB241104T13</t>
        </is>
      </c>
      <c r="D494" s="44" t="inlineStr">
        <is>
          <t>nan</t>
        </is>
      </c>
      <c r="E494" s="44" t="inlineStr">
        <is>
          <t>nan</t>
        </is>
      </c>
      <c r="F494" s="44" t="n"/>
      <c r="G494" s="44" t="n"/>
      <c r="H494" s="15" t="n"/>
      <c r="I494" s="45" t="n">
        <v>1116967.605</v>
      </c>
      <c r="J494" s="45" t="n">
        <v>985350.884</v>
      </c>
      <c r="K494" s="45" t="n">
        <v>941748.155</v>
      </c>
      <c r="L494" s="45" t="n">
        <v>831093.5484</v>
      </c>
      <c r="M494" s="45" t="n">
        <v>113314.447592068</v>
      </c>
      <c r="N494" s="45" t="n">
        <v>100000</v>
      </c>
      <c r="O494" s="45" t="n">
        <v>155080.1076487252</v>
      </c>
      <c r="P494" s="45" t="n">
        <v>136858.195</v>
      </c>
      <c r="Q494" s="45" t="n">
        <v>0</v>
      </c>
      <c r="R494" s="45" t="n">
        <v>0</v>
      </c>
      <c r="S494" s="45" t="n">
        <v>1235084.465240793</v>
      </c>
      <c r="T494" s="45" t="n">
        <v>1089962.8421875</v>
      </c>
      <c r="U494" s="15" t="n">
        <v>13.3143383</v>
      </c>
      <c r="V494" s="15" t="n">
        <v>24.1920424694376</v>
      </c>
      <c r="W494" s="49" t="n">
        <v>88.25</v>
      </c>
    </row>
    <row r="495">
      <c r="A495" s="44" t="inlineStr">
        <is>
          <t>TL Cinsi Kuponsuz Senetler</t>
        </is>
      </c>
      <c r="B495" s="44" t="n">
        <v>2004</v>
      </c>
      <c r="C495" s="44" t="inlineStr">
        <is>
          <t>TRT051005T16</t>
        </is>
      </c>
      <c r="D495" s="44" t="inlineStr">
        <is>
          <t>nan</t>
        </is>
      </c>
      <c r="E495" s="44" t="inlineStr">
        <is>
          <t>nan</t>
        </is>
      </c>
      <c r="F495" s="44" t="n"/>
      <c r="G495" s="44" t="n"/>
      <c r="H495" s="15" t="n"/>
      <c r="I495" s="45" t="n">
        <v>3415716.63</v>
      </c>
      <c r="J495" s="45" t="n">
        <v>2509868.7368</v>
      </c>
      <c r="K495" s="45" t="n">
        <v>2763943.3</v>
      </c>
      <c r="L495" s="45" t="n">
        <v>2033346.5044</v>
      </c>
      <c r="M495" s="45" t="n">
        <v>550518.5749045088</v>
      </c>
      <c r="N495" s="45" t="n">
        <v>405000</v>
      </c>
      <c r="O495" s="45" t="n">
        <v>228798.2383405603</v>
      </c>
      <c r="P495" s="45" t="n">
        <v>168320</v>
      </c>
      <c r="Q495" s="45" t="n">
        <v>119081.495</v>
      </c>
      <c r="R495" s="45" t="n">
        <v>87604.68542665</v>
      </c>
      <c r="S495" s="45" t="n">
        <v>3751141.608245069</v>
      </c>
      <c r="T495" s="45" t="n">
        <v>2759598.68582665</v>
      </c>
      <c r="U495" s="15" t="n">
        <v>35.9307572</v>
      </c>
      <c r="V495" s="15" t="n">
        <v>23.71821072389764</v>
      </c>
      <c r="W495" s="49" t="n">
        <v>73.56699999999999</v>
      </c>
    </row>
    <row r="496">
      <c r="A496" s="44" t="inlineStr">
        <is>
          <t>TL Cinsi Kuponsuz Senetler</t>
        </is>
      </c>
      <c r="B496" s="44" t="n">
        <v>2004</v>
      </c>
      <c r="C496" s="44" t="inlineStr">
        <is>
          <t>TRB241104T13</t>
        </is>
      </c>
      <c r="D496" s="44" t="inlineStr">
        <is>
          <t>nan</t>
        </is>
      </c>
      <c r="E496" s="44" t="inlineStr">
        <is>
          <t>nan</t>
        </is>
      </c>
      <c r="F496" s="44" t="n"/>
      <c r="G496" s="44" t="n"/>
      <c r="H496" s="15" t="n"/>
      <c r="I496" s="45" t="n">
        <v>935206.675</v>
      </c>
      <c r="J496" s="45" t="n">
        <v>820133.7781</v>
      </c>
      <c r="K496" s="45" t="n">
        <v>768938.64</v>
      </c>
      <c r="L496" s="45" t="n">
        <v>674596.22</v>
      </c>
      <c r="M496" s="45" t="n">
        <v>31801.75764553009</v>
      </c>
      <c r="N496" s="45" t="n">
        <v>27900</v>
      </c>
      <c r="O496" s="45" t="n">
        <v>51660.18853084998</v>
      </c>
      <c r="P496" s="45" t="n">
        <v>45322</v>
      </c>
      <c r="Q496" s="45" t="n">
        <v>1349.835</v>
      </c>
      <c r="R496" s="45" t="n">
        <v>1184.22374385</v>
      </c>
      <c r="S496" s="45" t="n">
        <v>944774.43617638</v>
      </c>
      <c r="T496" s="45" t="n">
        <v>828858.7223435</v>
      </c>
      <c r="U496" s="15" t="n">
        <v>13.9850206</v>
      </c>
      <c r="V496" s="15" t="n">
        <v>26.45440254549407</v>
      </c>
      <c r="W496" s="49" t="n">
        <v>87.73099999999999</v>
      </c>
    </row>
    <row r="497">
      <c r="A497" s="44" t="inlineStr">
        <is>
          <t>TL Cinsi Kuponsuz Senetler</t>
        </is>
      </c>
      <c r="B497" s="44" t="n">
        <v>2004</v>
      </c>
      <c r="C497" s="44" t="inlineStr">
        <is>
          <t>TRB110804T21</t>
        </is>
      </c>
      <c r="D497" s="44" t="inlineStr">
        <is>
          <t>nan</t>
        </is>
      </c>
      <c r="E497" s="44" t="inlineStr">
        <is>
          <t>nan</t>
        </is>
      </c>
      <c r="F497" s="44" t="n"/>
      <c r="G497" s="44" t="n"/>
      <c r="H497" s="15" t="n"/>
      <c r="I497" s="45" t="n">
        <v>3073301.705</v>
      </c>
      <c r="J497" s="45" t="n">
        <v>2893145.1736</v>
      </c>
      <c r="K497" s="45" t="n">
        <v>1777569.9</v>
      </c>
      <c r="L497" s="45" t="n">
        <v>1675000.0059</v>
      </c>
      <c r="M497" s="45" t="n">
        <v>0</v>
      </c>
      <c r="N497" s="45" t="n">
        <v>0</v>
      </c>
      <c r="O497" s="45" t="n">
        <v>0</v>
      </c>
      <c r="P497" s="45" t="n">
        <v>0</v>
      </c>
      <c r="Q497" s="45" t="n">
        <v>0</v>
      </c>
      <c r="R497" s="45" t="n">
        <v>0</v>
      </c>
      <c r="S497" s="45" t="n">
        <v>1777569.9</v>
      </c>
      <c r="T497" s="45" t="n">
        <v>1675000.0059</v>
      </c>
      <c r="U497" s="15" t="n">
        <v>6.1235757</v>
      </c>
      <c r="V497" s="15" t="n">
        <v>26.83744885062629</v>
      </c>
      <c r="W497" s="49" t="n">
        <v>94.23</v>
      </c>
    </row>
    <row r="498">
      <c r="A498" s="44" t="inlineStr">
        <is>
          <t>TL Cinsi Kuponsuz Senetler</t>
        </is>
      </c>
      <c r="B498" s="44" t="n">
        <v>2004</v>
      </c>
      <c r="C498" s="44" t="inlineStr">
        <is>
          <t>TRB241104T13</t>
        </is>
      </c>
      <c r="D498" s="44" t="inlineStr">
        <is>
          <t>nan</t>
        </is>
      </c>
      <c r="E498" s="44" t="inlineStr">
        <is>
          <t>nan</t>
        </is>
      </c>
      <c r="F498" s="44" t="n"/>
      <c r="G498" s="44" t="n"/>
      <c r="H498" s="15" t="n"/>
      <c r="I498" s="45" t="n">
        <v>884364.755</v>
      </c>
      <c r="J498" s="45" t="n">
        <v>767238.2023</v>
      </c>
      <c r="K498" s="45" t="n">
        <v>372727.595</v>
      </c>
      <c r="L498" s="45" t="n">
        <v>324370.7522</v>
      </c>
      <c r="M498" s="45" t="n">
        <v>59752.25794590123</v>
      </c>
      <c r="N498" s="45" t="n">
        <v>52000</v>
      </c>
      <c r="O498" s="45" t="n">
        <v>58789.32732746535</v>
      </c>
      <c r="P498" s="45" t="n">
        <v>51162</v>
      </c>
      <c r="Q498" s="45" t="n">
        <v>1986.445</v>
      </c>
      <c r="R498" s="45" t="n">
        <v>1728.7236257</v>
      </c>
      <c r="S498" s="45" t="n">
        <v>502781.8152733666</v>
      </c>
      <c r="T498" s="45" t="n">
        <v>437551.7379351</v>
      </c>
      <c r="U498" s="15" t="n">
        <v>14.9078924</v>
      </c>
      <c r="V498" s="15" t="n">
        <v>29.44292249565528</v>
      </c>
      <c r="W498" s="49" t="n">
        <v>87.026</v>
      </c>
    </row>
    <row r="499">
      <c r="A499" s="44" t="inlineStr">
        <is>
          <t>TL Cinsi Kuponsuz Senetler</t>
        </is>
      </c>
      <c r="B499" s="44" t="n">
        <v>2004</v>
      </c>
      <c r="C499" s="44" t="inlineStr">
        <is>
          <t>TRT051005T16</t>
        </is>
      </c>
      <c r="D499" s="44" t="inlineStr">
        <is>
          <t>nan</t>
        </is>
      </c>
      <c r="E499" s="44" t="inlineStr">
        <is>
          <t>nan</t>
        </is>
      </c>
      <c r="F499" s="44" t="n"/>
      <c r="G499" s="44" t="n"/>
      <c r="H499" s="15" t="n"/>
      <c r="I499" s="45" t="n">
        <v>4623663.185</v>
      </c>
      <c r="J499" s="45" t="n">
        <v>3145763.8104</v>
      </c>
      <c r="K499" s="45" t="n">
        <v>1456813.695</v>
      </c>
      <c r="L499" s="45" t="n">
        <v>997821.532</v>
      </c>
      <c r="M499" s="45" t="n">
        <v>77380.17023637451</v>
      </c>
      <c r="N499" s="45" t="n">
        <v>53000</v>
      </c>
      <c r="O499" s="45" t="n">
        <v>56275.82380681238</v>
      </c>
      <c r="P499" s="45" t="n">
        <v>38545</v>
      </c>
      <c r="Q499" s="45" t="n">
        <v>71762.675</v>
      </c>
      <c r="R499" s="45" t="n">
        <v>49152.40898775</v>
      </c>
      <c r="S499" s="45" t="n">
        <v>1841739.659043187</v>
      </c>
      <c r="T499" s="45" t="n">
        <v>1261468.8725521</v>
      </c>
      <c r="U499" s="15" t="n">
        <v>45.9994246</v>
      </c>
      <c r="V499" s="15" t="n">
        <v>30.9399129648356</v>
      </c>
      <c r="W499" s="49" t="n">
        <v>68.49299999999999</v>
      </c>
    </row>
    <row r="500">
      <c r="A500" s="44" t="inlineStr">
        <is>
          <t>TL Cinsi Kuponsuz Senetler</t>
        </is>
      </c>
      <c r="B500" s="44" t="n">
        <v>2004</v>
      </c>
      <c r="C500" s="44" t="inlineStr">
        <is>
          <t>TRB101104T19</t>
        </is>
      </c>
      <c r="D500" s="44" t="inlineStr">
        <is>
          <t>nan</t>
        </is>
      </c>
      <c r="E500" s="44" t="inlineStr">
        <is>
          <t>nan</t>
        </is>
      </c>
      <c r="F500" s="44" t="n"/>
      <c r="G500" s="44" t="n"/>
      <c r="H500" s="15" t="n"/>
      <c r="I500" s="45" t="n">
        <v>3595355.435</v>
      </c>
      <c r="J500" s="45" t="n">
        <v>3196638.7251</v>
      </c>
      <c r="K500" s="45" t="n">
        <v>2262790.855</v>
      </c>
      <c r="L500" s="45" t="n">
        <v>2013632.7436</v>
      </c>
      <c r="M500" s="45" t="n">
        <v>29217.09424760364</v>
      </c>
      <c r="N500" s="45" t="n">
        <v>26000</v>
      </c>
      <c r="O500" s="45" t="n">
        <v>425566.6430682444</v>
      </c>
      <c r="P500" s="45" t="n">
        <v>378707.5</v>
      </c>
      <c r="Q500" s="45" t="n">
        <v>49776.265</v>
      </c>
      <c r="R500" s="45" t="n">
        <v>44295.40046085</v>
      </c>
      <c r="S500" s="45" t="n">
        <v>3137458.107315848</v>
      </c>
      <c r="T500" s="45" t="n">
        <v>2791990.38476335</v>
      </c>
      <c r="U500" s="15" t="n">
        <v>12.3735628</v>
      </c>
      <c r="V500" s="15" t="n">
        <v>28.75743777768998</v>
      </c>
      <c r="W500" s="49" t="n">
        <v>88.989</v>
      </c>
    </row>
    <row r="501">
      <c r="A501" s="44" t="inlineStr">
        <is>
          <t>TL Cinsi Kuponsuz Senetler</t>
        </is>
      </c>
      <c r="B501" s="44" t="n">
        <v>2004</v>
      </c>
      <c r="C501" s="44" t="inlineStr">
        <is>
          <t>TRT250505T19</t>
        </is>
      </c>
      <c r="D501" s="44" t="inlineStr">
        <is>
          <t>nan</t>
        </is>
      </c>
      <c r="E501" s="44" t="inlineStr">
        <is>
          <t>nan</t>
        </is>
      </c>
      <c r="F501" s="44" t="n"/>
      <c r="G501" s="44" t="n"/>
      <c r="H501" s="15" t="n"/>
      <c r="I501" s="45" t="n">
        <v>4223513.49</v>
      </c>
      <c r="J501" s="45" t="n">
        <v>3250981.244</v>
      </c>
      <c r="K501" s="45" t="n">
        <v>2478039.085</v>
      </c>
      <c r="L501" s="45" t="n">
        <v>1910536.2115</v>
      </c>
      <c r="M501" s="45" t="n">
        <v>228277.9283778</v>
      </c>
      <c r="N501" s="45" t="n">
        <v>176000</v>
      </c>
      <c r="O501" s="45" t="n">
        <v>485298.7717091013</v>
      </c>
      <c r="P501" s="45" t="n">
        <v>374160.5</v>
      </c>
      <c r="Q501" s="45" t="n">
        <v>122372.06</v>
      </c>
      <c r="R501" s="45" t="n">
        <v>94347.63453939999</v>
      </c>
      <c r="S501" s="45" t="n">
        <v>3698393.910086901</v>
      </c>
      <c r="T501" s="45" t="n">
        <v>2851417.57809375</v>
      </c>
      <c r="U501" s="15" t="n">
        <v>29.7038533</v>
      </c>
      <c r="V501" s="15" t="n">
        <v>29.70385330000001</v>
      </c>
      <c r="W501" s="49" t="n">
        <v>77.099</v>
      </c>
    </row>
    <row r="502">
      <c r="A502" s="44" t="inlineStr">
        <is>
          <t>TL Cinsi Kuponsuz Senetler</t>
        </is>
      </c>
      <c r="B502" s="44" t="n">
        <v>2004</v>
      </c>
      <c r="C502" s="44" t="inlineStr">
        <is>
          <t>TRB101104T19</t>
        </is>
      </c>
      <c r="D502" s="44" t="inlineStr">
        <is>
          <t>nan</t>
        </is>
      </c>
      <c r="E502" s="44" t="inlineStr">
        <is>
          <t>nan</t>
        </is>
      </c>
      <c r="F502" s="44" t="n"/>
      <c r="G502" s="44" t="n"/>
      <c r="H502" s="15" t="n"/>
      <c r="I502" s="45" t="n">
        <v>2461437.8</v>
      </c>
      <c r="J502" s="45" t="n">
        <v>2221230.923</v>
      </c>
      <c r="K502" s="45" t="n">
        <v>1408290.41</v>
      </c>
      <c r="L502" s="45" t="n">
        <v>1271449.9362</v>
      </c>
      <c r="M502" s="45" t="n">
        <v>150637.4400496217</v>
      </c>
      <c r="N502" s="45" t="n">
        <v>136000</v>
      </c>
      <c r="O502" s="45" t="n">
        <v>375297.0769690861</v>
      </c>
      <c r="P502" s="45" t="n">
        <v>338829.46</v>
      </c>
      <c r="Q502" s="45" t="n">
        <v>32672.395</v>
      </c>
      <c r="R502" s="45" t="n">
        <v>29497.6185</v>
      </c>
      <c r="S502" s="45" t="n">
        <v>2047566.947018708</v>
      </c>
      <c r="T502" s="45" t="n">
        <v>1848607.97223875</v>
      </c>
      <c r="U502" s="15" t="n">
        <v>10.762553</v>
      </c>
      <c r="V502" s="15" t="n">
        <v>27.32943393235565</v>
      </c>
      <c r="W502" s="49" t="n">
        <v>90.283</v>
      </c>
    </row>
    <row r="503">
      <c r="A503" s="44" t="inlineStr">
        <is>
          <t>TL Cinsi Kuponsuz Senetler</t>
        </is>
      </c>
      <c r="B503" s="44" t="n">
        <v>2004</v>
      </c>
      <c r="C503" s="44" t="inlineStr">
        <is>
          <t>TRT250505T19</t>
        </is>
      </c>
      <c r="D503" s="44" t="inlineStr">
        <is>
          <t>nan</t>
        </is>
      </c>
      <c r="E503" s="44" t="inlineStr">
        <is>
          <t>nan</t>
        </is>
      </c>
      <c r="F503" s="44" t="n"/>
      <c r="G503" s="44" t="n"/>
      <c r="H503" s="15" t="n"/>
      <c r="I503" s="45" t="n">
        <v>4298070.52</v>
      </c>
      <c r="J503" s="45" t="n">
        <v>3383528.4997</v>
      </c>
      <c r="K503" s="45" t="n">
        <v>1759103.035</v>
      </c>
      <c r="L503" s="45" t="n">
        <v>1386842.4918</v>
      </c>
      <c r="M503" s="45" t="n">
        <v>162764.1492681194</v>
      </c>
      <c r="N503" s="45" t="n">
        <v>128320</v>
      </c>
      <c r="O503" s="45" t="n">
        <v>450322.8392399604</v>
      </c>
      <c r="P503" s="45" t="n">
        <v>355025.52</v>
      </c>
      <c r="Q503" s="45" t="n">
        <v>85716.75</v>
      </c>
      <c r="R503" s="45" t="n">
        <v>67577.3716</v>
      </c>
      <c r="S503" s="45" t="n">
        <v>2457906.77350808</v>
      </c>
      <c r="T503" s="45" t="n">
        <v>1937765.3834</v>
      </c>
      <c r="U503" s="15" t="n">
        <v>26.8423087</v>
      </c>
      <c r="V503" s="15" t="n">
        <v>28.05445841211878</v>
      </c>
      <c r="W503" s="49" t="n">
        <v>78.83799999999999</v>
      </c>
    </row>
    <row r="504">
      <c r="A504" s="44" t="inlineStr">
        <is>
          <t>TL Cinsi Kuponsuz Senetler</t>
        </is>
      </c>
      <c r="B504" s="44" t="n">
        <v>2004</v>
      </c>
      <c r="C504" s="44" t="inlineStr">
        <is>
          <t>TRB150904T18</t>
        </is>
      </c>
      <c r="D504" s="44" t="inlineStr">
        <is>
          <t>nan</t>
        </is>
      </c>
      <c r="E504" s="44" t="inlineStr">
        <is>
          <t>nan</t>
        </is>
      </c>
      <c r="F504" s="44" t="n"/>
      <c r="G504" s="44" t="n"/>
      <c r="H504" s="15" t="n"/>
      <c r="I504" s="45" t="n">
        <v>1499537.935</v>
      </c>
      <c r="J504" s="45" t="n">
        <v>1416947.187</v>
      </c>
      <c r="K504" s="45" t="n">
        <v>964204.91</v>
      </c>
      <c r="L504" s="45" t="n">
        <v>912000.0021</v>
      </c>
      <c r="M504" s="45" t="n">
        <v>0</v>
      </c>
      <c r="N504" s="45" t="n">
        <v>0</v>
      </c>
      <c r="O504" s="45" t="n">
        <v>0</v>
      </c>
      <c r="P504" s="45" t="n">
        <v>0</v>
      </c>
      <c r="Q504" s="45" t="n">
        <v>0</v>
      </c>
      <c r="R504" s="45" t="n">
        <v>0</v>
      </c>
      <c r="S504" s="45" t="n">
        <v>964204.91</v>
      </c>
      <c r="T504" s="45" t="n">
        <v>912000.0021</v>
      </c>
      <c r="U504" s="15" t="n">
        <v>5.7242223</v>
      </c>
      <c r="V504" s="15" t="n">
        <v>24.93899171227081</v>
      </c>
      <c r="W504" s="49" t="n">
        <v>94.586</v>
      </c>
    </row>
    <row r="505">
      <c r="A505" s="44" t="inlineStr">
        <is>
          <t>TL Cinsi Kuponsuz Senetler</t>
        </is>
      </c>
      <c r="B505" s="44" t="n">
        <v>2004</v>
      </c>
      <c r="C505" s="44" t="inlineStr">
        <is>
          <t>TRT060705T10</t>
        </is>
      </c>
      <c r="D505" s="44" t="inlineStr">
        <is>
          <t>nan</t>
        </is>
      </c>
      <c r="E505" s="44" t="inlineStr">
        <is>
          <t>nan</t>
        </is>
      </c>
      <c r="F505" s="44" t="n"/>
      <c r="G505" s="44" t="n"/>
      <c r="H505" s="15" t="n"/>
      <c r="I505" s="45" t="n">
        <v>1554322.15</v>
      </c>
      <c r="J505" s="45" t="n">
        <v>1179600.742</v>
      </c>
      <c r="K505" s="45" t="n">
        <v>676856.915</v>
      </c>
      <c r="L505" s="45" t="n">
        <v>515014.4307</v>
      </c>
      <c r="M505" s="45" t="n">
        <v>76226.52420192143</v>
      </c>
      <c r="N505" s="45" t="n">
        <v>58000</v>
      </c>
      <c r="O505" s="45" t="n">
        <v>189160.0799944802</v>
      </c>
      <c r="P505" s="45" t="n">
        <v>143930.013267</v>
      </c>
      <c r="Q505" s="45" t="n">
        <v>27985.65</v>
      </c>
      <c r="R505" s="45" t="n">
        <v>21294.0015</v>
      </c>
      <c r="S505" s="45" t="n">
        <v>1044081.259196402</v>
      </c>
      <c r="T505" s="45" t="n">
        <v>794431.7622271</v>
      </c>
      <c r="U505" s="15" t="n">
        <v>31.4248446</v>
      </c>
      <c r="V505" s="15" t="n">
        <v>29.48043670712199</v>
      </c>
      <c r="W505" s="49" t="n">
        <v>76.089</v>
      </c>
    </row>
    <row r="506">
      <c r="A506" s="44" t="inlineStr">
        <is>
          <t>TL Cinsi Kuponsuz Senetler</t>
        </is>
      </c>
      <c r="B506" s="44" t="n">
        <v>2004</v>
      </c>
      <c r="C506" s="44" t="inlineStr">
        <is>
          <t>TRB090205T12</t>
        </is>
      </c>
      <c r="D506" s="44" t="inlineStr">
        <is>
          <t>nan</t>
        </is>
      </c>
      <c r="E506" s="44" t="inlineStr">
        <is>
          <t>nan</t>
        </is>
      </c>
      <c r="F506" s="44" t="n"/>
      <c r="G506" s="44" t="n"/>
      <c r="H506" s="15" t="n"/>
      <c r="I506" s="45" t="n">
        <v>2432080.71</v>
      </c>
      <c r="J506" s="45" t="n">
        <v>2111915.1554</v>
      </c>
      <c r="K506" s="45" t="n">
        <v>1755330.245</v>
      </c>
      <c r="L506" s="45" t="n">
        <v>1524921.555</v>
      </c>
      <c r="M506" s="45" t="n">
        <v>360867.4632225982</v>
      </c>
      <c r="N506" s="45" t="n">
        <v>313500</v>
      </c>
      <c r="O506" s="45" t="n">
        <v>694244.0430968988</v>
      </c>
      <c r="P506" s="45" t="n">
        <v>603117.5699999999</v>
      </c>
      <c r="Q506" s="45" t="n">
        <v>0</v>
      </c>
      <c r="R506" s="45" t="n">
        <v>0</v>
      </c>
      <c r="S506" s="45" t="n">
        <v>2916778.401319497</v>
      </c>
      <c r="T506" s="45" t="n">
        <v>2533918.026321</v>
      </c>
      <c r="U506" s="15" t="n">
        <v>15.1095438</v>
      </c>
      <c r="V506" s="15" t="n">
        <v>26.62204763691298</v>
      </c>
      <c r="W506" s="49" t="n">
        <v>86.874</v>
      </c>
    </row>
    <row r="507">
      <c r="A507" s="44" t="inlineStr">
        <is>
          <t>TL Cinsi Kuponsuz Senetler</t>
        </is>
      </c>
      <c r="B507" s="44" t="n">
        <v>2004</v>
      </c>
      <c r="C507" s="44" t="inlineStr">
        <is>
          <t>TRT071205T12</t>
        </is>
      </c>
      <c r="D507" s="44" t="inlineStr">
        <is>
          <t>nan</t>
        </is>
      </c>
      <c r="E507" s="44" t="inlineStr">
        <is>
          <t>nan</t>
        </is>
      </c>
      <c r="F507" s="44" t="n"/>
      <c r="G507" s="44" t="n"/>
      <c r="H507" s="15" t="n"/>
      <c r="I507" s="45" t="n">
        <v>5532513.785</v>
      </c>
      <c r="J507" s="45" t="n">
        <v>3971258.2819</v>
      </c>
      <c r="K507" s="45" t="n">
        <v>2838665.18</v>
      </c>
      <c r="L507" s="45" t="n">
        <v>2041853.4015</v>
      </c>
      <c r="M507" s="45" t="n">
        <v>355901.5709717781</v>
      </c>
      <c r="N507" s="45" t="n">
        <v>256000</v>
      </c>
      <c r="O507" s="45" t="n">
        <v>683635.4789378563</v>
      </c>
      <c r="P507" s="45" t="n">
        <v>491739</v>
      </c>
      <c r="Q507" s="45" t="n">
        <v>136755.345</v>
      </c>
      <c r="R507" s="45" t="n">
        <v>98368.1198</v>
      </c>
      <c r="S507" s="45" t="n">
        <v>4210155.534909635</v>
      </c>
      <c r="T507" s="45" t="n">
        <v>3028366.413928</v>
      </c>
      <c r="U507" s="15" t="n">
        <v>39.0239465</v>
      </c>
      <c r="V507" s="15" t="n">
        <v>26.0519178090022</v>
      </c>
      <c r="W507" s="49" t="n">
        <v>71.93000000000001</v>
      </c>
    </row>
    <row r="508">
      <c r="A508" s="44" t="inlineStr">
        <is>
          <t>TL Cinsi Kuponsuz Senetler</t>
        </is>
      </c>
      <c r="B508" s="44" t="n">
        <v>2004</v>
      </c>
      <c r="C508" s="44" t="inlineStr">
        <is>
          <t>TRB201004T18</t>
        </is>
      </c>
      <c r="D508" s="44" t="inlineStr">
        <is>
          <t>nan</t>
        </is>
      </c>
      <c r="E508" s="44" t="inlineStr">
        <is>
          <t>nan</t>
        </is>
      </c>
      <c r="F508" s="44" t="n"/>
      <c r="G508" s="44" t="n"/>
      <c r="H508" s="15" t="n"/>
      <c r="I508" s="45" t="n">
        <v>3688407.72</v>
      </c>
      <c r="J508" s="45" t="n">
        <v>3485328.726</v>
      </c>
      <c r="K508" s="45" t="n">
        <v>2083483.745</v>
      </c>
      <c r="L508" s="45" t="n">
        <v>1970000.03551</v>
      </c>
      <c r="M508" s="45" t="n">
        <v>0</v>
      </c>
      <c r="N508" s="45" t="n">
        <v>0</v>
      </c>
      <c r="O508" s="45" t="n">
        <v>0</v>
      </c>
      <c r="P508" s="45" t="n">
        <v>0</v>
      </c>
      <c r="Q508" s="45" t="n">
        <v>0</v>
      </c>
      <c r="R508" s="45" t="n">
        <v>0</v>
      </c>
      <c r="S508" s="45" t="n">
        <v>2083483.745</v>
      </c>
      <c r="T508" s="45" t="n">
        <v>1970000.03551</v>
      </c>
      <c r="U508" s="15" t="n">
        <v>5.7605943</v>
      </c>
      <c r="V508" s="15" t="n">
        <v>25.11101006263217</v>
      </c>
      <c r="W508" s="49" t="n">
        <v>94.553</v>
      </c>
    </row>
    <row r="509">
      <c r="A509" s="44" t="inlineStr">
        <is>
          <t>TL Cinsi Kuponsuz Senetler</t>
        </is>
      </c>
      <c r="B509" s="44" t="n">
        <v>2004</v>
      </c>
      <c r="C509" s="44" t="inlineStr">
        <is>
          <t>TRT060705T10</t>
        </is>
      </c>
      <c r="D509" s="44" t="inlineStr">
        <is>
          <t>nan</t>
        </is>
      </c>
      <c r="E509" s="44" t="inlineStr">
        <is>
          <t>nan</t>
        </is>
      </c>
      <c r="F509" s="44" t="n"/>
      <c r="G509" s="44" t="n"/>
      <c r="H509" s="15" t="n"/>
      <c r="I509" s="45" t="n">
        <v>2257762.125</v>
      </c>
      <c r="J509" s="45" t="n">
        <v>1783942.9547</v>
      </c>
      <c r="K509" s="45" t="n">
        <v>1391090.615</v>
      </c>
      <c r="L509" s="45" t="n">
        <v>1099977.8512</v>
      </c>
      <c r="M509" s="45" t="n">
        <v>215623.537743604</v>
      </c>
      <c r="N509" s="45" t="n">
        <v>170500</v>
      </c>
      <c r="O509" s="45" t="n">
        <v>522346.4393661553</v>
      </c>
      <c r="P509" s="45" t="n">
        <v>413035</v>
      </c>
      <c r="Q509" s="45" t="n">
        <v>56627.32</v>
      </c>
      <c r="R509" s="45" t="n">
        <v>44776.92105</v>
      </c>
      <c r="S509" s="45" t="n">
        <v>2294312.277109759</v>
      </c>
      <c r="T509" s="45" t="n">
        <v>1814182.31638645</v>
      </c>
      <c r="U509" s="15" t="n">
        <v>26.4653296</v>
      </c>
      <c r="V509" s="15" t="n">
        <v>27.65867705074822</v>
      </c>
      <c r="W509" s="49" t="n">
        <v>79.07299999999999</v>
      </c>
    </row>
    <row r="510">
      <c r="A510" s="44" t="inlineStr">
        <is>
          <t>TL Cinsi Kuponsuz Senetler</t>
        </is>
      </c>
      <c r="B510" s="44" t="n">
        <v>2004</v>
      </c>
      <c r="C510" s="44" t="inlineStr">
        <is>
          <t>TRB101104T27</t>
        </is>
      </c>
      <c r="D510" s="44" t="inlineStr">
        <is>
          <t>nan</t>
        </is>
      </c>
      <c r="E510" s="44" t="inlineStr">
        <is>
          <t>nan</t>
        </is>
      </c>
      <c r="F510" s="44" t="n"/>
      <c r="G510" s="44" t="n"/>
      <c r="H510" s="15" t="n"/>
      <c r="I510" s="45" t="n">
        <v>5332228.695</v>
      </c>
      <c r="J510" s="45" t="n">
        <v>5045053.63291</v>
      </c>
      <c r="K510" s="45" t="n">
        <v>2724360.995</v>
      </c>
      <c r="L510" s="45" t="n">
        <v>2579000.00578</v>
      </c>
      <c r="M510" s="45" t="n">
        <v>0</v>
      </c>
      <c r="N510" s="45" t="n">
        <v>0</v>
      </c>
      <c r="O510" s="45" t="n">
        <v>0</v>
      </c>
      <c r="P510" s="45" t="n">
        <v>0</v>
      </c>
      <c r="Q510" s="45" t="n">
        <v>0</v>
      </c>
      <c r="R510" s="45" t="n">
        <v>0</v>
      </c>
      <c r="S510" s="45" t="n">
        <v>2724360.995</v>
      </c>
      <c r="T510" s="45" t="n">
        <v>2579000.00578</v>
      </c>
      <c r="U510" s="15" t="n">
        <v>5.6363315</v>
      </c>
      <c r="V510" s="15" t="n">
        <v>24.52405170372951</v>
      </c>
      <c r="W510" s="49" t="n">
        <v>94.664</v>
      </c>
    </row>
    <row r="511">
      <c r="A511" s="44" t="inlineStr">
        <is>
          <t>TL Cinsi Kuponsuz Senetler</t>
        </is>
      </c>
      <c r="B511" s="44" t="n">
        <v>2004</v>
      </c>
      <c r="C511" s="44" t="inlineStr">
        <is>
          <t>TRT060705T10</t>
        </is>
      </c>
      <c r="D511" s="44" t="inlineStr">
        <is>
          <t>nan</t>
        </is>
      </c>
      <c r="E511" s="44" t="inlineStr">
        <is>
          <t>nan</t>
        </is>
      </c>
      <c r="F511" s="44" t="n"/>
      <c r="G511" s="44" t="n"/>
      <c r="H511" s="15" t="n"/>
      <c r="I511" s="45" t="n">
        <v>2501797.64</v>
      </c>
      <c r="J511" s="45" t="n">
        <v>2024555.2856</v>
      </c>
      <c r="K511" s="45" t="n">
        <v>765691.51</v>
      </c>
      <c r="L511" s="45" t="n">
        <v>620307.9052</v>
      </c>
      <c r="M511" s="45" t="n">
        <v>917136.7558293113</v>
      </c>
      <c r="N511" s="45" t="n">
        <v>743000</v>
      </c>
      <c r="O511" s="45" t="n">
        <v>365396.9116067791</v>
      </c>
      <c r="P511" s="45" t="n">
        <v>296019</v>
      </c>
      <c r="Q511" s="45" t="n">
        <v>27856.49</v>
      </c>
      <c r="R511" s="45" t="n">
        <v>22567.37845</v>
      </c>
      <c r="S511" s="45" t="n">
        <v>2149782.982436091</v>
      </c>
      <c r="T511" s="45" t="n">
        <v>1741601.92997095</v>
      </c>
      <c r="U511" s="15" t="n">
        <v>23.437329</v>
      </c>
      <c r="V511" s="15" t="n">
        <v>26.23357109606523</v>
      </c>
      <c r="W511" s="49" t="n">
        <v>81.01300000000001</v>
      </c>
    </row>
    <row r="512">
      <c r="A512" s="44" t="inlineStr">
        <is>
          <t>TL Cinsi Kuponsuz Senetler</t>
        </is>
      </c>
      <c r="B512" s="44" t="n">
        <v>2004</v>
      </c>
      <c r="C512" s="44" t="inlineStr">
        <is>
          <t>TRT220206T14</t>
        </is>
      </c>
      <c r="D512" s="44" t="inlineStr">
        <is>
          <t>nan</t>
        </is>
      </c>
      <c r="E512" s="44" t="inlineStr">
        <is>
          <t>nan</t>
        </is>
      </c>
      <c r="F512" s="44" t="n"/>
      <c r="G512" s="44" t="n"/>
      <c r="H512" s="15" t="n"/>
      <c r="I512" s="45" t="n">
        <v>4700926.245</v>
      </c>
      <c r="J512" s="45" t="n">
        <v>3325153.1523</v>
      </c>
      <c r="K512" s="45" t="n">
        <v>1301810.285</v>
      </c>
      <c r="L512" s="45" t="n">
        <v>922865.5035</v>
      </c>
      <c r="M512" s="45" t="n">
        <v>1551590.380139643</v>
      </c>
      <c r="N512" s="45" t="n">
        <v>1100000</v>
      </c>
      <c r="O512" s="45" t="n">
        <v>750632.6257140842</v>
      </c>
      <c r="P512" s="45" t="n">
        <v>532161</v>
      </c>
      <c r="Q512" s="45" t="n">
        <v>63882.265</v>
      </c>
      <c r="R512" s="45" t="n">
        <v>45289.332</v>
      </c>
      <c r="S512" s="45" t="n">
        <v>3798963.810853727</v>
      </c>
      <c r="T512" s="45" t="n">
        <v>2693222.49588225</v>
      </c>
      <c r="U512" s="15" t="n">
        <v>41.0538004</v>
      </c>
      <c r="V512" s="15" t="n">
        <v>25.05472763481744</v>
      </c>
      <c r="W512" s="49" t="n">
        <v>70.895</v>
      </c>
    </row>
    <row r="513">
      <c r="A513" s="44" t="inlineStr">
        <is>
          <t>TL Cinsi Kuponsuz Senetler</t>
        </is>
      </c>
      <c r="B513" s="44" t="n">
        <v>2004</v>
      </c>
      <c r="C513" s="44" t="inlineStr">
        <is>
          <t>TRB230205T14</t>
        </is>
      </c>
      <c r="D513" s="44" t="inlineStr">
        <is>
          <t>nan</t>
        </is>
      </c>
      <c r="E513" s="44" t="inlineStr">
        <is>
          <t>nan</t>
        </is>
      </c>
      <c r="F513" s="44" t="n"/>
      <c r="G513" s="44" t="n"/>
      <c r="H513" s="15" t="n"/>
      <c r="I513" s="45" t="n">
        <v>2648956.465</v>
      </c>
      <c r="J513" s="45" t="n">
        <v>2364512.9292</v>
      </c>
      <c r="K513" s="45" t="n">
        <v>1728008.95</v>
      </c>
      <c r="L513" s="45" t="n">
        <v>1543572.5025</v>
      </c>
      <c r="M513" s="45" t="n">
        <v>615715.293248402</v>
      </c>
      <c r="N513" s="45" t="n">
        <v>550000</v>
      </c>
      <c r="O513" s="45" t="n">
        <v>1615648.873241013</v>
      </c>
      <c r="P513" s="45" t="n">
        <v>1443210.669</v>
      </c>
      <c r="Q513" s="45" t="n">
        <v>0</v>
      </c>
      <c r="R513" s="45" t="n">
        <v>0</v>
      </c>
      <c r="S513" s="45" t="n">
        <v>4246629.681489415</v>
      </c>
      <c r="T513" s="45" t="n">
        <v>3793380.84331755</v>
      </c>
      <c r="U513" s="15" t="n">
        <v>11.9486741</v>
      </c>
      <c r="V513" s="15" t="n">
        <v>24.28161119218102</v>
      </c>
      <c r="W513" s="49" t="n">
        <v>89.327</v>
      </c>
    </row>
    <row r="514">
      <c r="A514" s="44" t="inlineStr">
        <is>
          <t>TL Cinsi Kuponsuz Senetler</t>
        </is>
      </c>
      <c r="B514" s="44" t="n">
        <v>2004</v>
      </c>
      <c r="C514" s="44" t="inlineStr">
        <is>
          <t>TRT220206T14</t>
        </is>
      </c>
      <c r="D514" s="44" t="inlineStr">
        <is>
          <t>nan</t>
        </is>
      </c>
      <c r="E514" s="44" t="inlineStr">
        <is>
          <t>nan</t>
        </is>
      </c>
      <c r="F514" s="44" t="n"/>
      <c r="G514" s="44" t="n"/>
      <c r="H514" s="15" t="n"/>
      <c r="I514" s="45" t="n">
        <v>4303173.555</v>
      </c>
      <c r="J514" s="45" t="n">
        <v>3066524.6195</v>
      </c>
      <c r="K514" s="45" t="n">
        <v>2185396.36</v>
      </c>
      <c r="L514" s="45" t="n">
        <v>1559268.8134</v>
      </c>
      <c r="M514" s="45" t="n">
        <v>761047.8072572846</v>
      </c>
      <c r="N514" s="45" t="n">
        <v>543000</v>
      </c>
      <c r="O514" s="45" t="n">
        <v>694780.0235462305</v>
      </c>
      <c r="P514" s="45" t="n">
        <v>495718.599</v>
      </c>
      <c r="Q514" s="45" t="n">
        <v>106587.67</v>
      </c>
      <c r="R514" s="45" t="n">
        <v>76049.23695000001</v>
      </c>
      <c r="S514" s="45" t="n">
        <v>4000204.430803515</v>
      </c>
      <c r="T514" s="45" t="n">
        <v>2854116.2241193</v>
      </c>
      <c r="U514" s="15" t="n">
        <v>40.1552023</v>
      </c>
      <c r="V514" s="15" t="n">
        <v>24.88269809477308</v>
      </c>
      <c r="W514" s="49" t="n">
        <v>71.349</v>
      </c>
    </row>
    <row r="515">
      <c r="A515" s="44" t="inlineStr">
        <is>
          <t>TL Cinsi Kuponsuz Senetler</t>
        </is>
      </c>
      <c r="B515" s="44" t="n">
        <v>2004</v>
      </c>
      <c r="C515" s="44" t="inlineStr">
        <is>
          <t>TRT071205T12</t>
        </is>
      </c>
      <c r="D515" s="44" t="inlineStr">
        <is>
          <t>nan</t>
        </is>
      </c>
      <c r="E515" s="44" t="inlineStr">
        <is>
          <t>nan</t>
        </is>
      </c>
      <c r="F515" s="44" t="n"/>
      <c r="G515" s="44" t="n"/>
      <c r="H515" s="15" t="n"/>
      <c r="I515" s="45" t="n">
        <v>3709125.16</v>
      </c>
      <c r="J515" s="45" t="n">
        <v>2769858.8424</v>
      </c>
      <c r="K515" s="45" t="n">
        <v>1454758.03</v>
      </c>
      <c r="L515" s="45" t="n">
        <v>1087538.148</v>
      </c>
      <c r="M515" s="45" t="n">
        <v>87617.21310378962</v>
      </c>
      <c r="N515" s="45" t="n">
        <v>65500</v>
      </c>
      <c r="O515" s="45" t="n">
        <v>747321.3210803001</v>
      </c>
      <c r="P515" s="45" t="n">
        <v>558675</v>
      </c>
      <c r="Q515" s="45" t="n">
        <v>108378.475</v>
      </c>
      <c r="R515" s="45" t="n">
        <v>81020.49679999999</v>
      </c>
      <c r="S515" s="45" t="n">
        <v>2640015.04918409</v>
      </c>
      <c r="T515" s="45" t="n">
        <v>1973600.7380757</v>
      </c>
      <c r="U515" s="15" t="n">
        <v>33.766161</v>
      </c>
      <c r="V515" s="15" t="n">
        <v>26.20513061348981</v>
      </c>
      <c r="W515" s="49" t="n">
        <v>74.75700000000001</v>
      </c>
    </row>
    <row r="516">
      <c r="A516" s="44" t="inlineStr">
        <is>
          <t>TL Cinsi Kuponsuz Senetler</t>
        </is>
      </c>
      <c r="B516" s="44" t="n">
        <v>2004</v>
      </c>
      <c r="C516" s="44" t="inlineStr">
        <is>
          <t>TRB151204T13</t>
        </is>
      </c>
      <c r="D516" s="44" t="inlineStr">
        <is>
          <t>nan</t>
        </is>
      </c>
      <c r="E516" s="44" t="inlineStr">
        <is>
          <t>nan</t>
        </is>
      </c>
      <c r="F516" s="44" t="n"/>
      <c r="G516" s="44" t="n"/>
      <c r="H516" s="15" t="n"/>
      <c r="I516" s="45" t="n">
        <v>2675757.725</v>
      </c>
      <c r="J516" s="45" t="n">
        <v>2551253.3046</v>
      </c>
      <c r="K516" s="45" t="n">
        <v>1494388.54</v>
      </c>
      <c r="L516" s="45" t="n">
        <v>1426000.0063</v>
      </c>
      <c r="M516" s="45" t="n">
        <v>0</v>
      </c>
      <c r="N516" s="45" t="n">
        <v>0</v>
      </c>
      <c r="O516" s="45" t="n">
        <v>0</v>
      </c>
      <c r="P516" s="45" t="n">
        <v>0</v>
      </c>
      <c r="Q516" s="45" t="n">
        <v>0</v>
      </c>
      <c r="R516" s="45" t="n">
        <v>0</v>
      </c>
      <c r="S516" s="45" t="n">
        <v>1494388.54</v>
      </c>
      <c r="T516" s="45" t="n">
        <v>1426000.0063</v>
      </c>
      <c r="U516" s="15" t="n">
        <v>4.7958298</v>
      </c>
      <c r="V516" s="15" t="n">
        <v>20.60796880992479</v>
      </c>
      <c r="W516" s="49" t="n">
        <v>95.42400000000001</v>
      </c>
    </row>
    <row r="517">
      <c r="A517" s="44" t="inlineStr">
        <is>
          <t>TL Cinsi Kuponsuz Senetler</t>
        </is>
      </c>
      <c r="B517" s="44" t="n">
        <v>2004</v>
      </c>
      <c r="C517" s="44" t="inlineStr">
        <is>
          <t>TRB060405T13</t>
        </is>
      </c>
      <c r="D517" s="44" t="inlineStr">
        <is>
          <t>nan</t>
        </is>
      </c>
      <c r="E517" s="44" t="inlineStr">
        <is>
          <t>nan</t>
        </is>
      </c>
      <c r="F517" s="44" t="n"/>
      <c r="G517" s="44" t="n"/>
      <c r="H517" s="15" t="n"/>
      <c r="I517" s="45" t="n">
        <v>1452479.9</v>
      </c>
      <c r="J517" s="45" t="n">
        <v>1277137.7655</v>
      </c>
      <c r="K517" s="45" t="n">
        <v>1295041.18</v>
      </c>
      <c r="L517" s="45" t="n">
        <v>1139126.8058</v>
      </c>
      <c r="M517" s="45" t="n">
        <v>17050</v>
      </c>
      <c r="N517" s="45" t="n">
        <v>14997.3505</v>
      </c>
      <c r="O517" s="45" t="n">
        <v>284280.5449949409</v>
      </c>
      <c r="P517" s="45" t="n">
        <v>250056.010183</v>
      </c>
      <c r="Q517" s="45" t="n">
        <v>25876.91</v>
      </c>
      <c r="R517" s="45" t="n">
        <v>22761.58895</v>
      </c>
      <c r="S517" s="45" t="n">
        <v>1827086.409994941</v>
      </c>
      <c r="T517" s="45" t="n">
        <v>1607119.11070075</v>
      </c>
      <c r="U517" s="15" t="n">
        <v>13.6871833</v>
      </c>
      <c r="V517" s="15" t="n">
        <v>26.90076101094825</v>
      </c>
      <c r="W517" s="49" t="n">
        <v>87.961</v>
      </c>
    </row>
    <row r="518">
      <c r="A518" s="44" t="inlineStr">
        <is>
          <t>TL Cinsi Kuponsuz Senetler</t>
        </is>
      </c>
      <c r="B518" s="44" t="n">
        <v>2004</v>
      </c>
      <c r="C518" s="44" t="inlineStr">
        <is>
          <t>TRT120406T14</t>
        </is>
      </c>
      <c r="D518" s="44" t="inlineStr">
        <is>
          <t>nan</t>
        </is>
      </c>
      <c r="E518" s="44" t="inlineStr">
        <is>
          <t>nan</t>
        </is>
      </c>
      <c r="F518" s="44" t="n"/>
      <c r="G518" s="44" t="n"/>
      <c r="H518" s="15" t="n"/>
      <c r="I518" s="45" t="n">
        <v>4399988.29</v>
      </c>
      <c r="J518" s="45" t="n">
        <v>3036276.6589</v>
      </c>
      <c r="K518" s="45" t="n">
        <v>1396275.94</v>
      </c>
      <c r="L518" s="45" t="n">
        <v>966561.3074</v>
      </c>
      <c r="M518" s="45" t="n">
        <v>400150.2369120536</v>
      </c>
      <c r="N518" s="45" t="n">
        <v>277000</v>
      </c>
      <c r="O518" s="45" t="n">
        <v>1337044.2599922</v>
      </c>
      <c r="P518" s="45" t="n">
        <v>925555.5185370001</v>
      </c>
      <c r="Q518" s="45" t="n">
        <v>131912.225</v>
      </c>
      <c r="R518" s="45" t="n">
        <v>91314.9189</v>
      </c>
      <c r="S518" s="45" t="n">
        <v>3480373.166904253</v>
      </c>
      <c r="T518" s="45" t="n">
        <v>2409256.7720182</v>
      </c>
      <c r="U518" s="15" t="n">
        <v>44.4580834</v>
      </c>
      <c r="V518" s="15" t="n">
        <v>26.63399922347967</v>
      </c>
      <c r="W518" s="49" t="n">
        <v>69.224</v>
      </c>
    </row>
    <row r="519">
      <c r="A519" s="44" t="inlineStr">
        <is>
          <t>TL Cinsi Kuponsuz Senetler</t>
        </is>
      </c>
      <c r="B519" s="44" t="n">
        <v>2004</v>
      </c>
      <c r="C519" s="44" t="inlineStr">
        <is>
          <t>TRB270705T15</t>
        </is>
      </c>
      <c r="D519" s="44" t="inlineStr">
        <is>
          <t>nan</t>
        </is>
      </c>
      <c r="E519" s="44" t="inlineStr">
        <is>
          <t>nan</t>
        </is>
      </c>
      <c r="F519" s="44" t="n"/>
      <c r="G519" s="44" t="n"/>
      <c r="H519" s="15" t="n"/>
      <c r="I519" s="45" t="n">
        <v>3451864.97</v>
      </c>
      <c r="J519" s="45" t="n">
        <v>2911458.4675</v>
      </c>
      <c r="K519" s="45" t="n">
        <v>1121467.723</v>
      </c>
      <c r="L519" s="45" t="n">
        <v>946986.1395</v>
      </c>
      <c r="M519" s="45" t="n">
        <v>246441.3400914237</v>
      </c>
      <c r="N519" s="45" t="n">
        <v>208099.9964</v>
      </c>
      <c r="O519" s="45" t="n">
        <v>979551.4299957367</v>
      </c>
      <c r="P519" s="45" t="n">
        <v>827152.8185169999</v>
      </c>
      <c r="Q519" s="45" t="n">
        <v>0</v>
      </c>
      <c r="R519" s="45" t="n">
        <v>0</v>
      </c>
      <c r="S519" s="45" t="n">
        <v>2513380.423087161</v>
      </c>
      <c r="T519" s="45" t="n">
        <v>2122345.0617076</v>
      </c>
      <c r="U519" s="15" t="n">
        <v>18.4249353</v>
      </c>
      <c r="V519" s="15" t="n">
        <v>23.92171567593051</v>
      </c>
      <c r="W519" s="49" t="n">
        <v>84.44199999999999</v>
      </c>
    </row>
    <row r="520">
      <c r="A520" s="44" t="inlineStr">
        <is>
          <t>TL Cinsi Kuponsuz Senetler</t>
        </is>
      </c>
      <c r="B520" s="44" t="n">
        <v>2004</v>
      </c>
      <c r="C520" s="44" t="inlineStr">
        <is>
          <t>TRB190105T11</t>
        </is>
      </c>
      <c r="D520" s="44" t="inlineStr">
        <is>
          <t>nan</t>
        </is>
      </c>
      <c r="E520" s="44" t="inlineStr">
        <is>
          <t>nan</t>
        </is>
      </c>
      <c r="F520" s="44" t="n"/>
      <c r="G520" s="44" t="n"/>
      <c r="H520" s="15" t="n"/>
      <c r="I520" s="45" t="n">
        <v>2866738.18</v>
      </c>
      <c r="J520" s="45" t="n">
        <v>2731992.8</v>
      </c>
      <c r="K520" s="45" t="n">
        <v>2072761.61</v>
      </c>
      <c r="L520" s="45" t="n">
        <v>1976000.02995</v>
      </c>
      <c r="M520" s="45" t="n">
        <v>0</v>
      </c>
      <c r="N520" s="45" t="n">
        <v>0</v>
      </c>
      <c r="O520" s="45" t="n">
        <v>0</v>
      </c>
      <c r="P520" s="45" t="n">
        <v>0</v>
      </c>
      <c r="Q520" s="45" t="n">
        <v>0</v>
      </c>
      <c r="R520" s="45" t="n">
        <v>0</v>
      </c>
      <c r="S520" s="45" t="n">
        <v>2072761.61</v>
      </c>
      <c r="T520" s="45" t="n">
        <v>1976000.02995</v>
      </c>
      <c r="U520" s="15" t="n">
        <v>4.896841</v>
      </c>
      <c r="V520" s="15" t="n">
        <v>21.0736507432387</v>
      </c>
      <c r="W520" s="49" t="n">
        <v>95.33199999999999</v>
      </c>
    </row>
    <row r="521">
      <c r="A521" s="44" t="inlineStr">
        <is>
          <t>TL Cinsi Kuponsuz Senetler</t>
        </is>
      </c>
      <c r="B521" s="44" t="n">
        <v>2004</v>
      </c>
      <c r="C521" s="44" t="inlineStr">
        <is>
          <t>TRB100805T13</t>
        </is>
      </c>
      <c r="D521" s="44" t="inlineStr">
        <is>
          <t>nan</t>
        </is>
      </c>
      <c r="E521" s="44" t="inlineStr">
        <is>
          <t>nan</t>
        </is>
      </c>
      <c r="F521" s="44" t="n"/>
      <c r="G521" s="44" t="n"/>
      <c r="H521" s="15" t="n"/>
      <c r="I521" s="45" t="n">
        <v>2270808.65</v>
      </c>
      <c r="J521" s="45" t="n">
        <v>1922805.5314</v>
      </c>
      <c r="K521" s="45" t="n">
        <v>1385390.483</v>
      </c>
      <c r="L521" s="45" t="n">
        <v>1173769.9003</v>
      </c>
      <c r="M521" s="45" t="n">
        <v>47211.5668338743</v>
      </c>
      <c r="N521" s="45" t="n">
        <v>40000</v>
      </c>
      <c r="O521" s="45" t="n">
        <v>1483973.43759221</v>
      </c>
      <c r="P521" s="45" t="n">
        <v>1257296.495</v>
      </c>
      <c r="Q521" s="45" t="n">
        <v>0</v>
      </c>
      <c r="R521" s="45" t="n">
        <v>0</v>
      </c>
      <c r="S521" s="45" t="n">
        <v>3089115.217426084</v>
      </c>
      <c r="T521" s="45" t="n">
        <v>2617250.6815425</v>
      </c>
      <c r="U521" s="15" t="n">
        <v>18.0291369</v>
      </c>
      <c r="V521" s="15" t="n">
        <v>23.39666301076488</v>
      </c>
      <c r="W521" s="49" t="n">
        <v>84.72499999999999</v>
      </c>
    </row>
    <row r="522">
      <c r="A522" s="44" t="inlineStr">
        <is>
          <t>TL Cinsi Kuponsuz Senetler</t>
        </is>
      </c>
      <c r="B522" s="44" t="n">
        <v>2004</v>
      </c>
      <c r="C522" s="44" t="inlineStr">
        <is>
          <t>TRT120406T14</t>
        </is>
      </c>
      <c r="D522" s="44" t="inlineStr">
        <is>
          <t>nan</t>
        </is>
      </c>
      <c r="E522" s="44" t="inlineStr">
        <is>
          <t>nan</t>
        </is>
      </c>
      <c r="F522" s="44" t="n"/>
      <c r="G522" s="44" t="n"/>
      <c r="H522" s="15" t="n"/>
      <c r="I522" s="45" t="n">
        <v>2805592.15</v>
      </c>
      <c r="J522" s="45" t="n">
        <v>2079818.9134</v>
      </c>
      <c r="K522" s="45" t="n">
        <v>1783514.535</v>
      </c>
      <c r="L522" s="45" t="n">
        <v>1324257.4404</v>
      </c>
      <c r="M522" s="45" t="n">
        <v>889987.87010101</v>
      </c>
      <c r="N522" s="45" t="n">
        <v>660815.9935499999</v>
      </c>
      <c r="O522" s="45" t="n">
        <v>1141491.784511785</v>
      </c>
      <c r="P522" s="45" t="n">
        <v>847557.65</v>
      </c>
      <c r="Q522" s="45" t="n">
        <v>126299.08</v>
      </c>
      <c r="R522" s="45" t="n">
        <v>93777.06690000001</v>
      </c>
      <c r="S522" s="45" t="n">
        <v>4221198.279612795</v>
      </c>
      <c r="T522" s="45" t="n">
        <v>3134237.620775</v>
      </c>
      <c r="U522" s="15" t="n">
        <v>34.6803484</v>
      </c>
      <c r="V522" s="15" t="n">
        <v>22.59459297203663</v>
      </c>
      <c r="W522" s="49" t="n">
        <v>74.25</v>
      </c>
    </row>
    <row r="523">
      <c r="A523" s="44" t="inlineStr">
        <is>
          <t>TL Cinsi Kuponsuz Senetler</t>
        </is>
      </c>
      <c r="B523" s="44" t="n">
        <v>2004</v>
      </c>
      <c r="C523" s="44" t="inlineStr">
        <is>
          <t>TRB090205T20</t>
        </is>
      </c>
      <c r="D523" s="44" t="inlineStr">
        <is>
          <t>nan</t>
        </is>
      </c>
      <c r="E523" s="44" t="inlineStr">
        <is>
          <t>nan</t>
        </is>
      </c>
      <c r="F523" s="44" t="n"/>
      <c r="G523" s="44" t="n"/>
      <c r="H523" s="15" t="n"/>
      <c r="I523" s="45" t="n">
        <v>3918288.69</v>
      </c>
      <c r="J523" s="45" t="n">
        <v>3734520.221</v>
      </c>
      <c r="K523" s="45" t="n">
        <v>2334979.44</v>
      </c>
      <c r="L523" s="45" t="n">
        <v>2226000.00268</v>
      </c>
      <c r="M523" s="45" t="n">
        <v>0</v>
      </c>
      <c r="N523" s="45" t="n">
        <v>0</v>
      </c>
      <c r="O523" s="45" t="n">
        <v>0</v>
      </c>
      <c r="P523" s="45" t="n">
        <v>0</v>
      </c>
      <c r="Q523" s="45" t="n">
        <v>0</v>
      </c>
      <c r="R523" s="45" t="n">
        <v>0</v>
      </c>
      <c r="S523" s="45" t="n">
        <v>2334979.44</v>
      </c>
      <c r="T523" s="45" t="n">
        <v>2226000.00268</v>
      </c>
      <c r="U523" s="15" t="n">
        <v>4.8957519</v>
      </c>
      <c r="V523" s="15" t="n">
        <v>21.06862259336528</v>
      </c>
      <c r="W523" s="49" t="n">
        <v>95.333</v>
      </c>
    </row>
    <row r="524">
      <c r="A524" s="44" t="inlineStr">
        <is>
          <t>TL Cinsi Kuponsuz Senetler</t>
        </is>
      </c>
      <c r="B524" s="44" t="n">
        <v>2004</v>
      </c>
      <c r="C524" s="44" t="inlineStr">
        <is>
          <t>TRB280905T12</t>
        </is>
      </c>
      <c r="D524" s="44" t="inlineStr">
        <is>
          <t>nan</t>
        </is>
      </c>
      <c r="E524" s="44" t="inlineStr">
        <is>
          <t>nan</t>
        </is>
      </c>
      <c r="F524" s="44" t="n"/>
      <c r="G524" s="44" t="n"/>
      <c r="H524" s="15" t="n"/>
      <c r="I524" s="45" t="n">
        <v>2438122.885</v>
      </c>
      <c r="J524" s="45" t="n">
        <v>2019721.4103</v>
      </c>
      <c r="K524" s="45" t="n">
        <v>1368796.075</v>
      </c>
      <c r="L524" s="45" t="n">
        <v>1134671.918</v>
      </c>
      <c r="M524" s="45" t="n">
        <v>180949.6200057904</v>
      </c>
      <c r="N524" s="45" t="n">
        <v>149999.997</v>
      </c>
      <c r="O524" s="45" t="n">
        <v>786133.999996381</v>
      </c>
      <c r="P524" s="45" t="n">
        <v>651673.640637</v>
      </c>
      <c r="Q524" s="45" t="n">
        <v>98641.77499999999</v>
      </c>
      <c r="R524" s="45" t="n">
        <v>81770.085804</v>
      </c>
      <c r="S524" s="45" t="n">
        <v>2434521.470002171</v>
      </c>
      <c r="T524" s="45" t="n">
        <v>2018115.641441</v>
      </c>
      <c r="U524" s="15" t="n">
        <v>20.6336434</v>
      </c>
      <c r="V524" s="15" t="n">
        <v>23.62171479587061</v>
      </c>
      <c r="W524" s="49" t="n">
        <v>82.896</v>
      </c>
    </row>
    <row r="525">
      <c r="A525" s="44" t="inlineStr">
        <is>
          <t>TL Cinsi Kuponsuz Senetler</t>
        </is>
      </c>
      <c r="B525" s="44" t="n">
        <v>2004</v>
      </c>
      <c r="C525" s="44" t="inlineStr">
        <is>
          <t>TRT240506T19</t>
        </is>
      </c>
      <c r="D525" s="44" t="inlineStr">
        <is>
          <t>nan</t>
        </is>
      </c>
      <c r="E525" s="44" t="inlineStr">
        <is>
          <t>nan</t>
        </is>
      </c>
      <c r="F525" s="44" t="n"/>
      <c r="G525" s="44" t="n"/>
      <c r="H525" s="15" t="n"/>
      <c r="I525" s="45" t="n">
        <v>3465980.285</v>
      </c>
      <c r="J525" s="45" t="n">
        <v>2512630.0006</v>
      </c>
      <c r="K525" s="45" t="n">
        <v>3145924.505</v>
      </c>
      <c r="L525" s="45" t="n">
        <v>2281785.3233</v>
      </c>
      <c r="M525" s="45" t="n">
        <v>301939.8600598365</v>
      </c>
      <c r="N525" s="45" t="n">
        <v>218999.9999</v>
      </c>
      <c r="O525" s="45" t="n">
        <v>1231116.379990625</v>
      </c>
      <c r="P525" s="45" t="n">
        <v>892941.021571</v>
      </c>
      <c r="Q525" s="45" t="n">
        <v>190030.16</v>
      </c>
      <c r="R525" s="45" t="n">
        <v>137830.7753496</v>
      </c>
      <c r="S525" s="45" t="n">
        <v>4869010.905050461</v>
      </c>
      <c r="T525" s="45" t="n">
        <v>3531557.1201206</v>
      </c>
      <c r="U525" s="15" t="n">
        <v>37.8711868</v>
      </c>
      <c r="V525" s="15" t="n">
        <v>23.21335525424733</v>
      </c>
      <c r="W525" s="49" t="n">
        <v>72.53100000000001</v>
      </c>
    </row>
    <row r="526">
      <c r="A526" s="44" t="inlineStr">
        <is>
          <t>TL Cinsi Kuponsuz Senetler</t>
        </is>
      </c>
      <c r="B526" s="44" t="n">
        <v>2004</v>
      </c>
      <c r="C526" s="44" t="inlineStr">
        <is>
          <t>TRB290605T14</t>
        </is>
      </c>
      <c r="D526" s="44" t="inlineStr">
        <is>
          <t>nan</t>
        </is>
      </c>
      <c r="E526" s="44" t="inlineStr">
        <is>
          <t>nan</t>
        </is>
      </c>
      <c r="F526" s="44" t="n"/>
      <c r="G526" s="44" t="n"/>
      <c r="H526" s="15" t="n"/>
      <c r="I526" s="45" t="n">
        <v>2506374.695</v>
      </c>
      <c r="J526" s="45" t="n">
        <v>2213981.1674</v>
      </c>
      <c r="K526" s="45" t="n">
        <v>1381069.835</v>
      </c>
      <c r="L526" s="45" t="n">
        <v>1220640.6947</v>
      </c>
      <c r="M526" s="45" t="n">
        <v>113142.6500271542</v>
      </c>
      <c r="N526" s="45" t="n">
        <v>99999.99980000001</v>
      </c>
      <c r="O526" s="45" t="n">
        <v>1600243.819992306</v>
      </c>
      <c r="P526" s="45" t="n">
        <v>1414359.497862</v>
      </c>
      <c r="Q526" s="45" t="n">
        <v>0</v>
      </c>
      <c r="R526" s="45" t="n">
        <v>0</v>
      </c>
      <c r="S526" s="45" t="n">
        <v>3313295.180019461</v>
      </c>
      <c r="T526" s="45" t="n">
        <v>2928418.743642</v>
      </c>
      <c r="U526" s="15" t="n">
        <v>13.1430273</v>
      </c>
      <c r="V526" s="15" t="n">
        <v>23.01449860517326</v>
      </c>
      <c r="W526" s="49" t="n">
        <v>88.384</v>
      </c>
    </row>
    <row r="527">
      <c r="A527" s="44" t="inlineStr">
        <is>
          <t>TL Cinsi Kuponsuz Senetler</t>
        </is>
      </c>
      <c r="B527" s="44" t="n">
        <v>2004</v>
      </c>
      <c r="C527" s="44" t="inlineStr">
        <is>
          <t>TRT240506T19</t>
        </is>
      </c>
      <c r="D527" s="44" t="inlineStr">
        <is>
          <t>nan</t>
        </is>
      </c>
      <c r="E527" s="44" t="inlineStr">
        <is>
          <t>nan</t>
        </is>
      </c>
      <c r="F527" s="44" t="n"/>
      <c r="G527" s="44" t="n"/>
      <c r="H527" s="15" t="n"/>
      <c r="I527" s="45" t="n">
        <v>3965337.2</v>
      </c>
      <c r="J527" s="45" t="n">
        <v>2895941.8874</v>
      </c>
      <c r="K527" s="45" t="n">
        <v>2070401.26</v>
      </c>
      <c r="L527" s="45" t="n">
        <v>1513258.1617</v>
      </c>
      <c r="M527" s="45" t="n">
        <v>409180.4551238199</v>
      </c>
      <c r="N527" s="45" t="n">
        <v>299069.99465</v>
      </c>
      <c r="O527" s="45" t="n">
        <v>568959.7399972636</v>
      </c>
      <c r="P527" s="45" t="n">
        <v>415852.673964</v>
      </c>
      <c r="Q527" s="45" t="n">
        <v>119734.525</v>
      </c>
      <c r="R527" s="45" t="n">
        <v>87513.9643225</v>
      </c>
      <c r="S527" s="45" t="n">
        <v>3564501.525121083</v>
      </c>
      <c r="T527" s="45" t="n">
        <v>2605296.045477</v>
      </c>
      <c r="U527" s="15" t="n">
        <v>36.8174521</v>
      </c>
      <c r="V527" s="15" t="n">
        <v>23.24264174207393</v>
      </c>
      <c r="W527" s="49" t="n">
        <v>73.09</v>
      </c>
    </row>
    <row r="528">
      <c r="A528" s="44" t="inlineStr">
        <is>
          <t>TL Cinsi Kuponsuz Senetler</t>
        </is>
      </c>
      <c r="B528" s="44" t="n">
        <v>2004</v>
      </c>
      <c r="C528" s="44" t="inlineStr">
        <is>
          <t>TRB160305T12</t>
        </is>
      </c>
      <c r="D528" s="44" t="inlineStr">
        <is>
          <t>nan</t>
        </is>
      </c>
      <c r="E528" s="44" t="inlineStr">
        <is>
          <t>nan</t>
        </is>
      </c>
      <c r="F528" s="44" t="n"/>
      <c r="G528" s="44" t="n"/>
      <c r="H528" s="15" t="n"/>
      <c r="I528" s="45" t="n">
        <v>2738172.905</v>
      </c>
      <c r="J528" s="45" t="n">
        <v>2607854.29332</v>
      </c>
      <c r="K528" s="45" t="n">
        <v>1434908.815</v>
      </c>
      <c r="L528" s="45" t="n">
        <v>1366999.9854</v>
      </c>
      <c r="M528" s="45" t="n">
        <v>0</v>
      </c>
      <c r="N528" s="45" t="n">
        <v>0</v>
      </c>
      <c r="O528" s="45" t="n">
        <v>0</v>
      </c>
      <c r="P528" s="45" t="n">
        <v>0</v>
      </c>
      <c r="Q528" s="45" t="n">
        <v>0</v>
      </c>
      <c r="R528" s="45" t="n">
        <v>0</v>
      </c>
      <c r="S528" s="45" t="n">
        <v>1434908.815</v>
      </c>
      <c r="T528" s="45" t="n">
        <v>1366999.9854</v>
      </c>
      <c r="U528" s="15" t="n">
        <v>4.9677272</v>
      </c>
      <c r="V528" s="15" t="n">
        <v>21.4012546829325</v>
      </c>
      <c r="W528" s="49" t="n">
        <v>95.267</v>
      </c>
    </row>
    <row r="529">
      <c r="A529" s="44" t="inlineStr">
        <is>
          <t>TL Cinsi Kuponsuz Senetler</t>
        </is>
      </c>
      <c r="B529" s="44" t="n">
        <v>2004</v>
      </c>
      <c r="C529" s="44" t="inlineStr">
        <is>
          <t>TRB270705T15</t>
        </is>
      </c>
      <c r="D529" s="44" t="inlineStr">
        <is>
          <t>nan</t>
        </is>
      </c>
      <c r="E529" s="44" t="inlineStr">
        <is>
          <t>nan</t>
        </is>
      </c>
      <c r="F529" s="44" t="n"/>
      <c r="G529" s="44" t="n"/>
      <c r="H529" s="15" t="n"/>
      <c r="I529" s="45" t="n">
        <v>1320038.88</v>
      </c>
      <c r="J529" s="45" t="n">
        <v>1157839.0717</v>
      </c>
      <c r="K529" s="45" t="n">
        <v>995323.17</v>
      </c>
      <c r="L529" s="45" t="n">
        <v>873237.893</v>
      </c>
      <c r="M529" s="45" t="n">
        <v>45592.35501629927</v>
      </c>
      <c r="N529" s="45" t="n">
        <v>39999.99675</v>
      </c>
      <c r="O529" s="45" t="n">
        <v>603729.4749948708</v>
      </c>
      <c r="P529" s="45" t="n">
        <v>529676.017592</v>
      </c>
      <c r="Q529" s="45" t="n">
        <v>34845.83</v>
      </c>
      <c r="R529" s="45" t="n">
        <v>30571.6404922</v>
      </c>
      <c r="S529" s="45" t="n">
        <v>1848071.20501117</v>
      </c>
      <c r="T529" s="45" t="n">
        <v>1621387.8540367</v>
      </c>
      <c r="U529" s="15" t="n">
        <v>13.980758</v>
      </c>
      <c r="V529" s="15" t="n">
        <v>23.69474619586738</v>
      </c>
      <c r="W529" s="49" t="n">
        <v>87.73399999999999</v>
      </c>
    </row>
    <row r="530">
      <c r="A530" s="44" t="inlineStr">
        <is>
          <t>TL Cinsi Kuponsuz Senetler</t>
        </is>
      </c>
      <c r="B530" s="44" t="n">
        <v>2004</v>
      </c>
      <c r="C530" s="44" t="inlineStr">
        <is>
          <t>TRT050706T10</t>
        </is>
      </c>
      <c r="D530" s="44" t="inlineStr">
        <is>
          <t>nan</t>
        </is>
      </c>
      <c r="E530" s="44" t="inlineStr">
        <is>
          <t>nan</t>
        </is>
      </c>
      <c r="F530" s="44" t="n"/>
      <c r="G530" s="44" t="n"/>
      <c r="H530" s="15" t="n"/>
      <c r="I530" s="45" t="n">
        <v>4732097.255</v>
      </c>
      <c r="J530" s="45" t="n">
        <v>3409941.5185</v>
      </c>
      <c r="K530" s="45" t="n">
        <v>3753721.21</v>
      </c>
      <c r="L530" s="45" t="n">
        <v>2706703.6018</v>
      </c>
      <c r="M530" s="45" t="n">
        <v>1789701.415951295</v>
      </c>
      <c r="N530" s="45" t="n">
        <v>1290500</v>
      </c>
      <c r="O530" s="45" t="n">
        <v>1941104.219991124</v>
      </c>
      <c r="P530" s="45" t="n">
        <v>1399672.019909</v>
      </c>
      <c r="Q530" s="45" t="n">
        <v>277823.57</v>
      </c>
      <c r="R530" s="45" t="n">
        <v>200330.2416199</v>
      </c>
      <c r="S530" s="45" t="n">
        <v>8357682.73594242</v>
      </c>
      <c r="T530" s="45" t="n">
        <v>6026482.139311301</v>
      </c>
      <c r="U530" s="15" t="n">
        <v>38.6823887</v>
      </c>
      <c r="V530" s="15" t="n">
        <v>23.3599476858928</v>
      </c>
      <c r="W530" s="49" t="n">
        <v>72.107</v>
      </c>
    </row>
    <row r="531">
      <c r="A531" s="44" t="inlineStr">
        <is>
          <t>TL Cinsi Kuponsuz Senetler</t>
        </is>
      </c>
      <c r="B531" s="44" t="n">
        <v>2003</v>
      </c>
      <c r="C531" s="44" t="inlineStr">
        <is>
          <t>TRB180603T19</t>
        </is>
      </c>
      <c r="D531" s="44" t="inlineStr">
        <is>
          <t>nan</t>
        </is>
      </c>
      <c r="E531" s="44" t="inlineStr">
        <is>
          <t>nan</t>
        </is>
      </c>
      <c r="F531" s="44" t="n"/>
      <c r="G531" s="44" t="n"/>
      <c r="H531" s="15" t="n"/>
      <c r="I531" s="45" t="n">
        <v>1162495.445</v>
      </c>
      <c r="J531" s="45" t="n">
        <v>955586.394</v>
      </c>
      <c r="K531" s="45" t="n">
        <v>1052233.9</v>
      </c>
      <c r="L531" s="45" t="n">
        <v>861674.3407099999</v>
      </c>
      <c r="M531" s="45" t="n">
        <v>134326.5355965319</v>
      </c>
      <c r="N531" s="45" t="n">
        <v>110000</v>
      </c>
      <c r="O531" s="45" t="n">
        <v>0</v>
      </c>
      <c r="P531" s="45" t="n">
        <v>0</v>
      </c>
      <c r="Q531" s="45" t="n">
        <v>14051.825</v>
      </c>
      <c r="R531" s="45" t="n">
        <v>11507.039493</v>
      </c>
      <c r="S531" s="45" t="n">
        <v>1369368.190596532</v>
      </c>
      <c r="T531" s="45" t="n">
        <v>1121375.61128</v>
      </c>
      <c r="U531" s="15" t="n">
        <v>22.11503236048358</v>
      </c>
      <c r="V531" s="15" t="n">
        <v>57.09909481577864</v>
      </c>
      <c r="W531" s="49" t="n">
        <v>81.89</v>
      </c>
    </row>
    <row r="532">
      <c r="A532" s="44" t="inlineStr">
        <is>
          <t>TL Cinsi Kuponsuz Senetler</t>
        </is>
      </c>
      <c r="B532" s="44" t="n">
        <v>2003</v>
      </c>
      <c r="C532" s="44" t="inlineStr">
        <is>
          <t>TRB081003T15</t>
        </is>
      </c>
      <c r="D532" s="44" t="inlineStr">
        <is>
          <t>nan</t>
        </is>
      </c>
      <c r="E532" s="44" t="inlineStr">
        <is>
          <t>nan</t>
        </is>
      </c>
      <c r="F532" s="44" t="n"/>
      <c r="G532" s="44" t="n"/>
      <c r="H532" s="15" t="n"/>
      <c r="I532" s="45" t="n">
        <v>1013277.35</v>
      </c>
      <c r="J532" s="45" t="n">
        <v>719787.5550000001</v>
      </c>
      <c r="K532" s="45" t="n">
        <v>896666.47</v>
      </c>
      <c r="L532" s="45" t="n">
        <v>631459.4281681</v>
      </c>
      <c r="M532" s="45" t="n">
        <v>511196.6261022678</v>
      </c>
      <c r="N532" s="45" t="n">
        <v>360000</v>
      </c>
      <c r="O532" s="45" t="n">
        <v>0</v>
      </c>
      <c r="P532" s="45" t="n">
        <v>0</v>
      </c>
      <c r="Q532" s="45" t="n">
        <v>31104.72</v>
      </c>
      <c r="R532" s="45" t="n">
        <v>21904.876966</v>
      </c>
      <c r="S532" s="45" t="n">
        <v>1553084.991102268</v>
      </c>
      <c r="T532" s="45" t="n">
        <v>1093729.04328435</v>
      </c>
      <c r="U532" s="15" t="n">
        <v>41.99906280618548</v>
      </c>
      <c r="V532" s="15" t="n">
        <v>59.60529824705063</v>
      </c>
      <c r="W532" s="49" t="n">
        <v>70.423</v>
      </c>
    </row>
    <row r="533">
      <c r="A533" s="44" t="inlineStr">
        <is>
          <t>TL Cinsi Kuponsuz Senetler</t>
        </is>
      </c>
      <c r="B533" s="44" t="n">
        <v>2003</v>
      </c>
      <c r="C533" s="44" t="inlineStr">
        <is>
          <t>TRB180603T19</t>
        </is>
      </c>
      <c r="D533" s="44" t="inlineStr">
        <is>
          <t>nan</t>
        </is>
      </c>
      <c r="E533" s="44" t="inlineStr">
        <is>
          <t>nan</t>
        </is>
      </c>
      <c r="F533" s="44" t="n"/>
      <c r="G533" s="44" t="n"/>
      <c r="H533" s="15" t="n"/>
      <c r="I533" s="45" t="n">
        <v>1615874.41</v>
      </c>
      <c r="J533" s="45" t="n">
        <v>1335993.874</v>
      </c>
      <c r="K533" s="45" t="n">
        <v>1091371.955</v>
      </c>
      <c r="L533" s="45" t="n">
        <v>901756.9915383001</v>
      </c>
      <c r="M533" s="45" t="n">
        <v>121027.2795488103</v>
      </c>
      <c r="N533" s="45" t="n">
        <v>100000</v>
      </c>
      <c r="O533" s="45" t="n">
        <v>0</v>
      </c>
      <c r="P533" s="45" t="n">
        <v>0</v>
      </c>
      <c r="Q533" s="45" t="n">
        <v>41746.69</v>
      </c>
      <c r="R533" s="45" t="n">
        <v>34493.620079</v>
      </c>
      <c r="S533" s="45" t="n">
        <v>1254145.92454881</v>
      </c>
      <c r="T533" s="45" t="n">
        <v>1036250.6116173</v>
      </c>
      <c r="U533" s="15" t="n">
        <v>21.0272795488103</v>
      </c>
      <c r="V533" s="15" t="n">
        <v>57.00226363416658</v>
      </c>
      <c r="W533" s="49" t="n">
        <v>82.626</v>
      </c>
    </row>
    <row r="534">
      <c r="A534" s="44" t="inlineStr">
        <is>
          <t>TL Cinsi Kuponsuz Senetler</t>
        </is>
      </c>
      <c r="B534" s="44" t="n">
        <v>2003</v>
      </c>
      <c r="C534" s="44" t="inlineStr">
        <is>
          <t>TRB240403T13</t>
        </is>
      </c>
      <c r="D534" s="44" t="inlineStr">
        <is>
          <t>nan</t>
        </is>
      </c>
      <c r="E534" s="44" t="inlineStr">
        <is>
          <t>nan</t>
        </is>
      </c>
      <c r="F534" s="44" t="n"/>
      <c r="G534" s="44" t="n"/>
      <c r="H534" s="15" t="n"/>
      <c r="I534" s="45" t="n">
        <v>2346807.89</v>
      </c>
      <c r="J534" s="45" t="n">
        <v>2119006.774</v>
      </c>
      <c r="K534" s="45" t="n">
        <v>1626439.96</v>
      </c>
      <c r="L534" s="45" t="n">
        <v>1467000.0507212</v>
      </c>
      <c r="M534" s="45" t="n">
        <v>0</v>
      </c>
      <c r="N534" s="45" t="n">
        <v>0</v>
      </c>
      <c r="O534" s="45" t="n">
        <v>0</v>
      </c>
      <c r="P534" s="45" t="n">
        <v>0</v>
      </c>
      <c r="Q534" s="45" t="n">
        <v>0</v>
      </c>
      <c r="R534" s="45" t="n">
        <v>0</v>
      </c>
      <c r="S534" s="45" t="n">
        <v>1626439.96</v>
      </c>
      <c r="T534" s="45" t="n">
        <v>1467000.0507212</v>
      </c>
      <c r="U534" s="15" t="n">
        <v>10.86843243123385</v>
      </c>
      <c r="V534" s="15" t="n">
        <v>50.41233678745136</v>
      </c>
      <c r="W534" s="49" t="n">
        <v>90.197</v>
      </c>
    </row>
    <row r="535">
      <c r="A535" s="44" t="inlineStr">
        <is>
          <t>TL Cinsi Kuponsuz Senetler</t>
        </is>
      </c>
      <c r="B535" s="44" t="n">
        <v>2003</v>
      </c>
      <c r="C535" s="44" t="inlineStr">
        <is>
          <t>TRT280104T11</t>
        </is>
      </c>
      <c r="D535" s="44" t="inlineStr">
        <is>
          <t>nan</t>
        </is>
      </c>
      <c r="E535" s="44" t="inlineStr">
        <is>
          <t>nan</t>
        </is>
      </c>
      <c r="F535" s="44" t="n"/>
      <c r="G535" s="44" t="n"/>
      <c r="H535" s="15" t="n"/>
      <c r="I535" s="45" t="n">
        <v>5763509.27</v>
      </c>
      <c r="J535" s="45" t="n">
        <v>3606803.537</v>
      </c>
      <c r="K535" s="45" t="n">
        <v>4380353.855</v>
      </c>
      <c r="L535" s="45" t="n">
        <v>2739254.28322425</v>
      </c>
      <c r="M535" s="45" t="n">
        <v>799552.2507395858</v>
      </c>
      <c r="N535" s="45" t="n">
        <v>500000</v>
      </c>
      <c r="O535" s="45" t="n">
        <v>0</v>
      </c>
      <c r="P535" s="45" t="n">
        <v>0</v>
      </c>
      <c r="Q535" s="45" t="n">
        <v>174951.9</v>
      </c>
      <c r="R535" s="45" t="n">
        <v>109406.170668</v>
      </c>
      <c r="S535" s="45" t="n">
        <v>5598983.005739586</v>
      </c>
      <c r="T535" s="45" t="n">
        <v>3501324.02264225</v>
      </c>
      <c r="U535" s="15" t="n">
        <v>59.91045014791716</v>
      </c>
      <c r="V535" s="15" t="n">
        <v>58.50030887459088</v>
      </c>
      <c r="W535" s="49" t="n">
        <v>62.535</v>
      </c>
    </row>
    <row r="536">
      <c r="A536" s="44" t="inlineStr">
        <is>
          <t>TL Cinsi Kuponsuz Senetler</t>
        </is>
      </c>
      <c r="B536" s="44" t="n">
        <v>2003</v>
      </c>
      <c r="C536" s="44" t="inlineStr">
        <is>
          <t>TRB140503T14</t>
        </is>
      </c>
      <c r="D536" s="44" t="inlineStr">
        <is>
          <t>nan</t>
        </is>
      </c>
      <c r="E536" s="44" t="inlineStr">
        <is>
          <t>nan</t>
        </is>
      </c>
      <c r="F536" s="44" t="n"/>
      <c r="G536" s="44" t="n"/>
      <c r="H536" s="15" t="n"/>
      <c r="I536" s="45" t="n">
        <v>1886914.65</v>
      </c>
      <c r="J536" s="45" t="n">
        <v>1701337.897</v>
      </c>
      <c r="K536" s="45" t="n">
        <v>1059380.79</v>
      </c>
      <c r="L536" s="45" t="n">
        <v>955000</v>
      </c>
      <c r="M536" s="45" t="n">
        <v>0</v>
      </c>
      <c r="N536" s="45" t="n">
        <v>0</v>
      </c>
      <c r="O536" s="45" t="n">
        <v>0</v>
      </c>
      <c r="P536" s="45" t="n">
        <v>0</v>
      </c>
      <c r="Q536" s="45" t="n">
        <v>0</v>
      </c>
      <c r="R536" s="45" t="n">
        <v>0</v>
      </c>
      <c r="S536" s="45" t="n">
        <v>1059380.79</v>
      </c>
      <c r="T536" s="45" t="n">
        <v>955000</v>
      </c>
      <c r="U536" s="15" t="n">
        <v>10.92992556601995</v>
      </c>
      <c r="V536" s="15" t="n">
        <v>47.00219616061552</v>
      </c>
      <c r="W536" s="49" t="n">
        <v>90.14700000000001</v>
      </c>
    </row>
    <row r="537">
      <c r="A537" s="44" t="inlineStr">
        <is>
          <t>TL Cinsi Kuponsuz Senetler</t>
        </is>
      </c>
      <c r="B537" s="44" t="n">
        <v>2003</v>
      </c>
      <c r="C537" s="44" t="inlineStr">
        <is>
          <t>TRT280104T11</t>
        </is>
      </c>
      <c r="D537" s="44" t="inlineStr">
        <is>
          <t>nan</t>
        </is>
      </c>
      <c r="E537" s="44" t="inlineStr">
        <is>
          <t>nan</t>
        </is>
      </c>
      <c r="F537" s="44" t="n"/>
      <c r="G537" s="44" t="n"/>
      <c r="H537" s="15" t="n"/>
      <c r="I537" s="45" t="n">
        <v>3980361.3</v>
      </c>
      <c r="J537" s="45" t="n">
        <v>2485383.739</v>
      </c>
      <c r="K537" s="45" t="n">
        <v>3780227.725</v>
      </c>
      <c r="L537" s="45" t="n">
        <v>2406303.95834875</v>
      </c>
      <c r="M537" s="45" t="n">
        <v>942581.1012489198</v>
      </c>
      <c r="N537" s="45" t="n">
        <v>600000</v>
      </c>
      <c r="O537" s="45" t="n">
        <v>0</v>
      </c>
      <c r="P537" s="45" t="n">
        <v>0</v>
      </c>
      <c r="Q537" s="45" t="n">
        <v>166535.87</v>
      </c>
      <c r="R537" s="45" t="n">
        <v>106008.408049</v>
      </c>
      <c r="S537" s="45" t="n">
        <v>4889344.69624892</v>
      </c>
      <c r="T537" s="45" t="n">
        <v>3112312.36639775</v>
      </c>
      <c r="U537" s="15" t="n">
        <v>57.09685020815331</v>
      </c>
      <c r="V537" s="15" t="n">
        <v>58.49439143340409</v>
      </c>
      <c r="W537" s="49" t="n">
        <v>63.655</v>
      </c>
    </row>
    <row r="538">
      <c r="A538" s="44" t="inlineStr">
        <is>
          <t>TL Cinsi Kuponsuz Senetler</t>
        </is>
      </c>
      <c r="B538" s="44" t="n">
        <v>2003</v>
      </c>
      <c r="C538" s="44" t="inlineStr">
        <is>
          <t>TRB160703T10</t>
        </is>
      </c>
      <c r="D538" s="44" t="inlineStr">
        <is>
          <t>nan</t>
        </is>
      </c>
      <c r="E538" s="44" t="inlineStr">
        <is>
          <t>nan</t>
        </is>
      </c>
      <c r="F538" s="44" t="n"/>
      <c r="G538" s="44" t="n"/>
      <c r="H538" s="15" t="n"/>
      <c r="I538" s="45" t="n">
        <v>1758325.64</v>
      </c>
      <c r="J538" s="45" t="n">
        <v>1456238.798</v>
      </c>
      <c r="K538" s="45" t="n">
        <v>1423066.97</v>
      </c>
      <c r="L538" s="45" t="n">
        <v>1178014.837766</v>
      </c>
      <c r="M538" s="45" t="n">
        <v>449383.9091568012</v>
      </c>
      <c r="N538" s="45" t="n">
        <v>372000</v>
      </c>
      <c r="O538" s="45" t="n">
        <v>0</v>
      </c>
      <c r="P538" s="45" t="n">
        <v>0</v>
      </c>
      <c r="Q538" s="45" t="n">
        <v>0</v>
      </c>
      <c r="R538" s="45" t="n">
        <v>0</v>
      </c>
      <c r="S538" s="45" t="n">
        <v>1872450.879156801</v>
      </c>
      <c r="T538" s="45" t="n">
        <v>1550014.837766</v>
      </c>
      <c r="U538" s="15" t="n">
        <v>20.80212611741967</v>
      </c>
      <c r="V538" s="15" t="n">
        <v>53.30626933334226</v>
      </c>
      <c r="W538" s="49" t="n">
        <v>82.78</v>
      </c>
    </row>
    <row r="539">
      <c r="A539" s="44" t="inlineStr">
        <is>
          <t>TL Cinsi Kuponsuz Senetler</t>
        </is>
      </c>
      <c r="B539" s="44" t="n">
        <v>2003</v>
      </c>
      <c r="C539" s="44" t="inlineStr">
        <is>
          <t>TRT030304T26</t>
        </is>
      </c>
      <c r="D539" s="44" t="inlineStr">
        <is>
          <t>nan</t>
        </is>
      </c>
      <c r="E539" s="44" t="inlineStr">
        <is>
          <t>nan</t>
        </is>
      </c>
      <c r="F539" s="44" t="n"/>
      <c r="G539" s="44" t="n"/>
      <c r="H539" s="15" t="n"/>
      <c r="I539" s="45" t="n">
        <v>2715833.015</v>
      </c>
      <c r="J539" s="45" t="n">
        <v>1730058.097</v>
      </c>
      <c r="K539" s="45" t="n">
        <v>2261597.13</v>
      </c>
      <c r="L539" s="45" t="n">
        <v>1437471.135828</v>
      </c>
      <c r="M539" s="45" t="n">
        <v>0</v>
      </c>
      <c r="N539" s="45" t="n">
        <v>0</v>
      </c>
      <c r="O539" s="45" t="n">
        <v>0</v>
      </c>
      <c r="P539" s="45" t="n">
        <v>0</v>
      </c>
      <c r="Q539" s="45" t="n">
        <v>96086.855</v>
      </c>
      <c r="R539" s="45" t="n">
        <v>61072.803038</v>
      </c>
      <c r="S539" s="45" t="n">
        <v>2847912.52</v>
      </c>
      <c r="T539" s="45" t="n">
        <v>1810133.195712</v>
      </c>
      <c r="U539" s="15" t="n">
        <v>57.33165512901195</v>
      </c>
      <c r="V539" s="15" t="n">
        <v>55.99209829315863</v>
      </c>
      <c r="W539" s="49" t="n">
        <v>63.56</v>
      </c>
    </row>
    <row r="540">
      <c r="A540" s="44" t="inlineStr">
        <is>
          <t>TL Cinsi Kuponsuz Senetler</t>
        </is>
      </c>
      <c r="B540" s="44" t="n">
        <v>2003</v>
      </c>
      <c r="C540" s="44" t="inlineStr">
        <is>
          <t>TRB081003T15</t>
        </is>
      </c>
      <c r="D540" s="44" t="inlineStr">
        <is>
          <t>nan</t>
        </is>
      </c>
      <c r="E540" s="44" t="inlineStr">
        <is>
          <t>nan</t>
        </is>
      </c>
      <c r="F540" s="44" t="n"/>
      <c r="G540" s="44" t="n"/>
      <c r="H540" s="15" t="n"/>
      <c r="I540" s="45" t="n">
        <v>589737.215</v>
      </c>
      <c r="J540" s="45" t="n">
        <v>451049.919</v>
      </c>
      <c r="K540" s="45" t="n">
        <v>477658.385</v>
      </c>
      <c r="L540" s="45" t="n">
        <v>362972.6067615</v>
      </c>
      <c r="M540" s="45" t="n">
        <v>30239.50519805237</v>
      </c>
      <c r="N540" s="45" t="n">
        <v>22979</v>
      </c>
      <c r="O540" s="45" t="n">
        <v>0</v>
      </c>
      <c r="P540" s="45" t="n">
        <v>0</v>
      </c>
      <c r="Q540" s="45" t="n">
        <v>4622.63</v>
      </c>
      <c r="R540" s="45" t="n">
        <v>3512.736537</v>
      </c>
      <c r="S540" s="45" t="n">
        <v>618716.9151980524</v>
      </c>
      <c r="T540" s="45" t="n">
        <v>470162.983859</v>
      </c>
      <c r="U540" s="15" t="n">
        <v>31.59626266614028</v>
      </c>
      <c r="V540" s="15" t="n">
        <v>58.49714653855953</v>
      </c>
      <c r="W540" s="49" t="n">
        <v>75.98999999999999</v>
      </c>
    </row>
    <row r="541">
      <c r="A541" s="44" t="inlineStr">
        <is>
          <t>TL Cinsi Kuponsuz Senetler</t>
        </is>
      </c>
      <c r="B541" s="44" t="n">
        <v>2003</v>
      </c>
      <c r="C541" s="44" t="inlineStr">
        <is>
          <t>TRT030304T26</t>
        </is>
      </c>
      <c r="D541" s="44" t="inlineStr">
        <is>
          <t>nan</t>
        </is>
      </c>
      <c r="E541" s="44" t="inlineStr">
        <is>
          <t>nan</t>
        </is>
      </c>
      <c r="F541" s="44" t="n"/>
      <c r="G541" s="44" t="n"/>
      <c r="H541" s="15" t="n"/>
      <c r="I541" s="45" t="n">
        <v>3702851.005</v>
      </c>
      <c r="J541" s="45" t="n">
        <v>2286974.601</v>
      </c>
      <c r="K541" s="45" t="n">
        <v>2682085.025</v>
      </c>
      <c r="L541" s="45" t="n">
        <v>1650501.4826845</v>
      </c>
      <c r="M541" s="45" t="n">
        <v>470116.025870194</v>
      </c>
      <c r="N541" s="45" t="n">
        <v>289300</v>
      </c>
      <c r="O541" s="45" t="n">
        <v>0</v>
      </c>
      <c r="P541" s="45" t="n">
        <v>0</v>
      </c>
      <c r="Q541" s="45" t="n">
        <v>109457.08</v>
      </c>
      <c r="R541" s="45" t="n">
        <v>67357.69789</v>
      </c>
      <c r="S541" s="45" t="n">
        <v>3862448.585870194</v>
      </c>
      <c r="T541" s="45" t="n">
        <v>2376873.6107724</v>
      </c>
      <c r="U541" s="15" t="n">
        <v>62.5012187591407</v>
      </c>
      <c r="V541" s="15" t="n">
        <v>62.5012187591407</v>
      </c>
      <c r="W541" s="49" t="n">
        <v>61.538</v>
      </c>
    </row>
    <row r="542">
      <c r="A542" s="44" t="inlineStr">
        <is>
          <t>TL Cinsi Kuponsuz Senetler</t>
        </is>
      </c>
      <c r="B542" s="44" t="n">
        <v>2003</v>
      </c>
      <c r="C542" s="44" t="inlineStr">
        <is>
          <t>TRB180603T27</t>
        </is>
      </c>
      <c r="D542" s="44" t="inlineStr">
        <is>
          <t>nan</t>
        </is>
      </c>
      <c r="E542" s="44" t="inlineStr">
        <is>
          <t>nan</t>
        </is>
      </c>
      <c r="F542" s="44" t="n"/>
      <c r="G542" s="44" t="n"/>
      <c r="H542" s="15" t="n"/>
      <c r="I542" s="45" t="n">
        <v>1269318.575</v>
      </c>
      <c r="J542" s="45" t="n">
        <v>1140068.493</v>
      </c>
      <c r="K542" s="45" t="n">
        <v>1193003.455</v>
      </c>
      <c r="L542" s="45" t="n">
        <v>1063514.8599943</v>
      </c>
      <c r="M542" s="45" t="n">
        <v>0</v>
      </c>
      <c r="N542" s="45" t="n">
        <v>0</v>
      </c>
      <c r="O542" s="45" t="n">
        <v>0</v>
      </c>
      <c r="P542" s="45" t="n">
        <v>0</v>
      </c>
      <c r="Q542" s="45" t="n">
        <v>0</v>
      </c>
      <c r="R542" s="45" t="n">
        <v>0</v>
      </c>
      <c r="S542" s="45" t="n">
        <v>1193003.455</v>
      </c>
      <c r="T542" s="45" t="n">
        <v>1063514.8599943</v>
      </c>
      <c r="U542" s="15" t="n">
        <v>12.17553227290063</v>
      </c>
      <c r="V542" s="15" t="n">
        <v>58.34069824700037</v>
      </c>
      <c r="W542" s="49" t="n">
        <v>89.146</v>
      </c>
    </row>
    <row r="543">
      <c r="A543" s="44" t="inlineStr">
        <is>
          <t>TL Cinsi Kuponsuz Senetler</t>
        </is>
      </c>
      <c r="B543" s="44" t="n">
        <v>2003</v>
      </c>
      <c r="C543" s="44" t="inlineStr">
        <is>
          <t>TRB130803T12</t>
        </is>
      </c>
      <c r="D543" s="44" t="inlineStr">
        <is>
          <t>nan</t>
        </is>
      </c>
      <c r="E543" s="44" t="inlineStr">
        <is>
          <t>nan</t>
        </is>
      </c>
      <c r="F543" s="44" t="n"/>
      <c r="G543" s="44" t="n"/>
      <c r="H543" s="15" t="n"/>
      <c r="I543" s="45" t="n">
        <v>1033052.475</v>
      </c>
      <c r="J543" s="45" t="n">
        <v>867865.616</v>
      </c>
      <c r="K543" s="45" t="n">
        <v>975069.26</v>
      </c>
      <c r="L543" s="45" t="n">
        <v>815908.7046902</v>
      </c>
      <c r="M543" s="45" t="n">
        <v>41349.47476606475</v>
      </c>
      <c r="N543" s="45" t="n">
        <v>34600</v>
      </c>
      <c r="O543" s="45" t="n">
        <v>0</v>
      </c>
      <c r="P543" s="45" t="n">
        <v>0</v>
      </c>
      <c r="Q543" s="45" t="n">
        <v>4153.64</v>
      </c>
      <c r="R543" s="45" t="n">
        <v>3475.6413438</v>
      </c>
      <c r="S543" s="45" t="n">
        <v>1020572.374766065</v>
      </c>
      <c r="T543" s="45" t="n">
        <v>853984.346034</v>
      </c>
      <c r="U543" s="15" t="n">
        <v>19.50715250307731</v>
      </c>
      <c r="V543" s="15" t="n">
        <v>55.46836618643878</v>
      </c>
      <c r="W543" s="49" t="n">
        <v>83.67700000000001</v>
      </c>
    </row>
    <row r="544">
      <c r="A544" s="44" t="inlineStr">
        <is>
          <t>TL Cinsi Kuponsuz Senetler</t>
        </is>
      </c>
      <c r="B544" s="44" t="n">
        <v>2003</v>
      </c>
      <c r="C544" s="44" t="inlineStr">
        <is>
          <t>TRT030304T26</t>
        </is>
      </c>
      <c r="D544" s="44" t="inlineStr">
        <is>
          <t>nan</t>
        </is>
      </c>
      <c r="E544" s="44" t="inlineStr">
        <is>
          <t>nan</t>
        </is>
      </c>
      <c r="F544" s="44" t="n"/>
      <c r="G544" s="44" t="n"/>
      <c r="H544" s="15" t="n"/>
      <c r="I544" s="45" t="n">
        <v>4984227.025</v>
      </c>
      <c r="J544" s="45" t="n">
        <v>3184436.341</v>
      </c>
      <c r="K544" s="45" t="n">
        <v>4096309.01</v>
      </c>
      <c r="L544" s="45" t="n">
        <v>2607669.3526759</v>
      </c>
      <c r="M544" s="45" t="n">
        <v>895395.7806437424</v>
      </c>
      <c r="N544" s="45" t="n">
        <v>570000</v>
      </c>
      <c r="O544" s="45" t="n">
        <v>0</v>
      </c>
      <c r="P544" s="45" t="n">
        <v>0</v>
      </c>
      <c r="Q544" s="45" t="n">
        <v>180194.44</v>
      </c>
      <c r="R544" s="45" t="n">
        <v>114709.97856</v>
      </c>
      <c r="S544" s="45" t="n">
        <v>5171899.230643743</v>
      </c>
      <c r="T544" s="45" t="n">
        <v>3292379.3312359</v>
      </c>
      <c r="U544" s="15" t="n">
        <v>57.08697906030569</v>
      </c>
      <c r="V544" s="15" t="n">
        <v>59.95057121599252</v>
      </c>
      <c r="W544" s="49" t="n">
        <v>63.659</v>
      </c>
    </row>
    <row r="545">
      <c r="A545" s="44" t="inlineStr">
        <is>
          <t>TL Cinsi Kuponsuz Senetler</t>
        </is>
      </c>
      <c r="B545" s="44" t="n">
        <v>2003</v>
      </c>
      <c r="C545" s="44" t="inlineStr">
        <is>
          <t>TRB130803T12</t>
        </is>
      </c>
      <c r="D545" s="44" t="inlineStr">
        <is>
          <t>nan</t>
        </is>
      </c>
      <c r="E545" s="44" t="inlineStr">
        <is>
          <t>nan</t>
        </is>
      </c>
      <c r="F545" s="44" t="n"/>
      <c r="G545" s="44" t="n"/>
      <c r="H545" s="15" t="n"/>
      <c r="I545" s="45" t="n">
        <v>1694153.945</v>
      </c>
      <c r="J545" s="45" t="n">
        <v>1434742.764</v>
      </c>
      <c r="K545" s="45" t="n">
        <v>1626831.88</v>
      </c>
      <c r="L545" s="45" t="n">
        <v>1393267.6269884</v>
      </c>
      <c r="M545" s="45" t="n">
        <v>3502.913256191399</v>
      </c>
      <c r="N545" s="45" t="n">
        <v>3000</v>
      </c>
      <c r="O545" s="45" t="n">
        <v>0</v>
      </c>
      <c r="P545" s="45" t="n">
        <v>0</v>
      </c>
      <c r="Q545" s="45" t="n">
        <v>0</v>
      </c>
      <c r="R545" s="45" t="n">
        <v>0</v>
      </c>
      <c r="S545" s="45" t="n">
        <v>1914745.443256191</v>
      </c>
      <c r="T545" s="45" t="n">
        <v>1639845.4399679</v>
      </c>
      <c r="U545" s="15" t="n">
        <v>16.76377520637997</v>
      </c>
      <c r="V545" s="15" t="n">
        <v>56.47526781813232</v>
      </c>
      <c r="W545" s="49" t="n">
        <v>85.643</v>
      </c>
    </row>
    <row r="546">
      <c r="A546" s="44" t="inlineStr">
        <is>
          <t>TL Cinsi Kuponsuz Senetler</t>
        </is>
      </c>
      <c r="B546" s="44" t="n">
        <v>2003</v>
      </c>
      <c r="C546" s="44" t="inlineStr">
        <is>
          <t>TRB081003T15</t>
        </is>
      </c>
      <c r="D546" s="44" t="inlineStr">
        <is>
          <t>nan</t>
        </is>
      </c>
      <c r="E546" s="44" t="inlineStr">
        <is>
          <t>nan</t>
        </is>
      </c>
      <c r="F546" s="44" t="n"/>
      <c r="G546" s="44" t="n"/>
      <c r="H546" s="15" t="n"/>
      <c r="I546" s="45" t="n">
        <v>1146135.245</v>
      </c>
      <c r="J546" s="45" t="n">
        <v>918119.075</v>
      </c>
      <c r="K546" s="45" t="n">
        <v>1004186.795</v>
      </c>
      <c r="L546" s="45" t="n">
        <v>801461.5648254</v>
      </c>
      <c r="M546" s="45" t="n">
        <v>375883.3258156668</v>
      </c>
      <c r="N546" s="45" t="n">
        <v>300000</v>
      </c>
      <c r="O546" s="45" t="n">
        <v>0</v>
      </c>
      <c r="P546" s="45" t="n">
        <v>0</v>
      </c>
      <c r="Q546" s="45" t="n">
        <v>9416.719999999999</v>
      </c>
      <c r="R546" s="45" t="n">
        <v>7515.672566</v>
      </c>
      <c r="S546" s="45" t="n">
        <v>1458562.840815667</v>
      </c>
      <c r="T546" s="45" t="n">
        <v>1164108.1745114</v>
      </c>
      <c r="U546" s="15" t="n">
        <v>25.29444193855561</v>
      </c>
      <c r="V546" s="15" t="n">
        <v>56.98697180694084</v>
      </c>
      <c r="W546" s="49" t="n">
        <v>79.812</v>
      </c>
    </row>
    <row r="547">
      <c r="A547" s="44" t="inlineStr">
        <is>
          <t>TL Cinsi Kuponsuz Senetler</t>
        </is>
      </c>
      <c r="B547" s="44" t="n">
        <v>2003</v>
      </c>
      <c r="C547" s="44" t="inlineStr">
        <is>
          <t>TRT280404T18</t>
        </is>
      </c>
      <c r="D547" s="44" t="inlineStr">
        <is>
          <t>nan</t>
        </is>
      </c>
      <c r="E547" s="44" t="inlineStr">
        <is>
          <t>nan</t>
        </is>
      </c>
      <c r="F547" s="44" t="n"/>
      <c r="G547" s="44" t="n"/>
      <c r="H547" s="15" t="n"/>
      <c r="I547" s="45" t="n">
        <v>4684171.905</v>
      </c>
      <c r="J547" s="45" t="n">
        <v>2812235.045</v>
      </c>
      <c r="K547" s="45" t="n">
        <v>4112672.77</v>
      </c>
      <c r="L547" s="45" t="n">
        <v>2456376.0653379</v>
      </c>
      <c r="M547" s="45" t="n">
        <v>600398.4750615299</v>
      </c>
      <c r="N547" s="45" t="n">
        <v>358599.9972</v>
      </c>
      <c r="O547" s="45" t="n">
        <v>0</v>
      </c>
      <c r="P547" s="45" t="n">
        <v>0</v>
      </c>
      <c r="Q547" s="45" t="n">
        <v>182460.42</v>
      </c>
      <c r="R547" s="45" t="n">
        <v>108978.135054</v>
      </c>
      <c r="S547" s="45" t="n">
        <v>5511471.36506153</v>
      </c>
      <c r="T547" s="45" t="n">
        <v>3291836.5022109</v>
      </c>
      <c r="U547" s="15" t="n">
        <v>67.42846618782126</v>
      </c>
      <c r="V547" s="15" t="n">
        <v>62.78726545992161</v>
      </c>
      <c r="W547" s="49" t="n">
        <v>59.727</v>
      </c>
    </row>
    <row r="548">
      <c r="A548" s="44" t="inlineStr">
        <is>
          <t>TL Cinsi Kuponsuz Senetler</t>
        </is>
      </c>
      <c r="B548" s="44" t="n">
        <v>2003</v>
      </c>
      <c r="C548" s="44" t="inlineStr">
        <is>
          <t>TRB180204T12</t>
        </is>
      </c>
      <c r="D548" s="44" t="inlineStr">
        <is>
          <t>nan</t>
        </is>
      </c>
      <c r="E548" s="44" t="inlineStr">
        <is>
          <t>nan</t>
        </is>
      </c>
      <c r="F548" s="44" t="n"/>
      <c r="G548" s="44" t="n"/>
      <c r="H548" s="15" t="n"/>
      <c r="I548" s="45" t="n">
        <v>3126691.545</v>
      </c>
      <c r="J548" s="45" t="n">
        <v>2170536.627</v>
      </c>
      <c r="K548" s="45" t="n">
        <v>2901965.115</v>
      </c>
      <c r="L548" s="45" t="n">
        <v>2006476.7198133</v>
      </c>
      <c r="M548" s="45" t="n">
        <v>7231.494605305024</v>
      </c>
      <c r="N548" s="45" t="n">
        <v>5000</v>
      </c>
      <c r="O548" s="45" t="n">
        <v>0</v>
      </c>
      <c r="P548" s="45" t="n">
        <v>0</v>
      </c>
      <c r="Q548" s="45" t="n">
        <v>105972.525</v>
      </c>
      <c r="R548" s="45" t="n">
        <v>73271.5232353</v>
      </c>
      <c r="S548" s="45" t="n">
        <v>3469722.144605305</v>
      </c>
      <c r="T548" s="45" t="n">
        <v>2399035.2852228</v>
      </c>
      <c r="U548" s="15" t="n">
        <v>44.62989210610048</v>
      </c>
      <c r="V548" s="15" t="n">
        <v>56.4755363392228</v>
      </c>
      <c r="W548" s="49" t="n">
        <v>69.142</v>
      </c>
    </row>
    <row r="549">
      <c r="A549" s="44" t="inlineStr">
        <is>
          <t>TL Cinsi Kuponsuz Senetler</t>
        </is>
      </c>
      <c r="B549" s="44" t="n">
        <v>2003</v>
      </c>
      <c r="C549" s="44" t="inlineStr">
        <is>
          <t>TRB230703T11</t>
        </is>
      </c>
      <c r="D549" s="44" t="inlineStr">
        <is>
          <t>nan</t>
        </is>
      </c>
      <c r="E549" s="44" t="inlineStr">
        <is>
          <t>nan</t>
        </is>
      </c>
      <c r="F549" s="44" t="n"/>
      <c r="G549" s="44" t="n"/>
      <c r="H549" s="15" t="n"/>
      <c r="I549" s="45" t="n">
        <v>2014619.715</v>
      </c>
      <c r="J549" s="45" t="n">
        <v>1834340.277</v>
      </c>
      <c r="K549" s="45" t="n">
        <v>1253735.935</v>
      </c>
      <c r="L549" s="45" t="n">
        <v>1140999.9997248</v>
      </c>
      <c r="M549" s="45" t="n">
        <v>0</v>
      </c>
      <c r="N549" s="45" t="n">
        <v>0</v>
      </c>
      <c r="O549" s="45" t="n">
        <v>0</v>
      </c>
      <c r="P549" s="45" t="n">
        <v>0</v>
      </c>
      <c r="Q549" s="45" t="n">
        <v>0</v>
      </c>
      <c r="R549" s="45" t="n">
        <v>0</v>
      </c>
      <c r="S549" s="45" t="n">
        <v>1253735.935</v>
      </c>
      <c r="T549" s="45" t="n">
        <v>1140999.9997248</v>
      </c>
      <c r="U549" s="15" t="n">
        <v>9.880450070323498</v>
      </c>
      <c r="V549" s="15" t="n">
        <v>46.38629001444185</v>
      </c>
      <c r="W549" s="49" t="n">
        <v>91.008</v>
      </c>
    </row>
    <row r="550">
      <c r="A550" s="44" t="inlineStr">
        <is>
          <t>TL Cinsi Kuponsuz Senetler</t>
        </is>
      </c>
      <c r="B550" s="44" t="n">
        <v>2003</v>
      </c>
      <c r="C550" s="44" t="inlineStr">
        <is>
          <t>TRB051103T17</t>
        </is>
      </c>
      <c r="D550" s="44" t="inlineStr">
        <is>
          <t>nan</t>
        </is>
      </c>
      <c r="E550" s="44" t="inlineStr">
        <is>
          <t>nan</t>
        </is>
      </c>
      <c r="F550" s="44" t="n"/>
      <c r="G550" s="44" t="n"/>
      <c r="H550" s="15" t="n"/>
      <c r="I550" s="45" t="n">
        <v>1269109.64</v>
      </c>
      <c r="J550" s="45" t="n">
        <v>1043366.96</v>
      </c>
      <c r="K550" s="45" t="n">
        <v>1072965.01</v>
      </c>
      <c r="L550" s="45" t="n">
        <v>878404.2647367</v>
      </c>
      <c r="M550" s="45" t="n">
        <v>30537.33494570462</v>
      </c>
      <c r="N550" s="45" t="n">
        <v>25000</v>
      </c>
      <c r="O550" s="45" t="n">
        <v>0</v>
      </c>
      <c r="P550" s="45" t="n">
        <v>0</v>
      </c>
      <c r="Q550" s="45" t="n">
        <v>0</v>
      </c>
      <c r="R550" s="45" t="n">
        <v>0</v>
      </c>
      <c r="S550" s="45" t="n">
        <v>1254738.274945704</v>
      </c>
      <c r="T550" s="45" t="n">
        <v>1027216.5835498</v>
      </c>
      <c r="U550" s="15" t="n">
        <v>22.14933978281848</v>
      </c>
      <c r="V550" s="15" t="n">
        <v>49.20461209378442</v>
      </c>
      <c r="W550" s="49" t="n">
        <v>81.867</v>
      </c>
    </row>
    <row r="551">
      <c r="A551" s="44" t="inlineStr">
        <is>
          <t>TL Cinsi Kuponsuz Senetler</t>
        </is>
      </c>
      <c r="B551" s="44" t="n">
        <v>2003</v>
      </c>
      <c r="C551" s="44" t="inlineStr">
        <is>
          <t>TRB180204T12</t>
        </is>
      </c>
      <c r="D551" s="44" t="inlineStr">
        <is>
          <t>nan</t>
        </is>
      </c>
      <c r="E551" s="44" t="inlineStr">
        <is>
          <t>nan</t>
        </is>
      </c>
      <c r="F551" s="44" t="n"/>
      <c r="G551" s="44" t="n"/>
      <c r="H551" s="15" t="n"/>
      <c r="I551" s="45" t="n">
        <v>2564003.565</v>
      </c>
      <c r="J551" s="45" t="n">
        <v>1825447.74</v>
      </c>
      <c r="K551" s="45" t="n">
        <v>2070819.035</v>
      </c>
      <c r="L551" s="45" t="n">
        <v>1470281.51485</v>
      </c>
      <c r="M551" s="45" t="n">
        <v>181690.1408450704</v>
      </c>
      <c r="N551" s="45" t="n">
        <v>129000</v>
      </c>
      <c r="O551" s="45" t="n">
        <v>0</v>
      </c>
      <c r="P551" s="45" t="n">
        <v>0</v>
      </c>
      <c r="Q551" s="45" t="n">
        <v>0</v>
      </c>
      <c r="R551" s="45" t="n">
        <v>0</v>
      </c>
      <c r="S551" s="45" t="n">
        <v>2694890.50084507</v>
      </c>
      <c r="T551" s="45" t="n">
        <v>1913372.2556</v>
      </c>
      <c r="U551" s="15" t="n">
        <v>40.8450704225352</v>
      </c>
      <c r="V551" s="15" t="n">
        <v>54.40023178668309</v>
      </c>
      <c r="W551" s="49" t="n">
        <v>71</v>
      </c>
    </row>
    <row r="552">
      <c r="A552" s="44" t="inlineStr">
        <is>
          <t>TL Cinsi Kuponsuz Senetler</t>
        </is>
      </c>
      <c r="B552" s="44" t="n">
        <v>2003</v>
      </c>
      <c r="C552" s="44" t="inlineStr">
        <is>
          <t>TRT260504T19</t>
        </is>
      </c>
      <c r="D552" s="44" t="inlineStr">
        <is>
          <t>nan</t>
        </is>
      </c>
      <c r="E552" s="44" t="inlineStr">
        <is>
          <t>nan</t>
        </is>
      </c>
      <c r="F552" s="44" t="n"/>
      <c r="G552" s="44" t="n"/>
      <c r="H552" s="15" t="n"/>
      <c r="I552" s="45" t="n">
        <v>5068793.82</v>
      </c>
      <c r="J552" s="45" t="n">
        <v>3226679.069</v>
      </c>
      <c r="K552" s="45" t="n">
        <v>3830539.095</v>
      </c>
      <c r="L552" s="45" t="n">
        <v>2432966.90618925</v>
      </c>
      <c r="M552" s="45" t="n">
        <v>37786.34968117768</v>
      </c>
      <c r="N552" s="45" t="n">
        <v>24000</v>
      </c>
      <c r="O552" s="45" t="n">
        <v>0</v>
      </c>
      <c r="P552" s="45" t="n">
        <v>0</v>
      </c>
      <c r="Q552" s="45" t="n">
        <v>19047.035</v>
      </c>
      <c r="R552" s="45" t="n">
        <v>12097.72428025</v>
      </c>
      <c r="S552" s="45" t="n">
        <v>4672361.139681178</v>
      </c>
      <c r="T552" s="45" t="n">
        <v>2967650.1778685</v>
      </c>
      <c r="U552" s="15" t="n">
        <v>57.44312367157364</v>
      </c>
      <c r="V552" s="15" t="n">
        <v>53.5930257150733</v>
      </c>
      <c r="W552" s="49" t="n">
        <v>63.515</v>
      </c>
    </row>
    <row r="553">
      <c r="A553" s="44" t="inlineStr">
        <is>
          <t>TL Cinsi Kuponsuz Senetler</t>
        </is>
      </c>
      <c r="B553" s="44" t="n">
        <v>2003</v>
      </c>
      <c r="C553" s="44" t="inlineStr">
        <is>
          <t>TRB130803T20</t>
        </is>
      </c>
      <c r="D553" s="44" t="inlineStr">
        <is>
          <t>nan</t>
        </is>
      </c>
      <c r="E553" s="44" t="inlineStr">
        <is>
          <t>nan</t>
        </is>
      </c>
      <c r="F553" s="44" t="n"/>
      <c r="G553" s="44" t="n"/>
      <c r="H553" s="15" t="n"/>
      <c r="I553" s="45" t="n">
        <v>1891565.065</v>
      </c>
      <c r="J553" s="45" t="n">
        <v>1735752.596</v>
      </c>
      <c r="K553" s="45" t="n">
        <v>1676617.95</v>
      </c>
      <c r="L553" s="45" t="n">
        <v>1536000.0025335</v>
      </c>
      <c r="M553" s="45" t="n">
        <v>0</v>
      </c>
      <c r="N553" s="45" t="n">
        <v>0</v>
      </c>
      <c r="O553" s="45" t="n">
        <v>0</v>
      </c>
      <c r="P553" s="45" t="n">
        <v>0</v>
      </c>
      <c r="Q553" s="45" t="n">
        <v>0</v>
      </c>
      <c r="R553" s="45" t="n">
        <v>0</v>
      </c>
      <c r="S553" s="45" t="n">
        <v>1676617.95</v>
      </c>
      <c r="T553" s="45" t="n">
        <v>1536000.0025335</v>
      </c>
      <c r="U553" s="15" t="n">
        <v>9.154814273083511</v>
      </c>
      <c r="V553" s="15" t="n">
        <v>41.96182705567579</v>
      </c>
      <c r="W553" s="49" t="n">
        <v>91.613</v>
      </c>
    </row>
    <row r="554">
      <c r="A554" s="44" t="inlineStr">
        <is>
          <t>TL Cinsi Kuponsuz Senetler</t>
        </is>
      </c>
      <c r="B554" s="44" t="n">
        <v>2003</v>
      </c>
      <c r="C554" s="44" t="inlineStr">
        <is>
          <t>TRB051103T17</t>
        </is>
      </c>
      <c r="D554" s="44" t="inlineStr">
        <is>
          <t>nan</t>
        </is>
      </c>
      <c r="E554" s="44" t="inlineStr">
        <is>
          <t>nan</t>
        </is>
      </c>
      <c r="F554" s="44" t="n"/>
      <c r="G554" s="44" t="n"/>
      <c r="H554" s="15" t="n"/>
      <c r="I554" s="45" t="n">
        <v>853100.52</v>
      </c>
      <c r="J554" s="45" t="n">
        <v>715592.3</v>
      </c>
      <c r="K554" s="45" t="n">
        <v>774288.05</v>
      </c>
      <c r="L554" s="45" t="n">
        <v>647568.0677370001</v>
      </c>
      <c r="M554" s="45" t="n">
        <v>51115.57500538059</v>
      </c>
      <c r="N554" s="45" t="n">
        <v>42750</v>
      </c>
      <c r="O554" s="45" t="n">
        <v>0</v>
      </c>
      <c r="P554" s="45" t="n">
        <v>0</v>
      </c>
      <c r="Q554" s="45" t="n">
        <v>0</v>
      </c>
      <c r="R554" s="45" t="n">
        <v>0</v>
      </c>
      <c r="S554" s="45" t="n">
        <v>926603.8600053806</v>
      </c>
      <c r="T554" s="45" t="n">
        <v>774955.8722769001</v>
      </c>
      <c r="U554" s="15" t="n">
        <v>19.56859650381424</v>
      </c>
      <c r="V554" s="15" t="n">
        <v>47.28904681780255</v>
      </c>
      <c r="W554" s="49" t="n">
        <v>83.634</v>
      </c>
    </row>
    <row r="555">
      <c r="A555" s="44" t="inlineStr">
        <is>
          <t>TL Cinsi Kuponsuz Senetler</t>
        </is>
      </c>
      <c r="B555" s="44" t="n">
        <v>2003</v>
      </c>
      <c r="C555" s="44" t="inlineStr">
        <is>
          <t>TRT070704T10</t>
        </is>
      </c>
      <c r="D555" s="44" t="inlineStr">
        <is>
          <t>nan</t>
        </is>
      </c>
      <c r="E555" s="44" t="inlineStr">
        <is>
          <t>nan</t>
        </is>
      </c>
      <c r="F555" s="44" t="n"/>
      <c r="G555" s="44" t="n"/>
      <c r="H555" s="15" t="n"/>
      <c r="I555" s="45" t="n">
        <v>4557370.815</v>
      </c>
      <c r="J555" s="45" t="n">
        <v>2818221.772</v>
      </c>
      <c r="K555" s="45" t="n">
        <v>3103044.4</v>
      </c>
      <c r="L555" s="45" t="n">
        <v>1915292.095012</v>
      </c>
      <c r="M555" s="45" t="n">
        <v>492118.0111141714</v>
      </c>
      <c r="N555" s="45" t="n">
        <v>303750</v>
      </c>
      <c r="O555" s="45" t="n">
        <v>0</v>
      </c>
      <c r="P555" s="45" t="n">
        <v>0</v>
      </c>
      <c r="Q555" s="45" t="n">
        <v>55498.045</v>
      </c>
      <c r="R555" s="45" t="n">
        <v>34255.05831535</v>
      </c>
      <c r="S555" s="45" t="n">
        <v>4266866.356114171</v>
      </c>
      <c r="T555" s="45" t="n">
        <v>2633637.92098435</v>
      </c>
      <c r="U555" s="15" t="n">
        <v>62.01416003758729</v>
      </c>
      <c r="V555" s="15" t="n">
        <v>52.99976238461394</v>
      </c>
      <c r="W555" s="49" t="n">
        <v>61.723</v>
      </c>
    </row>
    <row r="556">
      <c r="A556" s="44" t="inlineStr">
        <is>
          <t>TL Cinsi Kuponsuz Senetler</t>
        </is>
      </c>
      <c r="B556" s="44" t="n">
        <v>2003</v>
      </c>
      <c r="C556" s="44" t="inlineStr">
        <is>
          <t>TRB051103T17</t>
        </is>
      </c>
      <c r="D556" s="44" t="inlineStr">
        <is>
          <t>nan</t>
        </is>
      </c>
      <c r="E556" s="44" t="inlineStr">
        <is>
          <t>nan</t>
        </is>
      </c>
      <c r="F556" s="44" t="n"/>
      <c r="G556" s="44" t="n"/>
      <c r="H556" s="15" t="n"/>
      <c r="I556" s="45" t="n">
        <v>465873.19</v>
      </c>
      <c r="J556" s="45" t="n">
        <v>397752.962</v>
      </c>
      <c r="K556" s="45" t="n">
        <v>393668.505</v>
      </c>
      <c r="L556" s="45" t="n">
        <v>335476.4265909001</v>
      </c>
      <c r="M556" s="45" t="n">
        <v>56326.12828275716</v>
      </c>
      <c r="N556" s="45" t="n">
        <v>48000</v>
      </c>
      <c r="O556" s="45" t="n">
        <v>0</v>
      </c>
      <c r="P556" s="45" t="n">
        <v>0</v>
      </c>
      <c r="Q556" s="45" t="n">
        <v>0</v>
      </c>
      <c r="R556" s="45" t="n">
        <v>0</v>
      </c>
      <c r="S556" s="45" t="n">
        <v>505374.1232827572</v>
      </c>
      <c r="T556" s="45" t="n">
        <v>430669.7203791001</v>
      </c>
      <c r="U556" s="15" t="n">
        <v>17.34610058907742</v>
      </c>
      <c r="V556" s="15" t="n">
        <v>45.94817104506943</v>
      </c>
      <c r="W556" s="49" t="n">
        <v>85.218</v>
      </c>
    </row>
    <row r="557">
      <c r="A557" s="44" t="inlineStr">
        <is>
          <t>TL Cinsi Kuponsuz Senetler</t>
        </is>
      </c>
      <c r="B557" s="44" t="n">
        <v>2003</v>
      </c>
      <c r="C557" s="44" t="inlineStr">
        <is>
          <t>TRT070704T10</t>
        </is>
      </c>
      <c r="D557" s="44" t="inlineStr">
        <is>
          <t>nan</t>
        </is>
      </c>
      <c r="E557" s="44" t="inlineStr">
        <is>
          <t>nan</t>
        </is>
      </c>
      <c r="F557" s="44" t="n"/>
      <c r="G557" s="44" t="n"/>
      <c r="H557" s="15" t="n"/>
      <c r="I557" s="45" t="n">
        <v>3813745.48</v>
      </c>
      <c r="J557" s="45" t="n">
        <v>2495864.991</v>
      </c>
      <c r="K557" s="45" t="n">
        <v>2534823.595</v>
      </c>
      <c r="L557" s="45" t="n">
        <v>1656963.4875796</v>
      </c>
      <c r="M557" s="45" t="n">
        <v>229470.0771019459</v>
      </c>
      <c r="N557" s="45" t="n">
        <v>150000</v>
      </c>
      <c r="O557" s="45" t="n">
        <v>0</v>
      </c>
      <c r="P557" s="45" t="n">
        <v>0</v>
      </c>
      <c r="Q557" s="45" t="n">
        <v>50183.47</v>
      </c>
      <c r="R557" s="45" t="n">
        <v>32803.9306696</v>
      </c>
      <c r="S557" s="45" t="n">
        <v>2979841.742101946</v>
      </c>
      <c r="T557" s="45" t="n">
        <v>1947862.9499772</v>
      </c>
      <c r="U557" s="15" t="n">
        <v>52.98005140129727</v>
      </c>
      <c r="V557" s="15" t="n">
        <v>48.4043401734835</v>
      </c>
      <c r="W557" s="49" t="n">
        <v>65.36799999999999</v>
      </c>
    </row>
    <row r="558">
      <c r="A558" s="44" t="inlineStr">
        <is>
          <t>TL Cinsi Kuponsuz Senetler</t>
        </is>
      </c>
      <c r="B558" s="44" t="n">
        <v>2003</v>
      </c>
      <c r="C558" s="44" t="inlineStr">
        <is>
          <t>TRB170903T17</t>
        </is>
      </c>
      <c r="D558" s="44" t="inlineStr">
        <is>
          <t>nan</t>
        </is>
      </c>
      <c r="E558" s="44" t="inlineStr">
        <is>
          <t>nan</t>
        </is>
      </c>
      <c r="F558" s="44" t="n"/>
      <c r="G558" s="44" t="n"/>
      <c r="H558" s="15" t="n"/>
      <c r="I558" s="45" t="n">
        <v>2261005.075</v>
      </c>
      <c r="J558" s="45" t="n">
        <v>2082639.222</v>
      </c>
      <c r="K558" s="45" t="n">
        <v>1723613.29</v>
      </c>
      <c r="L558" s="45" t="n">
        <v>1586000.0049264</v>
      </c>
      <c r="M558" s="45" t="n">
        <v>0</v>
      </c>
      <c r="N558" s="45" t="n">
        <v>0</v>
      </c>
      <c r="O558" s="45" t="n">
        <v>0</v>
      </c>
      <c r="P558" s="45" t="n">
        <v>0</v>
      </c>
      <c r="Q558" s="45" t="n">
        <v>0</v>
      </c>
      <c r="R558" s="45" t="n">
        <v>0</v>
      </c>
      <c r="S558" s="45" t="n">
        <v>1723613.29</v>
      </c>
      <c r="T558" s="45" t="n">
        <v>1586000.0049264</v>
      </c>
      <c r="U558" s="15" t="n">
        <v>8.676751869240128</v>
      </c>
      <c r="V558" s="15" t="n">
        <v>39.49113209855988</v>
      </c>
      <c r="W558" s="49" t="n">
        <v>92.01600000000001</v>
      </c>
    </row>
    <row r="559">
      <c r="A559" s="44" t="inlineStr">
        <is>
          <t>TL Cinsi Kuponsuz Senetler</t>
        </is>
      </c>
      <c r="B559" s="44" t="n">
        <v>2003</v>
      </c>
      <c r="C559" s="44" t="inlineStr">
        <is>
          <t>TRB090604T19</t>
        </is>
      </c>
      <c r="D559" s="44" t="inlineStr">
        <is>
          <t>nan</t>
        </is>
      </c>
      <c r="E559" s="44" t="inlineStr">
        <is>
          <t>nan</t>
        </is>
      </c>
      <c r="F559" s="44" t="n"/>
      <c r="G559" s="44" t="n"/>
      <c r="H559" s="15" t="n"/>
      <c r="I559" s="45" t="n">
        <v>3605977.235</v>
      </c>
      <c r="J559" s="45" t="n">
        <v>2440115.871</v>
      </c>
      <c r="K559" s="45" t="n">
        <v>2751881.09</v>
      </c>
      <c r="L559" s="45" t="n">
        <v>1856804.2466666</v>
      </c>
      <c r="M559" s="45" t="n">
        <v>75584.66965053206</v>
      </c>
      <c r="N559" s="45" t="n">
        <v>51000</v>
      </c>
      <c r="O559" s="45" t="n">
        <v>0</v>
      </c>
      <c r="P559" s="45" t="n">
        <v>0</v>
      </c>
      <c r="Q559" s="45" t="n">
        <v>41311.505</v>
      </c>
      <c r="R559" s="45" t="n">
        <v>27874.5248837</v>
      </c>
      <c r="S559" s="45" t="n">
        <v>3303117.989650532</v>
      </c>
      <c r="T559" s="45" t="n">
        <v>2228745.8323368</v>
      </c>
      <c r="U559" s="15" t="n">
        <v>48.20523460888639</v>
      </c>
      <c r="V559" s="15" t="n">
        <v>49.35295123641487</v>
      </c>
      <c r="W559" s="49" t="n">
        <v>67.474</v>
      </c>
    </row>
    <row r="560">
      <c r="A560" s="44" t="inlineStr">
        <is>
          <t>TL Cinsi Kuponsuz Senetler</t>
        </is>
      </c>
      <c r="B560" s="44" t="n">
        <v>2003</v>
      </c>
      <c r="C560" s="44" t="inlineStr">
        <is>
          <t>TRB051103T17</t>
        </is>
      </c>
      <c r="D560" s="44" t="inlineStr">
        <is>
          <t>nan</t>
        </is>
      </c>
      <c r="E560" s="44" t="inlineStr">
        <is>
          <t>nan</t>
        </is>
      </c>
      <c r="F560" s="44" t="n"/>
      <c r="G560" s="44" t="n"/>
      <c r="H560" s="15" t="n"/>
      <c r="I560" s="45" t="n">
        <v>1426942.165</v>
      </c>
      <c r="J560" s="45" t="n">
        <v>1240403.468</v>
      </c>
      <c r="K560" s="45" t="n">
        <v>1161256.15</v>
      </c>
      <c r="L560" s="45" t="n">
        <v>1007958.7256385</v>
      </c>
      <c r="M560" s="45" t="n">
        <v>34562.61016831992</v>
      </c>
      <c r="N560" s="45" t="n">
        <v>30000</v>
      </c>
      <c r="O560" s="45" t="n">
        <v>0</v>
      </c>
      <c r="P560" s="45" t="n">
        <v>0</v>
      </c>
      <c r="Q560" s="45" t="n">
        <v>0</v>
      </c>
      <c r="R560" s="45" t="n">
        <v>0</v>
      </c>
      <c r="S560" s="45" t="n">
        <v>1293447.90016832</v>
      </c>
      <c r="T560" s="45" t="n">
        <v>1122699.8428671</v>
      </c>
      <c r="U560" s="15" t="n">
        <v>15.20870056106638</v>
      </c>
      <c r="V560" s="15" t="n">
        <v>44.49796252995151</v>
      </c>
      <c r="W560" s="49" t="n">
        <v>86.79900000000001</v>
      </c>
    </row>
    <row r="561">
      <c r="A561" s="44" t="inlineStr">
        <is>
          <t>TL Cinsi Kuponsuz Senetler</t>
        </is>
      </c>
      <c r="B561" s="44" t="n">
        <v>2003</v>
      </c>
      <c r="C561" s="44" t="inlineStr">
        <is>
          <t>TRB191103T11</t>
        </is>
      </c>
      <c r="D561" s="44" t="inlineStr">
        <is>
          <t>nan</t>
        </is>
      </c>
      <c r="E561" s="44" t="inlineStr">
        <is>
          <t>nan</t>
        </is>
      </c>
      <c r="F561" s="44" t="n"/>
      <c r="G561" s="44" t="n"/>
      <c r="H561" s="15" t="n"/>
      <c r="I561" s="45" t="n">
        <v>2241606.9</v>
      </c>
      <c r="J561" s="45" t="n">
        <v>1951271.002</v>
      </c>
      <c r="K561" s="45" t="n">
        <v>2194618.23</v>
      </c>
      <c r="L561" s="45" t="n">
        <v>1904884.7312754</v>
      </c>
      <c r="M561" s="45" t="n">
        <v>0</v>
      </c>
      <c r="N561" s="45" t="n">
        <v>0</v>
      </c>
      <c r="O561" s="45" t="n">
        <v>144012.5348510334</v>
      </c>
      <c r="P561" s="45" t="n">
        <v>125000</v>
      </c>
      <c r="Q561" s="45" t="n">
        <v>0</v>
      </c>
      <c r="R561" s="45" t="n">
        <v>0</v>
      </c>
      <c r="S561" s="45" t="n">
        <v>2411019.444851033</v>
      </c>
      <c r="T561" s="45" t="n">
        <v>2092716.6577418</v>
      </c>
      <c r="U561" s="15" t="n">
        <v>15.21002788082675</v>
      </c>
      <c r="V561" s="15" t="n">
        <v>44.50229094956126</v>
      </c>
      <c r="W561" s="49" t="n">
        <v>86.798</v>
      </c>
    </row>
    <row r="562">
      <c r="A562" s="44" t="inlineStr">
        <is>
          <t>TL Cinsi Kuponsuz Senetler</t>
        </is>
      </c>
      <c r="B562" s="44" t="n">
        <v>2003</v>
      </c>
      <c r="C562" s="44" t="inlineStr">
        <is>
          <t>TRT180804T16</t>
        </is>
      </c>
      <c r="D562" s="44" t="inlineStr">
        <is>
          <t>nan</t>
        </is>
      </c>
      <c r="E562" s="44" t="inlineStr">
        <is>
          <t>nan</t>
        </is>
      </c>
      <c r="F562" s="44" t="n"/>
      <c r="G562" s="44" t="n"/>
      <c r="H562" s="15" t="n"/>
      <c r="I562" s="45" t="n">
        <v>7587775.59</v>
      </c>
      <c r="J562" s="45" t="n">
        <v>4774942.75</v>
      </c>
      <c r="K562" s="45" t="n">
        <v>6667321.605</v>
      </c>
      <c r="L562" s="45" t="n">
        <v>4178343.77663745</v>
      </c>
      <c r="M562" s="45" t="n">
        <v>1021238.570904275</v>
      </c>
      <c r="N562" s="45" t="n">
        <v>640000</v>
      </c>
      <c r="O562" s="45" t="n">
        <v>0</v>
      </c>
      <c r="P562" s="45" t="n">
        <v>0</v>
      </c>
      <c r="Q562" s="45" t="n">
        <v>313195.15</v>
      </c>
      <c r="R562" s="45" t="n">
        <v>196276.2685535</v>
      </c>
      <c r="S562" s="45" t="n">
        <v>8704627.685904276</v>
      </c>
      <c r="T562" s="45" t="n">
        <v>5455103.124479351</v>
      </c>
      <c r="U562" s="15" t="n">
        <v>59.56852670379293</v>
      </c>
      <c r="V562" s="15" t="n">
        <v>50.96238542105762</v>
      </c>
      <c r="W562" s="49" t="n">
        <v>62.669</v>
      </c>
    </row>
    <row r="563">
      <c r="A563" s="44" t="inlineStr">
        <is>
          <t>TL Cinsi Kuponsuz Senetler</t>
        </is>
      </c>
      <c r="B563" s="44" t="n">
        <v>2003</v>
      </c>
      <c r="C563" s="44" t="inlineStr">
        <is>
          <t>TRB191103T11</t>
        </is>
      </c>
      <c r="D563" s="44" t="inlineStr">
        <is>
          <t>nan</t>
        </is>
      </c>
      <c r="E563" s="44" t="inlineStr">
        <is>
          <t>nan</t>
        </is>
      </c>
      <c r="F563" s="44" t="n"/>
      <c r="G563" s="44" t="n"/>
      <c r="H563" s="15" t="n"/>
      <c r="I563" s="45" t="n">
        <v>1908799.965</v>
      </c>
      <c r="J563" s="45" t="n">
        <v>1685516.694</v>
      </c>
      <c r="K563" s="45" t="n">
        <v>1472702.725</v>
      </c>
      <c r="L563" s="45" t="n">
        <v>1299512.88454</v>
      </c>
      <c r="M563" s="45" t="n">
        <v>175657.2982774252</v>
      </c>
      <c r="N563" s="45" t="n">
        <v>155000</v>
      </c>
      <c r="O563" s="45" t="n">
        <v>20398.91205802357</v>
      </c>
      <c r="P563" s="45" t="n">
        <v>18000</v>
      </c>
      <c r="Q563" s="45" t="n">
        <v>0</v>
      </c>
      <c r="R563" s="45" t="n">
        <v>0</v>
      </c>
      <c r="S563" s="45" t="n">
        <v>1976205.320335449</v>
      </c>
      <c r="T563" s="45" t="n">
        <v>1743803.574664</v>
      </c>
      <c r="U563" s="15" t="n">
        <v>13.32728921124207</v>
      </c>
      <c r="V563" s="15" t="n">
        <v>43.53781634242164</v>
      </c>
      <c r="W563" s="49" t="n">
        <v>88.23999999999999</v>
      </c>
    </row>
    <row r="564">
      <c r="A564" s="44" t="inlineStr">
        <is>
          <t>TL Cinsi Kuponsuz Senetler</t>
        </is>
      </c>
      <c r="B564" s="44" t="n">
        <v>2003</v>
      </c>
      <c r="C564" s="44" t="inlineStr">
        <is>
          <t>TRB221003T17</t>
        </is>
      </c>
      <c r="D564" s="44" t="inlineStr">
        <is>
          <t>nan</t>
        </is>
      </c>
      <c r="E564" s="44" t="inlineStr">
        <is>
          <t>nan</t>
        </is>
      </c>
      <c r="F564" s="44" t="n"/>
      <c r="G564" s="44" t="n"/>
      <c r="H564" s="15" t="n"/>
      <c r="I564" s="45" t="n">
        <v>2187390.965</v>
      </c>
      <c r="J564" s="45" t="n">
        <v>2032326.24</v>
      </c>
      <c r="K564" s="45" t="n">
        <v>1940751.495</v>
      </c>
      <c r="L564" s="45" t="n">
        <v>1797000.03176535</v>
      </c>
      <c r="M564" s="45" t="n">
        <v>0</v>
      </c>
      <c r="N564" s="45" t="n">
        <v>0</v>
      </c>
      <c r="O564" s="45" t="n">
        <v>0</v>
      </c>
      <c r="P564" s="45" t="n">
        <v>0</v>
      </c>
      <c r="Q564" s="45" t="n">
        <v>0</v>
      </c>
      <c r="R564" s="45" t="n">
        <v>0</v>
      </c>
      <c r="S564" s="45" t="n">
        <v>1940751.495</v>
      </c>
      <c r="T564" s="45" t="n">
        <v>1797000.03176535</v>
      </c>
      <c r="U564" s="15" t="n">
        <v>7.999524802090874</v>
      </c>
      <c r="V564" s="15" t="n">
        <v>36.04650156576925</v>
      </c>
      <c r="W564" s="49" t="n">
        <v>92.593</v>
      </c>
    </row>
    <row r="565">
      <c r="A565" s="44" t="inlineStr">
        <is>
          <t>TL Cinsi Kuponsuz Senetler</t>
        </is>
      </c>
      <c r="B565" s="44" t="n">
        <v>2003</v>
      </c>
      <c r="C565" s="44" t="inlineStr">
        <is>
          <t>TRB121103T18</t>
        </is>
      </c>
      <c r="D565" s="44" t="inlineStr">
        <is>
          <t>nan</t>
        </is>
      </c>
      <c r="E565" s="44" t="inlineStr">
        <is>
          <t>nan</t>
        </is>
      </c>
      <c r="F565" s="44" t="n"/>
      <c r="G565" s="44" t="n"/>
      <c r="H565" s="15" t="n"/>
      <c r="I565" s="45" t="n">
        <v>2551535.165</v>
      </c>
      <c r="J565" s="45" t="n">
        <v>2373744.035</v>
      </c>
      <c r="K565" s="45" t="n">
        <v>1932309.955</v>
      </c>
      <c r="L565" s="45" t="n">
        <v>1795000.0095977</v>
      </c>
      <c r="M565" s="45" t="n">
        <v>0</v>
      </c>
      <c r="N565" s="45" t="n">
        <v>0</v>
      </c>
      <c r="O565" s="45" t="n">
        <v>0</v>
      </c>
      <c r="P565" s="45" t="n">
        <v>0</v>
      </c>
      <c r="Q565" s="45" t="n">
        <v>0</v>
      </c>
      <c r="R565" s="45" t="n">
        <v>0</v>
      </c>
      <c r="S565" s="45" t="n">
        <v>1932309.955</v>
      </c>
      <c r="T565" s="45" t="n">
        <v>1795000.0095977</v>
      </c>
      <c r="U565" s="15" t="n">
        <v>7.649579090145764</v>
      </c>
      <c r="V565" s="15" t="n">
        <v>34.29175339766471</v>
      </c>
      <c r="W565" s="49" t="n">
        <v>92.89400000000001</v>
      </c>
    </row>
    <row r="566">
      <c r="A566" s="44" t="inlineStr">
        <is>
          <t>TL Cinsi Kuponsuz Senetler</t>
        </is>
      </c>
      <c r="B566" s="44" t="n">
        <v>2003</v>
      </c>
      <c r="C566" s="44" t="inlineStr">
        <is>
          <t>TRB070404T13</t>
        </is>
      </c>
      <c r="D566" s="44" t="inlineStr">
        <is>
          <t>nan</t>
        </is>
      </c>
      <c r="E566" s="44" t="inlineStr">
        <is>
          <t>nan</t>
        </is>
      </c>
      <c r="F566" s="44" t="n"/>
      <c r="G566" s="44" t="n"/>
      <c r="H566" s="15" t="n"/>
      <c r="I566" s="45" t="n">
        <v>1703103.315</v>
      </c>
      <c r="J566" s="45" t="n">
        <v>1358268.933</v>
      </c>
      <c r="K566" s="45" t="n">
        <v>1119941.165</v>
      </c>
      <c r="L566" s="45" t="n">
        <v>892111.5338040501</v>
      </c>
      <c r="M566" s="45" t="n">
        <v>230410.3845236451</v>
      </c>
      <c r="N566" s="45" t="n">
        <v>183538</v>
      </c>
      <c r="O566" s="45" t="n">
        <v>0</v>
      </c>
      <c r="P566" s="45" t="n">
        <v>0</v>
      </c>
      <c r="Q566" s="45" t="n">
        <v>0</v>
      </c>
      <c r="R566" s="45" t="n">
        <v>0</v>
      </c>
      <c r="S566" s="45" t="n">
        <v>1596898.079523645</v>
      </c>
      <c r="T566" s="45" t="n">
        <v>1272041.10320615</v>
      </c>
      <c r="U566" s="15" t="n">
        <v>25.53824522640822</v>
      </c>
      <c r="V566" s="15" t="n">
        <v>41.60195804465798</v>
      </c>
      <c r="W566" s="49" t="n">
        <v>79.657</v>
      </c>
    </row>
    <row r="567">
      <c r="A567" s="44" t="inlineStr">
        <is>
          <t>TL Cinsi Kuponsuz Senetler</t>
        </is>
      </c>
      <c r="B567" s="44" t="n">
        <v>2003</v>
      </c>
      <c r="C567" s="44" t="inlineStr">
        <is>
          <t>TRT220904T27</t>
        </is>
      </c>
      <c r="D567" s="44" t="inlineStr">
        <is>
          <t>nan</t>
        </is>
      </c>
      <c r="E567" s="44" t="inlineStr">
        <is>
          <t>nan</t>
        </is>
      </c>
      <c r="F567" s="44" t="n"/>
      <c r="G567" s="44" t="n"/>
      <c r="H567" s="15" t="n"/>
      <c r="I567" s="45" t="n">
        <v>5325840.595</v>
      </c>
      <c r="J567" s="45" t="n">
        <v>3607196.153</v>
      </c>
      <c r="K567" s="45" t="n">
        <v>2045502.075</v>
      </c>
      <c r="L567" s="45" t="n">
        <v>1385541.285522</v>
      </c>
      <c r="M567" s="45" t="n">
        <v>515973.7750605291</v>
      </c>
      <c r="N567" s="45" t="n">
        <v>349499.996275</v>
      </c>
      <c r="O567" s="45" t="n">
        <v>0</v>
      </c>
      <c r="P567" s="45" t="n">
        <v>0</v>
      </c>
      <c r="Q567" s="45" t="n">
        <v>32296.64</v>
      </c>
      <c r="R567" s="45" t="n">
        <v>21876.4520704</v>
      </c>
      <c r="S567" s="45" t="n">
        <v>3069725.33006053</v>
      </c>
      <c r="T567" s="45" t="n">
        <v>2079309.1495698</v>
      </c>
      <c r="U567" s="15" t="n">
        <v>47.63198299279556</v>
      </c>
      <c r="V567" s="15" t="n">
        <v>41.80091297814577</v>
      </c>
      <c r="W567" s="49" t="n">
        <v>67.736</v>
      </c>
    </row>
    <row r="568">
      <c r="A568" s="44" t="inlineStr">
        <is>
          <t>TL Cinsi Kuponsuz Senetler</t>
        </is>
      </c>
      <c r="B568" s="44" t="n">
        <v>2003</v>
      </c>
      <c r="C568" s="44" t="inlineStr">
        <is>
          <t>TRB070404T13</t>
        </is>
      </c>
      <c r="D568" s="44" t="inlineStr">
        <is>
          <t>nan</t>
        </is>
      </c>
      <c r="E568" s="44" t="inlineStr">
        <is>
          <t>nan</t>
        </is>
      </c>
      <c r="F568" s="44" t="n"/>
      <c r="G568" s="44" t="n"/>
      <c r="H568" s="15" t="n"/>
      <c r="I568" s="45" t="n">
        <v>1227322.025</v>
      </c>
      <c r="J568" s="45" t="n">
        <v>1008350.266</v>
      </c>
      <c r="K568" s="45" t="n">
        <v>818489.42</v>
      </c>
      <c r="L568" s="45" t="n">
        <v>671742.4518882</v>
      </c>
      <c r="M568" s="45" t="n">
        <v>35700.79565254475</v>
      </c>
      <c r="N568" s="45" t="n">
        <v>29300</v>
      </c>
      <c r="O568" s="45" t="n">
        <v>121845.7189506647</v>
      </c>
      <c r="P568" s="45" t="n">
        <v>100000</v>
      </c>
      <c r="Q568" s="45" t="n"/>
      <c r="R568" s="45" t="n">
        <v>0</v>
      </c>
      <c r="S568" s="45" t="n">
        <v>976035.9346032094</v>
      </c>
      <c r="T568" s="45" t="n">
        <v>801042.4518882</v>
      </c>
      <c r="U568" s="15" t="n">
        <v>21.84571895066467</v>
      </c>
      <c r="V568" s="15" t="n">
        <v>37.86108641602753</v>
      </c>
      <c r="W568" s="49" t="n">
        <v>82.071</v>
      </c>
    </row>
    <row r="569">
      <c r="A569" s="44" t="inlineStr">
        <is>
          <t>TL Cinsi Kuponsuz Senetler</t>
        </is>
      </c>
      <c r="B569" s="44" t="n">
        <v>2003</v>
      </c>
      <c r="C569" s="44" t="inlineStr">
        <is>
          <t>TRT220904T27</t>
        </is>
      </c>
      <c r="D569" s="44" t="inlineStr">
        <is>
          <t>nan</t>
        </is>
      </c>
      <c r="E569" s="44" t="inlineStr">
        <is>
          <t>nan</t>
        </is>
      </c>
      <c r="F569" s="44" t="n"/>
      <c r="G569" s="44" t="n"/>
      <c r="H569" s="15" t="n"/>
      <c r="I569" s="45" t="n">
        <v>3370960.895</v>
      </c>
      <c r="J569" s="45" t="n">
        <v>2384902.399</v>
      </c>
      <c r="K569" s="45" t="n">
        <v>2173262.08</v>
      </c>
      <c r="L569" s="45" t="n">
        <v>1536278.964352</v>
      </c>
      <c r="M569" s="45" t="n">
        <v>233413.4955439242</v>
      </c>
      <c r="N569" s="45" t="n">
        <v>165000</v>
      </c>
      <c r="O569" s="45" t="n">
        <v>236242.7500353657</v>
      </c>
      <c r="P569" s="45" t="n">
        <v>167000</v>
      </c>
      <c r="Q569" s="45" t="n">
        <v>0</v>
      </c>
      <c r="R569" s="45" t="n">
        <v>0</v>
      </c>
      <c r="S569" s="45" t="n">
        <v>2642918.32557929</v>
      </c>
      <c r="T569" s="45" t="n">
        <v>1868278.964352</v>
      </c>
      <c r="U569" s="15" t="n">
        <v>41.46272457207525</v>
      </c>
      <c r="V569" s="15" t="n">
        <v>38.00088583568977</v>
      </c>
      <c r="W569" s="49" t="n">
        <v>70.69</v>
      </c>
    </row>
    <row r="570">
      <c r="A570" s="44" t="inlineStr">
        <is>
          <t>TL Cinsi Kuponsuz Senetler</t>
        </is>
      </c>
      <c r="B570" s="44" t="n">
        <v>2003</v>
      </c>
      <c r="C570" s="44" t="inlineStr">
        <is>
          <t>TRB171203T12</t>
        </is>
      </c>
      <c r="D570" s="44" t="inlineStr">
        <is>
          <t>nan</t>
        </is>
      </c>
      <c r="E570" s="44" t="inlineStr">
        <is>
          <t>nan</t>
        </is>
      </c>
      <c r="F570" s="44" t="n"/>
      <c r="G570" s="44" t="n"/>
      <c r="H570" s="15" t="n"/>
      <c r="I570" s="45" t="n">
        <v>1751271.29</v>
      </c>
      <c r="J570" s="45" t="n">
        <v>1639077.111</v>
      </c>
      <c r="K570" s="45" t="n">
        <v>1240416.185</v>
      </c>
      <c r="L570" s="45" t="n">
        <v>1160000.00372645</v>
      </c>
      <c r="M570" s="45" t="n">
        <v>0</v>
      </c>
      <c r="N570" s="45" t="n">
        <v>0</v>
      </c>
      <c r="O570" s="45" t="n">
        <v>0</v>
      </c>
      <c r="P570" s="45" t="n">
        <v>0</v>
      </c>
      <c r="Q570" s="45" t="n">
        <v>0</v>
      </c>
      <c r="R570" s="45" t="n">
        <v>0</v>
      </c>
      <c r="S570" s="45" t="n">
        <v>1240416.185</v>
      </c>
      <c r="T570" s="45" t="n">
        <v>1160000.00372645</v>
      </c>
      <c r="U570" s="15" t="n">
        <v>6.932429397863493</v>
      </c>
      <c r="V570" s="15" t="n">
        <v>30.74880693748712</v>
      </c>
      <c r="W570" s="49" t="n">
        <v>93.517</v>
      </c>
    </row>
    <row r="571">
      <c r="A571" s="44" t="inlineStr">
        <is>
          <t>TL Cinsi Kuponsuz Senetler</t>
        </is>
      </c>
      <c r="B571" s="44" t="n">
        <v>2003</v>
      </c>
      <c r="C571" s="44" t="inlineStr">
        <is>
          <t>TRT220904T27</t>
        </is>
      </c>
      <c r="D571" s="44" t="inlineStr">
        <is>
          <t>nan</t>
        </is>
      </c>
      <c r="E571" s="44" t="inlineStr">
        <is>
          <t>nan</t>
        </is>
      </c>
      <c r="F571" s="44" t="n"/>
      <c r="G571" s="44" t="n"/>
      <c r="H571" s="15" t="n"/>
      <c r="I571" s="45" t="n">
        <v>1702311.3</v>
      </c>
      <c r="J571" s="45" t="n">
        <v>1227077.054</v>
      </c>
      <c r="K571" s="45" t="n">
        <v>544873.755</v>
      </c>
      <c r="L571" s="45" t="n">
        <v>400852.7240784</v>
      </c>
      <c r="M571" s="45" t="n">
        <v>0</v>
      </c>
      <c r="N571" s="45" t="n">
        <v>0</v>
      </c>
      <c r="O571" s="45" t="n">
        <v>203892.9969551979</v>
      </c>
      <c r="P571" s="45" t="n">
        <v>150000</v>
      </c>
      <c r="Q571" s="45" t="n">
        <v>9943.045</v>
      </c>
      <c r="R571" s="45" t="n">
        <v>7314.8993456</v>
      </c>
      <c r="S571" s="45" t="n">
        <v>758709.7969551979</v>
      </c>
      <c r="T571" s="45" t="n">
        <v>558167.6234240001</v>
      </c>
      <c r="U571" s="15" t="n">
        <v>35.9286646367986</v>
      </c>
      <c r="V571" s="15" t="n">
        <v>35.14368213573658</v>
      </c>
      <c r="W571" s="49" t="n">
        <v>73.568</v>
      </c>
    </row>
    <row r="572">
      <c r="A572" s="44" t="inlineStr">
        <is>
          <t>TL Cinsi Kuponsuz Senetler</t>
        </is>
      </c>
      <c r="B572" s="44" t="n">
        <v>2003</v>
      </c>
      <c r="C572" s="44" t="inlineStr">
        <is>
          <t>TRB070404T13</t>
        </is>
      </c>
      <c r="D572" s="44" t="inlineStr">
        <is>
          <t>nan</t>
        </is>
      </c>
      <c r="E572" s="44" t="inlineStr">
        <is>
          <t>nan</t>
        </is>
      </c>
      <c r="F572" s="44" t="n"/>
      <c r="G572" s="44" t="n"/>
      <c r="H572" s="15" t="n"/>
      <c r="I572" s="45" t="n">
        <v>1613017.645</v>
      </c>
      <c r="J572" s="45" t="n">
        <v>1416465.81</v>
      </c>
      <c r="K572" s="45" t="n">
        <v>1280479.04</v>
      </c>
      <c r="L572" s="45" t="n">
        <v>1120764.8893408</v>
      </c>
      <c r="M572" s="45" t="n">
        <v>54840.22073188845</v>
      </c>
      <c r="N572" s="45" t="n">
        <v>48000</v>
      </c>
      <c r="O572" s="45" t="n">
        <v>297828.0987580975</v>
      </c>
      <c r="P572" s="45" t="n">
        <v>260680</v>
      </c>
      <c r="Q572" s="45" t="n">
        <v>0</v>
      </c>
      <c r="R572" s="45" t="n">
        <v>0</v>
      </c>
      <c r="S572" s="45" t="n">
        <v>1699215.524489986</v>
      </c>
      <c r="T572" s="45" t="n">
        <v>1487272.37212035</v>
      </c>
      <c r="U572" s="15" t="n">
        <v>14.25045985810094</v>
      </c>
      <c r="V572" s="15" t="n">
        <v>30.53167577787534</v>
      </c>
      <c r="W572" s="49" t="n">
        <v>87.527</v>
      </c>
    </row>
    <row r="573">
      <c r="A573" s="44" t="inlineStr">
        <is>
          <t>TL Cinsi Kuponsuz Senetler</t>
        </is>
      </c>
      <c r="B573" s="44" t="n">
        <v>2003</v>
      </c>
      <c r="C573" s="44" t="inlineStr">
        <is>
          <t>TRT271004T11</t>
        </is>
      </c>
      <c r="D573" s="44" t="inlineStr">
        <is>
          <t>nan</t>
        </is>
      </c>
      <c r="E573" s="44" t="inlineStr">
        <is>
          <t>nan</t>
        </is>
      </c>
      <c r="F573" s="44" t="n"/>
      <c r="G573" s="44" t="n"/>
      <c r="H573" s="15" t="n"/>
      <c r="I573" s="45" t="n">
        <v>3995674.765</v>
      </c>
      <c r="J573" s="45" t="n">
        <v>3027957.264</v>
      </c>
      <c r="K573" s="45" t="n">
        <v>2048767.235</v>
      </c>
      <c r="L573" s="45" t="n">
        <v>1548683.64060885</v>
      </c>
      <c r="M573" s="45" t="n">
        <v>601321.5197576431</v>
      </c>
      <c r="N573" s="45" t="n">
        <v>454544.95</v>
      </c>
      <c r="O573" s="45" t="n">
        <v>856616.5284226958</v>
      </c>
      <c r="P573" s="45" t="n">
        <v>647525</v>
      </c>
      <c r="Q573" s="45" t="n">
        <v>23427.935</v>
      </c>
      <c r="R573" s="45" t="n">
        <v>17709.4041275</v>
      </c>
      <c r="S573" s="45" t="n">
        <v>3804726.428180339</v>
      </c>
      <c r="T573" s="45" t="n">
        <v>2876030.74810745</v>
      </c>
      <c r="U573" s="15" t="n">
        <v>32.29088118955961</v>
      </c>
      <c r="V573" s="15" t="n">
        <v>30.28697631916753</v>
      </c>
      <c r="W573" s="49" t="n">
        <v>75.59099999999999</v>
      </c>
    </row>
    <row r="574">
      <c r="A574" s="44" t="inlineStr">
        <is>
          <t>TL Cinsi Kuponsuz Senetler</t>
        </is>
      </c>
      <c r="B574" s="44" t="n">
        <v>2003</v>
      </c>
      <c r="C574" s="44" t="inlineStr">
        <is>
          <t>TRB210104T18</t>
        </is>
      </c>
      <c r="D574" s="44" t="inlineStr">
        <is>
          <t>nan</t>
        </is>
      </c>
      <c r="E574" s="44" t="inlineStr">
        <is>
          <t>nan</t>
        </is>
      </c>
      <c r="F574" s="44" t="n"/>
      <c r="G574" s="44" t="n"/>
      <c r="H574" s="15" t="n"/>
      <c r="I574" s="45" t="n">
        <v>2181281.89</v>
      </c>
      <c r="J574" s="45" t="n">
        <v>2060269.79</v>
      </c>
      <c r="K574" s="45" t="n">
        <v>1585014.41</v>
      </c>
      <c r="L574" s="45" t="n">
        <v>1496000.0007344</v>
      </c>
      <c r="M574" s="45" t="n">
        <v>0</v>
      </c>
      <c r="N574" s="45" t="n">
        <v>0</v>
      </c>
      <c r="O574" s="45" t="n">
        <v>0</v>
      </c>
      <c r="P574" s="45" t="n">
        <v>0</v>
      </c>
      <c r="Q574" s="45" t="n">
        <v>0</v>
      </c>
      <c r="R574" s="45" t="n">
        <v>0</v>
      </c>
      <c r="S574" s="45" t="n">
        <v>1585014.41</v>
      </c>
      <c r="T574" s="45" t="n">
        <v>1496000.0007344</v>
      </c>
      <c r="U574" s="15" t="n">
        <v>5.950161044244795</v>
      </c>
      <c r="V574" s="15" t="n">
        <v>26.01042742865827</v>
      </c>
      <c r="W574" s="49" t="n">
        <v>94.384</v>
      </c>
    </row>
    <row r="575">
      <c r="A575" s="44" t="inlineStr">
        <is>
          <t>TL Cinsi Kuponsuz Senetler</t>
        </is>
      </c>
      <c r="B575" s="44" t="n">
        <v>2003</v>
      </c>
      <c r="C575" s="44" t="inlineStr">
        <is>
          <t>TRB210704T12</t>
        </is>
      </c>
      <c r="D575" s="44" t="inlineStr">
        <is>
          <t>nan</t>
        </is>
      </c>
      <c r="E575" s="44" t="inlineStr">
        <is>
          <t>nan</t>
        </is>
      </c>
      <c r="F575" s="44" t="n"/>
      <c r="G575" s="44" t="n"/>
      <c r="H575" s="15" t="n"/>
      <c r="I575" s="45" t="n">
        <v>2065994.22</v>
      </c>
      <c r="J575" s="45" t="n">
        <v>1720844.576</v>
      </c>
      <c r="K575" s="45" t="n">
        <v>1875962.25</v>
      </c>
      <c r="L575" s="45" t="n">
        <v>1557348.82146</v>
      </c>
      <c r="M575" s="45" t="n">
        <v>54687.02418810831</v>
      </c>
      <c r="N575" s="45" t="n">
        <v>45398.98</v>
      </c>
      <c r="O575" s="45" t="n">
        <v>313192.6375638432</v>
      </c>
      <c r="P575" s="45" t="n">
        <v>260000</v>
      </c>
      <c r="Q575" s="45" t="n">
        <v>35121.24</v>
      </c>
      <c r="R575" s="45" t="n">
        <v>29156.2485984</v>
      </c>
      <c r="S575" s="45" t="n">
        <v>2392639.451751952</v>
      </c>
      <c r="T575" s="45" t="n">
        <v>1986273.5672664</v>
      </c>
      <c r="U575" s="15" t="n">
        <v>20.45870675532429</v>
      </c>
      <c r="V575" s="15" t="n">
        <v>29.90038492991498</v>
      </c>
      <c r="W575" s="49" t="n">
        <v>83.01600000000001</v>
      </c>
    </row>
    <row r="576">
      <c r="A576" s="44" t="inlineStr">
        <is>
          <t>TL Cinsi Kuponsuz Senetler</t>
        </is>
      </c>
      <c r="B576" s="44" t="n">
        <v>2003</v>
      </c>
      <c r="C576" s="44" t="inlineStr">
        <is>
          <t>TRT151204T13</t>
        </is>
      </c>
      <c r="D576" s="44" t="inlineStr">
        <is>
          <t>nan</t>
        </is>
      </c>
      <c r="E576" s="44" t="inlineStr">
        <is>
          <t>nan</t>
        </is>
      </c>
      <c r="F576" s="44" t="n"/>
      <c r="G576" s="44" t="n"/>
      <c r="H576" s="15" t="n"/>
      <c r="I576" s="45" t="n">
        <v>4951840.23</v>
      </c>
      <c r="J576" s="45" t="n">
        <v>3715981.8</v>
      </c>
      <c r="K576" s="45" t="n">
        <v>3219517.11</v>
      </c>
      <c r="L576" s="45" t="n">
        <v>2407909.0417401</v>
      </c>
      <c r="M576" s="45" t="n">
        <v>474656.0415023198</v>
      </c>
      <c r="N576" s="45" t="n">
        <v>355000</v>
      </c>
      <c r="O576" s="45" t="n">
        <v>317551.5770614111</v>
      </c>
      <c r="P576" s="45" t="n">
        <v>237500</v>
      </c>
      <c r="Q576" s="45" t="n">
        <v>100451.335</v>
      </c>
      <c r="R576" s="45" t="n">
        <v>75128.55795985</v>
      </c>
      <c r="S576" s="45" t="n">
        <v>4694542.748563731</v>
      </c>
      <c r="T576" s="45" t="n">
        <v>3511095.4670783</v>
      </c>
      <c r="U576" s="15" t="n">
        <v>33.70592718375205</v>
      </c>
      <c r="V576" s="15" t="n">
        <v>29.74797596492817</v>
      </c>
      <c r="W576" s="49" t="n">
        <v>74.791</v>
      </c>
    </row>
    <row r="577">
      <c r="A577" s="44" t="inlineStr">
        <is>
          <t>TL Cinsi Kuponsuz Senetler</t>
        </is>
      </c>
      <c r="B577" s="44" t="n">
        <v>2003</v>
      </c>
      <c r="C577" s="44" t="inlineStr">
        <is>
          <t>TRB110204T19</t>
        </is>
      </c>
      <c r="D577" s="44" t="inlineStr">
        <is>
          <t>nan</t>
        </is>
      </c>
      <c r="E577" s="44" t="inlineStr">
        <is>
          <t>nan</t>
        </is>
      </c>
      <c r="F577" s="44" t="n"/>
      <c r="G577" s="44" t="n"/>
      <c r="H577" s="15" t="n"/>
      <c r="I577" s="45" t="n">
        <v>2423217.88</v>
      </c>
      <c r="J577" s="45" t="n">
        <v>2290157.616</v>
      </c>
      <c r="K577" s="45" t="n">
        <v>1934404.005</v>
      </c>
      <c r="L577" s="45" t="n">
        <v>1826000.0045598</v>
      </c>
      <c r="M577" s="45" t="n">
        <v>0</v>
      </c>
      <c r="N577" s="45" t="n">
        <v>0</v>
      </c>
      <c r="O577" s="45" t="n">
        <v>0</v>
      </c>
      <c r="P577" s="45" t="n">
        <v>0</v>
      </c>
      <c r="Q577" s="45" t="n">
        <v>0</v>
      </c>
      <c r="R577" s="45" t="n">
        <v>0</v>
      </c>
      <c r="S577" s="45" t="n">
        <v>1934404.005</v>
      </c>
      <c r="T577" s="45" t="n">
        <v>1826000.0045598</v>
      </c>
      <c r="U577" s="15" t="n">
        <v>5.93669223272173</v>
      </c>
      <c r="V577" s="15" t="n">
        <v>25.94636383221696</v>
      </c>
      <c r="W577" s="49" t="n">
        <v>94.396</v>
      </c>
    </row>
    <row r="578">
      <c r="A578" s="44" t="inlineStr">
        <is>
          <t>TL Cinsi Kuponsuz Senetler</t>
        </is>
      </c>
      <c r="B578" s="44" t="n">
        <v>2003</v>
      </c>
      <c r="C578" s="44" t="inlineStr">
        <is>
          <t>TRB050504T14</t>
        </is>
      </c>
      <c r="D578" s="44" t="inlineStr">
        <is>
          <t>nan</t>
        </is>
      </c>
      <c r="E578" s="44" t="inlineStr">
        <is>
          <t>nan</t>
        </is>
      </c>
      <c r="F578" s="44" t="n"/>
      <c r="G578" s="44" t="n"/>
      <c r="H578" s="15" t="n"/>
      <c r="I578" s="45" t="n">
        <v>1716168.05</v>
      </c>
      <c r="J578" s="45" t="n">
        <v>1536725.719</v>
      </c>
      <c r="K578" s="45" t="n">
        <v>1457867.44</v>
      </c>
      <c r="L578" s="45" t="n">
        <v>1303246.0193136</v>
      </c>
      <c r="M578" s="45" t="n">
        <v>55932.16546971832</v>
      </c>
      <c r="N578" s="45" t="n">
        <v>50000</v>
      </c>
      <c r="O578" s="45" t="n">
        <v>156610.0633152113</v>
      </c>
      <c r="P578" s="45" t="n">
        <v>140000</v>
      </c>
      <c r="Q578" s="45" t="n">
        <v>0</v>
      </c>
      <c r="R578" s="45" t="n">
        <v>0</v>
      </c>
      <c r="S578" s="45" t="n">
        <v>1731903.50378493</v>
      </c>
      <c r="T578" s="45" t="n">
        <v>1548217.8181735</v>
      </c>
      <c r="U578" s="15" t="n">
        <v>11.86433093943664</v>
      </c>
      <c r="V578" s="15" t="n">
        <v>27.49657859085513</v>
      </c>
      <c r="W578" s="49" t="n">
        <v>89.39400000000001</v>
      </c>
    </row>
    <row r="579">
      <c r="A579" s="44" t="inlineStr">
        <is>
          <t>TL Cinsi Kuponsuz Senetler</t>
        </is>
      </c>
      <c r="B579" s="44" t="n">
        <v>2003</v>
      </c>
      <c r="C579" s="44" t="inlineStr">
        <is>
          <t>TRT151204T13</t>
        </is>
      </c>
      <c r="D579" s="44" t="inlineStr">
        <is>
          <t>nan</t>
        </is>
      </c>
      <c r="E579" s="44" t="inlineStr">
        <is>
          <t>nan</t>
        </is>
      </c>
      <c r="F579" s="44" t="n"/>
      <c r="G579" s="44" t="n"/>
      <c r="H579" s="15" t="n"/>
      <c r="I579" s="45" t="n">
        <v>1617447.375</v>
      </c>
      <c r="J579" s="45" t="n">
        <v>1234503.973</v>
      </c>
      <c r="K579" s="45" t="n">
        <v>914908.54</v>
      </c>
      <c r="L579" s="45" t="n">
        <v>698322.2413258001</v>
      </c>
      <c r="M579" s="45" t="n">
        <v>555504.6051855831</v>
      </c>
      <c r="N579" s="45" t="n">
        <v>424000</v>
      </c>
      <c r="O579" s="45" t="n">
        <v>211196.5621601792</v>
      </c>
      <c r="P579" s="45" t="n">
        <v>161200</v>
      </c>
      <c r="Q579" s="45" t="n">
        <v>7725.565</v>
      </c>
      <c r="R579" s="45" t="n">
        <v>5896.69199755</v>
      </c>
      <c r="S579" s="45" t="n">
        <v>1689335.272345762</v>
      </c>
      <c r="T579" s="45" t="n">
        <v>1289418.93332335</v>
      </c>
      <c r="U579" s="15" t="n">
        <v>31.01523707207148</v>
      </c>
      <c r="V579" s="15" t="n">
        <v>28.51140685311935</v>
      </c>
      <c r="W579" s="49" t="n">
        <v>76.327</v>
      </c>
    </row>
    <row r="580">
      <c r="A580" s="44" t="inlineStr">
        <is>
          <t>TL Cinsi Kuponsuz Senetler</t>
        </is>
      </c>
      <c r="B580" s="44" t="n">
        <v>2003</v>
      </c>
      <c r="C580" s="44" t="inlineStr">
        <is>
          <t>TRB050504T14</t>
        </is>
      </c>
      <c r="D580" s="44" t="inlineStr">
        <is>
          <t>nan</t>
        </is>
      </c>
      <c r="E580" s="44" t="inlineStr">
        <is>
          <t>nan</t>
        </is>
      </c>
      <c r="F580" s="44" t="n"/>
      <c r="G580" s="44" t="n"/>
      <c r="H580" s="15" t="n"/>
      <c r="I580" s="45" t="n">
        <v>833191.91</v>
      </c>
      <c r="J580" s="45" t="n">
        <v>752709.213</v>
      </c>
      <c r="K580" s="45" t="n">
        <v>733437.3199999999</v>
      </c>
      <c r="L580" s="45" t="n">
        <v>661164.4064871999</v>
      </c>
      <c r="M580" s="45" t="n">
        <v>0</v>
      </c>
      <c r="N580" s="45" t="n">
        <v>0</v>
      </c>
      <c r="O580" s="45" t="n">
        <v>44372.46244980365</v>
      </c>
      <c r="P580" s="45" t="n">
        <v>40000</v>
      </c>
      <c r="Q580" s="45" t="n">
        <v>0</v>
      </c>
      <c r="R580" s="45" t="n">
        <v>0</v>
      </c>
      <c r="S580" s="45" t="n">
        <v>777809.7824498035</v>
      </c>
      <c r="T580" s="45" t="n">
        <v>701164.4064871999</v>
      </c>
      <c r="U580" s="15" t="n">
        <v>10.93115612450912</v>
      </c>
      <c r="V580" s="15" t="n">
        <v>27.78803252869197</v>
      </c>
      <c r="W580" s="49" t="n">
        <v>90.146</v>
      </c>
    </row>
    <row r="581">
      <c r="A581" s="44" t="inlineStr">
        <is>
          <t>TL Cinsi Kuponsuz Senetler</t>
        </is>
      </c>
      <c r="B581" s="44" t="n">
        <v>2003</v>
      </c>
      <c r="C581" s="44" t="inlineStr">
        <is>
          <t>TRT260105T12</t>
        </is>
      </c>
      <c r="D581" s="44" t="inlineStr">
        <is>
          <t>nan</t>
        </is>
      </c>
      <c r="E581" s="44" t="inlineStr">
        <is>
          <t>nan</t>
        </is>
      </c>
      <c r="F581" s="44" t="n"/>
      <c r="G581" s="44" t="n"/>
      <c r="H581" s="15" t="n"/>
      <c r="I581" s="45" t="n">
        <v>3444514.265</v>
      </c>
      <c r="J581" s="45" t="n">
        <v>2576641.793</v>
      </c>
      <c r="K581" s="45" t="n">
        <v>2339578.94</v>
      </c>
      <c r="L581" s="45" t="n">
        <v>1745325.88924</v>
      </c>
      <c r="M581" s="45" t="n">
        <v>127345.8445040214</v>
      </c>
      <c r="N581" s="45" t="n">
        <v>95000</v>
      </c>
      <c r="O581" s="45" t="n">
        <v>469510.735</v>
      </c>
      <c r="P581" s="45" t="n">
        <v>350255.00831</v>
      </c>
      <c r="Q581" s="45" t="n">
        <v>92873.28999999999</v>
      </c>
      <c r="R581" s="45" t="n">
        <v>69283.47434</v>
      </c>
      <c r="S581" s="45" t="n">
        <v>3453707.054504022</v>
      </c>
      <c r="T581" s="45" t="n">
        <v>2576465.46266</v>
      </c>
      <c r="U581" s="15" t="n">
        <v>34.04825737265416</v>
      </c>
      <c r="V581" s="15" t="n">
        <v>28.91190201331839</v>
      </c>
      <c r="W581" s="49" t="n">
        <v>74.59999999999999</v>
      </c>
    </row>
    <row r="582">
      <c r="A582" s="44" t="inlineStr">
        <is>
          <t>TL Cinsi Kuponsuz Senetler</t>
        </is>
      </c>
      <c r="B582" s="44" t="n">
        <v>2003</v>
      </c>
      <c r="C582" s="44" t="inlineStr">
        <is>
          <t>TRB170304T12</t>
        </is>
      </c>
      <c r="D582" s="44" t="inlineStr">
        <is>
          <t>nan</t>
        </is>
      </c>
      <c r="E582" s="44" t="inlineStr">
        <is>
          <t>nan</t>
        </is>
      </c>
      <c r="F582" s="44" t="n"/>
      <c r="G582" s="44" t="n"/>
      <c r="H582" s="15" t="n"/>
      <c r="I582" s="45" t="n">
        <v>1258464.3</v>
      </c>
      <c r="J582" s="45" t="n">
        <v>1190067.624</v>
      </c>
      <c r="K582" s="45" t="n">
        <v>1133366.12</v>
      </c>
      <c r="L582" s="45" t="n">
        <v>1070486.9676624</v>
      </c>
      <c r="M582" s="45" t="n">
        <v>0</v>
      </c>
      <c r="N582" s="45" t="n">
        <v>0</v>
      </c>
      <c r="O582" s="45" t="n">
        <v>0</v>
      </c>
      <c r="P582" s="45" t="n">
        <v>0</v>
      </c>
      <c r="Q582" s="45" t="n">
        <v>0</v>
      </c>
      <c r="R582" s="45" t="n">
        <v>0</v>
      </c>
      <c r="S582" s="45" t="n">
        <v>1133366.12</v>
      </c>
      <c r="T582" s="45" t="n">
        <v>1070486.9676624</v>
      </c>
      <c r="U582" s="15" t="n">
        <v>5.873883030534022</v>
      </c>
      <c r="V582" s="15" t="n">
        <v>25.64793812022026</v>
      </c>
      <c r="W582" s="49" t="n">
        <v>94.452</v>
      </c>
    </row>
    <row r="583">
      <c r="A583" s="44" t="inlineStr">
        <is>
          <t>TL Cinsi Kuponsuz Senetler</t>
        </is>
      </c>
      <c r="B583" s="44" t="n">
        <v>2002</v>
      </c>
      <c r="C583" s="44" t="inlineStr">
        <is>
          <t>TRB290502T18</t>
        </is>
      </c>
      <c r="D583" s="44" t="inlineStr">
        <is>
          <t>nan</t>
        </is>
      </c>
      <c r="E583" s="44" t="inlineStr">
        <is>
          <t>nan</t>
        </is>
      </c>
      <c r="F583" s="44" t="n"/>
      <c r="G583" s="44" t="n"/>
      <c r="H583" s="15" t="n"/>
      <c r="I583" s="45" t="n">
        <v>1606463.235</v>
      </c>
      <c r="J583" s="45" t="n">
        <v>1311099.469</v>
      </c>
      <c r="K583" s="45" t="n">
        <v>1501811.08</v>
      </c>
      <c r="L583" s="45" t="n">
        <v>1221843.482079674</v>
      </c>
      <c r="M583" s="45" t="n">
        <v>51304.0949</v>
      </c>
      <c r="N583" s="45" t="n">
        <v>41740</v>
      </c>
      <c r="O583" s="45" t="n">
        <v>0</v>
      </c>
      <c r="P583" s="45" t="n">
        <v>0</v>
      </c>
      <c r="Q583" s="45" t="n">
        <v>0</v>
      </c>
      <c r="R583" s="45" t="n">
        <v>0</v>
      </c>
      <c r="S583" s="45" t="n">
        <v>1553115.1749</v>
      </c>
      <c r="T583" s="45" t="n">
        <v>1263583.482079674</v>
      </c>
      <c r="U583" s="15" t="n">
        <v>22.9135</v>
      </c>
      <c r="V583" s="15" t="n">
        <v>70.98535813049209</v>
      </c>
      <c r="W583" s="49" t="n">
        <v>81.358</v>
      </c>
    </row>
    <row r="584">
      <c r="A584" s="44" t="inlineStr">
        <is>
          <t>TL Cinsi Kuponsuz Senetler</t>
        </is>
      </c>
      <c r="B584" s="44" t="n">
        <v>2002</v>
      </c>
      <c r="C584" s="44" t="inlineStr">
        <is>
          <t>TRB040902T13</t>
        </is>
      </c>
      <c r="D584" s="44" t="inlineStr">
        <is>
          <t>nan</t>
        </is>
      </c>
      <c r="E584" s="44" t="inlineStr">
        <is>
          <t>nan</t>
        </is>
      </c>
      <c r="F584" s="44" t="n"/>
      <c r="G584" s="44" t="n"/>
      <c r="H584" s="15" t="n"/>
      <c r="I584" s="45" t="n">
        <v>3420244.82</v>
      </c>
      <c r="J584" s="45" t="n">
        <v>2412069.882</v>
      </c>
      <c r="K584" s="45" t="n">
        <v>2695803.11</v>
      </c>
      <c r="L584" s="45" t="n">
        <v>1895769.589228542</v>
      </c>
      <c r="M584" s="45" t="n">
        <v>540576.7147234381</v>
      </c>
      <c r="N584" s="45" t="n">
        <v>380149.99534</v>
      </c>
      <c r="O584" s="45" t="n">
        <v>0</v>
      </c>
      <c r="P584" s="45" t="n">
        <v>0</v>
      </c>
      <c r="Q584" s="45" t="n">
        <v>0</v>
      </c>
      <c r="R584" s="45" t="n">
        <v>0</v>
      </c>
      <c r="S584" s="45" t="n">
        <v>3236379.824723438</v>
      </c>
      <c r="T584" s="45" t="n">
        <v>2275919.584568542</v>
      </c>
      <c r="U584" s="15" t="n">
        <v>42.2009</v>
      </c>
      <c r="V584" s="15" t="n">
        <v>71.33679761513656</v>
      </c>
      <c r="W584" s="49" t="n">
        <v>70.32299999999999</v>
      </c>
    </row>
    <row r="585">
      <c r="A585" s="44" t="inlineStr">
        <is>
          <t>TL Cinsi Kuponsuz Senetler</t>
        </is>
      </c>
      <c r="B585" s="44" t="n">
        <v>2002</v>
      </c>
      <c r="C585" s="44" t="inlineStr">
        <is>
          <t>TRB080502T13</t>
        </is>
      </c>
      <c r="D585" s="44" t="inlineStr">
        <is>
          <t>nan</t>
        </is>
      </c>
      <c r="E585" s="44" t="inlineStr">
        <is>
          <t>nan</t>
        </is>
      </c>
      <c r="F585" s="44" t="n"/>
      <c r="G585" s="44" t="n"/>
      <c r="H585" s="15" t="n"/>
      <c r="I585" s="45" t="n">
        <v>997818.53</v>
      </c>
      <c r="J585" s="45" t="n">
        <v>845130.451</v>
      </c>
      <c r="K585" s="45" t="n">
        <v>451989.655</v>
      </c>
      <c r="L585" s="45" t="n">
        <v>383043.1517308481</v>
      </c>
      <c r="M585" s="45" t="n">
        <v>49854.85015562914</v>
      </c>
      <c r="N585" s="45" t="n">
        <v>42249.99117</v>
      </c>
      <c r="O585" s="45" t="n">
        <v>0</v>
      </c>
      <c r="P585" s="45" t="n">
        <v>0</v>
      </c>
      <c r="Q585" s="45" t="n">
        <v>0</v>
      </c>
      <c r="R585" s="45" t="n">
        <v>0</v>
      </c>
      <c r="S585" s="45" t="n">
        <v>501844.5051556292</v>
      </c>
      <c r="T585" s="45" t="n">
        <v>425293.1429008481</v>
      </c>
      <c r="U585" s="15" t="n">
        <v>17.99967</v>
      </c>
      <c r="V585" s="15" t="n">
        <v>71.24290096163304</v>
      </c>
      <c r="W585" s="49" t="n">
        <v>84.746</v>
      </c>
    </row>
    <row r="586">
      <c r="A586" s="44" t="inlineStr">
        <is>
          <t>TL Cinsi Kuponsuz Senetler</t>
        </is>
      </c>
      <c r="B586" s="44" t="n">
        <v>2002</v>
      </c>
      <c r="C586" s="44" t="inlineStr">
        <is>
          <t>TRB240402T14</t>
        </is>
      </c>
      <c r="D586" s="44" t="inlineStr">
        <is>
          <t>nan</t>
        </is>
      </c>
      <c r="E586" s="44" t="inlineStr">
        <is>
          <t>nan</t>
        </is>
      </c>
      <c r="F586" s="44" t="n"/>
      <c r="G586" s="44" t="n"/>
      <c r="H586" s="15" t="n"/>
      <c r="I586" s="45" t="n">
        <v>939116.1899999999</v>
      </c>
      <c r="J586" s="45" t="n">
        <v>824588.588</v>
      </c>
      <c r="K586" s="45" t="n">
        <v>910767.6800000001</v>
      </c>
      <c r="L586" s="45" t="n">
        <v>794999.9979642463</v>
      </c>
      <c r="M586" s="45" t="n">
        <v>0</v>
      </c>
      <c r="N586" s="45" t="n">
        <v>0</v>
      </c>
      <c r="O586" s="45" t="n">
        <v>0</v>
      </c>
      <c r="P586" s="45" t="n">
        <v>0</v>
      </c>
      <c r="Q586" s="45" t="n">
        <v>0</v>
      </c>
      <c r="R586" s="45" t="n">
        <v>0</v>
      </c>
      <c r="S586" s="45" t="n">
        <v>910767.6800000001</v>
      </c>
      <c r="T586" s="45" t="n">
        <v>794999.9979642463</v>
      </c>
      <c r="U586" s="15" t="n">
        <v>14.562</v>
      </c>
      <c r="V586" s="15" t="n">
        <v>72.25123620547507</v>
      </c>
      <c r="W586" s="49" t="n">
        <v>87.289</v>
      </c>
    </row>
    <row r="587">
      <c r="A587" s="44" t="inlineStr">
        <is>
          <t>TL Cinsi Kuponsuz Senetler</t>
        </is>
      </c>
      <c r="B587" s="44" t="n">
        <v>2002</v>
      </c>
      <c r="C587" s="44" t="inlineStr">
        <is>
          <t>TRT050203T18</t>
        </is>
      </c>
      <c r="D587" s="44" t="inlineStr">
        <is>
          <t>nan</t>
        </is>
      </c>
      <c r="E587" s="44" t="inlineStr">
        <is>
          <t>nan</t>
        </is>
      </c>
      <c r="F587" s="44" t="n"/>
      <c r="G587" s="44" t="n"/>
      <c r="H587" s="15" t="n"/>
      <c r="I587" s="45" t="n">
        <v>2499336.255</v>
      </c>
      <c r="J587" s="45" t="n">
        <v>1474204.865</v>
      </c>
      <c r="K587" s="45" t="n">
        <v>1204894.97</v>
      </c>
      <c r="L587" s="45" t="n">
        <v>710671.1394920928</v>
      </c>
      <c r="M587" s="45" t="n">
        <v>111610.02524</v>
      </c>
      <c r="N587" s="45" t="n">
        <v>65830</v>
      </c>
      <c r="O587" s="45" t="n">
        <v>0</v>
      </c>
      <c r="P587" s="45" t="n">
        <v>0</v>
      </c>
      <c r="Q587" s="45" t="n">
        <v>0</v>
      </c>
      <c r="R587" s="45" t="n">
        <v>0</v>
      </c>
      <c r="S587" s="45" t="n">
        <v>1316504.99524</v>
      </c>
      <c r="T587" s="45" t="n">
        <v>776501.1394920928</v>
      </c>
      <c r="U587" s="15" t="n">
        <v>69.5428</v>
      </c>
      <c r="V587" s="15" t="n">
        <v>69.54280000000001</v>
      </c>
      <c r="W587" s="49" t="n">
        <v>58.982</v>
      </c>
    </row>
    <row r="588">
      <c r="A588" s="44" t="inlineStr">
        <is>
          <t>TL Cinsi Kuponsuz Senetler</t>
        </is>
      </c>
      <c r="B588" s="44" t="n">
        <v>2002</v>
      </c>
      <c r="C588" s="44" t="inlineStr">
        <is>
          <t>TRB150502T14</t>
        </is>
      </c>
      <c r="D588" s="44" t="inlineStr">
        <is>
          <t>nan</t>
        </is>
      </c>
      <c r="E588" s="44" t="inlineStr">
        <is>
          <t>nan</t>
        </is>
      </c>
      <c r="F588" s="44" t="n"/>
      <c r="G588" s="44" t="n"/>
      <c r="H588" s="15" t="n"/>
      <c r="I588" s="45" t="n">
        <v>1606350.84</v>
      </c>
      <c r="J588" s="45" t="n">
        <v>1409565.579</v>
      </c>
      <c r="K588" s="45" t="n">
        <v>661081.67</v>
      </c>
      <c r="L588" s="45" t="n">
        <v>579999.9912265002</v>
      </c>
      <c r="M588" s="45" t="n">
        <v>0</v>
      </c>
      <c r="N588" s="45" t="n">
        <v>0</v>
      </c>
      <c r="O588" s="45" t="n">
        <v>0</v>
      </c>
      <c r="P588" s="45" t="n">
        <v>0</v>
      </c>
      <c r="Q588" s="45" t="n">
        <v>0</v>
      </c>
      <c r="R588" s="45" t="n">
        <v>0</v>
      </c>
      <c r="S588" s="45" t="n">
        <v>661081.67</v>
      </c>
      <c r="T588" s="45" t="n">
        <v>579999.9912265002</v>
      </c>
      <c r="U588" s="15" t="n">
        <v>13.9796</v>
      </c>
      <c r="V588" s="15" t="n">
        <v>68.77515445622105</v>
      </c>
      <c r="W588" s="49" t="n">
        <v>87.735</v>
      </c>
    </row>
    <row r="589">
      <c r="A589" s="44" t="inlineStr">
        <is>
          <t>TL Cinsi Kuponsuz Senetler</t>
        </is>
      </c>
      <c r="B589" s="44" t="n">
        <v>2002</v>
      </c>
      <c r="C589" s="44" t="inlineStr">
        <is>
          <t>TRB280802T16</t>
        </is>
      </c>
      <c r="D589" s="44" t="inlineStr">
        <is>
          <t>nan</t>
        </is>
      </c>
      <c r="E589" s="44" t="inlineStr">
        <is>
          <t>nan</t>
        </is>
      </c>
      <c r="F589" s="44" t="n"/>
      <c r="G589" s="44" t="n"/>
      <c r="H589" s="15" t="n"/>
      <c r="I589" s="45" t="n">
        <v>1066111.193</v>
      </c>
      <c r="J589" s="45" t="n">
        <v>814799.834</v>
      </c>
      <c r="K589" s="45" t="n">
        <v>795291.735</v>
      </c>
      <c r="L589" s="45" t="n">
        <v>607300.6613941761</v>
      </c>
      <c r="M589" s="45" t="n">
        <v>0</v>
      </c>
      <c r="N589" s="45" t="n">
        <v>0</v>
      </c>
      <c r="O589" s="45" t="n">
        <v>0</v>
      </c>
      <c r="P589" s="45" t="n">
        <v>0</v>
      </c>
      <c r="Q589" s="45" t="n">
        <v>0</v>
      </c>
      <c r="R589" s="45" t="n">
        <v>0</v>
      </c>
      <c r="S589" s="45" t="n">
        <v>795291.735</v>
      </c>
      <c r="T589" s="45" t="n">
        <v>607300.6613941761</v>
      </c>
      <c r="U589" s="15" t="n">
        <v>30.95519</v>
      </c>
      <c r="V589" s="15" t="n">
        <v>71.49261787936099</v>
      </c>
      <c r="W589" s="49" t="n">
        <v>76.36199999999999</v>
      </c>
    </row>
    <row r="590">
      <c r="A590" s="44" t="inlineStr">
        <is>
          <t>TL Cinsi Kuponsuz Senetler</t>
        </is>
      </c>
      <c r="B590" s="44" t="n">
        <v>2002</v>
      </c>
      <c r="C590" s="44" t="inlineStr">
        <is>
          <t>TRB280802T16</t>
        </is>
      </c>
      <c r="D590" s="44" t="inlineStr">
        <is>
          <t>nan</t>
        </is>
      </c>
      <c r="E590" s="44" t="inlineStr">
        <is>
          <t>nan</t>
        </is>
      </c>
      <c r="F590" s="44" t="n"/>
      <c r="G590" s="44" t="n"/>
      <c r="H590" s="15" t="n"/>
      <c r="I590" s="45" t="n">
        <v>2207691.91</v>
      </c>
      <c r="J590" s="45" t="n">
        <v>1716055.375</v>
      </c>
      <c r="K590" s="45" t="n">
        <v>1903944.94</v>
      </c>
      <c r="L590" s="45" t="n">
        <v>1476052.403856515</v>
      </c>
      <c r="M590" s="45" t="n">
        <v>131749.344172</v>
      </c>
      <c r="N590" s="45" t="n">
        <v>102140</v>
      </c>
      <c r="O590" s="45" t="n">
        <v>0</v>
      </c>
      <c r="P590" s="45" t="n">
        <v>0</v>
      </c>
      <c r="Q590" s="45" t="n">
        <v>0</v>
      </c>
      <c r="R590" s="45" t="n">
        <v>0</v>
      </c>
      <c r="S590" s="45" t="n">
        <v>2035694.284172</v>
      </c>
      <c r="T590" s="45" t="n">
        <v>1578192.403856515</v>
      </c>
      <c r="U590" s="15" t="n">
        <v>28.98898</v>
      </c>
      <c r="V590" s="15" t="n">
        <v>69.80459008140744</v>
      </c>
      <c r="W590" s="49" t="n">
        <v>77.526</v>
      </c>
    </row>
    <row r="591">
      <c r="A591" s="44" t="inlineStr">
        <is>
          <t>TL Cinsi Kuponsuz Senetler</t>
        </is>
      </c>
      <c r="B591" s="44" t="n">
        <v>2002</v>
      </c>
      <c r="C591" s="44" t="inlineStr">
        <is>
          <t>TRT050203T18</t>
        </is>
      </c>
      <c r="D591" s="44" t="inlineStr">
        <is>
          <t>nan</t>
        </is>
      </c>
      <c r="E591" s="44" t="inlineStr">
        <is>
          <t>nan</t>
        </is>
      </c>
      <c r="F591" s="44" t="n"/>
      <c r="G591" s="44" t="n"/>
      <c r="H591" s="15" t="n"/>
      <c r="I591" s="45" t="n">
        <v>2581288.675</v>
      </c>
      <c r="J591" s="45" t="n">
        <v>1599436.416</v>
      </c>
      <c r="K591" s="45" t="n">
        <v>1810657.69</v>
      </c>
      <c r="L591" s="45" t="n">
        <v>1119801.248228767</v>
      </c>
      <c r="M591" s="45" t="n">
        <v>622524.0521499999</v>
      </c>
      <c r="N591" s="45" t="n">
        <v>385000</v>
      </c>
      <c r="O591" s="45" t="n">
        <v>0</v>
      </c>
      <c r="P591" s="45" t="n">
        <v>0</v>
      </c>
      <c r="Q591" s="45" t="n">
        <v>0</v>
      </c>
      <c r="R591" s="45" t="n">
        <v>0</v>
      </c>
      <c r="S591" s="45" t="n">
        <v>2433181.74215</v>
      </c>
      <c r="T591" s="45" t="n">
        <v>1504801.248228767</v>
      </c>
      <c r="U591" s="15" t="n">
        <v>61.694559</v>
      </c>
      <c r="V591" s="15" t="n">
        <v>68.3009975219931</v>
      </c>
      <c r="W591" s="49" t="n">
        <v>61.845</v>
      </c>
    </row>
    <row r="592">
      <c r="A592" s="44" t="inlineStr">
        <is>
          <t>TL Cinsi Kuponsuz Senetler</t>
        </is>
      </c>
      <c r="B592" s="44" t="n">
        <v>2002</v>
      </c>
      <c r="C592" s="44" t="inlineStr">
        <is>
          <t>TRB231002T17</t>
        </is>
      </c>
      <c r="D592" s="44" t="inlineStr">
        <is>
          <t>nan</t>
        </is>
      </c>
      <c r="E592" s="44" t="inlineStr">
        <is>
          <t>nan</t>
        </is>
      </c>
      <c r="F592" s="44" t="n"/>
      <c r="G592" s="44" t="n"/>
      <c r="H592" s="15" t="n"/>
      <c r="I592" s="45" t="n">
        <v>1095047.19</v>
      </c>
      <c r="J592" s="45" t="n">
        <v>795482.959</v>
      </c>
      <c r="K592" s="45" t="n">
        <v>705110.955</v>
      </c>
      <c r="L592" s="45" t="n">
        <v>511931.707730379</v>
      </c>
      <c r="M592" s="45" t="n">
        <v>275.47071</v>
      </c>
      <c r="N592" s="45" t="n">
        <v>200</v>
      </c>
      <c r="O592" s="45" t="n">
        <v>0</v>
      </c>
      <c r="P592" s="45" t="n">
        <v>0</v>
      </c>
      <c r="Q592" s="45" t="n">
        <v>0</v>
      </c>
      <c r="R592" s="45" t="n">
        <v>0</v>
      </c>
      <c r="S592" s="45" t="n">
        <v>705386.42571</v>
      </c>
      <c r="T592" s="45" t="n">
        <v>512131.707730379</v>
      </c>
      <c r="U592" s="15" t="n">
        <v>37.735355</v>
      </c>
      <c r="V592" s="15" t="n">
        <v>68.24758074122106</v>
      </c>
      <c r="W592" s="49" t="n">
        <v>72.60299999999999</v>
      </c>
    </row>
    <row r="593">
      <c r="A593" s="44" t="inlineStr">
        <is>
          <t>TL Cinsi Kuponsuz Senetler</t>
        </is>
      </c>
      <c r="B593" s="44" t="n">
        <v>2002</v>
      </c>
      <c r="C593" s="44" t="inlineStr">
        <is>
          <t>TRB190602T19</t>
        </is>
      </c>
      <c r="D593" s="44" t="inlineStr">
        <is>
          <t>nan</t>
        </is>
      </c>
      <c r="E593" s="44" t="inlineStr">
        <is>
          <t>nan</t>
        </is>
      </c>
      <c r="F593" s="44" t="n"/>
      <c r="G593" s="44" t="n"/>
      <c r="H593" s="15" t="n"/>
      <c r="I593" s="45" t="n">
        <v>1070586.645</v>
      </c>
      <c r="J593" s="45" t="n">
        <v>944630.105</v>
      </c>
      <c r="K593" s="45" t="n">
        <v>846620.9</v>
      </c>
      <c r="L593" s="45" t="n">
        <v>746000.041414052</v>
      </c>
      <c r="M593" s="45" t="n">
        <v>0</v>
      </c>
      <c r="N593" s="45" t="n">
        <v>0</v>
      </c>
      <c r="O593" s="45" t="n">
        <v>0</v>
      </c>
      <c r="P593" s="45" t="n">
        <v>0</v>
      </c>
      <c r="Q593" s="45" t="n">
        <v>0</v>
      </c>
      <c r="R593" s="45" t="n">
        <v>0</v>
      </c>
      <c r="S593" s="45" t="n">
        <v>846620.9</v>
      </c>
      <c r="T593" s="45" t="n">
        <v>746000.041414052</v>
      </c>
      <c r="U593" s="15" t="n">
        <v>13.48805</v>
      </c>
      <c r="V593" s="15" t="n">
        <v>65.8824860285053</v>
      </c>
      <c r="W593" s="49" t="n">
        <v>88.11499999999999</v>
      </c>
    </row>
    <row r="594">
      <c r="A594" s="44" t="inlineStr">
        <is>
          <t>TL Cinsi Kuponsuz Senetler</t>
        </is>
      </c>
      <c r="B594" s="44" t="n">
        <v>2002</v>
      </c>
      <c r="C594" s="44" t="inlineStr">
        <is>
          <t>TRB231002T17</t>
        </is>
      </c>
      <c r="D594" s="44" t="inlineStr">
        <is>
          <t>nan</t>
        </is>
      </c>
      <c r="E594" s="44" t="inlineStr">
        <is>
          <t>nan</t>
        </is>
      </c>
      <c r="F594" s="44" t="n"/>
      <c r="G594" s="44" t="n"/>
      <c r="H594" s="15" t="n"/>
      <c r="I594" s="45" t="n">
        <v>4285871.045</v>
      </c>
      <c r="J594" s="45" t="n">
        <v>3281257.419</v>
      </c>
      <c r="K594" s="45" t="n">
        <v>3460784.295</v>
      </c>
      <c r="L594" s="45" t="n">
        <v>2644419.88851305</v>
      </c>
      <c r="M594" s="45" t="n">
        <v>708529.7402518075</v>
      </c>
      <c r="N594" s="45" t="n">
        <v>541394.66</v>
      </c>
      <c r="O594" s="45" t="n">
        <v>0</v>
      </c>
      <c r="P594" s="45" t="n">
        <v>0</v>
      </c>
      <c r="Q594" s="45" t="n">
        <v>0</v>
      </c>
      <c r="R594" s="45" t="n">
        <v>0</v>
      </c>
      <c r="S594" s="45" t="n">
        <v>4169314.035251807</v>
      </c>
      <c r="T594" s="45" t="n">
        <v>3185814.54851305</v>
      </c>
      <c r="U594" s="15" t="n">
        <v>30.8712096</v>
      </c>
      <c r="V594" s="15" t="n">
        <v>61.99946793331024</v>
      </c>
      <c r="W594" s="49" t="n">
        <v>76.411</v>
      </c>
    </row>
    <row r="595">
      <c r="A595" s="44" t="inlineStr">
        <is>
          <t>TL Cinsi Kuponsuz Senetler</t>
        </is>
      </c>
      <c r="B595" s="44" t="n">
        <v>2002</v>
      </c>
      <c r="C595" s="44" t="inlineStr">
        <is>
          <t>TRT090403T12</t>
        </is>
      </c>
      <c r="D595" s="44" t="inlineStr">
        <is>
          <t>nan</t>
        </is>
      </c>
      <c r="E595" s="44" t="inlineStr">
        <is>
          <t>nan</t>
        </is>
      </c>
      <c r="F595" s="44" t="n"/>
      <c r="G595" s="44" t="n"/>
      <c r="H595" s="15" t="n"/>
      <c r="I595" s="45" t="n">
        <v>3847022.47</v>
      </c>
      <c r="J595" s="45" t="n">
        <v>2436574.525</v>
      </c>
      <c r="K595" s="45" t="n">
        <v>2397805.33</v>
      </c>
      <c r="L595" s="45" t="n">
        <v>1517594.971</v>
      </c>
      <c r="M595" s="45" t="n">
        <v>158000.347643482</v>
      </c>
      <c r="N595" s="45" t="n">
        <v>100000</v>
      </c>
      <c r="O595" s="45" t="n">
        <v>0</v>
      </c>
      <c r="P595" s="45" t="n">
        <v>0</v>
      </c>
      <c r="Q595" s="45" t="n">
        <v>0</v>
      </c>
      <c r="R595" s="45" t="n">
        <v>0</v>
      </c>
      <c r="S595" s="45" t="n">
        <v>2555805.677643482</v>
      </c>
      <c r="T595" s="45" t="n">
        <v>1617594.971</v>
      </c>
      <c r="U595" s="15" t="n">
        <v>58.00034764348203</v>
      </c>
      <c r="V595" s="15" t="n">
        <v>58.00034764348203</v>
      </c>
      <c r="W595" s="49" t="n">
        <v>63.291</v>
      </c>
    </row>
    <row r="596">
      <c r="A596" s="44" t="inlineStr">
        <is>
          <t>TL Cinsi Kuponsuz Senetler</t>
        </is>
      </c>
      <c r="B596" s="44" t="n">
        <v>2002</v>
      </c>
      <c r="C596" s="44" t="inlineStr">
        <is>
          <t>TRB111202T19</t>
        </is>
      </c>
      <c r="D596" s="44" t="inlineStr">
        <is>
          <t>nan</t>
        </is>
      </c>
      <c r="E596" s="44" t="inlineStr">
        <is>
          <t>nan</t>
        </is>
      </c>
      <c r="F596" s="44" t="n"/>
      <c r="G596" s="44" t="n"/>
      <c r="H596" s="15" t="n"/>
      <c r="I596" s="45" t="n">
        <v>2694001.515</v>
      </c>
      <c r="J596" s="45" t="n">
        <v>2013253.811</v>
      </c>
      <c r="K596" s="45" t="n">
        <v>1904345.87</v>
      </c>
      <c r="L596" s="45" t="n">
        <v>1421156.17968271</v>
      </c>
      <c r="M596" s="45" t="n">
        <v>171579.976504829</v>
      </c>
      <c r="N596" s="45" t="n">
        <v>128044.98792</v>
      </c>
      <c r="O596" s="45" t="n">
        <v>0</v>
      </c>
      <c r="P596" s="45" t="n">
        <v>0</v>
      </c>
      <c r="Q596" s="45" t="n">
        <v>0</v>
      </c>
      <c r="R596" s="45" t="n">
        <v>0</v>
      </c>
      <c r="S596" s="45" t="n">
        <v>2075925.846504829</v>
      </c>
      <c r="T596" s="45" t="n">
        <v>1549201.16760271</v>
      </c>
      <c r="U596" s="15" t="n">
        <v>33.99976</v>
      </c>
      <c r="V596" s="15" t="n">
        <v>56.45677871740158</v>
      </c>
      <c r="W596" s="49" t="n">
        <v>74.627</v>
      </c>
    </row>
    <row r="597">
      <c r="A597" s="44" t="inlineStr">
        <is>
          <t>TL Cinsi Kuponsuz Senetler</t>
        </is>
      </c>
      <c r="B597" s="44" t="n">
        <v>2002</v>
      </c>
      <c r="C597" s="44" t="inlineStr">
        <is>
          <t>TRB240702T11</t>
        </is>
      </c>
      <c r="D597" s="44" t="inlineStr">
        <is>
          <t>nan</t>
        </is>
      </c>
      <c r="E597" s="44" t="inlineStr">
        <is>
          <t>nan</t>
        </is>
      </c>
      <c r="F597" s="44" t="n"/>
      <c r="G597" s="44" t="n"/>
      <c r="H597" s="15" t="n"/>
      <c r="I597" s="45" t="n">
        <v>1713112.77</v>
      </c>
      <c r="J597" s="45" t="n">
        <v>1542771.167</v>
      </c>
      <c r="K597" s="45" t="n">
        <v>1091220.235</v>
      </c>
      <c r="L597" s="45" t="n">
        <v>982000</v>
      </c>
      <c r="M597" s="45" t="n">
        <v>0</v>
      </c>
      <c r="N597" s="45" t="n">
        <v>0</v>
      </c>
      <c r="O597" s="45" t="n">
        <v>0</v>
      </c>
      <c r="P597" s="45" t="n">
        <v>0</v>
      </c>
      <c r="Q597" s="45" t="n">
        <v>0</v>
      </c>
      <c r="R597" s="45" t="n">
        <v>0</v>
      </c>
      <c r="S597" s="45" t="n">
        <v>1091220.235</v>
      </c>
      <c r="T597" s="45" t="n">
        <v>982000</v>
      </c>
      <c r="U597" s="15" t="n">
        <v>11.1222235234216</v>
      </c>
      <c r="V597" s="15" t="n">
        <v>52.47677287932222</v>
      </c>
      <c r="W597" s="49" t="n">
        <v>89.991</v>
      </c>
    </row>
    <row r="598">
      <c r="A598" s="44" t="inlineStr">
        <is>
          <t>TL Cinsi Kuponsuz Senetler</t>
        </is>
      </c>
      <c r="B598" s="44" t="n">
        <v>2002</v>
      </c>
      <c r="C598" s="44" t="inlineStr">
        <is>
          <t>TRT090403T12</t>
        </is>
      </c>
      <c r="D598" s="44" t="inlineStr">
        <is>
          <t>nan</t>
        </is>
      </c>
      <c r="E598" s="44" t="inlineStr">
        <is>
          <t>nan</t>
        </is>
      </c>
      <c r="F598" s="44" t="n"/>
      <c r="G598" s="44" t="n"/>
      <c r="H598" s="15" t="n"/>
      <c r="I598" s="45" t="n">
        <v>2875292.035</v>
      </c>
      <c r="J598" s="45" t="n">
        <v>1936321.698</v>
      </c>
      <c r="K598" s="45" t="n">
        <v>2462974.55</v>
      </c>
      <c r="L598" s="45" t="n">
        <v>1655907.049456</v>
      </c>
      <c r="M598" s="45" t="n">
        <v>0</v>
      </c>
      <c r="N598" s="45" t="n">
        <v>0</v>
      </c>
      <c r="O598" s="45" t="n">
        <v>0</v>
      </c>
      <c r="P598" s="45" t="n">
        <v>0</v>
      </c>
      <c r="Q598" s="45" t="n">
        <v>0</v>
      </c>
      <c r="R598" s="45" t="n">
        <v>0</v>
      </c>
      <c r="S598" s="45" t="n">
        <v>2462974.55</v>
      </c>
      <c r="T598" s="45" t="n">
        <v>1655907.049456</v>
      </c>
      <c r="U598" s="15" t="n">
        <v>48.7386958591147</v>
      </c>
      <c r="V598" s="15" t="n">
        <v>53.74203786330067</v>
      </c>
      <c r="W598" s="49" t="n">
        <v>67.232</v>
      </c>
    </row>
    <row r="599">
      <c r="A599" s="44" t="inlineStr">
        <is>
          <t>TL Cinsi Kuponsuz Senetler</t>
        </is>
      </c>
      <c r="B599" s="44" t="n">
        <v>2002</v>
      </c>
      <c r="C599" s="44" t="inlineStr">
        <is>
          <t>TRB061102T17</t>
        </is>
      </c>
      <c r="D599" s="44" t="inlineStr">
        <is>
          <t>nan</t>
        </is>
      </c>
      <c r="E599" s="44" t="inlineStr">
        <is>
          <t>nan</t>
        </is>
      </c>
      <c r="F599" s="44" t="n"/>
      <c r="G599" s="44" t="n"/>
      <c r="H599" s="15" t="n"/>
      <c r="I599" s="45" t="n">
        <v>1310959.85</v>
      </c>
      <c r="J599" s="45" t="n">
        <v>1056378.411</v>
      </c>
      <c r="K599" s="45" t="n">
        <v>1106189.67</v>
      </c>
      <c r="L599" s="45" t="n">
        <v>889752.6276381046</v>
      </c>
      <c r="M599" s="45" t="n">
        <v>55380.8032108924</v>
      </c>
      <c r="N599" s="45" t="n">
        <v>44544.99668</v>
      </c>
      <c r="O599" s="45" t="n">
        <v>0</v>
      </c>
      <c r="P599" s="45" t="n">
        <v>0</v>
      </c>
      <c r="Q599" s="45" t="n">
        <v>0</v>
      </c>
      <c r="R599" s="45" t="n">
        <v>0</v>
      </c>
      <c r="S599" s="45" t="n">
        <v>1161570.473210892</v>
      </c>
      <c r="T599" s="45" t="n">
        <v>934297.6243181046</v>
      </c>
      <c r="U599" s="15" t="n">
        <v>24.32553</v>
      </c>
      <c r="V599" s="15" t="n">
        <v>54.56837409780899</v>
      </c>
      <c r="W599" s="49" t="n">
        <v>80.434</v>
      </c>
    </row>
    <row r="600">
      <c r="A600" s="44" t="inlineStr">
        <is>
          <t>TL Cinsi Kuponsuz Senetler</t>
        </is>
      </c>
      <c r="B600" s="44" t="n">
        <v>2002</v>
      </c>
      <c r="C600" s="44" t="inlineStr">
        <is>
          <t>TRB140802T12</t>
        </is>
      </c>
      <c r="D600" s="44" t="inlineStr">
        <is>
          <t>nan</t>
        </is>
      </c>
      <c r="E600" s="44" t="inlineStr">
        <is>
          <t>nan</t>
        </is>
      </c>
      <c r="F600" s="44" t="n"/>
      <c r="G600" s="44" t="n"/>
      <c r="H600" s="15" t="n"/>
      <c r="I600" s="45" t="n">
        <v>1500415</v>
      </c>
      <c r="J600" s="45" t="n">
        <v>1350574.3</v>
      </c>
      <c r="K600" s="45" t="n">
        <v>1401535.44</v>
      </c>
      <c r="L600" s="45" t="n">
        <v>1255999.9999104</v>
      </c>
      <c r="M600" s="45" t="n">
        <v>0</v>
      </c>
      <c r="N600" s="45" t="n">
        <v>0</v>
      </c>
      <c r="O600" s="45" t="n">
        <v>0</v>
      </c>
      <c r="P600" s="45" t="n">
        <v>0</v>
      </c>
      <c r="Q600" s="45" t="n">
        <v>0</v>
      </c>
      <c r="R600" s="45" t="n">
        <v>0</v>
      </c>
      <c r="S600" s="45" t="n">
        <v>1401535.44</v>
      </c>
      <c r="T600" s="45" t="n">
        <v>1255999.9999104</v>
      </c>
      <c r="U600" s="15" t="n">
        <v>11.58721656846993</v>
      </c>
      <c r="V600" s="15" t="n">
        <v>55.0450047608281</v>
      </c>
      <c r="W600" s="49" t="n">
        <v>89.616</v>
      </c>
    </row>
    <row r="601">
      <c r="A601" s="44" t="inlineStr">
        <is>
          <t>TL Cinsi Kuponsuz Senetler</t>
        </is>
      </c>
      <c r="B601" s="44" t="n">
        <v>2002</v>
      </c>
      <c r="C601" s="44" t="inlineStr">
        <is>
          <t>TRB061102T17</t>
        </is>
      </c>
      <c r="D601" s="44" t="inlineStr">
        <is>
          <t>nan</t>
        </is>
      </c>
      <c r="E601" s="44" t="inlineStr">
        <is>
          <t>nan</t>
        </is>
      </c>
      <c r="F601" s="44" t="n"/>
      <c r="G601" s="44" t="n"/>
      <c r="H601" s="15" t="n"/>
      <c r="I601" s="45" t="n">
        <v>1224300.71</v>
      </c>
      <c r="J601" s="45" t="n">
        <v>1003628.741</v>
      </c>
      <c r="K601" s="45" t="n">
        <v>980551.5549999999</v>
      </c>
      <c r="L601" s="45" t="n">
        <v>801953.8947722975</v>
      </c>
      <c r="M601" s="45" t="n">
        <v>27449.6800674933</v>
      </c>
      <c r="N601" s="45" t="n">
        <v>22449.99534</v>
      </c>
      <c r="O601" s="45" t="n">
        <v>0</v>
      </c>
      <c r="P601" s="45" t="n">
        <v>0</v>
      </c>
      <c r="Q601" s="45" t="n">
        <v>0</v>
      </c>
      <c r="R601" s="45" t="n">
        <v>0</v>
      </c>
      <c r="S601" s="45" t="n">
        <v>1008001.235067493</v>
      </c>
      <c r="T601" s="45" t="n">
        <v>824403.8901122975</v>
      </c>
      <c r="U601" s="15" t="n">
        <v>22.270315212873</v>
      </c>
      <c r="V601" s="15" t="n">
        <v>57.55110853912531</v>
      </c>
      <c r="W601" s="49" t="n">
        <v>81.786</v>
      </c>
    </row>
    <row r="602">
      <c r="A602" s="44" t="inlineStr">
        <is>
          <t>TL Cinsi Kuponsuz Senetler</t>
        </is>
      </c>
      <c r="B602" s="44" t="n">
        <v>2002</v>
      </c>
      <c r="C602" s="44" t="inlineStr">
        <is>
          <t>TRB050303T17</t>
        </is>
      </c>
      <c r="D602" s="44" t="inlineStr">
        <is>
          <t>nan</t>
        </is>
      </c>
      <c r="E602" s="44" t="inlineStr">
        <is>
          <t>nan</t>
        </is>
      </c>
      <c r="F602" s="44" t="n"/>
      <c r="G602" s="44" t="n"/>
      <c r="H602" s="15" t="n"/>
      <c r="I602" s="45" t="n">
        <v>1210670.82</v>
      </c>
      <c r="J602" s="45" t="n">
        <v>850890.112</v>
      </c>
      <c r="K602" s="45" t="n">
        <v>802205.245</v>
      </c>
      <c r="L602" s="45" t="n">
        <v>563019.7291508011</v>
      </c>
      <c r="M602" s="45" t="n">
        <v>38751.4960674797</v>
      </c>
      <c r="N602" s="45" t="n">
        <v>27197.35</v>
      </c>
      <c r="O602" s="45" t="n">
        <v>0</v>
      </c>
      <c r="P602" s="45" t="n">
        <v>0</v>
      </c>
      <c r="Q602" s="45" t="n">
        <v>0</v>
      </c>
      <c r="R602" s="45" t="n">
        <v>0</v>
      </c>
      <c r="S602" s="45" t="n">
        <v>840956.7410674797</v>
      </c>
      <c r="T602" s="45" t="n">
        <v>590217.0791508011</v>
      </c>
      <c r="U602" s="15" t="n">
        <v>42.482617120711</v>
      </c>
      <c r="V602" s="15" t="n">
        <v>58.44934518482556</v>
      </c>
      <c r="W602" s="49" t="n">
        <v>70.184</v>
      </c>
    </row>
    <row r="603">
      <c r="A603" s="44" t="inlineStr">
        <is>
          <t>TL Cinsi Kuponsuz Senetler</t>
        </is>
      </c>
      <c r="B603" s="44" t="n">
        <v>2002</v>
      </c>
      <c r="C603" s="44" t="inlineStr">
        <is>
          <t>TRB180902T17</t>
        </is>
      </c>
      <c r="D603" s="44" t="inlineStr">
        <is>
          <t>nan</t>
        </is>
      </c>
      <c r="E603" s="44" t="inlineStr">
        <is>
          <t>nan</t>
        </is>
      </c>
      <c r="F603" s="44" t="n"/>
      <c r="G603" s="44" t="n"/>
      <c r="H603" s="15" t="n"/>
      <c r="I603" s="45" t="n">
        <v>1722864.63</v>
      </c>
      <c r="J603" s="45" t="n">
        <v>1527491.397</v>
      </c>
      <c r="K603" s="45" t="n">
        <v>1650206.65</v>
      </c>
      <c r="L603" s="45" t="n">
        <v>1445960.5729295</v>
      </c>
      <c r="M603" s="45" t="n">
        <v>0</v>
      </c>
      <c r="N603" s="45" t="n">
        <v>0</v>
      </c>
      <c r="O603" s="45" t="n">
        <v>0</v>
      </c>
      <c r="P603" s="45" t="n">
        <v>0</v>
      </c>
      <c r="Q603" s="45" t="n">
        <v>0</v>
      </c>
      <c r="R603" s="45" t="n">
        <v>0</v>
      </c>
      <c r="S603" s="45" t="n">
        <v>1650206.65</v>
      </c>
      <c r="T603" s="45" t="n">
        <v>1445960.5729295</v>
      </c>
      <c r="U603" s="15" t="n">
        <v>14.12528673978293</v>
      </c>
      <c r="V603" s="15" t="n">
        <v>69.63971213855085</v>
      </c>
      <c r="W603" s="49" t="n">
        <v>87.623</v>
      </c>
    </row>
    <row r="604">
      <c r="A604" s="44" t="inlineStr">
        <is>
          <t>TL Cinsi Kuponsuz Senetler</t>
        </is>
      </c>
      <c r="B604" s="44" t="n">
        <v>2002</v>
      </c>
      <c r="C604" s="44" t="inlineStr">
        <is>
          <t>TRB080103T16</t>
        </is>
      </c>
      <c r="D604" s="44" t="inlineStr">
        <is>
          <t>nan</t>
        </is>
      </c>
      <c r="E604" s="44" t="inlineStr">
        <is>
          <t>nan</t>
        </is>
      </c>
      <c r="F604" s="44" t="n"/>
      <c r="G604" s="44" t="n"/>
      <c r="H604" s="15" t="n"/>
      <c r="I604" s="45" t="n">
        <v>1899107.14</v>
      </c>
      <c r="J604" s="45" t="n">
        <v>1398152.234</v>
      </c>
      <c r="K604" s="45" t="n">
        <v>1589103.415</v>
      </c>
      <c r="L604" s="45" t="n">
        <v>1167164.6762492</v>
      </c>
      <c r="M604" s="45" t="n">
        <v>559096.2313473477</v>
      </c>
      <c r="N604" s="45" t="n">
        <v>410645</v>
      </c>
      <c r="O604" s="45" t="n">
        <v>0</v>
      </c>
      <c r="P604" s="45" t="n">
        <v>0</v>
      </c>
      <c r="Q604" s="45" t="n">
        <v>0</v>
      </c>
      <c r="R604" s="45" t="n">
        <v>0</v>
      </c>
      <c r="S604" s="45" t="n">
        <v>2148199.646347348</v>
      </c>
      <c r="T604" s="45" t="n">
        <v>1577809.6762492</v>
      </c>
      <c r="U604" s="15" t="n">
        <v>36.15074610608866</v>
      </c>
      <c r="V604" s="15" t="n">
        <v>73.90488040909007</v>
      </c>
      <c r="W604" s="49" t="n">
        <v>73.44799999999999</v>
      </c>
    </row>
    <row r="605">
      <c r="A605" s="44" t="inlineStr">
        <is>
          <t>TL Cinsi Kuponsuz Senetler</t>
        </is>
      </c>
      <c r="B605" s="44" t="n">
        <v>2002</v>
      </c>
      <c r="C605" s="44" t="inlineStr">
        <is>
          <t>TRB061102T17</t>
        </is>
      </c>
      <c r="D605" s="44" t="inlineStr">
        <is>
          <t>nan</t>
        </is>
      </c>
      <c r="E605" s="44" t="inlineStr">
        <is>
          <t>nan</t>
        </is>
      </c>
      <c r="F605" s="44" t="n"/>
      <c r="G605" s="44" t="n"/>
      <c r="H605" s="15" t="n"/>
      <c r="I605" s="45" t="n">
        <v>2502193.33</v>
      </c>
      <c r="J605" s="45" t="n">
        <v>2065579.512</v>
      </c>
      <c r="K605" s="45" t="n">
        <v>2318870.98</v>
      </c>
      <c r="L605" s="45" t="n">
        <v>1906204.700399808</v>
      </c>
      <c r="M605" s="45" t="n">
        <v>115566.1499804994</v>
      </c>
      <c r="N605" s="45" t="n">
        <v>94999.99793</v>
      </c>
      <c r="O605" s="45" t="n">
        <v>0</v>
      </c>
      <c r="P605" s="45" t="n">
        <v>0</v>
      </c>
      <c r="Q605" s="45" t="n">
        <v>0</v>
      </c>
      <c r="R605" s="45" t="n">
        <v>0</v>
      </c>
      <c r="S605" s="45" t="n">
        <v>2434437.129980499</v>
      </c>
      <c r="T605" s="45" t="n">
        <v>2001204.698329808</v>
      </c>
      <c r="U605" s="15" t="n">
        <v>21.6485815775</v>
      </c>
      <c r="V605" s="15" t="n">
        <v>70.97182847149203</v>
      </c>
      <c r="W605" s="49" t="n">
        <v>82.20399999999999</v>
      </c>
    </row>
    <row r="606">
      <c r="A606" s="44" t="inlineStr">
        <is>
          <t>TL Cinsi Kuponsuz Senetler</t>
        </is>
      </c>
      <c r="B606" s="44" t="n">
        <v>2002</v>
      </c>
      <c r="C606" s="44" t="inlineStr">
        <is>
          <t>TRB080103T16</t>
        </is>
      </c>
      <c r="D606" s="44" t="inlineStr">
        <is>
          <t>nan</t>
        </is>
      </c>
      <c r="E606" s="44" t="inlineStr">
        <is>
          <t>nan</t>
        </is>
      </c>
      <c r="F606" s="44" t="n"/>
      <c r="G606" s="44" t="n"/>
      <c r="H606" s="15" t="n"/>
      <c r="I606" s="45" t="n">
        <v>1670021.445</v>
      </c>
      <c r="J606" s="45" t="n">
        <v>1240595.41</v>
      </c>
      <c r="K606" s="45" t="n">
        <v>1462823.38</v>
      </c>
      <c r="L606" s="45" t="n">
        <v>1081421.439790157</v>
      </c>
      <c r="M606" s="45" t="n">
        <v>210903.99995857</v>
      </c>
      <c r="N606" s="45" t="n">
        <v>155915</v>
      </c>
      <c r="O606" s="45" t="n">
        <v>0</v>
      </c>
      <c r="P606" s="45" t="n">
        <v>0</v>
      </c>
      <c r="Q606" s="45" t="n">
        <v>0</v>
      </c>
      <c r="R606" s="45" t="n">
        <v>0</v>
      </c>
      <c r="S606" s="45" t="n">
        <v>1673727.37995857</v>
      </c>
      <c r="T606" s="45" t="n">
        <v>1237336.439790157</v>
      </c>
      <c r="U606" s="15" t="n">
        <v>35.2685758</v>
      </c>
      <c r="V606" s="15" t="n">
        <v>75.24733333667638</v>
      </c>
      <c r="W606" s="49" t="n">
        <v>73.92700000000001</v>
      </c>
    </row>
    <row r="607">
      <c r="A607" s="44" t="inlineStr">
        <is>
          <t>TL Cinsi Kuponsuz Senetler</t>
        </is>
      </c>
      <c r="B607" s="44" t="n">
        <v>2002</v>
      </c>
      <c r="C607" s="44" t="inlineStr">
        <is>
          <t>TRB111202T19</t>
        </is>
      </c>
      <c r="D607" s="44" t="inlineStr">
        <is>
          <t>nan</t>
        </is>
      </c>
      <c r="E607" s="44" t="inlineStr">
        <is>
          <t>nan</t>
        </is>
      </c>
      <c r="F607" s="44" t="n"/>
      <c r="G607" s="44" t="n"/>
      <c r="H607" s="15" t="n"/>
      <c r="I607" s="45" t="n">
        <v>521507.58</v>
      </c>
      <c r="J607" s="45" t="n">
        <v>411043.976</v>
      </c>
      <c r="K607" s="45" t="n">
        <v>378388.725</v>
      </c>
      <c r="L607" s="45" t="n">
        <v>297712.4651159442</v>
      </c>
      <c r="M607" s="45" t="n">
        <v>0</v>
      </c>
      <c r="N607" s="45" t="n">
        <v>0</v>
      </c>
      <c r="O607" s="45" t="n">
        <v>0</v>
      </c>
      <c r="P607" s="45" t="n">
        <v>0</v>
      </c>
      <c r="Q607" s="45" t="n">
        <v>0</v>
      </c>
      <c r="R607" s="45" t="n">
        <v>0</v>
      </c>
      <c r="S607" s="45" t="n">
        <v>378388.725</v>
      </c>
      <c r="T607" s="45" t="n">
        <v>297712.4651159442</v>
      </c>
      <c r="U607" s="15" t="n">
        <v>27.0987175</v>
      </c>
      <c r="V607" s="15" t="n">
        <v>71.96877509937798</v>
      </c>
      <c r="W607" s="49" t="n">
        <v>78.679</v>
      </c>
    </row>
    <row r="608">
      <c r="A608" s="44" t="inlineStr">
        <is>
          <t>TL Cinsi Kuponsuz Senetler</t>
        </is>
      </c>
      <c r="B608" s="44" t="n">
        <v>2002</v>
      </c>
      <c r="C608" s="44" t="inlineStr">
        <is>
          <t>TRB111202T19</t>
        </is>
      </c>
      <c r="D608" s="44" t="inlineStr">
        <is>
          <t>nan</t>
        </is>
      </c>
      <c r="E608" s="44" t="inlineStr">
        <is>
          <t>nan</t>
        </is>
      </c>
      <c r="F608" s="44" t="n"/>
      <c r="G608" s="44" t="n"/>
      <c r="H608" s="15" t="n"/>
      <c r="I608" s="45" t="n">
        <v>3245387.69</v>
      </c>
      <c r="J608" s="45" t="n">
        <v>2557844.82</v>
      </c>
      <c r="K608" s="45" t="n">
        <v>2801897.115</v>
      </c>
      <c r="L608" s="45" t="n">
        <v>2203047.64461105</v>
      </c>
      <c r="M608" s="45" t="n">
        <v>509803.2399684587</v>
      </c>
      <c r="N608" s="45" t="n">
        <v>400842.99349</v>
      </c>
      <c r="O608" s="45" t="n">
        <v>0</v>
      </c>
      <c r="P608" s="45" t="n">
        <v>0</v>
      </c>
      <c r="Q608" s="45" t="n">
        <v>0</v>
      </c>
      <c r="R608" s="45" t="n">
        <v>0</v>
      </c>
      <c r="S608" s="45" t="n">
        <v>3311700.354968459</v>
      </c>
      <c r="T608" s="45" t="n">
        <v>2603890.63810105</v>
      </c>
      <c r="U608" s="15" t="n">
        <v>27.18277436504</v>
      </c>
      <c r="V608" s="15" t="n">
        <v>76.53487490430201</v>
      </c>
      <c r="W608" s="49" t="n">
        <v>78.627</v>
      </c>
    </row>
    <row r="609">
      <c r="A609" s="44" t="inlineStr">
        <is>
          <t>TL Cinsi Kuponsuz Senetler</t>
        </is>
      </c>
      <c r="B609" s="44" t="n">
        <v>2002</v>
      </c>
      <c r="C609" s="44" t="inlineStr">
        <is>
          <t>TRB050303T17</t>
        </is>
      </c>
      <c r="D609" s="44" t="inlineStr">
        <is>
          <t>nan</t>
        </is>
      </c>
      <c r="E609" s="44" t="inlineStr">
        <is>
          <t>nan</t>
        </is>
      </c>
      <c r="F609" s="44" t="n"/>
      <c r="G609" s="44" t="n"/>
      <c r="H609" s="15" t="n"/>
      <c r="I609" s="45" t="n">
        <v>1489332.53</v>
      </c>
      <c r="J609" s="45" t="n">
        <v>1015227.033</v>
      </c>
      <c r="K609" s="45" t="n">
        <v>959038.1949999999</v>
      </c>
      <c r="L609" s="45" t="n">
        <v>653805.10867735</v>
      </c>
      <c r="M609" s="45" t="n">
        <v>146685.6380091825</v>
      </c>
      <c r="N609" s="45" t="n">
        <v>100000</v>
      </c>
      <c r="O609" s="45" t="n">
        <v>0</v>
      </c>
      <c r="P609" s="45" t="n">
        <v>0</v>
      </c>
      <c r="Q609" s="45" t="n">
        <v>0</v>
      </c>
      <c r="R609" s="45" t="n">
        <v>0</v>
      </c>
      <c r="S609" s="45" t="n">
        <v>1105723.833009182</v>
      </c>
      <c r="T609" s="45" t="n">
        <v>753805.10867735</v>
      </c>
      <c r="U609" s="15" t="n">
        <v>46.68563800918253</v>
      </c>
      <c r="V609" s="15" t="n">
        <v>79.66982466898918</v>
      </c>
      <c r="W609" s="49" t="n">
        <v>68.173</v>
      </c>
    </row>
    <row r="610">
      <c r="A610" s="44" t="inlineStr">
        <is>
          <t>TL Cinsi Kuponsuz Senetler</t>
        </is>
      </c>
      <c r="B610" s="44" t="n">
        <v>2002</v>
      </c>
      <c r="C610" s="44" t="inlineStr">
        <is>
          <t>TRB231002T25</t>
        </is>
      </c>
      <c r="D610" s="44" t="inlineStr">
        <is>
          <t>nan</t>
        </is>
      </c>
      <c r="E610" s="44" t="inlineStr">
        <is>
          <t>nan</t>
        </is>
      </c>
      <c r="F610" s="44" t="n"/>
      <c r="G610" s="44" t="n"/>
      <c r="H610" s="15" t="n"/>
      <c r="I610" s="45" t="n">
        <v>3276548.8</v>
      </c>
      <c r="J610" s="45" t="n">
        <v>2897731.88</v>
      </c>
      <c r="K610" s="45" t="n">
        <v>1247218.05</v>
      </c>
      <c r="L610" s="45" t="n">
        <v>1104000.0013185</v>
      </c>
      <c r="M610" s="45" t="n">
        <v>0</v>
      </c>
      <c r="N610" s="45" t="n">
        <v>0</v>
      </c>
      <c r="O610" s="45" t="n">
        <v>0</v>
      </c>
      <c r="P610" s="45" t="n">
        <v>0</v>
      </c>
      <c r="Q610" s="45" t="n">
        <v>0</v>
      </c>
      <c r="R610" s="45" t="n">
        <v>0</v>
      </c>
      <c r="S610" s="45" t="n">
        <v>1247218.05</v>
      </c>
      <c r="T610" s="45" t="n">
        <v>1104000.0013185</v>
      </c>
      <c r="U610" s="15" t="n">
        <v>12.97264932159925</v>
      </c>
      <c r="V610" s="15" t="n">
        <v>62.88956145534195</v>
      </c>
      <c r="W610" s="49" t="n">
        <v>88.517</v>
      </c>
    </row>
    <row r="611">
      <c r="A611" s="44" t="inlineStr">
        <is>
          <t>TL Cinsi Kuponsuz Senetler</t>
        </is>
      </c>
      <c r="B611" s="44" t="n">
        <v>2002</v>
      </c>
      <c r="C611" s="44" t="inlineStr">
        <is>
          <t>TRB050303T17</t>
        </is>
      </c>
      <c r="D611" s="44" t="inlineStr">
        <is>
          <t>nan</t>
        </is>
      </c>
      <c r="E611" s="44" t="inlineStr">
        <is>
          <t>nan</t>
        </is>
      </c>
      <c r="F611" s="44" t="n"/>
      <c r="G611" s="44" t="n"/>
      <c r="H611" s="15" t="n"/>
      <c r="I611" s="45" t="n">
        <v>2002430.55</v>
      </c>
      <c r="J611" s="45" t="n">
        <v>1413107.412</v>
      </c>
      <c r="K611" s="45" t="n">
        <v>1556894.52</v>
      </c>
      <c r="L611" s="45" t="n">
        <v>1095602.2426692</v>
      </c>
      <c r="M611" s="45" t="n">
        <v>268995.7449801765</v>
      </c>
      <c r="N611" s="45" t="n">
        <v>189294.9957</v>
      </c>
      <c r="O611" s="45" t="n">
        <v>0</v>
      </c>
      <c r="P611" s="45" t="n">
        <v>0</v>
      </c>
      <c r="Q611" s="45" t="n">
        <v>0</v>
      </c>
      <c r="R611" s="45" t="n">
        <v>0</v>
      </c>
      <c r="S611" s="45" t="n">
        <v>1825890.264980176</v>
      </c>
      <c r="T611" s="45" t="n">
        <v>1284897.2383692</v>
      </c>
      <c r="U611" s="15" t="n">
        <v>42.10399170112689</v>
      </c>
      <c r="V611" s="15" t="n">
        <v>77.0048640475749</v>
      </c>
      <c r="W611" s="49" t="n">
        <v>70.371</v>
      </c>
    </row>
    <row r="612">
      <c r="A612" s="44" t="inlineStr">
        <is>
          <t>TL Cinsi Kuponsuz Senetler</t>
        </is>
      </c>
      <c r="B612" s="44" t="n">
        <v>2002</v>
      </c>
      <c r="C612" s="44" t="inlineStr">
        <is>
          <t>TRB131102T18</t>
        </is>
      </c>
      <c r="D612" s="44" t="inlineStr">
        <is>
          <t>nan</t>
        </is>
      </c>
      <c r="E612" s="44" t="inlineStr">
        <is>
          <t>nan</t>
        </is>
      </c>
      <c r="F612" s="44" t="n"/>
      <c r="G612" s="44" t="n"/>
      <c r="H612" s="15" t="n"/>
      <c r="I612" s="45" t="n">
        <v>1375142.999</v>
      </c>
      <c r="J612" s="45" t="n">
        <v>1197368.244</v>
      </c>
      <c r="K612" s="45" t="n">
        <v>1187142.805</v>
      </c>
      <c r="L612" s="45" t="n">
        <v>1032113.907143999</v>
      </c>
      <c r="M612" s="45" t="n">
        <v>28755.12773814632</v>
      </c>
      <c r="N612" s="45" t="n">
        <v>24999.99757</v>
      </c>
      <c r="O612" s="45" t="n">
        <v>0</v>
      </c>
      <c r="P612" s="45" t="n">
        <v>0</v>
      </c>
      <c r="Q612" s="45" t="n">
        <v>0</v>
      </c>
      <c r="R612" s="45" t="n">
        <v>0</v>
      </c>
      <c r="S612" s="45" t="n">
        <v>1215897.932738146</v>
      </c>
      <c r="T612" s="45" t="n">
        <v>1057113.904713999</v>
      </c>
      <c r="U612" s="15" t="n">
        <v>15.02052213258</v>
      </c>
      <c r="V612" s="15" t="n">
        <v>62.43807234856322</v>
      </c>
      <c r="W612" s="49" t="n">
        <v>86.941</v>
      </c>
    </row>
    <row r="613">
      <c r="A613" s="44" t="inlineStr">
        <is>
          <t>TL Cinsi Kuponsuz Senetler</t>
        </is>
      </c>
      <c r="B613" s="44" t="n">
        <v>2002</v>
      </c>
      <c r="C613" s="44" t="inlineStr">
        <is>
          <t>TRB070503T13</t>
        </is>
      </c>
      <c r="D613" s="44" t="inlineStr">
        <is>
          <t>nan</t>
        </is>
      </c>
      <c r="E613" s="44" t="inlineStr">
        <is>
          <t>nan</t>
        </is>
      </c>
      <c r="F613" s="44" t="n"/>
      <c r="G613" s="44" t="n"/>
      <c r="H613" s="15" t="n"/>
      <c r="I613" s="45" t="n">
        <v>2067931.055</v>
      </c>
      <c r="J613" s="45" t="n">
        <v>1406352.614</v>
      </c>
      <c r="K613" s="45" t="n">
        <v>1162416.07</v>
      </c>
      <c r="L613" s="45" t="n">
        <v>787734.4981569001</v>
      </c>
      <c r="M613" s="45" t="n">
        <v>0</v>
      </c>
      <c r="N613" s="45" t="n">
        <v>0</v>
      </c>
      <c r="O613" s="45" t="n">
        <v>0</v>
      </c>
      <c r="P613" s="45" t="n">
        <v>0</v>
      </c>
      <c r="Q613" s="45" t="n">
        <v>0</v>
      </c>
      <c r="R613" s="45" t="n">
        <v>0</v>
      </c>
      <c r="S613" s="45" t="n">
        <v>1162416.07</v>
      </c>
      <c r="T613" s="45" t="n">
        <v>787734.4981569001</v>
      </c>
      <c r="U613" s="15" t="n">
        <v>47.56444877300161</v>
      </c>
      <c r="V613" s="15" t="n">
        <v>67.99988578993563</v>
      </c>
      <c r="W613" s="49" t="n">
        <v>67.767</v>
      </c>
    </row>
    <row r="614">
      <c r="A614" s="44" t="inlineStr">
        <is>
          <t>TL Cinsi Kuponsuz Senetler</t>
        </is>
      </c>
      <c r="B614" s="44" t="n">
        <v>2002</v>
      </c>
      <c r="C614" s="44" t="inlineStr">
        <is>
          <t>TRB131102T26</t>
        </is>
      </c>
      <c r="D614" s="44" t="inlineStr">
        <is>
          <t>nan</t>
        </is>
      </c>
      <c r="E614" s="44" t="inlineStr">
        <is>
          <t>nan</t>
        </is>
      </c>
      <c r="F614" s="44" t="n"/>
      <c r="G614" s="44" t="n"/>
      <c r="H614" s="15" t="n"/>
      <c r="I614" s="45" t="n">
        <v>2118362.87</v>
      </c>
      <c r="J614" s="45" t="n">
        <v>1888619.792</v>
      </c>
      <c r="K614" s="45" t="n">
        <v>1190943.89</v>
      </c>
      <c r="L614" s="45" t="n">
        <v>1061000.0021621</v>
      </c>
      <c r="M614" s="45" t="n">
        <v>0</v>
      </c>
      <c r="N614" s="45" t="n">
        <v>0</v>
      </c>
      <c r="O614" s="45" t="n">
        <v>0</v>
      </c>
      <c r="P614" s="45" t="n">
        <v>0</v>
      </c>
      <c r="Q614" s="45" t="n">
        <v>0</v>
      </c>
      <c r="R614" s="45" t="n">
        <v>0</v>
      </c>
      <c r="S614" s="45" t="n">
        <v>1190943.89</v>
      </c>
      <c r="T614" s="45" t="n">
        <v>1061000.0021621</v>
      </c>
      <c r="U614" s="15" t="n">
        <v>12.24730325853922</v>
      </c>
      <c r="V614" s="15" t="n">
        <v>58.74631893287719</v>
      </c>
      <c r="W614" s="49" t="n">
        <v>89.089</v>
      </c>
    </row>
    <row r="615">
      <c r="A615" s="44" t="inlineStr">
        <is>
          <t>TL Cinsi Kuponsuz Senetler</t>
        </is>
      </c>
      <c r="B615" s="44" t="n">
        <v>2002</v>
      </c>
      <c r="C615" s="44" t="inlineStr">
        <is>
          <t>TRB070503T13</t>
        </is>
      </c>
      <c r="D615" s="44" t="inlineStr">
        <is>
          <t>nan</t>
        </is>
      </c>
      <c r="E615" s="44" t="inlineStr">
        <is>
          <t>nan</t>
        </is>
      </c>
      <c r="F615" s="44" t="n"/>
      <c r="G615" s="44" t="n"/>
      <c r="H615" s="15" t="n"/>
      <c r="I615" s="45" t="n">
        <v>2766707.11</v>
      </c>
      <c r="J615" s="45" t="n">
        <v>1892273.474</v>
      </c>
      <c r="K615" s="45" t="n">
        <v>1427595.74</v>
      </c>
      <c r="L615" s="45" t="n">
        <v>977546.1829649999</v>
      </c>
      <c r="M615" s="45" t="n">
        <v>331364.7316538883</v>
      </c>
      <c r="N615" s="45" t="n">
        <v>226902</v>
      </c>
      <c r="O615" s="45" t="n">
        <v>0</v>
      </c>
      <c r="P615" s="45" t="n">
        <v>0</v>
      </c>
      <c r="Q615" s="45" t="n">
        <v>0</v>
      </c>
      <c r="R615" s="45" t="n">
        <v>0</v>
      </c>
      <c r="S615" s="45" t="n">
        <v>1758960.471653888</v>
      </c>
      <c r="T615" s="45" t="n">
        <v>1204448.182965</v>
      </c>
      <c r="U615" s="15" t="n">
        <v>46.03870025556773</v>
      </c>
      <c r="V615" s="15" t="n">
        <v>67.90414504264903</v>
      </c>
      <c r="W615" s="49" t="n">
        <v>68.47499999999999</v>
      </c>
    </row>
    <row r="616">
      <c r="A616" s="44" t="inlineStr">
        <is>
          <t>TL Cinsi Kuponsuz Senetler</t>
        </is>
      </c>
      <c r="B616" s="44" t="n">
        <v>2002</v>
      </c>
      <c r="C616" s="44" t="inlineStr">
        <is>
          <t>TRB220103T18</t>
        </is>
      </c>
      <c r="D616" s="44" t="inlineStr">
        <is>
          <t>nan</t>
        </is>
      </c>
      <c r="E616" s="44" t="inlineStr">
        <is>
          <t>nan</t>
        </is>
      </c>
      <c r="F616" s="44" t="n"/>
      <c r="G616" s="44" t="n"/>
      <c r="H616" s="15" t="n"/>
      <c r="I616" s="45" t="n">
        <v>2870717.18</v>
      </c>
      <c r="J616" s="45" t="n">
        <v>2365252.97</v>
      </c>
      <c r="K616" s="45" t="n">
        <v>1536299.86</v>
      </c>
      <c r="L616" s="45" t="n">
        <v>1267508.836070002</v>
      </c>
      <c r="M616" s="45" t="n">
        <v>84238.3399874801</v>
      </c>
      <c r="N616" s="45" t="n">
        <v>69500</v>
      </c>
      <c r="O616" s="45" t="n">
        <v>0</v>
      </c>
      <c r="P616" s="45" t="n">
        <v>0</v>
      </c>
      <c r="Q616" s="45" t="n">
        <v>0</v>
      </c>
      <c r="R616" s="45" t="n">
        <v>0</v>
      </c>
      <c r="S616" s="45" t="n">
        <v>1620538.19998748</v>
      </c>
      <c r="T616" s="45" t="n">
        <v>1337008.836070002</v>
      </c>
      <c r="U616" s="15" t="n">
        <v>21.2062445863023</v>
      </c>
      <c r="V616" s="15" t="n">
        <v>60.99922969467551</v>
      </c>
      <c r="W616" s="49" t="n">
        <v>82.504</v>
      </c>
    </row>
    <row r="617">
      <c r="A617" s="44" t="inlineStr">
        <is>
          <t>TL Cinsi Kuponsuz Senetler</t>
        </is>
      </c>
      <c r="B617" s="44" t="n">
        <v>2002</v>
      </c>
      <c r="C617" s="44" t="inlineStr">
        <is>
          <t>TRB070503T13</t>
        </is>
      </c>
      <c r="D617" s="44" t="inlineStr">
        <is>
          <t>nan</t>
        </is>
      </c>
      <c r="E617" s="44" t="inlineStr">
        <is>
          <t>nan</t>
        </is>
      </c>
      <c r="F617" s="44" t="n"/>
      <c r="G617" s="44" t="n"/>
      <c r="H617" s="15" t="n"/>
      <c r="I617" s="45" t="n">
        <v>2010753.365</v>
      </c>
      <c r="J617" s="45" t="n">
        <v>1410707.801</v>
      </c>
      <c r="K617" s="45" t="n">
        <v>1279646.375</v>
      </c>
      <c r="L617" s="45" t="n">
        <v>897211.2590014301</v>
      </c>
      <c r="M617" s="45" t="n">
        <v>33436.97408444156</v>
      </c>
      <c r="N617" s="45" t="n">
        <v>23444</v>
      </c>
      <c r="O617" s="45" t="n">
        <v>0</v>
      </c>
      <c r="P617" s="45" t="n">
        <v>0</v>
      </c>
      <c r="Q617" s="45" t="n">
        <v>0</v>
      </c>
      <c r="R617" s="45" t="n">
        <v>0</v>
      </c>
      <c r="S617" s="45" t="n">
        <v>1313083.349084442</v>
      </c>
      <c r="T617" s="45" t="n">
        <v>920655.2590014301</v>
      </c>
      <c r="U617" s="15" t="n">
        <v>42.6248681301892</v>
      </c>
      <c r="V617" s="15" t="n">
        <v>67.00384904134815</v>
      </c>
      <c r="W617" s="49" t="n">
        <v>70.114</v>
      </c>
    </row>
    <row r="618">
      <c r="A618" s="44" t="inlineStr">
        <is>
          <t>TL Cinsi Kuponsuz Senetler</t>
        </is>
      </c>
      <c r="B618" s="44" t="n">
        <v>2002</v>
      </c>
      <c r="C618" s="44" t="inlineStr">
        <is>
          <t>TRB220103T18</t>
        </is>
      </c>
      <c r="D618" s="44" t="inlineStr">
        <is>
          <t>nan</t>
        </is>
      </c>
      <c r="E618" s="44" t="inlineStr">
        <is>
          <t>nan</t>
        </is>
      </c>
      <c r="F618" s="44" t="n"/>
      <c r="G618" s="44" t="n"/>
      <c r="H618" s="15" t="n"/>
      <c r="I618" s="45" t="n">
        <v>2261101.37</v>
      </c>
      <c r="J618" s="45" t="n">
        <v>1885436.144</v>
      </c>
      <c r="K618" s="45" t="n">
        <v>1853764.875</v>
      </c>
      <c r="L618" s="45" t="n">
        <v>1541646.48299625</v>
      </c>
      <c r="M618" s="45" t="n">
        <v>118917.0664838931</v>
      </c>
      <c r="N618" s="45" t="n">
        <v>98895</v>
      </c>
      <c r="O618" s="45" t="n">
        <v>24049.15647583661</v>
      </c>
      <c r="P618" s="45" t="n">
        <v>20000</v>
      </c>
      <c r="Q618" s="45" t="n">
        <v>0</v>
      </c>
      <c r="R618" s="45" t="n">
        <v>0</v>
      </c>
      <c r="S618" s="45" t="n">
        <v>1996731.09795973</v>
      </c>
      <c r="T618" s="45" t="n">
        <v>1660541.48299625</v>
      </c>
      <c r="U618" s="15" t="n">
        <v>20.24578237918304</v>
      </c>
      <c r="V618" s="15" t="n">
        <v>61.50338018497552</v>
      </c>
      <c r="W618" s="49" t="n">
        <v>83.163</v>
      </c>
    </row>
    <row r="619">
      <c r="A619" s="44" t="inlineStr">
        <is>
          <t>TL Cinsi Kuponsuz Senetler</t>
        </is>
      </c>
      <c r="B619" s="44" t="n">
        <v>2002</v>
      </c>
      <c r="C619" s="44" t="inlineStr">
        <is>
          <t>TRB020703T16</t>
        </is>
      </c>
      <c r="D619" s="44" t="inlineStr">
        <is>
          <t>nan</t>
        </is>
      </c>
      <c r="E619" s="44" t="inlineStr">
        <is>
          <t>nan</t>
        </is>
      </c>
      <c r="F619" s="44" t="n"/>
      <c r="G619" s="44" t="n"/>
      <c r="H619" s="15" t="n"/>
      <c r="I619" s="45" t="n">
        <v>1504304.46</v>
      </c>
      <c r="J619" s="45" t="n">
        <v>980522.525</v>
      </c>
      <c r="K619" s="45" t="n">
        <v>1147964.59</v>
      </c>
      <c r="L619" s="45" t="n">
        <v>745671.8790804001</v>
      </c>
      <c r="M619" s="45" t="n">
        <v>115462.774801404</v>
      </c>
      <c r="N619" s="45" t="n">
        <v>75000</v>
      </c>
      <c r="O619" s="45" t="n">
        <v>53882.62824065521</v>
      </c>
      <c r="P619" s="45" t="n">
        <v>35000</v>
      </c>
      <c r="Q619" s="45" t="n">
        <v>27672.72</v>
      </c>
      <c r="R619" s="45" t="n">
        <v>17975.092</v>
      </c>
      <c r="S619" s="45" t="n">
        <v>1344982.713042059</v>
      </c>
      <c r="T619" s="45" t="n">
        <v>873646.9710804</v>
      </c>
      <c r="U619" s="15" t="n">
        <v>53.95036640187203</v>
      </c>
      <c r="V619" s="15" t="n">
        <v>68.50001689877585</v>
      </c>
      <c r="W619" s="49" t="n">
        <v>64.956</v>
      </c>
    </row>
    <row r="620">
      <c r="A620" s="44" t="inlineStr">
        <is>
          <t>TL Cinsi Kuponsuz Senetler</t>
        </is>
      </c>
      <c r="B620" s="44" t="n">
        <v>2002</v>
      </c>
      <c r="C620" s="44" t="inlineStr">
        <is>
          <t>TRB181202T12</t>
        </is>
      </c>
      <c r="D620" s="44" t="inlineStr">
        <is>
          <t>nan</t>
        </is>
      </c>
      <c r="E620" s="44" t="inlineStr">
        <is>
          <t>nan</t>
        </is>
      </c>
      <c r="F620" s="44" t="n"/>
      <c r="G620" s="44" t="n"/>
      <c r="H620" s="15" t="n"/>
      <c r="I620" s="45" t="n">
        <v>1658973.82</v>
      </c>
      <c r="J620" s="45" t="n">
        <v>1480746.368</v>
      </c>
      <c r="K620" s="45" t="n">
        <v>1495308.16</v>
      </c>
      <c r="L620" s="45" t="n">
        <v>1331332.6671744</v>
      </c>
      <c r="M620" s="45" t="n">
        <v>0</v>
      </c>
      <c r="N620" s="45" t="n">
        <v>0</v>
      </c>
      <c r="O620" s="45" t="n">
        <v>0</v>
      </c>
      <c r="P620" s="45" t="n">
        <v>0</v>
      </c>
      <c r="Q620" s="45" t="n">
        <v>0</v>
      </c>
      <c r="R620" s="45" t="n">
        <v>0</v>
      </c>
      <c r="S620" s="45" t="n">
        <v>1495308.16</v>
      </c>
      <c r="T620" s="45" t="n">
        <v>1331332.6671744</v>
      </c>
      <c r="U620" s="15" t="n">
        <v>12.31664308017162</v>
      </c>
      <c r="V620" s="15" t="n">
        <v>59.13893933271191</v>
      </c>
      <c r="W620" s="49" t="n">
        <v>89.03400000000001</v>
      </c>
    </row>
    <row r="621">
      <c r="A621" s="44" t="inlineStr">
        <is>
          <t>TL Cinsi Kuponsuz Senetler</t>
        </is>
      </c>
      <c r="B621" s="44" t="n">
        <v>2002</v>
      </c>
      <c r="C621" s="44" t="inlineStr">
        <is>
          <t>TRB020703T16</t>
        </is>
      </c>
      <c r="D621" s="44" t="inlineStr">
        <is>
          <t>nan</t>
        </is>
      </c>
      <c r="E621" s="44" t="inlineStr">
        <is>
          <t>nan</t>
        </is>
      </c>
      <c r="F621" s="44" t="n"/>
      <c r="G621" s="44" t="n"/>
      <c r="H621" s="15" t="n"/>
      <c r="I621" s="45" t="n">
        <v>2631762.06</v>
      </c>
      <c r="J621" s="45" t="n">
        <v>1782454.415</v>
      </c>
      <c r="K621" s="45" t="n">
        <v>2302144.65</v>
      </c>
      <c r="L621" s="45" t="n">
        <v>1558068.4776735</v>
      </c>
      <c r="M621" s="45" t="n">
        <v>0</v>
      </c>
      <c r="N621" s="45" t="n">
        <v>0</v>
      </c>
      <c r="O621" s="45" t="n">
        <v>0</v>
      </c>
      <c r="P621" s="45" t="n">
        <v>0</v>
      </c>
      <c r="Q621" s="45" t="n">
        <v>106476.15</v>
      </c>
      <c r="R621" s="45" t="n">
        <v>72061.993558</v>
      </c>
      <c r="S621" s="45" t="n">
        <v>2938552.995</v>
      </c>
      <c r="T621" s="45" t="n">
        <v>1988783.28148555</v>
      </c>
      <c r="U621" s="15" t="n">
        <v>47.75632027659984</v>
      </c>
      <c r="V621" s="15" t="n">
        <v>70.61232736580752</v>
      </c>
      <c r="W621" s="49" t="n">
        <v>67.679</v>
      </c>
    </row>
    <row r="622">
      <c r="A622" s="44" t="inlineStr">
        <is>
          <t>TL Cinsi Kuponsuz Senetler</t>
        </is>
      </c>
      <c r="B622" s="44" t="n">
        <v>2002</v>
      </c>
      <c r="C622" s="44" t="inlineStr">
        <is>
          <t>TRB220103T26</t>
        </is>
      </c>
      <c r="D622" s="44" t="inlineStr">
        <is>
          <t>nan</t>
        </is>
      </c>
      <c r="E622" s="44" t="inlineStr">
        <is>
          <t>nan</t>
        </is>
      </c>
      <c r="F622" s="44" t="n"/>
      <c r="G622" s="44" t="n"/>
      <c r="H622" s="15" t="n"/>
      <c r="I622" s="45" t="n">
        <v>2778692.58</v>
      </c>
      <c r="J622" s="45" t="n">
        <v>2487586.922</v>
      </c>
      <c r="K622" s="45" t="n">
        <v>1319919.655</v>
      </c>
      <c r="L622" s="45" t="n">
        <v>1181988.0510525</v>
      </c>
      <c r="M622" s="45" t="n">
        <v>0</v>
      </c>
      <c r="N622" s="45" t="n">
        <v>0</v>
      </c>
      <c r="O622" s="45" t="n">
        <v>0</v>
      </c>
      <c r="P622" s="45" t="n">
        <v>0</v>
      </c>
      <c r="Q622" s="45" t="n">
        <v>0</v>
      </c>
      <c r="R622" s="45" t="n">
        <v>0</v>
      </c>
      <c r="S622" s="45" t="n">
        <v>1319919.655</v>
      </c>
      <c r="T622" s="45" t="n">
        <v>1181988.0510525</v>
      </c>
      <c r="U622" s="15" t="n">
        <v>11.66945840312674</v>
      </c>
      <c r="V622" s="15" t="n">
        <v>55.50259442940433</v>
      </c>
      <c r="W622" s="49" t="n">
        <v>89.55</v>
      </c>
    </row>
    <row r="623">
      <c r="A623" s="44" t="inlineStr">
        <is>
          <t>TL Cinsi Kuponsuz Senetler</t>
        </is>
      </c>
      <c r="B623" s="44" t="n">
        <v>2002</v>
      </c>
      <c r="C623" s="44" t="inlineStr">
        <is>
          <t>TRB270803T16</t>
        </is>
      </c>
      <c r="D623" s="44" t="inlineStr">
        <is>
          <t>nan</t>
        </is>
      </c>
      <c r="E623" s="44" t="inlineStr">
        <is>
          <t>nan</t>
        </is>
      </c>
      <c r="F623" s="44" t="n"/>
      <c r="G623" s="44" t="n"/>
      <c r="H623" s="15" t="n"/>
      <c r="I623" s="45" t="n">
        <v>3986228.915</v>
      </c>
      <c r="J623" s="45" t="n">
        <v>2636501.172</v>
      </c>
      <c r="K623" s="45" t="n">
        <v>3730525.42</v>
      </c>
      <c r="L623" s="45" t="n">
        <v>2455842.1892402</v>
      </c>
      <c r="M623" s="45" t="n">
        <v>420014.8866035758</v>
      </c>
      <c r="N623" s="45" t="n">
        <v>276500</v>
      </c>
      <c r="O623" s="45" t="n">
        <v>0</v>
      </c>
      <c r="P623" s="45" t="n">
        <v>0</v>
      </c>
      <c r="Q623" s="45" t="n">
        <v>155787.085</v>
      </c>
      <c r="R623" s="45" t="n">
        <v>102556.195928</v>
      </c>
      <c r="S623" s="45" t="n">
        <v>4446926.036603576</v>
      </c>
      <c r="T623" s="45" t="n">
        <v>2927455.87915815</v>
      </c>
      <c r="U623" s="15" t="n">
        <v>51.90411812064224</v>
      </c>
      <c r="V623" s="15" t="n">
        <v>63.90122246576016</v>
      </c>
      <c r="W623" s="49" t="n">
        <v>65.831</v>
      </c>
    </row>
    <row r="624">
      <c r="A624" s="44" t="inlineStr">
        <is>
          <t>TL Cinsi Kuponsuz Senetler</t>
        </is>
      </c>
      <c r="B624" s="44" t="n">
        <v>2002</v>
      </c>
      <c r="C624" s="44" t="inlineStr">
        <is>
          <t>TRB190303T11</t>
        </is>
      </c>
      <c r="D624" s="44" t="inlineStr">
        <is>
          <t>nan</t>
        </is>
      </c>
      <c r="E624" s="44" t="inlineStr">
        <is>
          <t>nan</t>
        </is>
      </c>
      <c r="F624" s="44" t="n"/>
      <c r="G624" s="44" t="n"/>
      <c r="H624" s="15" t="n"/>
      <c r="I624" s="45" t="n">
        <v>2775277.09</v>
      </c>
      <c r="J624" s="45" t="n">
        <v>2373848.224</v>
      </c>
      <c r="K624" s="45" t="n">
        <v>2552820.265</v>
      </c>
      <c r="L624" s="45" t="n">
        <v>2180236.210593705</v>
      </c>
      <c r="M624" s="45" t="n">
        <v>105380.244</v>
      </c>
      <c r="N624" s="45" t="n">
        <v>90000</v>
      </c>
      <c r="O624" s="45" t="n">
        <v>0</v>
      </c>
      <c r="P624" s="45" t="n">
        <v>0</v>
      </c>
      <c r="Q624" s="45" t="n">
        <v>0</v>
      </c>
      <c r="R624" s="45" t="n">
        <v>0</v>
      </c>
      <c r="S624" s="45" t="n">
        <v>2791084.534</v>
      </c>
      <c r="T624" s="45" t="n">
        <v>2383725.815438423</v>
      </c>
      <c r="U624" s="15" t="n">
        <v>17.08916</v>
      </c>
      <c r="V624" s="15" t="n">
        <v>53.99951856088079</v>
      </c>
      <c r="W624" s="49" t="n">
        <v>85.405</v>
      </c>
    </row>
    <row r="625">
      <c r="A625" s="44" t="inlineStr">
        <is>
          <t>TL Cinsi Kuponsuz Senetler</t>
        </is>
      </c>
      <c r="B625" s="44" t="n">
        <v>2002</v>
      </c>
      <c r="C625" s="44" t="inlineStr">
        <is>
          <t>TRB020703T16</t>
        </is>
      </c>
      <c r="D625" s="44" t="inlineStr">
        <is>
          <t>nan</t>
        </is>
      </c>
      <c r="E625" s="44" t="inlineStr">
        <is>
          <t>nan</t>
        </is>
      </c>
      <c r="F625" s="44" t="n"/>
      <c r="G625" s="44" t="n"/>
      <c r="H625" s="15" t="n"/>
      <c r="I625" s="45" t="n">
        <v>3116871.24</v>
      </c>
      <c r="J625" s="45" t="n">
        <v>2328770.575</v>
      </c>
      <c r="K625" s="45" t="n">
        <v>1492498.305</v>
      </c>
      <c r="L625" s="45" t="n">
        <v>1113612.731685806</v>
      </c>
      <c r="M625" s="45" t="n">
        <v>502586.6249999999</v>
      </c>
      <c r="N625" s="45" t="n">
        <v>375000</v>
      </c>
      <c r="O625" s="45" t="n">
        <v>0</v>
      </c>
      <c r="P625" s="45" t="n">
        <v>0</v>
      </c>
      <c r="Q625" s="45" t="n">
        <v>20341.34</v>
      </c>
      <c r="R625" s="45" t="n">
        <v>15177.487427</v>
      </c>
      <c r="S625" s="45" t="n">
        <v>2015426.27</v>
      </c>
      <c r="T625" s="45" t="n">
        <v>1503790.219112806</v>
      </c>
      <c r="U625" s="15" t="n">
        <v>34.0231</v>
      </c>
      <c r="V625" s="15" t="n">
        <v>56.4984594808184</v>
      </c>
      <c r="W625" s="49" t="n">
        <v>74.614</v>
      </c>
    </row>
    <row r="626">
      <c r="A626" s="44" t="inlineStr">
        <is>
          <t>TL Cinsi Kuponsuz Senetler</t>
        </is>
      </c>
      <c r="B626" s="44" t="n">
        <v>2002</v>
      </c>
      <c r="C626" s="44" t="inlineStr">
        <is>
          <t>TRB050203T18</t>
        </is>
      </c>
      <c r="D626" s="44" t="inlineStr">
        <is>
          <t>nan</t>
        </is>
      </c>
      <c r="E626" s="44" t="inlineStr">
        <is>
          <t>nan</t>
        </is>
      </c>
      <c r="F626" s="44" t="n"/>
      <c r="G626" s="44" t="n"/>
      <c r="H626" s="15" t="n"/>
      <c r="I626" s="45" t="n">
        <v>1903743.385</v>
      </c>
      <c r="J626" s="45" t="n">
        <v>1740159.791</v>
      </c>
      <c r="K626" s="45" t="n">
        <v>1473970.085</v>
      </c>
      <c r="L626" s="45" t="n">
        <v>1346000.0022203</v>
      </c>
      <c r="M626" s="45" t="n">
        <v>0</v>
      </c>
      <c r="N626" s="45" t="n">
        <v>0</v>
      </c>
      <c r="O626" s="45" t="n">
        <v>0</v>
      </c>
      <c r="P626" s="45" t="n">
        <v>0</v>
      </c>
      <c r="Q626" s="45" t="n">
        <v>0</v>
      </c>
      <c r="R626" s="45" t="n">
        <v>0</v>
      </c>
      <c r="S626" s="45" t="n">
        <v>1473970.085</v>
      </c>
      <c r="T626" s="45" t="n">
        <v>1346000.0022203</v>
      </c>
      <c r="U626" s="15" t="n">
        <v>9.507435554874167</v>
      </c>
      <c r="V626" s="15" t="n">
        <v>48.22528862612725</v>
      </c>
      <c r="W626" s="49" t="n">
        <v>91.318</v>
      </c>
    </row>
    <row r="627">
      <c r="A627" s="44" t="inlineStr">
        <is>
          <t>TL Cinsi Kuponsuz Senetler</t>
        </is>
      </c>
      <c r="B627" s="44" t="n">
        <v>2002</v>
      </c>
      <c r="C627" s="44" t="inlineStr">
        <is>
          <t>TRT031203T34</t>
        </is>
      </c>
      <c r="D627" s="44" t="inlineStr">
        <is>
          <t>nan</t>
        </is>
      </c>
      <c r="E627" s="44" t="inlineStr">
        <is>
          <t>nan</t>
        </is>
      </c>
      <c r="F627" s="44" t="n"/>
      <c r="G627" s="44" t="n"/>
      <c r="H627" s="15" t="n"/>
      <c r="I627" s="45" t="n">
        <v>2638417.575</v>
      </c>
      <c r="J627" s="45" t="n">
        <v>1726663.654</v>
      </c>
      <c r="K627" s="45" t="n">
        <v>1390109.285</v>
      </c>
      <c r="L627" s="45" t="n">
        <v>910257.46091085</v>
      </c>
      <c r="M627" s="45" t="n">
        <v>0</v>
      </c>
      <c r="N627" s="45" t="n">
        <v>0</v>
      </c>
      <c r="O627" s="45" t="n">
        <v>0</v>
      </c>
      <c r="P627" s="45" t="n">
        <v>0</v>
      </c>
      <c r="Q627" s="45" t="n">
        <v>0</v>
      </c>
      <c r="R627" s="45" t="n">
        <v>0</v>
      </c>
      <c r="S627" s="45" t="n">
        <v>1562276.08</v>
      </c>
      <c r="T627" s="45" t="n">
        <v>1022993.9999448</v>
      </c>
      <c r="U627" s="15" t="n">
        <v>52.71605503886623</v>
      </c>
      <c r="V627" s="15" t="n">
        <v>51.50088655408867</v>
      </c>
      <c r="W627" s="49" t="n">
        <v>65.48099999999999</v>
      </c>
    </row>
    <row r="628">
      <c r="A628" s="44" t="inlineStr">
        <is>
          <t>TL Cinsi Kuponsuz Senetler</t>
        </is>
      </c>
      <c r="B628" s="44" t="n">
        <v>2002</v>
      </c>
      <c r="C628" s="44" t="inlineStr">
        <is>
          <t>TRB210503T15</t>
        </is>
      </c>
      <c r="D628" s="44" t="inlineStr">
        <is>
          <t>nan</t>
        </is>
      </c>
      <c r="E628" s="44" t="inlineStr">
        <is>
          <t>nan</t>
        </is>
      </c>
      <c r="F628" s="44" t="n"/>
      <c r="G628" s="44" t="n"/>
      <c r="H628" s="15" t="n"/>
      <c r="I628" s="45" t="n">
        <v>1753718.645</v>
      </c>
      <c r="J628" s="45" t="n">
        <v>1459039.802</v>
      </c>
      <c r="K628" s="45" t="n">
        <v>1438447.53</v>
      </c>
      <c r="L628" s="45" t="n">
        <v>1195321.1284794</v>
      </c>
      <c r="M628" s="45" t="n">
        <v>0</v>
      </c>
      <c r="N628" s="45" t="n">
        <v>0</v>
      </c>
      <c r="O628" s="45" t="n">
        <v>0</v>
      </c>
      <c r="P628" s="45" t="n">
        <v>0</v>
      </c>
      <c r="Q628" s="45" t="n">
        <v>0</v>
      </c>
      <c r="R628" s="45" t="n">
        <v>0</v>
      </c>
      <c r="S628" s="45" t="n">
        <v>1578787.365</v>
      </c>
      <c r="T628" s="45" t="n">
        <v>1311940.7245677</v>
      </c>
      <c r="U628" s="15" t="n">
        <v>20.33983970733351</v>
      </c>
      <c r="V628" s="15" t="n">
        <v>49.00112198676621</v>
      </c>
      <c r="W628" s="49" t="n">
        <v>83.098</v>
      </c>
    </row>
    <row r="629">
      <c r="A629" s="44" t="inlineStr">
        <is>
          <t>TL Cinsi Kuponsuz Senetler</t>
        </is>
      </c>
      <c r="B629" s="44" t="n">
        <v>2002</v>
      </c>
      <c r="C629" s="44" t="inlineStr">
        <is>
          <t>TRB210503T15</t>
        </is>
      </c>
      <c r="D629" s="44" t="inlineStr">
        <is>
          <t>nan</t>
        </is>
      </c>
      <c r="E629" s="44" t="inlineStr">
        <is>
          <t>nan</t>
        </is>
      </c>
      <c r="F629" s="44" t="n"/>
      <c r="G629" s="44" t="n"/>
      <c r="H629" s="15" t="n"/>
      <c r="I629" s="45" t="n">
        <v>1708581.325</v>
      </c>
      <c r="J629" s="45" t="n">
        <v>1429358.822</v>
      </c>
      <c r="K629" s="45" t="n">
        <v>1488983.73</v>
      </c>
      <c r="L629" s="45" t="n">
        <v>1241812.43082</v>
      </c>
      <c r="M629" s="45" t="n">
        <v>382822.535</v>
      </c>
      <c r="N629" s="45" t="n">
        <v>319273.99419</v>
      </c>
      <c r="O629" s="45" t="n">
        <v>0</v>
      </c>
      <c r="P629" s="45" t="n">
        <v>0</v>
      </c>
      <c r="Q629" s="45" t="n">
        <v>0</v>
      </c>
      <c r="R629" s="45" t="n">
        <v>0</v>
      </c>
      <c r="S629" s="45" t="n">
        <v>2099133.185</v>
      </c>
      <c r="T629" s="45" t="n">
        <v>1750677.07629</v>
      </c>
      <c r="U629" s="15" t="n">
        <v>19.90407673860912</v>
      </c>
      <c r="V629" s="15" t="n">
        <v>50.74165420748733</v>
      </c>
      <c r="W629" s="49" t="n">
        <v>83.40000000000001</v>
      </c>
    </row>
    <row r="630">
      <c r="A630" s="44" t="inlineStr">
        <is>
          <t>TL Cinsi Kuponsuz Senetler</t>
        </is>
      </c>
      <c r="B630" s="44" t="n">
        <v>2002</v>
      </c>
      <c r="C630" s="44" t="inlineStr">
        <is>
          <t>TRT031203T34</t>
        </is>
      </c>
      <c r="D630" s="44" t="inlineStr">
        <is>
          <t>nan</t>
        </is>
      </c>
      <c r="E630" s="44" t="inlineStr">
        <is>
          <t>nan</t>
        </is>
      </c>
      <c r="F630" s="44" t="n"/>
      <c r="G630" s="44" t="n"/>
      <c r="H630" s="15" t="n"/>
      <c r="I630" s="45" t="n">
        <v>3050174.1</v>
      </c>
      <c r="J630" s="45" t="n">
        <v>2046261.852</v>
      </c>
      <c r="K630" s="45" t="n">
        <v>2890558.875</v>
      </c>
      <c r="L630" s="45" t="n">
        <v>1925401.2666375</v>
      </c>
      <c r="M630" s="45" t="n">
        <v>105089.3249962468</v>
      </c>
      <c r="N630" s="45" t="n">
        <v>69999.99937999999</v>
      </c>
      <c r="O630" s="45" t="n">
        <v>0</v>
      </c>
      <c r="P630" s="45" t="n">
        <v>0</v>
      </c>
      <c r="Q630" s="45" t="n">
        <v>47751.735</v>
      </c>
      <c r="R630" s="45" t="n">
        <v>31807.4306835</v>
      </c>
      <c r="S630" s="45" t="n">
        <v>3573128.034996247</v>
      </c>
      <c r="T630" s="45" t="n">
        <v>2380060.584111</v>
      </c>
      <c r="U630" s="15" t="n">
        <v>50.12760846719713</v>
      </c>
      <c r="V630" s="15" t="n">
        <v>51.32844779248131</v>
      </c>
      <c r="W630" s="49" t="n">
        <v>66.61</v>
      </c>
    </row>
    <row r="631">
      <c r="A631" s="44" t="inlineStr">
        <is>
          <t>TL Cinsi Kuponsuz Senetler</t>
        </is>
      </c>
      <c r="B631" s="44" t="n">
        <v>2002</v>
      </c>
      <c r="C631" s="44" t="inlineStr">
        <is>
          <t>TRB190303T29</t>
        </is>
      </c>
      <c r="D631" s="44" t="inlineStr">
        <is>
          <t>nan</t>
        </is>
      </c>
      <c r="E631" s="44" t="inlineStr">
        <is>
          <t>nan</t>
        </is>
      </c>
      <c r="F631" s="44" t="n"/>
      <c r="G631" s="44" t="n"/>
      <c r="H631" s="15" t="n"/>
      <c r="I631" s="45" t="n">
        <v>1846392.68</v>
      </c>
      <c r="J631" s="45" t="n">
        <v>1685164.22</v>
      </c>
      <c r="K631" s="45" t="n">
        <v>1429842.19</v>
      </c>
      <c r="L631" s="45" t="n">
        <v>1301999.9997921</v>
      </c>
      <c r="M631" s="45" t="n">
        <v>0</v>
      </c>
      <c r="N631" s="45" t="n">
        <v>0</v>
      </c>
      <c r="O631" s="45" t="n">
        <v>0</v>
      </c>
      <c r="P631" s="45" t="n">
        <v>0</v>
      </c>
      <c r="Q631" s="45" t="n">
        <v>0</v>
      </c>
      <c r="R631" s="45" t="n">
        <v>0</v>
      </c>
      <c r="S631" s="45" t="n">
        <v>1429842.19</v>
      </c>
      <c r="T631" s="45" t="n">
        <v>1301999.9997921</v>
      </c>
      <c r="U631" s="15" t="n">
        <v>9.818908619686129</v>
      </c>
      <c r="V631" s="15" t="n">
        <v>45.4482477300352</v>
      </c>
      <c r="W631" s="49" t="n">
        <v>91.059</v>
      </c>
    </row>
    <row r="632">
      <c r="A632" s="44" t="inlineStr">
        <is>
          <t>TL Cinsi Kuponsuz Senetler</t>
        </is>
      </c>
      <c r="B632" s="44" t="n">
        <v>2002</v>
      </c>
      <c r="C632" s="44" t="inlineStr">
        <is>
          <t>TRT031203T34</t>
        </is>
      </c>
      <c r="D632" s="44" t="inlineStr">
        <is>
          <t>nan</t>
        </is>
      </c>
      <c r="E632" s="44" t="inlineStr">
        <is>
          <t>nan</t>
        </is>
      </c>
      <c r="F632" s="44" t="n"/>
      <c r="G632" s="44" t="n"/>
      <c r="H632" s="15" t="n"/>
      <c r="I632" s="45" t="n">
        <v>1814238.15</v>
      </c>
      <c r="J632" s="45" t="n">
        <v>1223102.888</v>
      </c>
      <c r="K632" s="45" t="n">
        <v>1375880.365</v>
      </c>
      <c r="L632" s="45" t="n">
        <v>925733.5859829499</v>
      </c>
      <c r="M632" s="45" t="n">
        <v>0</v>
      </c>
      <c r="N632" s="45" t="n">
        <v>0</v>
      </c>
      <c r="O632" s="45" t="n">
        <v>0</v>
      </c>
      <c r="P632" s="45" t="n">
        <v>0</v>
      </c>
      <c r="Q632" s="45" t="n">
        <v>0</v>
      </c>
      <c r="R632" s="45" t="n">
        <v>0</v>
      </c>
      <c r="S632" s="45" t="n">
        <v>1375880.365</v>
      </c>
      <c r="T632" s="45" t="n">
        <v>925733.5859829499</v>
      </c>
      <c r="U632" s="15" t="n">
        <v>48.62595306392403</v>
      </c>
      <c r="V632" s="15" t="n">
        <v>51.00051853161638</v>
      </c>
      <c r="W632" s="49" t="n">
        <v>67.283</v>
      </c>
    </row>
    <row r="633">
      <c r="A633" s="44" t="inlineStr">
        <is>
          <t>TL Cinsi Kuponsuz Senetler</t>
        </is>
      </c>
      <c r="B633" s="44" t="n">
        <v>2001</v>
      </c>
      <c r="C633" s="44" t="inlineStr">
        <is>
          <t>TRT200202T28</t>
        </is>
      </c>
      <c r="D633" s="44" t="inlineStr">
        <is>
          <t>nan</t>
        </is>
      </c>
      <c r="E633" s="44" t="inlineStr">
        <is>
          <t>nan</t>
        </is>
      </c>
      <c r="F633" s="44" t="n"/>
      <c r="G633" s="44" t="n"/>
      <c r="H633" s="15" t="n"/>
      <c r="I633" s="45" t="n">
        <v>683388.5</v>
      </c>
      <c r="J633" s="45" t="n">
        <v>382294.1197</v>
      </c>
      <c r="K633" s="45" t="n">
        <v>438528.5</v>
      </c>
      <c r="L633" s="45" t="n">
        <v>250176.173</v>
      </c>
      <c r="M633" s="45" t="n">
        <v>497470.955</v>
      </c>
      <c r="N633" s="45" t="n">
        <v>284799.994</v>
      </c>
      <c r="O633" s="45" t="n">
        <v>0</v>
      </c>
      <c r="P633" s="45" t="n">
        <v>0</v>
      </c>
      <c r="Q633" s="45" t="n">
        <v>0</v>
      </c>
      <c r="R633" s="45" t="n">
        <v>0</v>
      </c>
      <c r="S633" s="45" t="n">
        <v>935999.4550000001</v>
      </c>
      <c r="T633" s="45" t="n">
        <v>534976.167</v>
      </c>
      <c r="U633" s="15" t="n">
        <v>75.29000000000001</v>
      </c>
      <c r="V633" s="15" t="n">
        <v>64.9945527028317</v>
      </c>
      <c r="W633" s="49" t="n">
        <v>57049.31992697815</v>
      </c>
    </row>
    <row r="634">
      <c r="A634" s="44" t="inlineStr">
        <is>
          <t>TL Cinsi Kuponsuz Senetler</t>
        </is>
      </c>
      <c r="B634" s="44" t="n">
        <v>2001</v>
      </c>
      <c r="C634" s="44" t="inlineStr">
        <is>
          <t>TRB110701T17</t>
        </is>
      </c>
      <c r="D634" s="44" t="inlineStr">
        <is>
          <t>nan</t>
        </is>
      </c>
      <c r="E634" s="44" t="inlineStr">
        <is>
          <t>nan</t>
        </is>
      </c>
      <c r="F634" s="44" t="n"/>
      <c r="G634" s="44" t="n"/>
      <c r="H634" s="15" t="n"/>
      <c r="I634" s="45" t="n">
        <v>2361066.03</v>
      </c>
      <c r="J634" s="45" t="n">
        <v>1810941.9266</v>
      </c>
      <c r="K634" s="45" t="n">
        <v>1488787</v>
      </c>
      <c r="L634" s="45" t="n">
        <v>1147168.859862535</v>
      </c>
      <c r="M634" s="45" t="n">
        <v>0</v>
      </c>
      <c r="N634" s="45" t="n">
        <v>0</v>
      </c>
      <c r="O634" s="45" t="n">
        <v>0</v>
      </c>
      <c r="P634" s="45" t="n">
        <v>0</v>
      </c>
      <c r="Q634" s="45" t="n">
        <v>0</v>
      </c>
      <c r="R634" s="45" t="n">
        <v>0</v>
      </c>
      <c r="S634" s="45" t="n">
        <v>1488787</v>
      </c>
      <c r="T634" s="45" t="n">
        <v>1147168.859862535</v>
      </c>
      <c r="U634" s="15" t="n">
        <v>29.779</v>
      </c>
      <c r="V634" s="15" t="n">
        <v>183.6727988669777</v>
      </c>
      <c r="W634" s="49" t="n">
        <v>77054.0688401051</v>
      </c>
    </row>
    <row r="635">
      <c r="A635" s="44" t="inlineStr">
        <is>
          <t>TL Cinsi Kuponsuz Senetler</t>
        </is>
      </c>
      <c r="B635" s="44" t="n">
        <v>2001</v>
      </c>
      <c r="C635" s="44" t="inlineStr">
        <is>
          <t>TRB250401T14</t>
        </is>
      </c>
      <c r="D635" s="44" t="inlineStr">
        <is>
          <t>nan</t>
        </is>
      </c>
      <c r="E635" s="44" t="inlineStr">
        <is>
          <t>nan</t>
        </is>
      </c>
      <c r="F635" s="44" t="n"/>
      <c r="G635" s="44" t="n"/>
      <c r="H635" s="15" t="n"/>
      <c r="I635" s="45" t="n">
        <v>830018.6</v>
      </c>
      <c r="J635" s="45" t="n">
        <v>738463.302</v>
      </c>
      <c r="K635" s="45" t="n">
        <v>434546.335</v>
      </c>
      <c r="L635" s="45" t="n">
        <v>387999.9770639332</v>
      </c>
      <c r="M635" s="45" t="n">
        <v>0</v>
      </c>
      <c r="N635" s="45" t="n">
        <v>0</v>
      </c>
      <c r="O635" s="45" t="n">
        <v>0</v>
      </c>
      <c r="P635" s="45" t="n">
        <v>0</v>
      </c>
      <c r="Q635" s="45" t="n">
        <v>0</v>
      </c>
      <c r="R635" s="45" t="n">
        <v>0</v>
      </c>
      <c r="S635" s="45" t="n">
        <v>434546.335</v>
      </c>
      <c r="T635" s="45" t="n">
        <v>387999.9770639332</v>
      </c>
      <c r="U635" s="15" t="n">
        <v>11.99587855</v>
      </c>
      <c r="V635" s="15" t="n">
        <v>57.32877591640686</v>
      </c>
      <c r="W635" s="49" t="n">
        <v>89289.00000133086</v>
      </c>
    </row>
    <row r="636">
      <c r="A636" s="44" t="inlineStr">
        <is>
          <t>TL Cinsi Kuponsuz Senetler</t>
        </is>
      </c>
      <c r="B636" s="44" t="n">
        <v>2001</v>
      </c>
      <c r="C636" s="44" t="inlineStr">
        <is>
          <t>TRB160501T14</t>
        </is>
      </c>
      <c r="D636" s="44" t="inlineStr">
        <is>
          <t>nan</t>
        </is>
      </c>
      <c r="E636" s="44" t="inlineStr">
        <is>
          <t>nan</t>
        </is>
      </c>
      <c r="F636" s="44" t="n"/>
      <c r="G636" s="44" t="n"/>
      <c r="H636" s="15" t="n"/>
      <c r="I636" s="45" t="n">
        <v>1335412.61</v>
      </c>
      <c r="J636" s="45" t="n">
        <v>1163103.126</v>
      </c>
      <c r="K636" s="45" t="n">
        <v>916349.5</v>
      </c>
      <c r="L636" s="45" t="n">
        <v>0</v>
      </c>
      <c r="M636" s="45" t="n">
        <v>0</v>
      </c>
      <c r="N636" s="45" t="n">
        <v>0</v>
      </c>
      <c r="O636" s="45" t="n">
        <v>0</v>
      </c>
      <c r="P636" s="45" t="n">
        <v>0</v>
      </c>
      <c r="Q636" s="45" t="n">
        <v>0</v>
      </c>
      <c r="R636" s="45" t="n">
        <v>0</v>
      </c>
      <c r="S636" s="45" t="n">
        <v>916349.5</v>
      </c>
      <c r="T636" s="45" t="n">
        <v>0</v>
      </c>
      <c r="U636" s="15" t="n">
        <v>14.258</v>
      </c>
      <c r="V636" s="15" t="n">
        <v>70.43016763801621</v>
      </c>
      <c r="W636" s="49" t="n">
        <v>87521.22389679498</v>
      </c>
    </row>
    <row r="637">
      <c r="A637" s="44" t="inlineStr">
        <is>
          <t>TL Cinsi Kuponsuz Senetler</t>
        </is>
      </c>
      <c r="B637" s="44" t="n">
        <v>2001</v>
      </c>
      <c r="C637" s="44" t="inlineStr">
        <is>
          <t>TRB210301T19</t>
        </is>
      </c>
      <c r="D637" s="44" t="inlineStr">
        <is>
          <t>nan</t>
        </is>
      </c>
      <c r="E637" s="44" t="inlineStr">
        <is>
          <t>nan</t>
        </is>
      </c>
      <c r="F637" s="44" t="n"/>
      <c r="G637" s="44" t="n"/>
      <c r="H637" s="15" t="n"/>
      <c r="I637" s="45" t="n">
        <v>1770367.785</v>
      </c>
      <c r="J637" s="45" t="n">
        <v>1647731.144</v>
      </c>
      <c r="K637" s="45" t="n">
        <v>1009385.2</v>
      </c>
      <c r="L637" s="45" t="n">
        <v>940914.4504341331</v>
      </c>
      <c r="M637" s="45" t="n">
        <v>1286877.53</v>
      </c>
      <c r="N637" s="45" t="n">
        <v>1212334.34569</v>
      </c>
      <c r="O637" s="45" t="n">
        <v>0</v>
      </c>
      <c r="P637" s="45" t="n">
        <v>0</v>
      </c>
      <c r="Q637" s="45" t="n">
        <v>0</v>
      </c>
      <c r="R637" s="45" t="n">
        <v>0</v>
      </c>
      <c r="S637" s="45" t="n">
        <v>2296262.73</v>
      </c>
      <c r="T637" s="45" t="n">
        <v>2153248.796124133</v>
      </c>
      <c r="U637" s="15" t="n">
        <v>7.11</v>
      </c>
      <c r="V637" s="15" t="n">
        <v>144.2250746593241</v>
      </c>
      <c r="W637" s="49" t="n">
        <v>93358.96433572963</v>
      </c>
    </row>
    <row r="638">
      <c r="A638" s="44" t="inlineStr">
        <is>
          <t>TL Cinsi Kuponsuz Senetler</t>
        </is>
      </c>
      <c r="B638" s="44" t="n">
        <v>2001</v>
      </c>
      <c r="C638" s="44" t="inlineStr">
        <is>
          <t>TRB270601T10</t>
        </is>
      </c>
      <c r="D638" s="44" t="inlineStr">
        <is>
          <t>nan</t>
        </is>
      </c>
      <c r="E638" s="44" t="inlineStr">
        <is>
          <t>nan</t>
        </is>
      </c>
      <c r="F638" s="44" t="n"/>
      <c r="G638" s="44" t="n"/>
      <c r="H638" s="15" t="n"/>
      <c r="I638" s="45" t="n">
        <v>7391480.525</v>
      </c>
      <c r="J638" s="45" t="n">
        <v>5480992.168</v>
      </c>
      <c r="K638" s="45" t="n">
        <v>2926151.065</v>
      </c>
      <c r="L638" s="45" t="n">
        <v>2189375.56457719</v>
      </c>
      <c r="M638" s="45" t="n">
        <v>1236952.2365</v>
      </c>
      <c r="N638" s="45" t="n">
        <v>925500</v>
      </c>
      <c r="O638" s="45" t="n">
        <v>228545.533</v>
      </c>
      <c r="P638" s="45" t="n">
        <v>171000</v>
      </c>
      <c r="Q638" s="45" t="n">
        <v>0</v>
      </c>
      <c r="R638" s="45" t="n">
        <v>0</v>
      </c>
      <c r="S638" s="45" t="n">
        <v>4391648.8345</v>
      </c>
      <c r="T638" s="45" t="n">
        <v>3285875.56457719</v>
      </c>
      <c r="U638" s="15" t="n">
        <v>33.6523</v>
      </c>
      <c r="V638" s="15" t="n">
        <v>193.7057708206712</v>
      </c>
      <c r="W638" s="49" t="n">
        <v>74821.00944016676</v>
      </c>
    </row>
    <row r="639">
      <c r="A639" s="44" t="inlineStr">
        <is>
          <t>TL Cinsi Kuponsuz Senetler</t>
        </is>
      </c>
      <c r="B639" s="44" t="n">
        <v>2001</v>
      </c>
      <c r="C639" s="44" t="inlineStr">
        <is>
          <t>TRB080801T11</t>
        </is>
      </c>
      <c r="D639" s="44" t="inlineStr">
        <is>
          <t>nan</t>
        </is>
      </c>
      <c r="E639" s="44" t="inlineStr">
        <is>
          <t>nan</t>
        </is>
      </c>
      <c r="F639" s="44" t="n"/>
      <c r="G639" s="44" t="n"/>
      <c r="H639" s="15" t="n"/>
      <c r="I639" s="45" t="n">
        <v>1853995.062</v>
      </c>
      <c r="J639" s="45" t="n">
        <v>1368834.445</v>
      </c>
      <c r="K639" s="45" t="n">
        <v>1393569.105</v>
      </c>
      <c r="L639" s="45" t="n">
        <v>1014797.040593979</v>
      </c>
      <c r="M639" s="45" t="n">
        <v>89119.32091091201</v>
      </c>
      <c r="N639" s="45" t="n">
        <v>64896.66899999999</v>
      </c>
      <c r="O639" s="45" t="n">
        <v>0</v>
      </c>
      <c r="P639" s="45" t="n">
        <v>0</v>
      </c>
      <c r="Q639" s="45" t="n">
        <v>0</v>
      </c>
      <c r="R639" s="45" t="n">
        <v>0</v>
      </c>
      <c r="S639" s="45" t="n">
        <v>1482688.425910912</v>
      </c>
      <c r="T639" s="45" t="n">
        <v>1079693.709593979</v>
      </c>
      <c r="U639" s="15" t="n">
        <v>37.3248</v>
      </c>
      <c r="V639" s="15" t="n">
        <v>150.0008491954715</v>
      </c>
      <c r="W639" s="49" t="n">
        <v>72820.05872209535</v>
      </c>
    </row>
    <row r="640">
      <c r="A640" s="44" t="inlineStr">
        <is>
          <t>TL Cinsi Kuponsuz Senetler</t>
        </is>
      </c>
      <c r="B640" s="44" t="n">
        <v>2001</v>
      </c>
      <c r="C640" s="44" t="inlineStr">
        <is>
          <t>TRB101001T13</t>
        </is>
      </c>
      <c r="D640" s="44" t="inlineStr">
        <is>
          <t>nan</t>
        </is>
      </c>
      <c r="E640" s="44" t="inlineStr">
        <is>
          <t>nan</t>
        </is>
      </c>
      <c r="F640" s="44" t="n"/>
      <c r="G640" s="44" t="n"/>
      <c r="H640" s="15" t="n"/>
      <c r="I640" s="45" t="n">
        <v>1327087.64</v>
      </c>
      <c r="J640" s="45" t="n">
        <v>840939.474</v>
      </c>
      <c r="K640" s="45" t="n">
        <v>668090.415</v>
      </c>
      <c r="L640" s="45" t="n">
        <v>424183.9404761905</v>
      </c>
      <c r="M640" s="45" t="n">
        <v>126000.098992</v>
      </c>
      <c r="N640" s="45" t="n">
        <v>79999.99936</v>
      </c>
      <c r="O640" s="45" t="n">
        <v>0</v>
      </c>
      <c r="P640" s="45" t="n">
        <v>0</v>
      </c>
      <c r="Q640" s="45" t="n">
        <v>0</v>
      </c>
      <c r="R640" s="45" t="n">
        <v>0</v>
      </c>
      <c r="S640" s="45" t="n">
        <v>794090.513992</v>
      </c>
      <c r="T640" s="45" t="n">
        <v>504183.9398361905</v>
      </c>
      <c r="U640" s="15" t="n">
        <v>57.5</v>
      </c>
      <c r="V640" s="15" t="n">
        <v>148.0625</v>
      </c>
      <c r="W640" s="49" t="n">
        <v>63492.06349206349</v>
      </c>
    </row>
    <row r="641">
      <c r="A641" s="44" t="inlineStr">
        <is>
          <t>TL Cinsi Kuponsuz Senetler</t>
        </is>
      </c>
      <c r="B641" s="44" t="n">
        <v>2001</v>
      </c>
      <c r="C641" s="44" t="inlineStr">
        <is>
          <t>TRB051201T18</t>
        </is>
      </c>
      <c r="D641" s="44" t="inlineStr">
        <is>
          <t>nan</t>
        </is>
      </c>
      <c r="E641" s="44" t="inlineStr">
        <is>
          <t>nan</t>
        </is>
      </c>
      <c r="F641" s="44" t="n"/>
      <c r="G641" s="44" t="n"/>
      <c r="H641" s="15" t="n"/>
      <c r="I641" s="45" t="n">
        <v>1970903.23</v>
      </c>
      <c r="J641" s="45" t="n">
        <v>1200100.043</v>
      </c>
      <c r="K641" s="45" t="n">
        <v>1112935.39</v>
      </c>
      <c r="L641" s="45" t="n">
        <v>674995.3517909218</v>
      </c>
      <c r="M641" s="45" t="n">
        <v>90684.24357584529</v>
      </c>
      <c r="N641" s="45" t="n">
        <v>54999.99762</v>
      </c>
      <c r="O641" s="45" t="n">
        <v>0</v>
      </c>
      <c r="P641" s="45" t="n">
        <v>0</v>
      </c>
      <c r="Q641" s="45" t="n">
        <v>0</v>
      </c>
      <c r="R641" s="45" t="n">
        <v>0</v>
      </c>
      <c r="S641" s="45" t="n">
        <v>1203619.633575845</v>
      </c>
      <c r="T641" s="45" t="n">
        <v>729995.3494109218</v>
      </c>
      <c r="U641" s="15" t="n">
        <v>64.88045</v>
      </c>
      <c r="V641" s="15" t="n">
        <v>119.890241122525</v>
      </c>
      <c r="W641" s="49" t="n">
        <v>60650.0042909878</v>
      </c>
    </row>
    <row r="642">
      <c r="A642" s="44" t="inlineStr">
        <is>
          <t>TL Cinsi Kuponsuz Senetler</t>
        </is>
      </c>
      <c r="B642" s="44" t="n">
        <v>2001</v>
      </c>
      <c r="C642" s="44" t="inlineStr">
        <is>
          <t>TRB250701T11</t>
        </is>
      </c>
      <c r="D642" s="44" t="inlineStr">
        <is>
          <t>nan</t>
        </is>
      </c>
      <c r="E642" s="44" t="inlineStr">
        <is>
          <t>nan</t>
        </is>
      </c>
      <c r="F642" s="44" t="n"/>
      <c r="G642" s="44" t="n"/>
      <c r="H642" s="15" t="n"/>
      <c r="I642" s="45" t="n">
        <v>487681.87</v>
      </c>
      <c r="J642" s="45" t="n">
        <v>404171.013</v>
      </c>
      <c r="K642" s="45" t="n">
        <v>253048.055</v>
      </c>
      <c r="L642" s="45" t="n">
        <v>209999.5286317729</v>
      </c>
      <c r="M642" s="45" t="n">
        <v>0</v>
      </c>
      <c r="N642" s="45" t="n">
        <v>0</v>
      </c>
      <c r="O642" s="45" t="n">
        <v>0</v>
      </c>
      <c r="P642" s="45" t="n">
        <v>0</v>
      </c>
      <c r="Q642" s="45" t="n">
        <v>0</v>
      </c>
      <c r="R642" s="45" t="n">
        <v>0</v>
      </c>
      <c r="S642" s="45" t="n">
        <v>253048.055</v>
      </c>
      <c r="T642" s="45" t="n">
        <v>209999.5286317729</v>
      </c>
      <c r="U642" s="15" t="n">
        <v>20.499</v>
      </c>
      <c r="V642" s="15" t="n">
        <v>110.830661389121</v>
      </c>
      <c r="W642" s="49" t="n">
        <v>82988.24056631175</v>
      </c>
    </row>
    <row r="643">
      <c r="A643" s="44" t="inlineStr">
        <is>
          <t>TL Cinsi Kuponsuz Senetler</t>
        </is>
      </c>
      <c r="B643" s="44" t="n">
        <v>2001</v>
      </c>
      <c r="C643" s="44" t="inlineStr">
        <is>
          <t>TRB101001T13</t>
        </is>
      </c>
      <c r="D643" s="44" t="inlineStr">
        <is>
          <t>nan</t>
        </is>
      </c>
      <c r="E643" s="44" t="inlineStr">
        <is>
          <t>nan</t>
        </is>
      </c>
      <c r="F643" s="44" t="n"/>
      <c r="G643" s="44" t="n"/>
      <c r="H643" s="15" t="n"/>
      <c r="I643" s="45" t="n">
        <v>1637932.62</v>
      </c>
      <c r="J643" s="45" t="n">
        <v>1170069.206</v>
      </c>
      <c r="K643" s="45" t="n">
        <v>1004254.03</v>
      </c>
      <c r="L643" s="45" t="n">
        <v>716535.217413702</v>
      </c>
      <c r="M643" s="45" t="n">
        <v>126138.7972389662</v>
      </c>
      <c r="N643" s="45" t="n">
        <v>89999.99803</v>
      </c>
      <c r="O643" s="45" t="n">
        <v>0</v>
      </c>
      <c r="P643" s="45" t="n">
        <v>0</v>
      </c>
      <c r="Q643" s="45" t="n">
        <v>0</v>
      </c>
      <c r="R643" s="45" t="n">
        <v>0</v>
      </c>
      <c r="S643" s="45" t="n">
        <v>1130392.827238966</v>
      </c>
      <c r="T643" s="45" t="n">
        <v>806535.2154437021</v>
      </c>
      <c r="U643" s="15" t="n">
        <v>40.154</v>
      </c>
      <c r="V643" s="15" t="n">
        <v>107.799856644941</v>
      </c>
      <c r="W643" s="49" t="n">
        <v>71350.08633360446</v>
      </c>
    </row>
    <row r="644">
      <c r="A644" s="44" t="inlineStr">
        <is>
          <t>TL Cinsi Kuponsuz Senetler</t>
        </is>
      </c>
      <c r="B644" s="44" t="n">
        <v>2001</v>
      </c>
      <c r="C644" s="44" t="inlineStr">
        <is>
          <t>TRB190901T17</t>
        </is>
      </c>
      <c r="D644" s="44" t="inlineStr">
        <is>
          <t>nan</t>
        </is>
      </c>
      <c r="E644" s="44" t="inlineStr">
        <is>
          <t>nan</t>
        </is>
      </c>
      <c r="F644" s="44" t="n"/>
      <c r="G644" s="44" t="n"/>
      <c r="H644" s="15" t="n"/>
      <c r="I644" s="45" t="n">
        <v>1529686.745</v>
      </c>
      <c r="J644" s="45" t="n">
        <v>1182999.202</v>
      </c>
      <c r="K644" s="45" t="n">
        <v>789573.715</v>
      </c>
      <c r="L644" s="45" t="n">
        <v>612803.9120050293</v>
      </c>
      <c r="M644" s="45" t="n">
        <v>59269.16</v>
      </c>
      <c r="N644" s="45" t="n">
        <v>46000</v>
      </c>
      <c r="O644" s="45" t="n">
        <v>0</v>
      </c>
      <c r="P644" s="45" t="n">
        <v>0</v>
      </c>
      <c r="Q644" s="45" t="n">
        <v>0</v>
      </c>
      <c r="R644" s="45" t="n">
        <v>0</v>
      </c>
      <c r="S644" s="45" t="n">
        <v>848842.875</v>
      </c>
      <c r="T644" s="45" t="n">
        <v>658803.9120050293</v>
      </c>
      <c r="U644" s="15" t="n">
        <v>28.846</v>
      </c>
      <c r="V644" s="15" t="n">
        <v>93.27890002093926</v>
      </c>
      <c r="W644" s="49" t="n">
        <v>77612.03296959162</v>
      </c>
    </row>
    <row r="645">
      <c r="A645" s="44" t="inlineStr">
        <is>
          <t>TL Cinsi Kuponsuz Senetler</t>
        </is>
      </c>
      <c r="B645" s="44" t="n">
        <v>2001</v>
      </c>
      <c r="C645" s="44" t="inlineStr">
        <is>
          <t>TRB060302T17</t>
        </is>
      </c>
      <c r="D645" s="44" t="inlineStr">
        <is>
          <t>nan</t>
        </is>
      </c>
      <c r="E645" s="44" t="inlineStr">
        <is>
          <t>nan</t>
        </is>
      </c>
      <c r="F645" s="44" t="n"/>
      <c r="G645" s="44" t="n"/>
      <c r="H645" s="15" t="n"/>
      <c r="I645" s="45" t="n">
        <v>975409.655</v>
      </c>
      <c r="J645" s="45" t="n">
        <v>588798.366</v>
      </c>
      <c r="K645" s="45" t="n">
        <v>697664.67</v>
      </c>
      <c r="L645" s="45" t="n">
        <v>410491.8676629796</v>
      </c>
      <c r="M645" s="45" t="n">
        <v>260035.025</v>
      </c>
      <c r="N645" s="45" t="n">
        <v>154999.992</v>
      </c>
      <c r="O645" s="45" t="n">
        <v>0</v>
      </c>
      <c r="P645" s="45" t="n">
        <v>0</v>
      </c>
      <c r="Q645" s="45" t="n">
        <v>0</v>
      </c>
      <c r="R645" s="45" t="n">
        <v>0</v>
      </c>
      <c r="S645" s="45" t="n">
        <v>957699.6950000001</v>
      </c>
      <c r="T645" s="45" t="n">
        <v>565491.8596629796</v>
      </c>
      <c r="U645" s="15" t="n">
        <v>69.95999999999999</v>
      </c>
      <c r="V645" s="15" t="n">
        <v>89.91480726904217</v>
      </c>
      <c r="W645" s="49" t="n">
        <v>58838.37349964699</v>
      </c>
    </row>
    <row r="646">
      <c r="A646" s="44" t="inlineStr">
        <is>
          <t>TL Cinsi Kuponsuz Senetler</t>
        </is>
      </c>
      <c r="B646" s="44" t="n">
        <v>2001</v>
      </c>
      <c r="C646" s="44" t="inlineStr">
        <is>
          <t>TRB150801T12</t>
        </is>
      </c>
      <c r="D646" s="44" t="inlineStr">
        <is>
          <t>nan</t>
        </is>
      </c>
      <c r="E646" s="44" t="inlineStr">
        <is>
          <t>nan</t>
        </is>
      </c>
      <c r="F646" s="44" t="n"/>
      <c r="G646" s="44" t="n"/>
      <c r="H646" s="15" t="n"/>
      <c r="I646" s="45" t="n">
        <v>1744465.965</v>
      </c>
      <c r="J646" s="45" t="n">
        <v>1485947.999</v>
      </c>
      <c r="K646" s="45" t="n">
        <v>884975.615</v>
      </c>
      <c r="L646" s="45" t="n">
        <v>753999.2151158551</v>
      </c>
      <c r="M646" s="45" t="n">
        <v>0</v>
      </c>
      <c r="N646" s="45" t="n">
        <v>0</v>
      </c>
      <c r="O646" s="45" t="n">
        <v>0</v>
      </c>
      <c r="P646" s="45" t="n">
        <v>0</v>
      </c>
      <c r="Q646" s="45" t="n">
        <v>0</v>
      </c>
      <c r="R646" s="45" t="n">
        <v>0</v>
      </c>
      <c r="S646" s="45" t="n">
        <v>884975.615</v>
      </c>
      <c r="T646" s="45" t="n">
        <v>753999.2151158551</v>
      </c>
      <c r="U646" s="15" t="n">
        <v>17.3708</v>
      </c>
      <c r="V646" s="15" t="n">
        <v>89.77555010070077</v>
      </c>
      <c r="W646" s="49" t="n">
        <v>85200.06679685238</v>
      </c>
    </row>
    <row r="647">
      <c r="A647" s="44" t="inlineStr">
        <is>
          <t>TL Cinsi Kuponsuz Senetler</t>
        </is>
      </c>
      <c r="B647" s="44" t="n">
        <v>2001</v>
      </c>
      <c r="C647" s="44" t="inlineStr">
        <is>
          <t>TRB211101T19</t>
        </is>
      </c>
      <c r="D647" s="44" t="inlineStr">
        <is>
          <t>nan</t>
        </is>
      </c>
      <c r="E647" s="44" t="inlineStr">
        <is>
          <t>nan</t>
        </is>
      </c>
      <c r="F647" s="44" t="n"/>
      <c r="G647" s="44" t="n"/>
      <c r="H647" s="15" t="n"/>
      <c r="I647" s="45" t="n">
        <v>2292435.11</v>
      </c>
      <c r="J647" s="45" t="n">
        <v>1745040.377</v>
      </c>
      <c r="K647" s="45" t="n">
        <v>1791449.195</v>
      </c>
      <c r="L647" s="45" t="n">
        <v>1354192.317761114</v>
      </c>
      <c r="M647" s="45" t="n">
        <v>145518</v>
      </c>
      <c r="N647" s="45" t="n">
        <v>110000</v>
      </c>
      <c r="O647" s="45" t="n">
        <v>0</v>
      </c>
      <c r="P647" s="45" t="n">
        <v>0</v>
      </c>
      <c r="Q647" s="45" t="n">
        <v>0</v>
      </c>
      <c r="R647" s="45" t="n">
        <v>0</v>
      </c>
      <c r="S647" s="45" t="n">
        <v>1936967.195</v>
      </c>
      <c r="T647" s="45" t="n">
        <v>1464192.317761114</v>
      </c>
      <c r="U647" s="15" t="n">
        <v>32.289</v>
      </c>
      <c r="V647" s="15" t="n">
        <v>75.00379521000002</v>
      </c>
      <c r="W647" s="49" t="n">
        <v>75592.07492686466</v>
      </c>
    </row>
    <row r="648">
      <c r="A648" s="44" t="inlineStr">
        <is>
          <t>TL Cinsi Kuponsuz Senetler</t>
        </is>
      </c>
      <c r="B648" s="44" t="n">
        <v>2001</v>
      </c>
      <c r="C648" s="44" t="inlineStr">
        <is>
          <t>TRB060302T17</t>
        </is>
      </c>
      <c r="D648" s="44" t="inlineStr">
        <is>
          <t>nan</t>
        </is>
      </c>
      <c r="E648" s="44" t="inlineStr">
        <is>
          <t>nan</t>
        </is>
      </c>
      <c r="F648" s="44" t="n"/>
      <c r="G648" s="44" t="n"/>
      <c r="H648" s="15" t="n"/>
      <c r="I648" s="45" t="n">
        <v>1582768.975</v>
      </c>
      <c r="J648" s="45" t="n">
        <v>1036935.331</v>
      </c>
      <c r="K648" s="45" t="n">
        <v>1035141.715</v>
      </c>
      <c r="L648" s="45" t="n">
        <v>673846.1946411832</v>
      </c>
      <c r="M648" s="45" t="n">
        <v>36868.05</v>
      </c>
      <c r="N648" s="45" t="n">
        <v>24000</v>
      </c>
      <c r="O648" s="45" t="n">
        <v>0</v>
      </c>
      <c r="P648" s="45" t="n">
        <v>0</v>
      </c>
      <c r="Q648" s="45" t="n">
        <v>0</v>
      </c>
      <c r="R648" s="45" t="n">
        <v>0</v>
      </c>
      <c r="S648" s="45" t="n">
        <v>1072009.765</v>
      </c>
      <c r="T648" s="45" t="n">
        <v>697846.1946411832</v>
      </c>
      <c r="U648" s="15" t="n">
        <v>53.616</v>
      </c>
      <c r="V648" s="15" t="n">
        <v>72.36774037017926</v>
      </c>
      <c r="W648" s="49" t="n">
        <v>65097.38568899073</v>
      </c>
    </row>
    <row r="649">
      <c r="A649" s="44" t="inlineStr">
        <is>
          <t>TL Cinsi Kuponsuz Senetler</t>
        </is>
      </c>
      <c r="B649" s="44" t="n">
        <v>2001</v>
      </c>
      <c r="C649" s="44" t="inlineStr">
        <is>
          <t>TRT260602T10</t>
        </is>
      </c>
      <c r="D649" s="44" t="inlineStr">
        <is>
          <t>nan</t>
        </is>
      </c>
      <c r="E649" s="44" t="inlineStr">
        <is>
          <t>nan</t>
        </is>
      </c>
      <c r="F649" s="44" t="n"/>
      <c r="G649" s="44" t="n"/>
      <c r="H649" s="15" t="n"/>
      <c r="I649" s="45" t="n">
        <v>154093.825</v>
      </c>
      <c r="J649" s="45" t="n">
        <v>77913.93399999999</v>
      </c>
      <c r="K649" s="45" t="n">
        <v>10592.635</v>
      </c>
      <c r="L649" s="45" t="n">
        <v>5625.154241788587</v>
      </c>
      <c r="M649" s="45" t="n">
        <v>0</v>
      </c>
      <c r="N649" s="45" t="n">
        <v>0</v>
      </c>
      <c r="O649" s="45" t="n">
        <v>0</v>
      </c>
      <c r="P649" s="45" t="n">
        <v>0</v>
      </c>
      <c r="Q649" s="45" t="n">
        <v>0</v>
      </c>
      <c r="R649" s="45" t="n">
        <v>0</v>
      </c>
      <c r="S649" s="45" t="n">
        <v>10592.635</v>
      </c>
      <c r="T649" s="45" t="n">
        <v>5625.154241788587</v>
      </c>
      <c r="U649" s="15" t="n">
        <v>88.30500000000001</v>
      </c>
      <c r="V649" s="15" t="n">
        <v>79.98191253399992</v>
      </c>
      <c r="W649" s="49" t="n">
        <v>53105.33443084358</v>
      </c>
    </row>
    <row r="650">
      <c r="A650" s="44" t="inlineStr">
        <is>
          <t>TL Cinsi Kuponsuz Senetler</t>
        </is>
      </c>
      <c r="B650" s="44" t="n">
        <v>2001</v>
      </c>
      <c r="C650" s="44" t="inlineStr">
        <is>
          <t>TRB050901T13</t>
        </is>
      </c>
      <c r="D650" s="44" t="inlineStr">
        <is>
          <t>nan</t>
        </is>
      </c>
      <c r="E650" s="44" t="inlineStr">
        <is>
          <t>nan</t>
        </is>
      </c>
      <c r="F650" s="44" t="n"/>
      <c r="G650" s="44" t="n"/>
      <c r="H650" s="15" t="n"/>
      <c r="I650" s="45" t="n">
        <v>550401.51</v>
      </c>
      <c r="J650" s="45" t="n">
        <v>470643.796</v>
      </c>
      <c r="K650" s="45" t="n">
        <v>138572.335</v>
      </c>
      <c r="L650" s="45" t="n">
        <v>119060.0491077335</v>
      </c>
      <c r="M650" s="45" t="n">
        <v>6052.207999999999</v>
      </c>
      <c r="N650" s="45" t="n">
        <v>5200</v>
      </c>
      <c r="O650" s="45" t="n">
        <v>0</v>
      </c>
      <c r="P650" s="45" t="n">
        <v>0</v>
      </c>
      <c r="Q650" s="45" t="n">
        <v>0</v>
      </c>
      <c r="R650" s="45" t="n">
        <v>0</v>
      </c>
      <c r="S650" s="45" t="n">
        <v>144624.543</v>
      </c>
      <c r="T650" s="45" t="n">
        <v>124260.0491077335</v>
      </c>
      <c r="U650" s="15" t="n">
        <v>16.389</v>
      </c>
      <c r="V650" s="15" t="n">
        <v>83.5049345639892</v>
      </c>
      <c r="W650" s="49" t="n">
        <v>85918.77239258007</v>
      </c>
    </row>
    <row r="651">
      <c r="A651" s="44" t="inlineStr">
        <is>
          <t>TL Cinsi Kuponsuz Senetler</t>
        </is>
      </c>
      <c r="B651" s="44" t="n">
        <v>2001</v>
      </c>
      <c r="C651" s="44" t="inlineStr">
        <is>
          <t>TRB051201T18</t>
        </is>
      </c>
      <c r="D651" s="44" t="inlineStr">
        <is>
          <t>nan</t>
        </is>
      </c>
      <c r="E651" s="44" t="inlineStr">
        <is>
          <t>nan</t>
        </is>
      </c>
      <c r="F651" s="44" t="n"/>
      <c r="G651" s="44" t="n"/>
      <c r="H651" s="15" t="n"/>
      <c r="I651" s="45" t="n">
        <v>335439.62</v>
      </c>
      <c r="J651" s="45" t="n">
        <v>251027.754</v>
      </c>
      <c r="K651" s="45" t="n">
        <v>190698.345</v>
      </c>
      <c r="L651" s="45" t="n">
        <v>143792.2515759312</v>
      </c>
      <c r="M651" s="45" t="n">
        <v>0</v>
      </c>
      <c r="N651" s="45" t="n">
        <v>0</v>
      </c>
      <c r="O651" s="45" t="n">
        <v>0</v>
      </c>
      <c r="P651" s="45" t="n">
        <v>0</v>
      </c>
      <c r="Q651" s="45" t="n">
        <v>0</v>
      </c>
      <c r="R651" s="45" t="n">
        <v>0</v>
      </c>
      <c r="S651" s="45" t="n">
        <v>190698.345</v>
      </c>
      <c r="T651" s="45" t="n">
        <v>143792.2515759312</v>
      </c>
      <c r="U651" s="15" t="n">
        <v>32.62</v>
      </c>
      <c r="V651" s="15" t="n">
        <v>79.89817973298914</v>
      </c>
      <c r="W651" s="49" t="n">
        <v>75403.40823405217</v>
      </c>
    </row>
    <row r="652">
      <c r="A652" s="44" t="inlineStr">
        <is>
          <t>TL Cinsi Kuponsuz Senetler</t>
        </is>
      </c>
      <c r="B652" s="44" t="n">
        <v>2001</v>
      </c>
      <c r="C652" s="44" t="inlineStr">
        <is>
          <t>TRB260901T18</t>
        </is>
      </c>
      <c r="D652" s="44" t="inlineStr">
        <is>
          <t>nan</t>
        </is>
      </c>
      <c r="E652" s="44" t="inlineStr">
        <is>
          <t>nan</t>
        </is>
      </c>
      <c r="F652" s="44" t="n"/>
      <c r="G652" s="44" t="n"/>
      <c r="H652" s="15" t="n"/>
      <c r="I652" s="45" t="n">
        <v>1403315.815</v>
      </c>
      <c r="J652" s="45" t="n">
        <v>1201993.916</v>
      </c>
      <c r="K652" s="45" t="n">
        <v>992298.255</v>
      </c>
      <c r="L652" s="45" t="n">
        <v>847740.1715127827</v>
      </c>
      <c r="M652" s="45" t="n">
        <v>554476.086647375</v>
      </c>
      <c r="N652" s="45" t="n">
        <v>473699.995</v>
      </c>
      <c r="O652" s="45" t="n">
        <v>0</v>
      </c>
      <c r="P652" s="45" t="n">
        <v>0</v>
      </c>
      <c r="Q652" s="45" t="n">
        <v>0</v>
      </c>
      <c r="R652" s="45" t="n">
        <v>0</v>
      </c>
      <c r="S652" s="45" t="n">
        <v>1546774.341647375</v>
      </c>
      <c r="T652" s="45" t="n">
        <v>1321440.166512783</v>
      </c>
      <c r="U652" s="15" t="n">
        <v>17.0525</v>
      </c>
      <c r="V652" s="15" t="n">
        <v>79.46734334083334</v>
      </c>
      <c r="W652" s="49" t="n">
        <v>85431.75071015142</v>
      </c>
    </row>
    <row r="653">
      <c r="A653" s="44" t="inlineStr">
        <is>
          <t>TL Cinsi Kuponsuz Senetler</t>
        </is>
      </c>
      <c r="B653" s="44" t="n">
        <v>2001</v>
      </c>
      <c r="C653" s="44" t="inlineStr">
        <is>
          <t>TRB071101T17</t>
        </is>
      </c>
      <c r="D653" s="44" t="inlineStr">
        <is>
          <t>nan</t>
        </is>
      </c>
      <c r="E653" s="44" t="inlineStr">
        <is>
          <t>nan</t>
        </is>
      </c>
      <c r="F653" s="44" t="n"/>
      <c r="G653" s="44" t="n"/>
      <c r="H653" s="15" t="n"/>
      <c r="I653" s="45" t="n">
        <v>3328348.545</v>
      </c>
      <c r="J653" s="45" t="n">
        <v>2656582.037</v>
      </c>
      <c r="K653" s="45" t="n">
        <v>3206795.465</v>
      </c>
      <c r="L653" s="45" t="n">
        <v>2525351.399193602</v>
      </c>
      <c r="M653" s="45" t="n">
        <v>1206379.668687729</v>
      </c>
      <c r="N653" s="45" t="n">
        <v>950023.9940399999</v>
      </c>
      <c r="O653" s="45" t="n">
        <v>0</v>
      </c>
      <c r="P653" s="45" t="n">
        <v>0</v>
      </c>
      <c r="Q653" s="45" t="n">
        <v>0</v>
      </c>
      <c r="R653" s="45" t="n">
        <v>0</v>
      </c>
      <c r="S653" s="45" t="n">
        <v>4413175.133687729</v>
      </c>
      <c r="T653" s="45" t="n">
        <v>3475375.393233601</v>
      </c>
      <c r="U653" s="15" t="n">
        <v>26.9844</v>
      </c>
      <c r="V653" s="15" t="n">
        <v>92.28631849389753</v>
      </c>
      <c r="W653" s="49" t="n">
        <v>78749.83068786403</v>
      </c>
    </row>
    <row r="654">
      <c r="A654" s="44" t="inlineStr">
        <is>
          <t>TL Cinsi Kuponsuz Senetler</t>
        </is>
      </c>
      <c r="B654" s="44" t="n">
        <v>2001</v>
      </c>
      <c r="C654" s="44" t="inlineStr">
        <is>
          <t>TRB051201T18</t>
        </is>
      </c>
      <c r="D654" s="44" t="inlineStr">
        <is>
          <t>nan</t>
        </is>
      </c>
      <c r="E654" s="44" t="inlineStr">
        <is>
          <t>nan</t>
        </is>
      </c>
      <c r="F654" s="44" t="n"/>
      <c r="G654" s="44" t="n"/>
      <c r="H654" s="15" t="n"/>
      <c r="I654" s="45" t="n">
        <v>316430.74</v>
      </c>
      <c r="J654" s="45" t="n">
        <v>240779.942</v>
      </c>
      <c r="K654" s="45" t="n">
        <v>194741.955</v>
      </c>
      <c r="L654" s="45" t="n">
        <v>147832.4841703484</v>
      </c>
      <c r="M654" s="45" t="n">
        <v>71662.06400436912</v>
      </c>
      <c r="N654" s="45" t="n">
        <v>54400</v>
      </c>
      <c r="O654" s="45" t="n">
        <v>0</v>
      </c>
      <c r="P654" s="45" t="n">
        <v>0</v>
      </c>
      <c r="Q654" s="45" t="n">
        <v>0</v>
      </c>
      <c r="R654" s="45" t="n">
        <v>0</v>
      </c>
      <c r="S654" s="45" t="n">
        <v>266404.0190043691</v>
      </c>
      <c r="T654" s="45" t="n">
        <v>202232.4841703484</v>
      </c>
      <c r="U654" s="15" t="n">
        <v>31.73</v>
      </c>
      <c r="V654" s="15" t="n">
        <v>91.81876466863268</v>
      </c>
      <c r="W654" s="49" t="n">
        <v>75911.85204585137</v>
      </c>
    </row>
    <row r="655">
      <c r="A655" s="44" t="inlineStr">
        <is>
          <t>TL Cinsi Kuponsuz Senetler</t>
        </is>
      </c>
      <c r="B655" s="44" t="n">
        <v>2001</v>
      </c>
      <c r="C655" s="44" t="inlineStr">
        <is>
          <t>TRB060302T17</t>
        </is>
      </c>
      <c r="D655" s="44" t="inlineStr">
        <is>
          <t>nan</t>
        </is>
      </c>
      <c r="E655" s="44" t="inlineStr">
        <is>
          <t>nan</t>
        </is>
      </c>
      <c r="F655" s="44" t="n"/>
      <c r="G655" s="44" t="n"/>
      <c r="H655" s="15" t="n"/>
      <c r="I655" s="45" t="n">
        <v>1344424.735</v>
      </c>
      <c r="J655" s="45" t="n">
        <v>874718.182</v>
      </c>
      <c r="K655" s="45" t="n">
        <v>1100104.305</v>
      </c>
      <c r="L655" s="45" t="n">
        <v>710876.4306456094</v>
      </c>
      <c r="M655" s="45" t="n">
        <v>90035.2954</v>
      </c>
      <c r="N655" s="45" t="n">
        <v>58180</v>
      </c>
      <c r="O655" s="45" t="n">
        <v>0</v>
      </c>
      <c r="P655" s="45" t="n">
        <v>0</v>
      </c>
      <c r="Q655" s="45" t="n">
        <v>0</v>
      </c>
      <c r="R655" s="45" t="n">
        <v>0</v>
      </c>
      <c r="S655" s="45" t="n">
        <v>1190139.6004</v>
      </c>
      <c r="T655" s="45" t="n">
        <v>769056.4306456094</v>
      </c>
      <c r="U655" s="15" t="n">
        <v>54.753</v>
      </c>
      <c r="V655" s="15" t="n">
        <v>95.00072913036452</v>
      </c>
      <c r="W655" s="49" t="n">
        <v>64619.10269913992</v>
      </c>
    </row>
    <row r="656">
      <c r="A656" s="44" t="inlineStr">
        <is>
          <t>TL Cinsi Kuponsuz Senetler</t>
        </is>
      </c>
      <c r="B656" s="44" t="n">
        <v>2001</v>
      </c>
      <c r="C656" s="44" t="inlineStr">
        <is>
          <t>TRB060202T18</t>
        </is>
      </c>
      <c r="D656" s="44" t="inlineStr">
        <is>
          <t>nan</t>
        </is>
      </c>
      <c r="E656" s="44" t="inlineStr">
        <is>
          <t>nan</t>
        </is>
      </c>
      <c r="F656" s="44" t="n"/>
      <c r="G656" s="44" t="n"/>
      <c r="H656" s="15" t="n"/>
      <c r="I656" s="45" t="n">
        <v>222704.36</v>
      </c>
      <c r="J656" s="45" t="n">
        <v>149087.645</v>
      </c>
      <c r="K656" s="45" t="n">
        <v>68422.755</v>
      </c>
      <c r="L656" s="45" t="n">
        <v>45863.15153331055</v>
      </c>
      <c r="M656" s="45" t="n">
        <v>489043.0886706511</v>
      </c>
      <c r="N656" s="45" t="n">
        <v>328829.84635</v>
      </c>
      <c r="O656" s="45" t="n">
        <v>0</v>
      </c>
      <c r="P656" s="45" t="n">
        <v>0</v>
      </c>
      <c r="Q656" s="45" t="n">
        <v>0</v>
      </c>
      <c r="R656" s="45" t="n">
        <v>0</v>
      </c>
      <c r="S656" s="45" t="n">
        <v>557465.8436706511</v>
      </c>
      <c r="T656" s="45" t="n">
        <v>374692.9978833105</v>
      </c>
      <c r="U656" s="15" t="n">
        <v>49.187</v>
      </c>
      <c r="V656" s="15" t="n">
        <v>104.8885178366309</v>
      </c>
      <c r="W656" s="49" t="n">
        <v>67028.96909918425</v>
      </c>
    </row>
    <row r="657">
      <c r="A657" s="44" t="inlineStr">
        <is>
          <t>TL Cinsi Kuponsuz Senetler</t>
        </is>
      </c>
      <c r="B657" s="44" t="n">
        <v>2001</v>
      </c>
      <c r="C657" s="44" t="inlineStr">
        <is>
          <t>TRB241001T17</t>
        </is>
      </c>
      <c r="D657" s="44" t="inlineStr">
        <is>
          <t>nan</t>
        </is>
      </c>
      <c r="E657" s="44" t="inlineStr">
        <is>
          <t>nan</t>
        </is>
      </c>
      <c r="F657" s="44" t="n"/>
      <c r="G657" s="44" t="n"/>
      <c r="H657" s="15" t="n"/>
      <c r="I657" s="45" t="n">
        <v>2626568.65</v>
      </c>
      <c r="J657" s="45" t="n">
        <v>2227864.745</v>
      </c>
      <c r="K657" s="45" t="n">
        <v>908593.3049999999</v>
      </c>
      <c r="L657" s="45" t="n">
        <v>771995.3793622323</v>
      </c>
      <c r="M657" s="45" t="n">
        <v>0</v>
      </c>
      <c r="N657" s="45" t="n">
        <v>0</v>
      </c>
      <c r="O657" s="45" t="n">
        <v>0</v>
      </c>
      <c r="P657" s="45" t="n">
        <v>0</v>
      </c>
      <c r="Q657" s="45" t="n">
        <v>0</v>
      </c>
      <c r="R657" s="45" t="n">
        <v>0</v>
      </c>
      <c r="S657" s="45" t="n">
        <v>908593.3049999999</v>
      </c>
      <c r="T657" s="45" t="n">
        <v>771995.3793622323</v>
      </c>
      <c r="U657" s="15" t="n">
        <v>17.6949</v>
      </c>
      <c r="V657" s="15" t="n">
        <v>91.88038312842876</v>
      </c>
      <c r="W657" s="49" t="n">
        <v>84966.44880024537</v>
      </c>
    </row>
    <row r="658">
      <c r="A658" s="44" t="inlineStr">
        <is>
          <t>TL Cinsi Kuponsuz Senetler</t>
        </is>
      </c>
      <c r="B658" s="44" t="n">
        <v>2001</v>
      </c>
      <c r="C658" s="44" t="inlineStr">
        <is>
          <t>TRB090102T16</t>
        </is>
      </c>
      <c r="D658" s="44" t="inlineStr">
        <is>
          <t>nan</t>
        </is>
      </c>
      <c r="E658" s="44" t="inlineStr">
        <is>
          <t>nan</t>
        </is>
      </c>
      <c r="F658" s="44" t="n"/>
      <c r="G658" s="44" t="n"/>
      <c r="H658" s="15" t="n"/>
      <c r="I658" s="45" t="n">
        <v>2625904.215</v>
      </c>
      <c r="J658" s="45" t="n">
        <v>2004924.94</v>
      </c>
      <c r="K658" s="45" t="n">
        <v>2182201.725</v>
      </c>
      <c r="L658" s="45" t="n">
        <v>1663885.230347462</v>
      </c>
      <c r="M658" s="45" t="n">
        <v>232804.554683774</v>
      </c>
      <c r="N658" s="45" t="n">
        <v>177508.8674</v>
      </c>
      <c r="O658" s="45" t="n">
        <v>0</v>
      </c>
      <c r="P658" s="45" t="n">
        <v>0</v>
      </c>
      <c r="Q658" s="45" t="n">
        <v>0</v>
      </c>
      <c r="R658" s="45" t="n">
        <v>0</v>
      </c>
      <c r="S658" s="45" t="n">
        <v>2415006.279683774</v>
      </c>
      <c r="T658" s="45" t="n">
        <v>1841394.097747462</v>
      </c>
      <c r="U658" s="15" t="n">
        <v>31.151</v>
      </c>
      <c r="V658" s="15" t="n">
        <v>89.83192483442342</v>
      </c>
      <c r="W658" s="49" t="n">
        <v>76247.98895929121</v>
      </c>
    </row>
    <row r="659">
      <c r="A659" s="44" t="inlineStr">
        <is>
          <t>TL Cinsi Kuponsuz Senetler</t>
        </is>
      </c>
      <c r="B659" s="44" t="n">
        <v>2001</v>
      </c>
      <c r="C659" s="44" t="inlineStr">
        <is>
          <t>TRB141101T18</t>
        </is>
      </c>
      <c r="D659" s="44" t="inlineStr">
        <is>
          <t>nan</t>
        </is>
      </c>
      <c r="E659" s="44" t="inlineStr">
        <is>
          <t>nan</t>
        </is>
      </c>
      <c r="F659" s="44" t="n"/>
      <c r="G659" s="44" t="n"/>
      <c r="H659" s="15" t="n"/>
      <c r="I659" s="45" t="n">
        <v>1239069.63</v>
      </c>
      <c r="J659" s="45" t="n">
        <v>1057492.654</v>
      </c>
      <c r="K659" s="45" t="n">
        <v>1139958.195</v>
      </c>
      <c r="L659" s="45" t="n">
        <v>960996.197603238</v>
      </c>
      <c r="M659" s="45" t="n">
        <v>0</v>
      </c>
      <c r="N659" s="45" t="n">
        <v>0</v>
      </c>
      <c r="O659" s="45" t="n">
        <v>0</v>
      </c>
      <c r="P659" s="45" t="n">
        <v>0</v>
      </c>
      <c r="Q659" s="45" t="n">
        <v>0</v>
      </c>
      <c r="R659" s="45" t="n">
        <v>0</v>
      </c>
      <c r="S659" s="45" t="n">
        <v>1139958.195</v>
      </c>
      <c r="T659" s="45" t="n">
        <v>960996.197603238</v>
      </c>
      <c r="U659" s="15" t="n">
        <v>18.62255</v>
      </c>
      <c r="V659" s="15" t="n">
        <v>98.00174734410618</v>
      </c>
      <c r="W659" s="49" t="n">
        <v>84301</v>
      </c>
    </row>
    <row r="660">
      <c r="A660" s="44" t="inlineStr">
        <is>
          <t>TL Cinsi Kuponsuz Senetler</t>
        </is>
      </c>
      <c r="B660" s="44" t="n">
        <v>2001</v>
      </c>
      <c r="C660" s="44" t="inlineStr">
        <is>
          <t>TRB261201T13</t>
        </is>
      </c>
      <c r="D660" s="44" t="inlineStr">
        <is>
          <t>nan</t>
        </is>
      </c>
      <c r="E660" s="44" t="inlineStr">
        <is>
          <t>nan</t>
        </is>
      </c>
      <c r="F660" s="44" t="n"/>
      <c r="G660" s="44" t="n"/>
      <c r="H660" s="15" t="n"/>
      <c r="I660" s="45" t="n">
        <v>734130.8</v>
      </c>
      <c r="J660" s="45" t="n">
        <v>605182.039</v>
      </c>
      <c r="K660" s="45" t="n">
        <v>321643.355</v>
      </c>
      <c r="L660" s="45" t="n">
        <v>265313.9509030243</v>
      </c>
      <c r="M660" s="45" t="n">
        <v>0</v>
      </c>
      <c r="N660" s="45" t="n">
        <v>0</v>
      </c>
      <c r="O660" s="45" t="n">
        <v>0</v>
      </c>
      <c r="P660" s="45" t="n">
        <v>0</v>
      </c>
      <c r="Q660" s="45" t="n">
        <v>0</v>
      </c>
      <c r="R660" s="45" t="n">
        <v>0</v>
      </c>
      <c r="S660" s="45" t="n">
        <v>321643.355</v>
      </c>
      <c r="T660" s="45" t="n">
        <v>265313.9509030243</v>
      </c>
      <c r="U660" s="15" t="n">
        <v>21.2315</v>
      </c>
      <c r="V660" s="15" t="n">
        <v>86.96069158148572</v>
      </c>
      <c r="W660" s="49" t="n">
        <v>82486.81242086421</v>
      </c>
    </row>
    <row r="661">
      <c r="A661" s="44" t="inlineStr">
        <is>
          <t>TL Cinsi Kuponsuz Senetler</t>
        </is>
      </c>
      <c r="B661" s="44" t="n">
        <v>2001</v>
      </c>
      <c r="C661" s="44" t="inlineStr">
        <is>
          <t>TRB261201T13</t>
        </is>
      </c>
      <c r="D661" s="44" t="inlineStr">
        <is>
          <t>nan</t>
        </is>
      </c>
      <c r="E661" s="44" t="inlineStr">
        <is>
          <t>nan</t>
        </is>
      </c>
      <c r="F661" s="44" t="n"/>
      <c r="G661" s="44" t="n"/>
      <c r="H661" s="15" t="n"/>
      <c r="I661" s="45" t="n">
        <v>783720.24</v>
      </c>
      <c r="J661" s="45" t="n">
        <v>655807.791</v>
      </c>
      <c r="K661" s="45" t="n">
        <v>426308.145</v>
      </c>
      <c r="L661" s="45" t="n">
        <v>357041.5965178363</v>
      </c>
      <c r="M661" s="45" t="n">
        <v>47760.05650158293</v>
      </c>
      <c r="N661" s="45" t="n">
        <v>39999.99707</v>
      </c>
      <c r="O661" s="45" t="n">
        <v>0</v>
      </c>
      <c r="P661" s="45" t="n">
        <v>0</v>
      </c>
      <c r="Q661" s="45" t="n">
        <v>0</v>
      </c>
      <c r="R661" s="45" t="n">
        <v>0</v>
      </c>
      <c r="S661" s="45" t="n">
        <v>474068.201501583</v>
      </c>
      <c r="T661" s="45" t="n">
        <v>397041.5935878363</v>
      </c>
      <c r="U661" s="15" t="n">
        <v>19.3999</v>
      </c>
      <c r="V661" s="15" t="n">
        <v>84.91432598677747</v>
      </c>
      <c r="W661" s="49" t="n">
        <v>83752.16394653596</v>
      </c>
    </row>
    <row r="662">
      <c r="A662" s="44" t="inlineStr">
        <is>
          <t>TL Cinsi Kuponsuz Senetler</t>
        </is>
      </c>
      <c r="B662" s="44" t="n">
        <v>2001</v>
      </c>
      <c r="C662" s="44" t="inlineStr">
        <is>
          <t>TRB060302T17</t>
        </is>
      </c>
      <c r="D662" s="44" t="inlineStr">
        <is>
          <t>nan</t>
        </is>
      </c>
      <c r="E662" s="44" t="inlineStr">
        <is>
          <t>nan</t>
        </is>
      </c>
      <c r="F662" s="44" t="n"/>
      <c r="G662" s="44" t="n"/>
      <c r="H662" s="15" t="n"/>
      <c r="I662" s="45" t="n">
        <v>870559.905</v>
      </c>
      <c r="J662" s="45" t="n">
        <v>653887.504</v>
      </c>
      <c r="K662" s="45" t="n">
        <v>360239.365</v>
      </c>
      <c r="L662" s="45" t="n">
        <v>270593.7768196499</v>
      </c>
      <c r="M662" s="45" t="n">
        <v>115823.1</v>
      </c>
      <c r="N662" s="45" t="n">
        <v>87000</v>
      </c>
      <c r="O662" s="45" t="n">
        <v>0</v>
      </c>
      <c r="P662" s="45" t="n">
        <v>0</v>
      </c>
      <c r="Q662" s="45" t="n">
        <v>0</v>
      </c>
      <c r="R662" s="45" t="n">
        <v>0</v>
      </c>
      <c r="S662" s="45" t="n">
        <v>476062.465</v>
      </c>
      <c r="T662" s="45" t="n">
        <v>357593.7768196499</v>
      </c>
      <c r="U662" s="15" t="n">
        <v>33.13</v>
      </c>
      <c r="V662" s="15" t="n">
        <v>90.97286890188427</v>
      </c>
      <c r="W662" s="49" t="n">
        <v>75114.54968827461</v>
      </c>
    </row>
    <row r="663">
      <c r="A663" s="44" t="inlineStr">
        <is>
          <t>TL Cinsi Kuponsuz Senetler</t>
        </is>
      </c>
      <c r="B663" s="44" t="n">
        <v>2001</v>
      </c>
      <c r="C663" s="44" t="inlineStr">
        <is>
          <t>TRB030402T19</t>
        </is>
      </c>
      <c r="D663" s="44" t="inlineStr">
        <is>
          <t>nan</t>
        </is>
      </c>
      <c r="E663" s="44" t="inlineStr">
        <is>
          <t>nan</t>
        </is>
      </c>
      <c r="F663" s="44" t="n"/>
      <c r="G663" s="44" t="n"/>
      <c r="H663" s="15" t="n"/>
      <c r="I663" s="45" t="n">
        <v>727829.135</v>
      </c>
      <c r="J663" s="45" t="n">
        <v>522921.911</v>
      </c>
      <c r="K663" s="45" t="n">
        <v>433029.58</v>
      </c>
      <c r="L663" s="45" t="n">
        <v>311253.0038003632</v>
      </c>
      <c r="M663" s="45" t="n">
        <v>171628.2756373259</v>
      </c>
      <c r="N663" s="45" t="n">
        <v>123362.99665</v>
      </c>
      <c r="O663" s="45" t="n">
        <v>0</v>
      </c>
      <c r="P663" s="45" t="n">
        <v>0</v>
      </c>
      <c r="Q663" s="45" t="n">
        <v>0</v>
      </c>
      <c r="R663" s="45" t="n">
        <v>0</v>
      </c>
      <c r="S663" s="45" t="n">
        <v>604657.8556373259</v>
      </c>
      <c r="T663" s="45" t="n">
        <v>434616.0004503631</v>
      </c>
      <c r="U663" s="15" t="n">
        <v>39.1246</v>
      </c>
      <c r="V663" s="15" t="n">
        <v>93.55654325159999</v>
      </c>
      <c r="W663" s="49" t="n">
        <v>71878.01438422824</v>
      </c>
    </row>
    <row r="664">
      <c r="A664" s="44" t="inlineStr">
        <is>
          <t>TL Cinsi Kuponsuz Senetler</t>
        </is>
      </c>
      <c r="B664" s="44" t="n">
        <v>2001</v>
      </c>
      <c r="C664" s="44" t="inlineStr">
        <is>
          <t>TRB090102T16</t>
        </is>
      </c>
      <c r="D664" s="44" t="inlineStr">
        <is>
          <t>nan</t>
        </is>
      </c>
      <c r="E664" s="44" t="inlineStr">
        <is>
          <t>nan</t>
        </is>
      </c>
      <c r="F664" s="44" t="n"/>
      <c r="G664" s="44" t="n"/>
      <c r="H664" s="15" t="n"/>
      <c r="I664" s="45" t="n">
        <v>683442.48</v>
      </c>
      <c r="J664" s="45" t="n">
        <v>580154.402</v>
      </c>
      <c r="K664" s="45" t="n">
        <v>400899.09</v>
      </c>
      <c r="L664" s="45" t="n">
        <v>340355.2794376337</v>
      </c>
      <c r="M664" s="45" t="n">
        <v>123677.4</v>
      </c>
      <c r="N664" s="45" t="n">
        <v>105000</v>
      </c>
      <c r="O664" s="45" t="n">
        <v>0</v>
      </c>
      <c r="P664" s="45" t="n">
        <v>0</v>
      </c>
      <c r="Q664" s="45" t="n">
        <v>0</v>
      </c>
      <c r="R664" s="45" t="n">
        <v>0</v>
      </c>
      <c r="S664" s="45" t="n">
        <v>524576.49</v>
      </c>
      <c r="T664" s="45" t="n">
        <v>445355.2794376337</v>
      </c>
      <c r="U664" s="15" t="n">
        <v>17.788</v>
      </c>
      <c r="V664" s="15" t="n">
        <v>92.48823517027955</v>
      </c>
      <c r="W664" s="49" t="n">
        <v>84898.29184636805</v>
      </c>
    </row>
    <row r="665">
      <c r="A665" s="44" t="inlineStr">
        <is>
          <t>TL Cinsi Kuponsuz Senetler</t>
        </is>
      </c>
      <c r="B665" s="44" t="n">
        <v>2001</v>
      </c>
      <c r="C665" s="44" t="inlineStr">
        <is>
          <t>TRT161002F12</t>
        </is>
      </c>
      <c r="D665" s="44" t="inlineStr">
        <is>
          <t>nan</t>
        </is>
      </c>
      <c r="E665" s="44" t="inlineStr">
        <is>
          <t>nan</t>
        </is>
      </c>
      <c r="F665" s="44" t="n"/>
      <c r="G665" s="44" t="n"/>
      <c r="H665" s="15" t="n"/>
      <c r="I665" s="45" t="n">
        <v>222704.36</v>
      </c>
      <c r="J665" s="45" t="n">
        <v>149087.645</v>
      </c>
      <c r="K665" s="45" t="n">
        <v>68422.755</v>
      </c>
      <c r="L665" s="45" t="n">
        <v>45863.15153331055</v>
      </c>
      <c r="M665" s="45" t="n">
        <v>489043.0886706511</v>
      </c>
      <c r="N665" s="45" t="n">
        <v>328829.84635</v>
      </c>
      <c r="O665" s="45" t="n">
        <v>0</v>
      </c>
      <c r="P665" s="45" t="n">
        <v>0</v>
      </c>
      <c r="Q665" s="45" t="n">
        <v>0</v>
      </c>
      <c r="R665" s="45" t="n">
        <v>0</v>
      </c>
      <c r="S665" s="45" t="n">
        <v>557465.8436706511</v>
      </c>
      <c r="T665" s="45" t="n">
        <v>374692.9978833105</v>
      </c>
      <c r="U665" s="15" t="n"/>
      <c r="V665" s="15" t="n">
        <v>0</v>
      </c>
      <c r="W665" s="49" t="n">
        <v>10000</v>
      </c>
    </row>
    <row r="666">
      <c r="A666" s="44" t="inlineStr">
        <is>
          <t>TL Cinsi Kuponsuz Senetler</t>
        </is>
      </c>
      <c r="B666" s="44" t="n">
        <v>2001</v>
      </c>
      <c r="C666" s="44" t="inlineStr">
        <is>
          <t>TRB230102T18</t>
        </is>
      </c>
      <c r="D666" s="44" t="inlineStr">
        <is>
          <t>nan</t>
        </is>
      </c>
      <c r="E666" s="44" t="inlineStr">
        <is>
          <t>nan</t>
        </is>
      </c>
      <c r="F666" s="44" t="n"/>
      <c r="G666" s="44" t="n"/>
      <c r="H666" s="15" t="n"/>
      <c r="I666" s="45" t="n">
        <v>1205209.71</v>
      </c>
      <c r="J666" s="45" t="n">
        <v>1043690.433</v>
      </c>
      <c r="K666" s="45" t="n">
        <v>795375.73</v>
      </c>
      <c r="L666" s="45" t="n">
        <v>688000.0059598288</v>
      </c>
      <c r="M666" s="45" t="n">
        <v>0</v>
      </c>
      <c r="N666" s="45" t="n">
        <v>0</v>
      </c>
      <c r="O666" s="45" t="n">
        <v>0</v>
      </c>
      <c r="P666" s="45" t="n">
        <v>0</v>
      </c>
      <c r="Q666" s="45" t="n">
        <v>0</v>
      </c>
      <c r="R666" s="45" t="n">
        <v>0</v>
      </c>
      <c r="S666" s="45" t="n">
        <v>795375.73</v>
      </c>
      <c r="T666" s="45" t="n">
        <v>688000.0059598288</v>
      </c>
      <c r="U666" s="15" t="n">
        <v>15.6065</v>
      </c>
      <c r="V666" s="15" t="n">
        <v>78.61955879215469</v>
      </c>
      <c r="W666" s="49" t="n">
        <v>86500.3265387327</v>
      </c>
    </row>
    <row r="667">
      <c r="A667" s="44" t="inlineStr">
        <is>
          <t>TL Cinsi Kuponsuz Senetler</t>
        </is>
      </c>
      <c r="B667" s="44" t="n">
        <v>2001</v>
      </c>
      <c r="C667" s="44" t="inlineStr">
        <is>
          <t>TRB030402T19</t>
        </is>
      </c>
      <c r="D667" s="44" t="inlineStr">
        <is>
          <t>nan</t>
        </is>
      </c>
      <c r="E667" s="44" t="inlineStr">
        <is>
          <t>nan</t>
        </is>
      </c>
      <c r="F667" s="44" t="n"/>
      <c r="G667" s="44" t="n"/>
      <c r="H667" s="15" t="n"/>
      <c r="I667" s="45" t="n">
        <v>544591.345</v>
      </c>
      <c r="J667" s="45" t="n">
        <v>420722.823</v>
      </c>
      <c r="K667" s="45" t="n">
        <v>351652.225</v>
      </c>
      <c r="L667" s="45" t="n">
        <v>271303.2080380587</v>
      </c>
      <c r="M667" s="45" t="n">
        <v>0</v>
      </c>
      <c r="N667" s="45" t="n">
        <v>0</v>
      </c>
      <c r="O667" s="45" t="n">
        <v>0</v>
      </c>
      <c r="P667" s="45" t="n">
        <v>0</v>
      </c>
      <c r="Q667" s="45" t="n">
        <v>0</v>
      </c>
      <c r="R667" s="45" t="n">
        <v>0</v>
      </c>
      <c r="S667" s="45" t="n">
        <v>351652.225</v>
      </c>
      <c r="T667" s="45" t="n">
        <v>271303.2080380587</v>
      </c>
      <c r="U667" s="15" t="n">
        <v>29.6154</v>
      </c>
      <c r="V667" s="15" t="n">
        <v>84.62021265715107</v>
      </c>
      <c r="W667" s="49" t="n">
        <v>77151.32615414527</v>
      </c>
    </row>
    <row r="668">
      <c r="A668" s="44" t="inlineStr">
        <is>
          <t>TL Cinsi Kuponsuz Senetler</t>
        </is>
      </c>
      <c r="B668" s="44" t="n">
        <v>2001</v>
      </c>
      <c r="C668" s="44" t="inlineStr">
        <is>
          <t>TRB030402T19</t>
        </is>
      </c>
      <c r="D668" s="44" t="inlineStr">
        <is>
          <t>nan</t>
        </is>
      </c>
      <c r="E668" s="44" t="inlineStr">
        <is>
          <t>nan</t>
        </is>
      </c>
      <c r="F668" s="44" t="n"/>
      <c r="G668" s="44" t="n"/>
      <c r="H668" s="15" t="n"/>
      <c r="I668" s="45" t="n">
        <v>3136616.19</v>
      </c>
      <c r="J668" s="45" t="n">
        <v>2461774.853</v>
      </c>
      <c r="K668" s="45" t="n">
        <v>2494025.255</v>
      </c>
      <c r="L668" s="45" t="n">
        <v>1954816.993590125</v>
      </c>
      <c r="M668" s="45" t="n">
        <v>306021.9135698471</v>
      </c>
      <c r="N668" s="45" t="n">
        <v>239859.99264</v>
      </c>
      <c r="O668" s="45" t="n">
        <v>0</v>
      </c>
      <c r="P668" s="45" t="n">
        <v>0</v>
      </c>
      <c r="Q668" s="45" t="n">
        <v>0</v>
      </c>
      <c r="R668" s="45" t="n">
        <v>0</v>
      </c>
      <c r="S668" s="45" t="n">
        <v>2800047.168569847</v>
      </c>
      <c r="T668" s="45" t="n">
        <v>2194676.986230125</v>
      </c>
      <c r="U668" s="15" t="n">
        <v>27.5836</v>
      </c>
      <c r="V668" s="15" t="n">
        <v>82.79663883673258</v>
      </c>
      <c r="W668" s="49" t="n">
        <v>78379.97987202117</v>
      </c>
    </row>
    <row r="669">
      <c r="A669" s="44" t="inlineStr">
        <is>
          <t>TL Cinsi Kuponsuz Senetler</t>
        </is>
      </c>
      <c r="B669" s="44" t="n">
        <v>2001</v>
      </c>
      <c r="C669" s="44" t="inlineStr">
        <is>
          <t>TRT260602T10</t>
        </is>
      </c>
      <c r="D669" s="44" t="inlineStr">
        <is>
          <t>nan</t>
        </is>
      </c>
      <c r="E669" s="44" t="inlineStr">
        <is>
          <t>nan</t>
        </is>
      </c>
      <c r="F669" s="44" t="n"/>
      <c r="G669" s="44" t="n"/>
      <c r="H669" s="15" t="n"/>
      <c r="I669" s="45" t="n">
        <v>757504.3050000001</v>
      </c>
      <c r="J669" s="45" t="n">
        <v>514646.414</v>
      </c>
      <c r="K669" s="45" t="n">
        <v>696121.78</v>
      </c>
      <c r="L669" s="45" t="n">
        <v>469617.698618382</v>
      </c>
      <c r="M669" s="45" t="n">
        <v>429872.7935370847</v>
      </c>
      <c r="N669" s="45" t="n">
        <v>289999.99564</v>
      </c>
      <c r="O669" s="45" t="n">
        <v>0</v>
      </c>
      <c r="P669" s="45" t="n">
        <v>0</v>
      </c>
      <c r="Q669" s="45" t="n">
        <v>0</v>
      </c>
      <c r="R669" s="45" t="n">
        <v>0</v>
      </c>
      <c r="S669" s="45" t="n">
        <v>1125994.573537085</v>
      </c>
      <c r="T669" s="45" t="n">
        <v>759617.694258382</v>
      </c>
      <c r="U669" s="15" t="n">
        <v>48.232</v>
      </c>
      <c r="V669" s="15" t="n">
        <v>85.93583633883901</v>
      </c>
      <c r="W669" s="49" t="n">
        <v>67461.81661179772</v>
      </c>
    </row>
    <row r="670">
      <c r="A670" s="44" t="inlineStr">
        <is>
          <t>TL Cinsi Kuponsuz Senetler</t>
        </is>
      </c>
      <c r="B670" s="44" t="n">
        <v>2001</v>
      </c>
      <c r="C670" s="44" t="inlineStr">
        <is>
          <t>TRB130202T19</t>
        </is>
      </c>
      <c r="D670" s="44" t="inlineStr">
        <is>
          <t>nan</t>
        </is>
      </c>
      <c r="E670" s="44" t="inlineStr">
        <is>
          <t>nan</t>
        </is>
      </c>
      <c r="F670" s="44" t="n"/>
      <c r="G670" s="44" t="n"/>
      <c r="H670" s="15" t="n"/>
      <c r="I670" s="45" t="n">
        <v>1772099.715</v>
      </c>
      <c r="J670" s="45" t="n">
        <v>1442461.35</v>
      </c>
      <c r="K670" s="45" t="n">
        <v>1240943.98</v>
      </c>
      <c r="L670" s="45" t="n">
        <v>1079993.545439689</v>
      </c>
      <c r="M670" s="45" t="n">
        <v>0</v>
      </c>
      <c r="N670" s="45" t="n">
        <v>0</v>
      </c>
      <c r="O670" s="45" t="n">
        <v>0</v>
      </c>
      <c r="P670" s="45" t="n">
        <v>0</v>
      </c>
      <c r="Q670" s="45" t="n">
        <v>0</v>
      </c>
      <c r="R670" s="45" t="n">
        <v>0</v>
      </c>
      <c r="S670" s="45" t="n">
        <v>1240943.98</v>
      </c>
      <c r="T670" s="45" t="n">
        <v>1079993.545439689</v>
      </c>
      <c r="U670" s="15" t="n">
        <v>14.9025</v>
      </c>
      <c r="V670" s="15" t="n">
        <v>74.30823764467253</v>
      </c>
      <c r="W670" s="49" t="n">
        <v>87030.30830486717</v>
      </c>
    </row>
    <row r="671">
      <c r="A671" s="44" t="inlineStr">
        <is>
          <t>TL Cinsi Kuponsuz Senetler</t>
        </is>
      </c>
      <c r="B671" s="44" t="n">
        <v>2001</v>
      </c>
      <c r="C671" s="44" t="inlineStr">
        <is>
          <t>TRT260602T10</t>
        </is>
      </c>
      <c r="D671" s="44" t="inlineStr">
        <is>
          <t>nan</t>
        </is>
      </c>
      <c r="E671" s="44" t="inlineStr">
        <is>
          <t>nan</t>
        </is>
      </c>
      <c r="F671" s="44" t="n"/>
      <c r="G671" s="44" t="n"/>
      <c r="H671" s="15" t="n"/>
      <c r="I671" s="45" t="n">
        <v>2238138.185</v>
      </c>
      <c r="J671" s="45" t="n">
        <v>1611702.462</v>
      </c>
      <c r="K671" s="45" t="n">
        <v>1819734.965</v>
      </c>
      <c r="L671" s="45" t="n">
        <v>1305860.367264288</v>
      </c>
      <c r="M671" s="45" t="n">
        <v>272641.1150000004</v>
      </c>
      <c r="N671" s="45" t="n">
        <v>195649.99052</v>
      </c>
      <c r="O671" s="45" t="n">
        <v>0</v>
      </c>
      <c r="P671" s="45" t="n">
        <v>0</v>
      </c>
      <c r="Q671" s="45" t="n">
        <v>0</v>
      </c>
      <c r="R671" s="45" t="n">
        <v>0</v>
      </c>
      <c r="S671" s="45" t="n">
        <v>2092376.08</v>
      </c>
      <c r="T671" s="45" t="n">
        <v>1501510.357784288</v>
      </c>
      <c r="U671" s="15" t="n">
        <v>39.35142</v>
      </c>
      <c r="V671" s="15" t="n">
        <v>74.47582044288994</v>
      </c>
      <c r="W671" s="49" t="n">
        <v>71761.01972983124</v>
      </c>
    </row>
    <row r="672">
      <c r="A672" s="44" t="inlineStr">
        <is>
          <t>TL Cinsi Kuponsuz Senetler</t>
        </is>
      </c>
      <c r="B672" s="44" t="n">
        <v>2001</v>
      </c>
      <c r="C672" s="44" t="inlineStr">
        <is>
          <t>TRB100702T17</t>
        </is>
      </c>
      <c r="D672" s="44" t="inlineStr">
        <is>
          <t>nan</t>
        </is>
      </c>
      <c r="E672" s="44" t="inlineStr">
        <is>
          <t>nan</t>
        </is>
      </c>
      <c r="F672" s="44" t="n"/>
      <c r="G672" s="44" t="n"/>
      <c r="H672" s="15" t="n"/>
      <c r="I672" s="45" t="n">
        <v>1614871.14</v>
      </c>
      <c r="J672" s="45" t="n">
        <v>1149963.081</v>
      </c>
      <c r="K672" s="45" t="n">
        <v>1318601.205</v>
      </c>
      <c r="L672" s="45" t="n">
        <v>935178.3455744681</v>
      </c>
      <c r="M672" s="45" t="n">
        <v>379374.5</v>
      </c>
      <c r="N672" s="45" t="n">
        <v>269060</v>
      </c>
      <c r="O672" s="45" t="n">
        <v>0</v>
      </c>
      <c r="P672" s="45" t="n">
        <v>0</v>
      </c>
      <c r="Q672" s="45" t="n">
        <v>0</v>
      </c>
      <c r="R672" s="45" t="n">
        <v>0</v>
      </c>
      <c r="S672" s="45" t="n">
        <v>1697975.705</v>
      </c>
      <c r="T672" s="45" t="n">
        <v>1204238.345574468</v>
      </c>
      <c r="U672" s="15" t="n">
        <v>41</v>
      </c>
      <c r="V672" s="15" t="n">
        <v>77.95206321748836</v>
      </c>
      <c r="W672" s="49" t="n">
        <v>70921.98581560283</v>
      </c>
    </row>
    <row r="673">
      <c r="A673" s="44" t="inlineStr">
        <is>
          <t>TL Cinsi Kuponsuz Senetler</t>
        </is>
      </c>
      <c r="B673" s="44" t="n">
        <v>2001</v>
      </c>
      <c r="C673" s="44" t="inlineStr">
        <is>
          <t>TRB080502T13</t>
        </is>
      </c>
      <c r="D673" s="44" t="inlineStr">
        <is>
          <t>nan</t>
        </is>
      </c>
      <c r="E673" s="44" t="inlineStr">
        <is>
          <t>nan</t>
        </is>
      </c>
      <c r="F673" s="44" t="n"/>
      <c r="G673" s="44" t="n"/>
      <c r="H673" s="15" t="n"/>
      <c r="I673" s="45" t="n">
        <v>1855872.03</v>
      </c>
      <c r="J673" s="45" t="n">
        <v>1485986.251</v>
      </c>
      <c r="K673" s="45" t="n">
        <v>1248215.17</v>
      </c>
      <c r="L673" s="45" t="n">
        <v>999071.4239422579</v>
      </c>
      <c r="M673" s="45" t="n">
        <v>230584.6995424356</v>
      </c>
      <c r="N673" s="45" t="n">
        <v>184559.99386</v>
      </c>
      <c r="O673" s="45" t="n">
        <v>0</v>
      </c>
      <c r="P673" s="45" t="n">
        <v>0</v>
      </c>
      <c r="Q673" s="45" t="n">
        <v>0</v>
      </c>
      <c r="R673" s="45" t="n">
        <v>0</v>
      </c>
      <c r="S673" s="45" t="n">
        <v>1478799.869542436</v>
      </c>
      <c r="T673" s="45" t="n">
        <v>1183631.417802258</v>
      </c>
      <c r="U673" s="15" t="n">
        <v>24.937531</v>
      </c>
      <c r="V673" s="15" t="n">
        <v>73.5521849744307</v>
      </c>
      <c r="W673" s="49" t="n">
        <v>80040.00015015504</v>
      </c>
    </row>
    <row r="674">
      <c r="A674" s="44" t="inlineStr">
        <is>
          <t>TL Cinsi Kuponsuz Senetler</t>
        </is>
      </c>
      <c r="B674" s="44" t="n">
        <v>2001</v>
      </c>
      <c r="C674" s="44" t="inlineStr">
        <is>
          <t>TRB200302T19</t>
        </is>
      </c>
      <c r="D674" s="44" t="inlineStr">
        <is>
          <t>nan</t>
        </is>
      </c>
      <c r="E674" s="44" t="inlineStr">
        <is>
          <t>nan</t>
        </is>
      </c>
      <c r="F674" s="44" t="n"/>
      <c r="G674" s="44" t="n"/>
      <c r="H674" s="15" t="n"/>
      <c r="I674" s="45" t="n">
        <v>1053015.015</v>
      </c>
      <c r="J674" s="45" t="n">
        <v>923175.591</v>
      </c>
      <c r="K674" s="45" t="n">
        <v>859948.085</v>
      </c>
      <c r="L674" s="45" t="n">
        <v>751998.832778919</v>
      </c>
      <c r="M674" s="45" t="n">
        <v>0</v>
      </c>
      <c r="N674" s="45" t="n">
        <v>0</v>
      </c>
      <c r="O674" s="45" t="n">
        <v>0</v>
      </c>
      <c r="P674" s="45" t="n">
        <v>0</v>
      </c>
      <c r="Q674" s="45" t="n">
        <v>0</v>
      </c>
      <c r="R674" s="45" t="n">
        <v>0</v>
      </c>
      <c r="S674" s="45" t="n">
        <v>859948.085</v>
      </c>
      <c r="T674" s="45" t="n">
        <v>751998.832778919</v>
      </c>
      <c r="U674" s="15" t="n">
        <v>14.3549</v>
      </c>
      <c r="V674" s="15" t="n">
        <v>71.00905765183974</v>
      </c>
      <c r="W674" s="49" t="n">
        <v>87447.06173500218</v>
      </c>
    </row>
    <row r="675">
      <c r="A675" s="44" t="inlineStr">
        <is>
          <t>TL Cinsi Kuponsuz Senetler</t>
        </is>
      </c>
      <c r="B675" s="44" t="n">
        <v>2001</v>
      </c>
      <c r="C675" s="44" t="inlineStr">
        <is>
          <t>TRB100702T17</t>
        </is>
      </c>
      <c r="D675" s="44" t="inlineStr">
        <is>
          <t>nan</t>
        </is>
      </c>
      <c r="E675" s="44" t="inlineStr">
        <is>
          <t>nan</t>
        </is>
      </c>
      <c r="F675" s="44" t="n"/>
      <c r="G675" s="44" t="n"/>
      <c r="H675" s="15" t="n"/>
      <c r="I675" s="45" t="n">
        <v>1435655.675</v>
      </c>
      <c r="J675" s="45" t="n">
        <v>1074319.71</v>
      </c>
      <c r="K675" s="45" t="n">
        <v>1300883.295</v>
      </c>
      <c r="L675" s="45" t="n">
        <v>970393.8928657809</v>
      </c>
      <c r="M675" s="45" t="n">
        <v>30022.06515</v>
      </c>
      <c r="N675" s="45" t="n">
        <v>22395</v>
      </c>
      <c r="O675" s="45" t="n">
        <v>0</v>
      </c>
      <c r="P675" s="45" t="n">
        <v>0</v>
      </c>
      <c r="Q675" s="45" t="n"/>
      <c r="R675" s="45" t="n"/>
      <c r="S675" s="45" t="n">
        <v>1330905.36015</v>
      </c>
      <c r="T675" s="45" t="n">
        <v>992788.8928657809</v>
      </c>
      <c r="U675" s="15" t="n">
        <v>34.057</v>
      </c>
      <c r="V675" s="15" t="n">
        <v>72.34344855068086</v>
      </c>
      <c r="W675" s="49" t="n">
        <v>74595.13490530147</v>
      </c>
    </row>
    <row r="676">
      <c r="A676" s="44" t="inlineStr">
        <is>
          <t>TL Cinsi Kuponsuz Senetler</t>
        </is>
      </c>
      <c r="B676" s="44" t="n">
        <v>2000</v>
      </c>
      <c r="C676" s="44" t="inlineStr">
        <is>
          <t>TRT210201T28</t>
        </is>
      </c>
      <c r="D676" s="44" t="inlineStr">
        <is>
          <t>nan</t>
        </is>
      </c>
      <c r="E676" s="44" t="inlineStr">
        <is>
          <t>nan</t>
        </is>
      </c>
      <c r="F676" s="44" t="n"/>
      <c r="G676" s="44" t="n"/>
      <c r="H676" s="15" t="n"/>
      <c r="I676" s="45" t="n">
        <v>2608815</v>
      </c>
      <c r="J676" s="45" t="n">
        <v>1795049.467</v>
      </c>
      <c r="K676" s="45" t="n">
        <v>604950</v>
      </c>
      <c r="L676" s="45" t="n">
        <v>423124.8267258866</v>
      </c>
      <c r="M676" s="45" t="n">
        <v>254429.6971406</v>
      </c>
      <c r="N676" s="45" t="n">
        <v>177999.998</v>
      </c>
      <c r="O676" s="45" t="n">
        <v>0</v>
      </c>
      <c r="P676" s="45" t="n">
        <v>0</v>
      </c>
      <c r="Q676" s="45" t="n">
        <v>0</v>
      </c>
      <c r="R676" s="45" t="n">
        <v>0</v>
      </c>
      <c r="S676" s="45" t="n">
        <v>859379.6971406</v>
      </c>
      <c r="T676" s="45" t="n">
        <v>601124.8247258866</v>
      </c>
      <c r="U676" s="15" t="n">
        <v>42.97</v>
      </c>
      <c r="V676" s="15" t="n">
        <v>37.03327232133342</v>
      </c>
      <c r="W676" s="49" t="n">
        <v>69944.74365251452</v>
      </c>
    </row>
    <row r="677">
      <c r="A677" s="44" t="inlineStr">
        <is>
          <t>TL Cinsi Kuponsuz Senetler</t>
        </is>
      </c>
      <c r="B677" s="44" t="n">
        <v>2000</v>
      </c>
      <c r="C677" s="44" t="inlineStr">
        <is>
          <t>TRB190400T13</t>
        </is>
      </c>
      <c r="D677" s="44" t="inlineStr">
        <is>
          <t>nan</t>
        </is>
      </c>
      <c r="E677" s="44" t="inlineStr">
        <is>
          <t>nan</t>
        </is>
      </c>
      <c r="F677" s="44" t="n"/>
      <c r="G677" s="44" t="n"/>
      <c r="H677" s="15" t="n"/>
      <c r="I677" s="45" t="n">
        <v>1333382.77</v>
      </c>
      <c r="J677" s="45" t="n">
        <v>1226504.389</v>
      </c>
      <c r="K677" s="45" t="n">
        <v>620714.785</v>
      </c>
      <c r="L677" s="45" t="n">
        <v>572000.0189988269</v>
      </c>
      <c r="M677" s="45" t="n">
        <v>0</v>
      </c>
      <c r="N677" s="45" t="n">
        <v>0</v>
      </c>
      <c r="O677" s="45" t="n">
        <v>0</v>
      </c>
      <c r="P677" s="45" t="n">
        <v>0</v>
      </c>
      <c r="Q677" s="45" t="n">
        <v>0</v>
      </c>
      <c r="R677" s="45" t="n">
        <v>0</v>
      </c>
      <c r="S677" s="45" t="n">
        <v>620714.785</v>
      </c>
      <c r="T677" s="45" t="n">
        <v>572000.0189988269</v>
      </c>
      <c r="U677" s="15" t="n">
        <v>8.5167</v>
      </c>
      <c r="V677" s="15" t="n">
        <v>38.67121267704823</v>
      </c>
      <c r="W677" s="49" t="n">
        <v>92151.71489733839</v>
      </c>
    </row>
    <row r="678">
      <c r="A678" s="44" t="inlineStr">
        <is>
          <t>TL Cinsi Kuponsuz Senetler</t>
        </is>
      </c>
      <c r="B678" s="44" t="n">
        <v>2000</v>
      </c>
      <c r="C678" s="44" t="inlineStr">
        <is>
          <t>TRT230501T15</t>
        </is>
      </c>
      <c r="D678" s="44" t="inlineStr">
        <is>
          <t>nan</t>
        </is>
      </c>
      <c r="E678" s="44" t="inlineStr">
        <is>
          <t>nan</t>
        </is>
      </c>
      <c r="F678" s="44" t="n"/>
      <c r="G678" s="44" t="n"/>
      <c r="H678" s="15" t="n"/>
      <c r="I678" s="45" t="n">
        <v>3065667</v>
      </c>
      <c r="J678" s="45" t="n">
        <v>2031140.254</v>
      </c>
      <c r="K678" s="45" t="n">
        <v>2088667</v>
      </c>
      <c r="L678" s="45" t="n">
        <v>1390344.453624443</v>
      </c>
      <c r="M678" s="45" t="n">
        <v>21031.8</v>
      </c>
      <c r="N678" s="45" t="n">
        <v>14000</v>
      </c>
      <c r="O678" s="45" t="n">
        <v>0</v>
      </c>
      <c r="P678" s="45" t="n">
        <v>0</v>
      </c>
      <c r="Q678" s="45" t="n">
        <v>0</v>
      </c>
      <c r="R678" s="45" t="n">
        <v>0</v>
      </c>
      <c r="S678" s="45" t="n">
        <v>2109698.8</v>
      </c>
      <c r="T678" s="45" t="n">
        <v>1404344.453624443</v>
      </c>
      <c r="U678" s="15" t="n">
        <v>50.23</v>
      </c>
      <c r="V678" s="15" t="n">
        <v>35.3022294633146</v>
      </c>
      <c r="W678" s="49" t="n">
        <v>66564.60094521733</v>
      </c>
    </row>
    <row r="679">
      <c r="A679" s="44" t="inlineStr">
        <is>
          <t>TL Cinsi Kuponsuz Senetler</t>
        </is>
      </c>
      <c r="B679" s="44" t="n">
        <v>2000</v>
      </c>
      <c r="C679" s="44" t="inlineStr">
        <is>
          <t>TRB100500T11</t>
        </is>
      </c>
      <c r="D679" s="44" t="inlineStr">
        <is>
          <t>nan</t>
        </is>
      </c>
      <c r="E679" s="44" t="inlineStr">
        <is>
          <t>nan</t>
        </is>
      </c>
      <c r="F679" s="44" t="n"/>
      <c r="G679" s="44" t="n"/>
      <c r="H679" s="15" t="n"/>
      <c r="I679" s="45" t="n">
        <v>1209236.495</v>
      </c>
      <c r="J679" s="45" t="n">
        <v>1088661.558</v>
      </c>
      <c r="K679" s="45" t="n">
        <v>679629.155</v>
      </c>
      <c r="L679" s="45" t="n">
        <v>622999.9837381978</v>
      </c>
      <c r="M679" s="45" t="n">
        <v>0</v>
      </c>
      <c r="N679" s="45" t="n">
        <v>0</v>
      </c>
      <c r="O679" s="45" t="n">
        <v>0</v>
      </c>
      <c r="P679" s="45" t="n">
        <v>0</v>
      </c>
      <c r="Q679" s="45" t="n">
        <v>0</v>
      </c>
      <c r="R679" s="45" t="n">
        <v>0</v>
      </c>
      <c r="S679" s="45" t="n">
        <v>679629.155</v>
      </c>
      <c r="T679" s="45" t="n">
        <v>622999.9837381978</v>
      </c>
      <c r="U679" s="15" t="n">
        <v>9.09</v>
      </c>
      <c r="V679" s="15" t="n">
        <v>41.62494917450958</v>
      </c>
      <c r="W679" s="49" t="n">
        <v>91667.43056192136</v>
      </c>
    </row>
    <row r="680">
      <c r="A680" s="44" t="inlineStr">
        <is>
          <t>TL Cinsi Kuponsuz Senetler</t>
        </is>
      </c>
      <c r="B680" s="44" t="n">
        <v>2000</v>
      </c>
      <c r="C680" s="44" t="inlineStr">
        <is>
          <t>TRT210201T28</t>
        </is>
      </c>
      <c r="D680" s="44" t="inlineStr">
        <is>
          <t>nan</t>
        </is>
      </c>
      <c r="E680" s="44" t="inlineStr">
        <is>
          <t>nan</t>
        </is>
      </c>
      <c r="F680" s="44" t="n"/>
      <c r="G680" s="44" t="n"/>
      <c r="H680" s="15" t="n"/>
      <c r="I680" s="45" t="n">
        <v>3142739.42</v>
      </c>
      <c r="J680" s="45" t="n">
        <v>2214145.304</v>
      </c>
      <c r="K680" s="45" t="n">
        <v>2389724.42</v>
      </c>
      <c r="L680" s="45" t="n">
        <v>1686966.282055626</v>
      </c>
      <c r="M680" s="45" t="n">
        <v>84994.29575019999</v>
      </c>
      <c r="N680" s="45" t="n">
        <v>59999.997</v>
      </c>
      <c r="O680" s="45" t="n">
        <v>0</v>
      </c>
      <c r="P680" s="45" t="n">
        <v>0</v>
      </c>
      <c r="Q680" s="45" t="n">
        <v>0</v>
      </c>
      <c r="R680" s="45" t="n">
        <v>0</v>
      </c>
      <c r="S680" s="45" t="n">
        <v>2474718.7157502</v>
      </c>
      <c r="T680" s="45" t="n">
        <v>1746966.279055626</v>
      </c>
      <c r="U680" s="15" t="n">
        <v>41.66</v>
      </c>
      <c r="V680" s="15" t="n">
        <v>39.84453137085571</v>
      </c>
      <c r="W680" s="49" t="n">
        <v>70591.55724975294</v>
      </c>
    </row>
    <row r="681">
      <c r="A681" s="44" t="inlineStr">
        <is>
          <t>TL Cinsi Kuponsuz Senetler</t>
        </is>
      </c>
      <c r="B681" s="44" t="n">
        <v>2000</v>
      </c>
      <c r="C681" s="44" t="inlineStr">
        <is>
          <t>TRT230501T15</t>
        </is>
      </c>
      <c r="D681" s="44" t="inlineStr">
        <is>
          <t>nan</t>
        </is>
      </c>
      <c r="E681" s="44" t="inlineStr">
        <is>
          <t>nan</t>
        </is>
      </c>
      <c r="F681" s="44" t="n"/>
      <c r="G681" s="44" t="n"/>
      <c r="H681" s="15" t="n"/>
      <c r="I681" s="45" t="n">
        <v>2416477</v>
      </c>
      <c r="J681" s="45" t="n">
        <v>1672103.08427</v>
      </c>
      <c r="K681" s="45" t="n">
        <v>2018222</v>
      </c>
      <c r="L681" s="45" t="n">
        <v>1401614.696300575</v>
      </c>
      <c r="M681" s="45" t="n">
        <v>47517.5745</v>
      </c>
      <c r="N681" s="45" t="n">
        <v>33000</v>
      </c>
      <c r="O681" s="45" t="n">
        <v>0</v>
      </c>
      <c r="P681" s="45" t="n">
        <v>0</v>
      </c>
      <c r="Q681" s="45" t="n">
        <v>0</v>
      </c>
      <c r="R681" s="45" t="n">
        <v>0</v>
      </c>
      <c r="S681" s="45" t="n">
        <v>2065739.5745</v>
      </c>
      <c r="T681" s="45" t="n">
        <v>1434614.696300575</v>
      </c>
      <c r="U681" s="15" t="n">
        <v>43.99265</v>
      </c>
      <c r="V681" s="15" t="n">
        <v>35.76929485509093</v>
      </c>
      <c r="W681" s="49" t="n">
        <v>69447.98918555913</v>
      </c>
    </row>
    <row r="682">
      <c r="A682" s="44" t="inlineStr">
        <is>
          <t>TL Cinsi Kuponsuz Senetler</t>
        </is>
      </c>
      <c r="B682" s="44" t="n">
        <v>2000</v>
      </c>
      <c r="C682" s="44" t="inlineStr">
        <is>
          <t>TRT210201T28</t>
        </is>
      </c>
      <c r="D682" s="44" t="inlineStr">
        <is>
          <t>nan</t>
        </is>
      </c>
      <c r="E682" s="44" t="inlineStr">
        <is>
          <t>nan</t>
        </is>
      </c>
      <c r="F682" s="44" t="n"/>
      <c r="G682" s="44" t="n"/>
      <c r="H682" s="15" t="n"/>
      <c r="I682" s="45" t="n">
        <v>1039303.89</v>
      </c>
      <c r="J682" s="45" t="n">
        <v>780445.064</v>
      </c>
      <c r="K682" s="45" t="n">
        <v>144895</v>
      </c>
      <c r="L682" s="45" t="n">
        <v>109092.7513175726</v>
      </c>
      <c r="M682" s="45" t="n">
        <v>59769</v>
      </c>
      <c r="N682" s="45" t="n">
        <v>45000</v>
      </c>
      <c r="O682" s="45" t="n">
        <v>0</v>
      </c>
      <c r="P682" s="45" t="n">
        <v>0</v>
      </c>
      <c r="Q682" s="45" t="n">
        <v>0</v>
      </c>
      <c r="R682" s="45" t="n">
        <v>0</v>
      </c>
      <c r="S682" s="45" t="n">
        <v>204664</v>
      </c>
      <c r="T682" s="45" t="n">
        <v>154092.7513175727</v>
      </c>
      <c r="U682" s="15" t="n">
        <v>32.82</v>
      </c>
      <c r="V682" s="15" t="n">
        <v>35.99891144497332</v>
      </c>
      <c r="W682" s="49" t="n">
        <v>75289.86598403855</v>
      </c>
    </row>
    <row r="683">
      <c r="A683" s="44" t="inlineStr">
        <is>
          <t>TL Cinsi Kuponsuz Senetler</t>
        </is>
      </c>
      <c r="B683" s="44" t="n">
        <v>2000</v>
      </c>
      <c r="C683" s="44" t="inlineStr">
        <is>
          <t>TRT220801T13</t>
        </is>
      </c>
      <c r="D683" s="44" t="inlineStr">
        <is>
          <t>nan</t>
        </is>
      </c>
      <c r="E683" s="44" t="inlineStr">
        <is>
          <t>nan</t>
        </is>
      </c>
      <c r="F683" s="44" t="n"/>
      <c r="G683" s="44" t="n"/>
      <c r="H683" s="15" t="n"/>
      <c r="I683" s="45" t="n">
        <v>1074085</v>
      </c>
      <c r="J683" s="45" t="n">
        <v>716780.4669999999</v>
      </c>
      <c r="K683" s="45" t="n">
        <v>437056</v>
      </c>
      <c r="L683" s="45" t="n">
        <v>293388.2586026426</v>
      </c>
      <c r="M683" s="45" t="n">
        <v>294930.5706</v>
      </c>
      <c r="N683" s="45" t="n">
        <v>198000</v>
      </c>
      <c r="O683" s="45" t="n">
        <v>0</v>
      </c>
      <c r="P683" s="45" t="n">
        <v>0</v>
      </c>
      <c r="Q683" s="45" t="n">
        <v>0</v>
      </c>
      <c r="R683" s="45" t="n">
        <v>0</v>
      </c>
      <c r="S683" s="45" t="n">
        <v>731986.5706</v>
      </c>
      <c r="T683" s="45" t="n">
        <v>491388.2586026426</v>
      </c>
      <c r="U683" s="15" t="n">
        <v>48.96847</v>
      </c>
      <c r="V683" s="15" t="n">
        <v>33.35600951777873</v>
      </c>
      <c r="W683" s="49" t="n">
        <v>67128.2990286468</v>
      </c>
    </row>
    <row r="684">
      <c r="A684" s="44" t="inlineStr">
        <is>
          <t>TL Cinsi Kuponsuz Senetler</t>
        </is>
      </c>
      <c r="B684" s="44" t="n">
        <v>2000</v>
      </c>
      <c r="C684" s="44" t="inlineStr">
        <is>
          <t>TRB190700T10</t>
        </is>
      </c>
      <c r="D684" s="44" t="inlineStr">
        <is>
          <t>nan</t>
        </is>
      </c>
      <c r="E684" s="44" t="inlineStr">
        <is>
          <t>nan</t>
        </is>
      </c>
      <c r="F684" s="44" t="n"/>
      <c r="G684" s="44" t="n"/>
      <c r="H684" s="15" t="n"/>
      <c r="I684" s="45" t="n">
        <v>808945</v>
      </c>
      <c r="J684" s="45" t="n">
        <v>746536.7830000001</v>
      </c>
      <c r="K684" s="45" t="n">
        <v>755018.1</v>
      </c>
      <c r="L684" s="45" t="n">
        <v>697000.0338318378</v>
      </c>
      <c r="M684" s="45" t="n">
        <v>0</v>
      </c>
      <c r="N684" s="45" t="n">
        <v>0</v>
      </c>
      <c r="O684" s="45" t="n">
        <v>0</v>
      </c>
      <c r="P684" s="45" t="n">
        <v>0</v>
      </c>
      <c r="Q684" s="45" t="n">
        <v>0</v>
      </c>
      <c r="R684" s="45" t="n">
        <v>0</v>
      </c>
      <c r="S684" s="45" t="n">
        <v>755018.1</v>
      </c>
      <c r="T684" s="45" t="n">
        <v>697000.0338318378</v>
      </c>
      <c r="U684" s="15" t="n">
        <v>8.324</v>
      </c>
      <c r="V684" s="15" t="n">
        <v>37.68884409668469</v>
      </c>
      <c r="W684" s="49" t="n">
        <v>92315.64565562572</v>
      </c>
    </row>
    <row r="685">
      <c r="A685" s="44" t="inlineStr">
        <is>
          <t>TL Cinsi Kuponsuz Senetler</t>
        </is>
      </c>
      <c r="B685" s="44" t="n">
        <v>2000</v>
      </c>
      <c r="C685" s="44" t="inlineStr">
        <is>
          <t>TRT200601T17</t>
        </is>
      </c>
      <c r="D685" s="44" t="inlineStr">
        <is>
          <t>nan</t>
        </is>
      </c>
      <c r="E685" s="44" t="inlineStr">
        <is>
          <t>nan</t>
        </is>
      </c>
      <c r="F685" s="44" t="n"/>
      <c r="G685" s="44" t="n"/>
      <c r="H685" s="15" t="n"/>
      <c r="I685" s="45" t="n">
        <v>4383050.225</v>
      </c>
      <c r="J685" s="45" t="n">
        <v>3098495.861</v>
      </c>
      <c r="K685" s="45" t="n">
        <v>2778145.225</v>
      </c>
      <c r="L685" s="45" t="n">
        <v>2002733.11941637</v>
      </c>
      <c r="M685" s="45" t="n">
        <v>289920.62</v>
      </c>
      <c r="N685" s="45" t="n">
        <v>209000</v>
      </c>
      <c r="O685" s="45" t="n">
        <v>0</v>
      </c>
      <c r="P685" s="45" t="n">
        <v>0</v>
      </c>
      <c r="Q685" s="45" t="n">
        <v>0</v>
      </c>
      <c r="R685" s="45" t="n">
        <v>0</v>
      </c>
      <c r="S685" s="45" t="n">
        <v>3068065.845</v>
      </c>
      <c r="T685" s="45" t="n">
        <v>2211733.11941637</v>
      </c>
      <c r="U685" s="15" t="n">
        <v>38.718</v>
      </c>
      <c r="V685" s="15" t="n">
        <v>32.17898200542286</v>
      </c>
      <c r="W685" s="49" t="n">
        <v>72088.69793393792</v>
      </c>
    </row>
    <row r="686">
      <c r="A686" s="44" t="inlineStr">
        <is>
          <t>TL Cinsi Kuponsuz Senetler</t>
        </is>
      </c>
      <c r="B686" s="44" t="n">
        <v>2000</v>
      </c>
      <c r="C686" s="44" t="inlineStr">
        <is>
          <t>TRT220801T13</t>
        </is>
      </c>
      <c r="D686" s="44" t="inlineStr">
        <is>
          <t>nan</t>
        </is>
      </c>
      <c r="E686" s="44" t="inlineStr">
        <is>
          <t>nan</t>
        </is>
      </c>
      <c r="F686" s="44" t="n"/>
      <c r="G686" s="44" t="n"/>
      <c r="H686" s="15" t="n"/>
      <c r="I686" s="45" t="n">
        <v>3449000</v>
      </c>
      <c r="J686" s="45" t="n">
        <v>2394944.608</v>
      </c>
      <c r="K686" s="45" t="n">
        <v>818390</v>
      </c>
      <c r="L686" s="45" t="n">
        <v>572002.089173132</v>
      </c>
      <c r="M686" s="45" t="n">
        <v>121455.3</v>
      </c>
      <c r="N686" s="45" t="n">
        <v>84890</v>
      </c>
      <c r="O686" s="45" t="n">
        <v>52651.2</v>
      </c>
      <c r="P686" s="45" t="n">
        <v>36800</v>
      </c>
      <c r="Q686" s="45" t="n">
        <v>0</v>
      </c>
      <c r="R686" s="45" t="n">
        <v>0</v>
      </c>
      <c r="S686" s="45" t="n">
        <v>992496.5</v>
      </c>
      <c r="T686" s="45" t="n">
        <v>693692.089173132</v>
      </c>
      <c r="U686" s="15" t="n">
        <v>43.07</v>
      </c>
      <c r="V686" s="15" t="n">
        <v>32.04570171415084</v>
      </c>
      <c r="W686" s="49" t="n">
        <v>69895.85517578808</v>
      </c>
    </row>
    <row r="687">
      <c r="A687" s="44" t="inlineStr">
        <is>
          <t>TL Cinsi Kuponsuz Senetler</t>
        </is>
      </c>
      <c r="B687" s="44" t="n">
        <v>2000</v>
      </c>
      <c r="C687" s="44" t="inlineStr">
        <is>
          <t>TRB160800T12</t>
        </is>
      </c>
      <c r="D687" s="44" t="inlineStr">
        <is>
          <t>nan</t>
        </is>
      </c>
      <c r="E687" s="44" t="inlineStr">
        <is>
          <t>nan</t>
        </is>
      </c>
      <c r="F687" s="44" t="n"/>
      <c r="G687" s="44" t="n"/>
      <c r="H687" s="15" t="n"/>
      <c r="I687" s="45" t="n">
        <v>1332275.5</v>
      </c>
      <c r="J687" s="45" t="n">
        <v>1223558.944</v>
      </c>
      <c r="K687" s="45" t="n">
        <v>748235.98</v>
      </c>
      <c r="L687" s="45" t="n">
        <v>687999.9528067674</v>
      </c>
      <c r="M687" s="45" t="n">
        <v>0</v>
      </c>
      <c r="N687" s="45" t="n">
        <v>0</v>
      </c>
      <c r="O687" s="45" t="n">
        <v>0</v>
      </c>
      <c r="P687" s="45" t="n">
        <v>0</v>
      </c>
      <c r="Q687" s="45" t="n">
        <v>0</v>
      </c>
      <c r="R687" s="45" t="n">
        <v>0</v>
      </c>
      <c r="S687" s="45" t="n">
        <v>748235.98</v>
      </c>
      <c r="T687" s="45" t="n">
        <v>687999.9528067674</v>
      </c>
      <c r="U687" s="15" t="n">
        <v>8.755000000000001</v>
      </c>
      <c r="V687" s="15" t="n">
        <v>39.89330511388252</v>
      </c>
      <c r="W687" s="49" t="n">
        <v>91949.79541170521</v>
      </c>
    </row>
    <row r="688">
      <c r="A688" s="44" t="inlineStr">
        <is>
          <t>TL Cinsi Kuponsuz Senetler</t>
        </is>
      </c>
      <c r="B688" s="44" t="n">
        <v>2000</v>
      </c>
      <c r="C688" s="44" t="inlineStr">
        <is>
          <t>TRT200601T17</t>
        </is>
      </c>
      <c r="D688" s="44" t="inlineStr">
        <is>
          <t>nan</t>
        </is>
      </c>
      <c r="E688" s="44" t="inlineStr">
        <is>
          <t>nan</t>
        </is>
      </c>
      <c r="F688" s="44" t="n"/>
      <c r="G688" s="44" t="n"/>
      <c r="H688" s="15" t="n"/>
      <c r="I688" s="45" t="n">
        <v>1677260</v>
      </c>
      <c r="J688" s="45" t="n">
        <v>1187095.842</v>
      </c>
      <c r="K688" s="45" t="n">
        <v>987450</v>
      </c>
      <c r="L688" s="45" t="n">
        <v>700577.9179498822</v>
      </c>
      <c r="M688" s="45" t="n">
        <v>179709.1</v>
      </c>
      <c r="N688" s="45" t="n">
        <v>127500</v>
      </c>
      <c r="O688" s="45" t="n">
        <v>25370.7</v>
      </c>
      <c r="P688" s="45" t="n">
        <v>18000</v>
      </c>
      <c r="Q688" s="45" t="n">
        <v>0</v>
      </c>
      <c r="R688" s="45" t="n">
        <v>0</v>
      </c>
      <c r="S688" s="45" t="n">
        <v>1192529.8</v>
      </c>
      <c r="T688" s="45" t="n">
        <v>846077.9179498822</v>
      </c>
      <c r="U688" s="15" t="n">
        <v>40.948</v>
      </c>
      <c r="V688" s="15" t="n">
        <v>37.53456311100081</v>
      </c>
      <c r="W688" s="49" t="n">
        <v>70948.15109118256</v>
      </c>
    </row>
    <row r="689">
      <c r="A689" s="44" t="inlineStr">
        <is>
          <t>TL Cinsi Kuponsuz Senetler</t>
        </is>
      </c>
      <c r="B689" s="44" t="n">
        <v>2000</v>
      </c>
      <c r="C689" s="44" t="inlineStr">
        <is>
          <t>TRT220801T13</t>
        </is>
      </c>
      <c r="D689" s="44" t="inlineStr">
        <is>
          <t>nan</t>
        </is>
      </c>
      <c r="E689" s="44" t="inlineStr">
        <is>
          <t>nan</t>
        </is>
      </c>
      <c r="F689" s="44" t="n"/>
      <c r="G689" s="44" t="n"/>
      <c r="H689" s="15" t="n"/>
      <c r="I689" s="45" t="n">
        <v>3456135.61</v>
      </c>
      <c r="J689" s="45" t="n">
        <v>2292107.87</v>
      </c>
      <c r="K689" s="45" t="n">
        <v>1332753.015</v>
      </c>
      <c r="L689" s="45" t="n">
        <v>887944.5961303732</v>
      </c>
      <c r="M689" s="45" t="n">
        <v>274521.6</v>
      </c>
      <c r="N689" s="45" t="n">
        <v>182900</v>
      </c>
      <c r="O689" s="45" t="n">
        <v>25966.2</v>
      </c>
      <c r="P689" s="45" t="n">
        <v>17300</v>
      </c>
      <c r="Q689" s="45" t="n">
        <v>0</v>
      </c>
      <c r="R689" s="45" t="n">
        <v>0</v>
      </c>
      <c r="S689" s="45" t="n">
        <v>1633240.815</v>
      </c>
      <c r="T689" s="45" t="n">
        <v>1088144.596130373</v>
      </c>
      <c r="U689" s="15" t="n">
        <v>50.092</v>
      </c>
      <c r="V689" s="15" t="n">
        <v>39.81860266654449</v>
      </c>
      <c r="W689" s="49" t="n">
        <v>66625.80284092423</v>
      </c>
    </row>
    <row r="690">
      <c r="A690" s="44" t="inlineStr">
        <is>
          <t>TL Cinsi Kuponsuz Senetler</t>
        </is>
      </c>
      <c r="B690" s="44" t="n">
        <v>2000</v>
      </c>
      <c r="C690" s="44" t="inlineStr">
        <is>
          <t>TRT180701T10</t>
        </is>
      </c>
      <c r="D690" s="44" t="inlineStr">
        <is>
          <t>nan</t>
        </is>
      </c>
      <c r="E690" s="44" t="inlineStr">
        <is>
          <t>nan</t>
        </is>
      </c>
      <c r="F690" s="44" t="n"/>
      <c r="G690" s="44" t="n"/>
      <c r="H690" s="15" t="n"/>
      <c r="I690" s="45" t="n">
        <v>2000977.2</v>
      </c>
      <c r="J690" s="45" t="n">
        <v>1506093.037</v>
      </c>
      <c r="K690" s="45" t="n">
        <v>996727.2</v>
      </c>
      <c r="L690" s="45" t="n">
        <v>751944.1837042626</v>
      </c>
      <c r="M690" s="45" t="n">
        <v>0</v>
      </c>
      <c r="N690" s="45" t="n">
        <v>0</v>
      </c>
      <c r="O690" s="45" t="n">
        <v>40561.5</v>
      </c>
      <c r="P690" s="45" t="n">
        <v>30600</v>
      </c>
      <c r="Q690" s="45" t="n">
        <v>0</v>
      </c>
      <c r="R690" s="45" t="n">
        <v>0</v>
      </c>
      <c r="S690" s="45" t="n">
        <v>1037288.7</v>
      </c>
      <c r="T690" s="45" t="n">
        <v>782544.1837042626</v>
      </c>
      <c r="U690" s="15" t="n">
        <v>32.55</v>
      </c>
      <c r="V690" s="15" t="n">
        <v>32.55</v>
      </c>
      <c r="W690" s="49" t="n">
        <v>75443.22897019993</v>
      </c>
    </row>
    <row r="691">
      <c r="A691" s="44" t="inlineStr">
        <is>
          <t>TL Cinsi Kuponsuz Senetler</t>
        </is>
      </c>
      <c r="B691" s="44" t="n">
        <v>2000</v>
      </c>
      <c r="C691" s="44" t="inlineStr">
        <is>
          <t>TRB251000T17</t>
        </is>
      </c>
      <c r="D691" s="44" t="inlineStr">
        <is>
          <t>nan</t>
        </is>
      </c>
      <c r="E691" s="44" t="inlineStr">
        <is>
          <t>nan</t>
        </is>
      </c>
      <c r="F691" s="44" t="n"/>
      <c r="G691" s="44" t="n"/>
      <c r="H691" s="15" t="n"/>
      <c r="I691" s="45" t="n">
        <v>990549.8</v>
      </c>
      <c r="J691" s="45" t="n">
        <v>921688.701</v>
      </c>
      <c r="K691" s="45" t="n">
        <v>329042.67</v>
      </c>
      <c r="L691" s="45" t="n">
        <v>306999.9653106923</v>
      </c>
      <c r="M691" s="45" t="n">
        <v>0</v>
      </c>
      <c r="N691" s="45" t="n">
        <v>0</v>
      </c>
      <c r="O691" s="45" t="n">
        <v>0</v>
      </c>
      <c r="P691" s="45" t="n">
        <v>0</v>
      </c>
      <c r="Q691" s="45" t="n">
        <v>0</v>
      </c>
      <c r="R691" s="45" t="n">
        <v>0</v>
      </c>
      <c r="S691" s="45" t="n">
        <v>329042.67</v>
      </c>
      <c r="T691" s="45" t="n">
        <v>306999.9653106923</v>
      </c>
      <c r="U691" s="15" t="n">
        <v>7.18</v>
      </c>
      <c r="V691" s="15" t="n">
        <v>31.96386014274584</v>
      </c>
      <c r="W691" s="49" t="n">
        <v>93300.9889904833</v>
      </c>
    </row>
    <row r="692">
      <c r="A692" s="44" t="inlineStr">
        <is>
          <t>TL Cinsi Kuponsuz Senetler</t>
        </is>
      </c>
      <c r="B692" s="44" t="n">
        <v>2000</v>
      </c>
      <c r="C692" s="44" t="inlineStr">
        <is>
          <t>TRB151100T18</t>
        </is>
      </c>
      <c r="D692" s="44" t="inlineStr">
        <is>
          <t>nan</t>
        </is>
      </c>
      <c r="E692" s="44" t="inlineStr">
        <is>
          <t>nan</t>
        </is>
      </c>
      <c r="F692" s="44" t="n"/>
      <c r="G692" s="44" t="n"/>
      <c r="H692" s="15" t="n"/>
      <c r="I692" s="45" t="n">
        <v>1722685.7</v>
      </c>
      <c r="J692" s="45" t="n">
        <v>1607436.5</v>
      </c>
      <c r="K692" s="45" t="n">
        <v>897151.4300000001</v>
      </c>
      <c r="L692" s="45" t="n">
        <v>837999.9726370928</v>
      </c>
      <c r="M692" s="45" t="n">
        <v>0</v>
      </c>
      <c r="N692" s="45" t="n">
        <v>0</v>
      </c>
      <c r="O692" s="45" t="n">
        <v>0</v>
      </c>
      <c r="P692" s="45" t="n">
        <v>0</v>
      </c>
      <c r="Q692" s="45" t="n">
        <v>0</v>
      </c>
      <c r="R692" s="45" t="n">
        <v>0</v>
      </c>
      <c r="S692" s="45" t="n">
        <v>897151.4300000001</v>
      </c>
      <c r="T692" s="45" t="n">
        <v>837999.9726370928</v>
      </c>
      <c r="U692" s="15" t="n">
        <v>7.0588</v>
      </c>
      <c r="V692" s="15" t="n">
        <v>31.36796870600666</v>
      </c>
      <c r="W692" s="49" t="n">
        <v>93406.61393551953</v>
      </c>
    </row>
    <row r="693">
      <c r="A693" s="44" t="inlineStr">
        <is>
          <t>TL Cinsi Kuponsuz Senetler</t>
        </is>
      </c>
      <c r="B693" s="44" t="n">
        <v>2000</v>
      </c>
      <c r="C693" s="44" t="inlineStr">
        <is>
          <t>TRT180701T10</t>
        </is>
      </c>
      <c r="D693" s="44" t="inlineStr">
        <is>
          <t>nan</t>
        </is>
      </c>
      <c r="E693" s="44" t="inlineStr">
        <is>
          <t>nan</t>
        </is>
      </c>
      <c r="F693" s="44" t="n"/>
      <c r="G693" s="44" t="n"/>
      <c r="H693" s="15" t="n"/>
      <c r="I693" s="45" t="n">
        <v>2430031</v>
      </c>
      <c r="J693" s="45" t="n">
        <v>1867717.517</v>
      </c>
      <c r="K693" s="45" t="n">
        <v>920164</v>
      </c>
      <c r="L693" s="45" t="n">
        <v>709110.679384201</v>
      </c>
      <c r="M693" s="45" t="n">
        <v>255503.5</v>
      </c>
      <c r="N693" s="45" t="n">
        <v>196900</v>
      </c>
      <c r="O693" s="45" t="n">
        <v>69176.7</v>
      </c>
      <c r="P693" s="45" t="n">
        <v>53310</v>
      </c>
      <c r="Q693" s="45" t="n">
        <v>0</v>
      </c>
      <c r="R693" s="45" t="n">
        <v>0</v>
      </c>
      <c r="S693" s="45" t="n">
        <v>1244844.2</v>
      </c>
      <c r="T693" s="45" t="n">
        <v>959320.679384201</v>
      </c>
      <c r="U693" s="15" t="n">
        <v>29.7631</v>
      </c>
      <c r="V693" s="15" t="n">
        <v>33.41005866581439</v>
      </c>
      <c r="W693" s="49" t="n">
        <v>77063.51035078539</v>
      </c>
    </row>
    <row r="694">
      <c r="A694" s="44" t="inlineStr">
        <is>
          <t>TL Cinsi Kuponsuz Senetler</t>
        </is>
      </c>
      <c r="B694" s="44" t="n">
        <v>2000</v>
      </c>
      <c r="C694" s="44" t="inlineStr">
        <is>
          <t>TRT200202T10</t>
        </is>
      </c>
      <c r="D694" s="44" t="inlineStr">
        <is>
          <t>nan</t>
        </is>
      </c>
      <c r="E694" s="44" t="inlineStr">
        <is>
          <t>nan</t>
        </is>
      </c>
      <c r="F694" s="44" t="n"/>
      <c r="G694" s="44" t="n"/>
      <c r="H694" s="15" t="n"/>
      <c r="I694" s="45" t="n">
        <v>2774460</v>
      </c>
      <c r="J694" s="45" t="n">
        <v>1767763.214</v>
      </c>
      <c r="K694" s="45" t="n">
        <v>1296655</v>
      </c>
      <c r="L694" s="45" t="n">
        <v>830520.7995130585</v>
      </c>
      <c r="M694" s="45" t="n">
        <v>178400.7</v>
      </c>
      <c r="N694" s="45" t="n">
        <v>114267.5</v>
      </c>
      <c r="O694" s="45" t="n">
        <v>171738.1</v>
      </c>
      <c r="P694" s="45" t="n">
        <v>110000</v>
      </c>
      <c r="Q694" s="45" t="n">
        <v>0</v>
      </c>
      <c r="R694" s="45" t="n">
        <v>0</v>
      </c>
      <c r="S694" s="45" t="n">
        <v>1646793.8</v>
      </c>
      <c r="T694" s="45" t="n">
        <v>1054788.299513059</v>
      </c>
      <c r="U694" s="15" t="n">
        <v>56.12553</v>
      </c>
      <c r="V694" s="15" t="n">
        <v>34.58064863315904</v>
      </c>
      <c r="W694" s="49" t="n">
        <v>64051.02355777431</v>
      </c>
    </row>
    <row r="695">
      <c r="A695" s="44" t="inlineStr">
        <is>
          <t>TL Cinsi Kuponsuz Senetler</t>
        </is>
      </c>
      <c r="B695" s="44" t="n">
        <v>2000</v>
      </c>
      <c r="C695" s="44" t="inlineStr">
        <is>
          <t>TRT200202T10</t>
        </is>
      </c>
      <c r="D695" s="44" t="inlineStr">
        <is>
          <t>nan</t>
        </is>
      </c>
      <c r="E695" s="44" t="inlineStr">
        <is>
          <t>nan</t>
        </is>
      </c>
      <c r="F695" s="44" t="n"/>
      <c r="G695" s="44" t="n"/>
      <c r="H695" s="15" t="n"/>
      <c r="I695" s="45" t="n">
        <v>736029</v>
      </c>
      <c r="J695" s="45" t="n">
        <v>479360.07</v>
      </c>
      <c r="K695" s="45" t="n">
        <v>171300</v>
      </c>
      <c r="L695" s="45" t="n">
        <v>112197.2414461619</v>
      </c>
      <c r="M695" s="45" t="n">
        <v>18321.4</v>
      </c>
      <c r="N695" s="45" t="n">
        <v>12000</v>
      </c>
      <c r="O695" s="45" t="n">
        <v>45803.7</v>
      </c>
      <c r="P695" s="45" t="n">
        <v>30000</v>
      </c>
      <c r="Q695" s="45" t="n">
        <v>0</v>
      </c>
      <c r="R695" s="45" t="n">
        <v>0</v>
      </c>
      <c r="S695" s="45" t="n">
        <v>235425.1</v>
      </c>
      <c r="T695" s="45" t="n">
        <v>154197.2414461619</v>
      </c>
      <c r="U695" s="15" t="n">
        <v>52.68</v>
      </c>
      <c r="V695" s="15" t="n">
        <v>33.58130516507592</v>
      </c>
      <c r="W695" s="49" t="n">
        <v>65496.46319098768</v>
      </c>
    </row>
    <row r="696">
      <c r="A696" s="44" t="inlineStr">
        <is>
          <t>TL Cinsi Kuponsuz Senetler</t>
        </is>
      </c>
      <c r="B696" s="44" t="n">
        <v>2000</v>
      </c>
      <c r="C696" s="44" t="inlineStr">
        <is>
          <t>TRT200202T10</t>
        </is>
      </c>
      <c r="D696" s="44" t="inlineStr">
        <is>
          <t>nan</t>
        </is>
      </c>
      <c r="E696" s="44" t="inlineStr">
        <is>
          <t>nan</t>
        </is>
      </c>
      <c r="F696" s="44" t="n"/>
      <c r="G696" s="44" t="n"/>
      <c r="H696" s="15" t="n"/>
      <c r="I696" s="45" t="n">
        <v>846880</v>
      </c>
      <c r="J696" s="45" t="n">
        <v>549805.356</v>
      </c>
      <c r="K696" s="45" t="n">
        <v>302400</v>
      </c>
      <c r="L696" s="45" t="n">
        <v>197954.6846538056</v>
      </c>
      <c r="M696" s="45" t="n">
        <v>302682</v>
      </c>
      <c r="N696" s="45" t="n">
        <v>198200</v>
      </c>
      <c r="O696" s="45" t="n">
        <v>76379.39999999999</v>
      </c>
      <c r="P696" s="45" t="n">
        <v>50000</v>
      </c>
      <c r="Q696" s="45" t="n">
        <v>0</v>
      </c>
      <c r="R696" s="45" t="n">
        <v>0</v>
      </c>
      <c r="S696" s="45" t="n">
        <v>681461.4</v>
      </c>
      <c r="T696" s="45" t="n">
        <v>446154.6846538056</v>
      </c>
      <c r="U696" s="15" t="n">
        <v>52.761</v>
      </c>
      <c r="V696" s="15" t="n">
        <v>35.79941884420818</v>
      </c>
      <c r="W696" s="49" t="n">
        <v>65461.73434318968</v>
      </c>
    </row>
    <row r="697">
      <c r="A697" s="44" t="inlineStr">
        <is>
          <t>TL Cinsi Kuponsuz Senetler</t>
        </is>
      </c>
      <c r="B697" s="44" t="n">
        <v>2000</v>
      </c>
      <c r="C697" s="44" t="inlineStr">
        <is>
          <t>TRB240101T18</t>
        </is>
      </c>
      <c r="D697" s="44" t="inlineStr">
        <is>
          <t>nan</t>
        </is>
      </c>
      <c r="E697" s="44" t="inlineStr">
        <is>
          <t>nan</t>
        </is>
      </c>
      <c r="F697" s="44" t="n"/>
      <c r="G697" s="44" t="n"/>
      <c r="H697" s="15" t="n"/>
      <c r="I697" s="45" t="n">
        <v>571170</v>
      </c>
      <c r="J697" s="45" t="n">
        <v>522856.266</v>
      </c>
      <c r="K697" s="45" t="n">
        <v>248385.99</v>
      </c>
      <c r="L697" s="45" t="n">
        <v>228000.0402809587</v>
      </c>
      <c r="M697" s="45" t="n">
        <v>0</v>
      </c>
      <c r="N697" s="45" t="n">
        <v>0</v>
      </c>
      <c r="O697" s="45" t="n">
        <v>0</v>
      </c>
      <c r="P697" s="45" t="n">
        <v>0</v>
      </c>
      <c r="Q697" s="45" t="n">
        <v>0</v>
      </c>
      <c r="R697" s="45" t="n">
        <v>0</v>
      </c>
      <c r="S697" s="45" t="n">
        <v>248385.99</v>
      </c>
      <c r="T697" s="45" t="n">
        <v>228000.0402809587</v>
      </c>
      <c r="U697" s="15" t="n">
        <v>8.9413</v>
      </c>
      <c r="V697" s="15" t="n">
        <v>40.85433373208296</v>
      </c>
      <c r="W697" s="49" t="n">
        <v>91792.55250304523</v>
      </c>
    </row>
    <row r="698">
      <c r="A698" s="44" t="inlineStr">
        <is>
          <t>TL Cinsi Kuponsuz Senetler</t>
        </is>
      </c>
      <c r="B698" s="44" t="n">
        <v>2000</v>
      </c>
      <c r="C698" s="44" t="inlineStr">
        <is>
          <t>TRT121201T19</t>
        </is>
      </c>
      <c r="D698" s="44" t="inlineStr">
        <is>
          <t>nan</t>
        </is>
      </c>
      <c r="E698" s="44" t="inlineStr">
        <is>
          <t>nan</t>
        </is>
      </c>
      <c r="F698" s="44" t="n"/>
      <c r="G698" s="44" t="n"/>
      <c r="H698" s="15" t="n"/>
      <c r="I698" s="45" t="n">
        <v>1123240</v>
      </c>
      <c r="J698" s="45" t="n">
        <v>780838.25</v>
      </c>
      <c r="K698" s="45" t="n">
        <v>574340</v>
      </c>
      <c r="L698" s="45" t="n">
        <v>400560.625662038</v>
      </c>
      <c r="M698" s="45" t="n">
        <v>32978.2</v>
      </c>
      <c r="N698" s="45" t="n">
        <v>23000</v>
      </c>
      <c r="O698" s="45" t="n">
        <v>42298.2</v>
      </c>
      <c r="P698" s="45" t="n">
        <v>29500</v>
      </c>
      <c r="Q698" s="45" t="n">
        <v>0</v>
      </c>
      <c r="R698" s="45" t="n">
        <v>0</v>
      </c>
      <c r="S698" s="45" t="n">
        <v>649616.3999999999</v>
      </c>
      <c r="T698" s="45" t="n">
        <v>453060.625662038</v>
      </c>
      <c r="U698" s="15" t="n">
        <v>43.383</v>
      </c>
      <c r="V698" s="15" t="n">
        <v>37.38209775766028</v>
      </c>
      <c r="W698" s="49" t="n">
        <v>69743.27500470767</v>
      </c>
    </row>
    <row r="699">
      <c r="A699" s="44" t="inlineStr">
        <is>
          <t>TL Cinsi Kuponsuz Senetler</t>
        </is>
      </c>
      <c r="B699" s="44" t="n">
        <v>2000</v>
      </c>
      <c r="C699" s="44" t="inlineStr">
        <is>
          <t>TRB140201T19</t>
        </is>
      </c>
      <c r="D699" s="44" t="inlineStr">
        <is>
          <t>nan</t>
        </is>
      </c>
      <c r="E699" s="44" t="inlineStr">
        <is>
          <t>nan</t>
        </is>
      </c>
      <c r="F699" s="44" t="n"/>
      <c r="G699" s="44" t="n"/>
      <c r="H699" s="15" t="n"/>
      <c r="I699" s="45" t="n">
        <v>502975</v>
      </c>
      <c r="J699" s="45" t="n">
        <v>461689.623</v>
      </c>
      <c r="K699" s="45" t="n">
        <v>258941.155</v>
      </c>
      <c r="L699" s="45" t="n">
        <v>237999.9851102941</v>
      </c>
      <c r="M699" s="45" t="n">
        <v>0</v>
      </c>
      <c r="N699" s="45" t="n">
        <v>0</v>
      </c>
      <c r="O699" s="45" t="n">
        <v>0</v>
      </c>
      <c r="P699" s="45" t="n">
        <v>0</v>
      </c>
      <c r="Q699" s="45" t="n"/>
      <c r="R699" s="45" t="n"/>
      <c r="S699" s="45" t="n">
        <v>258941.155</v>
      </c>
      <c r="T699" s="45" t="n">
        <v>237999.9851102941</v>
      </c>
      <c r="U699" s="15" t="n">
        <v>8.800000000000001</v>
      </c>
      <c r="V699" s="15" t="n">
        <v>40.12498575360004</v>
      </c>
      <c r="W699" s="49" t="n">
        <v>91911.76470588235</v>
      </c>
    </row>
    <row r="700">
      <c r="A700" s="44" t="inlineStr">
        <is>
          <t>TL Cinsi Kuponsuz Senetler</t>
        </is>
      </c>
      <c r="B700" s="44" t="n">
        <v>2000</v>
      </c>
      <c r="C700" s="44" t="inlineStr">
        <is>
          <t>TRT121201T19</t>
        </is>
      </c>
      <c r="D700" s="44" t="inlineStr">
        <is>
          <t>nan</t>
        </is>
      </c>
      <c r="E700" s="44" t="inlineStr">
        <is>
          <t>nan</t>
        </is>
      </c>
      <c r="F700" s="44" t="n"/>
      <c r="G700" s="44" t="n"/>
      <c r="H700" s="15" t="n"/>
      <c r="I700" s="45" t="n">
        <v>1443590</v>
      </c>
      <c r="J700" s="45" t="n">
        <v>1015973</v>
      </c>
      <c r="K700" s="45" t="n">
        <v>941140</v>
      </c>
      <c r="L700" s="45" t="n">
        <v>663839.9977216618</v>
      </c>
      <c r="M700" s="45" t="n">
        <v>124757.6</v>
      </c>
      <c r="N700" s="45" t="n">
        <v>88000</v>
      </c>
      <c r="O700" s="45" t="n">
        <v>0</v>
      </c>
      <c r="P700" s="45" t="n">
        <v>0</v>
      </c>
      <c r="Q700" s="45" t="n"/>
      <c r="R700" s="45" t="n"/>
      <c r="S700" s="45" t="n">
        <v>1065897.6</v>
      </c>
      <c r="T700" s="45" t="n">
        <v>751839.9977216618</v>
      </c>
      <c r="U700" s="15" t="n">
        <v>41.77</v>
      </c>
      <c r="V700" s="15" t="n">
        <v>38.27920899052783</v>
      </c>
      <c r="W700" s="49" t="n">
        <v>70536.78493334274</v>
      </c>
    </row>
    <row r="701">
      <c r="A701" s="44" t="inlineStr">
        <is>
          <t>TL Cinsi Kuponsuz Senetler</t>
        </is>
      </c>
      <c r="B701" s="44" t="n">
        <v>2000</v>
      </c>
      <c r="C701" s="44" t="inlineStr">
        <is>
          <t>TRT121201T19</t>
        </is>
      </c>
      <c r="D701" s="44" t="inlineStr">
        <is>
          <t>nan</t>
        </is>
      </c>
      <c r="E701" s="44" t="inlineStr">
        <is>
          <t>nan</t>
        </is>
      </c>
      <c r="F701" s="44" t="n"/>
      <c r="G701" s="44" t="n"/>
      <c r="H701" s="15" t="n"/>
      <c r="I701" s="45" t="n">
        <v>86240</v>
      </c>
      <c r="J701" s="45" t="n">
        <v>47387.531</v>
      </c>
      <c r="K701" s="45" t="n">
        <v>0</v>
      </c>
      <c r="L701" s="45" t="n">
        <v>0</v>
      </c>
      <c r="M701" s="45" t="n">
        <v>0</v>
      </c>
      <c r="N701" s="45" t="n">
        <v>0</v>
      </c>
      <c r="O701" s="45" t="n">
        <v>0</v>
      </c>
      <c r="P701" s="45" t="n">
        <v>0</v>
      </c>
      <c r="Q701" s="45" t="n"/>
      <c r="R701" s="45" t="n"/>
      <c r="S701" s="45" t="n">
        <v>0</v>
      </c>
      <c r="T701" s="45" t="n">
        <v>0</v>
      </c>
      <c r="U701" s="15" t="n">
        <v>0</v>
      </c>
      <c r="V701" s="15" t="n">
        <v>0</v>
      </c>
      <c r="W701" s="49" t="n">
        <v>100000</v>
      </c>
    </row>
    <row r="702">
      <c r="A702" s="44" t="inlineStr">
        <is>
          <t>TL Cinsi Kuponsuz Senetler</t>
        </is>
      </c>
      <c r="B702" s="44" t="n">
        <v>1999</v>
      </c>
      <c r="C702" s="44" t="inlineStr">
        <is>
          <t>TRT090200T17</t>
        </is>
      </c>
      <c r="D702" s="44" t="inlineStr">
        <is>
          <t>nan</t>
        </is>
      </c>
      <c r="E702" s="44" t="inlineStr">
        <is>
          <t>nan</t>
        </is>
      </c>
      <c r="F702" s="44" t="n"/>
      <c r="G702" s="44" t="n"/>
      <c r="H702" s="15" t="n"/>
      <c r="I702" s="45" t="n">
        <v>1580415.9</v>
      </c>
      <c r="J702" s="45" t="n">
        <v>679784.4</v>
      </c>
      <c r="K702" s="45" t="n">
        <v>1230698.5</v>
      </c>
      <c r="L702" s="45" t="n">
        <v>531058.5545266246</v>
      </c>
      <c r="M702" s="45" t="n"/>
      <c r="N702" s="45" t="n"/>
      <c r="O702" s="45" t="n"/>
      <c r="P702" s="45" t="n"/>
      <c r="Q702" s="45" t="n">
        <v>0</v>
      </c>
      <c r="R702" s="45" t="n">
        <v>0</v>
      </c>
      <c r="S702" s="45" t="n">
        <v>1787811.895</v>
      </c>
      <c r="T702" s="45" t="n">
        <v>771458.5574177958</v>
      </c>
      <c r="U702" s="15" t="n">
        <v>131.74</v>
      </c>
      <c r="V702" s="15" t="n">
        <v>118.2375625411322</v>
      </c>
      <c r="W702" s="49" t="n">
        <v>43151.80806075774</v>
      </c>
    </row>
    <row r="703">
      <c r="A703" s="44" t="inlineStr">
        <is>
          <t>TL Cinsi Kuponsuz Senetler</t>
        </is>
      </c>
      <c r="B703" s="44" t="n">
        <v>1999</v>
      </c>
      <c r="C703" s="44" t="inlineStr">
        <is>
          <t>TRT150300T18</t>
        </is>
      </c>
      <c r="D703" s="44" t="inlineStr">
        <is>
          <t>nan</t>
        </is>
      </c>
      <c r="E703" s="44" t="inlineStr">
        <is>
          <t>nan</t>
        </is>
      </c>
      <c r="F703" s="44" t="n"/>
      <c r="G703" s="44" t="n"/>
      <c r="H703" s="15" t="n"/>
      <c r="I703" s="45" t="n">
        <v>379640.3</v>
      </c>
      <c r="J703" s="45" t="n">
        <v>138059.6</v>
      </c>
      <c r="K703" s="45" t="n">
        <v>293272</v>
      </c>
      <c r="L703" s="45" t="n">
        <v>107325.877571701</v>
      </c>
      <c r="M703" s="45" t="n"/>
      <c r="N703" s="45" t="n"/>
      <c r="O703" s="45" t="n"/>
      <c r="P703" s="45" t="n"/>
      <c r="Q703" s="45" t="n">
        <v>0</v>
      </c>
      <c r="R703" s="45" t="n">
        <v>0</v>
      </c>
      <c r="S703" s="45" t="n">
        <v>299343.68166</v>
      </c>
      <c r="T703" s="45" t="n">
        <v>109547.877571701</v>
      </c>
      <c r="U703" s="15" t="n">
        <v>173.25</v>
      </c>
      <c r="V703" s="15" t="n">
        <v>139.98</v>
      </c>
      <c r="W703" s="49" t="n">
        <v>36596.52333028362</v>
      </c>
    </row>
    <row r="704">
      <c r="A704" s="44" t="inlineStr">
        <is>
          <t>TL Cinsi Kuponsuz Senetler</t>
        </is>
      </c>
      <c r="B704" s="44" t="n">
        <v>1999</v>
      </c>
      <c r="C704" s="44" t="inlineStr">
        <is>
          <t>TRB230699T17</t>
        </is>
      </c>
      <c r="D704" s="44" t="inlineStr">
        <is>
          <t>nan</t>
        </is>
      </c>
      <c r="E704" s="44" t="inlineStr">
        <is>
          <t>nan</t>
        </is>
      </c>
      <c r="F704" s="44" t="n"/>
      <c r="G704" s="44" t="n"/>
      <c r="H704" s="15" t="n"/>
      <c r="I704" s="45" t="n">
        <v>1349684.41</v>
      </c>
      <c r="J704" s="45" t="n">
        <v>941232.4</v>
      </c>
      <c r="K704" s="45" t="n">
        <v>904907.17</v>
      </c>
      <c r="L704" s="45" t="n">
        <v>632132.7337757597</v>
      </c>
      <c r="M704" s="45" t="n"/>
      <c r="N704" s="45" t="n"/>
      <c r="O704" s="45" t="n"/>
      <c r="P704" s="45" t="n"/>
      <c r="Q704" s="45" t="n">
        <v>0</v>
      </c>
      <c r="R704" s="45" t="n">
        <v>0</v>
      </c>
      <c r="S704" s="45" t="n">
        <v>920434.6505</v>
      </c>
      <c r="T704" s="45" t="n">
        <v>642979.7337757597</v>
      </c>
      <c r="U704" s="15" t="n">
        <v>43.15</v>
      </c>
      <c r="V704" s="15" t="n">
        <v>143.0911023196635</v>
      </c>
      <c r="W704" s="49" t="n">
        <v>69856.79357317499</v>
      </c>
    </row>
    <row r="705">
      <c r="A705" s="44" t="inlineStr">
        <is>
          <t>TL Cinsi Kuponsuz Senetler</t>
        </is>
      </c>
      <c r="B705" s="44" t="n">
        <v>1999</v>
      </c>
      <c r="C705" s="44" t="inlineStr">
        <is>
          <t>TRT090200T17</t>
        </is>
      </c>
      <c r="D705" s="44" t="inlineStr">
        <is>
          <t>nan</t>
        </is>
      </c>
      <c r="E705" s="44" t="inlineStr">
        <is>
          <t>nan</t>
        </is>
      </c>
      <c r="F705" s="44" t="n"/>
      <c r="G705" s="44" t="n"/>
      <c r="H705" s="15" t="n"/>
      <c r="I705" s="45" t="n">
        <v>1868534.4</v>
      </c>
      <c r="J705" s="45" t="n">
        <v>796953.1</v>
      </c>
      <c r="K705" s="45" t="n">
        <v>1458649</v>
      </c>
      <c r="L705" s="45" t="n">
        <v>623245.2354298411</v>
      </c>
      <c r="M705" s="45" t="n"/>
      <c r="N705" s="45" t="n"/>
      <c r="O705" s="45" t="n"/>
      <c r="P705" s="45" t="n"/>
      <c r="Q705" s="45" t="n">
        <v>0</v>
      </c>
      <c r="R705" s="45" t="n">
        <v>0</v>
      </c>
      <c r="S705" s="45" t="n">
        <v>1478504.9536</v>
      </c>
      <c r="T705" s="45" t="n">
        <v>631729.2354298411</v>
      </c>
      <c r="U705" s="15" t="n">
        <v>134.04</v>
      </c>
      <c r="V705" s="15" t="n">
        <v>130.32</v>
      </c>
      <c r="W705" s="49" t="n">
        <v>42727.73884806017</v>
      </c>
    </row>
    <row r="706">
      <c r="A706" s="44" t="inlineStr">
        <is>
          <t>TL Cinsi Kuponsuz Senetler</t>
        </is>
      </c>
      <c r="B706" s="44" t="n">
        <v>1999</v>
      </c>
      <c r="C706" s="44" t="inlineStr">
        <is>
          <t>TRT150300T18</t>
        </is>
      </c>
      <c r="D706" s="44" t="inlineStr">
        <is>
          <t>nan</t>
        </is>
      </c>
      <c r="E706" s="44" t="inlineStr">
        <is>
          <t>nan</t>
        </is>
      </c>
      <c r="F706" s="44" t="n"/>
      <c r="G706" s="44" t="n"/>
      <c r="H706" s="15" t="n"/>
      <c r="I706" s="45" t="n">
        <v>2614972.8</v>
      </c>
      <c r="J706" s="45" t="n">
        <v>1096030.6</v>
      </c>
      <c r="K706" s="45" t="n">
        <v>721588.8149999999</v>
      </c>
      <c r="L706" s="45" t="n">
        <v>304254.7163089767</v>
      </c>
      <c r="M706" s="45" t="n"/>
      <c r="N706" s="45" t="n"/>
      <c r="O706" s="45" t="n"/>
      <c r="P706" s="45" t="n"/>
      <c r="Q706" s="45" t="n">
        <v>0</v>
      </c>
      <c r="R706" s="45" t="n">
        <v>0</v>
      </c>
      <c r="S706" s="45" t="n">
        <v>781294.7625</v>
      </c>
      <c r="T706" s="45" t="n">
        <v>329429.7163089767</v>
      </c>
      <c r="U706" s="15" t="n">
        <v>137.17</v>
      </c>
      <c r="V706" s="15" t="n">
        <v>122.98</v>
      </c>
      <c r="W706" s="49" t="n">
        <v>42163.84871611081</v>
      </c>
    </row>
    <row r="707">
      <c r="A707" s="44" t="inlineStr">
        <is>
          <t>TL Cinsi Kuponsuz Senetler</t>
        </is>
      </c>
      <c r="B707" s="44" t="n">
        <v>1999</v>
      </c>
      <c r="C707" s="44" t="inlineStr">
        <is>
          <t>TRB180899T12</t>
        </is>
      </c>
      <c r="D707" s="44" t="inlineStr">
        <is>
          <t>nan</t>
        </is>
      </c>
      <c r="E707" s="44" t="inlineStr">
        <is>
          <t>nan</t>
        </is>
      </c>
      <c r="F707" s="44" t="n"/>
      <c r="G707" s="44" t="n"/>
      <c r="H707" s="15" t="n"/>
      <c r="I707" s="45" t="n">
        <v>1315272.7</v>
      </c>
      <c r="J707" s="45" t="n">
        <v>884911.8</v>
      </c>
      <c r="K707" s="45" t="n">
        <v>729905.02</v>
      </c>
      <c r="L707" s="45" t="n">
        <v>492205.3354177203</v>
      </c>
      <c r="M707" s="45" t="n"/>
      <c r="N707" s="45" t="n"/>
      <c r="O707" s="45" t="n"/>
      <c r="P707" s="45" t="n"/>
      <c r="Q707" s="45" t="n">
        <v>0</v>
      </c>
      <c r="R707" s="45" t="n">
        <v>0</v>
      </c>
      <c r="S707" s="45" t="n">
        <v>745475.9428342701</v>
      </c>
      <c r="T707" s="45" t="n">
        <v>502705.3744177203</v>
      </c>
      <c r="U707" s="15" t="n">
        <v>48.29</v>
      </c>
      <c r="V707" s="15" t="n">
        <v>119.91</v>
      </c>
      <c r="W707" s="49" t="n">
        <v>67435.43057522422</v>
      </c>
    </row>
    <row r="708">
      <c r="A708" s="44" t="inlineStr">
        <is>
          <t>TL Cinsi Kuponsuz Senetler</t>
        </is>
      </c>
      <c r="B708" s="44" t="n">
        <v>1999</v>
      </c>
      <c r="C708" s="44" t="inlineStr">
        <is>
          <t>TRT190400T13</t>
        </is>
      </c>
      <c r="D708" s="44" t="inlineStr">
        <is>
          <t>nan</t>
        </is>
      </c>
      <c r="E708" s="44" t="inlineStr">
        <is>
          <t>nan</t>
        </is>
      </c>
      <c r="F708" s="44" t="n"/>
      <c r="G708" s="44" t="n"/>
      <c r="H708" s="15" t="n"/>
      <c r="I708" s="45" t="n">
        <v>1515658.3</v>
      </c>
      <c r="J708" s="45" t="n">
        <v>597169.7</v>
      </c>
      <c r="K708" s="45" t="n">
        <v>688858.495</v>
      </c>
      <c r="L708" s="45" t="n">
        <v>272881.4233239784</v>
      </c>
      <c r="M708" s="45" t="n"/>
      <c r="N708" s="45" t="n"/>
      <c r="O708" s="45" t="n"/>
      <c r="P708" s="45" t="n"/>
      <c r="Q708" s="45" t="n">
        <v>0</v>
      </c>
      <c r="R708" s="45" t="n">
        <v>0</v>
      </c>
      <c r="S708" s="45" t="n">
        <v>828943.5449999999</v>
      </c>
      <c r="T708" s="45" t="n">
        <v>328667.4213239785</v>
      </c>
      <c r="U708" s="15" t="n">
        <v>152.44</v>
      </c>
      <c r="V708" s="15" t="n">
        <v>123.12</v>
      </c>
      <c r="W708" s="49" t="n">
        <v>39613.37347488512</v>
      </c>
    </row>
    <row r="709">
      <c r="A709" s="44" t="inlineStr">
        <is>
          <t>TL Cinsi Kuponsuz Senetler</t>
        </is>
      </c>
      <c r="B709" s="44" t="n">
        <v>1999</v>
      </c>
      <c r="C709" s="44" t="inlineStr">
        <is>
          <t>TRT150300T18</t>
        </is>
      </c>
      <c r="D709" s="44" t="inlineStr">
        <is>
          <t>nan</t>
        </is>
      </c>
      <c r="E709" s="44" t="inlineStr">
        <is>
          <t>nan</t>
        </is>
      </c>
      <c r="F709" s="44" t="n"/>
      <c r="G709" s="44" t="n"/>
      <c r="H709" s="15" t="n"/>
      <c r="I709" s="45" t="n">
        <v>2583416.1</v>
      </c>
      <c r="J709" s="45" t="n">
        <v>1268857.1</v>
      </c>
      <c r="K709" s="45" t="n">
        <v>1227181.1</v>
      </c>
      <c r="L709" s="45" t="n">
        <v>605487.1021276771</v>
      </c>
      <c r="M709" s="45" t="n"/>
      <c r="N709" s="45" t="n"/>
      <c r="O709" s="45" t="n"/>
      <c r="P709" s="45" t="n"/>
      <c r="Q709" s="45" t="n">
        <v>0</v>
      </c>
      <c r="R709" s="45" t="n">
        <v>0</v>
      </c>
      <c r="S709" s="45" t="n">
        <v>1405536.570199972</v>
      </c>
      <c r="T709" s="45" t="n">
        <v>693487.1021276771</v>
      </c>
      <c r="U709" s="15" t="n">
        <v>102.68</v>
      </c>
      <c r="V709" s="15" t="n">
        <v>99.98999999999999</v>
      </c>
      <c r="W709" s="49" t="n">
        <v>49338.85928557331</v>
      </c>
    </row>
    <row r="710">
      <c r="A710" s="44" t="inlineStr">
        <is>
          <t>TL Cinsi Kuponsuz Senetler</t>
        </is>
      </c>
      <c r="B710" s="44" t="n">
        <v>1999</v>
      </c>
      <c r="C710" s="44" t="inlineStr">
        <is>
          <t>TRT190400T13</t>
        </is>
      </c>
      <c r="D710" s="44" t="inlineStr">
        <is>
          <t>nan</t>
        </is>
      </c>
      <c r="E710" s="44" t="inlineStr">
        <is>
          <t>nan</t>
        </is>
      </c>
      <c r="F710" s="44" t="n"/>
      <c r="G710" s="44" t="n"/>
      <c r="H710" s="15" t="n"/>
      <c r="I710" s="45" t="n">
        <v>2257881.7</v>
      </c>
      <c r="J710" s="45" t="n">
        <v>1007538</v>
      </c>
      <c r="K710" s="45" t="n">
        <v>833506</v>
      </c>
      <c r="L710" s="45" t="n">
        <v>373530.7004481492</v>
      </c>
      <c r="M710" s="45" t="n"/>
      <c r="N710" s="45" t="n"/>
      <c r="O710" s="45" t="n"/>
      <c r="P710" s="45" t="n"/>
      <c r="Q710" s="45" t="n">
        <v>0</v>
      </c>
      <c r="R710" s="45" t="n">
        <v>0</v>
      </c>
      <c r="S710" s="45" t="n">
        <v>837649.8098</v>
      </c>
      <c r="T710" s="45" t="n">
        <v>375387.7004481492</v>
      </c>
      <c r="U710" s="15" t="n">
        <v>123.14</v>
      </c>
      <c r="V710" s="15" t="n">
        <v>107.97</v>
      </c>
      <c r="W710" s="49" t="n">
        <v>44814.9144035135</v>
      </c>
    </row>
    <row r="711">
      <c r="A711" s="44" t="inlineStr">
        <is>
          <t>TL Cinsi Kuponsuz Senetler</t>
        </is>
      </c>
      <c r="B711" s="44" t="n">
        <v>1999</v>
      </c>
      <c r="C711" s="44" t="inlineStr">
        <is>
          <t>TRB150999T14</t>
        </is>
      </c>
      <c r="D711" s="44" t="inlineStr">
        <is>
          <t>nan</t>
        </is>
      </c>
      <c r="E711" s="44" t="inlineStr">
        <is>
          <t>nan</t>
        </is>
      </c>
      <c r="F711" s="44" t="n"/>
      <c r="G711" s="44" t="n"/>
      <c r="H711" s="15" t="n"/>
      <c r="I711" s="45" t="n">
        <v>618045.8</v>
      </c>
      <c r="J711" s="45" t="n">
        <v>424934.6</v>
      </c>
      <c r="K711" s="45" t="n">
        <v>380958.66</v>
      </c>
      <c r="L711" s="45" t="n">
        <v>262631.381336863</v>
      </c>
      <c r="M711" s="45" t="n"/>
      <c r="N711" s="45" t="n"/>
      <c r="O711" s="45" t="n"/>
      <c r="P711" s="45" t="n"/>
      <c r="Q711" s="45" t="n">
        <v>0</v>
      </c>
      <c r="R711" s="45" t="n">
        <v>0</v>
      </c>
      <c r="S711" s="45" t="n">
        <v>380958.66</v>
      </c>
      <c r="T711" s="45" t="n">
        <v>262631.381336863</v>
      </c>
      <c r="U711" s="15" t="n">
        <v>45.06</v>
      </c>
      <c r="V711" s="15" t="n">
        <v>110.41</v>
      </c>
      <c r="W711" s="49" t="n">
        <v>68936.99158968702</v>
      </c>
    </row>
    <row r="712">
      <c r="A712" s="44" t="inlineStr">
        <is>
          <t>TL Cinsi Kuponsuz Senetler</t>
        </is>
      </c>
      <c r="B712" s="44" t="n">
        <v>1999</v>
      </c>
      <c r="C712" s="44" t="inlineStr">
        <is>
          <t>TRT170500T14</t>
        </is>
      </c>
      <c r="D712" s="44" t="inlineStr">
        <is>
          <t>nan</t>
        </is>
      </c>
      <c r="E712" s="44" t="inlineStr">
        <is>
          <t>nan</t>
        </is>
      </c>
      <c r="F712" s="44" t="n"/>
      <c r="G712" s="44" t="n"/>
      <c r="H712" s="15" t="n"/>
      <c r="I712" s="45" t="n">
        <v>1269847.6</v>
      </c>
      <c r="J712" s="45" t="n">
        <v>567007.7</v>
      </c>
      <c r="K712" s="45" t="n">
        <v>559920.3199999999</v>
      </c>
      <c r="L712" s="45" t="n">
        <v>250980.7262498263</v>
      </c>
      <c r="M712" s="45" t="n"/>
      <c r="N712" s="45" t="n"/>
      <c r="O712" s="45" t="n"/>
      <c r="P712" s="45" t="n"/>
      <c r="Q712" s="45" t="n">
        <v>0</v>
      </c>
      <c r="R712" s="45" t="n">
        <v>0</v>
      </c>
      <c r="S712" s="45" t="n">
        <v>567063.6938199999</v>
      </c>
      <c r="T712" s="45" t="n">
        <v>254182.7262498263</v>
      </c>
      <c r="U712" s="15" t="n">
        <v>123.06</v>
      </c>
      <c r="V712" s="15" t="n">
        <v>100.46</v>
      </c>
      <c r="W712" s="49" t="n">
        <v>44830.98717833767</v>
      </c>
    </row>
    <row r="713">
      <c r="A713" s="44" t="inlineStr">
        <is>
          <t>TL Cinsi Kuponsuz Senetler</t>
        </is>
      </c>
      <c r="B713" s="44" t="n">
        <v>1999</v>
      </c>
      <c r="C713" s="44" t="inlineStr">
        <is>
          <t>TRT190400T13</t>
        </is>
      </c>
      <c r="D713" s="44" t="inlineStr">
        <is>
          <t>nan</t>
        </is>
      </c>
      <c r="E713" s="44" t="inlineStr">
        <is>
          <t>nan</t>
        </is>
      </c>
      <c r="F713" s="44" t="n"/>
      <c r="G713" s="44" t="n"/>
      <c r="H713" s="15" t="n"/>
      <c r="I713" s="45" t="n">
        <v>2328008</v>
      </c>
      <c r="J713" s="45" t="n">
        <v>1104319.4</v>
      </c>
      <c r="K713" s="45" t="n">
        <v>1241137.87</v>
      </c>
      <c r="L713" s="45" t="n">
        <v>591067.9112319688</v>
      </c>
      <c r="M713" s="45" t="n"/>
      <c r="N713" s="45" t="n"/>
      <c r="O713" s="45" t="n"/>
      <c r="P713" s="45" t="n"/>
      <c r="Q713" s="45" t="n">
        <v>0</v>
      </c>
      <c r="R713" s="45" t="n">
        <v>0</v>
      </c>
      <c r="S713" s="45" t="n">
        <v>1459519.74</v>
      </c>
      <c r="T713" s="45" t="n">
        <v>695067.9112319688</v>
      </c>
      <c r="U713" s="15" t="n">
        <v>109.98</v>
      </c>
      <c r="V713" s="15" t="n">
        <v>107.06</v>
      </c>
      <c r="W713" s="49" t="n">
        <v>47623.58319839984</v>
      </c>
    </row>
    <row r="714">
      <c r="A714" s="44" t="inlineStr">
        <is>
          <t>TL Cinsi Kuponsuz Senetler</t>
        </is>
      </c>
      <c r="B714" s="44" t="n">
        <v>1999</v>
      </c>
      <c r="C714" s="44" t="inlineStr">
        <is>
          <t>TRT170500T14</t>
        </is>
      </c>
      <c r="D714" s="44" t="inlineStr">
        <is>
          <t>nan</t>
        </is>
      </c>
      <c r="E714" s="44" t="inlineStr">
        <is>
          <t>nan</t>
        </is>
      </c>
      <c r="F714" s="44" t="n"/>
      <c r="G714" s="44" t="n"/>
      <c r="H714" s="15" t="n"/>
      <c r="I714" s="45" t="n">
        <v>2179880</v>
      </c>
      <c r="J714" s="45" t="n">
        <v>1074734.6</v>
      </c>
      <c r="K714" s="45" t="n">
        <v>746790</v>
      </c>
      <c r="L714" s="45" t="n">
        <v>370452.0514460699</v>
      </c>
      <c r="M714" s="45" t="n"/>
      <c r="N714" s="45" t="n"/>
      <c r="O714" s="45" t="n"/>
      <c r="P714" s="45" t="n"/>
      <c r="Q714" s="45" t="n">
        <v>0</v>
      </c>
      <c r="R714" s="45" t="n">
        <v>0</v>
      </c>
      <c r="S714" s="45" t="n">
        <v>1152748.959652461</v>
      </c>
      <c r="T714" s="45" t="n">
        <v>571832.05144607</v>
      </c>
      <c r="U714" s="15" t="n">
        <v>101.59</v>
      </c>
      <c r="V714" s="15" t="n">
        <v>91.73999999999999</v>
      </c>
      <c r="W714" s="49" t="n">
        <v>49605.63520015873</v>
      </c>
    </row>
    <row r="715">
      <c r="A715" s="44" t="inlineStr">
        <is>
          <t>TL Cinsi Kuponsuz Senetler</t>
        </is>
      </c>
      <c r="B715" s="44" t="n">
        <v>1999</v>
      </c>
      <c r="C715" s="44" t="inlineStr">
        <is>
          <t>TRB150999T14</t>
        </is>
      </c>
      <c r="D715" s="44" t="inlineStr">
        <is>
          <t>nan</t>
        </is>
      </c>
      <c r="E715" s="44" t="inlineStr">
        <is>
          <t>nan</t>
        </is>
      </c>
      <c r="F715" s="44" t="n"/>
      <c r="G715" s="44" t="n"/>
      <c r="H715" s="15" t="n"/>
      <c r="I715" s="45" t="n">
        <v>1796632.6</v>
      </c>
      <c r="J715" s="45" t="n">
        <v>1380125.5</v>
      </c>
      <c r="K715" s="45" t="n">
        <v>907209</v>
      </c>
      <c r="L715" s="45" t="n">
        <v>698167.5521865609</v>
      </c>
      <c r="M715" s="45" t="n"/>
      <c r="N715" s="45" t="n"/>
      <c r="O715" s="45" t="n"/>
      <c r="P715" s="45" t="n"/>
      <c r="Q715" s="45" t="n">
        <v>0</v>
      </c>
      <c r="R715" s="45" t="n">
        <v>0</v>
      </c>
      <c r="S715" s="45" t="n">
        <v>907209</v>
      </c>
      <c r="T715" s="45" t="n">
        <v>698167.5521865609</v>
      </c>
      <c r="U715" s="15" t="n">
        <v>29.94</v>
      </c>
      <c r="V715" s="15" t="n">
        <v>97.58</v>
      </c>
      <c r="W715" s="49" t="n">
        <v>76958.59627520395</v>
      </c>
    </row>
    <row r="716">
      <c r="A716" s="44" t="inlineStr">
        <is>
          <t>TL Cinsi Kuponsuz Senetler</t>
        </is>
      </c>
      <c r="B716" s="44" t="n">
        <v>1999</v>
      </c>
      <c r="C716" s="44" t="inlineStr">
        <is>
          <t>TRT070600T15</t>
        </is>
      </c>
      <c r="D716" s="44" t="inlineStr">
        <is>
          <t>nan</t>
        </is>
      </c>
      <c r="E716" s="44" t="inlineStr">
        <is>
          <t>nan</t>
        </is>
      </c>
      <c r="F716" s="44" t="n"/>
      <c r="G716" s="44" t="n"/>
      <c r="H716" s="15" t="n"/>
      <c r="I716" s="45" t="n">
        <v>2677811.9</v>
      </c>
      <c r="J716" s="45" t="n">
        <v>1268961</v>
      </c>
      <c r="K716" s="45" t="n">
        <v>1120448.105</v>
      </c>
      <c r="L716" s="45" t="n">
        <v>532974.8952908718</v>
      </c>
      <c r="M716" s="45" t="n"/>
      <c r="N716" s="45" t="n"/>
      <c r="O716" s="45" t="n"/>
      <c r="P716" s="45" t="n"/>
      <c r="Q716" s="45" t="n">
        <v>0</v>
      </c>
      <c r="R716" s="45" t="n">
        <v>0</v>
      </c>
      <c r="S716" s="45" t="n">
        <v>1133061.605</v>
      </c>
      <c r="T716" s="45" t="n">
        <v>538974.8952908718</v>
      </c>
      <c r="U716" s="15" t="n">
        <v>110.23</v>
      </c>
      <c r="V716" s="15" t="n">
        <v>96.95999999999999</v>
      </c>
      <c r="W716" s="49" t="n">
        <v>47566.95048280455</v>
      </c>
    </row>
    <row r="717">
      <c r="A717" s="44" t="inlineStr">
        <is>
          <t>TL Cinsi Kuponsuz Senetler</t>
        </is>
      </c>
      <c r="B717" s="44" t="n">
        <v>1999</v>
      </c>
      <c r="C717" s="44" t="inlineStr">
        <is>
          <t>TRB031199T14</t>
        </is>
      </c>
      <c r="D717" s="44" t="inlineStr">
        <is>
          <t>nan</t>
        </is>
      </c>
      <c r="E717" s="44" t="inlineStr">
        <is>
          <t>nan</t>
        </is>
      </c>
      <c r="F717" s="44" t="n"/>
      <c r="G717" s="44" t="n"/>
      <c r="H717" s="15" t="n"/>
      <c r="I717" s="45" t="n">
        <v>656406.3</v>
      </c>
      <c r="J717" s="45" t="n">
        <v>458262.2</v>
      </c>
      <c r="K717" s="45" t="n">
        <v>500638.975</v>
      </c>
      <c r="L717" s="45" t="n">
        <v>349999.5834172259</v>
      </c>
      <c r="M717" s="45" t="n"/>
      <c r="N717" s="45" t="n"/>
      <c r="O717" s="45" t="n"/>
      <c r="P717" s="45" t="n"/>
      <c r="Q717" s="45" t="n">
        <v>0</v>
      </c>
      <c r="R717" s="45" t="n">
        <v>0</v>
      </c>
      <c r="S717" s="45" t="n">
        <v>740228.9735696</v>
      </c>
      <c r="T717" s="45" t="n">
        <v>517499.5824172259</v>
      </c>
      <c r="U717" s="15" t="n">
        <v>43.04</v>
      </c>
      <c r="V717" s="15" t="n">
        <v>104.6</v>
      </c>
      <c r="W717" s="49" t="n">
        <v>69910.51454138702</v>
      </c>
    </row>
    <row r="718">
      <c r="A718" s="44" t="inlineStr">
        <is>
          <t>TL Cinsi Kuponsuz Senetler</t>
        </is>
      </c>
      <c r="B718" s="44" t="n">
        <v>1999</v>
      </c>
      <c r="C718" s="44" t="inlineStr">
        <is>
          <t>TRT170500T14</t>
        </is>
      </c>
      <c r="D718" s="44" t="inlineStr">
        <is>
          <t>nan</t>
        </is>
      </c>
      <c r="E718" s="44" t="inlineStr">
        <is>
          <t>nan</t>
        </is>
      </c>
      <c r="F718" s="44" t="n"/>
      <c r="G718" s="44" t="n"/>
      <c r="H718" s="15" t="n"/>
      <c r="I718" s="45" t="n">
        <v>2300748.7</v>
      </c>
      <c r="J718" s="45" t="n">
        <v>1170145.7</v>
      </c>
      <c r="K718" s="45" t="n">
        <v>1028346.5</v>
      </c>
      <c r="L718" s="45" t="n">
        <v>524236.0317292007</v>
      </c>
      <c r="M718" s="45" t="n"/>
      <c r="N718" s="45" t="n"/>
      <c r="O718" s="45" t="n"/>
      <c r="P718" s="45" t="n"/>
      <c r="Q718" s="45" t="n">
        <v>0</v>
      </c>
      <c r="R718" s="45" t="n">
        <v>0</v>
      </c>
      <c r="S718" s="45" t="n">
        <v>1159747.4941152</v>
      </c>
      <c r="T718" s="45" t="n">
        <v>591236.0287292007</v>
      </c>
      <c r="U718" s="15" t="n">
        <v>96.16</v>
      </c>
      <c r="V718" s="15" t="n">
        <v>93.68000000000001</v>
      </c>
      <c r="W718" s="49" t="n">
        <v>50978.79282218597</v>
      </c>
    </row>
    <row r="719">
      <c r="A719" s="44" t="inlineStr">
        <is>
          <t>TL Cinsi Kuponsuz Senetler</t>
        </is>
      </c>
      <c r="B719" s="44" t="n">
        <v>1999</v>
      </c>
      <c r="C719" s="44" t="inlineStr">
        <is>
          <t>TRT070600T15</t>
        </is>
      </c>
      <c r="D719" s="44" t="inlineStr">
        <is>
          <t>nan</t>
        </is>
      </c>
      <c r="E719" s="44" t="inlineStr">
        <is>
          <t>nan</t>
        </is>
      </c>
      <c r="F719" s="44" t="n"/>
      <c r="G719" s="44" t="n"/>
      <c r="H719" s="15" t="n"/>
      <c r="I719" s="45" t="n">
        <v>1309491.9</v>
      </c>
      <c r="J719" s="45" t="n">
        <v>630310.6</v>
      </c>
      <c r="K719" s="45" t="n">
        <v>808482.9300000001</v>
      </c>
      <c r="L719" s="45" t="n">
        <v>392248.6680882032</v>
      </c>
      <c r="M719" s="45" t="n"/>
      <c r="N719" s="45" t="n"/>
      <c r="O719" s="45" t="n"/>
      <c r="P719" s="45" t="n"/>
      <c r="Q719" s="45" t="n">
        <v>0</v>
      </c>
      <c r="R719" s="45" t="n">
        <v>0</v>
      </c>
      <c r="S719" s="45" t="n">
        <v>947048.8222000001</v>
      </c>
      <c r="T719" s="45" t="n">
        <v>459476.6680882032</v>
      </c>
      <c r="U719" s="15" t="n">
        <v>106.12</v>
      </c>
      <c r="V719" s="15" t="n">
        <v>104.1</v>
      </c>
      <c r="W719" s="49" t="n">
        <v>48515.42790607412</v>
      </c>
    </row>
    <row r="720">
      <c r="A720" s="44" t="inlineStr">
        <is>
          <t>TL Cinsi Kuponsuz Senetler</t>
        </is>
      </c>
      <c r="B720" s="44" t="n">
        <v>1999</v>
      </c>
      <c r="C720" s="44" t="inlineStr">
        <is>
          <t>TRT230800T13</t>
        </is>
      </c>
      <c r="D720" s="44" t="inlineStr">
        <is>
          <t>nan</t>
        </is>
      </c>
      <c r="E720" s="44" t="inlineStr">
        <is>
          <t>nan</t>
        </is>
      </c>
      <c r="F720" s="44" t="n"/>
      <c r="G720" s="44" t="n"/>
      <c r="H720" s="15" t="n"/>
      <c r="I720" s="45" t="n">
        <v>2691016</v>
      </c>
      <c r="J720" s="45" t="n">
        <v>1121967.4</v>
      </c>
      <c r="K720" s="45" t="n">
        <v>2141770</v>
      </c>
      <c r="L720" s="45" t="n">
        <v>895473.36753073</v>
      </c>
      <c r="M720" s="45" t="n"/>
      <c r="N720" s="45" t="n"/>
      <c r="O720" s="45" t="n"/>
      <c r="P720" s="45" t="n"/>
      <c r="Q720" s="45" t="n">
        <v>0</v>
      </c>
      <c r="R720" s="45" t="n">
        <v>0</v>
      </c>
      <c r="S720" s="45" t="n">
        <v>2141770</v>
      </c>
      <c r="T720" s="45" t="n">
        <v>895473.36753073</v>
      </c>
      <c r="U720" s="15" t="n">
        <v>139.18</v>
      </c>
      <c r="V720" s="15" t="n">
        <v>107.8</v>
      </c>
      <c r="W720" s="49" t="n">
        <v>41809.51584580651</v>
      </c>
    </row>
    <row r="721">
      <c r="A721" s="44" t="inlineStr">
        <is>
          <t>TL Cinsi Kuponsuz Senetler</t>
        </is>
      </c>
      <c r="B721" s="44" t="n">
        <v>1999</v>
      </c>
      <c r="C721" s="44" t="inlineStr">
        <is>
          <t>TRB031199T14</t>
        </is>
      </c>
      <c r="D721" s="44" t="inlineStr">
        <is>
          <t>nan</t>
        </is>
      </c>
      <c r="E721" s="44" t="inlineStr">
        <is>
          <t>nan</t>
        </is>
      </c>
      <c r="F721" s="44" t="n"/>
      <c r="G721" s="44" t="n"/>
      <c r="H721" s="15" t="n"/>
      <c r="I721" s="45" t="n">
        <v>293336.4</v>
      </c>
      <c r="J721" s="45" t="n">
        <v>219229.3</v>
      </c>
      <c r="K721" s="45" t="n">
        <v>194714</v>
      </c>
      <c r="L721" s="45" t="n">
        <v>145984.4054580897</v>
      </c>
      <c r="M721" s="45" t="n"/>
      <c r="N721" s="45" t="n"/>
      <c r="O721" s="45" t="n"/>
      <c r="P721" s="45" t="n"/>
      <c r="Q721" s="45" t="n">
        <v>0</v>
      </c>
      <c r="R721" s="45" t="n">
        <v>0</v>
      </c>
      <c r="S721" s="45" t="n">
        <v>248066</v>
      </c>
      <c r="T721" s="45" t="n">
        <v>185984.4054580897</v>
      </c>
      <c r="U721" s="15" t="n">
        <v>33.38</v>
      </c>
      <c r="V721" s="15" t="n">
        <v>111.46</v>
      </c>
      <c r="W721" s="49" t="n">
        <v>74973.75918428549</v>
      </c>
    </row>
    <row r="722">
      <c r="A722" s="44" t="inlineStr">
        <is>
          <t>TL Cinsi Kuponsuz Senetler</t>
        </is>
      </c>
      <c r="B722" s="44" t="n">
        <v>1999</v>
      </c>
      <c r="C722" s="44" t="inlineStr">
        <is>
          <t>TRB190100T16</t>
        </is>
      </c>
      <c r="D722" s="44" t="inlineStr">
        <is>
          <t>nan</t>
        </is>
      </c>
      <c r="E722" s="44" t="inlineStr">
        <is>
          <t>nan</t>
        </is>
      </c>
      <c r="F722" s="44" t="n"/>
      <c r="G722" s="44" t="n"/>
      <c r="H722" s="15" t="n"/>
      <c r="I722" s="45" t="n">
        <v>1731588.6</v>
      </c>
      <c r="J722" s="45" t="n">
        <v>1103793</v>
      </c>
      <c r="K722" s="45" t="n">
        <v>1117573.51</v>
      </c>
      <c r="L722" s="45" t="n">
        <v>713691.1767764174</v>
      </c>
      <c r="M722" s="45" t="n"/>
      <c r="N722" s="45" t="n"/>
      <c r="O722" s="45" t="n"/>
      <c r="P722" s="45" t="n"/>
      <c r="Q722" s="45" t="n">
        <v>0</v>
      </c>
      <c r="R722" s="45" t="n">
        <v>0</v>
      </c>
      <c r="S722" s="45" t="n">
        <v>1139183.016940607</v>
      </c>
      <c r="T722" s="45" t="n">
        <v>727491.1767764174</v>
      </c>
      <c r="U722" s="15" t="n">
        <v>56.59</v>
      </c>
      <c r="V722" s="15" t="n">
        <v>117.57</v>
      </c>
      <c r="W722" s="49" t="n">
        <v>63861.03838048406</v>
      </c>
    </row>
    <row r="723">
      <c r="A723" s="44" t="inlineStr">
        <is>
          <t>TL Cinsi Kuponsuz Senetler</t>
        </is>
      </c>
      <c r="B723" s="44" t="n">
        <v>1999</v>
      </c>
      <c r="C723" s="44" t="inlineStr">
        <is>
          <t>TRT230800T13</t>
        </is>
      </c>
      <c r="D723" s="44" t="inlineStr">
        <is>
          <t>nan</t>
        </is>
      </c>
      <c r="E723" s="44" t="inlineStr">
        <is>
          <t>nan</t>
        </is>
      </c>
      <c r="F723" s="44" t="n"/>
      <c r="G723" s="44" t="n"/>
      <c r="H723" s="15" t="n"/>
      <c r="I723" s="45" t="n">
        <v>2914275.325</v>
      </c>
      <c r="J723" s="45" t="n">
        <v>1426753</v>
      </c>
      <c r="K723" s="45" t="n">
        <v>1342235.5</v>
      </c>
      <c r="L723" s="45" t="n">
        <v>660239.0912024399</v>
      </c>
      <c r="M723" s="45" t="n"/>
      <c r="N723" s="45" t="n"/>
      <c r="O723" s="45" t="n"/>
      <c r="P723" s="45" t="n"/>
      <c r="Q723" s="45" t="n">
        <v>0</v>
      </c>
      <c r="R723" s="45" t="n">
        <v>0</v>
      </c>
      <c r="S723" s="45" t="n">
        <v>1413388.75</v>
      </c>
      <c r="T723" s="45" t="n">
        <v>695239.0912024399</v>
      </c>
      <c r="U723" s="15" t="n">
        <v>103.295</v>
      </c>
      <c r="V723" s="15" t="n">
        <v>91.0284446662466</v>
      </c>
      <c r="W723" s="49" t="n">
        <v>49189.60131828131</v>
      </c>
    </row>
    <row r="724">
      <c r="A724" s="44" t="inlineStr">
        <is>
          <t>TL Cinsi Kuponsuz Senetler</t>
        </is>
      </c>
      <c r="B724" s="44" t="n">
        <v>1999</v>
      </c>
      <c r="C724" s="44" t="inlineStr">
        <is>
          <t>TRB190100T16</t>
        </is>
      </c>
      <c r="D724" s="44" t="inlineStr">
        <is>
          <t>nan</t>
        </is>
      </c>
      <c r="E724" s="44" t="inlineStr">
        <is>
          <t>nan</t>
        </is>
      </c>
      <c r="F724" s="44" t="n"/>
      <c r="G724" s="44" t="n"/>
      <c r="H724" s="15" t="n"/>
      <c r="I724" s="45" t="n">
        <v>1439888.04</v>
      </c>
      <c r="J724" s="45" t="n">
        <v>1026181.9</v>
      </c>
      <c r="K724" s="45" t="n">
        <v>969929</v>
      </c>
      <c r="L724" s="45" t="n">
        <v>692447.6677725187</v>
      </c>
      <c r="M724" s="45" t="n"/>
      <c r="N724" s="45" t="n"/>
      <c r="O724" s="45" t="n"/>
      <c r="P724" s="45" t="n"/>
      <c r="Q724" s="45" t="n">
        <v>0</v>
      </c>
      <c r="R724" s="45" t="n">
        <v>0</v>
      </c>
      <c r="S724" s="45" t="n">
        <v>969929</v>
      </c>
      <c r="T724" s="45" t="n">
        <v>692447.6677725187</v>
      </c>
      <c r="U724" s="15" t="n">
        <v>40.073</v>
      </c>
      <c r="V724" s="15" t="n">
        <v>96.20445329</v>
      </c>
      <c r="W724" s="49" t="n">
        <v>71391.34594104503</v>
      </c>
    </row>
    <row r="725">
      <c r="A725" s="44" t="inlineStr">
        <is>
          <t>TL Cinsi Kuponsuz Senetler</t>
        </is>
      </c>
      <c r="B725" s="44" t="n">
        <v>1999</v>
      </c>
      <c r="C725" s="44" t="inlineStr">
        <is>
          <t>TRB271099T17</t>
        </is>
      </c>
      <c r="D725" s="44" t="inlineStr">
        <is>
          <t>nan</t>
        </is>
      </c>
      <c r="E725" s="44" t="inlineStr">
        <is>
          <t>nan</t>
        </is>
      </c>
      <c r="F725" s="44" t="n"/>
      <c r="G725" s="44" t="n"/>
      <c r="H725" s="15" t="n"/>
      <c r="I725" s="45" t="n">
        <v>622119.35</v>
      </c>
      <c r="J725" s="45" t="n">
        <v>523060.3</v>
      </c>
      <c r="K725" s="45" t="n">
        <v>453686.9</v>
      </c>
      <c r="L725" s="45" t="n">
        <v>382000.6567536164</v>
      </c>
      <c r="M725" s="45" t="n"/>
      <c r="N725" s="45" t="n"/>
      <c r="O725" s="45" t="n"/>
      <c r="P725" s="45" t="n"/>
      <c r="Q725" s="45" t="n"/>
      <c r="R725" s="45" t="n"/>
      <c r="S725" s="45" t="n">
        <v>453686.9</v>
      </c>
      <c r="T725" s="45" t="n">
        <v>382000.6567536164</v>
      </c>
      <c r="U725" s="15" t="n">
        <v>18.766</v>
      </c>
      <c r="V725" s="15" t="n">
        <v>98.96125847835191</v>
      </c>
      <c r="W725" s="49" t="n">
        <v>84199.18158395501</v>
      </c>
    </row>
    <row r="726">
      <c r="A726" s="44" t="inlineStr">
        <is>
          <t>TL Cinsi Kuponsuz Senetler</t>
        </is>
      </c>
      <c r="B726" s="44" t="n">
        <v>1999</v>
      </c>
      <c r="C726" s="44" t="inlineStr">
        <is>
          <t>TRT230800T13</t>
        </is>
      </c>
      <c r="D726" s="44" t="inlineStr">
        <is>
          <t>nan</t>
        </is>
      </c>
      <c r="E726" s="44" t="inlineStr">
        <is>
          <t>nan</t>
        </is>
      </c>
      <c r="F726" s="44" t="n"/>
      <c r="G726" s="44" t="n"/>
      <c r="H726" s="15" t="n"/>
      <c r="I726" s="45" t="n">
        <v>1047637.6</v>
      </c>
      <c r="J726" s="45" t="n">
        <v>513579.5</v>
      </c>
      <c r="K726" s="45" t="n">
        <v>424409.56</v>
      </c>
      <c r="L726" s="45" t="n">
        <v>208757.6287530005</v>
      </c>
      <c r="M726" s="45" t="n"/>
      <c r="N726" s="45" t="n"/>
      <c r="O726" s="45" t="n"/>
      <c r="P726" s="45" t="n"/>
      <c r="Q726" s="45" t="n"/>
      <c r="R726" s="45" t="n"/>
      <c r="S726" s="45" t="n">
        <v>591118.84</v>
      </c>
      <c r="T726" s="45" t="n">
        <v>290757.6287530005</v>
      </c>
      <c r="U726" s="15" t="n">
        <v>103.3</v>
      </c>
      <c r="V726" s="15" t="n">
        <v>95.59</v>
      </c>
      <c r="W726" s="49" t="n">
        <v>49188.39153959665</v>
      </c>
    </row>
    <row r="727">
      <c r="A727" s="44" t="inlineStr">
        <is>
          <t>TL Cinsi Kuponsuz Senetler</t>
        </is>
      </c>
      <c r="B727" s="44" t="n">
        <v>1999</v>
      </c>
      <c r="C727" s="44" t="inlineStr">
        <is>
          <t>TRB171199T18</t>
        </is>
      </c>
      <c r="D727" s="44" t="inlineStr">
        <is>
          <t>nan</t>
        </is>
      </c>
      <c r="E727" s="44" t="inlineStr">
        <is>
          <t>nan</t>
        </is>
      </c>
      <c r="F727" s="44" t="n"/>
      <c r="G727" s="44" t="n"/>
      <c r="H727" s="15" t="n"/>
      <c r="I727" s="45" t="n">
        <v>675862.7</v>
      </c>
      <c r="J727" s="45" t="n">
        <v>567501.1</v>
      </c>
      <c r="K727" s="45" t="n">
        <v>285333.09</v>
      </c>
      <c r="L727" s="45" t="n">
        <v>239999.9523593237</v>
      </c>
      <c r="M727" s="45" t="n"/>
      <c r="N727" s="45" t="n"/>
      <c r="O727" s="45" t="n"/>
      <c r="P727" s="45" t="n"/>
      <c r="Q727" s="45" t="n"/>
      <c r="R727" s="45" t="n"/>
      <c r="S727" s="45" t="n">
        <v>285333.09</v>
      </c>
      <c r="T727" s="45" t="n">
        <v>239999.9523593237</v>
      </c>
      <c r="U727" s="15" t="n">
        <v>18.89</v>
      </c>
      <c r="V727" s="15" t="n">
        <v>99.79000000000001</v>
      </c>
      <c r="W727" s="49" t="n">
        <v>84111.36344520144</v>
      </c>
    </row>
    <row r="728">
      <c r="A728" s="44" t="inlineStr">
        <is>
          <t>TL Cinsi Kuponsuz Senetler</t>
        </is>
      </c>
      <c r="B728" s="44" t="n">
        <v>1999</v>
      </c>
      <c r="C728" s="44" t="inlineStr">
        <is>
          <t>TRB150300T18</t>
        </is>
      </c>
      <c r="D728" s="44" t="inlineStr">
        <is>
          <t>nan</t>
        </is>
      </c>
      <c r="E728" s="44" t="inlineStr">
        <is>
          <t>nan</t>
        </is>
      </c>
      <c r="F728" s="44" t="n"/>
      <c r="G728" s="44" t="n"/>
      <c r="H728" s="15" t="n"/>
      <c r="I728" s="45" t="n">
        <v>1348807.8</v>
      </c>
      <c r="J728" s="45" t="n">
        <v>955443.3</v>
      </c>
      <c r="K728" s="45" t="n">
        <v>828633.8100000001</v>
      </c>
      <c r="L728" s="45" t="n">
        <v>587908.8385854259</v>
      </c>
      <c r="M728" s="45" t="n"/>
      <c r="N728" s="45" t="n"/>
      <c r="O728" s="45" t="n"/>
      <c r="P728" s="45" t="n"/>
      <c r="Q728" s="45" t="n"/>
      <c r="R728" s="45" t="n"/>
      <c r="S728" s="45" t="n">
        <v>885012.3100000001</v>
      </c>
      <c r="T728" s="45" t="n">
        <v>627908.8385854259</v>
      </c>
      <c r="U728" s="15" t="n">
        <v>40.947</v>
      </c>
      <c r="V728" s="15" t="n">
        <v>98.66056808999998</v>
      </c>
      <c r="W728" s="49" t="n">
        <v>70948.65445876819</v>
      </c>
    </row>
    <row r="729">
      <c r="A729" s="44" t="inlineStr">
        <is>
          <t>TL Cinsi Kuponsuz Senetler</t>
        </is>
      </c>
      <c r="B729" s="44" t="n">
        <v>1999</v>
      </c>
      <c r="C729" s="44" t="inlineStr">
        <is>
          <t>TRB240500T15</t>
        </is>
      </c>
      <c r="D729" s="44" t="inlineStr">
        <is>
          <t>nan</t>
        </is>
      </c>
      <c r="E729" s="44" t="inlineStr">
        <is>
          <t>nan</t>
        </is>
      </c>
      <c r="F729" s="44" t="n"/>
      <c r="G729" s="44" t="n"/>
      <c r="H729" s="15" t="n"/>
      <c r="I729" s="45" t="n">
        <v>1061188.545</v>
      </c>
      <c r="J729" s="45" t="n">
        <v>675044.7</v>
      </c>
      <c r="K729" s="45" t="n">
        <v>575206.045</v>
      </c>
      <c r="L729" s="45" t="n">
        <v>366581.8204320949</v>
      </c>
      <c r="M729" s="45" t="n"/>
      <c r="N729" s="45" t="n"/>
      <c r="O729" s="45" t="n"/>
      <c r="P729" s="45" t="n"/>
      <c r="Q729" s="45" t="n"/>
      <c r="R729" s="45" t="n"/>
      <c r="S729" s="45" t="n">
        <v>704380.2271236001</v>
      </c>
      <c r="T729" s="45" t="n">
        <v>448905.8164320949</v>
      </c>
      <c r="U729" s="15" t="n">
        <v>56.91</v>
      </c>
      <c r="V729" s="15" t="n">
        <v>103.3751800616698</v>
      </c>
      <c r="W729" s="49" t="n">
        <v>63730.80109616978</v>
      </c>
    </row>
    <row r="730">
      <c r="A730" s="44" t="inlineStr">
        <is>
          <t>TL Cinsi Kuponsuz Senetler</t>
        </is>
      </c>
      <c r="B730" s="44" t="n">
        <v>1999</v>
      </c>
      <c r="C730" s="44" t="inlineStr">
        <is>
          <t>TRB260100T17</t>
        </is>
      </c>
      <c r="D730" s="44" t="inlineStr">
        <is>
          <t>nan</t>
        </is>
      </c>
      <c r="E730" s="44" t="inlineStr">
        <is>
          <t>nan</t>
        </is>
      </c>
      <c r="F730" s="44" t="n"/>
      <c r="G730" s="44" t="n"/>
      <c r="H730" s="15" t="n"/>
      <c r="I730" s="45" t="n">
        <v>582774.8</v>
      </c>
      <c r="J730" s="45" t="n">
        <v>492238</v>
      </c>
      <c r="K730" s="45" t="n">
        <v>406846.19</v>
      </c>
      <c r="L730" s="45" t="n">
        <v>344000.0017899872</v>
      </c>
      <c r="M730" s="45" t="n"/>
      <c r="N730" s="45" t="n"/>
      <c r="O730" s="45" t="n"/>
      <c r="P730" s="45" t="n"/>
      <c r="Q730" s="45" t="n"/>
      <c r="R730" s="45" t="n"/>
      <c r="S730" s="45" t="n">
        <v>406846.19</v>
      </c>
      <c r="T730" s="45" t="n">
        <v>344000.0017899872</v>
      </c>
      <c r="U730" s="15" t="n">
        <v>18.269</v>
      </c>
      <c r="V730" s="15" t="n">
        <v>95.65173295215155</v>
      </c>
      <c r="W730" s="49" t="n">
        <v>84553.01050993921</v>
      </c>
    </row>
    <row r="731">
      <c r="A731" s="44" t="inlineStr">
        <is>
          <t>TL Cinsi Kuponsuz Senetler</t>
        </is>
      </c>
      <c r="B731" s="44" t="n">
        <v>1999</v>
      </c>
      <c r="C731" s="44" t="inlineStr">
        <is>
          <t>TRB160200T18</t>
        </is>
      </c>
      <c r="D731" s="44" t="inlineStr">
        <is>
          <t>nan</t>
        </is>
      </c>
      <c r="E731" s="44" t="inlineStr">
        <is>
          <t>nan</t>
        </is>
      </c>
      <c r="F731" s="44" t="n"/>
      <c r="G731" s="44" t="n"/>
      <c r="H731" s="15" t="n"/>
      <c r="I731" s="45" t="n">
        <v>571548.635</v>
      </c>
      <c r="J731" s="45" t="n">
        <v>484335.2</v>
      </c>
      <c r="K731" s="45" t="n">
        <v>466942.99</v>
      </c>
      <c r="L731" s="45" t="n">
        <v>395999.9522919052</v>
      </c>
      <c r="M731" s="45" t="n"/>
      <c r="N731" s="45" t="n"/>
      <c r="O731" s="45" t="n"/>
      <c r="P731" s="45" t="n"/>
      <c r="Q731" s="45" t="n"/>
      <c r="R731" s="45" t="n"/>
      <c r="S731" s="45" t="n">
        <v>466942.99</v>
      </c>
      <c r="T731" s="45" t="n">
        <v>395999.9522919052</v>
      </c>
      <c r="U731" s="15" t="n">
        <v>17.915</v>
      </c>
      <c r="V731" s="15" t="n">
        <v>93.31974843558513</v>
      </c>
      <c r="W731" s="49" t="n">
        <v>84806.85239367341</v>
      </c>
    </row>
    <row r="732">
      <c r="A732" s="44" t="inlineStr">
        <is>
          <t>TL Cinsi Kuponsuz Senetler</t>
        </is>
      </c>
      <c r="B732" s="44" t="n">
        <v>1998</v>
      </c>
      <c r="C732" s="44" t="inlineStr">
        <is>
          <t>TRB150798T17</t>
        </is>
      </c>
      <c r="D732" s="44" t="inlineStr">
        <is>
          <t>nan</t>
        </is>
      </c>
      <c r="E732" s="44" t="inlineStr">
        <is>
          <t>nan</t>
        </is>
      </c>
      <c r="F732" s="44" t="n"/>
      <c r="G732" s="44" t="n"/>
      <c r="H732" s="15" t="n"/>
      <c r="I732" s="45" t="n">
        <v>867896.7</v>
      </c>
      <c r="J732" s="45" t="n"/>
      <c r="K732" s="45" t="n">
        <v>490472.8</v>
      </c>
      <c r="L732" s="45" t="n">
        <v>323241.3181332289</v>
      </c>
      <c r="M732" s="45" t="n"/>
      <c r="N732" s="45" t="n"/>
      <c r="O732" s="45" t="n"/>
      <c r="P732" s="45" t="n"/>
      <c r="Q732" s="45" t="n">
        <v>0</v>
      </c>
      <c r="R732" s="45" t="n">
        <v>0</v>
      </c>
      <c r="S732" s="45" t="n">
        <v>562764.6350934693</v>
      </c>
      <c r="T732" s="45" t="n">
        <v>370884.5474129831</v>
      </c>
      <c r="U732" s="15" t="n">
        <v>51.7358</v>
      </c>
      <c r="V732" s="15" t="n">
        <v>130.2375300164</v>
      </c>
      <c r="W732" s="49" t="n">
        <v>65904.02528605642</v>
      </c>
    </row>
    <row r="733">
      <c r="A733" s="44" t="inlineStr">
        <is>
          <t>TL Cinsi Kuponsuz Senetler</t>
        </is>
      </c>
      <c r="B733" s="44" t="n">
        <v>1998</v>
      </c>
      <c r="C733" s="44" t="inlineStr">
        <is>
          <t>TRB200598T12</t>
        </is>
      </c>
      <c r="D733" s="44" t="inlineStr">
        <is>
          <t>nan</t>
        </is>
      </c>
      <c r="E733" s="44" t="inlineStr">
        <is>
          <t>nan</t>
        </is>
      </c>
      <c r="F733" s="44" t="n"/>
      <c r="G733" s="44" t="n"/>
      <c r="H733" s="15" t="n"/>
      <c r="I733" s="45" t="n">
        <v>718853.5</v>
      </c>
      <c r="J733" s="45" t="n"/>
      <c r="K733" s="45" t="n">
        <v>522323.7</v>
      </c>
      <c r="L733" s="45" t="n">
        <v>412113.4153903205</v>
      </c>
      <c r="M733" s="45" t="n"/>
      <c r="N733" s="45" t="n"/>
      <c r="O733" s="45" t="n"/>
      <c r="P733" s="45" t="n"/>
      <c r="Q733" s="45" t="n">
        <v>0</v>
      </c>
      <c r="R733" s="45" t="n">
        <v>0</v>
      </c>
      <c r="S733" s="45" t="n">
        <v>524319.8977186312</v>
      </c>
      <c r="T733" s="45" t="n">
        <v>413688.9803903205</v>
      </c>
      <c r="U733" s="15" t="n">
        <v>26.742</v>
      </c>
      <c r="V733" s="15" t="n">
        <v>141.1439391996101</v>
      </c>
      <c r="W733" s="49" t="n">
        <v>78900.44342049203</v>
      </c>
    </row>
    <row r="734">
      <c r="A734" s="44" t="inlineStr">
        <is>
          <t>TL Cinsi Kuponsuz Senetler</t>
        </is>
      </c>
      <c r="B734" s="44" t="n">
        <v>1998</v>
      </c>
      <c r="C734" s="44" t="inlineStr">
        <is>
          <t>TRB190898T12</t>
        </is>
      </c>
      <c r="D734" s="44" t="inlineStr">
        <is>
          <t>nan</t>
        </is>
      </c>
      <c r="E734" s="44" t="inlineStr">
        <is>
          <t>nan</t>
        </is>
      </c>
      <c r="F734" s="44" t="n"/>
      <c r="G734" s="44" t="n"/>
      <c r="H734" s="15" t="n"/>
      <c r="I734" s="45" t="n">
        <v>1058395.11</v>
      </c>
      <c r="J734" s="45" t="n"/>
      <c r="K734" s="45" t="n">
        <v>565400.61</v>
      </c>
      <c r="L734" s="45" t="n">
        <v>369127.4150236336</v>
      </c>
      <c r="M734" s="45" t="n"/>
      <c r="N734" s="45" t="n"/>
      <c r="O734" s="45" t="n"/>
      <c r="P734" s="45" t="n"/>
      <c r="Q734" s="45" t="n">
        <v>0</v>
      </c>
      <c r="R734" s="45" t="n">
        <v>0</v>
      </c>
      <c r="S734" s="45" t="n">
        <v>573918.5983549199</v>
      </c>
      <c r="T734" s="45" t="n">
        <v>374688.4760236336</v>
      </c>
      <c r="U734" s="15" t="n">
        <v>53.172</v>
      </c>
      <c r="V734" s="15" t="n">
        <v>134.61661584</v>
      </c>
      <c r="W734" s="49" t="n">
        <v>65286.0836184159</v>
      </c>
    </row>
    <row r="735">
      <c r="A735" s="44" t="inlineStr">
        <is>
          <t>TL Cinsi Kuponsuz Senetler</t>
        </is>
      </c>
      <c r="B735" s="44" t="n">
        <v>1998</v>
      </c>
      <c r="C735" s="44" t="inlineStr">
        <is>
          <t>TRB020998T10</t>
        </is>
      </c>
      <c r="D735" s="44" t="inlineStr">
        <is>
          <t>nan</t>
        </is>
      </c>
      <c r="E735" s="44" t="inlineStr">
        <is>
          <t>nan</t>
        </is>
      </c>
      <c r="F735" s="44" t="n"/>
      <c r="G735" s="44" t="n"/>
      <c r="H735" s="15" t="n"/>
      <c r="I735" s="45" t="n">
        <v>1100042.025</v>
      </c>
      <c r="J735" s="45" t="n"/>
      <c r="K735" s="45" t="n">
        <v>485831.415</v>
      </c>
      <c r="L735" s="45" t="n">
        <v>321839.0031281053</v>
      </c>
      <c r="M735" s="45" t="n"/>
      <c r="N735" s="45" t="n"/>
      <c r="O735" s="45" t="n"/>
      <c r="P735" s="45" t="n"/>
      <c r="Q735" s="45" t="n">
        <v>0</v>
      </c>
      <c r="R735" s="45" t="n">
        <v>0</v>
      </c>
      <c r="S735" s="45" t="n">
        <v>633482.96</v>
      </c>
      <c r="T735" s="45" t="n">
        <v>419650.7803781285</v>
      </c>
      <c r="U735" s="15" t="n">
        <v>50.954</v>
      </c>
      <c r="V735" s="15" t="n">
        <v>127.87110116</v>
      </c>
      <c r="W735" s="49" t="n">
        <v>66245.34626442492</v>
      </c>
    </row>
    <row r="736">
      <c r="A736" s="44" t="inlineStr">
        <is>
          <t>TL Cinsi Kuponsuz Senetler</t>
        </is>
      </c>
      <c r="B736" s="44" t="n">
        <v>1998</v>
      </c>
      <c r="C736" s="44" t="inlineStr">
        <is>
          <t>TRB041198T14</t>
        </is>
      </c>
      <c r="D736" s="44" t="inlineStr">
        <is>
          <t>nan</t>
        </is>
      </c>
      <c r="E736" s="44" t="inlineStr">
        <is>
          <t>nan</t>
        </is>
      </c>
      <c r="F736" s="44" t="n"/>
      <c r="G736" s="44" t="n"/>
      <c r="H736" s="15" t="n"/>
      <c r="I736" s="45" t="n">
        <v>967360.84</v>
      </c>
      <c r="J736" s="45" t="n"/>
      <c r="K736" s="45" t="n">
        <v>362301.94</v>
      </c>
      <c r="L736" s="45" t="n">
        <v>213354.3770600602</v>
      </c>
      <c r="M736" s="45" t="n"/>
      <c r="N736" s="45" t="n"/>
      <c r="O736" s="45" t="n"/>
      <c r="P736" s="45" t="n"/>
      <c r="Q736" s="45" t="n">
        <v>0</v>
      </c>
      <c r="R736" s="45" t="n">
        <v>0</v>
      </c>
      <c r="S736" s="45" t="n">
        <v>416672.12</v>
      </c>
      <c r="T736" s="45" t="n">
        <v>245369.8553296862</v>
      </c>
      <c r="U736" s="15" t="n">
        <v>69.813</v>
      </c>
      <c r="V736" s="15" t="n">
        <v>124.7606362266681</v>
      </c>
      <c r="W736" s="49" t="n">
        <v>58888.30654896858</v>
      </c>
    </row>
    <row r="737">
      <c r="A737" s="44" t="inlineStr">
        <is>
          <t>TL Cinsi Kuponsuz Senetler</t>
        </is>
      </c>
      <c r="B737" s="44" t="n">
        <v>1998</v>
      </c>
      <c r="C737" s="44" t="inlineStr">
        <is>
          <t>TRB170698T16</t>
        </is>
      </c>
      <c r="D737" s="44" t="inlineStr">
        <is>
          <t>nan</t>
        </is>
      </c>
      <c r="E737" s="44" t="inlineStr">
        <is>
          <t>nan</t>
        </is>
      </c>
      <c r="F737" s="44" t="n"/>
      <c r="G737" s="44" t="n"/>
      <c r="H737" s="15" t="n"/>
      <c r="I737" s="45" t="n">
        <v>1145316.785</v>
      </c>
      <c r="J737" s="45" t="n"/>
      <c r="K737" s="45" t="n">
        <v>631402.75</v>
      </c>
      <c r="L737" s="45" t="n">
        <v>516329.6181476211</v>
      </c>
      <c r="M737" s="45" t="n"/>
      <c r="N737" s="45" t="n"/>
      <c r="O737" s="45" t="n"/>
      <c r="P737" s="45" t="n"/>
      <c r="Q737" s="45" t="n">
        <v>0</v>
      </c>
      <c r="R737" s="45" t="n">
        <v>0</v>
      </c>
      <c r="S737" s="45" t="n">
        <v>652802.95</v>
      </c>
      <c r="T737" s="45" t="n">
        <v>533829.6408108859</v>
      </c>
      <c r="U737" s="15" t="n">
        <v>22.286</v>
      </c>
      <c r="V737" s="15" t="n">
        <v>123.6181022447787</v>
      </c>
      <c r="W737" s="49" t="n">
        <v>81775.50987030404</v>
      </c>
    </row>
    <row r="738">
      <c r="A738" s="44" t="inlineStr">
        <is>
          <t>TL Cinsi Kuponsuz Senetler</t>
        </is>
      </c>
      <c r="B738" s="44" t="n">
        <v>1998</v>
      </c>
      <c r="C738" s="44" t="inlineStr">
        <is>
          <t>TRB300998T16</t>
        </is>
      </c>
      <c r="D738" s="44" t="inlineStr">
        <is>
          <t>nan</t>
        </is>
      </c>
      <c r="E738" s="44" t="inlineStr">
        <is>
          <t>nan</t>
        </is>
      </c>
      <c r="F738" s="44" t="n"/>
      <c r="G738" s="44" t="n"/>
      <c r="H738" s="15" t="n"/>
      <c r="I738" s="45" t="n">
        <v>837139.24</v>
      </c>
      <c r="J738" s="45" t="n"/>
      <c r="K738" s="45" t="n">
        <v>401572.175</v>
      </c>
      <c r="L738" s="45" t="n">
        <v>273362.1907339587</v>
      </c>
      <c r="M738" s="45" t="n"/>
      <c r="N738" s="45" t="n"/>
      <c r="O738" s="45" t="n"/>
      <c r="P738" s="45" t="n"/>
      <c r="Q738" s="45" t="n">
        <v>0</v>
      </c>
      <c r="R738" s="45" t="n">
        <v>0</v>
      </c>
      <c r="S738" s="45" t="n">
        <v>457394.175</v>
      </c>
      <c r="T738" s="45" t="n">
        <v>311362.1733822548</v>
      </c>
      <c r="U738" s="15" t="n">
        <v>46.902</v>
      </c>
      <c r="V738" s="15" t="n">
        <v>115.80197604</v>
      </c>
      <c r="W738" s="49" t="n">
        <v>68072.59261276225</v>
      </c>
    </row>
    <row r="739">
      <c r="A739" s="44" t="inlineStr">
        <is>
          <t>TL Cinsi Kuponsuz Senetler</t>
        </is>
      </c>
      <c r="B739" s="44" t="n">
        <v>1998</v>
      </c>
      <c r="C739" s="44" t="inlineStr">
        <is>
          <t>TRB270199T18</t>
        </is>
      </c>
      <c r="D739" s="44" t="inlineStr">
        <is>
          <t>nan</t>
        </is>
      </c>
      <c r="E739" s="44" t="inlineStr">
        <is>
          <t>nan</t>
        </is>
      </c>
      <c r="F739" s="44" t="n"/>
      <c r="G739" s="44" t="n"/>
      <c r="H739" s="15" t="n"/>
      <c r="I739" s="45" t="n">
        <v>891622.35</v>
      </c>
      <c r="J739" s="45" t="n"/>
      <c r="K739" s="45" t="n">
        <v>626857.4</v>
      </c>
      <c r="L739" s="45" t="n">
        <v>356863.6574369368</v>
      </c>
      <c r="M739" s="45" t="n"/>
      <c r="N739" s="45" t="n"/>
      <c r="O739" s="45" t="n"/>
      <c r="P739" s="45" t="n"/>
      <c r="Q739" s="45" t="n">
        <v>0</v>
      </c>
      <c r="R739" s="45" t="n">
        <v>0</v>
      </c>
      <c r="S739" s="45" t="n">
        <v>637923.66</v>
      </c>
      <c r="T739" s="45" t="n">
        <v>363163.5828597779</v>
      </c>
      <c r="U739" s="15" t="n">
        <v>75.657</v>
      </c>
      <c r="V739" s="15" t="n">
        <v>111.9437504073056</v>
      </c>
      <c r="W739" s="49" t="n">
        <v>56929.12892739828</v>
      </c>
    </row>
    <row r="740">
      <c r="A740" s="44" t="inlineStr">
        <is>
          <t>TL Cinsi Kuponsuz Senetler</t>
        </is>
      </c>
      <c r="B740" s="44" t="n">
        <v>1998</v>
      </c>
      <c r="C740" s="44" t="inlineStr">
        <is>
          <t>TRT120599T11</t>
        </is>
      </c>
      <c r="D740" s="44" t="inlineStr">
        <is>
          <t>nan</t>
        </is>
      </c>
      <c r="E740" s="44" t="inlineStr">
        <is>
          <t>nan</t>
        </is>
      </c>
      <c r="F740" s="44" t="n"/>
      <c r="G740" s="44" t="n"/>
      <c r="H740" s="15" t="n"/>
      <c r="I740" s="45" t="n">
        <v>1005359.245</v>
      </c>
      <c r="J740" s="45" t="n"/>
      <c r="K740" s="45" t="n">
        <v>437515</v>
      </c>
      <c r="L740" s="45" t="n">
        <v>221001.984639456</v>
      </c>
      <c r="M740" s="45" t="n"/>
      <c r="N740" s="45" t="n"/>
      <c r="O740" s="45" t="n"/>
      <c r="P740" s="45" t="n"/>
      <c r="Q740" s="45" t="n">
        <v>0</v>
      </c>
      <c r="R740" s="45" t="n">
        <v>0</v>
      </c>
      <c r="S740" s="45" t="n">
        <v>484037.6915</v>
      </c>
      <c r="T740" s="45" t="n">
        <v>244501.984639456</v>
      </c>
      <c r="U740" s="15" t="n">
        <v>97.9689</v>
      </c>
      <c r="V740" s="15" t="n">
        <v>97.9689</v>
      </c>
      <c r="W740" s="49" t="n">
        <v>50512.98461526028</v>
      </c>
    </row>
    <row r="741">
      <c r="A741" s="44" t="inlineStr">
        <is>
          <t>TL Cinsi Kuponsuz Senetler</t>
        </is>
      </c>
      <c r="B741" s="44" t="n">
        <v>1998</v>
      </c>
      <c r="C741" s="44" t="inlineStr">
        <is>
          <t>TRB170299T19</t>
        </is>
      </c>
      <c r="D741" s="44" t="inlineStr">
        <is>
          <t>nan</t>
        </is>
      </c>
      <c r="E741" s="44" t="inlineStr">
        <is>
          <t>nan</t>
        </is>
      </c>
      <c r="F741" s="44" t="n"/>
      <c r="G741" s="44" t="n"/>
      <c r="H741" s="15" t="n"/>
      <c r="I741" s="45" t="n">
        <v>1153381.865</v>
      </c>
      <c r="J741" s="45" t="n"/>
      <c r="K741" s="45" t="n">
        <v>750296.4449999999</v>
      </c>
      <c r="L741" s="45" t="n">
        <v>445646.0918915547</v>
      </c>
      <c r="M741" s="45" t="n"/>
      <c r="N741" s="45" t="n"/>
      <c r="O741" s="45" t="n"/>
      <c r="P741" s="45" t="n"/>
      <c r="Q741" s="45" t="n">
        <v>0</v>
      </c>
      <c r="R741" s="45" t="n">
        <v>0</v>
      </c>
      <c r="S741" s="45" t="n">
        <v>775887.3929999999</v>
      </c>
      <c r="T741" s="45" t="n">
        <v>460846.0918915547</v>
      </c>
      <c r="U741" s="15" t="n">
        <v>68.36150000000001</v>
      </c>
      <c r="V741" s="15" t="n">
        <v>100.2889770843251</v>
      </c>
      <c r="W741" s="49" t="n">
        <v>59396.00205510167</v>
      </c>
    </row>
    <row r="742">
      <c r="A742" s="44" t="inlineStr">
        <is>
          <t>TL Cinsi Kuponsuz Senetler</t>
        </is>
      </c>
      <c r="B742" s="44" t="n">
        <v>1998</v>
      </c>
      <c r="C742" s="44" t="inlineStr">
        <is>
          <t>TRB021298T15</t>
        </is>
      </c>
      <c r="D742" s="44" t="inlineStr">
        <is>
          <t>nan</t>
        </is>
      </c>
      <c r="E742" s="44" t="inlineStr">
        <is>
          <t>nan</t>
        </is>
      </c>
      <c r="F742" s="44" t="n"/>
      <c r="G742" s="44" t="n"/>
      <c r="H742" s="15" t="n"/>
      <c r="I742" s="45" t="n">
        <v>1025871.385</v>
      </c>
      <c r="J742" s="45" t="n"/>
      <c r="K742" s="45" t="n">
        <v>602038.4</v>
      </c>
      <c r="L742" s="45" t="n">
        <v>428645.2482906911</v>
      </c>
      <c r="M742" s="45" t="n"/>
      <c r="N742" s="45" t="n"/>
      <c r="O742" s="45" t="n"/>
      <c r="P742" s="45" t="n"/>
      <c r="Q742" s="45" t="n">
        <v>0</v>
      </c>
      <c r="R742" s="45" t="n">
        <v>0</v>
      </c>
      <c r="S742" s="45" t="n">
        <v>677546.433</v>
      </c>
      <c r="T742" s="45" t="n">
        <v>481719.2744869225</v>
      </c>
      <c r="U742" s="15" t="n">
        <v>40.4515</v>
      </c>
      <c r="V742" s="15" t="n">
        <v>98.00806935846687</v>
      </c>
      <c r="W742" s="49" t="n">
        <v>71198.95479934354</v>
      </c>
    </row>
    <row r="743">
      <c r="A743" s="44" t="inlineStr">
        <is>
          <t>TL Cinsi Kuponsuz Senetler</t>
        </is>
      </c>
      <c r="B743" s="44" t="n">
        <v>1998</v>
      </c>
      <c r="C743" s="44" t="inlineStr">
        <is>
          <t>TRB100399T15</t>
        </is>
      </c>
      <c r="D743" s="44" t="inlineStr">
        <is>
          <t>nan</t>
        </is>
      </c>
      <c r="E743" s="44" t="inlineStr">
        <is>
          <t>nan</t>
        </is>
      </c>
      <c r="F743" s="44" t="n"/>
      <c r="G743" s="44" t="n"/>
      <c r="H743" s="15" t="n"/>
      <c r="I743" s="45" t="n">
        <v>714146.6</v>
      </c>
      <c r="J743" s="45" t="n"/>
      <c r="K743" s="45" t="n">
        <v>572381.6</v>
      </c>
      <c r="L743" s="45" t="n">
        <v>348746.407471653</v>
      </c>
      <c r="M743" s="45" t="n"/>
      <c r="N743" s="45" t="n"/>
      <c r="O743" s="45" t="n"/>
      <c r="P743" s="45" t="n"/>
      <c r="Q743" s="45" t="n">
        <v>0</v>
      </c>
      <c r="R743" s="45" t="n">
        <v>0</v>
      </c>
      <c r="S743" s="45" t="n">
        <v>662650.6</v>
      </c>
      <c r="T743" s="45" t="n">
        <v>403746.3895800203</v>
      </c>
      <c r="U743" s="15" t="n">
        <v>64.127</v>
      </c>
      <c r="V743" s="15" t="n">
        <v>93.60060422752412</v>
      </c>
      <c r="W743" s="49" t="n">
        <v>60928.42737636099</v>
      </c>
    </row>
    <row r="744">
      <c r="A744" s="44" t="inlineStr">
        <is>
          <t>TL Cinsi Kuponsuz Senetler</t>
        </is>
      </c>
      <c r="B744" s="44" t="n">
        <v>1998</v>
      </c>
      <c r="C744" s="44" t="inlineStr">
        <is>
          <t>TRT160699T16</t>
        </is>
      </c>
      <c r="D744" s="44" t="inlineStr">
        <is>
          <t>nan</t>
        </is>
      </c>
      <c r="E744" s="44" t="inlineStr">
        <is>
          <t>nan</t>
        </is>
      </c>
      <c r="F744" s="44" t="n"/>
      <c r="G744" s="44" t="n"/>
      <c r="H744" s="15" t="n"/>
      <c r="I744" s="45" t="n">
        <v>550311.29</v>
      </c>
      <c r="J744" s="45" t="n"/>
      <c r="K744" s="45" t="n">
        <v>527611.29</v>
      </c>
      <c r="L744" s="45" t="n">
        <v>256123.5854368932</v>
      </c>
      <c r="M744" s="45" t="n"/>
      <c r="N744" s="45" t="n"/>
      <c r="O744" s="45" t="n"/>
      <c r="P744" s="45" t="n"/>
      <c r="Q744" s="45" t="n">
        <v>0</v>
      </c>
      <c r="R744" s="45" t="n">
        <v>0</v>
      </c>
      <c r="S744" s="45" t="n">
        <v>596447.99</v>
      </c>
      <c r="T744" s="45" t="n">
        <v>295223.5854368932</v>
      </c>
      <c r="U744" s="15" t="n">
        <v>106</v>
      </c>
      <c r="V744" s="15" t="n">
        <v>106</v>
      </c>
      <c r="W744" s="49" t="n">
        <v>48543.68932038834</v>
      </c>
    </row>
    <row r="745">
      <c r="A745" s="44" t="inlineStr">
        <is>
          <t>TL Cinsi Kuponsuz Senetler</t>
        </is>
      </c>
      <c r="B745" s="44" t="n">
        <v>1998</v>
      </c>
      <c r="C745" s="44" t="inlineStr">
        <is>
          <t>TRB060199T13</t>
        </is>
      </c>
      <c r="D745" s="44" t="inlineStr">
        <is>
          <t>nan</t>
        </is>
      </c>
      <c r="E745" s="44" t="inlineStr">
        <is>
          <t>nan</t>
        </is>
      </c>
      <c r="F745" s="44" t="n"/>
      <c r="G745" s="44" t="n"/>
      <c r="H745" s="15" t="n"/>
      <c r="I745" s="45" t="n">
        <v>942100</v>
      </c>
      <c r="J745" s="45" t="n"/>
      <c r="K745" s="45" t="n">
        <v>329441</v>
      </c>
      <c r="L745" s="45" t="n">
        <v>248164.5783427495</v>
      </c>
      <c r="M745" s="45" t="n"/>
      <c r="N745" s="45" t="n"/>
      <c r="O745" s="45" t="n"/>
      <c r="P745" s="45" t="n"/>
      <c r="Q745" s="45" t="n">
        <v>0</v>
      </c>
      <c r="R745" s="45" t="n">
        <v>0</v>
      </c>
      <c r="S745" s="45" t="n">
        <v>393540.29</v>
      </c>
      <c r="T745" s="45" t="n">
        <v>292464.5763427495</v>
      </c>
      <c r="U745" s="15" t="n">
        <v>32.75</v>
      </c>
      <c r="V745" s="15" t="n">
        <v>76.22562499999999</v>
      </c>
      <c r="W745" s="49" t="n">
        <v>75329.56685499058</v>
      </c>
    </row>
    <row r="746">
      <c r="A746" s="44" t="inlineStr">
        <is>
          <t>TL Cinsi Kuponsuz Senetler</t>
        </is>
      </c>
      <c r="B746" s="44" t="n">
        <v>1998</v>
      </c>
      <c r="C746" s="44" t="inlineStr">
        <is>
          <t>TRB140499T10</t>
        </is>
      </c>
      <c r="D746" s="44" t="inlineStr">
        <is>
          <t>nan</t>
        </is>
      </c>
      <c r="E746" s="44" t="inlineStr">
        <is>
          <t>nan</t>
        </is>
      </c>
      <c r="F746" s="44" t="n"/>
      <c r="G746" s="44" t="n"/>
      <c r="H746" s="15" t="n"/>
      <c r="I746" s="45" t="n">
        <v>972144.275</v>
      </c>
      <c r="J746" s="45" t="n"/>
      <c r="K746" s="45" t="n">
        <v>450039.275</v>
      </c>
      <c r="L746" s="45" t="n">
        <v>288857.7086742245</v>
      </c>
      <c r="M746" s="45" t="n"/>
      <c r="N746" s="45" t="n"/>
      <c r="O746" s="45" t="n"/>
      <c r="P746" s="45" t="n"/>
      <c r="Q746" s="45" t="n">
        <v>0</v>
      </c>
      <c r="R746" s="45" t="n">
        <v>0</v>
      </c>
      <c r="S746" s="45" t="n">
        <v>594519.1359822027</v>
      </c>
      <c r="T746" s="45" t="n">
        <v>386157.7086742245</v>
      </c>
      <c r="U746" s="15" t="n">
        <v>55.79964165247778</v>
      </c>
      <c r="V746" s="15" t="n">
        <v>80.61560599552291</v>
      </c>
      <c r="W746" s="49" t="n">
        <v>64185.00000343847</v>
      </c>
    </row>
    <row r="747">
      <c r="A747" s="44" t="inlineStr">
        <is>
          <t>TL Cinsi Kuponsuz Senetler</t>
        </is>
      </c>
      <c r="B747" s="44" t="n">
        <v>1998</v>
      </c>
      <c r="C747" s="44" t="inlineStr">
        <is>
          <t>TRT280799T29</t>
        </is>
      </c>
      <c r="D747" s="44" t="inlineStr">
        <is>
          <t>nan</t>
        </is>
      </c>
      <c r="E747" s="44" t="inlineStr">
        <is>
          <t>nan</t>
        </is>
      </c>
      <c r="F747" s="44" t="n"/>
      <c r="G747" s="44" t="n"/>
      <c r="H747" s="15" t="n"/>
      <c r="I747" s="45" t="n">
        <v>828086.7</v>
      </c>
      <c r="J747" s="45" t="n"/>
      <c r="K747" s="45" t="n">
        <v>395066.7</v>
      </c>
      <c r="L747" s="45" t="n">
        <v>205015.8504411002</v>
      </c>
      <c r="M747" s="45" t="n"/>
      <c r="N747" s="45" t="n"/>
      <c r="O747" s="45" t="n"/>
      <c r="P747" s="45" t="n"/>
      <c r="Q747" s="45" t="n">
        <v>0</v>
      </c>
      <c r="R747" s="45" t="n">
        <v>0</v>
      </c>
      <c r="S747" s="45" t="n">
        <v>561174.498073</v>
      </c>
      <c r="T747" s="45" t="n">
        <v>291215.857017644</v>
      </c>
      <c r="U747" s="15" t="n">
        <v>92.7</v>
      </c>
      <c r="V747" s="15" t="n">
        <v>92.7</v>
      </c>
      <c r="W747" s="49" t="n">
        <v>51894.13596263622</v>
      </c>
    </row>
    <row r="748">
      <c r="A748" s="44" t="inlineStr">
        <is>
          <t>TL Cinsi Kuponsuz Senetler</t>
        </is>
      </c>
      <c r="B748" s="44" t="n">
        <v>1998</v>
      </c>
      <c r="C748" s="44" t="inlineStr">
        <is>
          <t>TRB030299T15</t>
        </is>
      </c>
      <c r="D748" s="44" t="inlineStr">
        <is>
          <t>nan</t>
        </is>
      </c>
      <c r="E748" s="44" t="inlineStr">
        <is>
          <t>nan</t>
        </is>
      </c>
      <c r="F748" s="44" t="n"/>
      <c r="G748" s="44" t="n"/>
      <c r="H748" s="15" t="n"/>
      <c r="I748" s="45" t="n">
        <v>956034.915</v>
      </c>
      <c r="J748" s="45" t="n"/>
      <c r="K748" s="45" t="n">
        <v>507268.645</v>
      </c>
      <c r="L748" s="45" t="n">
        <v>364137.7098731791</v>
      </c>
      <c r="M748" s="45" t="n"/>
      <c r="N748" s="45" t="n"/>
      <c r="O748" s="45" t="n"/>
      <c r="P748" s="45" t="n"/>
      <c r="Q748" s="45" t="n">
        <v>0</v>
      </c>
      <c r="R748" s="45" t="n">
        <v>0</v>
      </c>
      <c r="S748" s="45" t="n">
        <v>549047.6967472527</v>
      </c>
      <c r="T748" s="45" t="n">
        <v>394137.7098731791</v>
      </c>
      <c r="U748" s="15" t="n">
        <v>39.3067</v>
      </c>
      <c r="V748" s="15" t="n">
        <v>94.06356664890001</v>
      </c>
      <c r="W748" s="49" t="n">
        <v>71784.05633038469</v>
      </c>
    </row>
    <row r="749">
      <c r="A749" s="44" t="inlineStr">
        <is>
          <t>TL Cinsi Kuponsuz Senetler</t>
        </is>
      </c>
      <c r="B749" s="44" t="n">
        <v>1998</v>
      </c>
      <c r="C749" s="44" t="inlineStr">
        <is>
          <t>TRB120599T11</t>
        </is>
      </c>
      <c r="D749" s="44" t="inlineStr">
        <is>
          <t>nan</t>
        </is>
      </c>
      <c r="E749" s="44" t="inlineStr">
        <is>
          <t>nan</t>
        </is>
      </c>
      <c r="F749" s="44" t="n"/>
      <c r="G749" s="44" t="n"/>
      <c r="H749" s="15" t="n"/>
      <c r="I749" s="45" t="n">
        <v>340148</v>
      </c>
      <c r="J749" s="45" t="n"/>
      <c r="K749" s="45" t="n">
        <v>50441</v>
      </c>
      <c r="L749" s="45" t="n">
        <v>29616.86869238448</v>
      </c>
      <c r="M749" s="45" t="n"/>
      <c r="N749" s="45" t="n"/>
      <c r="O749" s="45" t="n"/>
      <c r="P749" s="45" t="n"/>
      <c r="Q749" s="45" t="n">
        <v>0</v>
      </c>
      <c r="R749" s="45" t="n">
        <v>0</v>
      </c>
      <c r="S749" s="45" t="n">
        <v>119617.7</v>
      </c>
      <c r="T749" s="45" t="n">
        <v>82926.86869238448</v>
      </c>
      <c r="U749" s="15" t="n">
        <v>70.31</v>
      </c>
      <c r="V749" s="15" t="n">
        <v>103.3855988793862</v>
      </c>
      <c r="W749" s="49" t="n">
        <v>58716.45822323997</v>
      </c>
    </row>
    <row r="750">
      <c r="A750" s="44" t="inlineStr">
        <is>
          <t>TL Cinsi Kuponsuz Senetler</t>
        </is>
      </c>
      <c r="B750" s="44" t="n">
        <v>1998</v>
      </c>
      <c r="C750" s="44" t="inlineStr">
        <is>
          <t>TRB181198T18</t>
        </is>
      </c>
      <c r="D750" s="44" t="inlineStr">
        <is>
          <t>nan</t>
        </is>
      </c>
      <c r="E750" s="44" t="inlineStr">
        <is>
          <t>nan</t>
        </is>
      </c>
      <c r="F750" s="44" t="n"/>
      <c r="G750" s="44" t="n"/>
      <c r="H750" s="15" t="n"/>
      <c r="I750" s="45" t="n">
        <v>550488.175</v>
      </c>
      <c r="J750" s="45" t="n"/>
      <c r="K750" s="45" t="n">
        <v>313365.075</v>
      </c>
      <c r="L750" s="45" t="n">
        <v>260594.356964657</v>
      </c>
      <c r="M750" s="45" t="n"/>
      <c r="N750" s="45" t="n"/>
      <c r="O750" s="45" t="n"/>
      <c r="P750" s="45" t="n"/>
      <c r="Q750" s="45" t="n">
        <v>0</v>
      </c>
      <c r="R750" s="45" t="n">
        <v>0</v>
      </c>
      <c r="S750" s="45" t="n">
        <v>485103.175</v>
      </c>
      <c r="T750" s="45" t="n">
        <v>370594.356964657</v>
      </c>
      <c r="U750" s="15" t="n">
        <v>20.25</v>
      </c>
      <c r="V750" s="15" t="n">
        <v>109.0934075039064</v>
      </c>
      <c r="W750" s="49" t="n">
        <v>83160.08316008314</v>
      </c>
    </row>
    <row r="751">
      <c r="A751" s="44" t="inlineStr">
        <is>
          <t>TL Cinsi Kuponsuz Senetler</t>
        </is>
      </c>
      <c r="B751" s="44" t="n">
        <v>1998</v>
      </c>
      <c r="C751" s="44" t="inlineStr">
        <is>
          <t>TRB130199T14</t>
        </is>
      </c>
      <c r="D751" s="44" t="inlineStr">
        <is>
          <t>nan</t>
        </is>
      </c>
      <c r="E751" s="44" t="inlineStr">
        <is>
          <t>nan</t>
        </is>
      </c>
      <c r="F751" s="44" t="n"/>
      <c r="G751" s="44" t="n"/>
      <c r="H751" s="15" t="n"/>
      <c r="I751" s="45" t="n">
        <v>377516.575</v>
      </c>
      <c r="J751" s="45" t="n"/>
      <c r="K751" s="45" t="n">
        <v>354140.43</v>
      </c>
      <c r="L751" s="45" t="n">
        <v>250986.4004762614</v>
      </c>
      <c r="M751" s="45" t="n"/>
      <c r="N751" s="45" t="n"/>
      <c r="O751" s="45" t="n"/>
      <c r="P751" s="45" t="n"/>
      <c r="Q751" s="45" t="n">
        <v>0</v>
      </c>
      <c r="R751" s="45" t="n">
        <v>0</v>
      </c>
      <c r="S751" s="45" t="n">
        <v>644740.81811802</v>
      </c>
      <c r="T751" s="45" t="n">
        <v>454492.4004762614</v>
      </c>
      <c r="U751" s="15" t="n">
        <v>41.099</v>
      </c>
      <c r="V751" s="15" t="n">
        <v>156.58035596023</v>
      </c>
      <c r="W751" s="49" t="n">
        <v>70872.22446650933</v>
      </c>
    </row>
    <row r="752">
      <c r="A752" s="44" t="inlineStr">
        <is>
          <t>TL Cinsi Kuponsuz Senetler</t>
        </is>
      </c>
      <c r="B752" s="44" t="n">
        <v>1998</v>
      </c>
      <c r="C752" s="44" t="inlineStr">
        <is>
          <t>TRB170399T18</t>
        </is>
      </c>
      <c r="D752" s="44" t="inlineStr">
        <is>
          <t>nan</t>
        </is>
      </c>
      <c r="E752" s="44" t="inlineStr">
        <is>
          <t>nan</t>
        </is>
      </c>
      <c r="F752" s="44" t="n"/>
      <c r="G752" s="44" t="n"/>
      <c r="H752" s="15" t="n"/>
      <c r="I752" s="45" t="n">
        <v>952639.48</v>
      </c>
      <c r="J752" s="45" t="n"/>
      <c r="K752" s="45" t="n">
        <v>587437.515</v>
      </c>
      <c r="L752" s="45" t="n">
        <v>377816.2559936199</v>
      </c>
      <c r="M752" s="45" t="n"/>
      <c r="N752" s="45" t="n"/>
      <c r="O752" s="45" t="n"/>
      <c r="P752" s="45" t="n"/>
      <c r="Q752" s="45" t="n">
        <v>0</v>
      </c>
      <c r="R752" s="45" t="n">
        <v>0</v>
      </c>
      <c r="S752" s="45" t="n">
        <v>663816.915</v>
      </c>
      <c r="T752" s="45" t="n">
        <v>427816.2559936199</v>
      </c>
      <c r="U752" s="15" t="n">
        <v>55.482</v>
      </c>
      <c r="V752" s="15" t="n">
        <v>141.74652324</v>
      </c>
      <c r="W752" s="49" t="n">
        <v>64316.12662559011</v>
      </c>
    </row>
    <row r="753">
      <c r="A753" s="44" t="inlineStr">
        <is>
          <t>TL Cinsi Kuponsuz Senetler</t>
        </is>
      </c>
      <c r="B753" s="44" t="n">
        <v>1998</v>
      </c>
      <c r="C753" s="44" t="inlineStr">
        <is>
          <t>TRB280499T14</t>
        </is>
      </c>
      <c r="D753" s="44" t="inlineStr">
        <is>
          <t>nan</t>
        </is>
      </c>
      <c r="E753" s="44" t="inlineStr">
        <is>
          <t>nan</t>
        </is>
      </c>
      <c r="F753" s="44" t="n"/>
      <c r="G753" s="44" t="n"/>
      <c r="H753" s="15" t="n"/>
      <c r="I753" s="45" t="n">
        <v>975914.54</v>
      </c>
      <c r="J753" s="45" t="n"/>
      <c r="K753" s="45" t="n">
        <v>670838.535</v>
      </c>
      <c r="L753" s="45" t="n">
        <v>396445.4157162866</v>
      </c>
      <c r="M753" s="45" t="n"/>
      <c r="N753" s="45" t="n"/>
      <c r="O753" s="45" t="n"/>
      <c r="P753" s="45" t="n"/>
      <c r="Q753" s="45" t="n">
        <v>0</v>
      </c>
      <c r="R753" s="45" t="n">
        <v>0</v>
      </c>
      <c r="S753" s="45" t="n">
        <v>670838.535</v>
      </c>
      <c r="T753" s="45" t="n">
        <v>396445.4157162866</v>
      </c>
      <c r="U753" s="15" t="n">
        <v>69.21299999999999</v>
      </c>
      <c r="V753" s="15" t="n">
        <v>148.8581053462821</v>
      </c>
      <c r="W753" s="49" t="n">
        <v>59097.11428790932</v>
      </c>
    </row>
    <row r="754">
      <c r="A754" s="44" t="inlineStr">
        <is>
          <t>TL Cinsi Kuponsuz Senetler</t>
        </is>
      </c>
      <c r="B754" s="44" t="n">
        <v>1998</v>
      </c>
      <c r="C754" s="44" t="inlineStr">
        <is>
          <t>TRB050599T10</t>
        </is>
      </c>
      <c r="D754" s="44" t="inlineStr">
        <is>
          <t>nan</t>
        </is>
      </c>
      <c r="E754" s="44" t="inlineStr">
        <is>
          <t>nan</t>
        </is>
      </c>
      <c r="F754" s="44" t="n"/>
      <c r="G754" s="44" t="n"/>
      <c r="H754" s="15" t="n"/>
      <c r="I754" s="45" t="n">
        <v>148374.21</v>
      </c>
      <c r="J754" s="45" t="n"/>
      <c r="K754" s="45" t="n">
        <v>81054.675</v>
      </c>
      <c r="L754" s="45" t="n">
        <v>48468.43921280184</v>
      </c>
      <c r="M754" s="45" t="n"/>
      <c r="N754" s="45" t="n"/>
      <c r="O754" s="45" t="n"/>
      <c r="P754" s="45" t="n"/>
      <c r="Q754" s="45" t="n">
        <v>0</v>
      </c>
      <c r="R754" s="45" t="n">
        <v>0</v>
      </c>
      <c r="S754" s="45" t="n">
        <v>161815.055</v>
      </c>
      <c r="T754" s="45" t="n">
        <v>100968.4588114288</v>
      </c>
      <c r="U754" s="15" t="n">
        <v>67.226</v>
      </c>
      <c r="V754" s="15" t="n">
        <v>143.8147204905863</v>
      </c>
      <c r="W754" s="49" t="n">
        <v>59799.31350388097</v>
      </c>
    </row>
    <row r="755">
      <c r="A755" s="44" t="inlineStr">
        <is>
          <t>TL Cinsi Kuponsuz Senetler</t>
        </is>
      </c>
      <c r="B755" s="44" t="n">
        <v>1998</v>
      </c>
      <c r="C755" s="44" t="inlineStr">
        <is>
          <t>TRB210799T18</t>
        </is>
      </c>
      <c r="D755" s="44" t="inlineStr">
        <is>
          <t>nan</t>
        </is>
      </c>
      <c r="E755" s="44" t="inlineStr">
        <is>
          <t>nan</t>
        </is>
      </c>
      <c r="F755" s="44" t="n"/>
      <c r="G755" s="44" t="n"/>
      <c r="H755" s="15" t="n"/>
      <c r="I755" s="45" t="n">
        <v>259221.135</v>
      </c>
      <c r="J755" s="45" t="n"/>
      <c r="K755" s="45" t="n">
        <v>189317.6</v>
      </c>
      <c r="L755" s="45" t="n">
        <v>98319.32473695691</v>
      </c>
      <c r="M755" s="45" t="n"/>
      <c r="N755" s="45" t="n"/>
      <c r="O755" s="45" t="n"/>
      <c r="P755" s="45" t="n"/>
      <c r="Q755" s="45" t="n"/>
      <c r="R755" s="45" t="n"/>
      <c r="S755" s="45" t="n">
        <v>189317.6</v>
      </c>
      <c r="T755" s="45" t="n">
        <v>98319.32473695691</v>
      </c>
      <c r="U755" s="15" t="n">
        <v>92.554</v>
      </c>
      <c r="V755" s="15" t="n">
        <v>139.55398131456</v>
      </c>
      <c r="W755" s="49" t="n">
        <v>51933.48359421253</v>
      </c>
    </row>
    <row r="756">
      <c r="A756" s="44" t="inlineStr">
        <is>
          <t>TL Cinsi Kuponsuz Senetler</t>
        </is>
      </c>
      <c r="B756" s="44" t="n">
        <v>1998</v>
      </c>
      <c r="C756" s="44" t="inlineStr">
        <is>
          <t>TRB050599T10</t>
        </is>
      </c>
      <c r="D756" s="44" t="inlineStr">
        <is>
          <t>nan</t>
        </is>
      </c>
      <c r="E756" s="44" t="inlineStr">
        <is>
          <t>nan</t>
        </is>
      </c>
      <c r="F756" s="44" t="n"/>
      <c r="G756" s="44" t="n"/>
      <c r="H756" s="15" t="n"/>
      <c r="I756" s="45" t="n">
        <v>1258328.83</v>
      </c>
      <c r="J756" s="45" t="n"/>
      <c r="K756" s="45" t="n">
        <v>662959.415</v>
      </c>
      <c r="L756" s="45" t="n">
        <v>422983.4910089706</v>
      </c>
      <c r="M756" s="45" t="n"/>
      <c r="N756" s="45" t="n"/>
      <c r="O756" s="45" t="n"/>
      <c r="P756" s="45" t="n"/>
      <c r="Q756" s="45" t="n"/>
      <c r="R756" s="45" t="n"/>
      <c r="S756" s="45" t="n">
        <v>792908.0750000001</v>
      </c>
      <c r="T756" s="45" t="n">
        <v>505893.3104036137</v>
      </c>
      <c r="U756" s="15" t="n">
        <v>56.734</v>
      </c>
      <c r="V756" s="15" t="n">
        <v>145.6554675600001</v>
      </c>
      <c r="W756" s="49" t="n">
        <v>63802.36579172355</v>
      </c>
    </row>
    <row r="757">
      <c r="A757" s="44" t="inlineStr">
        <is>
          <t>TL Cinsi Kuponsuz Senetler</t>
        </is>
      </c>
      <c r="B757" s="44" t="n">
        <v>1998</v>
      </c>
      <c r="C757" s="44" t="inlineStr">
        <is>
          <t>TRB061099T12</t>
        </is>
      </c>
      <c r="D757" s="44" t="inlineStr">
        <is>
          <t>nan</t>
        </is>
      </c>
      <c r="E757" s="44" t="inlineStr">
        <is>
          <t>nan</t>
        </is>
      </c>
      <c r="F757" s="44" t="n"/>
      <c r="G757" s="44" t="n"/>
      <c r="H757" s="15" t="n"/>
      <c r="I757" s="45" t="n">
        <v>731429.175</v>
      </c>
      <c r="J757" s="45" t="n"/>
      <c r="K757" s="45" t="n">
        <v>175006.94</v>
      </c>
      <c r="L757" s="45" t="n">
        <v>81681.34616721982</v>
      </c>
      <c r="M757" s="45" t="n"/>
      <c r="N757" s="45" t="n"/>
      <c r="O757" s="45" t="n"/>
      <c r="P757" s="45" t="n"/>
      <c r="Q757" s="45" t="n"/>
      <c r="R757" s="45" t="n"/>
      <c r="S757" s="45" t="n">
        <v>181434.611</v>
      </c>
      <c r="T757" s="45" t="n">
        <v>84681.34616721982</v>
      </c>
      <c r="U757" s="15" t="n">
        <v>114.2557</v>
      </c>
      <c r="V757" s="15" t="n">
        <v>132.3474751163118</v>
      </c>
      <c r="W757" s="49" t="n">
        <v>46673.20402677735</v>
      </c>
    </row>
    <row r="758">
      <c r="A758" s="44" t="inlineStr">
        <is>
          <t>TL Cinsi Kuponsuz Senetler</t>
        </is>
      </c>
      <c r="B758" s="44" t="n">
        <v>1998</v>
      </c>
      <c r="C758" s="44" t="inlineStr">
        <is>
          <t>TRB210799T18</t>
        </is>
      </c>
      <c r="D758" s="44" t="inlineStr">
        <is>
          <t>nan</t>
        </is>
      </c>
      <c r="E758" s="44" t="inlineStr">
        <is>
          <t>nan</t>
        </is>
      </c>
      <c r="F758" s="44" t="n"/>
      <c r="G758" s="44" t="n"/>
      <c r="H758" s="15" t="n"/>
      <c r="I758" s="45" t="n">
        <v>1080414.07</v>
      </c>
      <c r="J758" s="45" t="n"/>
      <c r="K758" s="45" t="n">
        <v>605611.3</v>
      </c>
      <c r="L758" s="45" t="n">
        <v>328839.8632079058</v>
      </c>
      <c r="M758" s="45" t="n"/>
      <c r="N758" s="45" t="n"/>
      <c r="O758" s="45" t="n"/>
      <c r="P758" s="45" t="n"/>
      <c r="Q758" s="45" t="n"/>
      <c r="R758" s="45" t="n"/>
      <c r="S758" s="45" t="n">
        <v>612493.7329000001</v>
      </c>
      <c r="T758" s="45" t="n">
        <v>332576.8632079058</v>
      </c>
      <c r="U758" s="15" t="n">
        <v>84.17</v>
      </c>
      <c r="V758" s="15" t="n">
        <v>147.7647342682292</v>
      </c>
      <c r="W758" s="49" t="n">
        <v>54297.65977086388</v>
      </c>
    </row>
    <row r="759">
      <c r="A759" s="44" t="inlineStr">
        <is>
          <t>TL Cinsi Kuponsuz Senetler</t>
        </is>
      </c>
      <c r="B759" s="44" t="n">
        <v>1998</v>
      </c>
      <c r="C759" s="44" t="inlineStr">
        <is>
          <t>TRB061099T12</t>
        </is>
      </c>
      <c r="D759" s="44" t="inlineStr">
        <is>
          <t>nan</t>
        </is>
      </c>
      <c r="E759" s="44" t="inlineStr">
        <is>
          <t>nan</t>
        </is>
      </c>
      <c r="F759" s="44" t="n"/>
      <c r="G759" s="44" t="n"/>
      <c r="H759" s="15" t="n"/>
      <c r="I759" s="45" t="n">
        <v>1781287.06</v>
      </c>
      <c r="J759" s="45" t="n"/>
      <c r="K759" s="45" t="n">
        <v>1096759.07</v>
      </c>
      <c r="L759" s="45" t="n">
        <v>506389.2099982728</v>
      </c>
      <c r="M759" s="45" t="n"/>
      <c r="N759" s="45" t="n"/>
      <c r="O759" s="45" t="n"/>
      <c r="P759" s="45" t="n"/>
      <c r="Q759" s="45" t="n"/>
      <c r="R759" s="45" t="n"/>
      <c r="S759" s="45" t="n">
        <v>1179499.3199042</v>
      </c>
      <c r="T759" s="45" t="n">
        <v>544591.2562839045</v>
      </c>
      <c r="U759" s="15" t="n">
        <v>116.58421</v>
      </c>
      <c r="V759" s="15" t="n">
        <v>149.2584237497941</v>
      </c>
      <c r="W759" s="49" t="n">
        <v>46171.41757471609</v>
      </c>
    </row>
    <row r="760">
      <c r="A760" s="44" t="inlineStr">
        <is>
          <t>TL Cinsi Kuponsuz Senetler</t>
        </is>
      </c>
      <c r="B760" s="44" t="n">
        <v>1998</v>
      </c>
      <c r="C760" s="44" t="inlineStr">
        <is>
          <t>TRB210799T18</t>
        </is>
      </c>
      <c r="D760" s="44" t="inlineStr">
        <is>
          <t>nan</t>
        </is>
      </c>
      <c r="E760" s="44" t="inlineStr">
        <is>
          <t>nan</t>
        </is>
      </c>
      <c r="F760" s="44" t="n"/>
      <c r="G760" s="44" t="n"/>
      <c r="H760" s="15" t="n"/>
      <c r="I760" s="45" t="n">
        <v>1218746.485</v>
      </c>
      <c r="J760" s="45" t="n"/>
      <c r="K760" s="45" t="n">
        <v>547742.755</v>
      </c>
      <c r="L760" s="45" t="n">
        <v>313174.6379790521</v>
      </c>
      <c r="M760" s="45" t="n"/>
      <c r="N760" s="45" t="n"/>
      <c r="O760" s="45" t="n"/>
      <c r="P760" s="45" t="n"/>
      <c r="Q760" s="45" t="n"/>
      <c r="R760" s="45" t="n"/>
      <c r="S760" s="45" t="n">
        <v>547742.755</v>
      </c>
      <c r="T760" s="45" t="n">
        <v>313174.6379790521</v>
      </c>
      <c r="U760" s="15" t="n">
        <v>74.90009999999999</v>
      </c>
      <c r="V760" s="15" t="n">
        <v>148.046922934618</v>
      </c>
      <c r="W760" s="49" t="n">
        <v>57175.49618324976</v>
      </c>
    </row>
    <row r="761">
      <c r="A761" s="44" t="inlineStr">
        <is>
          <t>TL Cinsi Kuponsuz Senetler</t>
        </is>
      </c>
      <c r="B761" s="44" t="n">
        <v>1998</v>
      </c>
      <c r="C761" s="44" t="inlineStr">
        <is>
          <t>TRT090200T17</t>
        </is>
      </c>
      <c r="D761" s="44" t="inlineStr">
        <is>
          <t>nan</t>
        </is>
      </c>
      <c r="E761" s="44" t="inlineStr">
        <is>
          <t>nan</t>
        </is>
      </c>
      <c r="F761" s="44" t="n"/>
      <c r="G761" s="44" t="n"/>
      <c r="H761" s="15" t="n"/>
      <c r="I761" s="45" t="n">
        <v>530061.575</v>
      </c>
      <c r="J761" s="45" t="n"/>
      <c r="K761" s="45" t="n">
        <v>244608.295</v>
      </c>
      <c r="L761" s="45" t="n">
        <v>94405.64916327033</v>
      </c>
      <c r="M761" s="45" t="n"/>
      <c r="N761" s="45" t="n"/>
      <c r="O761" s="45" t="n"/>
      <c r="P761" s="45" t="n"/>
      <c r="Q761" s="45" t="n"/>
      <c r="R761" s="45" t="n"/>
      <c r="S761" s="45" t="n">
        <v>248069.92444</v>
      </c>
      <c r="T761" s="45" t="n">
        <v>95741.64916327033</v>
      </c>
      <c r="U761" s="15" t="n">
        <v>159.104</v>
      </c>
      <c r="V761" s="15" t="n">
        <v>128.2150258232187</v>
      </c>
      <c r="W761" s="49" t="n">
        <v>38594.54118809435</v>
      </c>
    </row>
    <row r="762">
      <c r="A762" s="44" t="inlineStr">
        <is>
          <t>TL Cinsi Kuponsuz Senetler</t>
        </is>
      </c>
      <c r="B762" s="44" t="n">
        <v>1998</v>
      </c>
      <c r="C762" s="44" t="inlineStr">
        <is>
          <t>TRB050599T10</t>
        </is>
      </c>
      <c r="D762" s="44" t="inlineStr">
        <is>
          <t>nan</t>
        </is>
      </c>
      <c r="E762" s="44" t="inlineStr">
        <is>
          <t>nan</t>
        </is>
      </c>
      <c r="F762" s="44" t="n"/>
      <c r="G762" s="44" t="n"/>
      <c r="H762" s="15" t="n"/>
      <c r="I762" s="45" t="n">
        <v>697280.16</v>
      </c>
      <c r="J762" s="45" t="n"/>
      <c r="K762" s="45" t="n">
        <v>238595.05</v>
      </c>
      <c r="L762" s="45" t="n">
        <v>174161.6558264475</v>
      </c>
      <c r="M762" s="45" t="n"/>
      <c r="N762" s="45" t="n"/>
      <c r="O762" s="45" t="n"/>
      <c r="P762" s="45" t="n"/>
      <c r="Q762" s="45" t="n"/>
      <c r="R762" s="45" t="n"/>
      <c r="S762" s="45" t="n">
        <v>239280.03</v>
      </c>
      <c r="T762" s="45" t="n">
        <v>174661.6558264475</v>
      </c>
      <c r="U762" s="15" t="n">
        <v>36.996</v>
      </c>
      <c r="V762" s="15" t="n">
        <v>136.6725558677966</v>
      </c>
      <c r="W762" s="49" t="n">
        <v>72994.83196589681</v>
      </c>
    </row>
    <row r="763">
      <c r="A763" s="44" t="inlineStr">
        <is>
          <t>TL Cinsi TUFE Endeksli Senetler</t>
        </is>
      </c>
      <c r="B763" s="44" t="n">
        <v>2026</v>
      </c>
      <c r="C763" s="44" t="inlineStr">
        <is>
          <t>TRT080131T12</t>
        </is>
      </c>
      <c r="D763" s="44" t="inlineStr">
        <is>
          <t>14.01.2026</t>
        </is>
      </c>
      <c r="E763" s="44" t="inlineStr">
        <is>
          <t>08.01.2031</t>
        </is>
      </c>
      <c r="F763" s="44" t="n">
        <v>1820</v>
      </c>
      <c r="G763" s="44" t="inlineStr">
        <is>
          <t>6 ay</t>
        </is>
      </c>
      <c r="H763" s="15" t="n">
        <v>2.65</v>
      </c>
      <c r="I763" s="45" t="n">
        <v>7111000</v>
      </c>
      <c r="J763" s="45" t="n">
        <v>6889380.8</v>
      </c>
      <c r="K763" s="45" t="n">
        <v>650000</v>
      </c>
      <c r="L763" s="45" t="n">
        <v>650109</v>
      </c>
      <c r="M763" s="45" t="n">
        <v>19996600.577</v>
      </c>
      <c r="N763" s="45" t="n">
        <v>19999999.9991</v>
      </c>
      <c r="O763" s="45" t="n">
        <v>1999660.054</v>
      </c>
      <c r="P763" s="45" t="n">
        <v>1999999.99621</v>
      </c>
      <c r="Q763" s="45" t="n">
        <v>0</v>
      </c>
      <c r="R763" s="45" t="n">
        <v>0</v>
      </c>
      <c r="S763" s="45" t="n">
        <v>22646260.631</v>
      </c>
      <c r="T763" s="45" t="n">
        <v>22650108.99531</v>
      </c>
      <c r="U763" s="15" t="n">
        <v>2.65</v>
      </c>
      <c r="V763" s="15" t="n">
        <v>5.37</v>
      </c>
      <c r="W763" s="49" t="n">
        <v>100.017</v>
      </c>
    </row>
    <row r="764">
      <c r="A764" s="44" t="inlineStr">
        <is>
          <t>TL Cinsi TUFE Endeksli Senetler</t>
        </is>
      </c>
      <c r="B764" s="44" t="n">
        <v>2026</v>
      </c>
      <c r="C764" s="44" t="inlineStr">
        <is>
          <t>TRT080131T12</t>
        </is>
      </c>
      <c r="D764" s="44" t="inlineStr">
        <is>
          <t>18.02.2026</t>
        </is>
      </c>
      <c r="E764" s="44" t="inlineStr">
        <is>
          <t>08.01.2031</t>
        </is>
      </c>
      <c r="F764" s="44" t="n">
        <v>1785</v>
      </c>
      <c r="G764" s="44" t="inlineStr">
        <is>
          <t>6 ay</t>
        </is>
      </c>
      <c r="H764" s="15" t="n">
        <v>2.65</v>
      </c>
      <c r="I764" s="45" t="n">
        <v>6209675</v>
      </c>
      <c r="J764" s="45" t="n">
        <v>6249049.18375</v>
      </c>
      <c r="K764" s="45" t="n">
        <v>4320175</v>
      </c>
      <c r="L764" s="45" t="n">
        <v>4386746.98375</v>
      </c>
      <c r="M764" s="45" t="n">
        <v>7386178.981</v>
      </c>
      <c r="N764" s="45" t="n">
        <v>7499999.9991</v>
      </c>
      <c r="O764" s="45" t="n">
        <v>837100.282</v>
      </c>
      <c r="P764" s="45" t="n">
        <v>849999.99735</v>
      </c>
      <c r="Q764" s="45" t="n">
        <v>2992492.105</v>
      </c>
      <c r="R764" s="45" t="n">
        <v>3038606.40834</v>
      </c>
      <c r="S764" s="45" t="n">
        <v>15535946.368</v>
      </c>
      <c r="T764" s="45" t="n">
        <v>15775353.38854</v>
      </c>
      <c r="U764" s="15" t="n">
        <v>2.65</v>
      </c>
      <c r="V764" s="15" t="n">
        <v>5.37</v>
      </c>
      <c r="W764" s="49" t="n">
        <v>101.541</v>
      </c>
    </row>
    <row r="765">
      <c r="A765" s="44" t="inlineStr">
        <is>
          <t>TL Cinsi TUFE Endeksli Senetler</t>
        </is>
      </c>
      <c r="B765" s="44" t="n">
        <v>2026</v>
      </c>
      <c r="C765" s="44" t="inlineStr">
        <is>
          <t>TRT080131T12</t>
        </is>
      </c>
      <c r="D765" s="44" t="inlineStr">
        <is>
          <t>11.03.2026</t>
        </is>
      </c>
      <c r="E765" s="44" t="inlineStr">
        <is>
          <t>08.01.2031</t>
        </is>
      </c>
      <c r="F765" s="44" t="n">
        <v>1764</v>
      </c>
      <c r="G765" s="44" t="inlineStr">
        <is>
          <t>6 ay</t>
        </is>
      </c>
      <c r="H765" s="15" t="n">
        <v>2.65</v>
      </c>
      <c r="I765" s="45" t="n">
        <v>9650000</v>
      </c>
      <c r="J765" s="45" t="n">
        <v>10041330.5</v>
      </c>
      <c r="K765" s="45" t="n">
        <v>6250000</v>
      </c>
      <c r="L765" s="45" t="n">
        <v>6524546.5</v>
      </c>
      <c r="M765" s="45" t="n">
        <v>4789593.171</v>
      </c>
      <c r="N765" s="45" t="n">
        <v>4999999.999</v>
      </c>
      <c r="O765" s="45" t="n">
        <v>1436877.948</v>
      </c>
      <c r="P765" s="45" t="n">
        <v>1499999.99624</v>
      </c>
      <c r="Q765" s="45" t="n">
        <v>1326717.308</v>
      </c>
      <c r="R765" s="45" t="n">
        <v>1384999.99934</v>
      </c>
      <c r="S765" s="45" t="n">
        <v>13803188.427</v>
      </c>
      <c r="T765" s="45" t="n">
        <v>14409546.49458</v>
      </c>
      <c r="U765" s="15" t="n">
        <v>2.58</v>
      </c>
      <c r="V765" s="15" t="n">
        <v>5.23</v>
      </c>
      <c r="W765" s="49" t="n">
        <v>104.393</v>
      </c>
    </row>
    <row r="766">
      <c r="A766" s="44" t="inlineStr">
        <is>
          <t>TL Cinsi TUFE Endeksli Senetler</t>
        </is>
      </c>
      <c r="B766" s="44" t="n">
        <v>2026</v>
      </c>
      <c r="C766" s="44" t="inlineStr">
        <is>
          <t>TRT080131T12</t>
        </is>
      </c>
      <c r="D766" s="44" t="inlineStr">
        <is>
          <t>08.04.2026</t>
        </is>
      </c>
      <c r="E766" s="44" t="inlineStr">
        <is>
          <t>08.01.2031</t>
        </is>
      </c>
      <c r="F766" s="44" t="n">
        <v>1736</v>
      </c>
      <c r="G766" s="44" t="inlineStr">
        <is>
          <t>6 ay</t>
        </is>
      </c>
      <c r="H766" s="15" t="n">
        <v>2.65</v>
      </c>
      <c r="I766" s="45" t="n">
        <v>9010000</v>
      </c>
      <c r="J766" s="45" t="n">
        <v>9727906.050000001</v>
      </c>
      <c r="K766" s="45" t="n">
        <v>6950000</v>
      </c>
      <c r="L766" s="45" t="n">
        <v>7540993.65</v>
      </c>
      <c r="M766" s="45" t="n">
        <v>4608125.046</v>
      </c>
      <c r="N766" s="45" t="n">
        <v>4999999.99991</v>
      </c>
      <c r="O766" s="45" t="n">
        <v>2488387.522</v>
      </c>
      <c r="P766" s="45" t="n">
        <v>2699999.99687</v>
      </c>
      <c r="Q766" s="45" t="n">
        <v>480000</v>
      </c>
      <c r="R766" s="45" t="n">
        <v>520819.2</v>
      </c>
      <c r="S766" s="45" t="n">
        <v>14526512.568</v>
      </c>
      <c r="T766" s="45" t="n">
        <v>15761812.84678</v>
      </c>
      <c r="U766" s="15" t="n">
        <v>2.63</v>
      </c>
      <c r="V766" s="15" t="n">
        <v>5.33</v>
      </c>
      <c r="W766" s="49" t="n">
        <v>108.504</v>
      </c>
    </row>
    <row r="767">
      <c r="A767" s="44" t="inlineStr">
        <is>
          <t>TL Cinsi TUFE Endeksli Senetler</t>
        </is>
      </c>
      <c r="B767" s="44" t="n">
        <v>2026</v>
      </c>
      <c r="C767" s="44" t="inlineStr">
        <is>
          <t>TRT080530T27</t>
        </is>
      </c>
      <c r="D767" s="44" t="inlineStr">
        <is>
          <t>13.05.2026</t>
        </is>
      </c>
      <c r="E767" s="44" t="inlineStr">
        <is>
          <t>08.05.2030</t>
        </is>
      </c>
      <c r="F767" s="44" t="n">
        <v>1456</v>
      </c>
      <c r="G767" s="44" t="inlineStr">
        <is>
          <t>6 ay</t>
        </is>
      </c>
      <c r="H767" s="15" t="n">
        <v>2.63</v>
      </c>
      <c r="I767" s="45" t="n">
        <v>5130000</v>
      </c>
      <c r="J767" s="45" t="n">
        <v>5080404.7</v>
      </c>
      <c r="K767" s="45" t="n">
        <v>3630000</v>
      </c>
      <c r="L767" s="45" t="n">
        <v>3610525.7</v>
      </c>
      <c r="M767" s="45" t="n">
        <v>2010777.768</v>
      </c>
      <c r="N767" s="45" t="n">
        <v>1999999.99916</v>
      </c>
      <c r="O767" s="45" t="n">
        <v>2714549.982</v>
      </c>
      <c r="P767" s="45" t="n">
        <v>2699999.99409</v>
      </c>
      <c r="Q767" s="45" t="n">
        <v>0</v>
      </c>
      <c r="R767" s="45" t="n">
        <v>0</v>
      </c>
      <c r="S767" s="45" t="n">
        <v>8355327.75</v>
      </c>
      <c r="T767" s="45" t="n">
        <v>8310525.69325</v>
      </c>
      <c r="U767" s="15" t="n">
        <v>2.71</v>
      </c>
      <c r="V767" s="15" t="n">
        <v>5.48</v>
      </c>
      <c r="W767" s="49" t="n">
        <v>99.464</v>
      </c>
    </row>
    <row r="768">
      <c r="A768" s="44" t="inlineStr">
        <is>
          <t>TL Cinsi TUFE Endeksli Senetler</t>
        </is>
      </c>
      <c r="B768" s="44" t="n">
        <v>2026</v>
      </c>
      <c r="C768" s="44" t="inlineStr">
        <is>
          <t>TRT080530T27</t>
        </is>
      </c>
      <c r="D768" s="44" t="inlineStr">
        <is>
          <t>10.06.2026</t>
        </is>
      </c>
      <c r="E768" s="44" t="inlineStr">
        <is>
          <t>08.05.2030</t>
        </is>
      </c>
      <c r="F768" s="44" t="n">
        <v>1428</v>
      </c>
      <c r="G768" s="44" t="inlineStr">
        <is>
          <t>6 ay</t>
        </is>
      </c>
      <c r="H768" s="15" t="n">
        <v>2.63</v>
      </c>
      <c r="I768" s="45" t="n">
        <v>8715000</v>
      </c>
      <c r="J768" s="45" t="n">
        <v>8855818.175000001</v>
      </c>
      <c r="K768" s="45" t="n">
        <v>6465000</v>
      </c>
      <c r="L768" s="45" t="n">
        <v>6585798.675</v>
      </c>
      <c r="M768" s="45" t="n">
        <v>3926611.628</v>
      </c>
      <c r="N768" s="45" t="n">
        <v>3999999.99933</v>
      </c>
      <c r="O768" s="45" t="n">
        <v>2552297.555</v>
      </c>
      <c r="P768" s="45" t="n">
        <v>2599999.9963</v>
      </c>
      <c r="Q768" s="45" t="n">
        <v>0</v>
      </c>
      <c r="R768" s="45" t="n">
        <v>0</v>
      </c>
      <c r="S768" s="45" t="n">
        <v>12943909.183</v>
      </c>
      <c r="T768" s="45" t="n">
        <v>13185798.67063</v>
      </c>
      <c r="U768" s="15" t="n">
        <v>2.77</v>
      </c>
      <c r="V768" s="15" t="n">
        <v>5.61</v>
      </c>
      <c r="W768" s="49" t="n">
        <v>101.869</v>
      </c>
    </row>
    <row r="769">
      <c r="A769" s="44" t="inlineStr">
        <is>
          <t>TL Cinsi TUFE Endeksli Senetler</t>
        </is>
      </c>
      <c r="B769" s="44" t="n">
        <v>2026</v>
      </c>
      <c r="C769" s="44" t="inlineStr">
        <is>
          <t>TRT080530T27</t>
        </is>
      </c>
      <c r="D769" s="44" t="inlineStr">
        <is>
          <t>19.08.2026</t>
        </is>
      </c>
      <c r="E769" s="44" t="inlineStr">
        <is>
          <t>08.05.2030</t>
        </is>
      </c>
      <c r="F769" s="44" t="n">
        <v>1358</v>
      </c>
      <c r="G769" s="44" t="inlineStr">
        <is>
          <t>6 ay</t>
        </is>
      </c>
      <c r="H769" s="15" t="n">
        <v>2.63</v>
      </c>
      <c r="I769" s="45" t="n">
        <v>640150</v>
      </c>
      <c r="J769" s="45" t="n">
        <v>682608.5</v>
      </c>
      <c r="K769" s="45" t="n">
        <v>190000</v>
      </c>
      <c r="L769" s="45" t="n">
        <v>204458.25</v>
      </c>
      <c r="M769" s="45" t="n">
        <v>3717126.661</v>
      </c>
      <c r="N769" s="45" t="n">
        <v>3999999.9999</v>
      </c>
      <c r="O769" s="45" t="n">
        <v>418176.748</v>
      </c>
      <c r="P769" s="45" t="n">
        <v>449999.99852</v>
      </c>
      <c r="Q769" s="45" t="n">
        <v>0</v>
      </c>
      <c r="R769" s="45" t="n">
        <v>0</v>
      </c>
      <c r="S769" s="45" t="n">
        <v>4325303.409</v>
      </c>
      <c r="T769" s="45" t="n">
        <v>4654458.24842</v>
      </c>
      <c r="U769" s="15" t="n">
        <v>2.87</v>
      </c>
      <c r="V769" s="15" t="n">
        <v>5.83</v>
      </c>
      <c r="W769" s="49" t="n">
        <v>107.61</v>
      </c>
    </row>
    <row r="770">
      <c r="A770" s="44" t="inlineStr">
        <is>
          <t>TL Cinsi TUFE Endeksli Senetler</t>
        </is>
      </c>
      <c r="B770" s="44" t="n">
        <v>2025</v>
      </c>
      <c r="C770" s="44" t="inlineStr">
        <is>
          <t>TRT151227T16</t>
        </is>
      </c>
      <c r="D770" s="44" t="inlineStr">
        <is>
          <t>22.01.2025</t>
        </is>
      </c>
      <c r="E770" s="44" t="inlineStr">
        <is>
          <t>15.12.2027</t>
        </is>
      </c>
      <c r="F770" s="44" t="n">
        <v>1057</v>
      </c>
      <c r="G770" s="44" t="inlineStr">
        <is>
          <t>6 ay</t>
        </is>
      </c>
      <c r="H770" s="15" t="n">
        <v>1.5</v>
      </c>
      <c r="I770" s="45" t="n">
        <v>8652000</v>
      </c>
      <c r="J770" s="45" t="n">
        <v>8308408.05</v>
      </c>
      <c r="K770" s="45" t="n">
        <v>5975000</v>
      </c>
      <c r="L770" s="45" t="n">
        <v>5810790.05</v>
      </c>
      <c r="M770" s="45" t="n">
        <v>6272364.576</v>
      </c>
      <c r="N770" s="45" t="n">
        <v>6099999.99745</v>
      </c>
      <c r="O770" s="45" t="n">
        <v>2056512.975</v>
      </c>
      <c r="P770" s="45" t="n">
        <v>1999999.99846</v>
      </c>
      <c r="Q770" s="45" t="n">
        <v>0</v>
      </c>
      <c r="R770" s="45" t="n">
        <v>0</v>
      </c>
      <c r="S770" s="45" t="n">
        <v>14303877.551</v>
      </c>
      <c r="T770" s="45" t="n">
        <v>13910790.04591</v>
      </c>
      <c r="U770" s="15" t="n">
        <v>2.57</v>
      </c>
      <c r="V770" s="15" t="n">
        <v>5.2</v>
      </c>
      <c r="W770" s="49" t="n">
        <v>97.252</v>
      </c>
    </row>
    <row r="771">
      <c r="A771" s="44" t="inlineStr">
        <is>
          <t>TL Cinsi TUFE Endeksli Senetler</t>
        </is>
      </c>
      <c r="B771" s="44" t="n">
        <v>2025</v>
      </c>
      <c r="C771" s="44" t="inlineStr">
        <is>
          <t>TRT151227T16</t>
        </is>
      </c>
      <c r="D771" s="44" t="inlineStr">
        <is>
          <t>19.02.2025</t>
        </is>
      </c>
      <c r="E771" s="44" t="inlineStr">
        <is>
          <t>15.12.2027</t>
        </is>
      </c>
      <c r="F771" s="44" t="n">
        <v>1029</v>
      </c>
      <c r="G771" s="44" t="inlineStr">
        <is>
          <t>6 ay</t>
        </is>
      </c>
      <c r="H771" s="15" t="n">
        <v>1.5</v>
      </c>
      <c r="I771" s="45" t="n">
        <v>12903000</v>
      </c>
      <c r="J771" s="45" t="n">
        <v>12661177.56</v>
      </c>
      <c r="K771" s="45" t="n">
        <v>5363000</v>
      </c>
      <c r="L771" s="45" t="n">
        <v>5306982.82</v>
      </c>
      <c r="M771" s="45" t="n">
        <v>13177707.037</v>
      </c>
      <c r="N771" s="45" t="n">
        <v>13039999.99846</v>
      </c>
      <c r="O771" s="45" t="n">
        <v>3031681.063</v>
      </c>
      <c r="P771" s="45" t="n">
        <v>2999999.9959</v>
      </c>
      <c r="Q771" s="45" t="n">
        <v>2213484.916</v>
      </c>
      <c r="R771" s="45" t="n">
        <v>2190353.99863</v>
      </c>
      <c r="S771" s="45" t="n">
        <v>23785873.016</v>
      </c>
      <c r="T771" s="45" t="n">
        <v>23537336.81299</v>
      </c>
      <c r="U771" s="15" t="n">
        <v>2.57</v>
      </c>
      <c r="V771" s="15" t="n">
        <v>5.21</v>
      </c>
      <c r="W771" s="49" t="n">
        <v>98.955</v>
      </c>
    </row>
    <row r="772">
      <c r="A772" s="44" t="inlineStr">
        <is>
          <t>TL Cinsi TUFE Endeksli Senetler</t>
        </is>
      </c>
      <c r="B772" s="44" t="n">
        <v>2025</v>
      </c>
      <c r="C772" s="44" t="inlineStr">
        <is>
          <t>TRT151227T16</t>
        </is>
      </c>
      <c r="D772" s="44" t="inlineStr">
        <is>
          <t>19.03.2025</t>
        </is>
      </c>
      <c r="E772" s="44" t="inlineStr">
        <is>
          <t>15.12.2027</t>
        </is>
      </c>
      <c r="F772" s="44" t="n">
        <v>1001</v>
      </c>
      <c r="G772" s="44" t="inlineStr">
        <is>
          <t>6 ay</t>
        </is>
      </c>
      <c r="H772" s="15" t="n">
        <v>1.5</v>
      </c>
      <c r="I772" s="45" t="n">
        <v>14209000</v>
      </c>
      <c r="J772" s="45" t="n">
        <v>14439627.95</v>
      </c>
      <c r="K772" s="45" t="n">
        <v>5755000</v>
      </c>
      <c r="L772" s="45" t="n">
        <v>5910286.32</v>
      </c>
      <c r="M772" s="45" t="n">
        <v>7327309.196</v>
      </c>
      <c r="N772" s="45" t="n">
        <v>7524999.99811</v>
      </c>
      <c r="O772" s="45" t="n">
        <v>3894915.185</v>
      </c>
      <c r="P772" s="45" t="n">
        <v>3999999.99669</v>
      </c>
      <c r="Q772" s="45" t="n">
        <v>0</v>
      </c>
      <c r="R772" s="45" t="n">
        <v>0</v>
      </c>
      <c r="S772" s="45" t="n">
        <v>16977224.381</v>
      </c>
      <c r="T772" s="45" t="n">
        <v>17435286.3148</v>
      </c>
      <c r="U772" s="15" t="n">
        <v>2.56</v>
      </c>
      <c r="V772" s="15" t="n">
        <v>5.18</v>
      </c>
      <c r="W772" s="49" t="n">
        <v>102.698</v>
      </c>
    </row>
    <row r="773">
      <c r="A773" s="44" t="inlineStr">
        <is>
          <t>TL Cinsi TUFE Endeksli Senetler</t>
        </is>
      </c>
      <c r="B773" s="44" t="n">
        <v>2025</v>
      </c>
      <c r="C773" s="44" t="inlineStr">
        <is>
          <t>TRT110429T18</t>
        </is>
      </c>
      <c r="D773" s="44" t="inlineStr">
        <is>
          <t>16.04.2025</t>
        </is>
      </c>
      <c r="E773" s="44" t="inlineStr">
        <is>
          <t>11.04.2029</t>
        </is>
      </c>
      <c r="F773" s="44" t="n">
        <v>1456</v>
      </c>
      <c r="G773" s="44" t="inlineStr">
        <is>
          <t>6 ay</t>
        </is>
      </c>
      <c r="H773" s="15" t="n">
        <v>2.5</v>
      </c>
      <c r="I773" s="45" t="n">
        <v>12105000</v>
      </c>
      <c r="J773" s="45" t="n">
        <v>11798996.3</v>
      </c>
      <c r="K773" s="45" t="n">
        <v>6845000</v>
      </c>
      <c r="L773" s="45" t="n">
        <v>6878188.4</v>
      </c>
      <c r="M773" s="45" t="n">
        <v>34831069.313</v>
      </c>
      <c r="N773" s="45" t="n">
        <v>34999999.99917</v>
      </c>
      <c r="O773" s="45" t="n">
        <v>4975867.043</v>
      </c>
      <c r="P773" s="45" t="n">
        <v>4999999.99816</v>
      </c>
      <c r="Q773" s="45" t="n">
        <v>0</v>
      </c>
      <c r="R773" s="45" t="n">
        <v>0</v>
      </c>
      <c r="S773" s="45" t="n">
        <v>46651936.356</v>
      </c>
      <c r="T773" s="45" t="n">
        <v>46878188.39733</v>
      </c>
      <c r="U773" s="15" t="n">
        <v>2.43</v>
      </c>
      <c r="V773" s="15" t="n">
        <v>4.92</v>
      </c>
      <c r="W773" s="49" t="n">
        <v>100.485</v>
      </c>
    </row>
    <row r="774">
      <c r="A774" s="44" t="inlineStr">
        <is>
          <t>TL Cinsi TUFE Endeksli Senetler</t>
        </is>
      </c>
      <c r="B774" s="44" t="n">
        <v>2025</v>
      </c>
      <c r="C774" s="44" t="inlineStr">
        <is>
          <t>TRT110429T18</t>
        </is>
      </c>
      <c r="D774" s="44" t="inlineStr">
        <is>
          <t>14.05.2025</t>
        </is>
      </c>
      <c r="E774" s="44" t="inlineStr">
        <is>
          <t>11.04.2029</t>
        </is>
      </c>
      <c r="F774" s="44" t="n">
        <v>1428</v>
      </c>
      <c r="G774" s="44" t="inlineStr">
        <is>
          <t>6 ay</t>
        </is>
      </c>
      <c r="H774" s="15" t="n">
        <v>2.5</v>
      </c>
      <c r="I774" s="45" t="n">
        <v>6869000</v>
      </c>
      <c r="J774" s="45" t="n">
        <v>6824630.5</v>
      </c>
      <c r="K774" s="45" t="n">
        <v>880000</v>
      </c>
      <c r="L774" s="45" t="n">
        <v>886977</v>
      </c>
      <c r="M774" s="45" t="n">
        <v>6448860.535</v>
      </c>
      <c r="N774" s="45" t="n">
        <v>6499999.99904</v>
      </c>
      <c r="O774" s="45" t="n">
        <v>1488198.583</v>
      </c>
      <c r="P774" s="45" t="n">
        <v>1499999.99777</v>
      </c>
      <c r="Q774" s="45" t="n">
        <v>0</v>
      </c>
      <c r="R774" s="45" t="n">
        <v>0</v>
      </c>
      <c r="S774" s="45" t="n">
        <v>8817059.118000001</v>
      </c>
      <c r="T774" s="45" t="n">
        <v>8886976.99681</v>
      </c>
      <c r="U774" s="15" t="n">
        <v>2.75</v>
      </c>
      <c r="V774" s="15" t="n">
        <v>5.57</v>
      </c>
      <c r="W774" s="49" t="n">
        <v>100.793</v>
      </c>
    </row>
    <row r="775">
      <c r="A775" s="44" t="inlineStr">
        <is>
          <t>TL Cinsi TUFE Endeksli Senetler</t>
        </is>
      </c>
      <c r="B775" s="44" t="n">
        <v>2025</v>
      </c>
      <c r="C775" s="44" t="inlineStr">
        <is>
          <t>TRT130629T14</t>
        </is>
      </c>
      <c r="D775" s="44" t="inlineStr">
        <is>
          <t>18.06.2025</t>
        </is>
      </c>
      <c r="E775" s="44" t="inlineStr">
        <is>
          <t>13.06.2029</t>
        </is>
      </c>
      <c r="F775" s="44" t="n">
        <v>1456</v>
      </c>
      <c r="G775" s="44" t="inlineStr">
        <is>
          <t>6 ay</t>
        </is>
      </c>
      <c r="H775" s="15" t="n">
        <v>2.25</v>
      </c>
      <c r="I775" s="45" t="n">
        <v>5273000</v>
      </c>
      <c r="J775" s="45" t="n">
        <v>4863893.5</v>
      </c>
      <c r="K775" s="45" t="n">
        <v>750000</v>
      </c>
      <c r="L775" s="45" t="n">
        <v>716005</v>
      </c>
      <c r="M775" s="45" t="n">
        <v>3142447.128</v>
      </c>
      <c r="N775" s="45" t="n">
        <v>2999999.99969</v>
      </c>
      <c r="O775" s="45" t="n">
        <v>942734.134</v>
      </c>
      <c r="P775" s="45" t="n">
        <v>899999.99571</v>
      </c>
      <c r="Q775" s="45" t="n">
        <v>100000</v>
      </c>
      <c r="R775" s="45" t="n">
        <v>95467</v>
      </c>
      <c r="S775" s="45" t="n">
        <v>4935181.262</v>
      </c>
      <c r="T775" s="45" t="n">
        <v>4711471.9954</v>
      </c>
      <c r="U775" s="15" t="n">
        <v>2.89</v>
      </c>
      <c r="V775" s="15" t="n">
        <v>5.87</v>
      </c>
      <c r="W775" s="49" t="n">
        <v>95.467</v>
      </c>
    </row>
    <row r="776">
      <c r="A776" s="44" t="inlineStr">
        <is>
          <t>TL Cinsi TUFE Endeksli Senetler</t>
        </is>
      </c>
      <c r="B776" s="44" t="n">
        <v>2025</v>
      </c>
      <c r="C776" s="44" t="inlineStr">
        <is>
          <t>TRT130629T14</t>
        </is>
      </c>
      <c r="D776" s="44" t="inlineStr">
        <is>
          <t>16.07.2025</t>
        </is>
      </c>
      <c r="E776" s="44" t="inlineStr">
        <is>
          <t>13.06.2029</t>
        </is>
      </c>
      <c r="F776" s="44" t="n">
        <v>1428</v>
      </c>
      <c r="G776" s="44" t="inlineStr">
        <is>
          <t>6 ay</t>
        </is>
      </c>
      <c r="H776" s="15" t="n">
        <v>2.25</v>
      </c>
      <c r="I776" s="45" t="n">
        <v>1610000</v>
      </c>
      <c r="J776" s="45" t="n">
        <v>1540117.5</v>
      </c>
      <c r="K776" s="45" t="n">
        <v>450000</v>
      </c>
      <c r="L776" s="45" t="n">
        <v>433892</v>
      </c>
      <c r="M776" s="45" t="n">
        <v>7259904.584</v>
      </c>
      <c r="N776" s="45" t="n">
        <v>6999999.99989</v>
      </c>
      <c r="O776" s="45" t="n">
        <v>1555693.836</v>
      </c>
      <c r="P776" s="45" t="n">
        <v>1499999.99667</v>
      </c>
      <c r="Q776" s="45" t="n">
        <v>0</v>
      </c>
      <c r="R776" s="45" t="n">
        <v>0</v>
      </c>
      <c r="S776" s="45" t="n">
        <v>9265598.42</v>
      </c>
      <c r="T776" s="45" t="n">
        <v>8933891.99656</v>
      </c>
      <c r="U776" s="15" t="n">
        <v>3.1</v>
      </c>
      <c r="V776" s="15" t="n">
        <v>6.29</v>
      </c>
      <c r="W776" s="49" t="n">
        <v>96.42</v>
      </c>
    </row>
    <row r="777">
      <c r="A777" s="44" t="inlineStr">
        <is>
          <t>TL Cinsi TUFE Endeksli Senetler</t>
        </is>
      </c>
      <c r="B777" s="44" t="n">
        <v>2025</v>
      </c>
      <c r="C777" s="44" t="inlineStr">
        <is>
          <t>TRT110930T10</t>
        </is>
      </c>
      <c r="D777" s="44" t="inlineStr">
        <is>
          <t>17.09.2025</t>
        </is>
      </c>
      <c r="E777" s="44" t="inlineStr">
        <is>
          <t>11.09.2030</t>
        </is>
      </c>
      <c r="F777" s="44" t="n">
        <v>1820</v>
      </c>
      <c r="G777" s="44" t="inlineStr">
        <is>
          <t>6 ay</t>
        </is>
      </c>
      <c r="H777" s="15" t="n">
        <v>3.06</v>
      </c>
      <c r="I777" s="45" t="n">
        <v>6602000</v>
      </c>
      <c r="J777" s="45" t="n">
        <v>6479113</v>
      </c>
      <c r="K777" s="45" t="n">
        <v>1350000</v>
      </c>
      <c r="L777" s="45" t="n">
        <v>1350467</v>
      </c>
      <c r="M777" s="45" t="n">
        <v>12995451.591</v>
      </c>
      <c r="N777" s="45" t="n">
        <v>12999999.99905</v>
      </c>
      <c r="O777" s="45" t="n">
        <v>1999300.24</v>
      </c>
      <c r="P777" s="45" t="n">
        <v>1999999.99509</v>
      </c>
      <c r="Q777" s="45" t="n">
        <v>0</v>
      </c>
      <c r="R777" s="45" t="n">
        <v>0</v>
      </c>
      <c r="S777" s="45" t="n">
        <v>16344751.831</v>
      </c>
      <c r="T777" s="45" t="n">
        <v>16350466.99414</v>
      </c>
      <c r="U777" s="15" t="n">
        <v>3.06</v>
      </c>
      <c r="V777" s="15" t="n">
        <v>6.21</v>
      </c>
      <c r="W777" s="49" t="n">
        <v>100.035</v>
      </c>
    </row>
    <row r="778">
      <c r="A778" s="44" t="inlineStr">
        <is>
          <t>TL Cinsi TUFE Endeksli Senetler</t>
        </is>
      </c>
      <c r="B778" s="44" t="n">
        <v>2025</v>
      </c>
      <c r="C778" s="44" t="inlineStr">
        <is>
          <t>TRT110930T10</t>
        </is>
      </c>
      <c r="D778" s="44" t="inlineStr">
        <is>
          <t>15.10.2025</t>
        </is>
      </c>
      <c r="E778" s="44" t="inlineStr">
        <is>
          <t>11.09.2030</t>
        </is>
      </c>
      <c r="F778" s="44" t="n">
        <v>1792</v>
      </c>
      <c r="G778" s="44" t="inlineStr">
        <is>
          <t>6 ay</t>
        </is>
      </c>
      <c r="H778" s="15" t="n">
        <v>3.06</v>
      </c>
      <c r="I778" s="45" t="n">
        <v>9287500</v>
      </c>
      <c r="J778" s="45" t="n">
        <v>9423590.300000001</v>
      </c>
      <c r="K778" s="45" t="n">
        <v>4555000</v>
      </c>
      <c r="L778" s="45" t="n">
        <v>4661723.8</v>
      </c>
      <c r="M778" s="45" t="n">
        <v>9771063.971000001</v>
      </c>
      <c r="N778" s="45" t="n">
        <v>9999999.999840001</v>
      </c>
      <c r="O778" s="45" t="n">
        <v>781685.1139999999</v>
      </c>
      <c r="P778" s="45" t="n">
        <v>799999.99621</v>
      </c>
      <c r="Q778" s="45" t="n">
        <v>922310.758</v>
      </c>
      <c r="R778" s="45" t="n">
        <v>943920.4990599999</v>
      </c>
      <c r="S778" s="45" t="n">
        <v>16030059.843</v>
      </c>
      <c r="T778" s="45" t="n">
        <v>16405644.29511</v>
      </c>
      <c r="U778" s="15" t="n">
        <v>3.06</v>
      </c>
      <c r="V778" s="15" t="n">
        <v>6.22</v>
      </c>
      <c r="W778" s="49" t="n">
        <v>102.343</v>
      </c>
    </row>
    <row r="779">
      <c r="A779" s="44" t="inlineStr">
        <is>
          <t>TL Cinsi TUFE Endeksli Senetler</t>
        </is>
      </c>
      <c r="B779" s="44" t="n">
        <v>2025</v>
      </c>
      <c r="C779" s="44" t="inlineStr">
        <is>
          <t>TRT110930T10</t>
        </is>
      </c>
      <c r="D779" s="44" t="inlineStr">
        <is>
          <t>17.12.2025</t>
        </is>
      </c>
      <c r="E779" s="44" t="inlineStr">
        <is>
          <t>11.09.2030</t>
        </is>
      </c>
      <c r="F779" s="44" t="n">
        <v>1729</v>
      </c>
      <c r="G779" s="44" t="inlineStr">
        <is>
          <t>6 ay</t>
        </is>
      </c>
      <c r="H779" s="15" t="n">
        <v>3.06</v>
      </c>
      <c r="I779" s="45" t="n">
        <v>3995000</v>
      </c>
      <c r="J779" s="45" t="n">
        <v>4316119.32</v>
      </c>
      <c r="K779" s="45" t="n">
        <v>1079000</v>
      </c>
      <c r="L779" s="45" t="n">
        <v>1176937.62</v>
      </c>
      <c r="M779" s="45" t="n">
        <v>4583917.782</v>
      </c>
      <c r="N779" s="45" t="n">
        <v>4999999.99907</v>
      </c>
      <c r="O779" s="45" t="n">
        <v>458391.777</v>
      </c>
      <c r="P779" s="45" t="n">
        <v>499999.9986</v>
      </c>
      <c r="Q779" s="45" t="n">
        <v>0</v>
      </c>
      <c r="R779" s="45" t="n">
        <v>0</v>
      </c>
      <c r="S779" s="45" t="n">
        <v>6121309.558999999</v>
      </c>
      <c r="T779" s="45" t="n">
        <v>6676937.61767</v>
      </c>
      <c r="U779" s="15" t="n">
        <v>3.09</v>
      </c>
      <c r="V779" s="15" t="n">
        <v>6.28</v>
      </c>
      <c r="W779" s="49" t="n">
        <v>109.077</v>
      </c>
    </row>
    <row r="780">
      <c r="A780" s="44" t="inlineStr">
        <is>
          <t>TL Cinsi TUFE Endeksli Senetler</t>
        </is>
      </c>
      <c r="B780" s="44" t="n">
        <v>2024</v>
      </c>
      <c r="C780" s="44" t="inlineStr">
        <is>
          <t>TRT181028T14</t>
        </is>
      </c>
      <c r="D780" s="44" t="inlineStr">
        <is>
          <t>10.01.2024</t>
        </is>
      </c>
      <c r="E780" s="44" t="inlineStr">
        <is>
          <t>18.10.2028</t>
        </is>
      </c>
      <c r="F780" s="44" t="n">
        <v>1743</v>
      </c>
      <c r="G780" s="44" t="inlineStr">
        <is>
          <t>6 ay</t>
        </is>
      </c>
      <c r="H780" s="15" t="n">
        <v>0</v>
      </c>
      <c r="I780" s="45" t="n">
        <v>14465001</v>
      </c>
      <c r="J780" s="45" t="n">
        <v>15424445.64</v>
      </c>
      <c r="K780" s="45" t="n">
        <v>5467001</v>
      </c>
      <c r="L780" s="45" t="n">
        <v>5973553.28</v>
      </c>
      <c r="M780" s="45" t="n">
        <v>2745593.322</v>
      </c>
      <c r="N780" s="45" t="n">
        <v>2999999.99922</v>
      </c>
      <c r="O780" s="45" t="n">
        <v>1830395.546</v>
      </c>
      <c r="P780" s="45" t="n">
        <v>1999999.99729</v>
      </c>
      <c r="Q780" s="45" t="n">
        <v>2172412.643</v>
      </c>
      <c r="R780" s="45" t="n">
        <v>2373708.39849</v>
      </c>
      <c r="S780" s="45" t="n">
        <v>12215402.511</v>
      </c>
      <c r="T780" s="45" t="n">
        <v>13347261.675</v>
      </c>
      <c r="U780" s="15" t="n">
        <v>0.21</v>
      </c>
      <c r="V780" s="15" t="n">
        <v>0.42</v>
      </c>
      <c r="W780" s="49" t="n">
        <v>109.266</v>
      </c>
    </row>
    <row r="781">
      <c r="A781" s="44" t="inlineStr">
        <is>
          <t>TL Cinsi TUFE Endeksli Senetler</t>
        </is>
      </c>
      <c r="B781" s="44" t="n">
        <v>2024</v>
      </c>
      <c r="C781" s="44" t="inlineStr">
        <is>
          <t>TRT140229T17</t>
        </is>
      </c>
      <c r="D781" s="44" t="inlineStr">
        <is>
          <t>21.02.2024</t>
        </is>
      </c>
      <c r="E781" s="44" t="inlineStr">
        <is>
          <t>14.02.2029</t>
        </is>
      </c>
      <c r="F781" s="44" t="n">
        <v>1820</v>
      </c>
      <c r="G781" s="44" t="inlineStr">
        <is>
          <t>6 ay</t>
        </is>
      </c>
      <c r="H781" s="15" t="n">
        <v>0</v>
      </c>
      <c r="I781" s="45" t="n">
        <v>13800000</v>
      </c>
      <c r="J781" s="45" t="n">
        <v>13117636.66</v>
      </c>
      <c r="K781" s="45" t="n">
        <v>3080000</v>
      </c>
      <c r="L781" s="45" t="n">
        <v>3005700.7</v>
      </c>
      <c r="M781" s="45" t="n">
        <v>3074148.46</v>
      </c>
      <c r="N781" s="45" t="n">
        <v>2999999.99915</v>
      </c>
      <c r="O781" s="45" t="n">
        <v>1537074.228</v>
      </c>
      <c r="P781" s="45" t="n">
        <v>1499999.99762</v>
      </c>
      <c r="Q781" s="45" t="n">
        <v>908071.688</v>
      </c>
      <c r="R781" s="45" t="n">
        <v>886168.99888</v>
      </c>
      <c r="S781" s="45" t="n">
        <v>8599294.376</v>
      </c>
      <c r="T781" s="45" t="n">
        <v>8391869.69565</v>
      </c>
      <c r="U781" s="15" t="n">
        <v>0.24</v>
      </c>
      <c r="V781" s="15" t="n">
        <v>0.49</v>
      </c>
      <c r="W781" s="49" t="n">
        <v>97.58799999999999</v>
      </c>
    </row>
    <row r="782">
      <c r="A782" s="44" t="inlineStr">
        <is>
          <t>TL Cinsi TUFE Endeksli Senetler</t>
        </is>
      </c>
      <c r="B782" s="44" t="n">
        <v>2024</v>
      </c>
      <c r="C782" s="44" t="inlineStr">
        <is>
          <t>TRT140229T17</t>
        </is>
      </c>
      <c r="D782" s="44" t="inlineStr">
        <is>
          <t>20.03.2024</t>
        </is>
      </c>
      <c r="E782" s="44" t="inlineStr">
        <is>
          <t>14.02.2029</t>
        </is>
      </c>
      <c r="F782" s="44" t="n">
        <v>1792</v>
      </c>
      <c r="G782" s="44" t="inlineStr">
        <is>
          <t>6 ay</t>
        </is>
      </c>
      <c r="H782" s="15" t="n">
        <v>0</v>
      </c>
      <c r="I782" s="45" t="n">
        <v>10561000</v>
      </c>
      <c r="J782" s="45" t="n">
        <v>10339388.66</v>
      </c>
      <c r="K782" s="45" t="n">
        <v>4306000</v>
      </c>
      <c r="L782" s="45" t="n">
        <v>4320115.31</v>
      </c>
      <c r="M782" s="45" t="n">
        <v>1993461.446</v>
      </c>
      <c r="N782" s="45" t="n">
        <v>1999999.99954</v>
      </c>
      <c r="O782" s="45" t="n">
        <v>1993461.443</v>
      </c>
      <c r="P782" s="45" t="n">
        <v>1999999.99652</v>
      </c>
      <c r="Q782" s="45" t="n">
        <v>782465.711</v>
      </c>
      <c r="R782" s="45" t="n">
        <v>785032.1985300001</v>
      </c>
      <c r="S782" s="45" t="n">
        <v>9075388.6</v>
      </c>
      <c r="T782" s="45" t="n">
        <v>9105147.504589999</v>
      </c>
      <c r="U782" s="15" t="n">
        <v>0.47</v>
      </c>
      <c r="V782" s="15" t="n">
        <v>0.9399999999999999</v>
      </c>
      <c r="W782" s="49" t="n">
        <v>100.328</v>
      </c>
    </row>
    <row r="783">
      <c r="A783" s="44" t="inlineStr">
        <is>
          <t>TL Cinsi TUFE Endeksli Senetler</t>
        </is>
      </c>
      <c r="B783" s="44" t="n">
        <v>2024</v>
      </c>
      <c r="C783" s="44" t="inlineStr">
        <is>
          <t>TRT140229T17</t>
        </is>
      </c>
      <c r="D783" s="44" t="inlineStr">
        <is>
          <t>17.04.2024</t>
        </is>
      </c>
      <c r="E783" s="44" t="inlineStr">
        <is>
          <t>14.02.2029</t>
        </is>
      </c>
      <c r="F783" s="44" t="n">
        <v>1764</v>
      </c>
      <c r="G783" s="44" t="inlineStr">
        <is>
          <t>6 ay</t>
        </is>
      </c>
      <c r="H783" s="15" t="n">
        <v>0</v>
      </c>
      <c r="I783" s="45" t="n">
        <v>11593500</v>
      </c>
      <c r="J783" s="45" t="n">
        <v>11001431.015</v>
      </c>
      <c r="K783" s="45" t="n">
        <v>5044500</v>
      </c>
      <c r="L783" s="45" t="n">
        <v>4915026.175</v>
      </c>
      <c r="M783" s="45" t="n">
        <v>3079038.929</v>
      </c>
      <c r="N783" s="45" t="n">
        <v>2999999.99969</v>
      </c>
      <c r="O783" s="45" t="n">
        <v>1796106.039</v>
      </c>
      <c r="P783" s="45" t="n">
        <v>1749999.99697</v>
      </c>
      <c r="Q783" s="45" t="n">
        <v>514120.985</v>
      </c>
      <c r="R783" s="45" t="n">
        <v>500923.49932</v>
      </c>
      <c r="S783" s="45" t="n">
        <v>10433765.953</v>
      </c>
      <c r="T783" s="45" t="n">
        <v>10165949.67098</v>
      </c>
      <c r="U783" s="15" t="n">
        <v>1.28</v>
      </c>
      <c r="V783" s="15" t="n">
        <v>2.58</v>
      </c>
      <c r="W783" s="49" t="n">
        <v>97.43300000000001</v>
      </c>
    </row>
    <row r="784">
      <c r="A784" s="44" t="inlineStr">
        <is>
          <t>TL Cinsi TUFE Endeksli Senetler</t>
        </is>
      </c>
      <c r="B784" s="44" t="n">
        <v>2024</v>
      </c>
      <c r="C784" s="44" t="inlineStr">
        <is>
          <t>TRT020529T18</t>
        </is>
      </c>
      <c r="D784" s="44" t="inlineStr">
        <is>
          <t>08.05.2024</t>
        </is>
      </c>
      <c r="E784" s="44" t="inlineStr">
        <is>
          <t>02.05.2029</t>
        </is>
      </c>
      <c r="F784" s="44" t="n">
        <v>1820</v>
      </c>
      <c r="G784" s="44" t="inlineStr">
        <is>
          <t>6 ay</t>
        </is>
      </c>
      <c r="H784" s="15" t="n">
        <v>1.24</v>
      </c>
      <c r="I784" s="45" t="n">
        <v>15594005</v>
      </c>
      <c r="J784" s="45" t="n">
        <v>14736484.57</v>
      </c>
      <c r="K784" s="45" t="n">
        <v>6094004</v>
      </c>
      <c r="L784" s="45" t="n">
        <v>5888096.52</v>
      </c>
      <c r="M784" s="45" t="n">
        <v>5174858.467</v>
      </c>
      <c r="N784" s="45" t="n">
        <v>4999999.9994</v>
      </c>
      <c r="O784" s="45" t="n">
        <v>4139886.773</v>
      </c>
      <c r="P784" s="45" t="n">
        <v>3999999.99894</v>
      </c>
      <c r="Q784" s="45" t="n">
        <v>2315393.391</v>
      </c>
      <c r="R784" s="45" t="n">
        <v>2237156.24831</v>
      </c>
      <c r="S784" s="45" t="n">
        <v>17724142.631</v>
      </c>
      <c r="T784" s="45" t="n">
        <v>17125252.76665</v>
      </c>
      <c r="U784" s="15" t="n">
        <v>1.61</v>
      </c>
      <c r="V784" s="15" t="n">
        <v>3.24</v>
      </c>
      <c r="W784" s="49" t="n">
        <v>96.621</v>
      </c>
    </row>
    <row r="785">
      <c r="A785" s="44" t="inlineStr">
        <is>
          <t>TL Cinsi TUFE Endeksli Senetler</t>
        </is>
      </c>
      <c r="B785" s="44" t="n">
        <v>2024</v>
      </c>
      <c r="C785" s="44" t="inlineStr">
        <is>
          <t>TRT020529T18</t>
        </is>
      </c>
      <c r="D785" s="44" t="inlineStr">
        <is>
          <t>05.06.2024</t>
        </is>
      </c>
      <c r="E785" s="44" t="inlineStr">
        <is>
          <t>02.05.2029</t>
        </is>
      </c>
      <c r="F785" s="44" t="n">
        <v>1792</v>
      </c>
      <c r="G785" s="44" t="inlineStr">
        <is>
          <t>6 ay</t>
        </is>
      </c>
      <c r="H785" s="15" t="n">
        <v>1.24</v>
      </c>
      <c r="I785" s="45" t="n">
        <v>12720003</v>
      </c>
      <c r="J785" s="45" t="n">
        <v>12322899.29</v>
      </c>
      <c r="K785" s="45" t="n">
        <v>4915002</v>
      </c>
      <c r="L785" s="45" t="n">
        <v>4842107.52</v>
      </c>
      <c r="M785" s="45" t="n">
        <v>3045159.718</v>
      </c>
      <c r="N785" s="45" t="n">
        <v>2999999.99938</v>
      </c>
      <c r="O785" s="45" t="n">
        <v>3045159.715</v>
      </c>
      <c r="P785" s="45" t="n">
        <v>2999999.99643</v>
      </c>
      <c r="Q785" s="45" t="n">
        <v>562623.912</v>
      </c>
      <c r="R785" s="45" t="n">
        <v>554280.19939</v>
      </c>
      <c r="S785" s="45" t="n">
        <v>11567945.345</v>
      </c>
      <c r="T785" s="45" t="n">
        <v>11396387.7152</v>
      </c>
      <c r="U785" s="15" t="n">
        <v>1.73</v>
      </c>
      <c r="V785" s="15" t="n">
        <v>3.49</v>
      </c>
      <c r="W785" s="49" t="n">
        <v>98.517</v>
      </c>
    </row>
    <row r="786">
      <c r="A786" s="44" t="inlineStr">
        <is>
          <t>TL Cinsi TUFE Endeksli Senetler</t>
        </is>
      </c>
      <c r="B786" s="44" t="n">
        <v>2024</v>
      </c>
      <c r="C786" s="44" t="inlineStr">
        <is>
          <t>TRT020529T18</t>
        </is>
      </c>
      <c r="D786" s="44" t="inlineStr">
        <is>
          <t>24.07.2024</t>
        </is>
      </c>
      <c r="E786" s="44" t="inlineStr">
        <is>
          <t>02.05.2029</t>
        </is>
      </c>
      <c r="F786" s="44" t="n">
        <v>1743</v>
      </c>
      <c r="G786" s="44" t="inlineStr">
        <is>
          <t>6 ay</t>
        </is>
      </c>
      <c r="H786" s="15" t="n">
        <v>1.24</v>
      </c>
      <c r="I786" s="45" t="n">
        <v>11568148.318</v>
      </c>
      <c r="J786" s="45" t="n">
        <v>11708575.68655</v>
      </c>
      <c r="K786" s="45" t="n">
        <v>4580000</v>
      </c>
      <c r="L786" s="45" t="n">
        <v>4693204.65</v>
      </c>
      <c r="M786" s="45" t="n">
        <v>1463814.505</v>
      </c>
      <c r="N786" s="45" t="n">
        <v>1499999.99956</v>
      </c>
      <c r="O786" s="45" t="n">
        <v>4879381.68</v>
      </c>
      <c r="P786" s="45" t="n">
        <v>4999999.99513</v>
      </c>
      <c r="Q786" s="45" t="n">
        <v>0</v>
      </c>
      <c r="R786" s="45" t="n">
        <v>0</v>
      </c>
      <c r="S786" s="45" t="n">
        <v>10923196.185</v>
      </c>
      <c r="T786" s="45" t="n">
        <v>11193204.64469</v>
      </c>
      <c r="U786" s="15" t="n">
        <v>1.92</v>
      </c>
      <c r="V786" s="15" t="n">
        <v>3.88</v>
      </c>
      <c r="W786" s="49" t="n">
        <v>102.472</v>
      </c>
    </row>
    <row r="787">
      <c r="A787" s="44" t="inlineStr">
        <is>
          <t>TL Cinsi TUFE Endeksli Senetler</t>
        </is>
      </c>
      <c r="B787" s="44" t="n">
        <v>2024</v>
      </c>
      <c r="C787" s="44" t="inlineStr">
        <is>
          <t>TRT180827T19</t>
        </is>
      </c>
      <c r="D787" s="44" t="inlineStr">
        <is>
          <t>21.08.2024</t>
        </is>
      </c>
      <c r="E787" s="44" t="inlineStr">
        <is>
          <t>18.08.2027</t>
        </is>
      </c>
      <c r="F787" s="44" t="n">
        <v>1092</v>
      </c>
      <c r="G787" s="44" t="inlineStr">
        <is>
          <t>6 ay</t>
        </is>
      </c>
      <c r="H787" s="15" t="n">
        <v>1.5</v>
      </c>
      <c r="I787" s="45" t="n">
        <v>14794000</v>
      </c>
      <c r="J787" s="45" t="n">
        <v>13700691.99</v>
      </c>
      <c r="K787" s="45" t="n">
        <v>5284000</v>
      </c>
      <c r="L787" s="45" t="n">
        <v>5030692.79</v>
      </c>
      <c r="M787" s="45" t="n">
        <v>6317879.124</v>
      </c>
      <c r="N787" s="45" t="n">
        <v>6014999.9988</v>
      </c>
      <c r="O787" s="45" t="n">
        <v>4726592.86</v>
      </c>
      <c r="P787" s="45" t="n">
        <v>4499999.99829</v>
      </c>
      <c r="Q787" s="45" t="n">
        <v>279660.22</v>
      </c>
      <c r="R787" s="45" t="n">
        <v>266253.30905</v>
      </c>
      <c r="S787" s="45" t="n">
        <v>16608132.204</v>
      </c>
      <c r="T787" s="45" t="n">
        <v>15811946.09614</v>
      </c>
      <c r="U787" s="15" t="n">
        <v>2.37</v>
      </c>
      <c r="V787" s="15" t="n">
        <v>4.79</v>
      </c>
      <c r="W787" s="49" t="n">
        <v>95.206</v>
      </c>
    </row>
    <row r="788">
      <c r="A788" s="44" t="inlineStr">
        <is>
          <t>TL Cinsi TUFE Endeksli Senetler</t>
        </is>
      </c>
      <c r="B788" s="44" t="n">
        <v>2024</v>
      </c>
      <c r="C788" s="44" t="inlineStr">
        <is>
          <t>TRT180827T19</t>
        </is>
      </c>
      <c r="D788" s="44" t="inlineStr">
        <is>
          <t>18.09.2024</t>
        </is>
      </c>
      <c r="E788" s="44" t="inlineStr">
        <is>
          <t>18.08.2027</t>
        </is>
      </c>
      <c r="F788" s="44" t="n">
        <v>1064</v>
      </c>
      <c r="G788" s="44" t="inlineStr">
        <is>
          <t>6 ay</t>
        </is>
      </c>
      <c r="H788" s="15" t="n">
        <v>1.5</v>
      </c>
      <c r="I788" s="45" t="n">
        <v>10090000</v>
      </c>
      <c r="J788" s="45" t="n">
        <v>9698453.32</v>
      </c>
      <c r="K788" s="45" t="n">
        <v>5506000</v>
      </c>
      <c r="L788" s="45" t="n">
        <v>5360273.77</v>
      </c>
      <c r="M788" s="45" t="n">
        <v>5135948.558</v>
      </c>
      <c r="N788" s="45" t="n">
        <v>4999999.99967</v>
      </c>
      <c r="O788" s="45" t="n">
        <v>6163138.267</v>
      </c>
      <c r="P788" s="45" t="n">
        <v>5999999.99707</v>
      </c>
      <c r="Q788" s="45" t="n">
        <v>2305955.645</v>
      </c>
      <c r="R788" s="45" t="n">
        <v>2244916.99907</v>
      </c>
      <c r="S788" s="45" t="n">
        <v>19111042.47</v>
      </c>
      <c r="T788" s="45" t="n">
        <v>18605190.76581</v>
      </c>
      <c r="U788" s="15" t="n">
        <v>2.46</v>
      </c>
      <c r="V788" s="15" t="n">
        <v>4.98</v>
      </c>
      <c r="W788" s="49" t="n">
        <v>97.35299999999999</v>
      </c>
    </row>
    <row r="789">
      <c r="A789" s="44" t="inlineStr">
        <is>
          <t>TL Cinsi TUFE Endeksli Senetler</t>
        </is>
      </c>
      <c r="B789" s="44" t="n">
        <v>2024</v>
      </c>
      <c r="C789" s="44" t="inlineStr">
        <is>
          <t>TRT180827T19</t>
        </is>
      </c>
      <c r="D789" s="44" t="inlineStr">
        <is>
          <t>16.10.2024</t>
        </is>
      </c>
      <c r="E789" s="44" t="inlineStr">
        <is>
          <t>18.08.2027</t>
        </is>
      </c>
      <c r="F789" s="44" t="n">
        <v>1036</v>
      </c>
      <c r="G789" s="44" t="inlineStr">
        <is>
          <t>6 ay</t>
        </is>
      </c>
      <c r="H789" s="15" t="n">
        <v>1.5</v>
      </c>
      <c r="I789" s="45" t="n">
        <v>4531000</v>
      </c>
      <c r="J789" s="45" t="n">
        <v>4474487.88</v>
      </c>
      <c r="K789" s="45" t="n">
        <v>2600000</v>
      </c>
      <c r="L789" s="45" t="n">
        <v>2595550.5</v>
      </c>
      <c r="M789" s="45" t="n">
        <v>6511134.038</v>
      </c>
      <c r="N789" s="45" t="n">
        <v>6499999.9988</v>
      </c>
      <c r="O789" s="45" t="n">
        <v>1001712.926</v>
      </c>
      <c r="P789" s="45" t="n">
        <v>999999.99689</v>
      </c>
      <c r="Q789" s="45" t="n">
        <v>0</v>
      </c>
      <c r="R789" s="45" t="n">
        <v>0</v>
      </c>
      <c r="S789" s="45" t="n">
        <v>10112846.964</v>
      </c>
      <c r="T789" s="45" t="n">
        <v>10095550.49569</v>
      </c>
      <c r="U789" s="15" t="n">
        <v>2.54</v>
      </c>
      <c r="V789" s="15" t="n">
        <v>5.14</v>
      </c>
      <c r="W789" s="49" t="n">
        <v>99.82899999999999</v>
      </c>
    </row>
    <row r="790">
      <c r="A790" s="44" t="inlineStr">
        <is>
          <t>TL Cinsi TUFE Endeksli Senetler</t>
        </is>
      </c>
      <c r="B790" s="44" t="n">
        <v>2024</v>
      </c>
      <c r="C790" s="44" t="inlineStr">
        <is>
          <t>TRT180827T19</t>
        </is>
      </c>
      <c r="D790" s="44" t="inlineStr">
        <is>
          <t>06.11.2024</t>
        </is>
      </c>
      <c r="E790" s="44" t="inlineStr">
        <is>
          <t>18.08.2027</t>
        </is>
      </c>
      <c r="F790" s="44" t="n">
        <v>1015</v>
      </c>
      <c r="G790" s="44" t="inlineStr">
        <is>
          <t>6 ay</t>
        </is>
      </c>
      <c r="H790" s="15" t="n">
        <v>1.5</v>
      </c>
      <c r="I790" s="45" t="n">
        <v>6920000</v>
      </c>
      <c r="J790" s="45" t="n">
        <v>6951449.4</v>
      </c>
      <c r="K790" s="45" t="n">
        <v>4515000</v>
      </c>
      <c r="L790" s="45" t="n">
        <v>4581131.1</v>
      </c>
      <c r="M790" s="45" t="n">
        <v>6406149.903</v>
      </c>
      <c r="N790" s="45" t="n">
        <v>6499999.99908</v>
      </c>
      <c r="O790" s="45" t="n">
        <v>1971123.045</v>
      </c>
      <c r="P790" s="45" t="n">
        <v>1999999.99761</v>
      </c>
      <c r="Q790" s="45" t="n">
        <v>1505842.408</v>
      </c>
      <c r="R790" s="45" t="n">
        <v>1527902.99928</v>
      </c>
      <c r="S790" s="45" t="n">
        <v>14398115.356</v>
      </c>
      <c r="T790" s="45" t="n">
        <v>14609034.09597</v>
      </c>
      <c r="U790" s="15" t="n">
        <v>2.62</v>
      </c>
      <c r="V790" s="15" t="n">
        <v>5.3</v>
      </c>
      <c r="W790" s="49" t="n">
        <v>101.465</v>
      </c>
    </row>
    <row r="791">
      <c r="A791" s="44" t="inlineStr">
        <is>
          <t>TL Cinsi TUFE Endeksli Senetler</t>
        </is>
      </c>
      <c r="B791" s="44" t="n">
        <v>2024</v>
      </c>
      <c r="C791" s="44" t="inlineStr">
        <is>
          <t>TRT151227T16</t>
        </is>
      </c>
      <c r="D791" s="44" t="inlineStr">
        <is>
          <t>18.12.2024</t>
        </is>
      </c>
      <c r="E791" s="44" t="inlineStr">
        <is>
          <t>15.12.2027</t>
        </is>
      </c>
      <c r="F791" s="44" t="n">
        <v>1092</v>
      </c>
      <c r="G791" s="44" t="inlineStr">
        <is>
          <t>6 ay</t>
        </is>
      </c>
      <c r="H791" s="15" t="n">
        <v>1.5</v>
      </c>
      <c r="I791" s="45" t="n">
        <v>9835000</v>
      </c>
      <c r="J791" s="45" t="n">
        <v>8951718.880000001</v>
      </c>
      <c r="K791" s="45" t="n">
        <v>1313000</v>
      </c>
      <c r="L791" s="45" t="n">
        <v>1232109.16</v>
      </c>
      <c r="M791" s="45" t="n">
        <v>7459585.033</v>
      </c>
      <c r="N791" s="45" t="n">
        <v>6999999.99912</v>
      </c>
      <c r="O791" s="45" t="n">
        <v>3196965.013</v>
      </c>
      <c r="P791" s="45" t="n">
        <v>2999999.99856</v>
      </c>
      <c r="Q791" s="45" t="n">
        <v>619071.1310000001</v>
      </c>
      <c r="R791" s="45" t="n">
        <v>580930.15862</v>
      </c>
      <c r="S791" s="45" t="n">
        <v>12588621.177</v>
      </c>
      <c r="T791" s="45" t="n">
        <v>11813039.3163</v>
      </c>
      <c r="U791" s="15" t="n">
        <v>2.62</v>
      </c>
      <c r="V791" s="15" t="n">
        <v>5.31</v>
      </c>
      <c r="W791" s="49" t="n">
        <v>93.839</v>
      </c>
    </row>
    <row r="792">
      <c r="A792" s="44" t="inlineStr">
        <is>
          <t>TL Cinsi TUFE Endeksli Senetler</t>
        </is>
      </c>
      <c r="B792" s="44" t="n">
        <v>2023</v>
      </c>
      <c r="C792" s="44" t="inlineStr">
        <is>
          <t>TRT120133T14</t>
        </is>
      </c>
      <c r="D792" s="44" t="inlineStr">
        <is>
          <t>25.01.2023</t>
        </is>
      </c>
      <c r="E792" s="44" t="inlineStr">
        <is>
          <t>12.01.2033</t>
        </is>
      </c>
      <c r="F792" s="44" t="n">
        <v>3640</v>
      </c>
      <c r="G792" s="44" t="inlineStr">
        <is>
          <t>6 ay</t>
        </is>
      </c>
      <c r="H792" s="15" t="n">
        <v>0</v>
      </c>
      <c r="I792" s="45" t="n">
        <v>5992001</v>
      </c>
      <c r="J792" s="45" t="n">
        <v>7108478.05</v>
      </c>
      <c r="K792" s="45" t="n">
        <v>1140000</v>
      </c>
      <c r="L792" s="45" t="n">
        <v>1484107.6</v>
      </c>
      <c r="M792" s="45" t="n">
        <v>0</v>
      </c>
      <c r="N792" s="45" t="n">
        <v>0</v>
      </c>
      <c r="O792" s="45" t="n">
        <v>537696.349</v>
      </c>
      <c r="P792" s="45" t="n">
        <v>699999.99193</v>
      </c>
      <c r="Q792" s="45" t="n">
        <v>252279.448</v>
      </c>
      <c r="R792" s="45" t="n">
        <v>328429.99938</v>
      </c>
      <c r="S792" s="45" t="n">
        <v>1929975.797</v>
      </c>
      <c r="T792" s="45" t="n">
        <v>2512537.59131</v>
      </c>
      <c r="U792" s="15" t="n">
        <v>-1.31</v>
      </c>
      <c r="V792" s="15" t="n">
        <v>-2.6</v>
      </c>
      <c r="W792" s="49" t="n">
        <v>130.185</v>
      </c>
    </row>
    <row r="793">
      <c r="A793" s="44" t="inlineStr">
        <is>
          <t>TL Cinsi TUFE Endeksli Senetler</t>
        </is>
      </c>
      <c r="B793" s="44" t="n">
        <v>2023</v>
      </c>
      <c r="C793" s="44" t="inlineStr">
        <is>
          <t>TRT120133T14</t>
        </is>
      </c>
      <c r="D793" s="44" t="inlineStr">
        <is>
          <t>22.02.2023</t>
        </is>
      </c>
      <c r="E793" s="44" t="inlineStr">
        <is>
          <t>12.01.2033</t>
        </is>
      </c>
      <c r="F793" s="44" t="n">
        <v>3612</v>
      </c>
      <c r="G793" s="44" t="inlineStr">
        <is>
          <t>6 ay</t>
        </is>
      </c>
      <c r="H793" s="15" t="n">
        <v>0</v>
      </c>
      <c r="I793" s="45" t="n">
        <v>18868500</v>
      </c>
      <c r="J793" s="45" t="n">
        <v>28569415.465</v>
      </c>
      <c r="K793" s="45" t="n">
        <v>1085000</v>
      </c>
      <c r="L793" s="45" t="n">
        <v>1820998.05</v>
      </c>
      <c r="M793" s="45" t="n">
        <v>0</v>
      </c>
      <c r="N793" s="45" t="n">
        <v>0</v>
      </c>
      <c r="O793" s="45" t="n">
        <v>744783.534</v>
      </c>
      <c r="P793" s="45" t="n">
        <v>1249999.99641</v>
      </c>
      <c r="Q793" s="45" t="n">
        <v>411064.224</v>
      </c>
      <c r="R793" s="45" t="n">
        <v>689905.52971</v>
      </c>
      <c r="S793" s="45" t="n">
        <v>2240847.758</v>
      </c>
      <c r="T793" s="45" t="n">
        <v>3760903.57612</v>
      </c>
      <c r="U793" s="15" t="n">
        <v>-2.5</v>
      </c>
      <c r="V793" s="15" t="n">
        <v>-4.94</v>
      </c>
      <c r="W793" s="49" t="n">
        <v>167.834</v>
      </c>
    </row>
    <row r="794">
      <c r="A794" s="44" t="inlineStr">
        <is>
          <t>TL Cinsi TUFE Endeksli Senetler</t>
        </is>
      </c>
      <c r="B794" s="44" t="n">
        <v>2023</v>
      </c>
      <c r="C794" s="44" t="inlineStr">
        <is>
          <t>TRT120133T14</t>
        </is>
      </c>
      <c r="D794" s="44" t="inlineStr">
        <is>
          <t>22.03.2023</t>
        </is>
      </c>
      <c r="E794" s="44" t="inlineStr">
        <is>
          <t>12.01.2033</t>
        </is>
      </c>
      <c r="F794" s="44" t="n">
        <v>3584</v>
      </c>
      <c r="G794" s="44" t="inlineStr">
        <is>
          <t>6 ay</t>
        </is>
      </c>
      <c r="H794" s="15" t="n">
        <v>0</v>
      </c>
      <c r="I794" s="45" t="n">
        <v>12564000</v>
      </c>
      <c r="J794" s="45" t="n">
        <v>18776692.85</v>
      </c>
      <c r="K794" s="45" t="n">
        <v>1600000</v>
      </c>
      <c r="L794" s="45" t="n">
        <v>2690837</v>
      </c>
      <c r="M794" s="45" t="n">
        <v>0</v>
      </c>
      <c r="N794" s="45" t="n">
        <v>0</v>
      </c>
      <c r="O794" s="45" t="n">
        <v>743264.5330000001</v>
      </c>
      <c r="P794" s="45" t="n">
        <v>1249999.99367</v>
      </c>
      <c r="Q794" s="45" t="n">
        <v>0</v>
      </c>
      <c r="R794" s="45" t="n">
        <v>0</v>
      </c>
      <c r="S794" s="45" t="n">
        <v>2343264.533</v>
      </c>
      <c r="T794" s="45" t="n">
        <v>3940836.99367</v>
      </c>
      <c r="U794" s="15" t="n">
        <v>-2.3</v>
      </c>
      <c r="V794" s="15" t="n">
        <v>-4.54</v>
      </c>
      <c r="W794" s="49" t="n">
        <v>168.177</v>
      </c>
    </row>
    <row r="795">
      <c r="A795" s="44" t="inlineStr">
        <is>
          <t>TL Cinsi TUFE Endeksli Senetler</t>
        </is>
      </c>
      <c r="B795" s="44" t="n">
        <v>2023</v>
      </c>
      <c r="C795" s="44" t="inlineStr">
        <is>
          <t>TRT120133T14</t>
        </is>
      </c>
      <c r="D795" s="44" t="inlineStr">
        <is>
          <t>19.04.2023</t>
        </is>
      </c>
      <c r="E795" s="44" t="inlineStr">
        <is>
          <t>12.01.2033</t>
        </is>
      </c>
      <c r="F795" s="44" t="n">
        <v>3556</v>
      </c>
      <c r="G795" s="44" t="inlineStr">
        <is>
          <t>6 ay</t>
        </is>
      </c>
      <c r="H795" s="15" t="n">
        <v>0</v>
      </c>
      <c r="I795" s="45" t="n">
        <v>4170000</v>
      </c>
      <c r="J795" s="45" t="n">
        <v>4761832.85</v>
      </c>
      <c r="K795" s="45" t="n">
        <v>890000</v>
      </c>
      <c r="L795" s="45" t="n">
        <v>1170789.2</v>
      </c>
      <c r="M795" s="45" t="n">
        <v>0</v>
      </c>
      <c r="N795" s="45" t="n">
        <v>0</v>
      </c>
      <c r="O795" s="45" t="n">
        <v>760173.0110000001</v>
      </c>
      <c r="P795" s="45" t="n">
        <v>999999.99424</v>
      </c>
      <c r="Q795" s="45" t="n">
        <v>0</v>
      </c>
      <c r="R795" s="45" t="n">
        <v>0</v>
      </c>
      <c r="S795" s="45" t="n">
        <v>1650173.011</v>
      </c>
      <c r="T795" s="45" t="n">
        <v>2170789.19424</v>
      </c>
      <c r="U795" s="15" t="n">
        <v>-0.88</v>
      </c>
      <c r="V795" s="15" t="n">
        <v>-1.76</v>
      </c>
      <c r="W795" s="49" t="n">
        <v>131.549</v>
      </c>
    </row>
    <row r="796">
      <c r="A796" s="44" t="inlineStr">
        <is>
          <t>TL Cinsi TUFE Endeksli Senetler</t>
        </is>
      </c>
      <c r="B796" s="44" t="n">
        <v>2023</v>
      </c>
      <c r="C796" s="44" t="inlineStr">
        <is>
          <t>TRT120133T14</t>
        </is>
      </c>
      <c r="D796" s="44" t="inlineStr">
        <is>
          <t>10.05.2023</t>
        </is>
      </c>
      <c r="E796" s="44" t="inlineStr">
        <is>
          <t>12.01.2033</t>
        </is>
      </c>
      <c r="F796" s="44" t="n">
        <v>3535</v>
      </c>
      <c r="G796" s="44" t="inlineStr">
        <is>
          <t>6 ay</t>
        </is>
      </c>
      <c r="H796" s="15" t="n">
        <v>0</v>
      </c>
      <c r="I796" s="45" t="n">
        <v>8830000</v>
      </c>
      <c r="J796" s="45" t="n">
        <v>9571834.9</v>
      </c>
      <c r="K796" s="45" t="n">
        <v>4035000</v>
      </c>
      <c r="L796" s="45" t="n">
        <v>4578862.35</v>
      </c>
      <c r="M796" s="45" t="n">
        <v>0</v>
      </c>
      <c r="N796" s="45" t="n">
        <v>0</v>
      </c>
      <c r="O796" s="45" t="n">
        <v>1321830.466</v>
      </c>
      <c r="P796" s="45" t="n">
        <v>1499999.99451</v>
      </c>
      <c r="Q796" s="45" t="n">
        <v>560700</v>
      </c>
      <c r="R796" s="45" t="n">
        <v>636276.753</v>
      </c>
      <c r="S796" s="45" t="n">
        <v>5917530.466</v>
      </c>
      <c r="T796" s="45" t="n">
        <v>6715139.097510001</v>
      </c>
      <c r="U796" s="15" t="n">
        <v>-0.03</v>
      </c>
      <c r="V796" s="15" t="n">
        <v>-0.07000000000000001</v>
      </c>
      <c r="W796" s="49" t="n">
        <v>113.479</v>
      </c>
    </row>
    <row r="797">
      <c r="A797" s="44" t="inlineStr">
        <is>
          <t>TL Cinsi TUFE Endeksli Senetler</t>
        </is>
      </c>
      <c r="B797" s="44" t="n">
        <v>2023</v>
      </c>
      <c r="C797" s="44" t="inlineStr">
        <is>
          <t>TRT120133T14</t>
        </is>
      </c>
      <c r="D797" s="44" t="inlineStr">
        <is>
          <t>21.06.2023</t>
        </is>
      </c>
      <c r="E797" s="44" t="inlineStr">
        <is>
          <t>12.01.2033</t>
        </is>
      </c>
      <c r="F797" s="44" t="n">
        <v>3493</v>
      </c>
      <c r="G797" s="44" t="inlineStr">
        <is>
          <t>6 ay</t>
        </is>
      </c>
      <c r="H797" s="15" t="n">
        <v>0</v>
      </c>
      <c r="I797" s="45" t="n">
        <v>8953000</v>
      </c>
      <c r="J797" s="45" t="n">
        <v>10469541.87</v>
      </c>
      <c r="K797" s="45" t="n">
        <v>1455000</v>
      </c>
      <c r="L797" s="45" t="n">
        <v>1999669.9</v>
      </c>
      <c r="M797" s="45" t="n">
        <v>0</v>
      </c>
      <c r="N797" s="45" t="n">
        <v>0</v>
      </c>
      <c r="O797" s="45" t="n">
        <v>545716.486</v>
      </c>
      <c r="P797" s="45" t="n">
        <v>749999.99537</v>
      </c>
      <c r="Q797" s="45" t="n">
        <v>460986.758</v>
      </c>
      <c r="R797" s="45" t="n">
        <v>633552.54099</v>
      </c>
      <c r="S797" s="45" t="n">
        <v>2461703.244</v>
      </c>
      <c r="T797" s="45" t="n">
        <v>3383222.43636</v>
      </c>
      <c r="U797" s="15" t="n">
        <v>-0.86</v>
      </c>
      <c r="V797" s="15" t="n">
        <v>-1.72</v>
      </c>
      <c r="W797" s="49" t="n">
        <v>137.434</v>
      </c>
    </row>
    <row r="798">
      <c r="A798" s="44" t="inlineStr">
        <is>
          <t>TL Cinsi TUFE Endeksli Senetler</t>
        </is>
      </c>
      <c r="B798" s="44" t="n">
        <v>2023</v>
      </c>
      <c r="C798" s="44" t="inlineStr">
        <is>
          <t>TRT190728T34</t>
        </is>
      </c>
      <c r="D798" s="44" t="inlineStr">
        <is>
          <t>26.07.2023</t>
        </is>
      </c>
      <c r="E798" s="44" t="inlineStr">
        <is>
          <t>19.07.2028</t>
        </is>
      </c>
      <c r="F798" s="44" t="n">
        <v>1820</v>
      </c>
      <c r="G798" s="44" t="inlineStr">
        <is>
          <t>6 ay</t>
        </is>
      </c>
      <c r="H798" s="15" t="n">
        <v>0</v>
      </c>
      <c r="I798" s="45" t="n">
        <v>57792500</v>
      </c>
      <c r="J798" s="45" t="n">
        <v>80330120.05500001</v>
      </c>
      <c r="K798" s="45" t="n">
        <v>7013000</v>
      </c>
      <c r="L798" s="45" t="n">
        <v>10437598.22</v>
      </c>
      <c r="M798" s="45" t="n">
        <v>2015695.549</v>
      </c>
      <c r="N798" s="45" t="n">
        <v>2999999.99949</v>
      </c>
      <c r="O798" s="45" t="n">
        <v>5375188.126</v>
      </c>
      <c r="P798" s="45" t="n">
        <v>7999999.99172</v>
      </c>
      <c r="Q798" s="45" t="n">
        <v>3345111.977</v>
      </c>
      <c r="R798" s="45" t="n">
        <v>4978597.05761</v>
      </c>
      <c r="S798" s="45" t="n">
        <v>17748995.652</v>
      </c>
      <c r="T798" s="45" t="n">
        <v>26416195.26882</v>
      </c>
      <c r="U798" s="15" t="n">
        <v>-3.9</v>
      </c>
      <c r="V798" s="15" t="n">
        <v>-7.64</v>
      </c>
      <c r="W798" s="49" t="n">
        <v>148.832</v>
      </c>
    </row>
    <row r="799">
      <c r="A799" s="44" t="inlineStr">
        <is>
          <t>TL Cinsi TUFE Endeksli Senetler</t>
        </is>
      </c>
      <c r="B799" s="44" t="n">
        <v>2023</v>
      </c>
      <c r="C799" s="44" t="inlineStr">
        <is>
          <t>TRT190728T34</t>
        </is>
      </c>
      <c r="D799" s="44" t="inlineStr">
        <is>
          <t>16.08.2023</t>
        </is>
      </c>
      <c r="E799" s="44" t="inlineStr">
        <is>
          <t>19.07.2028</t>
        </is>
      </c>
      <c r="F799" s="44" t="n">
        <v>1799</v>
      </c>
      <c r="G799" s="44" t="inlineStr">
        <is>
          <t>6 ay</t>
        </is>
      </c>
      <c r="H799" s="15" t="n">
        <v>0</v>
      </c>
      <c r="I799" s="45" t="n">
        <v>61890000</v>
      </c>
      <c r="J799" s="45" t="n">
        <v>104335389.92</v>
      </c>
      <c r="K799" s="45" t="n">
        <v>14061000</v>
      </c>
      <c r="L799" s="45" t="n">
        <v>25366514.81</v>
      </c>
      <c r="M799" s="45" t="n">
        <v>0</v>
      </c>
      <c r="N799" s="45" t="n">
        <v>0</v>
      </c>
      <c r="O799" s="45" t="n">
        <v>11086290.133</v>
      </c>
      <c r="P799" s="45" t="n">
        <v>19999999.98865</v>
      </c>
      <c r="Q799" s="45" t="n">
        <v>6354555.927</v>
      </c>
      <c r="R799" s="45" t="n">
        <v>11463809.52899</v>
      </c>
      <c r="S799" s="45" t="n">
        <v>31501846.06</v>
      </c>
      <c r="T799" s="45" t="n">
        <v>56830324.32764</v>
      </c>
      <c r="U799" s="15" t="n">
        <v>-5.61</v>
      </c>
      <c r="V799" s="15" t="n">
        <v>-10.91</v>
      </c>
      <c r="W799" s="49" t="n">
        <v>180.403</v>
      </c>
    </row>
    <row r="800">
      <c r="A800" s="44" t="inlineStr">
        <is>
          <t>TL Cinsi TUFE Endeksli Senetler</t>
        </is>
      </c>
      <c r="B800" s="44" t="n">
        <v>2023</v>
      </c>
      <c r="C800" s="44" t="inlineStr">
        <is>
          <t>TRT070933T13</t>
        </is>
      </c>
      <c r="D800" s="44" t="inlineStr">
        <is>
          <t>20.09.2023</t>
        </is>
      </c>
      <c r="E800" s="44" t="inlineStr">
        <is>
          <t>07.09.2033</t>
        </is>
      </c>
      <c r="F800" s="44" t="n">
        <v>3640</v>
      </c>
      <c r="G800" s="44" t="inlineStr">
        <is>
          <t>6 ay</t>
        </is>
      </c>
      <c r="H800" s="15" t="n">
        <v>0</v>
      </c>
      <c r="I800" s="45" t="n">
        <v>34798000</v>
      </c>
      <c r="J800" s="45" t="n">
        <v>41780926.27</v>
      </c>
      <c r="K800" s="45" t="n">
        <v>5760000</v>
      </c>
      <c r="L800" s="45" t="n">
        <v>7604862.6</v>
      </c>
      <c r="M800" s="45" t="n">
        <v>2272228.071</v>
      </c>
      <c r="N800" s="45" t="n">
        <v>2999999.99986</v>
      </c>
      <c r="O800" s="45" t="n">
        <v>5301865.494</v>
      </c>
      <c r="P800" s="45" t="n">
        <v>6999999.99307</v>
      </c>
      <c r="Q800" s="45" t="n">
        <v>2830180.748</v>
      </c>
      <c r="R800" s="45" t="n">
        <v>3736659.33977</v>
      </c>
      <c r="S800" s="45" t="n">
        <v>16164274.313</v>
      </c>
      <c r="T800" s="45" t="n">
        <v>21341521.9327</v>
      </c>
      <c r="U800" s="15" t="n">
        <v>-1.38</v>
      </c>
      <c r="V800" s="15" t="n">
        <v>-2.74</v>
      </c>
      <c r="W800" s="49" t="n">
        <v>132.029</v>
      </c>
    </row>
    <row r="801">
      <c r="A801" s="44" t="inlineStr">
        <is>
          <t>TL Cinsi TUFE Endeksli Senetler</t>
        </is>
      </c>
      <c r="B801" s="44" t="n">
        <v>2023</v>
      </c>
      <c r="C801" s="44" t="inlineStr">
        <is>
          <t>TRT181028T14</t>
        </is>
      </c>
      <c r="D801" s="44" t="inlineStr">
        <is>
          <t>25.10.2023</t>
        </is>
      </c>
      <c r="E801" s="44" t="inlineStr">
        <is>
          <t>18.10.2028</t>
        </is>
      </c>
      <c r="F801" s="44" t="n">
        <v>1820</v>
      </c>
      <c r="G801" s="44" t="inlineStr">
        <is>
          <t>6 ay</t>
        </is>
      </c>
      <c r="H801" s="15" t="n">
        <v>0</v>
      </c>
      <c r="I801" s="45" t="n">
        <v>25003020.491</v>
      </c>
      <c r="J801" s="45" t="n">
        <v>28540766.71902</v>
      </c>
      <c r="K801" s="45" t="n">
        <v>3500000</v>
      </c>
      <c r="L801" s="45" t="n">
        <v>4656795</v>
      </c>
      <c r="M801" s="45" t="n">
        <v>1878978.737</v>
      </c>
      <c r="N801" s="45" t="n">
        <v>2499999.99937</v>
      </c>
      <c r="O801" s="45" t="n">
        <v>1878978.733</v>
      </c>
      <c r="P801" s="45" t="n">
        <v>2499999.99406</v>
      </c>
      <c r="Q801" s="45" t="n">
        <v>0</v>
      </c>
      <c r="R801" s="45" t="n">
        <v>0</v>
      </c>
      <c r="S801" s="45" t="n">
        <v>7257957.47</v>
      </c>
      <c r="T801" s="45" t="n">
        <v>9656794.99343</v>
      </c>
      <c r="U801" s="15" t="n">
        <v>-2.82</v>
      </c>
      <c r="V801" s="15" t="n">
        <v>-5.55</v>
      </c>
      <c r="W801" s="49" t="n">
        <v>133.051</v>
      </c>
    </row>
    <row r="802">
      <c r="A802" s="44" t="inlineStr">
        <is>
          <t>TL Cinsi TUFE Endeksli Senetler</t>
        </is>
      </c>
      <c r="B802" s="44" t="n">
        <v>2023</v>
      </c>
      <c r="C802" s="44" t="inlineStr">
        <is>
          <t>TRT181028T14</t>
        </is>
      </c>
      <c r="D802" s="44" t="inlineStr">
        <is>
          <t>15.11.2023</t>
        </is>
      </c>
      <c r="E802" s="44" t="inlineStr">
        <is>
          <t>18.10.2028</t>
        </is>
      </c>
      <c r="F802" s="44" t="n">
        <v>1799</v>
      </c>
      <c r="G802" s="44" t="inlineStr">
        <is>
          <t>6 ay</t>
        </is>
      </c>
      <c r="H802" s="15" t="n">
        <v>0</v>
      </c>
      <c r="I802" s="45" t="n">
        <v>22524007.462</v>
      </c>
      <c r="J802" s="45" t="n">
        <v>22991024.21908</v>
      </c>
      <c r="K802" s="45" t="n">
        <v>4970007.462</v>
      </c>
      <c r="L802" s="45" t="n">
        <v>5536396.69908</v>
      </c>
      <c r="M802" s="45" t="n">
        <v>2693094.904</v>
      </c>
      <c r="N802" s="45" t="n">
        <v>2999999.99926</v>
      </c>
      <c r="O802" s="45" t="n">
        <v>1795396.6</v>
      </c>
      <c r="P802" s="45" t="n">
        <v>1999999.99652</v>
      </c>
      <c r="Q802" s="45" t="n">
        <v>0</v>
      </c>
      <c r="R802" s="45" t="n">
        <v>0</v>
      </c>
      <c r="S802" s="45" t="n">
        <v>9458498.966</v>
      </c>
      <c r="T802" s="45" t="n">
        <v>10536396.69486</v>
      </c>
      <c r="U802" s="15" t="n">
        <v>-0.68</v>
      </c>
      <c r="V802" s="15" t="n">
        <v>-1.35</v>
      </c>
      <c r="W802" s="49" t="n">
        <v>111.396</v>
      </c>
    </row>
    <row r="803">
      <c r="A803" s="44" t="inlineStr">
        <is>
          <t>TL Cinsi TUFE Endeksli Senetler</t>
        </is>
      </c>
      <c r="B803" s="44" t="n">
        <v>2023</v>
      </c>
      <c r="C803" s="44" t="inlineStr">
        <is>
          <t>TRT181028T14</t>
        </is>
      </c>
      <c r="D803" s="44" t="inlineStr">
        <is>
          <t>13.12.2023</t>
        </is>
      </c>
      <c r="E803" s="44" t="inlineStr">
        <is>
          <t>18.10.2028</t>
        </is>
      </c>
      <c r="F803" s="44" t="n">
        <v>1771</v>
      </c>
      <c r="G803" s="44" t="inlineStr">
        <is>
          <t>6 ay</t>
        </is>
      </c>
      <c r="H803" s="15" t="n">
        <v>0</v>
      </c>
      <c r="I803" s="45" t="n">
        <v>9117001.051999999</v>
      </c>
      <c r="J803" s="45" t="n">
        <v>9618171.299280001</v>
      </c>
      <c r="K803" s="45" t="n">
        <v>4220001.052</v>
      </c>
      <c r="L803" s="45" t="n">
        <v>4566492.19928</v>
      </c>
      <c r="M803" s="45" t="n">
        <v>2772361.404</v>
      </c>
      <c r="N803" s="45" t="n">
        <v>2999999.99888</v>
      </c>
      <c r="O803" s="45" t="n">
        <v>924120.466</v>
      </c>
      <c r="P803" s="45" t="n">
        <v>999999.9974699999</v>
      </c>
      <c r="Q803" s="45" t="n">
        <v>99805.00999999999</v>
      </c>
      <c r="R803" s="45" t="n">
        <v>107999.99937</v>
      </c>
      <c r="S803" s="45" t="n">
        <v>8016287.932</v>
      </c>
      <c r="T803" s="45" t="n">
        <v>8674492.195</v>
      </c>
      <c r="U803" s="15" t="n">
        <v>0</v>
      </c>
      <c r="V803" s="15" t="n">
        <v>-0.01</v>
      </c>
      <c r="W803" s="49" t="n">
        <v>108.211</v>
      </c>
    </row>
    <row r="804">
      <c r="A804" s="44" t="inlineStr">
        <is>
          <t>TL Cinsi TUFE Endeksli Senetler</t>
        </is>
      </c>
      <c r="B804" s="44" t="n">
        <v>2022</v>
      </c>
      <c r="C804" s="44" t="inlineStr">
        <is>
          <t>TRT120128T11</t>
        </is>
      </c>
      <c r="D804" s="44" t="inlineStr">
        <is>
          <t>26.01.2022</t>
        </is>
      </c>
      <c r="E804" s="44" t="inlineStr">
        <is>
          <t>12.01.2028</t>
        </is>
      </c>
      <c r="F804" s="44" t="n">
        <v>2177</v>
      </c>
      <c r="G804" s="44" t="inlineStr">
        <is>
          <t>6 ay</t>
        </is>
      </c>
      <c r="H804" s="15" t="n">
        <v>1.45</v>
      </c>
      <c r="I804" s="45" t="n">
        <v>12207001</v>
      </c>
      <c r="J804" s="45" t="n">
        <v>29462642.685</v>
      </c>
      <c r="K804" s="45" t="n">
        <v>4084500</v>
      </c>
      <c r="L804" s="45" t="n">
        <v>10287460.33</v>
      </c>
      <c r="M804" s="45" t="n">
        <v>158814.607</v>
      </c>
      <c r="N804" s="45" t="n">
        <v>399999.99807</v>
      </c>
      <c r="O804" s="45" t="n">
        <v>1588146.076</v>
      </c>
      <c r="P804" s="45" t="n">
        <v>3999999.99575</v>
      </c>
      <c r="Q804" s="45" t="n">
        <v>1488417.617</v>
      </c>
      <c r="R804" s="45" t="n">
        <v>3748817.91524</v>
      </c>
      <c r="S804" s="45" t="n">
        <v>7319878.300000001</v>
      </c>
      <c r="T804" s="45" t="n">
        <v>18436278.23906</v>
      </c>
      <c r="U804" s="15" t="n">
        <v>-1.29</v>
      </c>
      <c r="V804" s="15" t="n">
        <v>-2.57</v>
      </c>
      <c r="W804" s="49" t="n">
        <v>251.866</v>
      </c>
    </row>
    <row r="805">
      <c r="A805" s="44" t="inlineStr">
        <is>
          <t>TL Cinsi TUFE Endeksli Senetler</t>
        </is>
      </c>
      <c r="B805" s="44" t="n">
        <v>2022</v>
      </c>
      <c r="C805" s="44" t="inlineStr">
        <is>
          <t>TRT180625T13</t>
        </is>
      </c>
      <c r="D805" s="44" t="inlineStr">
        <is>
          <t>16.02.2022</t>
        </is>
      </c>
      <c r="E805" s="44" t="inlineStr">
        <is>
          <t>18.06.2025</t>
        </is>
      </c>
      <c r="F805" s="44" t="n">
        <v>1218</v>
      </c>
      <c r="G805" s="44" t="inlineStr">
        <is>
          <t>6 ay</t>
        </is>
      </c>
      <c r="H805" s="15" t="n">
        <v>0.75</v>
      </c>
      <c r="I805" s="45" t="n">
        <v>8466862</v>
      </c>
      <c r="J805" s="45" t="n">
        <v>15164994.82765</v>
      </c>
      <c r="K805" s="45" t="n">
        <v>3607001</v>
      </c>
      <c r="L805" s="45" t="n">
        <v>6658387.28462</v>
      </c>
      <c r="M805" s="45" t="n">
        <v>0</v>
      </c>
      <c r="N805" s="45" t="n">
        <v>0</v>
      </c>
      <c r="O805" s="45" t="n">
        <v>2708617.734</v>
      </c>
      <c r="P805" s="45" t="n">
        <v>4999999.99226</v>
      </c>
      <c r="Q805" s="45" t="n">
        <v>0</v>
      </c>
      <c r="R805" s="45" t="n">
        <v>0</v>
      </c>
      <c r="S805" s="45" t="n">
        <v>6315618.734</v>
      </c>
      <c r="T805" s="45" t="n">
        <v>11658387.27688</v>
      </c>
      <c r="U805" s="15" t="n">
        <v>-3.06</v>
      </c>
      <c r="V805" s="15" t="n">
        <v>-6.03</v>
      </c>
      <c r="W805" s="49" t="n">
        <v>184.596</v>
      </c>
    </row>
    <row r="806">
      <c r="A806" s="44" t="inlineStr">
        <is>
          <t>TL Cinsi TUFE Endeksli Senetler</t>
        </is>
      </c>
      <c r="B806" s="44" t="n">
        <v>2022</v>
      </c>
      <c r="C806" s="44" t="inlineStr">
        <is>
          <t>TRT110232T15</t>
        </is>
      </c>
      <c r="D806" s="44" t="inlineStr">
        <is>
          <t>23.02.2022</t>
        </is>
      </c>
      <c r="E806" s="44" t="inlineStr">
        <is>
          <t>11.02.2032</t>
        </is>
      </c>
      <c r="F806" s="44" t="n">
        <v>3640</v>
      </c>
      <c r="G806" s="44" t="inlineStr">
        <is>
          <t>6 ay</t>
        </is>
      </c>
      <c r="H806" s="15" t="n">
        <v>0</v>
      </c>
      <c r="I806" s="45" t="n">
        <v>20988504</v>
      </c>
      <c r="J806" s="45" t="n">
        <v>21052235.3892</v>
      </c>
      <c r="K806" s="45" t="n">
        <v>4655000</v>
      </c>
      <c r="L806" s="45" t="n">
        <v>4985616.2</v>
      </c>
      <c r="M806" s="45" t="n">
        <v>93368.93799999999</v>
      </c>
      <c r="N806" s="45" t="n">
        <v>99999.99997999999</v>
      </c>
      <c r="O806" s="45" t="n">
        <v>2334223.446</v>
      </c>
      <c r="P806" s="45" t="n">
        <v>2499999.99514</v>
      </c>
      <c r="Q806" s="45" t="n">
        <v>826158.615</v>
      </c>
      <c r="R806" s="45" t="n">
        <v>884832.39984</v>
      </c>
      <c r="S806" s="45" t="n">
        <v>7908750.999</v>
      </c>
      <c r="T806" s="45" t="n">
        <v>8470448.59496</v>
      </c>
      <c r="U806" s="15" t="n">
        <v>-0.34</v>
      </c>
      <c r="V806" s="15" t="n">
        <v>-0.68</v>
      </c>
      <c r="W806" s="49" t="n">
        <v>107.102</v>
      </c>
    </row>
    <row r="807">
      <c r="A807" s="44" t="inlineStr">
        <is>
          <t>TL Cinsi TUFE Endeksli Senetler</t>
        </is>
      </c>
      <c r="B807" s="44" t="n">
        <v>2022</v>
      </c>
      <c r="C807" s="44" t="inlineStr">
        <is>
          <t>TRT110232T15</t>
        </is>
      </c>
      <c r="D807" s="44" t="inlineStr">
        <is>
          <t>23.03.2022</t>
        </is>
      </c>
      <c r="E807" s="44" t="inlineStr">
        <is>
          <t>11.02.2032</t>
        </is>
      </c>
      <c r="F807" s="44" t="n">
        <v>3612</v>
      </c>
      <c r="G807" s="44" t="inlineStr">
        <is>
          <t>6 ay</t>
        </is>
      </c>
      <c r="H807" s="15" t="n">
        <v>0</v>
      </c>
      <c r="I807" s="45" t="n">
        <v>8779001</v>
      </c>
      <c r="J807" s="45" t="n">
        <v>11397189.08</v>
      </c>
      <c r="K807" s="45" t="n">
        <v>2200000</v>
      </c>
      <c r="L807" s="45" t="n">
        <v>3094605.05</v>
      </c>
      <c r="M807" s="45" t="n">
        <v>0</v>
      </c>
      <c r="N807" s="45" t="n">
        <v>0</v>
      </c>
      <c r="O807" s="45" t="n">
        <v>3554569.75</v>
      </c>
      <c r="P807" s="45" t="n">
        <v>4999999.9931</v>
      </c>
      <c r="Q807" s="45" t="n">
        <v>20000</v>
      </c>
      <c r="R807" s="45" t="n">
        <v>28132.8</v>
      </c>
      <c r="S807" s="45" t="n">
        <v>5774569.75</v>
      </c>
      <c r="T807" s="45" t="n">
        <v>8122737.843099999</v>
      </c>
      <c r="U807" s="15" t="n">
        <v>-1.2</v>
      </c>
      <c r="V807" s="15" t="n">
        <v>-2.38</v>
      </c>
      <c r="W807" s="49" t="n">
        <v>140.664</v>
      </c>
    </row>
    <row r="808">
      <c r="A808" s="44" t="inlineStr">
        <is>
          <t>TL Cinsi TUFE Endeksli Senetler</t>
        </is>
      </c>
      <c r="B808" s="44" t="n">
        <v>2022</v>
      </c>
      <c r="C808" s="44" t="inlineStr">
        <is>
          <t>TRT110232T15</t>
        </is>
      </c>
      <c r="D808" s="44" t="inlineStr">
        <is>
          <t>20.04.2022</t>
        </is>
      </c>
      <c r="E808" s="44" t="inlineStr">
        <is>
          <t>11.02.2032</t>
        </is>
      </c>
      <c r="F808" s="44" t="n">
        <v>3584</v>
      </c>
      <c r="G808" s="44" t="inlineStr">
        <is>
          <t>6 ay</t>
        </is>
      </c>
      <c r="H808" s="15" t="n">
        <v>0</v>
      </c>
      <c r="I808" s="45" t="n">
        <v>13237200</v>
      </c>
      <c r="J808" s="45" t="n">
        <v>19166325.68</v>
      </c>
      <c r="K808" s="45" t="n">
        <v>5120700</v>
      </c>
      <c r="L808" s="45" t="n">
        <v>7607748.55</v>
      </c>
      <c r="M808" s="45" t="n">
        <v>0</v>
      </c>
      <c r="N808" s="45" t="n">
        <v>0</v>
      </c>
      <c r="O808" s="45" t="n">
        <v>3365439.622</v>
      </c>
      <c r="P808" s="45" t="n">
        <v>4999999.99199</v>
      </c>
      <c r="Q808" s="45" t="n">
        <v>957997.214</v>
      </c>
      <c r="R808" s="45" t="n">
        <v>1423286.88087</v>
      </c>
      <c r="S808" s="45" t="n">
        <v>9444136.835999999</v>
      </c>
      <c r="T808" s="45" t="n">
        <v>14031035.42286</v>
      </c>
      <c r="U808" s="15" t="n">
        <v>-1.18</v>
      </c>
      <c r="V808" s="15" t="n">
        <v>-2.35</v>
      </c>
      <c r="W808" s="49" t="n">
        <v>148.569</v>
      </c>
    </row>
    <row r="809">
      <c r="A809" s="44" t="inlineStr">
        <is>
          <t>TL Cinsi TUFE Endeksli Senetler</t>
        </is>
      </c>
      <c r="B809" s="44" t="n">
        <v>2022</v>
      </c>
      <c r="C809" s="44" t="inlineStr">
        <is>
          <t>TRT110232T15</t>
        </is>
      </c>
      <c r="D809" s="44" t="inlineStr">
        <is>
          <t>25.05.2022</t>
        </is>
      </c>
      <c r="E809" s="44" t="inlineStr">
        <is>
          <t>11.02.2032</t>
        </is>
      </c>
      <c r="F809" s="44" t="n">
        <v>3549</v>
      </c>
      <c r="G809" s="44" t="inlineStr">
        <is>
          <t>6 ay</t>
        </is>
      </c>
      <c r="H809" s="15" t="n">
        <v>0</v>
      </c>
      <c r="I809" s="45" t="n">
        <v>4795715.032</v>
      </c>
      <c r="J809" s="45" t="n">
        <v>7911505.79466</v>
      </c>
      <c r="K809" s="45" t="n">
        <v>2247600</v>
      </c>
      <c r="L809" s="45" t="n">
        <v>3781066.38</v>
      </c>
      <c r="M809" s="45" t="n">
        <v>59443.49</v>
      </c>
      <c r="N809" s="45" t="n">
        <v>99999.99992</v>
      </c>
      <c r="O809" s="45" t="n">
        <v>2377739.599</v>
      </c>
      <c r="P809" s="45" t="n">
        <v>3999999.9952</v>
      </c>
      <c r="Q809" s="45" t="n">
        <v>0</v>
      </c>
      <c r="R809" s="45" t="n">
        <v>0</v>
      </c>
      <c r="S809" s="45" t="n">
        <v>4684783.089</v>
      </c>
      <c r="T809" s="45" t="n">
        <v>7881066.37512</v>
      </c>
      <c r="U809" s="15" t="n">
        <v>-1.53</v>
      </c>
      <c r="V809" s="15" t="n">
        <v>-3.04</v>
      </c>
      <c r="W809" s="49" t="n">
        <v>168.227</v>
      </c>
    </row>
    <row r="810">
      <c r="A810" s="44" t="inlineStr">
        <is>
          <t>TL Cinsi TUFE Endeksli Senetler</t>
        </is>
      </c>
      <c r="B810" s="44" t="n">
        <v>2022</v>
      </c>
      <c r="C810" s="44" t="inlineStr">
        <is>
          <t>TRT110232T15</t>
        </is>
      </c>
      <c r="D810" s="44" t="inlineStr">
        <is>
          <t>15.06.2022</t>
        </is>
      </c>
      <c r="E810" s="44" t="inlineStr">
        <is>
          <t>11.02.2032</t>
        </is>
      </c>
      <c r="F810" s="44" t="n">
        <v>3528</v>
      </c>
      <c r="G810" s="44" t="inlineStr">
        <is>
          <t>6 ay</t>
        </is>
      </c>
      <c r="H810" s="15" t="n">
        <v>0</v>
      </c>
      <c r="I810" s="45" t="n">
        <v>3106200</v>
      </c>
      <c r="J810" s="45" t="n">
        <v>4679933.364</v>
      </c>
      <c r="K810" s="45" t="n">
        <v>598200</v>
      </c>
      <c r="L810" s="45" t="n">
        <v>979228.524</v>
      </c>
      <c r="M810" s="45" t="n">
        <v>122177.695</v>
      </c>
      <c r="N810" s="45" t="n">
        <v>199999.99961</v>
      </c>
      <c r="O810" s="45" t="n">
        <v>366533.082</v>
      </c>
      <c r="P810" s="45" t="n">
        <v>599999.99391</v>
      </c>
      <c r="Q810" s="45" t="n">
        <v>30473.744</v>
      </c>
      <c r="R810" s="45" t="n">
        <v>49884.29998</v>
      </c>
      <c r="S810" s="45" t="n">
        <v>1117384.521</v>
      </c>
      <c r="T810" s="45" t="n">
        <v>1829112.8175</v>
      </c>
      <c r="U810" s="15" t="n">
        <v>-1.17</v>
      </c>
      <c r="V810" s="15" t="n">
        <v>-2.33</v>
      </c>
      <c r="W810" s="49" t="n">
        <v>163.696</v>
      </c>
    </row>
    <row r="811">
      <c r="A811" s="44" t="inlineStr">
        <is>
          <t>TL Cinsi TUFE Endeksli Senetler</t>
        </is>
      </c>
      <c r="B811" s="44" t="n">
        <v>2022</v>
      </c>
      <c r="C811" s="44" t="inlineStr">
        <is>
          <t>TRT110232T15</t>
        </is>
      </c>
      <c r="D811" s="44" t="inlineStr">
        <is>
          <t>06.07.2022</t>
        </is>
      </c>
      <c r="E811" s="44" t="inlineStr">
        <is>
          <t>11.02.2032</t>
        </is>
      </c>
      <c r="F811" s="44" t="n">
        <v>3507</v>
      </c>
      <c r="G811" s="44" t="inlineStr">
        <is>
          <t>6 ay</t>
        </is>
      </c>
      <c r="H811" s="15" t="n">
        <v>0</v>
      </c>
      <c r="I811" s="45" t="n">
        <v>3199104.355</v>
      </c>
      <c r="J811" s="45" t="n">
        <v>4483383.0254</v>
      </c>
      <c r="K811" s="45" t="n">
        <v>831104.355</v>
      </c>
      <c r="L811" s="45" t="n">
        <v>1204461.1254</v>
      </c>
      <c r="M811" s="45" t="n">
        <v>34501.079</v>
      </c>
      <c r="N811" s="45" t="n">
        <v>49999.99872</v>
      </c>
      <c r="O811" s="45" t="n">
        <v>517516.193</v>
      </c>
      <c r="P811" s="45" t="n">
        <v>749999.99239</v>
      </c>
      <c r="Q811" s="45" t="n">
        <v>0</v>
      </c>
      <c r="R811" s="45" t="n">
        <v>0</v>
      </c>
      <c r="S811" s="45" t="n">
        <v>1383121.627</v>
      </c>
      <c r="T811" s="45" t="n">
        <v>2004461.11651</v>
      </c>
      <c r="U811" s="15" t="n">
        <v>-0.34</v>
      </c>
      <c r="V811" s="15" t="n">
        <v>-0.67</v>
      </c>
      <c r="W811" s="49" t="n">
        <v>144.923</v>
      </c>
    </row>
    <row r="812">
      <c r="A812" s="44" t="inlineStr">
        <is>
          <t>TL Cinsi TUFE Endeksli Senetler</t>
        </is>
      </c>
      <c r="B812" s="44" t="n">
        <v>2022</v>
      </c>
      <c r="C812" s="44" t="inlineStr">
        <is>
          <t xml:space="preserve">TRT040832T18 </t>
        </is>
      </c>
      <c r="D812" s="44" t="inlineStr">
        <is>
          <t>17.08.2022</t>
        </is>
      </c>
      <c r="E812" s="44" t="inlineStr">
        <is>
          <t>04.08.2032</t>
        </is>
      </c>
      <c r="F812" s="44" t="n">
        <v>3640</v>
      </c>
      <c r="G812" s="44" t="inlineStr">
        <is>
          <t>6 ay</t>
        </is>
      </c>
      <c r="H812" s="15" t="n">
        <v>0</v>
      </c>
      <c r="I812" s="45" t="n">
        <v>10762050.447</v>
      </c>
      <c r="J812" s="45" t="n">
        <v>10726158.53806</v>
      </c>
      <c r="K812" s="45" t="n">
        <v>866000</v>
      </c>
      <c r="L812" s="45" t="n">
        <v>918302.74</v>
      </c>
      <c r="M812" s="45" t="n">
        <v>47152.018</v>
      </c>
      <c r="N812" s="45" t="n">
        <v>49999.99989</v>
      </c>
      <c r="O812" s="45" t="n">
        <v>943040.357</v>
      </c>
      <c r="P812" s="45" t="n">
        <v>999999.99457</v>
      </c>
      <c r="Q812" s="45" t="n">
        <v>121041.342</v>
      </c>
      <c r="R812" s="45" t="n">
        <v>128352.23906</v>
      </c>
      <c r="S812" s="45" t="n">
        <v>1977233.717</v>
      </c>
      <c r="T812" s="45" t="n">
        <v>2096654.97352</v>
      </c>
      <c r="U812" s="15" t="n">
        <v>-0.29</v>
      </c>
      <c r="V812" s="15" t="n">
        <v>-0.58</v>
      </c>
      <c r="W812" s="49" t="n">
        <v>106.04</v>
      </c>
    </row>
    <row r="813">
      <c r="A813" s="44" t="inlineStr">
        <is>
          <t>TL Cinsi TUFE Endeksli Senetler</t>
        </is>
      </c>
      <c r="B813" s="44" t="n">
        <v>2022</v>
      </c>
      <c r="C813" s="44" t="inlineStr">
        <is>
          <t>TRT040832T18</t>
        </is>
      </c>
      <c r="D813" s="44" t="inlineStr">
        <is>
          <t>21.09.2022</t>
        </is>
      </c>
      <c r="E813" s="44" t="inlineStr">
        <is>
          <t>04.08.2032</t>
        </is>
      </c>
      <c r="F813" s="44" t="n">
        <v>3605</v>
      </c>
      <c r="G813" s="44" t="inlineStr">
        <is>
          <t>6 ay</t>
        </is>
      </c>
      <c r="H813" s="15" t="n">
        <v>0</v>
      </c>
      <c r="I813" s="45" t="n">
        <v>8633000</v>
      </c>
      <c r="J813" s="45" t="n">
        <v>9624566.49</v>
      </c>
      <c r="K813" s="45" t="n">
        <v>898000</v>
      </c>
      <c r="L813" s="45" t="n">
        <v>1094615.52</v>
      </c>
      <c r="M813" s="45" t="n">
        <v>0</v>
      </c>
      <c r="N813" s="45" t="n">
        <v>0</v>
      </c>
      <c r="O813" s="45" t="n">
        <v>1230567.287</v>
      </c>
      <c r="P813" s="45" t="n">
        <v>1499999.99448</v>
      </c>
      <c r="Q813" s="45" t="n">
        <v>112476.851</v>
      </c>
      <c r="R813" s="45" t="n">
        <v>137103.65753</v>
      </c>
      <c r="S813" s="45" t="n">
        <v>2241044.138</v>
      </c>
      <c r="T813" s="45" t="n">
        <v>2731719.17201</v>
      </c>
      <c r="U813" s="15" t="n">
        <v>-0.8</v>
      </c>
      <c r="V813" s="15" t="n">
        <v>-1.6</v>
      </c>
      <c r="W813" s="49" t="n">
        <v>121.895</v>
      </c>
    </row>
    <row r="814">
      <c r="A814" s="44" t="inlineStr">
        <is>
          <t>TL Cinsi TUFE Endeksli Senetler</t>
        </is>
      </c>
      <c r="B814" s="44" t="n">
        <v>2022</v>
      </c>
      <c r="C814" s="44" t="inlineStr">
        <is>
          <t>TRT040832T18</t>
        </is>
      </c>
      <c r="D814" s="44" t="inlineStr">
        <is>
          <t>26.10.2022</t>
        </is>
      </c>
      <c r="E814" s="44" t="inlineStr">
        <is>
          <t>04.08.2032</t>
        </is>
      </c>
      <c r="F814" s="44" t="n">
        <v>3570</v>
      </c>
      <c r="G814" s="44" t="inlineStr">
        <is>
          <t>6 ay</t>
        </is>
      </c>
      <c r="H814" s="15" t="n">
        <v>0</v>
      </c>
      <c r="I814" s="45" t="n">
        <v>5881000</v>
      </c>
      <c r="J814" s="45" t="n">
        <v>7763255.84</v>
      </c>
      <c r="K814" s="45" t="n">
        <v>1320000</v>
      </c>
      <c r="L814" s="45" t="n">
        <v>1902403.25</v>
      </c>
      <c r="M814" s="45" t="n">
        <v>0</v>
      </c>
      <c r="N814" s="45" t="n">
        <v>0</v>
      </c>
      <c r="O814" s="45" t="n">
        <v>1734653.518</v>
      </c>
      <c r="P814" s="45" t="n">
        <v>2499999.99666</v>
      </c>
      <c r="Q814" s="45" t="n">
        <v>605521.402</v>
      </c>
      <c r="R814" s="45" t="n">
        <v>872683.49978</v>
      </c>
      <c r="S814" s="45" t="n">
        <v>3660174.92</v>
      </c>
      <c r="T814" s="45" t="n">
        <v>5275086.74644</v>
      </c>
      <c r="U814" s="15" t="n">
        <v>-1.55</v>
      </c>
      <c r="V814" s="15" t="n">
        <v>-3.08</v>
      </c>
      <c r="W814" s="49" t="n">
        <v>144.121</v>
      </c>
    </row>
    <row r="815">
      <c r="A815" s="44" t="inlineStr">
        <is>
          <t>TL Cinsi TUFE Endeksli Senetler</t>
        </is>
      </c>
      <c r="B815" s="44" t="n">
        <v>2022</v>
      </c>
      <c r="C815" s="44" t="inlineStr">
        <is>
          <t>TRT040832T18</t>
        </is>
      </c>
      <c r="D815" s="44" t="inlineStr">
        <is>
          <t>23.11.2022</t>
        </is>
      </c>
      <c r="E815" s="44" t="inlineStr">
        <is>
          <t>04.08.2032</t>
        </is>
      </c>
      <c r="F815" s="44" t="n">
        <v>3542</v>
      </c>
      <c r="G815" s="44" t="inlineStr">
        <is>
          <t>6 ay</t>
        </is>
      </c>
      <c r="H815" s="15" t="n">
        <v>0</v>
      </c>
      <c r="I815" s="45" t="n">
        <v>4871000</v>
      </c>
      <c r="J815" s="45" t="n">
        <v>6861783.71</v>
      </c>
      <c r="K815" s="45" t="n">
        <v>2665000</v>
      </c>
      <c r="L815" s="45" t="n">
        <v>3979166.52</v>
      </c>
      <c r="M815" s="45" t="n">
        <v>83717.31600000001</v>
      </c>
      <c r="N815" s="45" t="n">
        <v>124999.99887</v>
      </c>
      <c r="O815" s="45" t="n">
        <v>1841780.965</v>
      </c>
      <c r="P815" s="45" t="n">
        <v>2749999.99445</v>
      </c>
      <c r="Q815" s="45" t="n">
        <v>1504013.746</v>
      </c>
      <c r="R815" s="45" t="n">
        <v>2245673.00443</v>
      </c>
      <c r="S815" s="45" t="n">
        <v>6094512.027000001</v>
      </c>
      <c r="T815" s="45" t="n">
        <v>9099839.517750001</v>
      </c>
      <c r="U815" s="15" t="n">
        <v>-1.62</v>
      </c>
      <c r="V815" s="15" t="n">
        <v>-3.21</v>
      </c>
      <c r="W815" s="49" t="n">
        <v>149.312</v>
      </c>
    </row>
    <row r="816">
      <c r="A816" s="44" t="inlineStr">
        <is>
          <t>TL Cinsi TUFE Endeksli Senetler</t>
        </is>
      </c>
      <c r="B816" s="44" t="n">
        <v>2022</v>
      </c>
      <c r="C816" s="44" t="inlineStr">
        <is>
          <t>TRT040832T18</t>
        </is>
      </c>
      <c r="D816" s="44" t="inlineStr">
        <is>
          <t>14.12.2022</t>
        </is>
      </c>
      <c r="E816" s="44" t="inlineStr">
        <is>
          <t>04.08.2032</t>
        </is>
      </c>
      <c r="F816" s="44" t="n">
        <v>3521</v>
      </c>
      <c r="G816" s="44" t="inlineStr">
        <is>
          <t>6 ay</t>
        </is>
      </c>
      <c r="H816" s="15" t="n">
        <v>0</v>
      </c>
      <c r="I816" s="45" t="n">
        <v>3407000</v>
      </c>
      <c r="J816" s="45" t="n">
        <v>4859477.49</v>
      </c>
      <c r="K816" s="45" t="n">
        <v>880000</v>
      </c>
      <c r="L816" s="45" t="n">
        <v>1340337</v>
      </c>
      <c r="M816" s="45" t="n">
        <v>0</v>
      </c>
      <c r="N816" s="45" t="n">
        <v>0</v>
      </c>
      <c r="O816" s="45" t="n">
        <v>656551.393</v>
      </c>
      <c r="P816" s="45" t="n">
        <v>999999.99219</v>
      </c>
      <c r="Q816" s="45" t="n">
        <v>184000</v>
      </c>
      <c r="R816" s="45" t="n">
        <v>280252.24</v>
      </c>
      <c r="S816" s="45" t="n">
        <v>1720551.393</v>
      </c>
      <c r="T816" s="45" t="n">
        <v>2620589.23219</v>
      </c>
      <c r="U816" s="15" t="n">
        <v>-1.61</v>
      </c>
      <c r="V816" s="15" t="n">
        <v>-3.2</v>
      </c>
      <c r="W816" s="49" t="n">
        <v>152.311</v>
      </c>
    </row>
    <row r="817">
      <c r="A817" s="44" t="inlineStr">
        <is>
          <t>TL Cinsi TUFE Endeksli Senetler</t>
        </is>
      </c>
      <c r="B817" s="44" t="n">
        <v>2021</v>
      </c>
      <c r="C817" s="44" t="inlineStr">
        <is>
          <t>TRT070727T13</t>
        </is>
      </c>
      <c r="D817" s="44" t="inlineStr">
        <is>
          <t>24.02.2021</t>
        </is>
      </c>
      <c r="E817" s="44" t="inlineStr">
        <is>
          <t>07.07.2027</t>
        </is>
      </c>
      <c r="F817" s="44" t="n">
        <v>2324</v>
      </c>
      <c r="G817" s="44" t="inlineStr">
        <is>
          <t>6 ay</t>
        </is>
      </c>
      <c r="H817" s="15" t="n">
        <v>1.45</v>
      </c>
      <c r="I817" s="45" t="n">
        <v>5248000</v>
      </c>
      <c r="J817" s="45" t="n">
        <v>8750201.890000001</v>
      </c>
      <c r="K817" s="45" t="n">
        <v>3115000</v>
      </c>
      <c r="L817" s="45" t="n">
        <v>5230437.3</v>
      </c>
      <c r="M817" s="45" t="n">
        <v>0</v>
      </c>
      <c r="N817" s="45" t="n">
        <v>0</v>
      </c>
      <c r="O817" s="45" t="n">
        <v>1042218.789</v>
      </c>
      <c r="P817" s="45" t="n">
        <v>1749999.9908</v>
      </c>
      <c r="Q817" s="45" t="n">
        <v>900000</v>
      </c>
      <c r="R817" s="45" t="n">
        <v>1511199</v>
      </c>
      <c r="S817" s="45" t="n">
        <v>5057218.789</v>
      </c>
      <c r="T817" s="45" t="n">
        <v>8491636.2908</v>
      </c>
      <c r="U817" s="15" t="n">
        <v>1.19</v>
      </c>
      <c r="V817" s="15" t="n">
        <v>2.4</v>
      </c>
      <c r="W817" s="49" t="n">
        <v>167.911</v>
      </c>
    </row>
    <row r="818">
      <c r="A818" s="44" t="inlineStr">
        <is>
          <t>TL Cinsi TUFE Endeksli Senetler</t>
        </is>
      </c>
      <c r="B818" s="44" t="n">
        <v>2021</v>
      </c>
      <c r="C818" s="44" t="inlineStr">
        <is>
          <t>TRT140126T11</t>
        </is>
      </c>
      <c r="D818" s="44" t="inlineStr">
        <is>
          <t>24.03.2021</t>
        </is>
      </c>
      <c r="E818" s="44" t="inlineStr">
        <is>
          <t>14.01.2026</t>
        </is>
      </c>
      <c r="F818" s="44" t="n">
        <v>1757</v>
      </c>
      <c r="G818" s="44" t="inlineStr">
        <is>
          <t>6 ay</t>
        </is>
      </c>
      <c r="H818" s="15" t="n">
        <v>1.35</v>
      </c>
      <c r="I818" s="45" t="n">
        <v>1842000</v>
      </c>
      <c r="J818" s="45" t="n">
        <v>3445914.63</v>
      </c>
      <c r="K818" s="45" t="n">
        <v>806000</v>
      </c>
      <c r="L818" s="45" t="n">
        <v>1536162.01</v>
      </c>
      <c r="M818" s="45" t="n">
        <v>0</v>
      </c>
      <c r="N818" s="45" t="n">
        <v>0</v>
      </c>
      <c r="O818" s="45" t="n">
        <v>996899.113</v>
      </c>
      <c r="P818" s="45" t="n">
        <v>1899999.98847</v>
      </c>
      <c r="Q818" s="45" t="n">
        <v>227367.829</v>
      </c>
      <c r="R818" s="45" t="n">
        <v>433342.61897</v>
      </c>
      <c r="S818" s="45" t="n">
        <v>2030266.942</v>
      </c>
      <c r="T818" s="45" t="n">
        <v>3869504.61744</v>
      </c>
      <c r="U818" s="15" t="n">
        <v>1.38</v>
      </c>
      <c r="V818" s="15" t="n">
        <v>2.78</v>
      </c>
      <c r="W818" s="49" t="n">
        <v>190.591</v>
      </c>
    </row>
    <row r="819">
      <c r="A819" s="44" t="inlineStr">
        <is>
          <t>TL Cinsi TUFE Endeksli Senetler</t>
        </is>
      </c>
      <c r="B819" s="44" t="n">
        <v>2021</v>
      </c>
      <c r="C819" s="44" t="inlineStr">
        <is>
          <t>TRT180625T13</t>
        </is>
      </c>
      <c r="D819" s="44" t="inlineStr">
        <is>
          <t>21.04.2021</t>
        </is>
      </c>
      <c r="E819" s="44" t="inlineStr">
        <is>
          <t>18.06.2025</t>
        </is>
      </c>
      <c r="F819" s="44" t="n">
        <v>1519</v>
      </c>
      <c r="G819" s="44" t="inlineStr">
        <is>
          <t>6 ay</t>
        </is>
      </c>
      <c r="H819" s="15" t="n">
        <v>0.75</v>
      </c>
      <c r="I819" s="45" t="n">
        <v>3051000</v>
      </c>
      <c r="J819" s="45" t="n">
        <v>3296727.13</v>
      </c>
      <c r="K819" s="45" t="n">
        <v>1986000</v>
      </c>
      <c r="L819" s="45" t="n">
        <v>2151941.53</v>
      </c>
      <c r="M819" s="45" t="n">
        <v>0</v>
      </c>
      <c r="N819" s="45" t="n">
        <v>0</v>
      </c>
      <c r="O819" s="45" t="n">
        <v>738307.059</v>
      </c>
      <c r="P819" s="45" t="n">
        <v>799999.99686</v>
      </c>
      <c r="Q819" s="45" t="n">
        <v>215049.005</v>
      </c>
      <c r="R819" s="45" t="n">
        <v>233018.49986</v>
      </c>
      <c r="S819" s="45" t="n">
        <v>2939356.064</v>
      </c>
      <c r="T819" s="45" t="n">
        <v>3184960.026719999</v>
      </c>
      <c r="U819" s="15" t="n">
        <v>1.43</v>
      </c>
      <c r="V819" s="15" t="n">
        <v>2.88</v>
      </c>
      <c r="W819" s="49" t="n">
        <v>108.356</v>
      </c>
    </row>
    <row r="820">
      <c r="A820" s="44" t="inlineStr">
        <is>
          <t>TL Cinsi TUFE Endeksli Senetler</t>
        </is>
      </c>
      <c r="B820" s="44" t="n">
        <v>2021</v>
      </c>
      <c r="C820" s="44" t="inlineStr">
        <is>
          <t>TRT180625T13</t>
        </is>
      </c>
      <c r="D820" s="44" t="inlineStr">
        <is>
          <t>05.05.2021</t>
        </is>
      </c>
      <c r="E820" s="44" t="inlineStr">
        <is>
          <t>18.06.2025</t>
        </is>
      </c>
      <c r="F820" s="44" t="n">
        <v>1505</v>
      </c>
      <c r="G820" s="44" t="inlineStr">
        <is>
          <t>6 ay</t>
        </is>
      </c>
      <c r="H820" s="15" t="n">
        <v>0.75</v>
      </c>
      <c r="I820" s="45" t="n">
        <v>4193000</v>
      </c>
      <c r="J820" s="45" t="n">
        <v>4518007.8</v>
      </c>
      <c r="K820" s="45" t="n">
        <v>2755000</v>
      </c>
      <c r="L820" s="45" t="n">
        <v>2987828.94</v>
      </c>
      <c r="M820" s="45" t="n">
        <v>0</v>
      </c>
      <c r="N820" s="45" t="n">
        <v>0</v>
      </c>
      <c r="O820" s="45" t="n">
        <v>1475320.647</v>
      </c>
      <c r="P820" s="45" t="n">
        <v>1599999.99488</v>
      </c>
      <c r="Q820" s="45" t="n">
        <v>562622.317</v>
      </c>
      <c r="R820" s="45" t="n">
        <v>610169.5290100001</v>
      </c>
      <c r="S820" s="45" t="n">
        <v>4792942.964</v>
      </c>
      <c r="T820" s="45" t="n">
        <v>5197998.463889999</v>
      </c>
      <c r="U820" s="15" t="n">
        <v>1.49</v>
      </c>
      <c r="V820" s="15" t="n">
        <v>3</v>
      </c>
      <c r="W820" s="49" t="n">
        <v>108.451</v>
      </c>
    </row>
    <row r="821">
      <c r="A821" s="44" t="inlineStr">
        <is>
          <t>TL Cinsi TUFE Endeksli Senetler</t>
        </is>
      </c>
      <c r="B821" s="44" t="n">
        <v>2021</v>
      </c>
      <c r="C821" s="44" t="inlineStr">
        <is>
          <t>TRT280531T14</t>
        </is>
      </c>
      <c r="D821" s="44" t="inlineStr">
        <is>
          <t>09.06.2021</t>
        </is>
      </c>
      <c r="E821" s="44" t="inlineStr">
        <is>
          <t>28.05.2031</t>
        </is>
      </c>
      <c r="F821" s="44" t="n">
        <v>3640</v>
      </c>
      <c r="G821" s="44" t="inlineStr">
        <is>
          <t>6 ay</t>
        </is>
      </c>
      <c r="H821" s="15" t="n">
        <v>1.5</v>
      </c>
      <c r="I821" s="45" t="n">
        <v>2940000</v>
      </c>
      <c r="J821" s="45" t="n">
        <v>2849191.27</v>
      </c>
      <c r="K821" s="45" t="n">
        <v>1506000</v>
      </c>
      <c r="L821" s="45" t="n">
        <v>1481912.55</v>
      </c>
      <c r="M821" s="45" t="n">
        <v>812999.867</v>
      </c>
      <c r="N821" s="45" t="n">
        <v>799999.99913</v>
      </c>
      <c r="O821" s="45" t="n">
        <v>863812.355</v>
      </c>
      <c r="P821" s="45" t="n">
        <v>849999.99544</v>
      </c>
      <c r="Q821" s="45" t="n">
        <v>336936.64</v>
      </c>
      <c r="R821" s="45" t="n">
        <v>331549.02313</v>
      </c>
      <c r="S821" s="45" t="n">
        <v>3519748.862</v>
      </c>
      <c r="T821" s="45" t="n">
        <v>3463461.5677</v>
      </c>
      <c r="U821" s="15" t="n">
        <v>1.59</v>
      </c>
      <c r="V821" s="15" t="n">
        <v>3.21</v>
      </c>
      <c r="W821" s="49" t="n">
        <v>98.401</v>
      </c>
    </row>
    <row r="822">
      <c r="A822" s="44" t="inlineStr">
        <is>
          <t>TL Cinsi TUFE Endeksli Senetler</t>
        </is>
      </c>
      <c r="B822" s="44" t="n">
        <v>2021</v>
      </c>
      <c r="C822" s="44" t="inlineStr">
        <is>
          <t>TRT280531T14</t>
        </is>
      </c>
      <c r="D822" s="44" t="inlineStr">
        <is>
          <t>14.07.2021</t>
        </is>
      </c>
      <c r="E822" s="44" t="inlineStr">
        <is>
          <t>28.05.2031</t>
        </is>
      </c>
      <c r="F822" s="44" t="n">
        <v>3605</v>
      </c>
      <c r="G822" s="44" t="inlineStr">
        <is>
          <t>6 ay</t>
        </is>
      </c>
      <c r="H822" s="15" t="n">
        <v>1.5</v>
      </c>
      <c r="I822" s="45" t="n">
        <v>6165150</v>
      </c>
      <c r="J822" s="45" t="n">
        <v>6142737.86</v>
      </c>
      <c r="K822" s="45" t="n">
        <v>4482150</v>
      </c>
      <c r="L822" s="45" t="n">
        <v>4510908.69</v>
      </c>
      <c r="M822" s="45" t="n">
        <v>0</v>
      </c>
      <c r="N822" s="45" t="n">
        <v>0</v>
      </c>
      <c r="O822" s="45" t="n">
        <v>2484052.38</v>
      </c>
      <c r="P822" s="45" t="n">
        <v>2499999.99627</v>
      </c>
      <c r="Q822" s="45" t="n">
        <v>466167.703</v>
      </c>
      <c r="R822" s="45" t="n">
        <v>469160.49965</v>
      </c>
      <c r="S822" s="45" t="n">
        <v>7432370.083</v>
      </c>
      <c r="T822" s="45" t="n">
        <v>7480069.18592</v>
      </c>
      <c r="U822" s="15" t="n">
        <v>1.57</v>
      </c>
      <c r="V822" s="15" t="n">
        <v>3.17</v>
      </c>
      <c r="W822" s="49" t="n">
        <v>100.642</v>
      </c>
    </row>
    <row r="823">
      <c r="A823" s="44" t="inlineStr">
        <is>
          <t>TL Cinsi TUFE Endeksli Senetler</t>
        </is>
      </c>
      <c r="B823" s="44" t="n">
        <v>2021</v>
      </c>
      <c r="C823" s="44" t="inlineStr">
        <is>
          <t>TRT280531T14</t>
        </is>
      </c>
      <c r="D823" s="44" t="inlineStr">
        <is>
          <t>18.08.2021</t>
        </is>
      </c>
      <c r="E823" s="44" t="inlineStr">
        <is>
          <t>28.05.2031</t>
        </is>
      </c>
      <c r="F823" s="44" t="n">
        <v>3570</v>
      </c>
      <c r="G823" s="44" t="inlineStr">
        <is>
          <t>6 ay</t>
        </is>
      </c>
      <c r="H823" s="15" t="n">
        <v>1.5</v>
      </c>
      <c r="I823" s="45" t="n">
        <v>7434000</v>
      </c>
      <c r="J823" s="45" t="n">
        <v>7526661.86</v>
      </c>
      <c r="K823" s="45" t="n">
        <v>4718000</v>
      </c>
      <c r="L823" s="45" t="n">
        <v>4816234.85</v>
      </c>
      <c r="M823" s="45" t="n">
        <v>587762.778</v>
      </c>
      <c r="N823" s="45" t="n">
        <v>599999.99904</v>
      </c>
      <c r="O823" s="45" t="n">
        <v>1959209.258</v>
      </c>
      <c r="P823" s="45" t="n">
        <v>1999999.99475</v>
      </c>
      <c r="Q823" s="45" t="n">
        <v>979604.6310000001</v>
      </c>
      <c r="R823" s="45" t="n">
        <v>999999.99942</v>
      </c>
      <c r="S823" s="45" t="n">
        <v>8244576.667</v>
      </c>
      <c r="T823" s="45" t="n">
        <v>8416234.843210001</v>
      </c>
      <c r="U823" s="15" t="n">
        <v>1.6</v>
      </c>
      <c r="V823" s="15" t="n">
        <v>3.23</v>
      </c>
      <c r="W823" s="49" t="n">
        <v>102.082</v>
      </c>
    </row>
    <row r="824">
      <c r="A824" s="44" t="inlineStr">
        <is>
          <t>TL Cinsi TUFE Endeksli Senetler</t>
        </is>
      </c>
      <c r="B824" s="44" t="n">
        <v>2021</v>
      </c>
      <c r="C824" s="44" t="inlineStr">
        <is>
          <t>TRT280531T14</t>
        </is>
      </c>
      <c r="D824" s="44" t="inlineStr">
        <is>
          <t>08.09.2021</t>
        </is>
      </c>
      <c r="E824" s="44" t="inlineStr">
        <is>
          <t>28.05.2031</t>
        </is>
      </c>
      <c r="F824" s="44" t="n">
        <v>3549</v>
      </c>
      <c r="G824" s="44" t="inlineStr">
        <is>
          <t>6 ay</t>
        </is>
      </c>
      <c r="H824" s="15" t="n">
        <v>1.5</v>
      </c>
      <c r="I824" s="45" t="n">
        <v>3845000</v>
      </c>
      <c r="J824" s="45" t="n">
        <v>3942994</v>
      </c>
      <c r="K824" s="45" t="n">
        <v>2345000</v>
      </c>
      <c r="L824" s="45" t="n">
        <v>2415372.89</v>
      </c>
      <c r="M824" s="45" t="n">
        <v>145629.654</v>
      </c>
      <c r="N824" s="45" t="n">
        <v>149999.99992</v>
      </c>
      <c r="O824" s="45" t="n">
        <v>1699012.627</v>
      </c>
      <c r="P824" s="45" t="n">
        <v>1749999.99592</v>
      </c>
      <c r="Q824" s="45" t="n">
        <v>582491.633</v>
      </c>
      <c r="R824" s="45" t="n">
        <v>599972.2069099999</v>
      </c>
      <c r="S824" s="45" t="n">
        <v>4772133.914000001</v>
      </c>
      <c r="T824" s="45" t="n">
        <v>4915345.092750001</v>
      </c>
      <c r="U824" s="15" t="n">
        <v>1.63</v>
      </c>
      <c r="V824" s="15" t="n">
        <v>3.3</v>
      </c>
      <c r="W824" s="49" t="n">
        <v>103.001</v>
      </c>
    </row>
    <row r="825">
      <c r="A825" s="44" t="inlineStr">
        <is>
          <t>TL Cinsi TUFE Endeksli Senetler</t>
        </is>
      </c>
      <c r="B825" s="44" t="n">
        <v>2021</v>
      </c>
      <c r="C825" s="44" t="inlineStr">
        <is>
          <t>TRT140126T11</t>
        </is>
      </c>
      <c r="D825" s="44" t="inlineStr">
        <is>
          <t>22.09.2021</t>
        </is>
      </c>
      <c r="E825" s="44" t="inlineStr">
        <is>
          <t>14.01.2026</t>
        </is>
      </c>
      <c r="F825" s="44" t="n">
        <v>1575</v>
      </c>
      <c r="G825" s="44" t="inlineStr">
        <is>
          <t>6 ay</t>
        </is>
      </c>
      <c r="H825" s="15" t="n">
        <v>1.35</v>
      </c>
      <c r="I825" s="45" t="n">
        <v>2092250</v>
      </c>
      <c r="J825" s="45" t="n">
        <v>4276346.905</v>
      </c>
      <c r="K825" s="45" t="n">
        <v>1377750</v>
      </c>
      <c r="L825" s="45" t="n">
        <v>2823681.05</v>
      </c>
      <c r="M825" s="45" t="n">
        <v>0</v>
      </c>
      <c r="N825" s="45" t="n">
        <v>0</v>
      </c>
      <c r="O825" s="45" t="n">
        <v>1097834.091</v>
      </c>
      <c r="P825" s="45" t="n">
        <v>2249999.99116</v>
      </c>
      <c r="Q825" s="45" t="n">
        <v>207585.252</v>
      </c>
      <c r="R825" s="45" t="n">
        <v>425443.89812</v>
      </c>
      <c r="S825" s="45" t="n">
        <v>2683169.343</v>
      </c>
      <c r="T825" s="45" t="n">
        <v>5499124.939280001</v>
      </c>
      <c r="U825" s="15" t="n">
        <v>1.49</v>
      </c>
      <c r="V825" s="15" t="n">
        <v>3</v>
      </c>
      <c r="W825" s="49" t="n">
        <v>204.949</v>
      </c>
    </row>
    <row r="826">
      <c r="A826" s="44" t="inlineStr">
        <is>
          <t>TL Cinsi TUFE Endeksli Senetler</t>
        </is>
      </c>
      <c r="B826" s="44" t="n">
        <v>2021</v>
      </c>
      <c r="C826" s="44" t="inlineStr">
        <is>
          <t>TRT140126T11</t>
        </is>
      </c>
      <c r="D826" s="44" t="inlineStr">
        <is>
          <t>06.10.2021</t>
        </is>
      </c>
      <c r="E826" s="44" t="inlineStr">
        <is>
          <t>14.01.2026</t>
        </is>
      </c>
      <c r="F826" s="44" t="n">
        <v>1561</v>
      </c>
      <c r="G826" s="44" t="inlineStr">
        <is>
          <t>6 ay</t>
        </is>
      </c>
      <c r="H826" s="15" t="n">
        <v>1.35</v>
      </c>
      <c r="I826" s="45" t="n">
        <v>3046000</v>
      </c>
      <c r="J826" s="45" t="n">
        <v>6249890.06</v>
      </c>
      <c r="K826" s="45" t="n">
        <v>1670000</v>
      </c>
      <c r="L826" s="45" t="n">
        <v>3445888.26</v>
      </c>
      <c r="M826" s="45" t="n">
        <v>1017732.781</v>
      </c>
      <c r="N826" s="45" t="n">
        <v>2099999.99763</v>
      </c>
      <c r="O826" s="45" t="n">
        <v>1211586.641</v>
      </c>
      <c r="P826" s="45" t="n">
        <v>2499999.99091</v>
      </c>
      <c r="Q826" s="45" t="n">
        <v>234197.185</v>
      </c>
      <c r="R826" s="45" t="n">
        <v>483244.81351</v>
      </c>
      <c r="S826" s="45" t="n">
        <v>4133516.607</v>
      </c>
      <c r="T826" s="45" t="n">
        <v>8529133.06205</v>
      </c>
      <c r="U826" s="15" t="n">
        <v>1.51</v>
      </c>
      <c r="V826" s="15" t="n">
        <v>3.04</v>
      </c>
      <c r="W826" s="49" t="n">
        <v>206.341</v>
      </c>
    </row>
    <row r="827">
      <c r="A827" s="44" t="inlineStr">
        <is>
          <t>TL Cinsi TUFE Endeksli Senetler</t>
        </is>
      </c>
      <c r="B827" s="44" t="n">
        <v>2021</v>
      </c>
      <c r="C827" s="44" t="inlineStr">
        <is>
          <t>TRT280531T14</t>
        </is>
      </c>
      <c r="D827" s="44" t="inlineStr">
        <is>
          <t>15.12.2021</t>
        </is>
      </c>
      <c r="E827" s="44" t="inlineStr">
        <is>
          <t>28.05.2031</t>
        </is>
      </c>
      <c r="F827" s="44" t="n">
        <v>3451</v>
      </c>
      <c r="G827" s="44" t="inlineStr">
        <is>
          <t>6 ay</t>
        </is>
      </c>
      <c r="H827" s="15" t="n">
        <v>1.5</v>
      </c>
      <c r="I827" s="45" t="n">
        <v>9371027</v>
      </c>
      <c r="J827" s="45" t="n">
        <v>12668917.65534</v>
      </c>
      <c r="K827" s="45" t="n">
        <v>3293000</v>
      </c>
      <c r="L827" s="45" t="n">
        <v>4540212.31</v>
      </c>
      <c r="M827" s="45" t="n">
        <v>797824.115</v>
      </c>
      <c r="N827" s="45" t="n">
        <v>1099999.99856</v>
      </c>
      <c r="O827" s="45" t="n">
        <v>1450589.295</v>
      </c>
      <c r="P827" s="45" t="n">
        <v>1999999.99049</v>
      </c>
      <c r="Q827" s="45" t="n">
        <v>479690.951</v>
      </c>
      <c r="R827" s="45" t="n">
        <v>661373.8986899999</v>
      </c>
      <c r="S827" s="45" t="n">
        <v>6021104.361</v>
      </c>
      <c r="T827" s="45" t="n">
        <v>8301586.19774</v>
      </c>
      <c r="U827" s="15" t="n">
        <v>0.13</v>
      </c>
      <c r="V827" s="15" t="n">
        <v>0.26</v>
      </c>
      <c r="W827" s="49" t="n">
        <v>137.875</v>
      </c>
    </row>
    <row r="828">
      <c r="A828" s="44" t="inlineStr">
        <is>
          <t>TL Cinsi TUFE Endeksli Senetler</t>
        </is>
      </c>
      <c r="B828" s="44" t="n">
        <v>2020</v>
      </c>
      <c r="C828" s="44" t="inlineStr">
        <is>
          <t>TRT290125T15</t>
        </is>
      </c>
      <c r="D828" s="44" t="inlineStr">
        <is>
          <t>05.02.2020</t>
        </is>
      </c>
      <c r="E828" s="44" t="inlineStr">
        <is>
          <t>29.01.2025</t>
        </is>
      </c>
      <c r="F828" s="44" t="n">
        <v>1820</v>
      </c>
      <c r="G828" s="44" t="inlineStr">
        <is>
          <t>6 ay</t>
        </is>
      </c>
      <c r="H828" s="15" t="n">
        <v>1.18</v>
      </c>
      <c r="I828" s="45" t="n">
        <v>4181000</v>
      </c>
      <c r="J828" s="45" t="n">
        <v>4161341.54</v>
      </c>
      <c r="K828" s="45" t="n">
        <v>1806000</v>
      </c>
      <c r="L828" s="45" t="n">
        <v>1810146.29</v>
      </c>
      <c r="M828" s="45" t="n">
        <v>798164.221</v>
      </c>
      <c r="N828" s="45" t="n">
        <v>799999.99871</v>
      </c>
      <c r="O828" s="45" t="n">
        <v>1995410.55</v>
      </c>
      <c r="P828" s="45" t="n">
        <v>1999999.99426</v>
      </c>
      <c r="Q828" s="45" t="n">
        <v>378366.087</v>
      </c>
      <c r="R828" s="45" t="n">
        <v>379236.329</v>
      </c>
      <c r="S828" s="45" t="n">
        <v>4977940.858</v>
      </c>
      <c r="T828" s="45" t="n">
        <v>4989382.61197</v>
      </c>
      <c r="U828" s="15" t="n">
        <v>1.16</v>
      </c>
      <c r="V828" s="15" t="n">
        <v>2.32</v>
      </c>
      <c r="W828" s="49" t="n">
        <v>100.23</v>
      </c>
    </row>
    <row r="829">
      <c r="A829" s="44" t="inlineStr">
        <is>
          <t>TL Cinsi TUFE Endeksli Senetler</t>
        </is>
      </c>
      <c r="B829" s="44" t="n">
        <v>2020</v>
      </c>
      <c r="C829" s="44" t="inlineStr">
        <is>
          <t>TRT290125T15</t>
        </is>
      </c>
      <c r="D829" s="44" t="inlineStr">
        <is>
          <t>11.03.2020</t>
        </is>
      </c>
      <c r="E829" s="44" t="inlineStr">
        <is>
          <t>29.01.2025</t>
        </is>
      </c>
      <c r="F829" s="44" t="n">
        <v>1785</v>
      </c>
      <c r="G829" s="44" t="inlineStr">
        <is>
          <t>6 ay</t>
        </is>
      </c>
      <c r="H829" s="15" t="n">
        <v>1.18</v>
      </c>
      <c r="I829" s="45" t="n">
        <v>3331000</v>
      </c>
      <c r="J829" s="45" t="n">
        <v>3337926.55</v>
      </c>
      <c r="K829" s="45" t="n">
        <v>1320000</v>
      </c>
      <c r="L829" s="45" t="n">
        <v>1335104.2</v>
      </c>
      <c r="M829" s="45" t="n">
        <v>346041.287</v>
      </c>
      <c r="N829" s="45" t="n">
        <v>349999.99932</v>
      </c>
      <c r="O829" s="45" t="n">
        <v>1186427.267</v>
      </c>
      <c r="P829" s="45" t="n">
        <v>1199999.99493</v>
      </c>
      <c r="Q829" s="45" t="n">
        <v>0</v>
      </c>
      <c r="R829" s="45" t="n">
        <v>0</v>
      </c>
      <c r="S829" s="45" t="n">
        <v>2852468.554</v>
      </c>
      <c r="T829" s="45" t="n">
        <v>2885104.19425</v>
      </c>
      <c r="U829" s="15" t="n">
        <v>1.2</v>
      </c>
      <c r="V829" s="15" t="n">
        <v>2.41</v>
      </c>
      <c r="W829" s="49" t="n">
        <v>101.144</v>
      </c>
    </row>
    <row r="830">
      <c r="A830" s="44" t="inlineStr">
        <is>
          <t>TL Cinsi TUFE Endeksli Senetler</t>
        </is>
      </c>
      <c r="B830" s="44" t="n">
        <v>2020</v>
      </c>
      <c r="C830" s="44" t="inlineStr">
        <is>
          <t>TRT280628T18</t>
        </is>
      </c>
      <c r="D830" s="44" t="inlineStr">
        <is>
          <t>08.04.2020</t>
        </is>
      </c>
      <c r="E830" s="44" t="inlineStr">
        <is>
          <t>28.06.2028</t>
        </is>
      </c>
      <c r="F830" s="44" t="n">
        <v>3003</v>
      </c>
      <c r="G830" s="44" t="inlineStr">
        <is>
          <t>6 ay</t>
        </is>
      </c>
      <c r="H830" s="15" t="n">
        <v>1.65</v>
      </c>
      <c r="I830" s="45" t="n">
        <v>3131200</v>
      </c>
      <c r="J830" s="45" t="n">
        <v>3969530.59</v>
      </c>
      <c r="K830" s="45" t="n">
        <v>2333200</v>
      </c>
      <c r="L830" s="45" t="n">
        <v>2997650.05</v>
      </c>
      <c r="M830" s="45" t="n">
        <v>467006.024</v>
      </c>
      <c r="N830" s="45" t="n">
        <v>599999.99951</v>
      </c>
      <c r="O830" s="45" t="n">
        <v>1089680.721</v>
      </c>
      <c r="P830" s="45" t="n">
        <v>1399999.99673</v>
      </c>
      <c r="Q830" s="45" t="n">
        <v>0</v>
      </c>
      <c r="R830" s="45" t="n">
        <v>0</v>
      </c>
      <c r="S830" s="45" t="n">
        <v>3889886.745</v>
      </c>
      <c r="T830" s="45" t="n">
        <v>4997650.04624</v>
      </c>
      <c r="U830" s="15" t="n">
        <v>1.77</v>
      </c>
      <c r="V830" s="15" t="n">
        <v>3.58</v>
      </c>
      <c r="W830" s="49" t="n">
        <v>128.478</v>
      </c>
    </row>
    <row r="831">
      <c r="A831" s="44" t="inlineStr">
        <is>
          <t>TL Cinsi TUFE Endeksli Senetler</t>
        </is>
      </c>
      <c r="B831" s="44" t="n">
        <v>2020</v>
      </c>
      <c r="C831" s="44" t="inlineStr">
        <is>
          <t>TRT030523T13</t>
        </is>
      </c>
      <c r="D831" s="44" t="inlineStr">
        <is>
          <t>22.04.2020</t>
        </is>
      </c>
      <c r="E831" s="44" t="inlineStr">
        <is>
          <t>03.05.2023</t>
        </is>
      </c>
      <c r="F831" s="44" t="n">
        <v>1106</v>
      </c>
      <c r="G831" s="44" t="inlineStr">
        <is>
          <t>6 ay</t>
        </is>
      </c>
      <c r="H831" s="15" t="n">
        <v>0.5</v>
      </c>
      <c r="I831" s="45" t="n">
        <v>6577000</v>
      </c>
      <c r="J831" s="45" t="n">
        <v>13056391.63</v>
      </c>
      <c r="K831" s="45" t="n">
        <v>3081000</v>
      </c>
      <c r="L831" s="45" t="n">
        <v>6170416.45</v>
      </c>
      <c r="M831" s="45" t="n">
        <v>0</v>
      </c>
      <c r="N831" s="45" t="n">
        <v>0</v>
      </c>
      <c r="O831" s="45" t="n">
        <v>2496592.147</v>
      </c>
      <c r="P831" s="45" t="n">
        <v>4999999.99057</v>
      </c>
      <c r="Q831" s="45" t="n">
        <v>598991.027</v>
      </c>
      <c r="R831" s="45" t="n">
        <v>1199617.2995</v>
      </c>
      <c r="S831" s="45" t="n">
        <v>6176583.174</v>
      </c>
      <c r="T831" s="45" t="n">
        <v>12370033.74007</v>
      </c>
      <c r="U831" s="15" t="n">
        <v>0.99</v>
      </c>
      <c r="V831" s="15" t="n">
        <v>1.99</v>
      </c>
      <c r="W831" s="49" t="n">
        <v>200.273</v>
      </c>
    </row>
    <row r="832">
      <c r="A832" s="44" t="inlineStr">
        <is>
          <t>TL Cinsi TUFE Endeksli Senetler</t>
        </is>
      </c>
      <c r="B832" s="44" t="n">
        <v>2020</v>
      </c>
      <c r="C832" s="44" t="inlineStr">
        <is>
          <t>TRT290125T15</t>
        </is>
      </c>
      <c r="D832" s="44" t="inlineStr">
        <is>
          <t>06.05.2020</t>
        </is>
      </c>
      <c r="E832" s="44" t="inlineStr">
        <is>
          <t>29.01.2025</t>
        </is>
      </c>
      <c r="F832" s="44" t="n">
        <v>1729</v>
      </c>
      <c r="G832" s="44" t="inlineStr">
        <is>
          <t>6 ay</t>
        </is>
      </c>
      <c r="H832" s="15" t="n">
        <v>1.18</v>
      </c>
      <c r="I832" s="45" t="n">
        <v>4165000</v>
      </c>
      <c r="J832" s="45" t="n">
        <v>4343143.5</v>
      </c>
      <c r="K832" s="45" t="n">
        <v>2170000</v>
      </c>
      <c r="L832" s="45" t="n">
        <v>2272941.2</v>
      </c>
      <c r="M832" s="45" t="n">
        <v>0</v>
      </c>
      <c r="N832" s="45" t="n">
        <v>0</v>
      </c>
      <c r="O832" s="45" t="n">
        <v>1432062.93</v>
      </c>
      <c r="P832" s="45" t="n">
        <v>1499999.99539</v>
      </c>
      <c r="Q832" s="45" t="n">
        <v>588000</v>
      </c>
      <c r="R832" s="45" t="n">
        <v>615894.72</v>
      </c>
      <c r="S832" s="45" t="n">
        <v>4190062.93</v>
      </c>
      <c r="T832" s="45" t="n">
        <v>4388835.91539</v>
      </c>
      <c r="U832" s="15" t="n">
        <v>1</v>
      </c>
      <c r="V832" s="15" t="n">
        <v>2</v>
      </c>
      <c r="W832" s="49" t="n">
        <v>104.744</v>
      </c>
    </row>
    <row r="833">
      <c r="A833" s="44" t="inlineStr">
        <is>
          <t>TL Cinsi TUFE Endeksli Senetler</t>
        </is>
      </c>
      <c r="B833" s="44" t="n">
        <v>2020</v>
      </c>
      <c r="C833" s="44" t="inlineStr">
        <is>
          <t>TRT280628T18</t>
        </is>
      </c>
      <c r="D833" s="44" t="inlineStr">
        <is>
          <t>13.05.2020</t>
        </is>
      </c>
      <c r="E833" s="44" t="inlineStr">
        <is>
          <t>28.06.2028</t>
        </is>
      </c>
      <c r="F833" s="44" t="n">
        <v>2968</v>
      </c>
      <c r="G833" s="44" t="inlineStr">
        <is>
          <t>6 ay</t>
        </is>
      </c>
      <c r="H833" s="15" t="n">
        <v>1.65</v>
      </c>
      <c r="I833" s="45" t="n">
        <v>2756000</v>
      </c>
      <c r="J833" s="45" t="n">
        <v>3817589.41</v>
      </c>
      <c r="K833" s="45" t="n">
        <v>1706000</v>
      </c>
      <c r="L833" s="45" t="n">
        <v>2382569.16</v>
      </c>
      <c r="M833" s="45" t="n">
        <v>0</v>
      </c>
      <c r="N833" s="45" t="n">
        <v>0</v>
      </c>
      <c r="O833" s="45" t="n">
        <v>895043.602</v>
      </c>
      <c r="P833" s="45" t="n">
        <v>1249999.99366</v>
      </c>
      <c r="Q833" s="45" t="n">
        <v>0</v>
      </c>
      <c r="R833" s="45" t="n">
        <v>0</v>
      </c>
      <c r="S833" s="45" t="n">
        <v>2601043.602</v>
      </c>
      <c r="T833" s="45" t="n">
        <v>3632569.15366</v>
      </c>
      <c r="U833" s="15" t="n">
        <v>1.24</v>
      </c>
      <c r="V833" s="15" t="n">
        <v>2.49</v>
      </c>
      <c r="W833" s="49" t="n">
        <v>139.658</v>
      </c>
    </row>
    <row r="834">
      <c r="A834" s="44" t="inlineStr">
        <is>
          <t>TL Cinsi TUFE Endeksli Senetler</t>
        </is>
      </c>
      <c r="B834" s="44" t="n">
        <v>2020</v>
      </c>
      <c r="C834" s="44" t="inlineStr">
        <is>
          <t>TRT180625T13</t>
        </is>
      </c>
      <c r="D834" s="44" t="inlineStr">
        <is>
          <t>24.06.2020</t>
        </is>
      </c>
      <c r="E834" s="44" t="inlineStr">
        <is>
          <t>18.06.2025</t>
        </is>
      </c>
      <c r="F834" s="44" t="n">
        <v>1820</v>
      </c>
      <c r="G834" s="44" t="inlineStr">
        <is>
          <t>6 ay</t>
        </is>
      </c>
      <c r="H834" s="15" t="n">
        <v>0.75</v>
      </c>
      <c r="I834" s="45" t="n">
        <v>5279000</v>
      </c>
      <c r="J834" s="45" t="n">
        <v>5212944.03</v>
      </c>
      <c r="K834" s="45" t="n">
        <v>1668000</v>
      </c>
      <c r="L834" s="45" t="n">
        <v>1661849.34</v>
      </c>
      <c r="M834" s="45" t="n">
        <v>0</v>
      </c>
      <c r="N834" s="45" t="n">
        <v>0</v>
      </c>
      <c r="O834" s="45" t="n">
        <v>1756481.412</v>
      </c>
      <c r="P834" s="45" t="n">
        <v>1749999.99561</v>
      </c>
      <c r="Q834" s="45" t="n">
        <v>420000</v>
      </c>
      <c r="R834" s="45" t="n">
        <v>418450.2</v>
      </c>
      <c r="S834" s="45" t="n">
        <v>3844481.412</v>
      </c>
      <c r="T834" s="45" t="n">
        <v>3830299.535610001</v>
      </c>
      <c r="U834" s="15" t="n">
        <v>0.79</v>
      </c>
      <c r="V834" s="15" t="n">
        <v>1.58</v>
      </c>
      <c r="W834" s="49" t="n">
        <v>99.631</v>
      </c>
    </row>
    <row r="835">
      <c r="A835" s="44" t="inlineStr">
        <is>
          <t>TL Cinsi TUFE Endeksli Senetler</t>
        </is>
      </c>
      <c r="B835" s="44" t="n">
        <v>2020</v>
      </c>
      <c r="C835" s="44" t="inlineStr">
        <is>
          <t>TRT180625T13</t>
        </is>
      </c>
      <c r="D835" s="44" t="inlineStr">
        <is>
          <t>08.07.2020</t>
        </is>
      </c>
      <c r="E835" s="44" t="inlineStr">
        <is>
          <t>18.06.2025</t>
        </is>
      </c>
      <c r="F835" s="44" t="n">
        <v>1806</v>
      </c>
      <c r="G835" s="44" t="inlineStr">
        <is>
          <t>6 ay</t>
        </is>
      </c>
      <c r="H835" s="15" t="n">
        <v>0.75</v>
      </c>
      <c r="I835" s="45" t="n">
        <v>4697249.139</v>
      </c>
      <c r="J835" s="45" t="n">
        <v>4670711.43853</v>
      </c>
      <c r="K835" s="45" t="n">
        <v>2598249.139</v>
      </c>
      <c r="L835" s="45" t="n">
        <v>2606867.69853</v>
      </c>
      <c r="M835" s="45" t="n">
        <v>363792.209</v>
      </c>
      <c r="N835" s="45" t="n">
        <v>364999.99913</v>
      </c>
      <c r="O835" s="45" t="n">
        <v>2491727.459</v>
      </c>
      <c r="P835" s="45" t="n">
        <v>2499999.99417</v>
      </c>
      <c r="Q835" s="45" t="n">
        <v>250000</v>
      </c>
      <c r="R835" s="45" t="n">
        <v>250830</v>
      </c>
      <c r="S835" s="45" t="n">
        <v>5703768.807</v>
      </c>
      <c r="T835" s="45" t="n">
        <v>5722697.691830001</v>
      </c>
      <c r="U835" s="15" t="n">
        <v>0.77</v>
      </c>
      <c r="V835" s="15" t="n">
        <v>1.55</v>
      </c>
      <c r="W835" s="49" t="n">
        <v>100.332</v>
      </c>
    </row>
    <row r="836">
      <c r="A836" s="44" t="inlineStr">
        <is>
          <t>TL Cinsi TUFE Endeksli Senetler</t>
        </is>
      </c>
      <c r="B836" s="44" t="n">
        <v>2020</v>
      </c>
      <c r="C836" s="44" t="inlineStr">
        <is>
          <t>TRT180625T13</t>
        </is>
      </c>
      <c r="D836" s="44" t="inlineStr">
        <is>
          <t>12.08.2020</t>
        </is>
      </c>
      <c r="E836" s="44" t="inlineStr">
        <is>
          <t>18.06.2025</t>
        </is>
      </c>
      <c r="F836" s="44" t="n">
        <v>1771</v>
      </c>
      <c r="G836" s="44" t="inlineStr">
        <is>
          <t>6 ay</t>
        </is>
      </c>
      <c r="H836" s="15" t="n">
        <v>0.75</v>
      </c>
      <c r="I836" s="45" t="n">
        <v>2255000</v>
      </c>
      <c r="J836" s="45" t="n">
        <v>2210164.31</v>
      </c>
      <c r="K836" s="45" t="n">
        <v>892000</v>
      </c>
      <c r="L836" s="45" t="n">
        <v>894977.39</v>
      </c>
      <c r="M836" s="45" t="n">
        <v>0</v>
      </c>
      <c r="N836" s="45" t="n">
        <v>0</v>
      </c>
      <c r="O836" s="45" t="n">
        <v>498335.555</v>
      </c>
      <c r="P836" s="45" t="n">
        <v>499999.99574</v>
      </c>
      <c r="Q836" s="45" t="n">
        <v>0</v>
      </c>
      <c r="R836" s="45" t="n">
        <v>0</v>
      </c>
      <c r="S836" s="45" t="n">
        <v>1390335.555</v>
      </c>
      <c r="T836" s="45" t="n">
        <v>1394977.38574</v>
      </c>
      <c r="U836" s="15" t="n">
        <v>0.95</v>
      </c>
      <c r="V836" s="15" t="n">
        <v>1.9</v>
      </c>
      <c r="W836" s="49" t="n">
        <v>100.334</v>
      </c>
    </row>
    <row r="837">
      <c r="A837" s="44" t="inlineStr">
        <is>
          <t>TL Cinsi TUFE Endeksli Senetler</t>
        </is>
      </c>
      <c r="B837" s="44" t="n">
        <v>2019</v>
      </c>
      <c r="C837" s="44" t="inlineStr">
        <is>
          <t>TRT100124T17</t>
        </is>
      </c>
      <c r="D837" s="44" t="inlineStr">
        <is>
          <t>16.01.2019</t>
        </is>
      </c>
      <c r="E837" s="44" t="inlineStr">
        <is>
          <t>10.01.2024</t>
        </is>
      </c>
      <c r="F837" s="44" t="n">
        <v>1820</v>
      </c>
      <c r="G837" s="44" t="inlineStr">
        <is>
          <t>6 ay</t>
        </is>
      </c>
      <c r="H837" s="15" t="n">
        <v>2.1</v>
      </c>
      <c r="I837" s="45" t="n">
        <v>1234000</v>
      </c>
      <c r="J837" s="45" t="n">
        <v>1240028.24</v>
      </c>
      <c r="K837" s="45" t="n">
        <v>853000</v>
      </c>
      <c r="L837" s="45" t="n">
        <v>861002.23</v>
      </c>
      <c r="M837" s="45" t="n">
        <v>346747.508</v>
      </c>
      <c r="N837" s="45" t="n">
        <v>349999.99963</v>
      </c>
      <c r="O837" s="45" t="n">
        <v>1017951.611</v>
      </c>
      <c r="P837" s="45" t="n">
        <v>1027499.99711</v>
      </c>
      <c r="Q837" s="45" t="n">
        <v>188791.654</v>
      </c>
      <c r="R837" s="45" t="n">
        <v>190562.51971</v>
      </c>
      <c r="S837" s="45" t="n">
        <v>2406490.773</v>
      </c>
      <c r="T837" s="45" t="n">
        <v>2429064.74645</v>
      </c>
      <c r="U837" s="15" t="n">
        <v>2</v>
      </c>
      <c r="V837" s="15" t="n">
        <v>4.03</v>
      </c>
      <c r="W837" s="49" t="n">
        <v>100.938</v>
      </c>
    </row>
    <row r="838">
      <c r="A838" s="44" t="inlineStr">
        <is>
          <t>TL Cinsi TUFE Endeksli Senetler</t>
        </is>
      </c>
      <c r="B838" s="44" t="n">
        <v>2019</v>
      </c>
      <c r="C838" s="44" t="inlineStr">
        <is>
          <t>TRT100124T17</t>
        </is>
      </c>
      <c r="D838" s="44" t="inlineStr">
        <is>
          <t>20.02.2019</t>
        </is>
      </c>
      <c r="E838" s="44" t="inlineStr">
        <is>
          <t>10.01.2024</t>
        </is>
      </c>
      <c r="F838" s="44" t="n">
        <v>1785</v>
      </c>
      <c r="G838" s="44" t="inlineStr">
        <is>
          <t>6 ay</t>
        </is>
      </c>
      <c r="H838" s="15" t="n">
        <v>2.1</v>
      </c>
      <c r="I838" s="45" t="n">
        <v>2980000</v>
      </c>
      <c r="J838" s="45" t="n">
        <v>3029783.18</v>
      </c>
      <c r="K838" s="45" t="n">
        <v>2322000</v>
      </c>
      <c r="L838" s="45" t="n">
        <v>2366541.83</v>
      </c>
      <c r="M838" s="45" t="n">
        <v>981180.948</v>
      </c>
      <c r="N838" s="45" t="n">
        <v>999999.99858</v>
      </c>
      <c r="O838" s="45" t="n">
        <v>1177417.135</v>
      </c>
      <c r="P838" s="45" t="n">
        <v>1199999.99564</v>
      </c>
      <c r="Q838" s="45" t="n">
        <v>98118.094</v>
      </c>
      <c r="R838" s="45" t="n">
        <v>99999.99904</v>
      </c>
      <c r="S838" s="45" t="n">
        <v>4578716.176999999</v>
      </c>
      <c r="T838" s="45" t="n">
        <v>4666541.823260001</v>
      </c>
      <c r="U838" s="15" t="n">
        <v>1.93</v>
      </c>
      <c r="V838" s="15" t="n">
        <v>3.89</v>
      </c>
      <c r="W838" s="49" t="n">
        <v>101.918</v>
      </c>
    </row>
    <row r="839">
      <c r="A839" s="44" t="inlineStr">
        <is>
          <t>TL Cinsi TUFE Endeksli Senetler</t>
        </is>
      </c>
      <c r="B839" s="44" t="n">
        <v>2019</v>
      </c>
      <c r="C839" s="44" t="inlineStr">
        <is>
          <t>TRT100124T17</t>
        </is>
      </c>
      <c r="D839" s="44" t="inlineStr">
        <is>
          <t>20.03.2019</t>
        </is>
      </c>
      <c r="E839" s="44" t="inlineStr">
        <is>
          <t>10.01.2024</t>
        </is>
      </c>
      <c r="F839" s="44" t="n">
        <v>1757</v>
      </c>
      <c r="G839" s="44" t="inlineStr">
        <is>
          <t>6 ay</t>
        </is>
      </c>
      <c r="H839" s="15" t="n">
        <v>2.1</v>
      </c>
      <c r="I839" s="45" t="n">
        <v>1073053.03</v>
      </c>
      <c r="J839" s="45" t="n">
        <v>1092133.7397</v>
      </c>
      <c r="K839" s="45" t="n">
        <v>810000</v>
      </c>
      <c r="L839" s="45" t="n">
        <v>826910.65</v>
      </c>
      <c r="M839" s="45" t="n">
        <v>489773.528</v>
      </c>
      <c r="N839" s="45" t="n">
        <v>499999.99926</v>
      </c>
      <c r="O839" s="45" t="n">
        <v>1273411.172</v>
      </c>
      <c r="P839" s="45" t="n">
        <v>1299999.99727</v>
      </c>
      <c r="Q839" s="45" t="n">
        <v>0</v>
      </c>
      <c r="R839" s="45" t="n">
        <v>0</v>
      </c>
      <c r="S839" s="45" t="n">
        <v>2573184.7</v>
      </c>
      <c r="T839" s="45" t="n">
        <v>2626910.64653</v>
      </c>
      <c r="U839" s="15" t="n">
        <v>1.94</v>
      </c>
      <c r="V839" s="15" t="n">
        <v>3.92</v>
      </c>
      <c r="W839" s="49" t="n">
        <v>102.088</v>
      </c>
    </row>
    <row r="840">
      <c r="A840" s="44" t="inlineStr">
        <is>
          <t>TL Cinsi TUFE Endeksli Senetler</t>
        </is>
      </c>
      <c r="B840" s="44" t="n">
        <v>2019</v>
      </c>
      <c r="C840" s="44" t="inlineStr">
        <is>
          <t>TRT100124T17</t>
        </is>
      </c>
      <c r="D840" s="44" t="inlineStr">
        <is>
          <t>15.05.2019</t>
        </is>
      </c>
      <c r="E840" s="44" t="inlineStr">
        <is>
          <t>10.01.2024</t>
        </is>
      </c>
      <c r="F840" s="44" t="n">
        <v>1701</v>
      </c>
      <c r="G840" s="44" t="inlineStr">
        <is>
          <t>6 ay</t>
        </is>
      </c>
      <c r="H840" s="15" t="n">
        <v>2.1</v>
      </c>
      <c r="I840" s="45" t="n">
        <v>1826000</v>
      </c>
      <c r="J840" s="45" t="n">
        <v>1845038.13</v>
      </c>
      <c r="K840" s="45" t="n">
        <v>1176000</v>
      </c>
      <c r="L840" s="45" t="n">
        <v>1197965.28</v>
      </c>
      <c r="M840" s="45" t="n">
        <v>638080.652</v>
      </c>
      <c r="N840" s="45" t="n">
        <v>649999.99858</v>
      </c>
      <c r="O840" s="45" t="n">
        <v>1668826.321</v>
      </c>
      <c r="P840" s="45" t="n">
        <v>1699999.99667</v>
      </c>
      <c r="Q840" s="45" t="n">
        <v>0</v>
      </c>
      <c r="R840" s="45" t="n">
        <v>0</v>
      </c>
      <c r="S840" s="45" t="n">
        <v>3482906.973</v>
      </c>
      <c r="T840" s="45" t="n">
        <v>3547965.27525</v>
      </c>
      <c r="U840" s="15" t="n">
        <v>2.1</v>
      </c>
      <c r="V840" s="15" t="n">
        <v>4.25</v>
      </c>
      <c r="W840" s="49" t="n">
        <v>101.868</v>
      </c>
    </row>
    <row r="841">
      <c r="A841" s="44" t="inlineStr">
        <is>
          <t>TL Cinsi TUFE Endeksli Senetler</t>
        </is>
      </c>
      <c r="B841" s="44" t="n">
        <v>2019</v>
      </c>
      <c r="C841" s="44" t="inlineStr">
        <is>
          <t>TRT050624T35</t>
        </is>
      </c>
      <c r="D841" s="44" t="inlineStr">
        <is>
          <t>12.06.2019</t>
        </is>
      </c>
      <c r="E841" s="44" t="inlineStr">
        <is>
          <t>05.06.2024</t>
        </is>
      </c>
      <c r="F841" s="44" t="n">
        <v>1820</v>
      </c>
      <c r="G841" s="44" t="inlineStr">
        <is>
          <t>6 ay</t>
        </is>
      </c>
      <c r="H841" s="15" t="n">
        <v>2.05</v>
      </c>
      <c r="I841" s="45" t="n">
        <v>1155279.81</v>
      </c>
      <c r="J841" s="45" t="n">
        <v>1151334.899</v>
      </c>
      <c r="K841" s="45" t="n">
        <v>835279.8100000001</v>
      </c>
      <c r="L841" s="45" t="n">
        <v>835153.649</v>
      </c>
      <c r="M841" s="45" t="n">
        <v>400060.009</v>
      </c>
      <c r="N841" s="45" t="n">
        <v>400000</v>
      </c>
      <c r="O841" s="45" t="n">
        <v>960144.019</v>
      </c>
      <c r="P841" s="45" t="n">
        <v>959999.99739</v>
      </c>
      <c r="Q841" s="45" t="n">
        <v>0</v>
      </c>
      <c r="R841" s="45" t="n">
        <v>0</v>
      </c>
      <c r="S841" s="45" t="n">
        <v>2195483.838</v>
      </c>
      <c r="T841" s="45" t="n">
        <v>2195153.64639</v>
      </c>
      <c r="U841" s="15" t="n">
        <v>2.05</v>
      </c>
      <c r="V841" s="15" t="n">
        <v>4.15</v>
      </c>
      <c r="W841" s="49" t="n">
        <v>99.985</v>
      </c>
    </row>
    <row r="842">
      <c r="A842" s="44" t="inlineStr">
        <is>
          <t>TL Cinsi TUFE Endeksli Senetler</t>
        </is>
      </c>
      <c r="B842" s="44" t="n">
        <v>2019</v>
      </c>
      <c r="C842" s="44" t="inlineStr">
        <is>
          <t>TRT050624T35</t>
        </is>
      </c>
      <c r="D842" s="44" t="inlineStr">
        <is>
          <t>10.07.2019</t>
        </is>
      </c>
      <c r="E842" s="44" t="inlineStr">
        <is>
          <t>05.06.2024</t>
        </is>
      </c>
      <c r="F842" s="44" t="n">
        <v>1792</v>
      </c>
      <c r="G842" s="44" t="inlineStr">
        <is>
          <t>6 ay</t>
        </is>
      </c>
      <c r="H842" s="15" t="n">
        <v>2.05</v>
      </c>
      <c r="I842" s="45" t="n">
        <v>1082000</v>
      </c>
      <c r="J842" s="45" t="n">
        <v>1097304.95</v>
      </c>
      <c r="K842" s="45" t="n">
        <v>710000</v>
      </c>
      <c r="L842" s="45" t="n">
        <v>720797</v>
      </c>
      <c r="M842" s="45" t="n">
        <v>413707.508</v>
      </c>
      <c r="N842" s="45" t="n">
        <v>419999.9992</v>
      </c>
      <c r="O842" s="45" t="n">
        <v>1428275.921</v>
      </c>
      <c r="P842" s="45" t="n">
        <v>1449999.99775</v>
      </c>
      <c r="Q842" s="45" t="n">
        <v>0</v>
      </c>
      <c r="R842" s="45" t="n">
        <v>0</v>
      </c>
      <c r="S842" s="45" t="n">
        <v>2551983.429</v>
      </c>
      <c r="T842" s="45" t="n">
        <v>2590796.99695</v>
      </c>
      <c r="U842" s="15" t="n">
        <v>2.07</v>
      </c>
      <c r="V842" s="15" t="n">
        <v>4.17</v>
      </c>
      <c r="W842" s="49" t="n">
        <v>101.521</v>
      </c>
    </row>
    <row r="843">
      <c r="A843" s="44" t="inlineStr">
        <is>
          <t>TL Cinsi TUFE Endeksli Senetler</t>
        </is>
      </c>
      <c r="B843" s="44" t="n">
        <v>2019</v>
      </c>
      <c r="C843" s="44" t="inlineStr">
        <is>
          <t>TRT050624T35</t>
        </is>
      </c>
      <c r="D843" s="44" t="inlineStr">
        <is>
          <t>21.08.2019</t>
        </is>
      </c>
      <c r="E843" s="44" t="inlineStr">
        <is>
          <t>05.06.2024</t>
        </is>
      </c>
      <c r="F843" s="44" t="n">
        <v>1750</v>
      </c>
      <c r="G843" s="44" t="inlineStr">
        <is>
          <t>6 ay</t>
        </is>
      </c>
      <c r="H843" s="15" t="n">
        <v>2.05</v>
      </c>
      <c r="I843" s="45" t="n">
        <v>2124000</v>
      </c>
      <c r="J843" s="45" t="n">
        <v>2186647.64</v>
      </c>
      <c r="K843" s="45" t="n">
        <v>1461000</v>
      </c>
      <c r="L843" s="45" t="n">
        <v>1509790.43</v>
      </c>
      <c r="M843" s="45" t="n">
        <v>193535.9</v>
      </c>
      <c r="N843" s="45" t="n">
        <v>199999.99906</v>
      </c>
      <c r="O843" s="45" t="n">
        <v>1161215.403</v>
      </c>
      <c r="P843" s="45" t="n">
        <v>1199999.99746</v>
      </c>
      <c r="Q843" s="45" t="n">
        <v>97093.09</v>
      </c>
      <c r="R843" s="45" t="n">
        <v>100335.99921</v>
      </c>
      <c r="S843" s="45" t="n">
        <v>2912844.393</v>
      </c>
      <c r="T843" s="45" t="n">
        <v>3010126.42573</v>
      </c>
      <c r="U843" s="15" t="n">
        <v>1.99</v>
      </c>
      <c r="V843" s="15" t="n">
        <v>4.03</v>
      </c>
      <c r="W843" s="49" t="n">
        <v>103.34</v>
      </c>
    </row>
    <row r="844">
      <c r="A844" s="44" t="inlineStr">
        <is>
          <t>TL Cinsi TUFE Endeksli Senetler</t>
        </is>
      </c>
      <c r="B844" s="44" t="n">
        <v>2019</v>
      </c>
      <c r="C844" s="44" t="inlineStr">
        <is>
          <t>TRT050624T35</t>
        </is>
      </c>
      <c r="D844" s="44" t="inlineStr">
        <is>
          <t>18.09.2019</t>
        </is>
      </c>
      <c r="E844" s="44" t="inlineStr">
        <is>
          <t>05.06.2024</t>
        </is>
      </c>
      <c r="F844" s="44" t="n">
        <v>1722</v>
      </c>
      <c r="G844" s="44" t="inlineStr">
        <is>
          <t>6 ay</t>
        </is>
      </c>
      <c r="H844" s="15" t="n">
        <v>2.05</v>
      </c>
      <c r="I844" s="45" t="n">
        <v>601000</v>
      </c>
      <c r="J844" s="45" t="n">
        <v>622813.3199999999</v>
      </c>
      <c r="K844" s="45" t="n">
        <v>203000</v>
      </c>
      <c r="L844" s="45" t="n">
        <v>212276.8</v>
      </c>
      <c r="M844" s="45" t="n">
        <v>286889.165</v>
      </c>
      <c r="N844" s="45" t="n">
        <v>299999.99984</v>
      </c>
      <c r="O844" s="45" t="n">
        <v>402601.127</v>
      </c>
      <c r="P844" s="45" t="n">
        <v>420999.99851</v>
      </c>
      <c r="Q844" s="45" t="n">
        <v>12000</v>
      </c>
      <c r="R844" s="45" t="n">
        <v>12548.4</v>
      </c>
      <c r="S844" s="45" t="n">
        <v>904490.2919999999</v>
      </c>
      <c r="T844" s="45" t="n">
        <v>945825.19835</v>
      </c>
      <c r="U844" s="15" t="n">
        <v>1.98</v>
      </c>
      <c r="V844" s="15" t="n">
        <v>4</v>
      </c>
      <c r="W844" s="49" t="n">
        <v>104.57</v>
      </c>
    </row>
    <row r="845">
      <c r="A845" s="44" t="inlineStr">
        <is>
          <t>TL Cinsi TUFE Endeksli Senetler</t>
        </is>
      </c>
      <c r="B845" s="44" t="n">
        <v>2019</v>
      </c>
      <c r="C845" s="44" t="inlineStr">
        <is>
          <t>TRT050624T35</t>
        </is>
      </c>
      <c r="D845" s="44" t="inlineStr">
        <is>
          <t>23.10.2019</t>
        </is>
      </c>
      <c r="E845" s="44" t="inlineStr">
        <is>
          <t>05.06.2024</t>
        </is>
      </c>
      <c r="F845" s="44" t="n">
        <v>1687</v>
      </c>
      <c r="G845" s="44" t="inlineStr">
        <is>
          <t>6 ay</t>
        </is>
      </c>
      <c r="H845" s="15" t="n">
        <v>2.05</v>
      </c>
      <c r="I845" s="45" t="n">
        <v>709000</v>
      </c>
      <c r="J845" s="45" t="n">
        <v>752253.25</v>
      </c>
      <c r="K845" s="45" t="n">
        <v>306000</v>
      </c>
      <c r="L845" s="45" t="n">
        <v>325445.26</v>
      </c>
      <c r="M845" s="45" t="n">
        <v>0</v>
      </c>
      <c r="N845" s="45" t="n">
        <v>0</v>
      </c>
      <c r="O845" s="45" t="n">
        <v>289596.163</v>
      </c>
      <c r="P845" s="45" t="n">
        <v>307999.99916</v>
      </c>
      <c r="Q845" s="45" t="n">
        <v>60136.016</v>
      </c>
      <c r="R845" s="45" t="n">
        <v>63957.65982</v>
      </c>
      <c r="S845" s="45" t="n">
        <v>655732.179</v>
      </c>
      <c r="T845" s="45" t="n">
        <v>697402.9189800001</v>
      </c>
      <c r="U845" s="15" t="n">
        <v>1.97</v>
      </c>
      <c r="V845" s="15" t="n">
        <v>3.97</v>
      </c>
      <c r="W845" s="49" t="n">
        <v>106.355</v>
      </c>
    </row>
    <row r="846">
      <c r="A846" s="44" t="inlineStr">
        <is>
          <t>TL Cinsi TUFE Endeksli Senetler</t>
        </is>
      </c>
      <c r="B846" s="44" t="n">
        <v>2019</v>
      </c>
      <c r="C846" s="44" t="inlineStr">
        <is>
          <t>TRT061124T11</t>
        </is>
      </c>
      <c r="D846" s="44" t="inlineStr">
        <is>
          <t>13.11.2019</t>
        </is>
      </c>
      <c r="E846" s="44" t="inlineStr">
        <is>
          <t>06.11.2024</t>
        </is>
      </c>
      <c r="F846" s="44" t="n">
        <v>1820</v>
      </c>
      <c r="G846" s="44" t="inlineStr">
        <is>
          <t>6 ay</t>
        </is>
      </c>
      <c r="H846" s="15" t="n">
        <v>1.6</v>
      </c>
      <c r="I846" s="45" t="n">
        <v>4068500</v>
      </c>
      <c r="J846" s="45" t="n">
        <v>4029244.61</v>
      </c>
      <c r="K846" s="45" t="n">
        <v>2256000</v>
      </c>
      <c r="L846" s="45" t="n">
        <v>2251064.44</v>
      </c>
      <c r="M846" s="45" t="n">
        <v>450987.662</v>
      </c>
      <c r="N846" s="45" t="n">
        <v>449999.99902</v>
      </c>
      <c r="O846" s="45" t="n">
        <v>1857066.972</v>
      </c>
      <c r="P846" s="45" t="n">
        <v>1852999.99535</v>
      </c>
      <c r="Q846" s="45" t="n">
        <v>348962.105</v>
      </c>
      <c r="R846" s="45" t="n">
        <v>348197.87799</v>
      </c>
      <c r="S846" s="45" t="n">
        <v>4913016.739</v>
      </c>
      <c r="T846" s="45" t="n">
        <v>4902262.31236</v>
      </c>
      <c r="U846" s="15" t="n">
        <v>1.62</v>
      </c>
      <c r="V846" s="15" t="n">
        <v>3.27</v>
      </c>
      <c r="W846" s="49" t="n">
        <v>99.78100000000001</v>
      </c>
    </row>
    <row r="847">
      <c r="A847" s="44" t="inlineStr">
        <is>
          <t>TL Cinsi TUFE Endeksli Senetler</t>
        </is>
      </c>
      <c r="B847" s="44" t="n">
        <v>2019</v>
      </c>
      <c r="C847" s="44" t="inlineStr">
        <is>
          <t>TRT061124T11</t>
        </is>
      </c>
      <c r="D847" s="44" t="inlineStr">
        <is>
          <t>18.12.2019</t>
        </is>
      </c>
      <c r="E847" s="44" t="inlineStr">
        <is>
          <t>06.11.2024</t>
        </is>
      </c>
      <c r="F847" s="44" t="n">
        <v>1785</v>
      </c>
      <c r="G847" s="44" t="inlineStr">
        <is>
          <t>6 ay</t>
        </is>
      </c>
      <c r="H847" s="15" t="n">
        <v>1.6</v>
      </c>
      <c r="I847" s="45" t="n">
        <v>1781800</v>
      </c>
      <c r="J847" s="45" t="n">
        <v>1833602.296</v>
      </c>
      <c r="K847" s="45" t="n">
        <v>1181800</v>
      </c>
      <c r="L847" s="45" t="n">
        <v>1221073.296</v>
      </c>
      <c r="M847" s="45" t="n">
        <v>0</v>
      </c>
      <c r="N847" s="45" t="n">
        <v>0</v>
      </c>
      <c r="O847" s="45" t="n">
        <v>967838.714</v>
      </c>
      <c r="P847" s="45" t="n">
        <v>999999.99446</v>
      </c>
      <c r="Q847" s="45" t="n">
        <v>74104.64200000001</v>
      </c>
      <c r="R847" s="45" t="n">
        <v>76567.13924999999</v>
      </c>
      <c r="S847" s="45" t="n">
        <v>2223743.356</v>
      </c>
      <c r="T847" s="45" t="n">
        <v>2297640.42971</v>
      </c>
      <c r="U847" s="15" t="n">
        <v>1.46</v>
      </c>
      <c r="V847" s="15" t="n">
        <v>2.94</v>
      </c>
      <c r="W847" s="49" t="n">
        <v>103.323</v>
      </c>
    </row>
    <row r="848">
      <c r="A848" s="44" t="inlineStr">
        <is>
          <t>TL Cinsi TUFE Endeksli Senetler</t>
        </is>
      </c>
      <c r="B848" s="44" t="n">
        <v>2018</v>
      </c>
      <c r="C848" s="44" t="inlineStr">
        <is>
          <t>TRT120128T11</t>
        </is>
      </c>
      <c r="D848" s="44" t="inlineStr">
        <is>
          <t>24.01.2018</t>
        </is>
      </c>
      <c r="E848" s="44" t="inlineStr">
        <is>
          <t>12.01.2028</t>
        </is>
      </c>
      <c r="F848" s="44" t="n">
        <v>3640</v>
      </c>
      <c r="G848" s="44" t="inlineStr">
        <is>
          <t>6 ay</t>
        </is>
      </c>
      <c r="H848" s="15" t="n">
        <v>1.45</v>
      </c>
      <c r="I848" s="45" t="n">
        <v>989000</v>
      </c>
      <c r="J848" s="45" t="n">
        <v>984731.47</v>
      </c>
      <c r="K848" s="45" t="n">
        <v>486000</v>
      </c>
      <c r="L848" s="45" t="n">
        <v>485904.67</v>
      </c>
      <c r="M848" s="45" t="n">
        <v>250050.01</v>
      </c>
      <c r="N848" s="45" t="n">
        <v>250000</v>
      </c>
      <c r="O848" s="45" t="n">
        <v>752150.429</v>
      </c>
      <c r="P848" s="45" t="n">
        <v>751999.99892</v>
      </c>
      <c r="Q848" s="45" t="n">
        <v>0</v>
      </c>
      <c r="R848" s="45" t="n">
        <v>0</v>
      </c>
      <c r="S848" s="45" t="n">
        <v>1488200.439</v>
      </c>
      <c r="T848" s="45" t="n">
        <v>1487904.66892</v>
      </c>
      <c r="U848" s="15" t="n">
        <v>1.45</v>
      </c>
      <c r="V848" s="15" t="n">
        <v>2.92</v>
      </c>
      <c r="W848" s="49" t="n">
        <v>99.98</v>
      </c>
    </row>
    <row r="849">
      <c r="A849" s="44" t="inlineStr">
        <is>
          <t>TL Cinsi TUFE Endeksli Senetler</t>
        </is>
      </c>
      <c r="B849" s="44" t="n">
        <v>2018</v>
      </c>
      <c r="C849" s="44" t="inlineStr">
        <is>
          <t>TRT120128T11</t>
        </is>
      </c>
      <c r="D849" s="44" t="inlineStr">
        <is>
          <t>14.02.2018</t>
        </is>
      </c>
      <c r="E849" s="44" t="inlineStr">
        <is>
          <t>12.01.2028</t>
        </is>
      </c>
      <c r="F849" s="44" t="n">
        <v>3619</v>
      </c>
      <c r="G849" s="44" t="inlineStr">
        <is>
          <t>6 ay</t>
        </is>
      </c>
      <c r="H849" s="15" t="n">
        <v>1.45</v>
      </c>
      <c r="I849" s="45" t="n">
        <v>840000</v>
      </c>
      <c r="J849" s="45" t="n">
        <v>840830.14</v>
      </c>
      <c r="K849" s="45" t="n">
        <v>482000</v>
      </c>
      <c r="L849" s="45" t="n">
        <v>484381.31</v>
      </c>
      <c r="M849" s="45" t="n">
        <v>398033.713</v>
      </c>
      <c r="N849" s="45" t="n">
        <v>399999.99954</v>
      </c>
      <c r="O849" s="45" t="n">
        <v>1682886.541</v>
      </c>
      <c r="P849" s="45" t="n">
        <v>1691200.00053</v>
      </c>
      <c r="Q849" s="45" t="n">
        <v>80034.628</v>
      </c>
      <c r="R849" s="45" t="n">
        <v>80429.99906</v>
      </c>
      <c r="S849" s="45" t="n">
        <v>2642954.882</v>
      </c>
      <c r="T849" s="45" t="n">
        <v>2656011.30913</v>
      </c>
      <c r="U849" s="15" t="n">
        <v>1.47</v>
      </c>
      <c r="V849" s="15" t="n">
        <v>2.95</v>
      </c>
      <c r="W849" s="49" t="n">
        <v>100.494</v>
      </c>
    </row>
    <row r="850">
      <c r="A850" s="44" t="inlineStr">
        <is>
          <t>TL Cinsi TUFE Endeksli Senetler</t>
        </is>
      </c>
      <c r="B850" s="44" t="n">
        <v>2018</v>
      </c>
      <c r="C850" s="44" t="inlineStr">
        <is>
          <t>TRT120128T11</t>
        </is>
      </c>
      <c r="D850" s="44" t="inlineStr">
        <is>
          <t>20.06.2018</t>
        </is>
      </c>
      <c r="E850" s="44" t="inlineStr">
        <is>
          <t>12.01.2028</t>
        </is>
      </c>
      <c r="F850" s="44" t="n">
        <v>3493</v>
      </c>
      <c r="G850" s="44" t="inlineStr">
        <is>
          <t>6 ay</t>
        </is>
      </c>
      <c r="H850" s="15" t="n">
        <v>1.45</v>
      </c>
      <c r="I850" s="45" t="n">
        <v>1762000</v>
      </c>
      <c r="J850" s="45" t="n">
        <v>1804294.22</v>
      </c>
      <c r="K850" s="45" t="n">
        <v>1172000</v>
      </c>
      <c r="L850" s="45" t="n">
        <v>1220919.31</v>
      </c>
      <c r="M850" s="45" t="n">
        <v>489565.534</v>
      </c>
      <c r="N850" s="45" t="n">
        <v>509999.99939</v>
      </c>
      <c r="O850" s="45" t="n">
        <v>1631885.114</v>
      </c>
      <c r="P850" s="45" t="n">
        <v>1699999.99865</v>
      </c>
      <c r="Q850" s="45" t="n">
        <v>160799.239</v>
      </c>
      <c r="R850" s="45" t="n">
        <v>167510.99924</v>
      </c>
      <c r="S850" s="45" t="n">
        <v>3454249.887</v>
      </c>
      <c r="T850" s="45" t="n">
        <v>3598430.30728</v>
      </c>
      <c r="U850" s="15" t="n">
        <v>1.57</v>
      </c>
      <c r="V850" s="15" t="n">
        <v>3.17</v>
      </c>
      <c r="W850" s="49" t="n">
        <v>104.174</v>
      </c>
    </row>
    <row r="851">
      <c r="A851" s="44" t="inlineStr">
        <is>
          <t>TL Cinsi TUFE Endeksli Senetler</t>
        </is>
      </c>
      <c r="B851" s="44" t="n">
        <v>2018</v>
      </c>
      <c r="C851" s="44" t="inlineStr">
        <is>
          <t>TRT280628T18</t>
        </is>
      </c>
      <c r="D851" s="44" t="inlineStr">
        <is>
          <t>11.07.2018</t>
        </is>
      </c>
      <c r="E851" s="44" t="inlineStr">
        <is>
          <t>28.06.2028</t>
        </is>
      </c>
      <c r="F851" s="44" t="n">
        <v>3640</v>
      </c>
      <c r="G851" s="44" t="inlineStr">
        <is>
          <t>6 ay</t>
        </is>
      </c>
      <c r="H851" s="15" t="n">
        <v>1.65</v>
      </c>
      <c r="I851" s="45" t="n">
        <v>2282000</v>
      </c>
      <c r="J851" s="45" t="n">
        <v>2242274.81</v>
      </c>
      <c r="K851" s="45" t="n">
        <v>1255000</v>
      </c>
      <c r="L851" s="45" t="n">
        <v>1267873.31</v>
      </c>
      <c r="M851" s="45" t="n">
        <v>178171.955</v>
      </c>
      <c r="N851" s="45" t="n">
        <v>179999.99926</v>
      </c>
      <c r="O851" s="45" t="n">
        <v>2538999.861</v>
      </c>
      <c r="P851" s="45" t="n">
        <v>2565049.99957</v>
      </c>
      <c r="Q851" s="45" t="n">
        <v>158000</v>
      </c>
      <c r="R851" s="45" t="n">
        <v>159621.08</v>
      </c>
      <c r="S851" s="45" t="n">
        <v>4130171.816</v>
      </c>
      <c r="T851" s="45" t="n">
        <v>4172544.38883</v>
      </c>
      <c r="U851" s="15" t="n">
        <v>1.59</v>
      </c>
      <c r="V851" s="15" t="n">
        <v>3.2</v>
      </c>
      <c r="W851" s="49" t="n">
        <v>101.026</v>
      </c>
    </row>
    <row r="852">
      <c r="A852" s="44" t="inlineStr">
        <is>
          <t>TL Cinsi TUFE Endeksli Senetler</t>
        </is>
      </c>
      <c r="B852" s="44" t="n">
        <v>2018</v>
      </c>
      <c r="C852" s="44" t="inlineStr">
        <is>
          <t>TRT280628T18</t>
        </is>
      </c>
      <c r="D852" s="44" t="inlineStr">
        <is>
          <t>08.08.2018</t>
        </is>
      </c>
      <c r="E852" s="44" t="inlineStr">
        <is>
          <t>28.06.2028</t>
        </is>
      </c>
      <c r="F852" s="44" t="n">
        <v>3612</v>
      </c>
      <c r="G852" s="44" t="inlineStr">
        <is>
          <t>6 ay</t>
        </is>
      </c>
      <c r="H852" s="15" t="n">
        <v>1.65</v>
      </c>
      <c r="I852" s="45" t="n">
        <v>1554271</v>
      </c>
      <c r="J852" s="45" t="n">
        <v>1521393.41703</v>
      </c>
      <c r="K852" s="45" t="n">
        <v>679271</v>
      </c>
      <c r="L852" s="45" t="n">
        <v>676947.36703</v>
      </c>
      <c r="M852" s="45" t="n">
        <v>391338.377</v>
      </c>
      <c r="N852" s="45" t="n">
        <v>389999.99975</v>
      </c>
      <c r="O852" s="45" t="n">
        <v>1043569.005</v>
      </c>
      <c r="P852" s="45" t="n">
        <v>1039999.999</v>
      </c>
      <c r="Q852" s="45" t="n">
        <v>0</v>
      </c>
      <c r="R852" s="45" t="n">
        <v>0</v>
      </c>
      <c r="S852" s="45" t="n">
        <v>2114178.382</v>
      </c>
      <c r="T852" s="45" t="n">
        <v>2106947.36578</v>
      </c>
      <c r="U852" s="15" t="n">
        <v>1.79</v>
      </c>
      <c r="V852" s="15" t="n">
        <v>3.6</v>
      </c>
      <c r="W852" s="49" t="n">
        <v>99.658</v>
      </c>
    </row>
    <row r="853">
      <c r="A853" s="44" t="inlineStr">
        <is>
          <t>TL Cinsi TUFE Endeksli Senetler</t>
        </is>
      </c>
      <c r="B853" s="44" t="n">
        <v>2018</v>
      </c>
      <c r="C853" s="44" t="inlineStr">
        <is>
          <t>TRT081123T10</t>
        </is>
      </c>
      <c r="D853" s="44" t="inlineStr">
        <is>
          <t>26.09.2018</t>
        </is>
      </c>
      <c r="E853" s="44" t="inlineStr">
        <is>
          <t>08.11.2023</t>
        </is>
      </c>
      <c r="F853" s="44" t="n">
        <v>1869</v>
      </c>
      <c r="G853" s="44" t="inlineStr">
        <is>
          <t>6 ay</t>
        </is>
      </c>
      <c r="H853" s="15" t="n">
        <v>1.4</v>
      </c>
      <c r="I853" s="45" t="n">
        <v>1392100</v>
      </c>
      <c r="J853" s="45" t="n">
        <v>2165751.8015</v>
      </c>
      <c r="K853" s="45" t="n">
        <v>328000</v>
      </c>
      <c r="L853" s="45" t="n">
        <v>514473.26</v>
      </c>
      <c r="M853" s="45" t="n">
        <v>943564.633</v>
      </c>
      <c r="N853" s="45" t="n">
        <v>1479999.99815</v>
      </c>
      <c r="O853" s="45" t="n">
        <v>255336.239</v>
      </c>
      <c r="P853" s="45" t="n">
        <v>400499.99762</v>
      </c>
      <c r="Q853" s="45" t="n">
        <v>20000</v>
      </c>
      <c r="R853" s="45" t="n">
        <v>31370.4</v>
      </c>
      <c r="S853" s="45" t="n">
        <v>1546900.872</v>
      </c>
      <c r="T853" s="45" t="n">
        <v>2426343.65577</v>
      </c>
      <c r="U853" s="15" t="n">
        <v>1.77</v>
      </c>
      <c r="V853" s="15" t="n">
        <v>3.58</v>
      </c>
      <c r="W853" s="49" t="n">
        <v>156.852</v>
      </c>
    </row>
    <row r="854">
      <c r="A854" s="44" t="inlineStr">
        <is>
          <t>TL Cinsi TUFE Endeksli Senetler</t>
        </is>
      </c>
      <c r="B854" s="44" t="n">
        <v>2017</v>
      </c>
      <c r="C854" s="44" t="inlineStr">
        <is>
          <t>TRT140126T11</t>
        </is>
      </c>
      <c r="D854" s="44" t="inlineStr">
        <is>
          <t>11.01.2017</t>
        </is>
      </c>
      <c r="E854" s="44" t="inlineStr">
        <is>
          <t>14.01.2026</t>
        </is>
      </c>
      <c r="F854" s="44" t="n">
        <v>3290</v>
      </c>
      <c r="G854" s="44" t="inlineStr">
        <is>
          <t>6 ay</t>
        </is>
      </c>
      <c r="H854" s="15" t="n">
        <v>1.35</v>
      </c>
      <c r="I854" s="45" t="n">
        <v>2151000</v>
      </c>
      <c r="J854" s="45" t="n">
        <v>2285087.84</v>
      </c>
      <c r="K854" s="45" t="n">
        <v>930000</v>
      </c>
      <c r="L854" s="45" t="n">
        <v>998399.28</v>
      </c>
      <c r="M854" s="45" t="n">
        <v>298076.475</v>
      </c>
      <c r="N854" s="45" t="n">
        <v>319999.99974</v>
      </c>
      <c r="O854" s="45" t="n">
        <v>680027.944</v>
      </c>
      <c r="P854" s="45" t="n">
        <v>730043.99927</v>
      </c>
      <c r="Q854" s="45" t="n">
        <v>74900</v>
      </c>
      <c r="R854" s="45" t="n">
        <v>80408.895</v>
      </c>
      <c r="S854" s="45" t="n">
        <v>1983004.419</v>
      </c>
      <c r="T854" s="45" t="n">
        <v>2128852.17401</v>
      </c>
      <c r="U854" s="15" t="n">
        <v>1.39</v>
      </c>
      <c r="V854" s="15" t="n">
        <v>2.8</v>
      </c>
      <c r="W854" s="49" t="n">
        <v>107.355</v>
      </c>
    </row>
    <row r="855">
      <c r="A855" s="44" t="inlineStr">
        <is>
          <t>TL Cinsi TUFE Endeksli Senetler</t>
        </is>
      </c>
      <c r="B855" s="44" t="n">
        <v>2017</v>
      </c>
      <c r="C855" s="44" t="inlineStr">
        <is>
          <t>TRT140126T11</t>
        </is>
      </c>
      <c r="D855" s="44" t="inlineStr">
        <is>
          <t>08.03.2017</t>
        </is>
      </c>
      <c r="E855" s="44" t="inlineStr">
        <is>
          <t>14.01.2026</t>
        </is>
      </c>
      <c r="F855" s="44" t="n">
        <v>3234</v>
      </c>
      <c r="G855" s="44" t="inlineStr">
        <is>
          <t>6 ay</t>
        </is>
      </c>
      <c r="H855" s="15" t="n">
        <v>1.35</v>
      </c>
      <c r="I855" s="45" t="n">
        <v>1317000</v>
      </c>
      <c r="J855" s="45" t="n">
        <v>1445152.25</v>
      </c>
      <c r="K855" s="45" t="n">
        <v>900000</v>
      </c>
      <c r="L855" s="45" t="n">
        <v>993348.95</v>
      </c>
      <c r="M855" s="45" t="n">
        <v>453013.445</v>
      </c>
      <c r="N855" s="45" t="n">
        <v>499999.99952</v>
      </c>
      <c r="O855" s="45" t="n">
        <v>940673.3590000001</v>
      </c>
      <c r="P855" s="45" t="n">
        <v>1038239.99978</v>
      </c>
      <c r="Q855" s="45" t="n">
        <v>60065.342</v>
      </c>
      <c r="R855" s="45" t="n">
        <v>66295.31927000001</v>
      </c>
      <c r="S855" s="45" t="n">
        <v>2353752.146</v>
      </c>
      <c r="T855" s="45" t="n">
        <v>2597884.26857</v>
      </c>
      <c r="U855" s="15" t="n">
        <v>1.32</v>
      </c>
      <c r="V855" s="15" t="n">
        <v>2.65</v>
      </c>
      <c r="W855" s="49" t="n">
        <v>110.372</v>
      </c>
    </row>
    <row r="856">
      <c r="A856" s="44" t="inlineStr">
        <is>
          <t>TL Cinsi TUFE Endeksli Senetler</t>
        </is>
      </c>
      <c r="B856" s="44" t="n">
        <v>2017</v>
      </c>
      <c r="C856" s="44" t="inlineStr">
        <is>
          <t>TRT081123T10</t>
        </is>
      </c>
      <c r="D856" s="44" t="inlineStr">
        <is>
          <t>14.06.2017</t>
        </is>
      </c>
      <c r="E856" s="44" t="inlineStr">
        <is>
          <t>08.11.2023</t>
        </is>
      </c>
      <c r="F856" s="44" t="n">
        <v>2338</v>
      </c>
      <c r="G856" s="44" t="inlineStr">
        <is>
          <t>6 ay</t>
        </is>
      </c>
      <c r="H856" s="15" t="n">
        <v>1.4</v>
      </c>
      <c r="I856" s="45" t="n">
        <v>722000</v>
      </c>
      <c r="J856" s="45" t="n">
        <v>992904.47</v>
      </c>
      <c r="K856" s="45" t="n">
        <v>314000</v>
      </c>
      <c r="L856" s="45" t="n">
        <v>434907.35</v>
      </c>
      <c r="M856" s="45" t="n">
        <v>360995.191</v>
      </c>
      <c r="N856" s="45" t="n">
        <v>499999.99925</v>
      </c>
      <c r="O856" s="45" t="n">
        <v>603439.561</v>
      </c>
      <c r="P856" s="45" t="n">
        <v>835799.99835</v>
      </c>
      <c r="Q856" s="45" t="n">
        <v>0</v>
      </c>
      <c r="R856" s="45" t="n">
        <v>0</v>
      </c>
      <c r="S856" s="45" t="n">
        <v>1278434.752</v>
      </c>
      <c r="T856" s="45" t="n">
        <v>1770707.3476</v>
      </c>
      <c r="U856" s="15" t="n">
        <v>1.35</v>
      </c>
      <c r="V856" s="15" t="n">
        <v>2.73</v>
      </c>
      <c r="W856" s="49" t="n">
        <v>138.506</v>
      </c>
    </row>
    <row r="857">
      <c r="A857" s="44" t="inlineStr">
        <is>
          <t>TL Cinsi TUFE Endeksli Senetler</t>
        </is>
      </c>
      <c r="B857" s="44" t="n">
        <v>2017</v>
      </c>
      <c r="C857" s="44" t="inlineStr">
        <is>
          <t>TRT070727T13</t>
        </is>
      </c>
      <c r="D857" s="44" t="inlineStr">
        <is>
          <t>19.07.2017</t>
        </is>
      </c>
      <c r="E857" s="44" t="inlineStr">
        <is>
          <t>07.07.2027</t>
        </is>
      </c>
      <c r="F857" s="44" t="n">
        <v>3640</v>
      </c>
      <c r="G857" s="44" t="inlineStr">
        <is>
          <t>6 ay</t>
        </is>
      </c>
      <c r="H857" s="15" t="n">
        <v>1.45</v>
      </c>
      <c r="I857" s="45" t="n">
        <v>1210100</v>
      </c>
      <c r="J857" s="45" t="n">
        <v>1206178.12</v>
      </c>
      <c r="K857" s="45" t="n">
        <v>344000</v>
      </c>
      <c r="L857" s="45" t="n">
        <v>346080.17</v>
      </c>
      <c r="M857" s="45" t="n">
        <v>337955.37</v>
      </c>
      <c r="N857" s="45" t="n">
        <v>339999.99999</v>
      </c>
      <c r="O857" s="45" t="n">
        <v>947909.944</v>
      </c>
      <c r="P857" s="45" t="n">
        <v>953644.79915</v>
      </c>
      <c r="Q857" s="45" t="n">
        <v>7203.148</v>
      </c>
      <c r="R857" s="45" t="n">
        <v>7246.72705</v>
      </c>
      <c r="S857" s="45" t="n">
        <v>1637068.462</v>
      </c>
      <c r="T857" s="45" t="n">
        <v>1646971.69619</v>
      </c>
      <c r="U857" s="15" t="n">
        <v>1.42</v>
      </c>
      <c r="V857" s="15" t="n">
        <v>2.85</v>
      </c>
      <c r="W857" s="49" t="n">
        <v>100.605</v>
      </c>
    </row>
    <row r="858">
      <c r="A858" s="44" t="inlineStr">
        <is>
          <t>TL Cinsi TUFE Endeksli Senetler</t>
        </is>
      </c>
      <c r="B858" s="44" t="n">
        <v>2017</v>
      </c>
      <c r="C858" s="44" t="inlineStr">
        <is>
          <t>TRT070727T13</t>
        </is>
      </c>
      <c r="D858" s="44" t="inlineStr">
        <is>
          <t>13.09.2017</t>
        </is>
      </c>
      <c r="E858" s="44" t="inlineStr">
        <is>
          <t>07.07.2027</t>
        </is>
      </c>
      <c r="F858" s="44" t="n">
        <v>3584</v>
      </c>
      <c r="G858" s="44" t="inlineStr">
        <is>
          <t>6 ay</t>
        </is>
      </c>
      <c r="H858" s="15" t="n">
        <v>1.45</v>
      </c>
      <c r="I858" s="45" t="n">
        <v>1520000</v>
      </c>
      <c r="J858" s="45" t="n">
        <v>1526052.69</v>
      </c>
      <c r="K858" s="45" t="n">
        <v>565000</v>
      </c>
      <c r="L858" s="45" t="n">
        <v>571276</v>
      </c>
      <c r="M858" s="45" t="n">
        <v>197802.415</v>
      </c>
      <c r="N858" s="45" t="n">
        <v>199999.99983</v>
      </c>
      <c r="O858" s="45" t="n">
        <v>1338331.141</v>
      </c>
      <c r="P858" s="45" t="n">
        <v>1353199.99999</v>
      </c>
      <c r="Q858" s="45" t="n">
        <v>16014.874</v>
      </c>
      <c r="R858" s="45" t="n">
        <v>16192.79925</v>
      </c>
      <c r="S858" s="45" t="n">
        <v>2117148.43</v>
      </c>
      <c r="T858" s="45" t="n">
        <v>2140668.79907</v>
      </c>
      <c r="U858" s="15" t="n">
        <v>1.41</v>
      </c>
      <c r="V858" s="15" t="n">
        <v>2.84</v>
      </c>
      <c r="W858" s="49" t="n">
        <v>101.111</v>
      </c>
    </row>
    <row r="859">
      <c r="A859" s="44" t="inlineStr">
        <is>
          <t>TL Cinsi TUFE Endeksli Senetler</t>
        </is>
      </c>
      <c r="B859" s="44" t="n">
        <v>2017</v>
      </c>
      <c r="C859" s="44" t="inlineStr">
        <is>
          <t>TRT070727T13</t>
        </is>
      </c>
      <c r="D859" s="44" t="inlineStr">
        <is>
          <t>25.10.2017</t>
        </is>
      </c>
      <c r="E859" s="44" t="inlineStr">
        <is>
          <t>07.07.2027</t>
        </is>
      </c>
      <c r="F859" s="44" t="n">
        <v>3542</v>
      </c>
      <c r="G859" s="44" t="inlineStr">
        <is>
          <t>6 ay</t>
        </is>
      </c>
      <c r="H859" s="15" t="n">
        <v>1.45</v>
      </c>
      <c r="I859" s="45" t="n">
        <v>625000</v>
      </c>
      <c r="J859" s="45" t="n">
        <v>632175.41</v>
      </c>
      <c r="K859" s="45" t="n">
        <v>315000</v>
      </c>
      <c r="L859" s="45" t="n">
        <v>319435.6</v>
      </c>
      <c r="M859" s="45" t="n">
        <v>493057.746</v>
      </c>
      <c r="N859" s="45" t="n">
        <v>499999.99906</v>
      </c>
      <c r="O859" s="45" t="n">
        <v>2019071.475</v>
      </c>
      <c r="P859" s="45" t="n">
        <v>2047500.00136</v>
      </c>
      <c r="Q859" s="45" t="n">
        <v>0</v>
      </c>
      <c r="R859" s="45" t="n">
        <v>0</v>
      </c>
      <c r="S859" s="45" t="n">
        <v>2827129.221</v>
      </c>
      <c r="T859" s="45" t="n">
        <v>2866935.60042</v>
      </c>
      <c r="U859" s="15" t="n">
        <v>1.44</v>
      </c>
      <c r="V859" s="15" t="n">
        <v>2.9</v>
      </c>
      <c r="W859" s="49" t="n">
        <v>101.408</v>
      </c>
    </row>
    <row r="860">
      <c r="A860" s="44" t="inlineStr">
        <is>
          <t>TL Cinsi TUFE Endeksli Senetler</t>
        </is>
      </c>
      <c r="B860" s="44" t="n">
        <v>2016</v>
      </c>
      <c r="C860" s="44" t="inlineStr">
        <is>
          <t>TRT140126T11</t>
        </is>
      </c>
      <c r="D860" s="44" t="inlineStr">
        <is>
          <t>27.01.2016</t>
        </is>
      </c>
      <c r="E860" s="44" t="inlineStr">
        <is>
          <t>14.01.2026</t>
        </is>
      </c>
      <c r="F860" s="44" t="n">
        <v>3640</v>
      </c>
      <c r="G860" s="44" t="inlineStr">
        <is>
          <t>6 ay</t>
        </is>
      </c>
      <c r="H860" s="15" t="n">
        <v>1.35</v>
      </c>
      <c r="I860" s="45" t="n">
        <v>2438000</v>
      </c>
      <c r="J860" s="45" t="n">
        <v>2411733.49</v>
      </c>
      <c r="K860" s="45" t="n">
        <v>850000</v>
      </c>
      <c r="L860" s="45" t="n">
        <v>845340.5</v>
      </c>
      <c r="M860" s="45" t="n">
        <v>1206612.234</v>
      </c>
      <c r="N860" s="45" t="n">
        <v>1199999.99896</v>
      </c>
      <c r="O860" s="45" t="n">
        <v>742639.667</v>
      </c>
      <c r="P860" s="45" t="n">
        <v>738570.00163</v>
      </c>
      <c r="Q860" s="45" t="n">
        <v>100000</v>
      </c>
      <c r="R860" s="45" t="n">
        <v>99452</v>
      </c>
      <c r="S860" s="45" t="n">
        <v>2899251.901</v>
      </c>
      <c r="T860" s="45" t="n">
        <v>2883362.50059</v>
      </c>
      <c r="U860" s="15" t="n">
        <v>1.38</v>
      </c>
      <c r="V860" s="15" t="n">
        <v>2.78</v>
      </c>
      <c r="W860" s="49" t="n">
        <v>99.452</v>
      </c>
    </row>
    <row r="861">
      <c r="A861" s="44" t="inlineStr">
        <is>
          <t>TL Cinsi TUFE Endeksli Senetler</t>
        </is>
      </c>
      <c r="B861" s="44" t="n">
        <v>2016</v>
      </c>
      <c r="C861" s="44" t="inlineStr">
        <is>
          <t>TRT140126T11</t>
        </is>
      </c>
      <c r="D861" s="44" t="inlineStr">
        <is>
          <t>24.02.2016</t>
        </is>
      </c>
      <c r="E861" s="44" t="inlineStr">
        <is>
          <t>14.01.2026</t>
        </is>
      </c>
      <c r="F861" s="44" t="n">
        <v>3612</v>
      </c>
      <c r="G861" s="44" t="inlineStr">
        <is>
          <t>6 ay</t>
        </is>
      </c>
      <c r="H861" s="15" t="n">
        <v>1.35</v>
      </c>
      <c r="I861" s="45" t="n">
        <v>1315000</v>
      </c>
      <c r="J861" s="45" t="n">
        <v>1323093.35</v>
      </c>
      <c r="K861" s="45" t="n">
        <v>805000</v>
      </c>
      <c r="L861" s="45" t="n">
        <v>812590.45</v>
      </c>
      <c r="M861" s="45" t="n">
        <v>371496.785</v>
      </c>
      <c r="N861" s="45" t="n">
        <v>374999.99968</v>
      </c>
      <c r="O861" s="45" t="n">
        <v>839196.377</v>
      </c>
      <c r="P861" s="45" t="n">
        <v>847109.99885</v>
      </c>
      <c r="Q861" s="45" t="n">
        <v>134152.107</v>
      </c>
      <c r="R861" s="45" t="n">
        <v>135417.16136</v>
      </c>
      <c r="S861" s="45" t="n">
        <v>2149845.269</v>
      </c>
      <c r="T861" s="45" t="n">
        <v>2170117.60989</v>
      </c>
      <c r="U861" s="15" t="n">
        <v>1.32</v>
      </c>
      <c r="V861" s="15" t="n">
        <v>2.66</v>
      </c>
      <c r="W861" s="49" t="n">
        <v>100.943</v>
      </c>
    </row>
    <row r="862">
      <c r="A862" s="44" t="inlineStr">
        <is>
          <t>TL Cinsi TUFE Endeksli Senetler</t>
        </is>
      </c>
      <c r="B862" s="44" t="n">
        <v>2016</v>
      </c>
      <c r="C862" s="44" t="inlineStr">
        <is>
          <t>TRT210721T11</t>
        </is>
      </c>
      <c r="D862" s="44" t="inlineStr">
        <is>
          <t>13.07.2016</t>
        </is>
      </c>
      <c r="E862" s="44" t="inlineStr">
        <is>
          <t>21.07.2021</t>
        </is>
      </c>
      <c r="F862" s="44" t="n">
        <v>1834</v>
      </c>
      <c r="G862" s="44" t="inlineStr">
        <is>
          <t>6 ay</t>
        </is>
      </c>
      <c r="H862" s="15" t="n">
        <v>1.5</v>
      </c>
      <c r="I862" s="45" t="n">
        <v>2758400</v>
      </c>
      <c r="J862" s="45" t="n">
        <v>4232479.4</v>
      </c>
      <c r="K862" s="45" t="n">
        <v>1080000</v>
      </c>
      <c r="L862" s="45" t="n">
        <v>1667500.24</v>
      </c>
      <c r="M862" s="45" t="n">
        <v>64767.678</v>
      </c>
      <c r="N862" s="45" t="n">
        <v>99999.99948</v>
      </c>
      <c r="O862" s="45" t="n">
        <v>555706.681</v>
      </c>
      <c r="P862" s="45" t="n">
        <v>858000.00133</v>
      </c>
      <c r="Q862" s="45" t="n">
        <v>0</v>
      </c>
      <c r="R862" s="45" t="n">
        <v>0</v>
      </c>
      <c r="S862" s="45" t="n">
        <v>1700474.359</v>
      </c>
      <c r="T862" s="45" t="n">
        <v>2625500.24081</v>
      </c>
      <c r="U862" s="15" t="n">
        <v>0.99</v>
      </c>
      <c r="V862" s="15" t="n">
        <v>1.99</v>
      </c>
      <c r="W862" s="49" t="n">
        <v>154.398</v>
      </c>
    </row>
    <row r="863">
      <c r="A863" s="44" t="inlineStr">
        <is>
          <t>TL Cinsi TUFE Endeksli Senetler</t>
        </is>
      </c>
      <c r="B863" s="44" t="n">
        <v>2016</v>
      </c>
      <c r="C863" s="44" t="inlineStr">
        <is>
          <t>TRT140126T11</t>
        </is>
      </c>
      <c r="D863" s="44" t="inlineStr">
        <is>
          <t>28.09.2016</t>
        </is>
      </c>
      <c r="E863" s="44" t="inlineStr">
        <is>
          <t>14.01.2026</t>
        </is>
      </c>
      <c r="F863" s="44" t="n">
        <v>3395</v>
      </c>
      <c r="G863" s="44" t="inlineStr">
        <is>
          <t>6 ay</t>
        </is>
      </c>
      <c r="H863" s="15" t="n">
        <v>1.35</v>
      </c>
      <c r="I863" s="45" t="n">
        <v>2083000</v>
      </c>
      <c r="J863" s="45" t="n">
        <v>2213293.67</v>
      </c>
      <c r="K863" s="45" t="n">
        <v>771000</v>
      </c>
      <c r="L863" s="45" t="n">
        <v>824660.34</v>
      </c>
      <c r="M863" s="45" t="n">
        <v>93492.894</v>
      </c>
      <c r="N863" s="45" t="n">
        <v>99999.99941999999</v>
      </c>
      <c r="O863" s="45" t="n">
        <v>1106151.832</v>
      </c>
      <c r="P863" s="45" t="n">
        <v>1183139.99952</v>
      </c>
      <c r="Q863" s="45" t="n">
        <v>44500</v>
      </c>
      <c r="R863" s="45" t="n">
        <v>47597.2</v>
      </c>
      <c r="S863" s="45" t="n">
        <v>2015144.726</v>
      </c>
      <c r="T863" s="45" t="n">
        <v>2155397.53894</v>
      </c>
      <c r="U863" s="15" t="n">
        <v>1.27</v>
      </c>
      <c r="V863" s="15" t="n">
        <v>2.55</v>
      </c>
      <c r="W863" s="49" t="n">
        <v>106.96</v>
      </c>
    </row>
    <row r="864">
      <c r="A864" s="44" t="inlineStr">
        <is>
          <t>TL Cinsi TUFE Endeksli Senetler</t>
        </is>
      </c>
      <c r="B864" s="44" t="n">
        <v>2015</v>
      </c>
      <c r="C864" s="44" t="inlineStr">
        <is>
          <t>TRT180924T11</t>
        </is>
      </c>
      <c r="D864" s="44" t="inlineStr">
        <is>
          <t>07.01.2015</t>
        </is>
      </c>
      <c r="E864" s="44" t="inlineStr">
        <is>
          <t>18.09.2024</t>
        </is>
      </c>
      <c r="F864" s="44" t="n">
        <v>3542</v>
      </c>
      <c r="G864" s="44" t="inlineStr">
        <is>
          <t>6 ay</t>
        </is>
      </c>
      <c r="H864" s="15" t="n">
        <v>1</v>
      </c>
      <c r="I864" s="45" t="n">
        <v>3169200</v>
      </c>
      <c r="J864" s="45" t="n">
        <v>3262704.038</v>
      </c>
      <c r="K864" s="45" t="n">
        <v>834000</v>
      </c>
      <c r="L864" s="45" t="n">
        <v>865072.1800000001</v>
      </c>
      <c r="M864" s="45" t="n">
        <v>617010.199</v>
      </c>
      <c r="N864" s="45" t="n">
        <v>640000</v>
      </c>
      <c r="O864" s="45" t="n">
        <v>756020.67</v>
      </c>
      <c r="P864" s="45" t="n">
        <v>784190</v>
      </c>
      <c r="Q864" s="45" t="n">
        <v>180131.844</v>
      </c>
      <c r="R864" s="45" t="n">
        <v>186843.55651</v>
      </c>
      <c r="S864" s="45" t="n">
        <v>2387162.713</v>
      </c>
      <c r="T864" s="45" t="n">
        <v>2476105.73568</v>
      </c>
      <c r="U864" s="15" t="n">
        <v>0.9399999999999999</v>
      </c>
      <c r="V864" s="15" t="n">
        <v>1.9</v>
      </c>
      <c r="W864" s="49" t="n">
        <v>103.726</v>
      </c>
    </row>
    <row r="865">
      <c r="A865" s="44" t="inlineStr">
        <is>
          <t>TL Cinsi TUFE Endeksli Senetler</t>
        </is>
      </c>
      <c r="B865" s="44" t="n">
        <v>2015</v>
      </c>
      <c r="C865" s="44" t="inlineStr">
        <is>
          <t>TRT180924T11</t>
        </is>
      </c>
      <c r="D865" s="44" t="inlineStr">
        <is>
          <t>11.02.2015</t>
        </is>
      </c>
      <c r="E865" s="44" t="inlineStr">
        <is>
          <t>18.09.2024</t>
        </is>
      </c>
      <c r="F865" s="44" t="n">
        <v>3507</v>
      </c>
      <c r="G865" s="44" t="inlineStr">
        <is>
          <t>6 ay</t>
        </is>
      </c>
      <c r="H865" s="15" t="n">
        <v>1</v>
      </c>
      <c r="I865" s="45" t="n">
        <v>3720000</v>
      </c>
      <c r="J865" s="45" t="n">
        <v>3787413.632</v>
      </c>
      <c r="K865" s="45" t="n">
        <v>980500</v>
      </c>
      <c r="L865" s="45" t="n">
        <v>1014408.432</v>
      </c>
      <c r="M865" s="45" t="n">
        <v>758762.009</v>
      </c>
      <c r="N865" s="45" t="n">
        <v>784999.99927</v>
      </c>
      <c r="O865" s="45" t="n">
        <v>1091123.934</v>
      </c>
      <c r="P865" s="45" t="n">
        <v>1128854.99964</v>
      </c>
      <c r="Q865" s="45" t="n">
        <v>195147.54</v>
      </c>
      <c r="R865" s="45" t="n">
        <v>201895.74193</v>
      </c>
      <c r="S865" s="45" t="n">
        <v>3025533.483</v>
      </c>
      <c r="T865" s="45" t="n">
        <v>3130159.17284</v>
      </c>
      <c r="U865" s="15" t="n">
        <v>0.97</v>
      </c>
      <c r="V865" s="15" t="n">
        <v>1.95</v>
      </c>
      <c r="W865" s="49" t="n">
        <v>103.458</v>
      </c>
    </row>
    <row r="866">
      <c r="A866" s="44" t="inlineStr">
        <is>
          <t>TL Cinsi TUFE Endeksli Senetler</t>
        </is>
      </c>
      <c r="B866" s="44" t="n">
        <v>2015</v>
      </c>
      <c r="C866" s="44" t="inlineStr">
        <is>
          <t>TRT160425T17</t>
        </is>
      </c>
      <c r="D866" s="44" t="inlineStr">
        <is>
          <t>29.04.2015</t>
        </is>
      </c>
      <c r="E866" s="44" t="inlineStr">
        <is>
          <t>16.04.2025</t>
        </is>
      </c>
      <c r="F866" s="44" t="n">
        <v>3640</v>
      </c>
      <c r="G866" s="44" t="inlineStr">
        <is>
          <t>6 ay</t>
        </is>
      </c>
      <c r="H866" s="15" t="n">
        <v>1</v>
      </c>
      <c r="I866" s="45" t="n">
        <v>1295000</v>
      </c>
      <c r="J866" s="45" t="n">
        <v>1250870.431</v>
      </c>
      <c r="K866" s="45" t="n">
        <v>691000</v>
      </c>
      <c r="L866" s="45" t="n">
        <v>674016.701</v>
      </c>
      <c r="M866" s="45" t="n">
        <v>1066207.377</v>
      </c>
      <c r="N866" s="45" t="n">
        <v>1039999.99967</v>
      </c>
      <c r="O866" s="45" t="n">
        <v>1118976.441</v>
      </c>
      <c r="P866" s="45" t="n">
        <v>1091472.00008</v>
      </c>
      <c r="Q866" s="45" t="n">
        <v>44123.844</v>
      </c>
      <c r="R866" s="45" t="n">
        <v>43039.27991</v>
      </c>
      <c r="S866" s="45" t="n">
        <v>2920307.662</v>
      </c>
      <c r="T866" s="45" t="n">
        <v>2848527.98066</v>
      </c>
      <c r="U866" s="15" t="n">
        <v>1.14</v>
      </c>
      <c r="V866" s="15" t="n">
        <v>2.29</v>
      </c>
      <c r="W866" s="49" t="n">
        <v>97.542</v>
      </c>
    </row>
    <row r="867">
      <c r="A867" s="44" t="inlineStr">
        <is>
          <t>TL Cinsi TUFE Endeksli Senetler</t>
        </is>
      </c>
      <c r="B867" s="44" t="n">
        <v>2015</v>
      </c>
      <c r="C867" s="44" t="inlineStr">
        <is>
          <t>TRT160425T17</t>
        </is>
      </c>
      <c r="D867" s="44" t="inlineStr">
        <is>
          <t>13.05.2015</t>
        </is>
      </c>
      <c r="E867" s="44" t="inlineStr">
        <is>
          <t>16.04.2025</t>
        </is>
      </c>
      <c r="F867" s="44" t="n">
        <v>3626</v>
      </c>
      <c r="G867" s="44" t="inlineStr">
        <is>
          <t>6 ay</t>
        </is>
      </c>
      <c r="H867" s="15" t="n">
        <v>1</v>
      </c>
      <c r="I867" s="45" t="n">
        <v>1411820</v>
      </c>
      <c r="J867" s="45" t="n">
        <v>1363101.6558</v>
      </c>
      <c r="K867" s="45" t="n">
        <v>703720</v>
      </c>
      <c r="L867" s="45" t="n">
        <v>686007.0358</v>
      </c>
      <c r="M867" s="45" t="n">
        <v>0</v>
      </c>
      <c r="N867" s="45" t="n">
        <v>0</v>
      </c>
      <c r="O867" s="45" t="n">
        <v>1113320.271</v>
      </c>
      <c r="P867" s="45" t="n">
        <v>1085297.99978</v>
      </c>
      <c r="Q867" s="45" t="n">
        <v>199932.295</v>
      </c>
      <c r="R867" s="45" t="n">
        <v>194899.99913</v>
      </c>
      <c r="S867" s="45" t="n">
        <v>2016972.566</v>
      </c>
      <c r="T867" s="45" t="n">
        <v>1966205.03471</v>
      </c>
      <c r="U867" s="15" t="n">
        <v>1.17</v>
      </c>
      <c r="V867" s="15" t="n">
        <v>2.36</v>
      </c>
      <c r="W867" s="49" t="n">
        <v>97.483</v>
      </c>
    </row>
    <row r="868">
      <c r="A868" s="44" t="inlineStr">
        <is>
          <t>TL Cinsi TUFE Endeksli Senetler</t>
        </is>
      </c>
      <c r="B868" s="44" t="n">
        <v>2015</v>
      </c>
      <c r="C868" s="44" t="inlineStr">
        <is>
          <t>TRT160425T17</t>
        </is>
      </c>
      <c r="D868" s="44" t="inlineStr">
        <is>
          <t>17.06.2015</t>
        </is>
      </c>
      <c r="E868" s="44" t="inlineStr">
        <is>
          <t>16.04.2025</t>
        </is>
      </c>
      <c r="F868" s="44" t="n">
        <v>3591</v>
      </c>
      <c r="G868" s="44" t="inlineStr">
        <is>
          <t>6 ay</t>
        </is>
      </c>
      <c r="H868" s="15" t="n">
        <v>1</v>
      </c>
      <c r="I868" s="45" t="n">
        <v>1473400</v>
      </c>
      <c r="J868" s="45" t="n">
        <v>1421716.866</v>
      </c>
      <c r="K868" s="45" t="n">
        <v>570000</v>
      </c>
      <c r="L868" s="45" t="n">
        <v>553304.4</v>
      </c>
      <c r="M868" s="45" t="n">
        <v>827229.553</v>
      </c>
      <c r="N868" s="45" t="n">
        <v>802999.99939</v>
      </c>
      <c r="O868" s="45" t="n">
        <v>543893.13</v>
      </c>
      <c r="P868" s="45" t="n">
        <v>527962.50022</v>
      </c>
      <c r="Q868" s="45" t="n">
        <v>0</v>
      </c>
      <c r="R868" s="45" t="n">
        <v>0</v>
      </c>
      <c r="S868" s="45" t="n">
        <v>1941122.683</v>
      </c>
      <c r="T868" s="45" t="n">
        <v>1884266.89961</v>
      </c>
      <c r="U868" s="15" t="n">
        <v>1.3</v>
      </c>
      <c r="V868" s="15" t="n">
        <v>2.62</v>
      </c>
      <c r="W868" s="49" t="n">
        <v>97.071</v>
      </c>
    </row>
    <row r="869">
      <c r="A869" s="44" t="inlineStr">
        <is>
          <t>TL Cinsi TUFE Endeksli Senetler</t>
        </is>
      </c>
      <c r="B869" s="44" t="n">
        <v>2015</v>
      </c>
      <c r="C869" s="44" t="inlineStr">
        <is>
          <t>TRT160425T17</t>
        </is>
      </c>
      <c r="D869" s="44" t="inlineStr">
        <is>
          <t>07.10.2015</t>
        </is>
      </c>
      <c r="E869" s="44" t="inlineStr">
        <is>
          <t>16.04.2025</t>
        </is>
      </c>
      <c r="F869" s="44" t="n">
        <v>3479</v>
      </c>
      <c r="G869" s="44" t="inlineStr">
        <is>
          <t>6 ay</t>
        </is>
      </c>
      <c r="H869" s="15" t="n">
        <v>1</v>
      </c>
      <c r="I869" s="45" t="n">
        <v>2663500</v>
      </c>
      <c r="J869" s="45" t="n">
        <v>2472264.15</v>
      </c>
      <c r="K869" s="45" t="n">
        <v>582000</v>
      </c>
      <c r="L869" s="45" t="n">
        <v>546855.01</v>
      </c>
      <c r="M869" s="45" t="n">
        <v>574706.527</v>
      </c>
      <c r="N869" s="45" t="n">
        <v>539999.99983</v>
      </c>
      <c r="O869" s="45" t="n">
        <v>646736.412</v>
      </c>
      <c r="P869" s="45" t="n">
        <v>607680.00008</v>
      </c>
      <c r="Q869" s="45" t="n">
        <v>140356.105</v>
      </c>
      <c r="R869" s="45" t="n">
        <v>131879.99982</v>
      </c>
      <c r="S869" s="45" t="n">
        <v>1943799.044</v>
      </c>
      <c r="T869" s="45" t="n">
        <v>1826415.00973</v>
      </c>
      <c r="U869" s="15" t="n">
        <v>1.6</v>
      </c>
      <c r="V869" s="15" t="n">
        <v>3.22</v>
      </c>
      <c r="W869" s="49" t="n">
        <v>93.961</v>
      </c>
    </row>
    <row r="870">
      <c r="A870" s="44" t="inlineStr">
        <is>
          <t>TL Cinsi TUFE Endeksli Senetler</t>
        </is>
      </c>
      <c r="B870" s="44" t="n">
        <v>2014</v>
      </c>
      <c r="C870" s="44" t="inlineStr">
        <is>
          <t>TRT081123T10</t>
        </is>
      </c>
      <c r="D870" s="44" t="inlineStr">
        <is>
          <t>29.01.2014</t>
        </is>
      </c>
      <c r="E870" s="44" t="inlineStr">
        <is>
          <t>08.11.2023</t>
        </is>
      </c>
      <c r="F870" s="44" t="n">
        <v>3570</v>
      </c>
      <c r="G870" s="44" t="inlineStr">
        <is>
          <t>6 Ay</t>
        </is>
      </c>
      <c r="H870" s="15" t="n">
        <v>1.4</v>
      </c>
      <c r="I870" s="45" t="n">
        <v>3369900</v>
      </c>
      <c r="J870" s="45" t="n">
        <v>3166924.609</v>
      </c>
      <c r="K870" s="45" t="n">
        <v>760000</v>
      </c>
      <c r="L870" s="45" t="n">
        <v>723473.2</v>
      </c>
      <c r="M870" s="45" t="n">
        <v>1527407.189528752</v>
      </c>
      <c r="N870" s="45" t="n">
        <v>1454000</v>
      </c>
      <c r="O870" s="45" t="n">
        <v>680782.4022522428</v>
      </c>
      <c r="P870" s="45" t="n">
        <v>648064</v>
      </c>
      <c r="Q870" s="45" t="n">
        <v>199800</v>
      </c>
      <c r="R870" s="45" t="n">
        <v>190197.612</v>
      </c>
      <c r="S870" s="45" t="n">
        <v>3167989.591780995</v>
      </c>
      <c r="T870" s="45" t="n">
        <v>3015734.812</v>
      </c>
      <c r="U870" s="15" t="n">
        <v>1.85</v>
      </c>
      <c r="V870" s="15" t="n">
        <v>3.73</v>
      </c>
      <c r="W870" s="49" t="n">
        <v>95.194</v>
      </c>
    </row>
    <row r="871">
      <c r="A871" s="44" t="inlineStr">
        <is>
          <t>TL Cinsi TUFE Endeksli Senetler</t>
        </is>
      </c>
      <c r="B871" s="44" t="n">
        <v>2014</v>
      </c>
      <c r="C871" s="44" t="inlineStr">
        <is>
          <t>TRT200219T11</t>
        </is>
      </c>
      <c r="D871" s="44" t="inlineStr">
        <is>
          <t>26.02.2014</t>
        </is>
      </c>
      <c r="E871" s="44" t="inlineStr">
        <is>
          <t>20.02.2019</t>
        </is>
      </c>
      <c r="F871" s="44" t="n">
        <v>1820</v>
      </c>
      <c r="G871" s="44" t="inlineStr">
        <is>
          <t>6 Ay</t>
        </is>
      </c>
      <c r="H871" s="15" t="n">
        <v>1.75</v>
      </c>
      <c r="I871" s="45" t="n">
        <v>3493399.488</v>
      </c>
      <c r="J871" s="45" t="n">
        <v>3500843.78081</v>
      </c>
      <c r="K871" s="45" t="n">
        <v>1050000</v>
      </c>
      <c r="L871" s="45" t="n">
        <v>1057236.7</v>
      </c>
      <c r="M871" s="45" t="n">
        <v>457845.4448847441</v>
      </c>
      <c r="N871" s="45" t="n">
        <v>461000</v>
      </c>
      <c r="O871" s="45" t="n">
        <v>750870.2539502826</v>
      </c>
      <c r="P871" s="45" t="n">
        <v>756043.75</v>
      </c>
      <c r="Q871" s="45" t="n">
        <v>52030.787</v>
      </c>
      <c r="R871" s="45" t="n">
        <v>52389.27912242999</v>
      </c>
      <c r="S871" s="45" t="n">
        <v>2310746.485835026</v>
      </c>
      <c r="T871" s="45" t="n">
        <v>2326669.72912243</v>
      </c>
      <c r="U871" s="15" t="n">
        <v>1.67</v>
      </c>
      <c r="V871" s="15" t="n">
        <v>3.38</v>
      </c>
      <c r="W871" s="49" t="n">
        <v>100.689</v>
      </c>
    </row>
    <row r="872">
      <c r="A872" s="44" t="inlineStr">
        <is>
          <t>TL Cinsi TUFE Endeksli Senetler</t>
        </is>
      </c>
      <c r="B872" s="44" t="n">
        <v>2014</v>
      </c>
      <c r="C872" s="44" t="inlineStr">
        <is>
          <t>TRT200219T11</t>
        </is>
      </c>
      <c r="D872" s="44" t="inlineStr">
        <is>
          <t>05.03.2014</t>
        </is>
      </c>
      <c r="E872" s="44" t="inlineStr">
        <is>
          <t>20.02.2019</t>
        </is>
      </c>
      <c r="F872" s="44" t="n">
        <v>1813</v>
      </c>
      <c r="G872" s="44" t="inlineStr">
        <is>
          <t>6 Ay</t>
        </is>
      </c>
      <c r="H872" s="15" t="n">
        <v>1.75</v>
      </c>
      <c r="I872" s="45" t="n">
        <v>3726773.84</v>
      </c>
      <c r="J872" s="45" t="n">
        <v>3754089.07242</v>
      </c>
      <c r="K872" s="45" t="n">
        <v>1316000</v>
      </c>
      <c r="L872" s="45" t="n">
        <v>1330822.59</v>
      </c>
      <c r="M872" s="45" t="n">
        <v>662539.8018313786</v>
      </c>
      <c r="N872" s="45" t="n">
        <v>670000</v>
      </c>
      <c r="O872" s="45" t="n">
        <v>1013051.045230702</v>
      </c>
      <c r="P872" s="45" t="n">
        <v>1024458</v>
      </c>
      <c r="Q872" s="45" t="n">
        <v>254571.91</v>
      </c>
      <c r="R872" s="45" t="n">
        <v>257438.3897066</v>
      </c>
      <c r="S872" s="45" t="n">
        <v>3246162.757062081</v>
      </c>
      <c r="T872" s="45" t="n">
        <v>3282718.9797066</v>
      </c>
      <c r="U872" s="15" t="n">
        <v>1.67</v>
      </c>
      <c r="V872" s="15" t="n">
        <v>3.36</v>
      </c>
      <c r="W872" s="49" t="n">
        <v>101.126</v>
      </c>
    </row>
    <row r="873">
      <c r="A873" s="44" t="inlineStr">
        <is>
          <t>TL Cinsi TUFE Endeksli Senetler</t>
        </is>
      </c>
      <c r="B873" s="44" t="n">
        <v>2014</v>
      </c>
      <c r="C873" s="44" t="inlineStr">
        <is>
          <t>TRT200219T11</t>
        </is>
      </c>
      <c r="D873" s="44" t="inlineStr">
        <is>
          <t>02.04.2014</t>
        </is>
      </c>
      <c r="E873" s="44" t="inlineStr">
        <is>
          <t>20.02.2019</t>
        </is>
      </c>
      <c r="F873" s="44" t="n">
        <v>1785</v>
      </c>
      <c r="G873" s="44" t="inlineStr">
        <is>
          <t>6 Ay</t>
        </is>
      </c>
      <c r="H873" s="15" t="n">
        <v>1.75</v>
      </c>
      <c r="I873" s="45" t="n">
        <v>4274600</v>
      </c>
      <c r="J873" s="45" t="n">
        <v>4395722.09</v>
      </c>
      <c r="K873" s="45" t="n">
        <v>1036800</v>
      </c>
      <c r="L873" s="45" t="n">
        <v>1069265.14</v>
      </c>
      <c r="M873" s="45" t="n">
        <v>824194.4711095598</v>
      </c>
      <c r="N873" s="45" t="n">
        <v>850000</v>
      </c>
      <c r="O873" s="45" t="n">
        <v>489692.7209083593</v>
      </c>
      <c r="P873" s="45" t="n">
        <v>505025</v>
      </c>
      <c r="Q873" s="45" t="n">
        <v>154425.714</v>
      </c>
      <c r="R873" s="45" t="n">
        <v>159260.78310534</v>
      </c>
      <c r="S873" s="45" t="n">
        <v>2505112.906017919</v>
      </c>
      <c r="T873" s="45" t="n">
        <v>2583550.92310534</v>
      </c>
      <c r="U873" s="15" t="n">
        <v>1.67</v>
      </c>
      <c r="V873" s="15" t="n">
        <v>3.36</v>
      </c>
      <c r="W873" s="49" t="n">
        <v>103.131</v>
      </c>
    </row>
    <row r="874">
      <c r="A874" s="44" t="inlineStr">
        <is>
          <t>TL Cinsi TUFE Endeksli Senetler</t>
        </is>
      </c>
      <c r="B874" s="44" t="n">
        <v>2014</v>
      </c>
      <c r="C874" s="44" t="inlineStr">
        <is>
          <t>TRT080524T17</t>
        </is>
      </c>
      <c r="D874" s="44" t="inlineStr">
        <is>
          <t>21.05.2014</t>
        </is>
      </c>
      <c r="E874" s="44" t="inlineStr">
        <is>
          <t>08.05.2024</t>
        </is>
      </c>
      <c r="F874" s="44" t="n">
        <v>3640</v>
      </c>
      <c r="G874" s="44" t="inlineStr">
        <is>
          <t>6 Ay</t>
        </is>
      </c>
      <c r="H874" s="15" t="n">
        <v>1.2</v>
      </c>
      <c r="I874" s="45" t="n">
        <v>5300272.175</v>
      </c>
      <c r="J874" s="45" t="n">
        <v>5335723.2176</v>
      </c>
      <c r="K874" s="45" t="n">
        <v>998000</v>
      </c>
      <c r="L874" s="45" t="n">
        <v>1011787.37</v>
      </c>
      <c r="M874" s="45" t="n">
        <v>934090.8642559823</v>
      </c>
      <c r="N874" s="45" t="n">
        <v>947000</v>
      </c>
      <c r="O874" s="45" t="n">
        <v>386666.2721193111</v>
      </c>
      <c r="P874" s="45" t="n">
        <v>392010</v>
      </c>
      <c r="Q874" s="45" t="n">
        <v>199650</v>
      </c>
      <c r="R874" s="45" t="n">
        <v>202409.163</v>
      </c>
      <c r="S874" s="45" t="n">
        <v>2518407.136375294</v>
      </c>
      <c r="T874" s="45" t="n">
        <v>2553206.533</v>
      </c>
      <c r="U874" s="15" t="n">
        <v>1.12</v>
      </c>
      <c r="V874" s="15" t="n">
        <v>2.26</v>
      </c>
      <c r="W874" s="49" t="n">
        <v>101.382</v>
      </c>
    </row>
    <row r="875">
      <c r="A875" s="44" t="inlineStr">
        <is>
          <t>TL Cinsi TUFE Endeksli Senetler</t>
        </is>
      </c>
      <c r="B875" s="44" t="n">
        <v>2014</v>
      </c>
      <c r="C875" s="44" t="inlineStr">
        <is>
          <t>TRT080524T17</t>
        </is>
      </c>
      <c r="D875" s="44" t="inlineStr">
        <is>
          <t>04.06.2014</t>
        </is>
      </c>
      <c r="E875" s="44" t="inlineStr">
        <is>
          <t>08.05.2024</t>
        </is>
      </c>
      <c r="F875" s="44" t="n">
        <v>3626</v>
      </c>
      <c r="G875" s="44" t="inlineStr">
        <is>
          <t>6 Ay</t>
        </is>
      </c>
      <c r="H875" s="15" t="n">
        <v>1.2</v>
      </c>
      <c r="I875" s="45" t="n">
        <v>4396141</v>
      </c>
      <c r="J875" s="45" t="n">
        <v>4608794.4056</v>
      </c>
      <c r="K875" s="45" t="n">
        <v>472500</v>
      </c>
      <c r="L875" s="45" t="n">
        <v>500051.475</v>
      </c>
      <c r="M875" s="45" t="n">
        <v>752142.5669227353</v>
      </c>
      <c r="N875" s="45" t="n">
        <v>796000</v>
      </c>
      <c r="O875" s="45" t="n">
        <v>468307.9626952405</v>
      </c>
      <c r="P875" s="45" t="n">
        <v>495615</v>
      </c>
      <c r="Q875" s="45" t="n">
        <v>0</v>
      </c>
      <c r="R875" s="45" t="n">
        <v>0</v>
      </c>
      <c r="S875" s="45" t="n">
        <v>1692950.529617976</v>
      </c>
      <c r="T875" s="45" t="n">
        <v>1791666.475</v>
      </c>
      <c r="U875" s="15" t="n">
        <v>0.91</v>
      </c>
      <c r="V875" s="15" t="n">
        <v>1.84</v>
      </c>
      <c r="W875" s="49" t="n">
        <v>105.831</v>
      </c>
    </row>
    <row r="876">
      <c r="A876" s="44" t="inlineStr">
        <is>
          <t>TL Cinsi TUFE Endeksli Senetler</t>
        </is>
      </c>
      <c r="B876" s="44" t="n">
        <v>2014</v>
      </c>
      <c r="C876" s="44" t="inlineStr">
        <is>
          <t>TRT080524T17</t>
        </is>
      </c>
      <c r="D876" s="44" t="inlineStr">
        <is>
          <t>16.07.2014</t>
        </is>
      </c>
      <c r="E876" s="44" t="inlineStr">
        <is>
          <t>08.05.2024</t>
        </is>
      </c>
      <c r="F876" s="44" t="n">
        <v>3584</v>
      </c>
      <c r="G876" s="44" t="inlineStr">
        <is>
          <t>6 Ay</t>
        </is>
      </c>
      <c r="H876" s="15" t="n">
        <v>1.2</v>
      </c>
      <c r="I876" s="45" t="n">
        <v>3880300</v>
      </c>
      <c r="J876" s="45" t="n">
        <v>4173748.97</v>
      </c>
      <c r="K876" s="45" t="n">
        <v>384300</v>
      </c>
      <c r="L876" s="45" t="n">
        <v>416936.57</v>
      </c>
      <c r="M876" s="45" t="n">
        <v>797293.8096818199</v>
      </c>
      <c r="N876" s="45" t="n">
        <v>865000</v>
      </c>
      <c r="O876" s="45" t="n">
        <v>292012.7751354938</v>
      </c>
      <c r="P876" s="45" t="n">
        <v>316810.5</v>
      </c>
      <c r="Q876" s="45" t="n">
        <v>60004.977</v>
      </c>
      <c r="R876" s="45" t="n">
        <v>65100.59964684</v>
      </c>
      <c r="S876" s="45" t="n">
        <v>1533611.561817314</v>
      </c>
      <c r="T876" s="45" t="n">
        <v>1663847.66964684</v>
      </c>
      <c r="U876" s="15" t="n">
        <v>0.86</v>
      </c>
      <c r="V876" s="15" t="n">
        <v>1.74</v>
      </c>
      <c r="W876" s="49" t="n">
        <v>108.492</v>
      </c>
    </row>
    <row r="877">
      <c r="A877" s="44" t="inlineStr">
        <is>
          <t>TL Cinsi TUFE Endeksli Senetler</t>
        </is>
      </c>
      <c r="B877" s="44" t="n">
        <v>2014</v>
      </c>
      <c r="C877" s="44" t="inlineStr">
        <is>
          <t>TRT180924T11</t>
        </is>
      </c>
      <c r="D877" s="44" t="inlineStr">
        <is>
          <t>01.10.2014</t>
        </is>
      </c>
      <c r="E877" s="44" t="inlineStr">
        <is>
          <t>18.09.2024</t>
        </is>
      </c>
      <c r="F877" s="44" t="n">
        <v>3640</v>
      </c>
      <c r="G877" s="44" t="inlineStr">
        <is>
          <t>6 Ay</t>
        </is>
      </c>
      <c r="H877" s="15" t="n">
        <v>1</v>
      </c>
      <c r="I877" s="45" t="n">
        <v>3413017.085</v>
      </c>
      <c r="J877" s="45" t="n">
        <v>3371811.18552</v>
      </c>
      <c r="K877" s="45" t="n">
        <v>1656017.085</v>
      </c>
      <c r="L877" s="45" t="n">
        <v>1646299.90552</v>
      </c>
      <c r="M877" s="45" t="n">
        <v>0</v>
      </c>
      <c r="N877" s="45" t="n">
        <v>0</v>
      </c>
      <c r="O877" s="45" t="n">
        <v>884622.7354571334</v>
      </c>
      <c r="P877" s="45" t="n">
        <v>879430</v>
      </c>
      <c r="Q877" s="45" t="n">
        <v>100366.149</v>
      </c>
      <c r="R877" s="45" t="n">
        <v>99776.99970536999</v>
      </c>
      <c r="S877" s="45" t="n">
        <v>2641005.969457134</v>
      </c>
      <c r="T877" s="45" t="n">
        <v>2625506.90522537</v>
      </c>
      <c r="U877" s="15" t="n">
        <v>1.03</v>
      </c>
      <c r="V877" s="15" t="n">
        <v>2.08</v>
      </c>
      <c r="W877" s="49" t="n">
        <v>99.25</v>
      </c>
    </row>
    <row r="878">
      <c r="A878" s="44" t="inlineStr">
        <is>
          <t>TL Cinsi TUFE Endeksli Senetler</t>
        </is>
      </c>
      <c r="B878" s="44" t="n">
        <v>2013</v>
      </c>
      <c r="C878" s="44" t="inlineStr">
        <is>
          <t>TRT261022T10</t>
        </is>
      </c>
      <c r="D878" s="44" t="inlineStr">
        <is>
          <t>nan</t>
        </is>
      </c>
      <c r="E878" s="44" t="inlineStr">
        <is>
          <t>nan</t>
        </is>
      </c>
      <c r="F878" s="44" t="n"/>
      <c r="G878" s="44" t="n"/>
      <c r="H878" s="15" t="n"/>
      <c r="I878" s="45" t="n">
        <v>3477320.69</v>
      </c>
      <c r="J878" s="45" t="n">
        <v>3776812.47283</v>
      </c>
      <c r="K878" s="45" t="n">
        <v>1022000</v>
      </c>
      <c r="L878" s="45" t="n">
        <v>1118681.22</v>
      </c>
      <c r="M878" s="45" t="n">
        <v>548145.4412570803</v>
      </c>
      <c r="N878" s="45" t="n">
        <v>600000</v>
      </c>
      <c r="O878" s="45" t="n">
        <v>324940.6175771972</v>
      </c>
      <c r="P878" s="45" t="n">
        <v>355680</v>
      </c>
      <c r="Q878" s="45" t="n">
        <v>235250.838</v>
      </c>
      <c r="R878" s="45" t="n">
        <v>257505.5672748</v>
      </c>
      <c r="S878" s="45" t="n">
        <v>2130336.896834278</v>
      </c>
      <c r="T878" s="45" t="n">
        <v>2331866.7872748</v>
      </c>
      <c r="U878" s="15" t="n">
        <v>0.68</v>
      </c>
      <c r="V878" s="15" t="n">
        <v>1.36</v>
      </c>
      <c r="W878" s="49" t="n">
        <v>109.46</v>
      </c>
    </row>
    <row r="879">
      <c r="A879" s="44" t="inlineStr">
        <is>
          <t>TL Cinsi TUFE Endeksli Senetler</t>
        </is>
      </c>
      <c r="B879" s="44" t="n">
        <v>2013</v>
      </c>
      <c r="C879" s="44" t="inlineStr">
        <is>
          <t>TRT261022T10</t>
        </is>
      </c>
      <c r="D879" s="44" t="inlineStr">
        <is>
          <t>nan</t>
        </is>
      </c>
      <c r="E879" s="44" t="inlineStr">
        <is>
          <t>nan</t>
        </is>
      </c>
      <c r="F879" s="44" t="n"/>
      <c r="G879" s="44" t="n"/>
      <c r="H879" s="15" t="n"/>
      <c r="I879" s="45" t="n">
        <v>3232102.5</v>
      </c>
      <c r="J879" s="45" t="n">
        <v>3645041.302</v>
      </c>
      <c r="K879" s="45" t="n">
        <v>760000</v>
      </c>
      <c r="L879" s="45" t="n">
        <v>864831</v>
      </c>
      <c r="M879" s="45" t="n">
        <v>1417034.290032866</v>
      </c>
      <c r="N879" s="45" t="n">
        <v>1612500</v>
      </c>
      <c r="O879" s="45" t="n">
        <v>314535.0369966782</v>
      </c>
      <c r="P879" s="45" t="n">
        <v>357922</v>
      </c>
      <c r="Q879" s="45" t="n">
        <v>120150.095</v>
      </c>
      <c r="R879" s="45" t="n">
        <v>136723.5991043</v>
      </c>
      <c r="S879" s="45" t="n">
        <v>2611719.422029545</v>
      </c>
      <c r="T879" s="45" t="n">
        <v>2971976.5991043</v>
      </c>
      <c r="U879" s="15" t="n">
        <v>0.5</v>
      </c>
      <c r="V879" s="15" t="n">
        <v>1.01</v>
      </c>
      <c r="W879" s="49" t="n">
        <v>113.794</v>
      </c>
    </row>
    <row r="880">
      <c r="A880" s="44" t="inlineStr">
        <is>
          <t>TL Cinsi TUFE Endeksli Senetler</t>
        </is>
      </c>
      <c r="B880" s="44" t="n">
        <v>2013</v>
      </c>
      <c r="C880" s="44" t="inlineStr">
        <is>
          <t>TRT261022T10</t>
        </is>
      </c>
      <c r="D880" s="44" t="inlineStr">
        <is>
          <t>nan</t>
        </is>
      </c>
      <c r="E880" s="44" t="inlineStr">
        <is>
          <t>nan</t>
        </is>
      </c>
      <c r="F880" s="44" t="n"/>
      <c r="G880" s="44" t="n"/>
      <c r="H880" s="15" t="n"/>
      <c r="I880" s="45" t="n">
        <v>3308900</v>
      </c>
      <c r="J880" s="45" t="n">
        <v>3806219.109</v>
      </c>
      <c r="K880" s="45" t="n">
        <v>852600</v>
      </c>
      <c r="L880" s="45" t="n">
        <v>991226.999</v>
      </c>
      <c r="M880" s="45" t="n">
        <v>967667.0193275359</v>
      </c>
      <c r="N880" s="45" t="n">
        <v>1125000</v>
      </c>
      <c r="O880" s="45" t="n">
        <v>309588.9350501897</v>
      </c>
      <c r="P880" s="45" t="n">
        <v>359925</v>
      </c>
      <c r="Q880" s="45" t="n">
        <v>111956.214</v>
      </c>
      <c r="R880" s="45" t="n">
        <v>130159.17483426</v>
      </c>
      <c r="S880" s="45" t="n">
        <v>2241812.168377725</v>
      </c>
      <c r="T880" s="45" t="n">
        <v>2606311.17383426</v>
      </c>
      <c r="U880" s="15" t="n">
        <v>0.48</v>
      </c>
      <c r="V880" s="15" t="n">
        <v>0.96</v>
      </c>
      <c r="W880" s="49" t="n">
        <v>116.259</v>
      </c>
    </row>
    <row r="881">
      <c r="A881" s="44" t="inlineStr">
        <is>
          <t>TL Cinsi TUFE Endeksli Senetler</t>
        </is>
      </c>
      <c r="B881" s="44" t="n">
        <v>2013</v>
      </c>
      <c r="C881" s="44" t="inlineStr">
        <is>
          <t>TRT030523T13</t>
        </is>
      </c>
      <c r="D881" s="44" t="inlineStr">
        <is>
          <t>nan</t>
        </is>
      </c>
      <c r="E881" s="44" t="inlineStr">
        <is>
          <t>nan</t>
        </is>
      </c>
      <c r="F881" s="44" t="n"/>
      <c r="G881" s="44" t="n"/>
      <c r="H881" s="15" t="n"/>
      <c r="I881" s="45" t="n">
        <v>4666810</v>
      </c>
      <c r="J881" s="45" t="n">
        <v>4672410.376</v>
      </c>
      <c r="K881" s="45" t="n">
        <v>998000</v>
      </c>
      <c r="L881" s="45" t="n">
        <v>1004022.93</v>
      </c>
      <c r="M881" s="45" t="n">
        <v>993996.2625740527</v>
      </c>
      <c r="N881" s="45" t="n">
        <v>1000000</v>
      </c>
      <c r="O881" s="45" t="n">
        <v>562303.6857381416</v>
      </c>
      <c r="P881" s="45" t="n">
        <v>565700</v>
      </c>
      <c r="Q881" s="45" t="n">
        <v>0</v>
      </c>
      <c r="R881" s="45" t="n">
        <v>0</v>
      </c>
      <c r="S881" s="45" t="n">
        <v>2554299.948312194</v>
      </c>
      <c r="T881" s="45" t="n">
        <v>2569722.93</v>
      </c>
      <c r="U881" s="15" t="n">
        <v>0.47</v>
      </c>
      <c r="V881" s="15" t="n">
        <v>0.9399999999999999</v>
      </c>
      <c r="W881" s="49" t="n">
        <v>100.604</v>
      </c>
    </row>
    <row r="882">
      <c r="A882" s="44" t="inlineStr">
        <is>
          <t>TL Cinsi TUFE Endeksli Senetler</t>
        </is>
      </c>
      <c r="B882" s="44" t="n">
        <v>2013</v>
      </c>
      <c r="C882" s="44" t="inlineStr">
        <is>
          <t>TRT030523T13</t>
        </is>
      </c>
      <c r="D882" s="44" t="inlineStr">
        <is>
          <t>nan</t>
        </is>
      </c>
      <c r="E882" s="44" t="inlineStr">
        <is>
          <t>nan</t>
        </is>
      </c>
      <c r="F882" s="44" t="n"/>
      <c r="G882" s="44" t="n"/>
      <c r="H882" s="15" t="n"/>
      <c r="I882" s="45" t="n">
        <v>1338400</v>
      </c>
      <c r="J882" s="45" t="n">
        <v>1116763.062</v>
      </c>
      <c r="K882" s="45" t="n">
        <v>922100</v>
      </c>
      <c r="L882" s="45" t="n">
        <v>776867.7070000001</v>
      </c>
      <c r="M882" s="45" t="n">
        <v>130563.7982195846</v>
      </c>
      <c r="N882" s="45" t="n">
        <v>110000</v>
      </c>
      <c r="O882" s="45" t="n">
        <v>1627062.314540059</v>
      </c>
      <c r="P882" s="45" t="n">
        <v>1370800</v>
      </c>
      <c r="Q882" s="45" t="n">
        <v>0</v>
      </c>
      <c r="R882" s="45" t="n">
        <v>0</v>
      </c>
      <c r="S882" s="45" t="n">
        <v>2679726.112759644</v>
      </c>
      <c r="T882" s="45" t="n">
        <v>2257667.707</v>
      </c>
      <c r="U882" s="15" t="n">
        <v>1.47</v>
      </c>
      <c r="V882" s="15" t="n">
        <v>2.95</v>
      </c>
      <c r="W882" s="49" t="n">
        <v>84.25</v>
      </c>
    </row>
    <row r="883">
      <c r="A883" s="44" t="inlineStr">
        <is>
          <t>TL Cinsi TUFE Endeksli Senetler</t>
        </is>
      </c>
      <c r="B883" s="44" t="n">
        <v>2013</v>
      </c>
      <c r="C883" s="44" t="inlineStr">
        <is>
          <t>TRT030523T13</t>
        </is>
      </c>
      <c r="D883" s="44" t="inlineStr">
        <is>
          <t>nan</t>
        </is>
      </c>
      <c r="E883" s="44" t="inlineStr">
        <is>
          <t>nan</t>
        </is>
      </c>
      <c r="F883" s="44" t="n"/>
      <c r="G883" s="44" t="n"/>
      <c r="H883" s="15" t="n"/>
      <c r="I883" s="45" t="n">
        <v>4009881</v>
      </c>
      <c r="J883" s="45" t="n">
        <v>3260990.3211</v>
      </c>
      <c r="K883" s="45" t="n">
        <v>1747600</v>
      </c>
      <c r="L883" s="45" t="n">
        <v>1442273.34</v>
      </c>
      <c r="M883" s="45" t="n">
        <v>575555.2593633754</v>
      </c>
      <c r="N883" s="45" t="n">
        <v>475000</v>
      </c>
      <c r="O883" s="45" t="n">
        <v>1335966.751081438</v>
      </c>
      <c r="P883" s="45" t="n">
        <v>1102560</v>
      </c>
      <c r="Q883" s="45" t="n">
        <v>258513.151</v>
      </c>
      <c r="R883" s="45" t="n">
        <v>213348.31838879</v>
      </c>
      <c r="S883" s="45" t="n">
        <v>3917635.161444813</v>
      </c>
      <c r="T883" s="45" t="n">
        <v>3233181.65838879</v>
      </c>
      <c r="U883" s="15" t="n">
        <v>1.59</v>
      </c>
      <c r="V883" s="15" t="n">
        <v>3.22</v>
      </c>
      <c r="W883" s="49" t="n">
        <v>82.529</v>
      </c>
    </row>
    <row r="884">
      <c r="A884" s="44" t="inlineStr">
        <is>
          <t>TL Cinsi TUFE Endeksli Senetler</t>
        </is>
      </c>
      <c r="B884" s="44" t="n">
        <v>2013</v>
      </c>
      <c r="C884" s="44" t="inlineStr">
        <is>
          <t>TRT020823T11</t>
        </is>
      </c>
      <c r="D884" s="44" t="inlineStr">
        <is>
          <t>nan</t>
        </is>
      </c>
      <c r="E884" s="44" t="inlineStr">
        <is>
          <t>nan</t>
        </is>
      </c>
      <c r="F884" s="44" t="n"/>
      <c r="G884" s="44" t="n"/>
      <c r="H884" s="15" t="n"/>
      <c r="I884" s="45" t="n">
        <v>3994101</v>
      </c>
      <c r="J884" s="45" t="n">
        <v>3986338.896</v>
      </c>
      <c r="K884" s="45" t="n">
        <v>2258300</v>
      </c>
      <c r="L884" s="45" t="n">
        <v>2270113.55</v>
      </c>
      <c r="M884" s="45" t="n">
        <v>119375.6652706346</v>
      </c>
      <c r="N884" s="45" t="n">
        <v>120000</v>
      </c>
      <c r="O884" s="45" t="n">
        <v>1342379.355968286</v>
      </c>
      <c r="P884" s="45" t="n">
        <v>1349400</v>
      </c>
      <c r="Q884" s="45" t="n">
        <v>30107.517</v>
      </c>
      <c r="R884" s="45" t="n">
        <v>30264.97931391</v>
      </c>
      <c r="S884" s="45" t="n">
        <v>3750162.53823892</v>
      </c>
      <c r="T884" s="45" t="n">
        <v>3769778.52931391</v>
      </c>
      <c r="U884" s="15" t="n">
        <v>1.47</v>
      </c>
      <c r="V884" s="15" t="n">
        <v>2.96</v>
      </c>
      <c r="W884" s="49" t="n">
        <v>100.523</v>
      </c>
    </row>
    <row r="885">
      <c r="A885" s="44" t="inlineStr">
        <is>
          <t>TL Cinsi TUFE Endeksli Senetler</t>
        </is>
      </c>
      <c r="B885" s="44" t="n">
        <v>2013</v>
      </c>
      <c r="C885" s="44" t="inlineStr">
        <is>
          <t>TRT020823T11</t>
        </is>
      </c>
      <c r="D885" s="44" t="inlineStr">
        <is>
          <t>nan</t>
        </is>
      </c>
      <c r="E885" s="44" t="inlineStr">
        <is>
          <t>nan</t>
        </is>
      </c>
      <c r="F885" s="44" t="n"/>
      <c r="G885" s="44" t="n"/>
      <c r="H885" s="15" t="n"/>
      <c r="I885" s="45" t="n">
        <v>2297120</v>
      </c>
      <c r="J885" s="45" t="n">
        <v>2192548.651</v>
      </c>
      <c r="K885" s="45" t="n">
        <v>1419220</v>
      </c>
      <c r="L885" s="45" t="n">
        <v>1364949.177</v>
      </c>
      <c r="M885" s="45" t="n">
        <v>93994.34370321078</v>
      </c>
      <c r="N885" s="45" t="n">
        <v>90400</v>
      </c>
      <c r="O885" s="45" t="n">
        <v>975919.1482282482</v>
      </c>
      <c r="P885" s="45" t="n">
        <v>938600</v>
      </c>
      <c r="Q885" s="45" t="n">
        <v>227253.308</v>
      </c>
      <c r="R885" s="45" t="n">
        <v>218563.14150208</v>
      </c>
      <c r="S885" s="45" t="n">
        <v>2716386.799931459</v>
      </c>
      <c r="T885" s="45" t="n">
        <v>2612512.31850208</v>
      </c>
      <c r="U885" s="15" t="n">
        <v>1.78</v>
      </c>
      <c r="V885" s="15" t="n">
        <v>3.58</v>
      </c>
      <c r="W885" s="49" t="n">
        <v>96.176</v>
      </c>
    </row>
    <row r="886">
      <c r="A886" s="44" t="inlineStr">
        <is>
          <t>TL Cinsi TUFE Endeksli Senetler</t>
        </is>
      </c>
      <c r="B886" s="44" t="n">
        <v>2013</v>
      </c>
      <c r="C886" s="44" t="inlineStr">
        <is>
          <t>TRT020823T11</t>
        </is>
      </c>
      <c r="D886" s="44" t="inlineStr">
        <is>
          <t>nan</t>
        </is>
      </c>
      <c r="E886" s="44" t="inlineStr">
        <is>
          <t>nan</t>
        </is>
      </c>
      <c r="F886" s="44" t="n"/>
      <c r="G886" s="44" t="n"/>
      <c r="H886" s="15" t="n"/>
      <c r="I886" s="45" t="n">
        <v>2571100</v>
      </c>
      <c r="J886" s="45" t="n">
        <v>2599931.489</v>
      </c>
      <c r="K886" s="45" t="n">
        <v>755900</v>
      </c>
      <c r="L886" s="45" t="n">
        <v>768646.312</v>
      </c>
      <c r="M886" s="45" t="n">
        <v>355997.8758137797</v>
      </c>
      <c r="N886" s="45" t="n">
        <v>362000</v>
      </c>
      <c r="O886" s="45" t="n">
        <v>733896.5049269319</v>
      </c>
      <c r="P886" s="45" t="n">
        <v>746270</v>
      </c>
      <c r="Q886" s="45" t="n">
        <v>164749.592</v>
      </c>
      <c r="R886" s="45" t="n">
        <v>167527.27012112</v>
      </c>
      <c r="S886" s="45" t="n">
        <v>2010543.972740711</v>
      </c>
      <c r="T886" s="45" t="n">
        <v>2044443.58212112</v>
      </c>
      <c r="U886" s="15" t="n">
        <v>1.47</v>
      </c>
      <c r="V886" s="15" t="n">
        <v>2.96</v>
      </c>
      <c r="W886" s="49" t="n">
        <v>101.686</v>
      </c>
    </row>
    <row r="887">
      <c r="A887" s="44" t="inlineStr">
        <is>
          <t>TL Cinsi TUFE Endeksli Senetler</t>
        </is>
      </c>
      <c r="B887" s="44" t="n">
        <v>2013</v>
      </c>
      <c r="C887" s="44" t="inlineStr">
        <is>
          <t>TRT081123T10</t>
        </is>
      </c>
      <c r="D887" s="44" t="inlineStr">
        <is>
          <t>nan</t>
        </is>
      </c>
      <c r="E887" s="44" t="inlineStr">
        <is>
          <t>nan</t>
        </is>
      </c>
      <c r="F887" s="44" t="n"/>
      <c r="G887" s="44" t="n"/>
      <c r="H887" s="15" t="n"/>
      <c r="I887" s="45" t="n">
        <v>5195783.706</v>
      </c>
      <c r="J887" s="45" t="n">
        <v>5243251.73143</v>
      </c>
      <c r="K887" s="45" t="n">
        <v>1034500</v>
      </c>
      <c r="L887" s="45" t="n">
        <v>1054102.515</v>
      </c>
      <c r="M887" s="45" t="n">
        <v>785121.9392511901</v>
      </c>
      <c r="N887" s="45" t="n">
        <v>800000</v>
      </c>
      <c r="O887" s="45" t="n">
        <v>557722.8912115413</v>
      </c>
      <c r="P887" s="45" t="n">
        <v>568291.74</v>
      </c>
      <c r="Q887" s="45" t="n">
        <v>126236.043</v>
      </c>
      <c r="R887" s="45" t="n">
        <v>128628.21601485</v>
      </c>
      <c r="S887" s="45" t="n">
        <v>2503580.873462731</v>
      </c>
      <c r="T887" s="45" t="n">
        <v>2551022.47101485</v>
      </c>
      <c r="U887" s="15" t="n">
        <v>1.29</v>
      </c>
      <c r="V887" s="15" t="n">
        <v>2.6</v>
      </c>
      <c r="W887" s="49" t="n">
        <v>101.895</v>
      </c>
    </row>
    <row r="888">
      <c r="A888" s="44" t="inlineStr">
        <is>
          <t>TL Cinsi TUFE Endeksli Senetler</t>
        </is>
      </c>
      <c r="B888" s="44" t="n">
        <v>2012</v>
      </c>
      <c r="C888" s="44" t="inlineStr">
        <is>
          <t>TRT210721T11</t>
        </is>
      </c>
      <c r="D888" s="44" t="inlineStr">
        <is>
          <t>nan</t>
        </is>
      </c>
      <c r="E888" s="44" t="inlineStr">
        <is>
          <t>nan</t>
        </is>
      </c>
      <c r="F888" s="44" t="n"/>
      <c r="G888" s="44" t="n"/>
      <c r="H888" s="15" t="n"/>
      <c r="I888" s="45" t="n">
        <v>2785600</v>
      </c>
      <c r="J888" s="45" t="n">
        <v>2650620.72</v>
      </c>
      <c r="K888" s="45" t="n">
        <v>1755100</v>
      </c>
      <c r="L888" s="45" t="n">
        <v>1685359.85</v>
      </c>
      <c r="M888" s="45" t="n">
        <v>0</v>
      </c>
      <c r="N888" s="45" t="n">
        <v>0</v>
      </c>
      <c r="O888" s="45" t="n">
        <v>555055.5271623447</v>
      </c>
      <c r="P888" s="45" t="n">
        <v>533000</v>
      </c>
      <c r="Q888" s="45" t="n">
        <v>0</v>
      </c>
      <c r="R888" s="45" t="n">
        <v>0</v>
      </c>
      <c r="S888" s="45" t="n">
        <v>2310155.527162345</v>
      </c>
      <c r="T888" s="45" t="n">
        <v>2218359.85</v>
      </c>
      <c r="U888" s="15" t="n">
        <v>2.08</v>
      </c>
      <c r="V888" s="15" t="n">
        <v>4.203263999999995</v>
      </c>
      <c r="W888" s="49" t="n">
        <v>96.02642869352174</v>
      </c>
    </row>
    <row r="889">
      <c r="A889" s="44" t="inlineStr">
        <is>
          <t>TL Cinsi TUFE Endeksli Senetler</t>
        </is>
      </c>
      <c r="B889" s="44" t="n">
        <v>2012</v>
      </c>
      <c r="C889" s="44" t="inlineStr">
        <is>
          <t>TRT210721T11</t>
        </is>
      </c>
      <c r="D889" s="44" t="inlineStr">
        <is>
          <t>nan</t>
        </is>
      </c>
      <c r="E889" s="44" t="inlineStr">
        <is>
          <t>nan</t>
        </is>
      </c>
      <c r="F889" s="44" t="n"/>
      <c r="G889" s="44" t="n"/>
      <c r="H889" s="15" t="n"/>
      <c r="I889" s="45" t="n">
        <v>5381069.71</v>
      </c>
      <c r="J889" s="45" t="n">
        <v>5309007.82519</v>
      </c>
      <c r="K889" s="45" t="n">
        <v>1597000</v>
      </c>
      <c r="L889" s="45" t="n">
        <v>1586449.74</v>
      </c>
      <c r="M889" s="45" t="n">
        <v>1258317.478533104</v>
      </c>
      <c r="N889" s="45" t="n">
        <v>1250000</v>
      </c>
      <c r="O889" s="45" t="n">
        <v>740003.925950533</v>
      </c>
      <c r="P889" s="45" t="n">
        <v>735112.5</v>
      </c>
      <c r="Q889" s="45" t="n">
        <v>399300</v>
      </c>
      <c r="R889" s="45" t="n">
        <v>396660.627</v>
      </c>
      <c r="S889" s="45" t="n">
        <v>3994621.404483637</v>
      </c>
      <c r="T889" s="45" t="n">
        <v>3968222.867</v>
      </c>
      <c r="U889" s="15" t="n">
        <v>1.85</v>
      </c>
      <c r="V889" s="15" t="n">
        <v>3.73</v>
      </c>
      <c r="W889" s="49" t="n">
        <v>99.339</v>
      </c>
    </row>
    <row r="890">
      <c r="A890" s="44" t="inlineStr">
        <is>
          <t>TL Cinsi TUFE Endeksli Senetler</t>
        </is>
      </c>
      <c r="B890" s="44" t="n">
        <v>2012</v>
      </c>
      <c r="C890" s="44" t="inlineStr">
        <is>
          <t>TRT230222T13</t>
        </is>
      </c>
      <c r="D890" s="44" t="inlineStr">
        <is>
          <t>nan</t>
        </is>
      </c>
      <c r="E890" s="44" t="inlineStr">
        <is>
          <t>nan</t>
        </is>
      </c>
      <c r="F890" s="44" t="n"/>
      <c r="G890" s="44" t="n"/>
      <c r="H890" s="15" t="n"/>
      <c r="I890" s="45" t="n">
        <v>2833621</v>
      </c>
      <c r="J890" s="45" t="n">
        <v>2690657.49098</v>
      </c>
      <c r="K890" s="45" t="n">
        <v>1473635</v>
      </c>
      <c r="L890" s="45" t="n">
        <v>1406058.6461</v>
      </c>
      <c r="M890" s="45" t="n">
        <v>230574.1295826608</v>
      </c>
      <c r="N890" s="45" t="n">
        <v>220000</v>
      </c>
      <c r="O890" s="45" t="n">
        <v>595588.6976753935</v>
      </c>
      <c r="P890" s="45" t="n">
        <v>568275</v>
      </c>
      <c r="Q890" s="45" t="n">
        <v>55408.135</v>
      </c>
      <c r="R890" s="45" t="n">
        <v>52867.1179289</v>
      </c>
      <c r="S890" s="45" t="n">
        <v>2355205.962258054</v>
      </c>
      <c r="T890" s="45" t="n">
        <v>2247200.7640289</v>
      </c>
      <c r="U890" s="15" t="n">
        <v>1.77</v>
      </c>
      <c r="V890" s="15" t="n">
        <v>3.58</v>
      </c>
      <c r="W890" s="49" t="n">
        <v>95.414</v>
      </c>
    </row>
    <row r="891">
      <c r="A891" s="44" t="inlineStr">
        <is>
          <t>TL Cinsi TUFE Endeksli Senetler</t>
        </is>
      </c>
      <c r="B891" s="44" t="n">
        <v>2012</v>
      </c>
      <c r="C891" s="44" t="inlineStr">
        <is>
          <t>TRT230222T13</t>
        </is>
      </c>
      <c r="D891" s="44" t="inlineStr">
        <is>
          <t>nan</t>
        </is>
      </c>
      <c r="E891" s="44" t="inlineStr">
        <is>
          <t>nan</t>
        </is>
      </c>
      <c r="F891" s="44" t="n"/>
      <c r="G891" s="44" t="n"/>
      <c r="H891" s="15" t="n"/>
      <c r="I891" s="45" t="n">
        <v>2383020.75</v>
      </c>
      <c r="J891" s="45" t="n">
        <v>2305326.66854</v>
      </c>
      <c r="K891" s="45" t="n">
        <v>1674444.23</v>
      </c>
      <c r="L891" s="45" t="n">
        <v>1627356.43334</v>
      </c>
      <c r="M891" s="45" t="n">
        <v>354982.0965551303</v>
      </c>
      <c r="N891" s="45" t="n">
        <v>345000</v>
      </c>
      <c r="O891" s="45" t="n">
        <v>1052691.69033214</v>
      </c>
      <c r="P891" s="45" t="n">
        <v>1023090</v>
      </c>
      <c r="Q891" s="45" t="n">
        <v>45023.253</v>
      </c>
      <c r="R891" s="45" t="n">
        <v>43757.19912564</v>
      </c>
      <c r="S891" s="45" t="n">
        <v>3127141.26988727</v>
      </c>
      <c r="T891" s="45" t="n">
        <v>3039203.63246564</v>
      </c>
      <c r="U891" s="15" t="n">
        <v>1.73</v>
      </c>
      <c r="V891" s="15" t="n">
        <v>3.5</v>
      </c>
      <c r="W891" s="49" t="n">
        <v>97.188</v>
      </c>
    </row>
    <row r="892">
      <c r="A892" s="44" t="inlineStr">
        <is>
          <t>TL Cinsi TUFE Endeksli Senetler</t>
        </is>
      </c>
      <c r="B892" s="44" t="n">
        <v>2012</v>
      </c>
      <c r="C892" s="44" t="inlineStr">
        <is>
          <t>TRT230222T13</t>
        </is>
      </c>
      <c r="D892" s="44" t="inlineStr">
        <is>
          <t>nan</t>
        </is>
      </c>
      <c r="E892" s="44" t="inlineStr">
        <is>
          <t>nan</t>
        </is>
      </c>
      <c r="F892" s="44" t="n"/>
      <c r="G892" s="44" t="n"/>
      <c r="H892" s="15" t="n"/>
      <c r="I892" s="45" t="n">
        <v>3328445</v>
      </c>
      <c r="J892" s="45" t="n">
        <v>3517059.30436</v>
      </c>
      <c r="K892" s="45" t="n">
        <v>1819766</v>
      </c>
      <c r="L892" s="45" t="n">
        <v>1928894.43338</v>
      </c>
      <c r="M892" s="45" t="n">
        <v>1292489.410077644</v>
      </c>
      <c r="N892" s="45" t="n">
        <v>1370000</v>
      </c>
      <c r="O892" s="45" t="n">
        <v>1205104.861458343</v>
      </c>
      <c r="P892" s="45" t="n">
        <v>1277375</v>
      </c>
      <c r="Q892" s="45" t="n">
        <v>0</v>
      </c>
      <c r="R892" s="45" t="n">
        <v>0</v>
      </c>
      <c r="S892" s="45" t="n">
        <v>4317360.271535987</v>
      </c>
      <c r="T892" s="45" t="n">
        <v>4576269.43338</v>
      </c>
      <c r="U892" s="15" t="n">
        <v>1.38</v>
      </c>
      <c r="V892" s="15" t="n">
        <v>2.78</v>
      </c>
      <c r="W892" s="49" t="n">
        <v>105.997</v>
      </c>
    </row>
    <row r="893">
      <c r="A893" s="44" t="inlineStr">
        <is>
          <t>TL Cinsi TUFE Endeksli Senetler</t>
        </is>
      </c>
      <c r="B893" s="44" t="n">
        <v>2012</v>
      </c>
      <c r="C893" s="44" t="inlineStr">
        <is>
          <t>TRT261022T10</t>
        </is>
      </c>
      <c r="D893" s="44" t="inlineStr">
        <is>
          <t>nan</t>
        </is>
      </c>
      <c r="E893" s="44" t="inlineStr">
        <is>
          <t>nan</t>
        </is>
      </c>
      <c r="F893" s="44" t="n"/>
      <c r="G893" s="44" t="n"/>
      <c r="H893" s="15" t="n"/>
      <c r="I893" s="45" t="n">
        <v>4687102.86</v>
      </c>
      <c r="J893" s="45" t="n">
        <v>4773647.49737</v>
      </c>
      <c r="K893" s="45" t="n">
        <v>853003</v>
      </c>
      <c r="L893" s="45" t="n">
        <v>877481.26864</v>
      </c>
      <c r="M893" s="45" t="n">
        <v>2119179.547001069</v>
      </c>
      <c r="N893" s="45" t="n">
        <v>2180000</v>
      </c>
      <c r="O893" s="45" t="n">
        <v>321808.1073199183</v>
      </c>
      <c r="P893" s="45" t="n">
        <v>331044</v>
      </c>
      <c r="Q893" s="45" t="n">
        <v>77018.85799999999</v>
      </c>
      <c r="R893" s="45" t="n">
        <v>79229.29922460001</v>
      </c>
      <c r="S893" s="45" t="n">
        <v>3371009.512320988</v>
      </c>
      <c r="T893" s="45" t="n">
        <v>3467754.5678646</v>
      </c>
      <c r="U893" s="15" t="n">
        <v>0.84</v>
      </c>
      <c r="V893" s="15" t="n">
        <v>1.69</v>
      </c>
      <c r="W893" s="49" t="n">
        <v>102.87</v>
      </c>
    </row>
    <row r="894">
      <c r="A894" s="44" t="inlineStr">
        <is>
          <t>TL Cinsi TUFE Endeksli Senetler</t>
        </is>
      </c>
      <c r="B894" s="44" t="n">
        <v>2011</v>
      </c>
      <c r="C894" s="44" t="inlineStr">
        <is>
          <t>TRT060121T16</t>
        </is>
      </c>
      <c r="D894" s="44" t="inlineStr">
        <is>
          <t>nan</t>
        </is>
      </c>
      <c r="E894" s="44" t="inlineStr">
        <is>
          <t>nan</t>
        </is>
      </c>
      <c r="F894" s="44" t="n"/>
      <c r="G894" s="44" t="n"/>
      <c r="H894" s="15" t="n"/>
      <c r="I894" s="45" t="n">
        <v>4087755.211</v>
      </c>
      <c r="J894" s="45" t="n">
        <v>4081548.06536</v>
      </c>
      <c r="K894" s="45" t="n">
        <v>2198830</v>
      </c>
      <c r="L894" s="45" t="n">
        <v>2229891.8867</v>
      </c>
      <c r="M894" s="45" t="n">
        <v>197213.3750110933</v>
      </c>
      <c r="N894" s="45" t="n">
        <v>200000</v>
      </c>
      <c r="O894" s="45" t="n">
        <v>699326.0232908996</v>
      </c>
      <c r="P894" s="45" t="n">
        <v>709207.5</v>
      </c>
      <c r="Q894" s="45" t="n">
        <v>233878.956</v>
      </c>
      <c r="R894" s="45" t="n">
        <v>237183.66564828</v>
      </c>
      <c r="S894" s="45" t="n">
        <v>3329248.354301993</v>
      </c>
      <c r="T894" s="45" t="n">
        <v>3376283.05234828</v>
      </c>
      <c r="U894" s="15" t="n">
        <v>1.42</v>
      </c>
      <c r="V894" s="15" t="n">
        <v>2.860163999999998</v>
      </c>
      <c r="W894" s="49" t="n">
        <v>101.413</v>
      </c>
    </row>
    <row r="895">
      <c r="A895" s="44" t="inlineStr">
        <is>
          <t>TL Cinsi TUFE Endeksli Senetler</t>
        </is>
      </c>
      <c r="B895" s="44" t="n">
        <v>2011</v>
      </c>
      <c r="C895" s="44" t="inlineStr">
        <is>
          <t>TRT060121T16</t>
        </is>
      </c>
      <c r="D895" s="44" t="inlineStr">
        <is>
          <t>nan</t>
        </is>
      </c>
      <c r="E895" s="44" t="inlineStr">
        <is>
          <t>nan</t>
        </is>
      </c>
      <c r="F895" s="44" t="n"/>
      <c r="G895" s="44" t="n"/>
      <c r="H895" s="15" t="n"/>
      <c r="I895" s="45" t="n">
        <v>1831430.145</v>
      </c>
      <c r="J895" s="45" t="n">
        <v>1854076.68291</v>
      </c>
      <c r="K895" s="45" t="n">
        <v>815200.145</v>
      </c>
      <c r="L895" s="45" t="n">
        <v>828654.96347</v>
      </c>
      <c r="M895" s="45" t="n">
        <v>757501.2297097885</v>
      </c>
      <c r="N895" s="45" t="n">
        <v>770000</v>
      </c>
      <c r="O895" s="45" t="n">
        <v>320363.994097393</v>
      </c>
      <c r="P895" s="45" t="n">
        <v>325650</v>
      </c>
      <c r="Q895" s="45" t="n">
        <v>76318.36599999999</v>
      </c>
      <c r="R895" s="45" t="n">
        <v>77577.619039</v>
      </c>
      <c r="S895" s="45" t="n">
        <v>1969383.734807181</v>
      </c>
      <c r="T895" s="45" t="n">
        <v>2001882.582509</v>
      </c>
      <c r="U895" s="15" t="n">
        <v>1.41</v>
      </c>
      <c r="V895" s="15" t="n">
        <v>2.839881000000011</v>
      </c>
      <c r="W895" s="49" t="n">
        <v>101.65</v>
      </c>
    </row>
    <row r="896">
      <c r="A896" s="44" t="inlineStr">
        <is>
          <t>TL Cinsi TUFE Endeksli Senetler</t>
        </is>
      </c>
      <c r="B896" s="44" t="n">
        <v>2011</v>
      </c>
      <c r="C896" s="44" t="inlineStr">
        <is>
          <t>TRT060121T16</t>
        </is>
      </c>
      <c r="D896" s="44" t="inlineStr">
        <is>
          <t>nan</t>
        </is>
      </c>
      <c r="E896" s="44" t="inlineStr">
        <is>
          <t>nan</t>
        </is>
      </c>
      <c r="F896" s="44" t="n"/>
      <c r="G896" s="44" t="n"/>
      <c r="H896" s="15" t="n"/>
      <c r="I896" s="45" t="n">
        <v>1801320</v>
      </c>
      <c r="J896" s="45" t="n">
        <v>1841398.33</v>
      </c>
      <c r="K896" s="45" t="n">
        <v>1032600</v>
      </c>
      <c r="L896" s="45" t="n">
        <v>1058170.735</v>
      </c>
      <c r="M896" s="45" t="n">
        <v>487919.1225262501</v>
      </c>
      <c r="N896" s="45" t="n">
        <v>500000</v>
      </c>
      <c r="O896" s="45" t="n">
        <v>490924.7043210117</v>
      </c>
      <c r="P896" s="45" t="n">
        <v>503080</v>
      </c>
      <c r="Q896" s="45" t="n">
        <v>199340.175</v>
      </c>
      <c r="R896" s="45" t="n">
        <v>204275.837733</v>
      </c>
      <c r="S896" s="45" t="n">
        <v>2210784.001847262</v>
      </c>
      <c r="T896" s="45" t="n">
        <v>2265526.572733</v>
      </c>
      <c r="U896" s="15" t="n">
        <v>1.42</v>
      </c>
      <c r="V896" s="15" t="n">
        <v>2.860163999999998</v>
      </c>
      <c r="W896" s="49" t="n">
        <v>102.476</v>
      </c>
    </row>
    <row r="897">
      <c r="A897" s="44" t="inlineStr">
        <is>
          <t>TL Cinsi TUFE Endeksli Senetler</t>
        </is>
      </c>
      <c r="B897" s="44" t="n">
        <v>2011</v>
      </c>
      <c r="C897" s="44" t="inlineStr">
        <is>
          <t>TRT040516T11</t>
        </is>
      </c>
      <c r="D897" s="44" t="inlineStr">
        <is>
          <t>nan</t>
        </is>
      </c>
      <c r="E897" s="44" t="inlineStr">
        <is>
          <t>nan</t>
        </is>
      </c>
      <c r="F897" s="44" t="n"/>
      <c r="G897" s="44" t="n"/>
      <c r="H897" s="15" t="n"/>
      <c r="I897" s="45" t="n">
        <v>1202205</v>
      </c>
      <c r="J897" s="45" t="n">
        <v>1210518.12405</v>
      </c>
      <c r="K897" s="45" t="n">
        <v>581505</v>
      </c>
      <c r="L897" s="45" t="n">
        <v>586783.17905</v>
      </c>
      <c r="M897" s="45" t="n">
        <v>0</v>
      </c>
      <c r="N897" s="45" t="n">
        <v>0</v>
      </c>
      <c r="O897" s="45" t="n">
        <v>499088.2784318389</v>
      </c>
      <c r="P897" s="45" t="n">
        <v>503620</v>
      </c>
      <c r="Q897" s="45" t="n">
        <v>59648.362</v>
      </c>
      <c r="R897" s="45" t="n">
        <v>60189.96912696</v>
      </c>
      <c r="S897" s="45" t="n">
        <v>1140241.640431839</v>
      </c>
      <c r="T897" s="45" t="n">
        <v>1150593.14817696</v>
      </c>
      <c r="U897" s="15" t="n">
        <v>1.15</v>
      </c>
      <c r="V897" s="15" t="n">
        <v>2.323225000000019</v>
      </c>
      <c r="W897" s="49" t="n">
        <v>100.908</v>
      </c>
    </row>
    <row r="898">
      <c r="A898" s="44" t="inlineStr">
        <is>
          <t>TL Cinsi TUFE Endeksli Senetler</t>
        </is>
      </c>
      <c r="B898" s="44" t="n">
        <v>2011</v>
      </c>
      <c r="C898" s="44" t="inlineStr">
        <is>
          <t>TRT210721T11</t>
        </is>
      </c>
      <c r="D898" s="44" t="inlineStr">
        <is>
          <t>nan</t>
        </is>
      </c>
      <c r="E898" s="44" t="inlineStr">
        <is>
          <t>nan</t>
        </is>
      </c>
      <c r="F898" s="44" t="n"/>
      <c r="G898" s="44" t="n"/>
      <c r="H898" s="15" t="n"/>
      <c r="I898" s="45" t="n">
        <v>764938.6</v>
      </c>
      <c r="J898" s="45" t="n">
        <v>738983.97668</v>
      </c>
      <c r="K898" s="45" t="n">
        <v>529017.875</v>
      </c>
      <c r="L898" s="45" t="n">
        <v>512885.96105</v>
      </c>
      <c r="M898" s="45" t="n">
        <v>0</v>
      </c>
      <c r="N898" s="45" t="n">
        <v>0</v>
      </c>
      <c r="O898" s="45" t="n">
        <v>748702.9530381327</v>
      </c>
      <c r="P898" s="45" t="n">
        <v>725875</v>
      </c>
      <c r="Q898" s="45" t="n">
        <v>20800</v>
      </c>
      <c r="R898" s="45" t="n">
        <v>20165.808</v>
      </c>
      <c r="S898" s="45" t="n">
        <v>1298520.828038133</v>
      </c>
      <c r="T898" s="45" t="n">
        <v>1258926.76905</v>
      </c>
      <c r="U898" s="15" t="n">
        <v>1.68</v>
      </c>
      <c r="V898" s="15" t="n">
        <v>3.388223999999984</v>
      </c>
      <c r="W898" s="49" t="n">
        <v>96.95099999999999</v>
      </c>
    </row>
    <row r="899">
      <c r="A899" s="44" t="inlineStr">
        <is>
          <t>TL Cinsi TUFE Endeksli Senetler</t>
        </is>
      </c>
      <c r="B899" s="44" t="n">
        <v>2011</v>
      </c>
      <c r="C899" s="44" t="inlineStr">
        <is>
          <t>TRT040516T11</t>
        </is>
      </c>
      <c r="D899" s="44" t="inlineStr">
        <is>
          <t>nan</t>
        </is>
      </c>
      <c r="E899" s="44" t="inlineStr">
        <is>
          <t>nan</t>
        </is>
      </c>
      <c r="F899" s="44" t="n"/>
      <c r="G899" s="44" t="n"/>
      <c r="H899" s="15" t="n"/>
      <c r="I899" s="45" t="n">
        <v>526548.245</v>
      </c>
      <c r="J899" s="45" t="n">
        <v>538151.95527</v>
      </c>
      <c r="K899" s="45" t="n">
        <v>310666.245</v>
      </c>
      <c r="L899" s="45" t="n">
        <v>319326.38519</v>
      </c>
      <c r="M899" s="45" t="n">
        <v>486438.1056154415</v>
      </c>
      <c r="N899" s="45" t="n">
        <v>500000</v>
      </c>
      <c r="O899" s="45" t="n">
        <v>526326.0302759077</v>
      </c>
      <c r="P899" s="45" t="n">
        <v>541000</v>
      </c>
      <c r="Q899" s="45" t="n">
        <v>0</v>
      </c>
      <c r="R899" s="45" t="n">
        <v>0</v>
      </c>
      <c r="S899" s="45" t="n">
        <v>1323430.380891349</v>
      </c>
      <c r="T899" s="45" t="n">
        <v>1360326.38519</v>
      </c>
      <c r="U899" s="15" t="n">
        <v>1.26</v>
      </c>
      <c r="V899" s="15" t="n">
        <v>2.535875999999981</v>
      </c>
      <c r="W899" s="49" t="n">
        <v>102.788</v>
      </c>
    </row>
    <row r="900">
      <c r="A900" s="44" t="inlineStr">
        <is>
          <t>TL Cinsi TUFE Endeksli Senetler</t>
        </is>
      </c>
      <c r="B900" s="44" t="n">
        <v>2010</v>
      </c>
      <c r="C900" s="44" t="inlineStr">
        <is>
          <t>TRT110215T16</t>
        </is>
      </c>
      <c r="D900" s="44" t="inlineStr">
        <is>
          <t>nan</t>
        </is>
      </c>
      <c r="E900" s="44" t="inlineStr">
        <is>
          <t>nan</t>
        </is>
      </c>
      <c r="F900" s="44" t="n"/>
      <c r="G900" s="44" t="n"/>
      <c r="H900" s="15" t="n"/>
      <c r="I900" s="45" t="n">
        <v>4572081.34</v>
      </c>
      <c r="J900" s="45" t="n">
        <v>4727902.19977</v>
      </c>
      <c r="K900" s="45" t="n">
        <v>1966500</v>
      </c>
      <c r="L900" s="45" t="n">
        <v>2040823.525</v>
      </c>
      <c r="M900" s="45" t="n">
        <v>578151.6490041339</v>
      </c>
      <c r="N900" s="45" t="n">
        <v>599999.99982</v>
      </c>
      <c r="O900" s="45" t="n">
        <v>1216069.725088891</v>
      </c>
      <c r="P900" s="45" t="n">
        <v>1262025</v>
      </c>
      <c r="Q900" s="45" t="n">
        <v>517922.993</v>
      </c>
      <c r="R900" s="45" t="n">
        <v>537495.30290547</v>
      </c>
      <c r="S900" s="45" t="n">
        <v>4278644.367093025</v>
      </c>
      <c r="T900" s="45" t="n">
        <v>4440343.82772547</v>
      </c>
      <c r="U900" s="15" t="n">
        <v>1.83</v>
      </c>
      <c r="V900" s="15" t="n">
        <v>3.703488999999994</v>
      </c>
      <c r="W900" s="49" t="n">
        <v>103.779</v>
      </c>
    </row>
    <row r="901">
      <c r="A901" s="44" t="inlineStr">
        <is>
          <t>TL Cinsi TUFE Endeksli Senetler</t>
        </is>
      </c>
      <c r="B901" s="44" t="n">
        <v>2010</v>
      </c>
      <c r="C901" s="44" t="inlineStr">
        <is>
          <t>TRT110215T16</t>
        </is>
      </c>
      <c r="D901" s="44" t="inlineStr">
        <is>
          <t>nan</t>
        </is>
      </c>
      <c r="E901" s="44" t="inlineStr">
        <is>
          <t>nan</t>
        </is>
      </c>
      <c r="F901" s="44" t="n"/>
      <c r="G901" s="44" t="n"/>
      <c r="H901" s="15" t="n"/>
      <c r="I901" s="45" t="n">
        <v>2540214.16</v>
      </c>
      <c r="J901" s="45" t="n">
        <v>2647528.62874</v>
      </c>
      <c r="K901" s="45" t="n">
        <v>1458066</v>
      </c>
      <c r="L901" s="45" t="n">
        <v>1521858.32003</v>
      </c>
      <c r="M901" s="45" t="n">
        <v>402395.2095808383</v>
      </c>
      <c r="N901" s="45" t="n">
        <v>420000</v>
      </c>
      <c r="O901" s="45" t="n">
        <v>2135652.215568862</v>
      </c>
      <c r="P901" s="45" t="n">
        <v>2229087</v>
      </c>
      <c r="Q901" s="45" t="n">
        <v>228296.582</v>
      </c>
      <c r="R901" s="45" t="n">
        <v>238284.5574625</v>
      </c>
      <c r="S901" s="45" t="n">
        <v>4224410.0071497</v>
      </c>
      <c r="T901" s="45" t="n">
        <v>4409229.8774925</v>
      </c>
      <c r="U901" s="15" t="n">
        <v>1.83</v>
      </c>
      <c r="V901" s="15" t="n">
        <v>3.693488999999994</v>
      </c>
      <c r="W901" s="49" t="n">
        <v>104.375</v>
      </c>
    </row>
    <row r="902">
      <c r="A902" s="44" t="inlineStr">
        <is>
          <t>TL Cinsi TUFE Endeksli Senetler</t>
        </is>
      </c>
      <c r="B902" s="44" t="n">
        <v>2010</v>
      </c>
      <c r="C902" s="44" t="inlineStr">
        <is>
          <t>TRT010420T19</t>
        </is>
      </c>
      <c r="D902" s="44" t="inlineStr">
        <is>
          <t>nan</t>
        </is>
      </c>
      <c r="E902" s="44" t="inlineStr">
        <is>
          <t>nan</t>
        </is>
      </c>
      <c r="F902" s="44" t="n"/>
      <c r="G902" s="44" t="n"/>
      <c r="H902" s="15" t="n"/>
      <c r="I902" s="45" t="n">
        <v>1878263.26</v>
      </c>
      <c r="J902" s="45" t="n">
        <v>1825885.73404</v>
      </c>
      <c r="K902" s="45" t="n">
        <v>1246924.42</v>
      </c>
      <c r="L902" s="45" t="n">
        <v>1222510.60465</v>
      </c>
      <c r="M902" s="45" t="n">
        <v>509985.5164113339</v>
      </c>
      <c r="N902" s="45" t="n">
        <v>500000</v>
      </c>
      <c r="O902" s="45" t="n">
        <v>1017031.272311866</v>
      </c>
      <c r="P902" s="45" t="n">
        <v>997117.8</v>
      </c>
      <c r="Q902" s="45" t="n">
        <v>230907.484</v>
      </c>
      <c r="R902" s="45" t="n">
        <v>226386.31546328</v>
      </c>
      <c r="S902" s="45" t="n">
        <v>3004848.6927232</v>
      </c>
      <c r="T902" s="45" t="n">
        <v>2946014.72011328</v>
      </c>
      <c r="U902" s="15" t="n">
        <v>2.12</v>
      </c>
      <c r="V902" s="15" t="n">
        <v>4.294944000000013</v>
      </c>
      <c r="W902" s="49" t="n">
        <v>98.042</v>
      </c>
    </row>
    <row r="903">
      <c r="A903" s="44" t="inlineStr">
        <is>
          <t>TL Cinsi TUFE Endeksli Senetler</t>
        </is>
      </c>
      <c r="B903" s="44" t="n">
        <v>2010</v>
      </c>
      <c r="C903" s="44" t="inlineStr">
        <is>
          <t>TRT290415T14</t>
        </is>
      </c>
      <c r="D903" s="44" t="inlineStr">
        <is>
          <t>nan</t>
        </is>
      </c>
      <c r="E903" s="44" t="inlineStr">
        <is>
          <t>nan</t>
        </is>
      </c>
      <c r="F903" s="44" t="n"/>
      <c r="G903" s="44" t="n"/>
      <c r="H903" s="15" t="n"/>
      <c r="I903" s="45" t="n">
        <v>2891962.9</v>
      </c>
      <c r="J903" s="45" t="n">
        <v>2904174.95382</v>
      </c>
      <c r="K903" s="45" t="n">
        <v>1378792.33</v>
      </c>
      <c r="L903" s="45" t="n">
        <v>1389623.70494</v>
      </c>
      <c r="M903" s="45" t="n">
        <v>297660.3893397893</v>
      </c>
      <c r="N903" s="45" t="n">
        <v>300000</v>
      </c>
      <c r="O903" s="45" t="n">
        <v>1876686.742206259</v>
      </c>
      <c r="P903" s="45" t="n">
        <v>1891437.5</v>
      </c>
      <c r="Q903" s="45" t="n">
        <v>204307.347</v>
      </c>
      <c r="R903" s="45" t="n">
        <v>205913.20274742</v>
      </c>
      <c r="S903" s="45" t="n">
        <v>3757446.808546048</v>
      </c>
      <c r="T903" s="45" t="n">
        <v>3786974.40768742</v>
      </c>
      <c r="U903" s="15" t="n">
        <v>1.91</v>
      </c>
      <c r="V903" s="15" t="n">
        <v>3.856480999999978</v>
      </c>
      <c r="W903" s="49" t="n">
        <v>100.786</v>
      </c>
    </row>
    <row r="904">
      <c r="A904" s="44" t="inlineStr">
        <is>
          <t>TL Cinsi TUFE Endeksli Senetler</t>
        </is>
      </c>
      <c r="B904" s="44" t="n">
        <v>2010</v>
      </c>
      <c r="C904" s="44" t="inlineStr">
        <is>
          <t>TRT290415T14</t>
        </is>
      </c>
      <c r="D904" s="44" t="inlineStr">
        <is>
          <t>nan</t>
        </is>
      </c>
      <c r="E904" s="44" t="inlineStr">
        <is>
          <t>nan</t>
        </is>
      </c>
      <c r="F904" s="44" t="n"/>
      <c r="G904" s="44" t="n"/>
      <c r="H904" s="15" t="n"/>
      <c r="I904" s="45" t="n">
        <v>5138472.14</v>
      </c>
      <c r="J904" s="45" t="n">
        <v>5243210.42255</v>
      </c>
      <c r="K904" s="45" t="n">
        <v>918109.33</v>
      </c>
      <c r="L904" s="45" t="n">
        <v>942015.2120000001</v>
      </c>
      <c r="M904" s="45" t="n">
        <v>1754317.570465089</v>
      </c>
      <c r="N904" s="45" t="n">
        <v>1800000</v>
      </c>
      <c r="O904" s="45" t="n">
        <v>531485.127285486</v>
      </c>
      <c r="P904" s="45" t="n">
        <v>545325</v>
      </c>
      <c r="Q904" s="45" t="n">
        <v>200343.066</v>
      </c>
      <c r="R904" s="45" t="n">
        <v>205559.99943864</v>
      </c>
      <c r="S904" s="45" t="n">
        <v>3404255.093750575</v>
      </c>
      <c r="T904" s="45" t="n">
        <v>3492900.21143864</v>
      </c>
      <c r="U904" s="15" t="n">
        <v>1.88</v>
      </c>
      <c r="V904" s="15" t="n">
        <v>3.785343999999989</v>
      </c>
      <c r="W904" s="49" t="n">
        <v>102.604</v>
      </c>
    </row>
    <row r="905">
      <c r="A905" s="44" t="inlineStr">
        <is>
          <t>TL Cinsi TUFE Endeksli Senetler</t>
        </is>
      </c>
      <c r="B905" s="44" t="n">
        <v>2010</v>
      </c>
      <c r="C905" s="44" t="inlineStr">
        <is>
          <t>TRT010420T19</t>
        </is>
      </c>
      <c r="D905" s="44" t="inlineStr">
        <is>
          <t>nan</t>
        </is>
      </c>
      <c r="E905" s="44" t="inlineStr">
        <is>
          <t>nan</t>
        </is>
      </c>
      <c r="F905" s="44" t="n"/>
      <c r="G905" s="44" t="n"/>
      <c r="H905" s="15" t="n"/>
      <c r="I905" s="45" t="n">
        <v>1609425</v>
      </c>
      <c r="J905" s="45" t="n">
        <v>1628688.887</v>
      </c>
      <c r="K905" s="45" t="n">
        <v>934025</v>
      </c>
      <c r="L905" s="45" t="n">
        <v>948399.09</v>
      </c>
      <c r="M905" s="45" t="n">
        <v>295452.9786584465</v>
      </c>
      <c r="N905" s="45" t="n">
        <v>300000</v>
      </c>
      <c r="O905" s="45" t="n">
        <v>968849.4076167777</v>
      </c>
      <c r="P905" s="45" t="n">
        <v>983760</v>
      </c>
      <c r="Q905" s="45" t="n">
        <v>0</v>
      </c>
      <c r="R905" s="45" t="n">
        <v>0</v>
      </c>
      <c r="S905" s="45" t="n">
        <v>2198327.386275224</v>
      </c>
      <c r="T905" s="45" t="n">
        <v>2232159.09</v>
      </c>
      <c r="U905" s="15" t="n">
        <v>2.08</v>
      </c>
      <c r="V905" s="15" t="n">
        <v>4.193263999999995</v>
      </c>
      <c r="W905" s="49" t="n">
        <v>101.539</v>
      </c>
    </row>
    <row r="906">
      <c r="A906" s="44" t="inlineStr">
        <is>
          <t>TL Cinsi TUFE Endeksli Senetler</t>
        </is>
      </c>
      <c r="B906" s="44" t="n">
        <v>2010</v>
      </c>
      <c r="C906" s="44" t="inlineStr">
        <is>
          <t>TRT010420T19</t>
        </is>
      </c>
      <c r="D906" s="44" t="inlineStr">
        <is>
          <t>nan</t>
        </is>
      </c>
      <c r="E906" s="44" t="inlineStr">
        <is>
          <t>nan</t>
        </is>
      </c>
      <c r="F906" s="44" t="n"/>
      <c r="G906" s="44" t="n"/>
      <c r="H906" s="15" t="n"/>
      <c r="I906" s="45" t="n">
        <v>4775192</v>
      </c>
      <c r="J906" s="45" t="n">
        <v>5794000.92465</v>
      </c>
      <c r="K906" s="45" t="n">
        <v>1730000</v>
      </c>
      <c r="L906" s="45" t="n">
        <v>2113221.3</v>
      </c>
      <c r="M906" s="45" t="n">
        <v>163730.4342131115</v>
      </c>
      <c r="N906" s="45" t="n">
        <v>200000</v>
      </c>
      <c r="O906" s="45" t="n">
        <v>638757.4497347567</v>
      </c>
      <c r="P906" s="45" t="n">
        <v>780255</v>
      </c>
      <c r="Q906" s="45" t="n">
        <v>0</v>
      </c>
      <c r="R906" s="45" t="n">
        <v>0</v>
      </c>
      <c r="S906" s="45" t="n">
        <v>2532487.883947868</v>
      </c>
      <c r="T906" s="45" t="n">
        <v>3093476.3</v>
      </c>
      <c r="U906" s="15" t="n">
        <v>0.89</v>
      </c>
      <c r="V906" s="15" t="n">
        <v>1.78</v>
      </c>
      <c r="W906" s="49" t="n">
        <v>122.152</v>
      </c>
    </row>
    <row r="907">
      <c r="A907" s="44" t="inlineStr">
        <is>
          <t>TL Cinsi TUFE Endeksli Senetler</t>
        </is>
      </c>
      <c r="B907" s="44" t="n">
        <v>2009</v>
      </c>
      <c r="C907" s="44" t="inlineStr">
        <is>
          <t>TRT140813T19</t>
        </is>
      </c>
      <c r="D907" s="44" t="inlineStr">
        <is>
          <t>nan</t>
        </is>
      </c>
      <c r="E907" s="44" t="inlineStr">
        <is>
          <t>nan</t>
        </is>
      </c>
      <c r="F907" s="44" t="n"/>
      <c r="G907" s="44" t="n"/>
      <c r="H907" s="15" t="n"/>
      <c r="I907" s="45" t="n">
        <v>2086191.023</v>
      </c>
      <c r="J907" s="45" t="n">
        <v>2021909.31217</v>
      </c>
      <c r="K907" s="45" t="n">
        <v>370178</v>
      </c>
      <c r="L907" s="45" t="n">
        <v>365165.78988</v>
      </c>
      <c r="M907" s="45" t="n">
        <v>582892.3625894613</v>
      </c>
      <c r="N907" s="45" t="n">
        <v>575000</v>
      </c>
      <c r="O907" s="45" t="n">
        <v>307507.6536301522</v>
      </c>
      <c r="P907" s="45" t="n">
        <v>303344</v>
      </c>
      <c r="Q907" s="45" t="n">
        <v>0</v>
      </c>
      <c r="R907" s="45" t="n">
        <v>0</v>
      </c>
      <c r="S907" s="45" t="n">
        <v>1334358.016219614</v>
      </c>
      <c r="T907" s="45" t="n">
        <v>1316290.80868</v>
      </c>
      <c r="U907" s="15" t="n">
        <v>6.76</v>
      </c>
      <c r="V907" s="15" t="n">
        <v>13.97697600000003</v>
      </c>
      <c r="W907" s="49" t="n">
        <v>98.646</v>
      </c>
    </row>
    <row r="908">
      <c r="A908" s="44" t="inlineStr">
        <is>
          <t>TL Cinsi TUFE Endeksli Senetler</t>
        </is>
      </c>
      <c r="B908" s="44" t="n">
        <v>2009</v>
      </c>
      <c r="C908" s="44" t="inlineStr">
        <is>
          <t>TRT140813T19</t>
        </is>
      </c>
      <c r="D908" s="44" t="inlineStr">
        <is>
          <t>nan</t>
        </is>
      </c>
      <c r="E908" s="44" t="inlineStr">
        <is>
          <t>nan</t>
        </is>
      </c>
      <c r="F908" s="44" t="n"/>
      <c r="G908" s="44" t="n"/>
      <c r="H908" s="15" t="n"/>
      <c r="I908" s="45" t="n">
        <v>5480785.761</v>
      </c>
      <c r="J908" s="45" t="n">
        <v>5819408.18921</v>
      </c>
      <c r="K908" s="45" t="n">
        <v>3109135</v>
      </c>
      <c r="L908" s="45" t="n">
        <v>3315084.1024</v>
      </c>
      <c r="M908" s="45" t="n">
        <v>140681.2725090036</v>
      </c>
      <c r="N908" s="45" t="n">
        <v>150000</v>
      </c>
      <c r="O908" s="45" t="n">
        <v>791134.6413565427</v>
      </c>
      <c r="P908" s="45" t="n">
        <v>843539.4</v>
      </c>
      <c r="Q908" s="45" t="n">
        <v>0</v>
      </c>
      <c r="R908" s="45" t="n">
        <v>0</v>
      </c>
      <c r="S908" s="45" t="n">
        <v>4662777.913865546</v>
      </c>
      <c r="T908" s="45" t="n">
        <v>4971640.32288</v>
      </c>
      <c r="U908" s="15" t="n">
        <v>5.85</v>
      </c>
      <c r="V908" s="15" t="n">
        <v>12.05222500000001</v>
      </c>
      <c r="W908" s="49" t="n">
        <v>106.624</v>
      </c>
    </row>
    <row r="909">
      <c r="A909" s="44" t="inlineStr">
        <is>
          <t>TL Cinsi TUFE Endeksli Senetler</t>
        </is>
      </c>
      <c r="B909" s="44" t="n">
        <v>2009</v>
      </c>
      <c r="C909" s="44" t="inlineStr">
        <is>
          <t>TRT210514T12</t>
        </is>
      </c>
      <c r="D909" s="44" t="inlineStr">
        <is>
          <t>nan</t>
        </is>
      </c>
      <c r="E909" s="44" t="inlineStr">
        <is>
          <t>nan</t>
        </is>
      </c>
      <c r="F909" s="44" t="n"/>
      <c r="G909" s="44" t="n"/>
      <c r="H909" s="15" t="n"/>
      <c r="I909" s="45" t="n">
        <v>1757159.918</v>
      </c>
      <c r="J909" s="45" t="n">
        <v>1776418.4295</v>
      </c>
      <c r="K909" s="45" t="n">
        <v>593986.115</v>
      </c>
      <c r="L909" s="45" t="n">
        <v>605865.8373</v>
      </c>
      <c r="M909" s="45" t="n">
        <v>0</v>
      </c>
      <c r="N909" s="45" t="n">
        <v>0</v>
      </c>
      <c r="O909" s="45" t="n">
        <v>955018.3823529412</v>
      </c>
      <c r="P909" s="45" t="n">
        <v>974118.75</v>
      </c>
      <c r="Q909" s="45" t="n">
        <v>0</v>
      </c>
      <c r="R909" s="45" t="n">
        <v>0</v>
      </c>
      <c r="S909" s="45" t="n">
        <v>1549004.497352941</v>
      </c>
      <c r="T909" s="45" t="n">
        <v>1579984.5873</v>
      </c>
      <c r="U909" s="15" t="n">
        <v>4.25</v>
      </c>
      <c r="V909" s="15" t="n">
        <v>8.680624999999999</v>
      </c>
      <c r="W909" s="49" t="n">
        <v>102</v>
      </c>
    </row>
    <row r="910">
      <c r="A910" s="44" t="inlineStr">
        <is>
          <t>TL Cinsi TUFE Endeksli Senetler</t>
        </is>
      </c>
      <c r="B910" s="44" t="n">
        <v>2009</v>
      </c>
      <c r="C910" s="44" t="inlineStr">
        <is>
          <t>TRT210514T12</t>
        </is>
      </c>
      <c r="D910" s="44" t="inlineStr">
        <is>
          <t>nan</t>
        </is>
      </c>
      <c r="E910" s="44" t="inlineStr">
        <is>
          <t>nan</t>
        </is>
      </c>
      <c r="F910" s="44" t="n"/>
      <c r="G910" s="44" t="n"/>
      <c r="H910" s="15" t="n"/>
      <c r="I910" s="45" t="n">
        <v>2792273.776</v>
      </c>
      <c r="J910" s="45" t="n">
        <v>2888094.66642</v>
      </c>
      <c r="K910" s="45" t="n">
        <v>1618922.2</v>
      </c>
      <c r="L910" s="45" t="n">
        <v>1675762.558442</v>
      </c>
      <c r="M910" s="45" t="n">
        <v>0</v>
      </c>
      <c r="N910" s="45" t="n">
        <v>0</v>
      </c>
      <c r="O910" s="45" t="n">
        <v>1294089.993720474</v>
      </c>
      <c r="P910" s="45" t="n">
        <v>1339525.4934</v>
      </c>
      <c r="Q910" s="45" t="n">
        <v>0</v>
      </c>
      <c r="R910" s="45" t="n">
        <v>0</v>
      </c>
      <c r="S910" s="45" t="n">
        <v>3229306.033720474</v>
      </c>
      <c r="T910" s="45" t="n">
        <v>3342686.9685644</v>
      </c>
      <c r="U910" s="15" t="n">
        <v>4.28</v>
      </c>
      <c r="V910" s="15" t="n">
        <v>8.733183999999982</v>
      </c>
      <c r="W910" s="49" t="n">
        <v>103.511</v>
      </c>
    </row>
    <row r="911">
      <c r="A911" s="44" t="inlineStr">
        <is>
          <t>TL Cinsi TUFE Endeksli Senetler</t>
        </is>
      </c>
      <c r="B911" s="44" t="n">
        <v>2009</v>
      </c>
      <c r="C911" s="44" t="inlineStr">
        <is>
          <t>TRT210514T12</t>
        </is>
      </c>
      <c r="D911" s="44" t="inlineStr">
        <is>
          <t>nan</t>
        </is>
      </c>
      <c r="E911" s="44" t="inlineStr">
        <is>
          <t>nan</t>
        </is>
      </c>
      <c r="F911" s="44" t="n"/>
      <c r="G911" s="44" t="n"/>
      <c r="H911" s="15" t="n"/>
      <c r="I911" s="45" t="n">
        <v>7691580.454</v>
      </c>
      <c r="J911" s="45" t="n">
        <v>8525425.47811</v>
      </c>
      <c r="K911" s="45" t="n">
        <v>2130000</v>
      </c>
      <c r="L911" s="45" t="n">
        <v>2372164.38</v>
      </c>
      <c r="M911" s="45" t="n">
        <v>269374.7811329903</v>
      </c>
      <c r="N911" s="45" t="n">
        <v>300000</v>
      </c>
      <c r="O911" s="45" t="n">
        <v>1105154.935394948</v>
      </c>
      <c r="P911" s="45" t="n">
        <v>1230800</v>
      </c>
      <c r="Q911" s="45" t="n">
        <v>0</v>
      </c>
      <c r="R911" s="45" t="n">
        <v>0</v>
      </c>
      <c r="S911" s="45" t="n">
        <v>3864596.890527938</v>
      </c>
      <c r="T911" s="45" t="n">
        <v>4303967.59101206</v>
      </c>
      <c r="U911" s="15" t="n">
        <v>3.5</v>
      </c>
      <c r="V911" s="15" t="n">
        <v>7.132499999999988</v>
      </c>
      <c r="W911" s="49" t="n">
        <v>111.369</v>
      </c>
    </row>
    <row r="912">
      <c r="A912" s="44" t="inlineStr">
        <is>
          <t>TL Cinsi TUFE Endeksli Senetler</t>
        </is>
      </c>
      <c r="B912" s="44" t="n">
        <v>2009</v>
      </c>
      <c r="C912" s="44" t="inlineStr">
        <is>
          <t>TRT011014T19</t>
        </is>
      </c>
      <c r="D912" s="44" t="inlineStr">
        <is>
          <t>nan</t>
        </is>
      </c>
      <c r="E912" s="44" t="inlineStr">
        <is>
          <t>nan</t>
        </is>
      </c>
      <c r="F912" s="44" t="n"/>
      <c r="G912" s="44" t="n"/>
      <c r="H912" s="15" t="n"/>
      <c r="I912" s="45" t="n">
        <v>4769522.018</v>
      </c>
      <c r="J912" s="45" t="n">
        <v>5188057.01617</v>
      </c>
      <c r="K912" s="45" t="n">
        <v>1961030</v>
      </c>
      <c r="L912" s="45" t="n">
        <v>2156137.478</v>
      </c>
      <c r="M912" s="45" t="n">
        <v>0</v>
      </c>
      <c r="N912" s="45" t="n">
        <v>0</v>
      </c>
      <c r="O912" s="45" t="n">
        <v>2041560.177900663</v>
      </c>
      <c r="P912" s="45" t="n">
        <v>2244675</v>
      </c>
      <c r="Q912" s="45" t="n">
        <v>0</v>
      </c>
      <c r="R912" s="45" t="n">
        <v>0</v>
      </c>
      <c r="S912" s="45" t="n">
        <v>4028775.280900663</v>
      </c>
      <c r="T912" s="45" t="n">
        <v>4429602.73689747</v>
      </c>
      <c r="U912" s="15" t="n">
        <v>2.37</v>
      </c>
      <c r="V912" s="15" t="n">
        <v>4.796169000000017</v>
      </c>
      <c r="W912" s="49" t="n">
        <v>109.949</v>
      </c>
    </row>
    <row r="913">
      <c r="A913" s="44" t="inlineStr">
        <is>
          <t>TL Cinsi TUFE Endeksli Senetler</t>
        </is>
      </c>
      <c r="B913" s="44" t="n">
        <v>2009</v>
      </c>
      <c r="C913" s="44" t="inlineStr">
        <is>
          <t>TRT011014T19</t>
        </is>
      </c>
      <c r="D913" s="44" t="inlineStr">
        <is>
          <t>nan</t>
        </is>
      </c>
      <c r="E913" s="44" t="inlineStr">
        <is>
          <t>nan</t>
        </is>
      </c>
      <c r="F913" s="44" t="n"/>
      <c r="G913" s="44" t="n"/>
      <c r="H913" s="15" t="n"/>
      <c r="I913" s="45" t="n">
        <v>2114962.14</v>
      </c>
      <c r="J913" s="45" t="n">
        <v>2362655.864</v>
      </c>
      <c r="K913" s="45" t="n">
        <v>910160</v>
      </c>
      <c r="L913" s="45" t="n">
        <v>1021291.757</v>
      </c>
      <c r="M913" s="45" t="n">
        <v>0</v>
      </c>
      <c r="N913" s="45" t="n">
        <v>0</v>
      </c>
      <c r="O913" s="45" t="n">
        <v>1217485.072631673</v>
      </c>
      <c r="P913" s="45" t="n">
        <v>1366140</v>
      </c>
      <c r="Q913" s="45" t="n">
        <v>0</v>
      </c>
      <c r="R913" s="45" t="n">
        <v>0</v>
      </c>
      <c r="S913" s="45" t="n">
        <v>2303943.797631673</v>
      </c>
      <c r="T913" s="45" t="n">
        <v>2585256.5563225</v>
      </c>
      <c r="U913" s="15" t="n">
        <v>2.21</v>
      </c>
      <c r="V913" s="15" t="n">
        <v>4.478841000000002</v>
      </c>
      <c r="W913" s="49" t="n">
        <v>112.21</v>
      </c>
    </row>
    <row r="914">
      <c r="A914" s="44" t="inlineStr">
        <is>
          <t>TL Cinsi TUFE Endeksli Senetler</t>
        </is>
      </c>
      <c r="B914" s="44" t="n">
        <v>2008</v>
      </c>
      <c r="C914" s="44" t="inlineStr">
        <is>
          <t>TRT150212T15</t>
        </is>
      </c>
      <c r="D914" s="44" t="inlineStr">
        <is>
          <t>nan</t>
        </is>
      </c>
      <c r="E914" s="44" t="inlineStr">
        <is>
          <t>nan</t>
        </is>
      </c>
      <c r="F914" s="44" t="n"/>
      <c r="G914" s="44" t="n"/>
      <c r="H914" s="15" t="n"/>
      <c r="I914" s="45" t="n">
        <v>433474.6</v>
      </c>
      <c r="J914" s="45" t="n">
        <v>474588.686</v>
      </c>
      <c r="K914" s="45" t="n">
        <v>150974.6</v>
      </c>
      <c r="L914" s="45" t="n">
        <v>165591.960772</v>
      </c>
      <c r="M914" s="45" t="n">
        <v>0</v>
      </c>
      <c r="N914" s="45" t="n">
        <v>0</v>
      </c>
      <c r="O914" s="45" t="n">
        <v>512481.5375357853</v>
      </c>
      <c r="P914" s="45" t="n">
        <v>562100</v>
      </c>
      <c r="Q914" s="45" t="n">
        <v>0</v>
      </c>
      <c r="R914" s="45" t="n">
        <v>0</v>
      </c>
      <c r="S914" s="45" t="n">
        <v>663456.1375357853</v>
      </c>
      <c r="T914" s="45" t="n">
        <v>727691.960772</v>
      </c>
      <c r="U914" s="15" t="n">
        <v>4.82</v>
      </c>
      <c r="V914" s="15" t="n">
        <v>9.862323999999999</v>
      </c>
      <c r="W914" s="49" t="n">
        <v>109.682</v>
      </c>
    </row>
    <row r="915">
      <c r="A915" s="44" t="inlineStr">
        <is>
          <t>TL Cinsi TUFE Endeksli Senetler</t>
        </is>
      </c>
      <c r="B915" s="44" t="n">
        <v>2008</v>
      </c>
      <c r="C915" s="44" t="inlineStr">
        <is>
          <t>TRT150212T15</t>
        </is>
      </c>
      <c r="D915" s="44" t="inlineStr">
        <is>
          <t>nan</t>
        </is>
      </c>
      <c r="E915" s="44" t="inlineStr">
        <is>
          <t>nan</t>
        </is>
      </c>
      <c r="F915" s="44" t="n"/>
      <c r="G915" s="44" t="n"/>
      <c r="H915" s="15" t="n"/>
      <c r="I915" s="45" t="n">
        <v>249710</v>
      </c>
      <c r="J915" s="45" t="n">
        <v>281180.7</v>
      </c>
      <c r="K915" s="45" t="n">
        <v>135810</v>
      </c>
      <c r="L915" s="45" t="n">
        <v>152989.965</v>
      </c>
      <c r="M915" s="45" t="n">
        <v>0</v>
      </c>
      <c r="N915" s="45" t="n">
        <v>0</v>
      </c>
      <c r="O915" s="45" t="n">
        <v>217043.942006214</v>
      </c>
      <c r="P915" s="45" t="n">
        <v>244500.00067</v>
      </c>
      <c r="Q915" s="45" t="n">
        <v>0</v>
      </c>
      <c r="R915" s="45" t="n">
        <v>0</v>
      </c>
      <c r="S915" s="45" t="n">
        <v>352853.9420062139</v>
      </c>
      <c r="T915" s="45" t="n">
        <v>397489.96567</v>
      </c>
      <c r="U915" s="15" t="n">
        <v>5.09</v>
      </c>
      <c r="V915" s="15" t="n">
        <v>10.43908099999999</v>
      </c>
      <c r="W915" s="49" t="n">
        <v>112.65</v>
      </c>
    </row>
    <row r="916">
      <c r="A916" s="44" t="inlineStr">
        <is>
          <t>TL Cinsi TUFE Endeksli Senetler</t>
        </is>
      </c>
      <c r="B916" s="44" t="n">
        <v>2008</v>
      </c>
      <c r="C916" s="44" t="inlineStr">
        <is>
          <t>TRT140813T19</t>
        </is>
      </c>
      <c r="D916" s="44" t="inlineStr">
        <is>
          <t>nan</t>
        </is>
      </c>
      <c r="E916" s="44" t="inlineStr">
        <is>
          <t>nan</t>
        </is>
      </c>
      <c r="F916" s="44" t="n"/>
      <c r="G916" s="44" t="n"/>
      <c r="H916" s="15" t="n"/>
      <c r="I916" s="45" t="n">
        <v>1258399.095</v>
      </c>
      <c r="J916" s="45" t="n">
        <v>1274758.28324</v>
      </c>
      <c r="K916" s="45" t="n">
        <v>648804.095</v>
      </c>
      <c r="L916" s="45" t="n">
        <v>693571.5775550001</v>
      </c>
      <c r="M916" s="45" t="n">
        <v>0</v>
      </c>
      <c r="N916" s="45" t="n">
        <v>0</v>
      </c>
      <c r="O916" s="45" t="n">
        <v>489990.6454630495</v>
      </c>
      <c r="P916" s="45" t="n">
        <v>523800</v>
      </c>
      <c r="Q916" s="45" t="n">
        <v>0</v>
      </c>
      <c r="R916" s="45" t="n">
        <v>0</v>
      </c>
      <c r="S916" s="45" t="n">
        <v>1188641.082463049</v>
      </c>
      <c r="T916" s="45" t="n">
        <v>1270657.317153</v>
      </c>
      <c r="U916" s="15" t="n">
        <v>5.1</v>
      </c>
      <c r="V916" s="15" t="n">
        <v>10.46009999999999</v>
      </c>
      <c r="W916" s="49" t="n">
        <v>106.9</v>
      </c>
    </row>
    <row r="917">
      <c r="A917" s="44" t="inlineStr">
        <is>
          <t>TL Cinsi TUFE Endeksli Senetler</t>
        </is>
      </c>
      <c r="B917" s="44" t="n">
        <v>2007</v>
      </c>
      <c r="C917" s="44" t="inlineStr">
        <is>
          <t>TRT150212T15</t>
        </is>
      </c>
      <c r="D917" s="44" t="inlineStr">
        <is>
          <t>nan</t>
        </is>
      </c>
      <c r="E917" s="44" t="inlineStr">
        <is>
          <t>nan</t>
        </is>
      </c>
      <c r="F917" s="44" t="n"/>
      <c r="G917" s="44" t="n"/>
      <c r="H917" s="15" t="n"/>
      <c r="I917" s="45" t="n">
        <v>9469265.33</v>
      </c>
      <c r="J917" s="45" t="n">
        <v>9429529.604049999</v>
      </c>
      <c r="K917" s="45" t="n">
        <v>1632024.55</v>
      </c>
      <c r="L917" s="45" t="n">
        <v>1649976.82005</v>
      </c>
      <c r="M917" s="45" t="n">
        <v>919881.3056379822</v>
      </c>
      <c r="N917" s="45" t="n">
        <v>930000</v>
      </c>
      <c r="O917" s="45" t="n">
        <v>1547734.915924827</v>
      </c>
      <c r="P917" s="45" t="n">
        <v>1564760</v>
      </c>
      <c r="Q917" s="45" t="n">
        <v>0</v>
      </c>
      <c r="R917" s="45" t="n">
        <v>0</v>
      </c>
      <c r="S917" s="45" t="n">
        <v>4099640.771562809</v>
      </c>
      <c r="T917" s="45" t="n">
        <v>4144736.82005</v>
      </c>
      <c r="U917" s="15" t="n">
        <v>4.86</v>
      </c>
      <c r="V917" s="15" t="n">
        <v>9.946195999999995</v>
      </c>
      <c r="W917" s="49" t="n">
        <v>101.1</v>
      </c>
    </row>
    <row r="918">
      <c r="A918" s="44" t="inlineStr">
        <is>
          <t>TL Cinsi TUFE Endeksli Senetler</t>
        </is>
      </c>
      <c r="B918" s="44" t="n">
        <v>2007</v>
      </c>
      <c r="C918" s="44" t="inlineStr">
        <is>
          <t>TRT150212T15</t>
        </is>
      </c>
      <c r="D918" s="44" t="inlineStr">
        <is>
          <t>nan</t>
        </is>
      </c>
      <c r="E918" s="44" t="inlineStr">
        <is>
          <t>nan</t>
        </is>
      </c>
      <c r="F918" s="44" t="n"/>
      <c r="G918" s="44" t="n"/>
      <c r="H918" s="15" t="n"/>
      <c r="I918" s="45" t="n">
        <v>1125474</v>
      </c>
      <c r="J918" s="45" t="n">
        <v>1195412.3564</v>
      </c>
      <c r="K918" s="45" t="n">
        <v>503270</v>
      </c>
      <c r="L918" s="45" t="n">
        <v>534976.01</v>
      </c>
      <c r="M918" s="45" t="n">
        <v>244590.780809031</v>
      </c>
      <c r="N918" s="45" t="n">
        <v>260000</v>
      </c>
      <c r="O918" s="45" t="n">
        <v>398965.1928504233</v>
      </c>
      <c r="P918" s="45" t="n">
        <v>424100</v>
      </c>
      <c r="Q918" s="45" t="n">
        <v>0</v>
      </c>
      <c r="R918" s="45" t="n">
        <v>0</v>
      </c>
      <c r="S918" s="45" t="n">
        <v>1146825.973659454</v>
      </c>
      <c r="T918" s="45" t="n">
        <v>1219076.01</v>
      </c>
      <c r="U918" s="15" t="n">
        <v>4.8528</v>
      </c>
      <c r="V918" s="15" t="n">
        <v>9.941096678399974</v>
      </c>
      <c r="W918" s="49" t="n">
        <v>106.3</v>
      </c>
    </row>
    <row r="919">
      <c r="A919" s="44" t="inlineStr">
        <is>
          <t>TL Cinsi TUFE Endeksli Senetler</t>
        </is>
      </c>
      <c r="B919" s="44" t="n">
        <v>2007</v>
      </c>
      <c r="C919" s="44" t="inlineStr">
        <is>
          <t>TRT150212T15</t>
        </is>
      </c>
      <c r="D919" s="44" t="inlineStr">
        <is>
          <t>nan</t>
        </is>
      </c>
      <c r="E919" s="44" t="inlineStr">
        <is>
          <t>nan</t>
        </is>
      </c>
      <c r="F919" s="44" t="n"/>
      <c r="G919" s="44" t="n"/>
      <c r="H919" s="15" t="n"/>
      <c r="I919" s="45" t="n">
        <v>64300</v>
      </c>
      <c r="J919" s="45" t="n">
        <v>66028.8</v>
      </c>
      <c r="K919" s="45" t="n">
        <v>33100</v>
      </c>
      <c r="L919" s="45" t="n">
        <v>34059.9</v>
      </c>
      <c r="M919" s="45" t="n">
        <v>608551.9922254616</v>
      </c>
      <c r="N919" s="45" t="n">
        <v>626200</v>
      </c>
      <c r="O919" s="45" t="n">
        <v>36443.14868804665</v>
      </c>
      <c r="P919" s="45" t="n">
        <v>37500</v>
      </c>
      <c r="Q919" s="45" t="n">
        <v>1007.387</v>
      </c>
      <c r="R919" s="45" t="n">
        <v>1036.601223</v>
      </c>
      <c r="S919" s="45" t="n">
        <v>679102.5279135082</v>
      </c>
      <c r="T919" s="45" t="n">
        <v>698796.501223</v>
      </c>
      <c r="U919" s="15" t="n">
        <v>5.15</v>
      </c>
      <c r="V919" s="15" t="n">
        <v>10.56522500000001</v>
      </c>
      <c r="W919" s="49" t="n">
        <v>102.9</v>
      </c>
    </row>
    <row r="920">
      <c r="A920" s="44" t="inlineStr">
        <is>
          <t>TL Cinsi TUFE Endeksli Senetler</t>
        </is>
      </c>
      <c r="B920" s="44" t="n">
        <v>2007</v>
      </c>
      <c r="C920" s="44" t="inlineStr">
        <is>
          <t>TRT150212T15</t>
        </is>
      </c>
      <c r="D920" s="44" t="inlineStr">
        <is>
          <t>nan</t>
        </is>
      </c>
      <c r="E920" s="44" t="inlineStr">
        <is>
          <t>nan</t>
        </is>
      </c>
      <c r="F920" s="44" t="n"/>
      <c r="G920" s="44" t="n"/>
      <c r="H920" s="15" t="n"/>
      <c r="I920" s="45" t="n">
        <v>579670</v>
      </c>
      <c r="J920" s="45" t="n">
        <v>623127.8599</v>
      </c>
      <c r="K920" s="45" t="n">
        <v>290650</v>
      </c>
      <c r="L920" s="45" t="n">
        <v>317389.8</v>
      </c>
      <c r="M920" s="45" t="n">
        <v>0</v>
      </c>
      <c r="N920" s="45" t="n">
        <v>0</v>
      </c>
      <c r="O920" s="45" t="n">
        <v>190549.4505494505</v>
      </c>
      <c r="P920" s="45" t="n">
        <v>208080</v>
      </c>
      <c r="Q920" s="45" t="n">
        <v>0</v>
      </c>
      <c r="R920" s="45" t="n">
        <v>0</v>
      </c>
      <c r="S920" s="45" t="n">
        <v>527079.4505494505</v>
      </c>
      <c r="T920" s="45" t="n">
        <v>575570.76</v>
      </c>
      <c r="U920" s="15" t="n">
        <v>4.5205404101464</v>
      </c>
      <c r="V920" s="15" t="n">
        <v>9.245433676290471</v>
      </c>
      <c r="W920" s="49" t="n">
        <v>109.2</v>
      </c>
    </row>
    <row r="921">
      <c r="A921" s="44" t="inlineStr">
        <is>
          <t>TL Cinsi TUFE Endeksli Senetler</t>
        </is>
      </c>
      <c r="B921" s="44" t="n">
        <v>1999</v>
      </c>
      <c r="C921" s="44" t="inlineStr">
        <is>
          <t>TRT090800T11</t>
        </is>
      </c>
      <c r="D921" s="44" t="inlineStr">
        <is>
          <t>nan</t>
        </is>
      </c>
      <c r="E921" s="44" t="inlineStr">
        <is>
          <t>nan</t>
        </is>
      </c>
      <c r="F921" s="44" t="n"/>
      <c r="G921" s="44" t="n"/>
      <c r="H921" s="15" t="n"/>
      <c r="I921" s="45" t="n">
        <v>28707</v>
      </c>
      <c r="J921" s="45" t="n">
        <v>2880.885215576798</v>
      </c>
      <c r="K921" s="45" t="n">
        <v>2880.885215576798</v>
      </c>
      <c r="L921" s="45" t="n">
        <v>2761.55993</v>
      </c>
      <c r="M921" s="45" t="n">
        <v>0</v>
      </c>
      <c r="N921" s="45" t="n">
        <v>0</v>
      </c>
      <c r="O921" s="45" t="n">
        <v>0</v>
      </c>
      <c r="P921" s="45" t="n">
        <v>0</v>
      </c>
      <c r="Q921" s="45" t="n">
        <v>0</v>
      </c>
      <c r="R921" s="45" t="n">
        <v>0</v>
      </c>
      <c r="S921" s="45" t="n">
        <v>2880.885215576798</v>
      </c>
      <c r="T921" s="45" t="n">
        <v>2761.55993</v>
      </c>
      <c r="U921" s="15" t="n">
        <v>29.045</v>
      </c>
      <c r="V921" s="15" t="n">
        <v>24.36</v>
      </c>
      <c r="W921" s="49" t="n">
        <v>95.858</v>
      </c>
    </row>
    <row r="922">
      <c r="A922" s="44" t="inlineStr">
        <is>
          <t>TL Cinsi TUFE Endeksli Senetler</t>
        </is>
      </c>
      <c r="B922" s="44" t="n">
        <v>1998</v>
      </c>
      <c r="C922" s="44" t="inlineStr">
        <is>
          <t>TRT220199T13</t>
        </is>
      </c>
      <c r="D922" s="44" t="inlineStr">
        <is>
          <t>nan</t>
        </is>
      </c>
      <c r="E922" s="44" t="inlineStr">
        <is>
          <t>nan</t>
        </is>
      </c>
      <c r="F922" s="44" t="n"/>
      <c r="G922" s="44" t="n"/>
      <c r="H922" s="15" t="n"/>
      <c r="I922" s="45" t="n">
        <v>319631.405</v>
      </c>
      <c r="J922" s="45" t="n"/>
      <c r="K922" s="45" t="n"/>
      <c r="L922" s="45" t="n">
        <v>95125</v>
      </c>
      <c r="M922" s="45" t="n">
        <v>0</v>
      </c>
      <c r="N922" s="45" t="n">
        <v>0</v>
      </c>
      <c r="O922" s="45" t="n">
        <v>0</v>
      </c>
      <c r="P922" s="45" t="n">
        <v>0</v>
      </c>
      <c r="Q922" s="45" t="n">
        <v>0</v>
      </c>
      <c r="R922" s="45" t="n">
        <v>0</v>
      </c>
      <c r="S922" s="45" t="n"/>
      <c r="T922" s="45" t="n">
        <v>102946</v>
      </c>
      <c r="U922" s="15" t="n">
        <v>18.9</v>
      </c>
      <c r="V922" s="15" t="n"/>
      <c r="W922" s="49" t="n"/>
    </row>
    <row r="923">
      <c r="A923" s="44" t="inlineStr">
        <is>
          <t>TL Cinsi TUFE Endeksli Senetler</t>
        </is>
      </c>
      <c r="B923" s="44" t="n">
        <v>1998</v>
      </c>
      <c r="C923" s="44" t="inlineStr">
        <is>
          <t>TRT240299T10</t>
        </is>
      </c>
      <c r="D923" s="44" t="inlineStr">
        <is>
          <t>nan</t>
        </is>
      </c>
      <c r="E923" s="44" t="inlineStr">
        <is>
          <t>nan</t>
        </is>
      </c>
      <c r="F923" s="44" t="n"/>
      <c r="G923" s="44" t="n"/>
      <c r="H923" s="15" t="n"/>
      <c r="I923" s="45" t="n">
        <v>141630</v>
      </c>
      <c r="J923" s="45" t="n"/>
      <c r="K923" s="45" t="n"/>
      <c r="L923" s="45" t="n">
        <v>123430</v>
      </c>
      <c r="M923" s="45" t="n">
        <v>0</v>
      </c>
      <c r="N923" s="45" t="n">
        <v>0</v>
      </c>
      <c r="O923" s="45" t="n">
        <v>0</v>
      </c>
      <c r="P923" s="45" t="n">
        <v>0</v>
      </c>
      <c r="Q923" s="45" t="n">
        <v>0</v>
      </c>
      <c r="R923" s="45" t="n">
        <v>0</v>
      </c>
      <c r="S923" s="45" t="n"/>
      <c r="T923" s="45" t="n">
        <v>133430</v>
      </c>
      <c r="U923" s="15" t="n">
        <v>30.95</v>
      </c>
      <c r="V923" s="15" t="n"/>
      <c r="W923" s="49" t="n"/>
    </row>
    <row r="924">
      <c r="A924" s="44" t="inlineStr">
        <is>
          <t>TL Cinsi TUFE Endeksli Senetler</t>
        </is>
      </c>
      <c r="B924" s="44" t="n">
        <v>1998</v>
      </c>
      <c r="C924" s="44" t="inlineStr">
        <is>
          <t>TRT250399T18</t>
        </is>
      </c>
      <c r="D924" s="44" t="inlineStr">
        <is>
          <t>nan</t>
        </is>
      </c>
      <c r="E924" s="44" t="inlineStr">
        <is>
          <t>nan</t>
        </is>
      </c>
      <c r="F924" s="44" t="n"/>
      <c r="G924" s="44" t="n"/>
      <c r="H924" s="15" t="n"/>
      <c r="I924" s="45" t="n">
        <v>241573</v>
      </c>
      <c r="J924" s="45" t="n"/>
      <c r="K924" s="45" t="n"/>
      <c r="L924" s="45" t="n">
        <v>95986</v>
      </c>
      <c r="M924" s="45" t="n">
        <v>0</v>
      </c>
      <c r="N924" s="45" t="n">
        <v>0</v>
      </c>
      <c r="O924" s="45" t="n">
        <v>0</v>
      </c>
      <c r="P924" s="45" t="n">
        <v>0</v>
      </c>
      <c r="Q924" s="45" t="n">
        <v>0</v>
      </c>
      <c r="R924" s="45" t="n">
        <v>0</v>
      </c>
      <c r="S924" s="45" t="n"/>
      <c r="T924" s="45" t="n">
        <v>95986</v>
      </c>
      <c r="U924" s="15" t="n">
        <v>24</v>
      </c>
      <c r="V924" s="15" t="n"/>
      <c r="W924" s="49" t="n"/>
    </row>
    <row r="925">
      <c r="A925" s="44" t="inlineStr">
        <is>
          <t>TL Cinsi TUFE Endeksli Senetler</t>
        </is>
      </c>
      <c r="B925" s="44" t="n">
        <v>1998</v>
      </c>
      <c r="C925" s="44" t="inlineStr">
        <is>
          <t>TRT210499T11</t>
        </is>
      </c>
      <c r="D925" s="44" t="inlineStr">
        <is>
          <t>nan</t>
        </is>
      </c>
      <c r="E925" s="44" t="inlineStr">
        <is>
          <t>nan</t>
        </is>
      </c>
      <c r="F925" s="44" t="n"/>
      <c r="G925" s="44" t="n"/>
      <c r="H925" s="15" t="n"/>
      <c r="I925" s="45" t="n">
        <v>248473</v>
      </c>
      <c r="J925" s="45" t="n"/>
      <c r="K925" s="45" t="n"/>
      <c r="L925" s="45" t="n">
        <v>142730</v>
      </c>
      <c r="M925" s="45" t="n">
        <v>0</v>
      </c>
      <c r="N925" s="45" t="n">
        <v>0</v>
      </c>
      <c r="O925" s="45" t="n">
        <v>0</v>
      </c>
      <c r="P925" s="45" t="n">
        <v>0</v>
      </c>
      <c r="Q925" s="45" t="n">
        <v>0</v>
      </c>
      <c r="R925" s="45" t="n">
        <v>0</v>
      </c>
      <c r="S925" s="45" t="n"/>
      <c r="T925" s="45" t="n">
        <v>245250</v>
      </c>
      <c r="U925" s="15" t="n">
        <v>19</v>
      </c>
      <c r="V925" s="15" t="n"/>
      <c r="W925" s="49" t="n"/>
    </row>
    <row r="926">
      <c r="A926" s="44" t="inlineStr">
        <is>
          <t>TL Cinsi TUFE Endeksli Senetler</t>
        </is>
      </c>
      <c r="B926" s="44" t="n">
        <v>1998</v>
      </c>
      <c r="C926" s="44" t="inlineStr">
        <is>
          <t>TRT260599T15</t>
        </is>
      </c>
      <c r="D926" s="44" t="inlineStr">
        <is>
          <t>nan</t>
        </is>
      </c>
      <c r="E926" s="44" t="inlineStr">
        <is>
          <t>nan</t>
        </is>
      </c>
      <c r="F926" s="44" t="n"/>
      <c r="G926" s="44" t="n"/>
      <c r="H926" s="15" t="n"/>
      <c r="I926" s="45" t="n">
        <v>190611</v>
      </c>
      <c r="J926" s="45" t="n"/>
      <c r="K926" s="45" t="n"/>
      <c r="L926" s="45" t="n">
        <v>129111</v>
      </c>
      <c r="M926" s="45" t="n">
        <v>0</v>
      </c>
      <c r="N926" s="45" t="n">
        <v>0</v>
      </c>
      <c r="O926" s="45" t="n">
        <v>0</v>
      </c>
      <c r="P926" s="45" t="n">
        <v>0</v>
      </c>
      <c r="Q926" s="45" t="n">
        <v>0</v>
      </c>
      <c r="R926" s="45" t="n">
        <v>0</v>
      </c>
      <c r="S926" s="45" t="n"/>
      <c r="T926" s="45" t="n">
        <v>138301</v>
      </c>
      <c r="U926" s="15" t="n">
        <v>23</v>
      </c>
      <c r="V926" s="15" t="n"/>
      <c r="W926" s="49" t="n"/>
    </row>
    <row r="927">
      <c r="A927" s="44" t="inlineStr">
        <is>
          <t>TL Cinsi TUFE Endeksli Senetler</t>
        </is>
      </c>
      <c r="B927" s="44" t="n">
        <v>1998</v>
      </c>
      <c r="C927" s="44" t="inlineStr">
        <is>
          <t>TRT160699T16</t>
        </is>
      </c>
      <c r="D927" s="44" t="inlineStr">
        <is>
          <t>nan</t>
        </is>
      </c>
      <c r="E927" s="44" t="inlineStr">
        <is>
          <t>nan</t>
        </is>
      </c>
      <c r="F927" s="44" t="n"/>
      <c r="G927" s="44" t="n"/>
      <c r="H927" s="15" t="n"/>
      <c r="I927" s="45" t="n">
        <v>290177</v>
      </c>
      <c r="J927" s="45" t="n"/>
      <c r="K927" s="45" t="n"/>
      <c r="L927" s="45" t="n">
        <v>244327</v>
      </c>
      <c r="M927" s="45" t="n">
        <v>0</v>
      </c>
      <c r="N927" s="45" t="n">
        <v>0</v>
      </c>
      <c r="O927" s="45" t="n">
        <v>0</v>
      </c>
      <c r="P927" s="45" t="n">
        <v>0</v>
      </c>
      <c r="Q927" s="45" t="n">
        <v>0</v>
      </c>
      <c r="R927" s="45" t="n">
        <v>0</v>
      </c>
      <c r="S927" s="45" t="n"/>
      <c r="T927" s="45" t="n">
        <v>244327</v>
      </c>
      <c r="U927" s="15" t="n">
        <v>25</v>
      </c>
      <c r="V927" s="15" t="n"/>
      <c r="W927" s="49" t="n"/>
    </row>
    <row r="928">
      <c r="A928" s="44" t="inlineStr">
        <is>
          <t>TL Cinsi TUFE Endeksli Senetler</t>
        </is>
      </c>
      <c r="B928" s="44" t="n">
        <v>1998</v>
      </c>
      <c r="C928" s="44" t="inlineStr">
        <is>
          <t>TRT280799T11</t>
        </is>
      </c>
      <c r="D928" s="44" t="inlineStr">
        <is>
          <t>nan</t>
        </is>
      </c>
      <c r="E928" s="44" t="inlineStr">
        <is>
          <t>nan</t>
        </is>
      </c>
      <c r="F928" s="44" t="n"/>
      <c r="G928" s="44" t="n"/>
      <c r="H928" s="15" t="n"/>
      <c r="I928" s="45" t="n">
        <v>458871.5</v>
      </c>
      <c r="J928" s="45" t="n"/>
      <c r="K928" s="45" t="n"/>
      <c r="L928" s="45" t="n">
        <v>156342.5</v>
      </c>
      <c r="M928" s="45" t="n">
        <v>0</v>
      </c>
      <c r="N928" s="45" t="n">
        <v>0</v>
      </c>
      <c r="O928" s="45" t="n">
        <v>0</v>
      </c>
      <c r="P928" s="45" t="n">
        <v>0</v>
      </c>
      <c r="Q928" s="45" t="n">
        <v>0</v>
      </c>
      <c r="R928" s="45" t="n">
        <v>0</v>
      </c>
      <c r="S928" s="45" t="n"/>
      <c r="T928" s="45" t="n">
        <v>164302.5</v>
      </c>
      <c r="U928" s="15" t="n">
        <v>23</v>
      </c>
      <c r="V928" s="15" t="n"/>
      <c r="W928" s="49" t="n"/>
    </row>
    <row r="929">
      <c r="A929" s="44" t="inlineStr">
        <is>
          <t>TL Cinsi TUFE Endeksli Senetler</t>
        </is>
      </c>
      <c r="B929" s="44" t="n">
        <v>1998</v>
      </c>
      <c r="C929" s="44" t="inlineStr">
        <is>
          <t>TRT180899T12</t>
        </is>
      </c>
      <c r="D929" s="44" t="inlineStr">
        <is>
          <t>nan</t>
        </is>
      </c>
      <c r="E929" s="44" t="inlineStr">
        <is>
          <t>nan</t>
        </is>
      </c>
      <c r="F929" s="44" t="n"/>
      <c r="G929" s="44" t="n"/>
      <c r="H929" s="15" t="n"/>
      <c r="I929" s="45" t="n">
        <v>230026</v>
      </c>
      <c r="J929" s="45" t="n"/>
      <c r="K929" s="45" t="n"/>
      <c r="L929" s="45" t="n">
        <v>174376</v>
      </c>
      <c r="M929" s="45" t="n">
        <v>0</v>
      </c>
      <c r="N929" s="45" t="n">
        <v>0</v>
      </c>
      <c r="O929" s="45" t="n">
        <v>0</v>
      </c>
      <c r="P929" s="45" t="n">
        <v>0</v>
      </c>
      <c r="Q929" s="45" t="n">
        <v>0</v>
      </c>
      <c r="R929" s="45" t="n">
        <v>0</v>
      </c>
      <c r="S929" s="45" t="n"/>
      <c r="T929" s="45" t="n">
        <v>184315</v>
      </c>
      <c r="U929" s="15" t="n">
        <v>30</v>
      </c>
      <c r="V929" s="15" t="n"/>
      <c r="W929" s="49" t="n"/>
    </row>
    <row r="930">
      <c r="A930" s="44" t="inlineStr">
        <is>
          <t>TL Cinsi TUFE Endeksli Senetler</t>
        </is>
      </c>
      <c r="B930" s="44" t="n">
        <v>1998</v>
      </c>
      <c r="C930" s="44" t="inlineStr">
        <is>
          <t>TRT290999T18</t>
        </is>
      </c>
      <c r="D930" s="44" t="inlineStr">
        <is>
          <t>nan</t>
        </is>
      </c>
      <c r="E930" s="44" t="inlineStr">
        <is>
          <t>nan</t>
        </is>
      </c>
      <c r="F930" s="44" t="n"/>
      <c r="G930" s="44" t="n"/>
      <c r="H930" s="15" t="n"/>
      <c r="I930" s="45" t="n">
        <v>39655.3</v>
      </c>
      <c r="J930" s="45" t="n"/>
      <c r="K930" s="45" t="n"/>
      <c r="L930" s="45" t="n">
        <v>3523.5</v>
      </c>
      <c r="M930" s="45" t="n">
        <v>0</v>
      </c>
      <c r="N930" s="45" t="n">
        <v>0</v>
      </c>
      <c r="O930" s="45" t="n">
        <v>0</v>
      </c>
      <c r="P930" s="45" t="n">
        <v>0</v>
      </c>
      <c r="Q930" s="45" t="n">
        <v>0</v>
      </c>
      <c r="R930" s="45" t="n">
        <v>0</v>
      </c>
      <c r="S930" s="45" t="n"/>
      <c r="T930" s="45" t="n">
        <v>58123.5</v>
      </c>
      <c r="U930" s="15" t="n">
        <v>30</v>
      </c>
      <c r="V930" s="15" t="n"/>
      <c r="W930" s="49" t="n"/>
    </row>
    <row r="931">
      <c r="A931" s="44" t="inlineStr">
        <is>
          <t>TL Cinsi Sabit Faizli Kuponlu Senetler</t>
        </is>
      </c>
      <c r="B931" s="44" t="n">
        <v>2026</v>
      </c>
      <c r="C931" s="44" t="inlineStr">
        <is>
          <t>TRT021030T18</t>
        </is>
      </c>
      <c r="D931" s="44" t="inlineStr">
        <is>
          <t>07.01.2026</t>
        </is>
      </c>
      <c r="E931" s="44" t="inlineStr">
        <is>
          <t>02.10.2030</t>
        </is>
      </c>
      <c r="F931" s="44" t="n">
        <v>1729</v>
      </c>
      <c r="G931" s="44" t="inlineStr">
        <is>
          <t>6 ay</t>
        </is>
      </c>
      <c r="H931" s="15" t="n">
        <v>16.95</v>
      </c>
      <c r="I931" s="45" t="n">
        <v>76529000</v>
      </c>
      <c r="J931" s="45" t="n">
        <v>88865362.61</v>
      </c>
      <c r="K931" s="45" t="n">
        <v>29759000</v>
      </c>
      <c r="L931" s="45" t="n">
        <v>34655706.94</v>
      </c>
      <c r="M931" s="45" t="n">
        <v>11180284.229</v>
      </c>
      <c r="N931" s="45" t="n">
        <v>13019999.99888</v>
      </c>
      <c r="O931" s="45" t="n">
        <v>20179468.459</v>
      </c>
      <c r="P931" s="45" t="n">
        <v>23499999.99394</v>
      </c>
      <c r="Q931" s="45" t="n">
        <v>200000</v>
      </c>
      <c r="R931" s="45" t="n">
        <v>232910</v>
      </c>
      <c r="S931" s="45" t="n">
        <v>61318752.688</v>
      </c>
      <c r="T931" s="45" t="n">
        <v>71408616.93281999</v>
      </c>
      <c r="U931" s="15" t="n">
        <v>15.24</v>
      </c>
      <c r="V931" s="15" t="n">
        <v>32.81</v>
      </c>
      <c r="W931" s="49" t="n">
        <v>116.455</v>
      </c>
    </row>
    <row r="932">
      <c r="A932" s="44" t="inlineStr">
        <is>
          <t>TL Cinsi Sabit Faizli Kuponlu Senetler</t>
        </is>
      </c>
      <c r="B932" s="44" t="n">
        <v>2026</v>
      </c>
      <c r="C932" s="44" t="inlineStr">
        <is>
          <t>TRT131027T36</t>
        </is>
      </c>
      <c r="D932" s="44" t="inlineStr">
        <is>
          <t>14.01.2026</t>
        </is>
      </c>
      <c r="E932" s="44" t="inlineStr">
        <is>
          <t>13.10.2027</t>
        </is>
      </c>
      <c r="F932" s="44" t="n">
        <v>637</v>
      </c>
      <c r="G932" s="44" t="inlineStr">
        <is>
          <t>6 ay</t>
        </is>
      </c>
      <c r="H932" s="15" t="n">
        <v>18.39</v>
      </c>
      <c r="I932" s="45" t="n">
        <v>70739000</v>
      </c>
      <c r="J932" s="45" t="n">
        <v>79312787.89</v>
      </c>
      <c r="K932" s="45" t="n">
        <v>22932000</v>
      </c>
      <c r="L932" s="45" t="n">
        <v>25754354.59</v>
      </c>
      <c r="M932" s="45" t="n">
        <v>8815122.83</v>
      </c>
      <c r="N932" s="45" t="n">
        <v>9899999.996689999</v>
      </c>
      <c r="O932" s="45" t="n">
        <v>17808328.951</v>
      </c>
      <c r="P932" s="45" t="n">
        <v>19999999.99499</v>
      </c>
      <c r="Q932" s="45" t="n">
        <v>3635852.394</v>
      </c>
      <c r="R932" s="45" t="n">
        <v>4083316.74813</v>
      </c>
      <c r="S932" s="45" t="n">
        <v>53191304.175</v>
      </c>
      <c r="T932" s="45" t="n">
        <v>59737671.32980999</v>
      </c>
      <c r="U932" s="15" t="n">
        <v>16.99</v>
      </c>
      <c r="V932" s="15" t="n">
        <v>36.87</v>
      </c>
      <c r="W932" s="49" t="n">
        <v>112.307</v>
      </c>
    </row>
    <row r="933">
      <c r="A933" s="44" t="inlineStr">
        <is>
          <t>TL Cinsi Sabit Faizli Kuponlu Senetler</t>
        </is>
      </c>
      <c r="B933" s="44" t="n">
        <v>2026</v>
      </c>
      <c r="C933" s="44" t="inlineStr">
        <is>
          <t>TRT050935T13</t>
        </is>
      </c>
      <c r="D933" s="44" t="inlineStr">
        <is>
          <t>14.01.2026</t>
        </is>
      </c>
      <c r="E933" s="44" t="inlineStr">
        <is>
          <t>05.09.2035</t>
        </is>
      </c>
      <c r="F933" s="44" t="n">
        <v>3521</v>
      </c>
      <c r="G933" s="44" t="inlineStr">
        <is>
          <t>6 ay</t>
        </is>
      </c>
      <c r="H933" s="15" t="n">
        <v>15.03</v>
      </c>
      <c r="I933" s="45" t="n">
        <v>11436000</v>
      </c>
      <c r="J933" s="45" t="n">
        <v>13549312.55</v>
      </c>
      <c r="K933" s="45" t="n">
        <v>5696000</v>
      </c>
      <c r="L933" s="45" t="n">
        <v>6783145.3</v>
      </c>
      <c r="M933" s="45" t="n">
        <v>0</v>
      </c>
      <c r="N933" s="45" t="n">
        <v>0</v>
      </c>
      <c r="O933" s="45" t="n">
        <v>7137698.801</v>
      </c>
      <c r="P933" s="45" t="n">
        <v>8499999.99416</v>
      </c>
      <c r="Q933" s="45" t="n">
        <v>0</v>
      </c>
      <c r="R933" s="45" t="n">
        <v>0</v>
      </c>
      <c r="S933" s="45" t="n">
        <v>12833698.801</v>
      </c>
      <c r="T933" s="45" t="n">
        <v>15283145.29416</v>
      </c>
      <c r="U933" s="15" t="n">
        <v>13.62</v>
      </c>
      <c r="V933" s="15" t="n">
        <v>29.09</v>
      </c>
      <c r="W933" s="49" t="n">
        <v>119.086</v>
      </c>
    </row>
    <row r="934">
      <c r="A934" s="44" t="inlineStr">
        <is>
          <t>TL Cinsi Sabit Faizli Kuponlu Senetler</t>
        </is>
      </c>
      <c r="B934" s="44" t="n">
        <v>2026</v>
      </c>
      <c r="C934" s="44" t="inlineStr">
        <is>
          <t>TRT021030T18</t>
        </is>
      </c>
      <c r="D934" s="44" t="inlineStr">
        <is>
          <t>11.02.2026</t>
        </is>
      </c>
      <c r="E934" s="44" t="inlineStr">
        <is>
          <t>02.10.2030</t>
        </is>
      </c>
      <c r="F934" s="44" t="n">
        <v>1694</v>
      </c>
      <c r="G934" s="44" t="inlineStr">
        <is>
          <t>6 ay</t>
        </is>
      </c>
      <c r="H934" s="15" t="n">
        <v>16.95</v>
      </c>
      <c r="I934" s="45" t="n">
        <v>31945100</v>
      </c>
      <c r="J934" s="45" t="n">
        <v>38145377.913</v>
      </c>
      <c r="K934" s="45" t="n">
        <v>17956000</v>
      </c>
      <c r="L934" s="45" t="n">
        <v>21469053.7</v>
      </c>
      <c r="M934" s="45" t="n">
        <v>4181825.785</v>
      </c>
      <c r="N934" s="45" t="n">
        <v>4999999.99984</v>
      </c>
      <c r="O934" s="45" t="n">
        <v>14636390.241</v>
      </c>
      <c r="P934" s="45" t="n">
        <v>17499999.99166</v>
      </c>
      <c r="Q934" s="45" t="n">
        <v>0</v>
      </c>
      <c r="R934" s="45" t="n">
        <v>0</v>
      </c>
      <c r="S934" s="45" t="n">
        <v>36774216.026</v>
      </c>
      <c r="T934" s="45" t="n">
        <v>43969053.6915</v>
      </c>
      <c r="U934" s="15" t="n">
        <v>15.27</v>
      </c>
      <c r="V934" s="15" t="n">
        <v>32.86</v>
      </c>
      <c r="W934" s="49" t="n">
        <v>119.565</v>
      </c>
    </row>
    <row r="935">
      <c r="A935" s="44" t="inlineStr">
        <is>
          <t>TL Cinsi Sabit Faizli Kuponlu Senetler</t>
        </is>
      </c>
      <c r="B935" s="44" t="n">
        <v>2026</v>
      </c>
      <c r="C935" s="44" t="inlineStr">
        <is>
          <t>TRT131027T36</t>
        </is>
      </c>
      <c r="D935" s="44" t="inlineStr">
        <is>
          <t>18.02.2026</t>
        </is>
      </c>
      <c r="E935" s="44" t="inlineStr">
        <is>
          <t>13.10.2027</t>
        </is>
      </c>
      <c r="F935" s="44" t="n">
        <v>602</v>
      </c>
      <c r="G935" s="44" t="inlineStr">
        <is>
          <t>6 ay</t>
        </is>
      </c>
      <c r="H935" s="15" t="n">
        <v>18.39</v>
      </c>
      <c r="I935" s="45" t="n">
        <v>71691670</v>
      </c>
      <c r="J935" s="45" t="n">
        <v>83453151.7397</v>
      </c>
      <c r="K935" s="45" t="n">
        <v>26782000</v>
      </c>
      <c r="L935" s="45" t="n">
        <v>31232782.47</v>
      </c>
      <c r="M935" s="45" t="n">
        <v>15460602.472</v>
      </c>
      <c r="N935" s="45" t="n">
        <v>18029999.99683</v>
      </c>
      <c r="O935" s="45" t="n">
        <v>15434877.674</v>
      </c>
      <c r="P935" s="45" t="n">
        <v>17999999.99463</v>
      </c>
      <c r="Q935" s="45" t="n">
        <v>11215246.989</v>
      </c>
      <c r="R935" s="45" t="n">
        <v>13079108.8861</v>
      </c>
      <c r="S935" s="45" t="n">
        <v>68892727.13500001</v>
      </c>
      <c r="T935" s="45" t="n">
        <v>80341891.34756</v>
      </c>
      <c r="U935" s="15" t="n">
        <v>16.64</v>
      </c>
      <c r="V935" s="15" t="n">
        <v>36.05</v>
      </c>
      <c r="W935" s="49" t="n">
        <v>116.619</v>
      </c>
    </row>
    <row r="936">
      <c r="A936" s="44" t="inlineStr">
        <is>
          <t>TL Cinsi Sabit Faizli Kuponlu Senetler</t>
        </is>
      </c>
      <c r="B936" s="44" t="n">
        <v>2026</v>
      </c>
      <c r="C936" s="44" t="inlineStr">
        <is>
          <t>TRT021030T18</t>
        </is>
      </c>
      <c r="D936" s="44" t="inlineStr">
        <is>
          <t>18.03.2026</t>
        </is>
      </c>
      <c r="E936" s="44" t="inlineStr">
        <is>
          <t>02.10.2030</t>
        </is>
      </c>
      <c r="F936" s="44" t="n">
        <v>1659</v>
      </c>
      <c r="G936" s="44" t="inlineStr">
        <is>
          <t>6 ay</t>
        </is>
      </c>
      <c r="H936" s="15" t="n">
        <v>16.95</v>
      </c>
      <c r="I936" s="45" t="n">
        <v>18048000</v>
      </c>
      <c r="J936" s="45" t="n">
        <v>20712826.2</v>
      </c>
      <c r="K936" s="45" t="n">
        <v>11790000</v>
      </c>
      <c r="L936" s="45" t="n">
        <v>13559324.9</v>
      </c>
      <c r="M936" s="45" t="n">
        <v>4347561.452</v>
      </c>
      <c r="N936" s="45" t="n">
        <v>4999999.9991</v>
      </c>
      <c r="O936" s="45" t="n">
        <v>3912805.303</v>
      </c>
      <c r="P936" s="45" t="n">
        <v>4499999.99483</v>
      </c>
      <c r="Q936" s="45" t="n">
        <v>4622165.497</v>
      </c>
      <c r="R936" s="45" t="n">
        <v>5315813.87313</v>
      </c>
      <c r="S936" s="45" t="n">
        <v>24672532.252</v>
      </c>
      <c r="T936" s="45" t="n">
        <v>28375138.76706</v>
      </c>
      <c r="U936" s="15" t="n">
        <v>16.92</v>
      </c>
      <c r="V936" s="15" t="n">
        <v>36.69</v>
      </c>
      <c r="W936" s="49" t="n">
        <v>115.007</v>
      </c>
    </row>
    <row r="937">
      <c r="A937" s="44" t="inlineStr">
        <is>
          <t>TL Cinsi Sabit Faizli Kuponlu Senetler</t>
        </is>
      </c>
      <c r="B937" s="44" t="n">
        <v>2026</v>
      </c>
      <c r="C937" s="44" t="inlineStr">
        <is>
          <t>TRT051033T12</t>
        </is>
      </c>
      <c r="D937" s="44" t="inlineStr">
        <is>
          <t>18.03.2026</t>
        </is>
      </c>
      <c r="E937" s="44" t="inlineStr">
        <is>
          <t>05.10.2033</t>
        </is>
      </c>
      <c r="F937" s="44" t="n">
        <v>2758</v>
      </c>
      <c r="G937" s="44" t="inlineStr">
        <is>
          <t>6 ay</t>
        </is>
      </c>
      <c r="H937" s="15" t="n">
        <v>13.1</v>
      </c>
      <c r="I937" s="45" t="n">
        <v>17977000</v>
      </c>
      <c r="J937" s="45" t="n">
        <v>17373288.55</v>
      </c>
      <c r="K937" s="45" t="n">
        <v>2830000</v>
      </c>
      <c r="L937" s="45" t="n">
        <v>2749466.2</v>
      </c>
      <c r="M937" s="45" t="n">
        <v>0</v>
      </c>
      <c r="N937" s="45" t="n">
        <v>0</v>
      </c>
      <c r="O937" s="45" t="n">
        <v>1029293.696</v>
      </c>
      <c r="P937" s="45" t="n">
        <v>999999.99741</v>
      </c>
      <c r="Q937" s="45" t="n">
        <v>1673200</v>
      </c>
      <c r="R937" s="45" t="n">
        <v>1625580.728</v>
      </c>
      <c r="S937" s="45" t="n">
        <v>5532493.696</v>
      </c>
      <c r="T937" s="45" t="n">
        <v>5375046.92541</v>
      </c>
      <c r="U937" s="15" t="n">
        <v>15.51</v>
      </c>
      <c r="V937" s="15" t="n">
        <v>33.43</v>
      </c>
      <c r="W937" s="49" t="n">
        <v>97.154</v>
      </c>
    </row>
    <row r="938">
      <c r="A938" s="44" t="inlineStr">
        <is>
          <t>TL Cinsi Sabit Faizli Kuponlu Senetler</t>
        </is>
      </c>
      <c r="B938" s="44" t="n">
        <v>2026</v>
      </c>
      <c r="C938" s="44" t="inlineStr">
        <is>
          <t>TRT150328T24</t>
        </is>
      </c>
      <c r="D938" s="44" t="inlineStr">
        <is>
          <t>18.03.2026</t>
        </is>
      </c>
      <c r="E938" s="44" t="inlineStr">
        <is>
          <t>15.03.2028</t>
        </is>
      </c>
      <c r="F938" s="44" t="n">
        <v>728</v>
      </c>
      <c r="G938" s="44" t="inlineStr">
        <is>
          <t>6 ay</t>
        </is>
      </c>
      <c r="H938" s="15" t="n">
        <v>18.4</v>
      </c>
      <c r="I938" s="45" t="n">
        <v>26491000</v>
      </c>
      <c r="J938" s="45" t="n">
        <v>26477071.55</v>
      </c>
      <c r="K938" s="45" t="n">
        <v>8555000</v>
      </c>
      <c r="L938" s="45" t="n">
        <v>8573441.5</v>
      </c>
      <c r="M938" s="45" t="n">
        <v>4989223.277</v>
      </c>
      <c r="N938" s="45" t="n">
        <v>4999999.99928</v>
      </c>
      <c r="O938" s="45" t="n">
        <v>6485990.256</v>
      </c>
      <c r="P938" s="45" t="n">
        <v>6499999.99496</v>
      </c>
      <c r="Q938" s="45" t="n">
        <v>2763809.965</v>
      </c>
      <c r="R938" s="45" t="n">
        <v>2769779.79453</v>
      </c>
      <c r="S938" s="45" t="n">
        <v>22794023.498</v>
      </c>
      <c r="T938" s="45" t="n">
        <v>22843221.28877</v>
      </c>
      <c r="U938" s="15" t="n">
        <v>18.32</v>
      </c>
      <c r="V938" s="15" t="n">
        <v>39.99</v>
      </c>
      <c r="W938" s="49" t="n">
        <v>100.216</v>
      </c>
    </row>
    <row r="939">
      <c r="A939" s="44" t="inlineStr">
        <is>
          <t>TL Cinsi Sabit Faizli Kuponlu Senetler</t>
        </is>
      </c>
      <c r="B939" s="44" t="n">
        <v>2026</v>
      </c>
      <c r="C939" s="44" t="inlineStr">
        <is>
          <t>TRT150328T24</t>
        </is>
      </c>
      <c r="D939" s="44" t="inlineStr">
        <is>
          <t>22.04.2026</t>
        </is>
      </c>
      <c r="E939" s="44" t="inlineStr">
        <is>
          <t>15.03.2028</t>
        </is>
      </c>
      <c r="F939" s="44" t="n">
        <v>693</v>
      </c>
      <c r="G939" s="44" t="inlineStr">
        <is>
          <t>6 ay</t>
        </is>
      </c>
      <c r="H939" s="15" t="n">
        <v>18.4</v>
      </c>
      <c r="I939" s="45" t="n">
        <v>21568000</v>
      </c>
      <c r="J939" s="45" t="n">
        <v>22309996.63</v>
      </c>
      <c r="K939" s="45" t="n">
        <v>10936000</v>
      </c>
      <c r="L939" s="45" t="n">
        <v>11339528.28</v>
      </c>
      <c r="M939" s="45" t="n">
        <v>14688012.341</v>
      </c>
      <c r="N939" s="45" t="n">
        <v>15229999.99639</v>
      </c>
      <c r="O939" s="45" t="n">
        <v>4822065.768</v>
      </c>
      <c r="P939" s="45" t="n">
        <v>4999999.99483</v>
      </c>
      <c r="Q939" s="45" t="n">
        <v>0</v>
      </c>
      <c r="R939" s="45" t="n">
        <v>0</v>
      </c>
      <c r="S939" s="45" t="n">
        <v>30446078.109</v>
      </c>
      <c r="T939" s="45" t="n">
        <v>31569528.27122</v>
      </c>
      <c r="U939" s="15" t="n">
        <v>18.25</v>
      </c>
      <c r="V939" s="15" t="n">
        <v>39.83</v>
      </c>
      <c r="W939" s="49" t="n">
        <v>103.69</v>
      </c>
    </row>
    <row r="940">
      <c r="A940" s="44" t="inlineStr">
        <is>
          <t>TL Cinsi Sabit Faizli Kuponlu Senetler</t>
        </is>
      </c>
      <c r="B940" s="44" t="n">
        <v>2026</v>
      </c>
      <c r="C940" s="44" t="inlineStr">
        <is>
          <t>TRT160431T35</t>
        </is>
      </c>
      <c r="D940" s="44" t="inlineStr">
        <is>
          <t>22.04.2026</t>
        </is>
      </c>
      <c r="E940" s="44" t="inlineStr">
        <is>
          <t>16.04.2031</t>
        </is>
      </c>
      <c r="F940" s="44" t="n">
        <v>1820</v>
      </c>
      <c r="G940" s="44" t="inlineStr">
        <is>
          <t>6 ay</t>
        </is>
      </c>
      <c r="H940" s="15" t="n">
        <v>16.63</v>
      </c>
      <c r="I940" s="45" t="n">
        <v>19171540</v>
      </c>
      <c r="J940" s="45" t="n">
        <v>19039778.2922</v>
      </c>
      <c r="K940" s="45" t="n">
        <v>11529000</v>
      </c>
      <c r="L940" s="45" t="n">
        <v>11491910.44</v>
      </c>
      <c r="M940" s="45" t="n">
        <v>10032304.018</v>
      </c>
      <c r="N940" s="45" t="n">
        <v>9999999.999059999</v>
      </c>
      <c r="O940" s="45" t="n">
        <v>5016152.005</v>
      </c>
      <c r="P940" s="45" t="n">
        <v>4999999.99554</v>
      </c>
      <c r="Q940" s="45" t="n">
        <v>0</v>
      </c>
      <c r="R940" s="45" t="n">
        <v>0</v>
      </c>
      <c r="S940" s="45" t="n">
        <v>26577456.023</v>
      </c>
      <c r="T940" s="45" t="n">
        <v>26491910.4346</v>
      </c>
      <c r="U940" s="15" t="n">
        <v>16.7</v>
      </c>
      <c r="V940" s="15" t="n">
        <v>36.18</v>
      </c>
      <c r="W940" s="49" t="n">
        <v>99.678</v>
      </c>
    </row>
    <row r="941">
      <c r="A941" s="44" t="inlineStr">
        <is>
          <t>TL Cinsi Sabit Faizli Kuponlu Senetler</t>
        </is>
      </c>
      <c r="B941" s="44" t="n">
        <v>2026</v>
      </c>
      <c r="C941" s="44" t="inlineStr">
        <is>
          <t>TRT160431T35</t>
        </is>
      </c>
      <c r="D941" s="44" t="inlineStr">
        <is>
          <t>06.05.2026</t>
        </is>
      </c>
      <c r="E941" s="44" t="inlineStr">
        <is>
          <t>16.04.2031</t>
        </is>
      </c>
      <c r="F941" s="44" t="n">
        <v>1806</v>
      </c>
      <c r="G941" s="44" t="inlineStr">
        <is>
          <t>6 ay</t>
        </is>
      </c>
      <c r="H941" s="15" t="n">
        <v>16.63</v>
      </c>
      <c r="I941" s="45" t="n">
        <v>15358000</v>
      </c>
      <c r="J941" s="45" t="n">
        <v>14824627.13</v>
      </c>
      <c r="K941" s="45" t="n">
        <v>10570000</v>
      </c>
      <c r="L941" s="45" t="n">
        <v>10222170.4</v>
      </c>
      <c r="M941" s="45" t="n">
        <v>5170149.624</v>
      </c>
      <c r="N941" s="45" t="n">
        <v>4999999.99987</v>
      </c>
      <c r="O941" s="45" t="n">
        <v>5170149.62</v>
      </c>
      <c r="P941" s="45" t="n">
        <v>4999999.996</v>
      </c>
      <c r="Q941" s="45" t="n">
        <v>5830907.907</v>
      </c>
      <c r="R941" s="45" t="n">
        <v>5639012.72778</v>
      </c>
      <c r="S941" s="45" t="n">
        <v>26741207.151</v>
      </c>
      <c r="T941" s="45" t="n">
        <v>25861183.12365</v>
      </c>
      <c r="U941" s="15" t="n">
        <v>17.62</v>
      </c>
      <c r="V941" s="15" t="n">
        <v>38.33</v>
      </c>
      <c r="W941" s="49" t="n">
        <v>96.709</v>
      </c>
    </row>
    <row r="942">
      <c r="A942" s="44" t="inlineStr">
        <is>
          <t>TL Cinsi Sabit Faizli Kuponlu Senetler</t>
        </is>
      </c>
      <c r="B942" s="44" t="n">
        <v>2026</v>
      </c>
      <c r="C942" s="44" t="inlineStr">
        <is>
          <t>TRT150328T24</t>
        </is>
      </c>
      <c r="D942" s="44" t="inlineStr">
        <is>
          <t>13.05.2026</t>
        </is>
      </c>
      <c r="E942" s="44" t="inlineStr">
        <is>
          <t>15.03.2028</t>
        </is>
      </c>
      <c r="F942" s="44" t="n">
        <v>672</v>
      </c>
      <c r="G942" s="44" t="inlineStr">
        <is>
          <t>6 ay</t>
        </is>
      </c>
      <c r="H942" s="15" t="n">
        <v>18.4</v>
      </c>
      <c r="I942" s="45" t="n">
        <v>14822000</v>
      </c>
      <c r="J942" s="45" t="n">
        <v>15338813.42</v>
      </c>
      <c r="K942" s="45" t="n">
        <v>9472000</v>
      </c>
      <c r="L942" s="45" t="n">
        <v>9815504.460000001</v>
      </c>
      <c r="M942" s="45" t="n">
        <v>10807994.054</v>
      </c>
      <c r="N942" s="45" t="n">
        <v>11199999.99834</v>
      </c>
      <c r="O942" s="45" t="n">
        <v>7333995.962</v>
      </c>
      <c r="P942" s="45" t="n">
        <v>7599999.99554</v>
      </c>
      <c r="Q942" s="45" t="n">
        <v>0</v>
      </c>
      <c r="R942" s="45" t="n">
        <v>0</v>
      </c>
      <c r="S942" s="45" t="n">
        <v>27613990.016</v>
      </c>
      <c r="T942" s="45" t="n">
        <v>28615504.45388</v>
      </c>
      <c r="U942" s="15" t="n">
        <v>19.08</v>
      </c>
      <c r="V942" s="15" t="n">
        <v>41.8</v>
      </c>
      <c r="W942" s="49" t="n">
        <v>103.627</v>
      </c>
    </row>
    <row r="943">
      <c r="A943" s="44" t="inlineStr">
        <is>
          <t>TL Cinsi Sabit Faizli Kuponlu Senetler</t>
        </is>
      </c>
      <c r="B943" s="44" t="n">
        <v>2026</v>
      </c>
      <c r="C943" s="44" t="inlineStr">
        <is>
          <t>TRT150328T24</t>
        </is>
      </c>
      <c r="D943" s="44" t="inlineStr">
        <is>
          <t>17.06.2026</t>
        </is>
      </c>
      <c r="E943" s="44" t="inlineStr">
        <is>
          <t>15.03.2028</t>
        </is>
      </c>
      <c r="F943" s="44" t="n">
        <v>637</v>
      </c>
      <c r="G943" s="44" t="inlineStr">
        <is>
          <t>6 ay</t>
        </is>
      </c>
      <c r="H943" s="15" t="n">
        <v>18.4</v>
      </c>
      <c r="I943" s="45" t="n">
        <v>22769000</v>
      </c>
      <c r="J943" s="45" t="n">
        <v>24296022.1</v>
      </c>
      <c r="K943" s="45" t="n">
        <v>7097000</v>
      </c>
      <c r="L943" s="45" t="n">
        <v>7596222.65</v>
      </c>
      <c r="M943" s="45" t="n">
        <v>19246220.826</v>
      </c>
      <c r="N943" s="45" t="n">
        <v>20599999.99891</v>
      </c>
      <c r="O943" s="45" t="n">
        <v>3737130.254</v>
      </c>
      <c r="P943" s="45" t="n">
        <v>3999999.99605</v>
      </c>
      <c r="Q943" s="45" t="n">
        <v>1786219</v>
      </c>
      <c r="R943" s="45" t="n">
        <v>1911861.64446</v>
      </c>
      <c r="S943" s="45" t="n">
        <v>31866570.08</v>
      </c>
      <c r="T943" s="45" t="n">
        <v>34108084.28942</v>
      </c>
      <c r="U943" s="15" t="n">
        <v>19.14</v>
      </c>
      <c r="V943" s="15" t="n">
        <v>41.93</v>
      </c>
      <c r="W943" s="49" t="n">
        <v>107.034</v>
      </c>
    </row>
    <row r="944">
      <c r="A944" s="44" t="inlineStr">
        <is>
          <t>TL Cinsi Sabit Faizli Kuponlu Senetler</t>
        </is>
      </c>
      <c r="B944" s="44" t="n">
        <v>2026</v>
      </c>
      <c r="C944" s="44" t="inlineStr">
        <is>
          <t>TRT160431T35</t>
        </is>
      </c>
      <c r="D944" s="44" t="inlineStr">
        <is>
          <t>17.06.2026</t>
        </is>
      </c>
      <c r="E944" s="44" t="inlineStr">
        <is>
          <t>16.04.2031</t>
        </is>
      </c>
      <c r="F944" s="44" t="n">
        <v>1764</v>
      </c>
      <c r="G944" s="44" t="inlineStr">
        <is>
          <t>6 ay</t>
        </is>
      </c>
      <c r="H944" s="15" t="n">
        <v>16.63</v>
      </c>
      <c r="I944" s="45" t="n">
        <v>13661000</v>
      </c>
      <c r="J944" s="45" t="n">
        <v>13794374.01</v>
      </c>
      <c r="K944" s="45" t="n">
        <v>9695000</v>
      </c>
      <c r="L944" s="45" t="n">
        <v>9804129.640000001</v>
      </c>
      <c r="M944" s="45" t="n">
        <v>14832980.637</v>
      </c>
      <c r="N944" s="45" t="n">
        <v>14999999.99898</v>
      </c>
      <c r="O944" s="45" t="n">
        <v>4944326.874</v>
      </c>
      <c r="P944" s="45" t="n">
        <v>4999999.99459</v>
      </c>
      <c r="Q944" s="45" t="n">
        <v>2100000</v>
      </c>
      <c r="R944" s="45" t="n">
        <v>2123646</v>
      </c>
      <c r="S944" s="45" t="n">
        <v>31572307.511</v>
      </c>
      <c r="T944" s="45" t="n">
        <v>31927775.63357</v>
      </c>
      <c r="U944" s="15" t="n">
        <v>17.45</v>
      </c>
      <c r="V944" s="15" t="n">
        <v>37.94</v>
      </c>
      <c r="W944" s="49" t="n">
        <v>101.126</v>
      </c>
    </row>
    <row r="945">
      <c r="A945" s="44" t="inlineStr">
        <is>
          <t>TL Cinsi Sabit Faizli Kuponlu Senetler</t>
        </is>
      </c>
      <c r="B945" s="44" t="n">
        <v>2026</v>
      </c>
      <c r="C945" s="44" t="inlineStr">
        <is>
          <t>TRT160431T35</t>
        </is>
      </c>
      <c r="D945" s="44" t="inlineStr">
        <is>
          <t>08.07.2026</t>
        </is>
      </c>
      <c r="E945" s="44" t="inlineStr">
        <is>
          <t>16.04.2031</t>
        </is>
      </c>
      <c r="F945" s="44" t="n">
        <v>1743</v>
      </c>
      <c r="G945" s="44" t="inlineStr">
        <is>
          <t>6 ay</t>
        </is>
      </c>
      <c r="H945" s="15" t="n">
        <v>16.63</v>
      </c>
      <c r="I945" s="45" t="n">
        <v>14788500</v>
      </c>
      <c r="J945" s="45" t="n">
        <v>15204039.6</v>
      </c>
      <c r="K945" s="45" t="n">
        <v>9735000</v>
      </c>
      <c r="L945" s="45" t="n">
        <v>10023464.5</v>
      </c>
      <c r="M945" s="45" t="n">
        <v>7769781.377</v>
      </c>
      <c r="N945" s="45" t="n">
        <v>7999999.9992</v>
      </c>
      <c r="O945" s="45" t="n">
        <v>14568340.077</v>
      </c>
      <c r="P945" s="45" t="n">
        <v>14999999.99348</v>
      </c>
      <c r="Q945" s="45" t="n">
        <v>0</v>
      </c>
      <c r="R945" s="45" t="n">
        <v>0</v>
      </c>
      <c r="S945" s="45" t="n">
        <v>32073121.454</v>
      </c>
      <c r="T945" s="45" t="n">
        <v>33023464.49268</v>
      </c>
      <c r="U945" s="15" t="n">
        <v>17.46</v>
      </c>
      <c r="V945" s="15" t="n">
        <v>37.97</v>
      </c>
      <c r="W945" s="49" t="n">
        <v>102.963</v>
      </c>
    </row>
    <row r="946">
      <c r="A946" s="44" t="inlineStr">
        <is>
          <t>TL Cinsi Sabit Faizli Kuponlu Senetler</t>
        </is>
      </c>
      <c r="B946" s="44" t="n">
        <v>2026</v>
      </c>
      <c r="C946" s="44" t="inlineStr">
        <is>
          <t>TRT150328T24</t>
        </is>
      </c>
      <c r="D946" s="44" t="inlineStr">
        <is>
          <t>22.07.2026</t>
        </is>
      </c>
      <c r="E946" s="44" t="inlineStr">
        <is>
          <t>15.03.2028</t>
        </is>
      </c>
      <c r="F946" s="44" t="n">
        <v>602</v>
      </c>
      <c r="G946" s="44" t="inlineStr">
        <is>
          <t>6 ay</t>
        </is>
      </c>
      <c r="H946" s="15" t="n">
        <v>18.4</v>
      </c>
      <c r="I946" s="45" t="n">
        <v>41666915</v>
      </c>
      <c r="J946" s="45" t="n">
        <v>46033302.50989</v>
      </c>
      <c r="K946" s="45" t="n">
        <v>22694515</v>
      </c>
      <c r="L946" s="45" t="n">
        <v>25109809.66189</v>
      </c>
      <c r="M946" s="45" t="n">
        <v>3072946.322</v>
      </c>
      <c r="N946" s="45" t="n">
        <v>3399999.99904</v>
      </c>
      <c r="O946" s="45" t="n">
        <v>5422846.446</v>
      </c>
      <c r="P946" s="45" t="n">
        <v>5999999.99325</v>
      </c>
      <c r="Q946" s="45" t="n">
        <v>2545341.322</v>
      </c>
      <c r="R946" s="45" t="n">
        <v>2816241.9989</v>
      </c>
      <c r="S946" s="45" t="n">
        <v>33735649.09</v>
      </c>
      <c r="T946" s="45" t="n">
        <v>37326051.65308</v>
      </c>
      <c r="U946" s="15" t="n">
        <v>19.16</v>
      </c>
      <c r="V946" s="15" t="n">
        <v>41.99</v>
      </c>
      <c r="W946" s="49" t="n">
        <v>110.643</v>
      </c>
    </row>
    <row r="947">
      <c r="A947" s="44" t="inlineStr">
        <is>
          <t>TL Cinsi Sabit Faizli Kuponlu Senetler</t>
        </is>
      </c>
      <c r="B947" s="44" t="n">
        <v>2026</v>
      </c>
      <c r="C947" s="44" t="inlineStr">
        <is>
          <t>TRT150328T24</t>
        </is>
      </c>
      <c r="D947" s="44" t="inlineStr">
        <is>
          <t>12.08.2026</t>
        </is>
      </c>
      <c r="E947" s="44" t="inlineStr">
        <is>
          <t>15.03.2028</t>
        </is>
      </c>
      <c r="F947" s="44" t="n">
        <v>581</v>
      </c>
      <c r="G947" s="44" t="inlineStr">
        <is>
          <t>6 ay</t>
        </is>
      </c>
      <c r="H947" s="15" t="n">
        <v>18.4</v>
      </c>
      <c r="I947" s="45" t="n">
        <v>62589000</v>
      </c>
      <c r="J947" s="45" t="n">
        <v>70770321.73999999</v>
      </c>
      <c r="K947" s="45" t="n">
        <v>30447000</v>
      </c>
      <c r="L947" s="45" t="n">
        <v>34463824.65</v>
      </c>
      <c r="M947" s="45" t="n">
        <v>14576873.126</v>
      </c>
      <c r="N947" s="45" t="n">
        <v>16499999.99751</v>
      </c>
      <c r="O947" s="45" t="n">
        <v>18552383.976</v>
      </c>
      <c r="P947" s="45" t="n">
        <v>20999999.99396</v>
      </c>
      <c r="Q947" s="45" t="n">
        <v>11466565.236</v>
      </c>
      <c r="R947" s="45" t="n">
        <v>12979349.1876</v>
      </c>
      <c r="S947" s="45" t="n">
        <v>75042822.338</v>
      </c>
      <c r="T947" s="45" t="n">
        <v>84943173.82907</v>
      </c>
      <c r="U947" s="15" t="n">
        <v>19.03</v>
      </c>
      <c r="V947" s="15" t="n">
        <v>41.68</v>
      </c>
      <c r="W947" s="49" t="n">
        <v>113.193</v>
      </c>
    </row>
    <row r="948">
      <c r="A948" s="44" t="inlineStr">
        <is>
          <t>TL Cinsi Sabit Faizli Kuponlu Senetler</t>
        </is>
      </c>
      <c r="B948" s="44" t="n">
        <v>2026</v>
      </c>
      <c r="C948" s="44" t="inlineStr">
        <is>
          <t>TRT160431T35</t>
        </is>
      </c>
      <c r="D948" s="44" t="inlineStr">
        <is>
          <t>12.08.2026</t>
        </is>
      </c>
      <c r="E948" s="44" t="inlineStr">
        <is>
          <t>16.04.2031</t>
        </is>
      </c>
      <c r="F948" s="44" t="n">
        <v>1708</v>
      </c>
      <c r="G948" s="44" t="inlineStr">
        <is>
          <t>6 ay</t>
        </is>
      </c>
      <c r="H948" s="15" t="n">
        <v>16.63</v>
      </c>
      <c r="I948" s="45" t="n">
        <v>13718000</v>
      </c>
      <c r="J948" s="45" t="n">
        <v>14174530.07</v>
      </c>
      <c r="K948" s="45" t="n">
        <v>6835000</v>
      </c>
      <c r="L948" s="45" t="n">
        <v>7095268.7</v>
      </c>
      <c r="M948" s="45" t="n">
        <v>6068896.423</v>
      </c>
      <c r="N948" s="45" t="n">
        <v>6299999.99879</v>
      </c>
      <c r="O948" s="45" t="n">
        <v>7706535.138</v>
      </c>
      <c r="P948" s="45" t="n">
        <v>7999999.99606</v>
      </c>
      <c r="Q948" s="45" t="n">
        <v>2605135.68</v>
      </c>
      <c r="R948" s="45" t="n">
        <v>2704339.2467</v>
      </c>
      <c r="S948" s="45" t="n">
        <v>23215567.241</v>
      </c>
      <c r="T948" s="45" t="n">
        <v>24099607.94155</v>
      </c>
      <c r="U948" s="15" t="n">
        <v>18.02</v>
      </c>
      <c r="V948" s="15" t="n">
        <v>39.29</v>
      </c>
      <c r="W948" s="49" t="n">
        <v>103.808</v>
      </c>
    </row>
    <row r="949">
      <c r="A949" s="44" t="inlineStr">
        <is>
          <t>TL Cinsi Sabit Faizli Kuponlu Senetler</t>
        </is>
      </c>
      <c r="B949" s="44" t="n">
        <v>2026</v>
      </c>
      <c r="C949" s="44" t="inlineStr">
        <is>
          <t>TRT050935T13</t>
        </is>
      </c>
      <c r="D949" s="44" t="inlineStr">
        <is>
          <t>19.08.2026</t>
        </is>
      </c>
      <c r="E949" s="44" t="inlineStr">
        <is>
          <t>05.09.2035</t>
        </is>
      </c>
      <c r="F949" s="44" t="n">
        <v>3304</v>
      </c>
      <c r="G949" s="44" t="inlineStr">
        <is>
          <t>6 ay</t>
        </is>
      </c>
      <c r="H949" s="15" t="n">
        <v>15.03</v>
      </c>
      <c r="I949" s="45" t="n">
        <v>56635000</v>
      </c>
      <c r="J949" s="45" t="n">
        <v>59700985.95</v>
      </c>
      <c r="K949" s="45" t="n">
        <v>34500000</v>
      </c>
      <c r="L949" s="45" t="n">
        <v>36427099.25</v>
      </c>
      <c r="M949" s="45" t="n">
        <v>3788381.035</v>
      </c>
      <c r="N949" s="45" t="n">
        <v>3999999.99962</v>
      </c>
      <c r="O949" s="45" t="n">
        <v>32201238.797</v>
      </c>
      <c r="P949" s="45" t="n">
        <v>33999999.99621</v>
      </c>
      <c r="Q949" s="45" t="n">
        <v>0</v>
      </c>
      <c r="R949" s="45" t="n">
        <v>0</v>
      </c>
      <c r="S949" s="45" t="n">
        <v>70489619.83199999</v>
      </c>
      <c r="T949" s="45" t="n">
        <v>74427099.24583001</v>
      </c>
      <c r="U949" s="15" t="n">
        <v>16.24</v>
      </c>
      <c r="V949" s="15" t="n">
        <v>35.12</v>
      </c>
      <c r="W949" s="49" t="n">
        <v>105.586</v>
      </c>
    </row>
    <row r="950">
      <c r="A950" s="44" t="inlineStr">
        <is>
          <t>TL Cinsi Sabit Faizli Kuponlu Senetler</t>
        </is>
      </c>
      <c r="B950" s="44" t="n">
        <v>2026</v>
      </c>
      <c r="C950" s="44" t="inlineStr">
        <is>
          <t>TRT130928T38</t>
        </is>
      </c>
      <c r="D950" s="44" t="inlineStr">
        <is>
          <t>16.09.2026</t>
        </is>
      </c>
      <c r="E950" s="44" t="inlineStr">
        <is>
          <t>13.09.2028</t>
        </is>
      </c>
      <c r="F950" s="44" t="n">
        <v>728</v>
      </c>
      <c r="G950" s="44" t="inlineStr">
        <is>
          <t>6 ay</t>
        </is>
      </c>
      <c r="H950" s="15" t="n">
        <v>18</v>
      </c>
      <c r="I950" s="45" t="n">
        <v>63933001.075</v>
      </c>
      <c r="J950" s="45" t="n">
        <v>63266139.44975</v>
      </c>
      <c r="K950" s="45" t="n">
        <v>34757000</v>
      </c>
      <c r="L950" s="45" t="n">
        <v>34464455.29</v>
      </c>
      <c r="M950" s="45" t="n">
        <v>15883741.099</v>
      </c>
      <c r="N950" s="45" t="n">
        <v>15749999.99894</v>
      </c>
      <c r="O950" s="45" t="n">
        <v>9580669.229</v>
      </c>
      <c r="P950" s="45" t="n">
        <v>9499999.99409</v>
      </c>
      <c r="Q950" s="45" t="n">
        <v>0</v>
      </c>
      <c r="R950" s="45" t="n">
        <v>0</v>
      </c>
      <c r="S950" s="45" t="n">
        <v>60221410.328</v>
      </c>
      <c r="T950" s="45" t="n">
        <v>59714455.28303</v>
      </c>
      <c r="U950" s="15" t="n">
        <v>18.31</v>
      </c>
      <c r="V950" s="15" t="n">
        <v>39.98</v>
      </c>
      <c r="W950" s="49" t="n">
        <v>99.158</v>
      </c>
    </row>
    <row r="951">
      <c r="A951" s="44" t="inlineStr">
        <is>
          <t>TL Cinsi Sabit Faizli Kuponlu Senetler</t>
        </is>
      </c>
      <c r="B951" s="44" t="n">
        <v>2026</v>
      </c>
      <c r="C951" s="44" t="inlineStr">
        <is>
          <t>TRT160431T35</t>
        </is>
      </c>
      <c r="D951" s="44" t="inlineStr">
        <is>
          <t>16.09.2026</t>
        </is>
      </c>
      <c r="E951" s="44" t="inlineStr">
        <is>
          <t>16.04.2031</t>
        </is>
      </c>
      <c r="F951" s="44" t="n">
        <v>1673</v>
      </c>
      <c r="G951" s="44" t="inlineStr">
        <is>
          <t>6 ay</t>
        </is>
      </c>
      <c r="H951" s="15" t="n">
        <v>16.63</v>
      </c>
      <c r="I951" s="45" t="n">
        <v>29102000</v>
      </c>
      <c r="J951" s="45" t="n">
        <v>31447715.85</v>
      </c>
      <c r="K951" s="45" t="n">
        <v>21912000</v>
      </c>
      <c r="L951" s="45" t="n">
        <v>23700794.81</v>
      </c>
      <c r="M951" s="45" t="n">
        <v>14098960.836</v>
      </c>
      <c r="N951" s="45" t="n">
        <v>15249999.99865</v>
      </c>
      <c r="O951" s="45" t="n">
        <v>24962094.594</v>
      </c>
      <c r="P951" s="45" t="n">
        <v>26999999.99664</v>
      </c>
      <c r="Q951" s="45" t="n">
        <v>0</v>
      </c>
      <c r="R951" s="45" t="n">
        <v>0</v>
      </c>
      <c r="S951" s="45" t="n">
        <v>60973055.42999999</v>
      </c>
      <c r="T951" s="45" t="n">
        <v>65950794.80529</v>
      </c>
      <c r="U951" s="15" t="n">
        <v>17.79</v>
      </c>
      <c r="V951" s="15" t="n">
        <v>38.73</v>
      </c>
      <c r="W951" s="49" t="n">
        <v>108.164</v>
      </c>
    </row>
    <row r="952">
      <c r="A952" s="44" t="inlineStr">
        <is>
          <t>TL Cinsi Sabit Faizli Kuponlu Senetler</t>
        </is>
      </c>
      <c r="B952" s="44" t="n">
        <v>2026</v>
      </c>
      <c r="C952" s="44" t="inlineStr">
        <is>
          <t>TRT270934T18</t>
        </is>
      </c>
      <c r="D952" s="44" t="inlineStr">
        <is>
          <t>16.09.2026</t>
        </is>
      </c>
      <c r="E952" s="44" t="inlineStr">
        <is>
          <t>27.09.2034</t>
        </is>
      </c>
      <c r="F952" s="44" t="n">
        <v>2933</v>
      </c>
      <c r="G952" s="44" t="inlineStr">
        <is>
          <t>6 ay</t>
        </is>
      </c>
      <c r="H952" s="15" t="n">
        <v>13.85</v>
      </c>
      <c r="I952" s="45" t="n">
        <v>34490000</v>
      </c>
      <c r="J952" s="45" t="n">
        <v>33930597</v>
      </c>
      <c r="K952" s="45" t="n">
        <v>25310000</v>
      </c>
      <c r="L952" s="45" t="n">
        <v>24947609</v>
      </c>
      <c r="M952" s="45" t="n">
        <v>5072640.207</v>
      </c>
      <c r="N952" s="45" t="n">
        <v>4999999.99924</v>
      </c>
      <c r="O952" s="45" t="n">
        <v>22319616.909</v>
      </c>
      <c r="P952" s="45" t="n">
        <v>21999999.99488</v>
      </c>
      <c r="Q952" s="45" t="n">
        <v>0</v>
      </c>
      <c r="R952" s="45" t="n">
        <v>0</v>
      </c>
      <c r="S952" s="45" t="n">
        <v>52702257.116</v>
      </c>
      <c r="T952" s="45" t="n">
        <v>51947608.99412</v>
      </c>
      <c r="U952" s="15" t="n">
        <v>16.27</v>
      </c>
      <c r="V952" s="15" t="n">
        <v>35.19</v>
      </c>
      <c r="W952" s="49" t="n">
        <v>98.568</v>
      </c>
    </row>
    <row r="953">
      <c r="A953" s="44" t="inlineStr">
        <is>
          <t>TL Cinsi Sabit Faizli Kuponlu Senetler</t>
        </is>
      </c>
      <c r="B953" s="44" t="n">
        <v>2026</v>
      </c>
      <c r="C953" s="44" t="inlineStr">
        <is>
          <t>TRT130928T38</t>
        </is>
      </c>
      <c r="D953" s="44" t="inlineStr">
        <is>
          <t>07.10.2026</t>
        </is>
      </c>
      <c r="E953" s="44" t="inlineStr">
        <is>
          <t>13.09.2028</t>
        </is>
      </c>
      <c r="F953" s="44" t="n">
        <v>707</v>
      </c>
      <c r="G953" s="44" t="inlineStr">
        <is>
          <t>6 ay</t>
        </is>
      </c>
      <c r="H953" s="15" t="n">
        <v>18</v>
      </c>
      <c r="I953" s="45" t="n">
        <v>38987000</v>
      </c>
      <c r="J953" s="45" t="n">
        <v>39424107.31</v>
      </c>
      <c r="K953" s="45" t="n">
        <v>23949000</v>
      </c>
      <c r="L953" s="45" t="n">
        <v>24242518.57</v>
      </c>
      <c r="M953" s="45" t="n">
        <v>3704581.826</v>
      </c>
      <c r="N953" s="45" t="n">
        <v>3749999.99918</v>
      </c>
      <c r="O953" s="45" t="n">
        <v>13830438.816</v>
      </c>
      <c r="P953" s="45" t="n">
        <v>13999999.99588</v>
      </c>
      <c r="Q953" s="45" t="n">
        <v>1368512.687</v>
      </c>
      <c r="R953" s="45" t="n">
        <v>1385290.65254</v>
      </c>
      <c r="S953" s="45" t="n">
        <v>42852533.329</v>
      </c>
      <c r="T953" s="45" t="n">
        <v>43377809.2176</v>
      </c>
      <c r="U953" s="15" t="n">
        <v>18.27</v>
      </c>
      <c r="V953" s="15" t="n">
        <v>39.87</v>
      </c>
      <c r="W953" s="49" t="n">
        <v>101.226</v>
      </c>
    </row>
    <row r="954">
      <c r="A954" s="44" t="inlineStr">
        <is>
          <t>TL Cinsi Sabit Faizli Kuponlu Senetler</t>
        </is>
      </c>
      <c r="B954" s="44" t="n">
        <v>2026</v>
      </c>
      <c r="C954" s="44" t="inlineStr">
        <is>
          <t>TRT160431T35</t>
        </is>
      </c>
      <c r="D954" s="44" t="inlineStr">
        <is>
          <t>07.10.2026</t>
        </is>
      </c>
      <c r="E954" s="44" t="inlineStr">
        <is>
          <t>16.04.2031</t>
        </is>
      </c>
      <c r="F954" s="44" t="n">
        <v>1652</v>
      </c>
      <c r="G954" s="44" t="inlineStr">
        <is>
          <t>6 ay</t>
        </is>
      </c>
      <c r="H954" s="15" t="n">
        <v>16.63</v>
      </c>
      <c r="I954" s="45" t="n">
        <v>46990000</v>
      </c>
      <c r="J954" s="45" t="n">
        <v>51754819.76</v>
      </c>
      <c r="K954" s="45" t="n">
        <v>27705000</v>
      </c>
      <c r="L954" s="45" t="n">
        <v>30547862.27</v>
      </c>
      <c r="M954" s="45" t="n">
        <v>7527593.618</v>
      </c>
      <c r="N954" s="45" t="n">
        <v>8299999.99914</v>
      </c>
      <c r="O954" s="45" t="n">
        <v>18138779.8</v>
      </c>
      <c r="P954" s="45" t="n">
        <v>19999999.99529</v>
      </c>
      <c r="Q954" s="45" t="n">
        <v>0</v>
      </c>
      <c r="R954" s="45" t="n">
        <v>0</v>
      </c>
      <c r="S954" s="45" t="n">
        <v>53371373.418</v>
      </c>
      <c r="T954" s="45" t="n">
        <v>58847862.26443</v>
      </c>
      <c r="U954" s="15" t="n">
        <v>17.78</v>
      </c>
      <c r="V954" s="15" t="n">
        <v>38.71</v>
      </c>
      <c r="W954" s="49" t="n">
        <v>110.261</v>
      </c>
    </row>
    <row r="955">
      <c r="A955" s="44" t="inlineStr">
        <is>
          <t>TL Cinsi Sabit Faizli Kuponlu Senetler</t>
        </is>
      </c>
      <c r="B955" s="44" t="n">
        <v>2026</v>
      </c>
      <c r="C955" s="44" t="inlineStr">
        <is>
          <t>TRT270934T18</t>
        </is>
      </c>
      <c r="D955" s="44" t="inlineStr">
        <is>
          <t>07.10.2026</t>
        </is>
      </c>
      <c r="E955" s="44" t="inlineStr">
        <is>
          <t>27.09.2034</t>
        </is>
      </c>
      <c r="F955" s="44" t="n">
        <v>2912</v>
      </c>
      <c r="G955" s="44" t="inlineStr">
        <is>
          <t>6 ay</t>
        </is>
      </c>
      <c r="H955" s="15" t="n">
        <v>13.85</v>
      </c>
      <c r="I955" s="45" t="n">
        <v>54690000</v>
      </c>
      <c r="J955" s="45" t="n">
        <v>45854745.35</v>
      </c>
      <c r="K955" s="45" t="n">
        <v>34315000</v>
      </c>
      <c r="L955" s="45" t="n">
        <v>28803743.1</v>
      </c>
      <c r="M955" s="45" t="n">
        <v>3574023.993</v>
      </c>
      <c r="N955" s="45" t="n">
        <v>2999999.99948</v>
      </c>
      <c r="O955" s="45" t="n">
        <v>4765365.321</v>
      </c>
      <c r="P955" s="45" t="n">
        <v>3999999.9968</v>
      </c>
      <c r="Q955" s="45" t="n">
        <v>2047015.57</v>
      </c>
      <c r="R955" s="45" t="n">
        <v>1718244.3993</v>
      </c>
      <c r="S955" s="45" t="n">
        <v>44701404.884</v>
      </c>
      <c r="T955" s="45" t="n">
        <v>37521987.49558</v>
      </c>
      <c r="U955" s="15" t="n">
        <v>16.79</v>
      </c>
      <c r="V955" s="15" t="n">
        <v>36.4</v>
      </c>
      <c r="W955" s="49" t="n">
        <v>83.93899999999999</v>
      </c>
    </row>
    <row r="956">
      <c r="A956" s="44" t="inlineStr">
        <is>
          <t>TL Cinsi Sabit Faizli Kuponlu Senetler</t>
        </is>
      </c>
      <c r="B956" s="44" t="n">
        <v>2025</v>
      </c>
      <c r="C956" s="44" t="inlineStr">
        <is>
          <t>TRT120826T16</t>
        </is>
      </c>
      <c r="D956" s="44" t="inlineStr">
        <is>
          <t>15.01.2025</t>
        </is>
      </c>
      <c r="E956" s="44" t="inlineStr">
        <is>
          <t>12.08.2026</t>
        </is>
      </c>
      <c r="F956" s="44" t="n">
        <v>574</v>
      </c>
      <c r="G956" s="44" t="inlineStr">
        <is>
          <t>6 ay</t>
        </is>
      </c>
      <c r="H956" s="15" t="n">
        <v>18</v>
      </c>
      <c r="I956" s="45" t="n">
        <v>55394318.173</v>
      </c>
      <c r="J956" s="45" t="n">
        <v>63167509.37074</v>
      </c>
      <c r="K956" s="45" t="n">
        <v>28239300</v>
      </c>
      <c r="L956" s="45" t="n">
        <v>32262155.631</v>
      </c>
      <c r="M956" s="45" t="n">
        <v>26259.125</v>
      </c>
      <c r="N956" s="45" t="n">
        <v>29999.99995</v>
      </c>
      <c r="O956" s="45" t="n">
        <v>14880170.855</v>
      </c>
      <c r="P956" s="45" t="n">
        <v>16999999.99502</v>
      </c>
      <c r="Q956" s="45" t="n">
        <v>10909396.903</v>
      </c>
      <c r="R956" s="45" t="n">
        <v>12463549.58579</v>
      </c>
      <c r="S956" s="45" t="n">
        <v>54055126.883</v>
      </c>
      <c r="T956" s="45" t="n">
        <v>61755705.21176</v>
      </c>
      <c r="U956" s="15" t="n">
        <v>18.35</v>
      </c>
      <c r="V956" s="15" t="n">
        <v>40.06</v>
      </c>
      <c r="W956" s="49" t="n">
        <v>114.246</v>
      </c>
    </row>
    <row r="957">
      <c r="A957" s="44" t="inlineStr">
        <is>
          <t>TL Cinsi Sabit Faizli Kuponlu Senetler</t>
        </is>
      </c>
      <c r="B957" s="44" t="n">
        <v>2025</v>
      </c>
      <c r="C957" s="44" t="inlineStr">
        <is>
          <t>TRT120929T12</t>
        </is>
      </c>
      <c r="D957" s="44" t="inlineStr">
        <is>
          <t>15.01.2025</t>
        </is>
      </c>
      <c r="E957" s="44" t="inlineStr">
        <is>
          <t>12.09.2029</t>
        </is>
      </c>
      <c r="F957" s="44" t="n">
        <v>1701</v>
      </c>
      <c r="G957" s="44" t="inlineStr">
        <is>
          <t>6 ay</t>
        </is>
      </c>
      <c r="H957" s="15" t="n">
        <v>15</v>
      </c>
      <c r="I957" s="45" t="n">
        <v>40323030</v>
      </c>
      <c r="J957" s="45" t="n">
        <v>43886502.8446</v>
      </c>
      <c r="K957" s="45" t="n">
        <v>17402030</v>
      </c>
      <c r="L957" s="45" t="n">
        <v>19003170.4846</v>
      </c>
      <c r="M957" s="45" t="n">
        <v>2747227.589</v>
      </c>
      <c r="N957" s="45" t="n">
        <v>2999999.99946</v>
      </c>
      <c r="O957" s="45" t="n">
        <v>8241682.761</v>
      </c>
      <c r="P957" s="45" t="n">
        <v>8999999.99182</v>
      </c>
      <c r="Q957" s="45" t="n">
        <v>5850000</v>
      </c>
      <c r="R957" s="45" t="n">
        <v>6388258.5</v>
      </c>
      <c r="S957" s="45" t="n">
        <v>34240940.35</v>
      </c>
      <c r="T957" s="45" t="n">
        <v>37391428.97588</v>
      </c>
      <c r="U957" s="15" t="n">
        <v>15.08</v>
      </c>
      <c r="V957" s="15" t="n">
        <v>32.42</v>
      </c>
      <c r="W957" s="49" t="n">
        <v>109.201</v>
      </c>
    </row>
    <row r="958">
      <c r="A958" s="44" t="inlineStr">
        <is>
          <t>TL Cinsi Sabit Faizli Kuponlu Senetler</t>
        </is>
      </c>
      <c r="B958" s="44" t="n">
        <v>2025</v>
      </c>
      <c r="C958" s="44" t="inlineStr">
        <is>
          <t>TRT100227T13</t>
        </is>
      </c>
      <c r="D958" s="44" t="inlineStr">
        <is>
          <t>12.02.2025</t>
        </is>
      </c>
      <c r="E958" s="44" t="inlineStr">
        <is>
          <t>10.02.2027</t>
        </is>
      </c>
      <c r="F958" s="44" t="n">
        <v>728</v>
      </c>
      <c r="G958" s="44" t="inlineStr">
        <is>
          <t>6 ay</t>
        </is>
      </c>
      <c r="H958" s="15" t="n">
        <v>16.3</v>
      </c>
      <c r="I958" s="45" t="n">
        <v>74072000</v>
      </c>
      <c r="J958" s="45" t="n">
        <v>71595814.03</v>
      </c>
      <c r="K958" s="45" t="n">
        <v>35832000</v>
      </c>
      <c r="L958" s="45" t="n">
        <v>34797536.52</v>
      </c>
      <c r="M958" s="45" t="n">
        <v>6734422.785</v>
      </c>
      <c r="N958" s="45" t="n">
        <v>6539999.9992</v>
      </c>
      <c r="O958" s="45" t="n">
        <v>12356739.052</v>
      </c>
      <c r="P958" s="45" t="n">
        <v>11999999.99557</v>
      </c>
      <c r="Q958" s="45" t="n">
        <v>4318578.665</v>
      </c>
      <c r="R958" s="45" t="n">
        <v>4193901.29895</v>
      </c>
      <c r="S958" s="45" t="n">
        <v>59241740.502</v>
      </c>
      <c r="T958" s="45" t="n">
        <v>57531437.81372</v>
      </c>
      <c r="U958" s="15" t="n">
        <v>17.36</v>
      </c>
      <c r="V958" s="15" t="n">
        <v>37.73</v>
      </c>
      <c r="W958" s="49" t="n">
        <v>97.113</v>
      </c>
    </row>
    <row r="959">
      <c r="A959" s="44" t="inlineStr">
        <is>
          <t>TL Cinsi Sabit Faizli Kuponlu Senetler</t>
        </is>
      </c>
      <c r="B959" s="44" t="n">
        <v>2025</v>
      </c>
      <c r="C959" s="44" t="inlineStr">
        <is>
          <t>TRT120929T12</t>
        </is>
      </c>
      <c r="D959" s="44" t="inlineStr">
        <is>
          <t>19.02.2025</t>
        </is>
      </c>
      <c r="E959" s="44" t="inlineStr">
        <is>
          <t>12.09.2029</t>
        </is>
      </c>
      <c r="F959" s="44" t="n">
        <v>1666</v>
      </c>
      <c r="G959" s="44" t="inlineStr">
        <is>
          <t>6 ay</t>
        </is>
      </c>
      <c r="H959" s="15" t="n">
        <v>15</v>
      </c>
      <c r="I959" s="45" t="n">
        <v>77714000</v>
      </c>
      <c r="J959" s="45" t="n">
        <v>87103616.43000001</v>
      </c>
      <c r="K959" s="45" t="n">
        <v>28320000</v>
      </c>
      <c r="L959" s="45" t="n">
        <v>31837022.45</v>
      </c>
      <c r="M959" s="45" t="n">
        <v>2668588.05</v>
      </c>
      <c r="N959" s="45" t="n">
        <v>2999999.99993</v>
      </c>
      <c r="O959" s="45" t="n">
        <v>11563881.544</v>
      </c>
      <c r="P959" s="45" t="n">
        <v>12999999.99294</v>
      </c>
      <c r="Q959" s="45" t="n">
        <v>10497374.469</v>
      </c>
      <c r="R959" s="45" t="n">
        <v>11801043.40431</v>
      </c>
      <c r="S959" s="45" t="n">
        <v>53049844.06299999</v>
      </c>
      <c r="T959" s="45" t="n">
        <v>59638065.84718</v>
      </c>
      <c r="U959" s="15" t="n">
        <v>15.03</v>
      </c>
      <c r="V959" s="15" t="n">
        <v>32.31</v>
      </c>
      <c r="W959" s="49" t="n">
        <v>112.419</v>
      </c>
    </row>
    <row r="960">
      <c r="A960" s="44" t="inlineStr">
        <is>
          <t>TL Cinsi Sabit Faizli Kuponlu Senetler</t>
        </is>
      </c>
      <c r="B960" s="44" t="n">
        <v>2025</v>
      </c>
      <c r="C960" s="44" t="inlineStr">
        <is>
          <t>TRT100227T13</t>
        </is>
      </c>
      <c r="D960" s="44" t="inlineStr">
        <is>
          <t>12.03.2025</t>
        </is>
      </c>
      <c r="E960" s="44" t="inlineStr">
        <is>
          <t>10.02.2027</t>
        </is>
      </c>
      <c r="F960" s="44" t="n">
        <v>700</v>
      </c>
      <c r="G960" s="44" t="inlineStr">
        <is>
          <t>6 ay</t>
        </is>
      </c>
      <c r="H960" s="15" t="n">
        <v>16.3</v>
      </c>
      <c r="I960" s="45" t="n">
        <v>78274500</v>
      </c>
      <c r="J960" s="45" t="n">
        <v>78146761.19</v>
      </c>
      <c r="K960" s="45" t="n">
        <v>34515000</v>
      </c>
      <c r="L960" s="45" t="n">
        <v>34527130.95</v>
      </c>
      <c r="M960" s="45" t="n">
        <v>4038586.493</v>
      </c>
      <c r="N960" s="45" t="n">
        <v>4039999.99827</v>
      </c>
      <c r="O960" s="45" t="n">
        <v>19993002.444</v>
      </c>
      <c r="P960" s="45" t="n">
        <v>19999999.99484</v>
      </c>
      <c r="Q960" s="45" t="n">
        <v>9141691.408</v>
      </c>
      <c r="R960" s="45" t="n">
        <v>9144890.999989999</v>
      </c>
      <c r="S960" s="45" t="n">
        <v>67688280.345</v>
      </c>
      <c r="T960" s="45" t="n">
        <v>67712021.94310001</v>
      </c>
      <c r="U960" s="15" t="n">
        <v>17.17</v>
      </c>
      <c r="V960" s="15" t="n">
        <v>37.28</v>
      </c>
      <c r="W960" s="49" t="n">
        <v>100.035</v>
      </c>
    </row>
    <row r="961">
      <c r="A961" s="44" t="inlineStr">
        <is>
          <t>TL Cinsi Sabit Faizli Kuponlu Senetler</t>
        </is>
      </c>
      <c r="B961" s="44" t="n">
        <v>2025</v>
      </c>
      <c r="C961" s="44" t="inlineStr">
        <is>
          <t>TRT120929T12*</t>
        </is>
      </c>
      <c r="D961" s="44" t="inlineStr">
        <is>
          <t>19.03.2025</t>
        </is>
      </c>
      <c r="E961" s="44" t="inlineStr">
        <is>
          <t>12.09.2029</t>
        </is>
      </c>
      <c r="F961" s="44" t="n">
        <v>1638</v>
      </c>
      <c r="G961" s="44" t="inlineStr">
        <is>
          <t>6 ay</t>
        </is>
      </c>
      <c r="H961" s="15" t="n">
        <v>15</v>
      </c>
      <c r="I961" s="45" t="n">
        <v>59873000</v>
      </c>
      <c r="J961" s="45" t="n">
        <v>59865139.97</v>
      </c>
      <c r="K961" s="45" t="n">
        <v>33098000</v>
      </c>
      <c r="L961" s="45" t="n">
        <v>33184127.85</v>
      </c>
      <c r="M961" s="45" t="n">
        <v>2992220.227</v>
      </c>
      <c r="N961" s="45" t="n">
        <v>2999999.99959</v>
      </c>
      <c r="O961" s="45" t="n">
        <v>17454617.986</v>
      </c>
      <c r="P961" s="45" t="n">
        <v>17499999.99278</v>
      </c>
      <c r="Q961" s="45" t="n">
        <v>0</v>
      </c>
      <c r="R961" s="45" t="n">
        <v>0</v>
      </c>
      <c r="S961" s="45" t="n">
        <v>53544838.213</v>
      </c>
      <c r="T961" s="45" t="n">
        <v>53684127.84237</v>
      </c>
      <c r="U961" s="15" t="n">
        <v>14.95</v>
      </c>
      <c r="V961" s="15" t="n">
        <v>32.12</v>
      </c>
      <c r="W961" s="49" t="n">
        <v>100.26</v>
      </c>
    </row>
    <row r="962">
      <c r="A962" s="44" t="inlineStr">
        <is>
          <t>TL Cinsi Sabit Faizli Kuponlu Senetler</t>
        </is>
      </c>
      <c r="B962" s="44" t="n">
        <v>2025</v>
      </c>
      <c r="C962" s="44" t="inlineStr">
        <is>
          <t>TRT100227T13</t>
        </is>
      </c>
      <c r="D962" s="44" t="inlineStr">
        <is>
          <t>09.04.2025</t>
        </is>
      </c>
      <c r="E962" s="44" t="inlineStr">
        <is>
          <t>10.02.2027</t>
        </is>
      </c>
      <c r="F962" s="44" t="n">
        <v>672</v>
      </c>
      <c r="G962" s="44" t="inlineStr">
        <is>
          <t>6 ay</t>
        </is>
      </c>
      <c r="H962" s="15" t="n">
        <v>16.3</v>
      </c>
      <c r="I962" s="45" t="n">
        <v>31292649.353</v>
      </c>
      <c r="J962" s="45" t="n">
        <v>28817337.53836</v>
      </c>
      <c r="K962" s="45" t="n">
        <v>18465427.789</v>
      </c>
      <c r="L962" s="45" t="n">
        <v>17082612.69918</v>
      </c>
      <c r="M962" s="45" t="n">
        <v>36752386.202</v>
      </c>
      <c r="N962" s="45" t="n">
        <v>33999999.99933</v>
      </c>
      <c r="O962" s="45" t="n">
        <v>12430954.154</v>
      </c>
      <c r="P962" s="45" t="n">
        <v>11499999.99739</v>
      </c>
      <c r="Q962" s="45" t="n">
        <v>2589197.446</v>
      </c>
      <c r="R962" s="45" t="n">
        <v>2395292.44927</v>
      </c>
      <c r="S962" s="45" t="n">
        <v>70237965.59099999</v>
      </c>
      <c r="T962" s="45" t="n">
        <v>64977905.14517</v>
      </c>
      <c r="U962" s="15" t="n">
        <v>21.39</v>
      </c>
      <c r="V962" s="15" t="n">
        <v>47.36</v>
      </c>
      <c r="W962" s="49" t="n">
        <v>92.511</v>
      </c>
    </row>
    <row r="963">
      <c r="A963" s="44" t="inlineStr">
        <is>
          <t>TL Cinsi Sabit Faizli Kuponlu Senetler</t>
        </is>
      </c>
      <c r="B963" s="44" t="n">
        <v>2025</v>
      </c>
      <c r="C963" s="44" t="inlineStr">
        <is>
          <t>TRT120929T12</t>
        </is>
      </c>
      <c r="D963" s="44" t="inlineStr">
        <is>
          <t>09.04.2025</t>
        </is>
      </c>
      <c r="E963" s="44" t="inlineStr">
        <is>
          <t>12.09.2029</t>
        </is>
      </c>
      <c r="F963" s="44" t="n">
        <v>1617</v>
      </c>
      <c r="G963" s="44" t="inlineStr">
        <is>
          <t>6 ay</t>
        </is>
      </c>
      <c r="H963" s="15" t="n">
        <v>15</v>
      </c>
      <c r="I963" s="45" t="n">
        <v>33643750</v>
      </c>
      <c r="J963" s="45" t="n">
        <v>29445504.0725</v>
      </c>
      <c r="K963" s="45" t="n">
        <v>15439750</v>
      </c>
      <c r="L963" s="45" t="n">
        <v>13562194.2925</v>
      </c>
      <c r="M963" s="45" t="n">
        <v>0</v>
      </c>
      <c r="N963" s="45" t="n">
        <v>0</v>
      </c>
      <c r="O963" s="45" t="n">
        <v>12522911.231</v>
      </c>
      <c r="P963" s="45" t="n">
        <v>10999999.99618</v>
      </c>
      <c r="Q963" s="45" t="n">
        <v>160046.448</v>
      </c>
      <c r="R963" s="45" t="n">
        <v>140583.19946</v>
      </c>
      <c r="S963" s="45" t="n">
        <v>28122707.679</v>
      </c>
      <c r="T963" s="45" t="n">
        <v>24702777.48814</v>
      </c>
      <c r="U963" s="15" t="n">
        <v>18.24</v>
      </c>
      <c r="V963" s="15" t="n">
        <v>39.81</v>
      </c>
      <c r="W963" s="49" t="n">
        <v>87.839</v>
      </c>
    </row>
    <row r="964">
      <c r="A964" s="44" t="inlineStr">
        <is>
          <t>TL Cinsi Sabit Faizli Kuponlu Senetler</t>
        </is>
      </c>
      <c r="B964" s="44" t="n">
        <v>2025</v>
      </c>
      <c r="C964" s="44" t="inlineStr">
        <is>
          <t>TRT270934T18</t>
        </is>
      </c>
      <c r="D964" s="44" t="inlineStr">
        <is>
          <t>16.04.2025</t>
        </is>
      </c>
      <c r="E964" s="44" t="inlineStr">
        <is>
          <t>27.09.2034</t>
        </is>
      </c>
      <c r="F964" s="44" t="n">
        <v>3451</v>
      </c>
      <c r="G964" s="44" t="inlineStr">
        <is>
          <t>6 ay</t>
        </is>
      </c>
      <c r="H964" s="15" t="n">
        <v>13.85</v>
      </c>
      <c r="I964" s="45" t="n">
        <v>11858000</v>
      </c>
      <c r="J964" s="45" t="n">
        <v>10363818.15</v>
      </c>
      <c r="K964" s="45" t="n">
        <v>6182000</v>
      </c>
      <c r="L964" s="45" t="n">
        <v>5435475.74</v>
      </c>
      <c r="M964" s="45" t="n">
        <v>0</v>
      </c>
      <c r="N964" s="45" t="n">
        <v>0</v>
      </c>
      <c r="O964" s="45" t="n">
        <v>1706018.831</v>
      </c>
      <c r="P964" s="45" t="n">
        <v>1499999.99696</v>
      </c>
      <c r="Q964" s="45" t="n">
        <v>0</v>
      </c>
      <c r="R964" s="45" t="n">
        <v>0</v>
      </c>
      <c r="S964" s="45" t="n">
        <v>7888018.831</v>
      </c>
      <c r="T964" s="45" t="n">
        <v>6935475.73696</v>
      </c>
      <c r="U964" s="15" t="n">
        <v>15.99</v>
      </c>
      <c r="V964" s="15" t="n">
        <v>34.53</v>
      </c>
      <c r="W964" s="49" t="n">
        <v>87.92400000000001</v>
      </c>
    </row>
    <row r="965">
      <c r="A965" s="44" t="inlineStr">
        <is>
          <t>TL Cinsi Sabit Faizli Kuponlu Senetler</t>
        </is>
      </c>
      <c r="B965" s="44" t="n">
        <v>2025</v>
      </c>
      <c r="C965" s="44" t="inlineStr">
        <is>
          <t>TRT050527T33</t>
        </is>
      </c>
      <c r="D965" s="44" t="inlineStr">
        <is>
          <t>07.05.2025</t>
        </is>
      </c>
      <c r="E965" s="44" t="inlineStr">
        <is>
          <t>05.05.2027</t>
        </is>
      </c>
      <c r="F965" s="44" t="n">
        <v>728</v>
      </c>
      <c r="G965" s="44" t="inlineStr">
        <is>
          <t>6 ay</t>
        </is>
      </c>
      <c r="H965" s="15" t="n">
        <v>20.5</v>
      </c>
      <c r="I965" s="45" t="n">
        <v>20536000</v>
      </c>
      <c r="J965" s="45" t="n">
        <v>20068212.65</v>
      </c>
      <c r="K965" s="45" t="n">
        <v>13058000</v>
      </c>
      <c r="L965" s="45" t="n">
        <v>12787042.9</v>
      </c>
      <c r="M965" s="45" t="n">
        <v>5616543.271</v>
      </c>
      <c r="N965" s="45" t="n">
        <v>5499999.99813</v>
      </c>
      <c r="O965" s="45" t="n">
        <v>7658922.639</v>
      </c>
      <c r="P965" s="45" t="n">
        <v>7499999.99424</v>
      </c>
      <c r="Q965" s="45" t="n">
        <v>762893.745</v>
      </c>
      <c r="R965" s="45" t="n">
        <v>747063.69979</v>
      </c>
      <c r="S965" s="45" t="n">
        <v>27096359.655</v>
      </c>
      <c r="T965" s="45" t="n">
        <v>26534106.59216</v>
      </c>
      <c r="U965" s="15" t="n">
        <v>21.32</v>
      </c>
      <c r="V965" s="15" t="n">
        <v>47.19</v>
      </c>
      <c r="W965" s="49" t="n">
        <v>97.925</v>
      </c>
    </row>
    <row r="966">
      <c r="A966" s="44" t="inlineStr">
        <is>
          <t>TL Cinsi Sabit Faizli Kuponlu Senetler</t>
        </is>
      </c>
      <c r="B966" s="44" t="n">
        <v>2025</v>
      </c>
      <c r="C966" s="44" t="inlineStr">
        <is>
          <t>TRT120929T12</t>
        </is>
      </c>
      <c r="D966" s="44" t="inlineStr">
        <is>
          <t>11.06.2025</t>
        </is>
      </c>
      <c r="E966" s="44" t="inlineStr">
        <is>
          <t>12.09.2029</t>
        </is>
      </c>
      <c r="F966" s="44" t="n">
        <v>1554</v>
      </c>
      <c r="G966" s="44" t="inlineStr">
        <is>
          <t>6 ay</t>
        </is>
      </c>
      <c r="H966" s="15" t="n">
        <v>15</v>
      </c>
      <c r="I966" s="45" t="n">
        <v>65509416.15</v>
      </c>
      <c r="J966" s="45" t="n">
        <v>62924059.6335</v>
      </c>
      <c r="K966" s="45" t="n">
        <v>40457000</v>
      </c>
      <c r="L966" s="45" t="n">
        <v>38937354.435</v>
      </c>
      <c r="M966" s="45" t="n">
        <v>5205519.305</v>
      </c>
      <c r="N966" s="45" t="n">
        <v>5009999.9999</v>
      </c>
      <c r="O966" s="45" t="n">
        <v>24936619.42</v>
      </c>
      <c r="P966" s="45" t="n">
        <v>23999999.99459</v>
      </c>
      <c r="Q966" s="45" t="n">
        <v>14391045.248</v>
      </c>
      <c r="R966" s="45" t="n">
        <v>13850517.58849</v>
      </c>
      <c r="S966" s="45" t="n">
        <v>84990183.97299999</v>
      </c>
      <c r="T966" s="45" t="n">
        <v>81797872.01797999</v>
      </c>
      <c r="U966" s="15" t="n">
        <v>17.42</v>
      </c>
      <c r="V966" s="15" t="n">
        <v>37.88</v>
      </c>
      <c r="W966" s="49" t="n">
        <v>96.244</v>
      </c>
    </row>
    <row r="967">
      <c r="A967" s="44" t="inlineStr">
        <is>
          <t>TL Cinsi Sabit Faizli Kuponlu Senetler</t>
        </is>
      </c>
      <c r="B967" s="44" t="n">
        <v>2025</v>
      </c>
      <c r="C967" s="44" t="inlineStr">
        <is>
          <t>TRT050527T33</t>
        </is>
      </c>
      <c r="D967" s="44" t="inlineStr">
        <is>
          <t>18.06.2025</t>
        </is>
      </c>
      <c r="E967" s="44" t="inlineStr">
        <is>
          <t>05.05.2027</t>
        </is>
      </c>
      <c r="F967" s="44" t="n">
        <v>686</v>
      </c>
      <c r="G967" s="44" t="inlineStr">
        <is>
          <t>6 ay</t>
        </is>
      </c>
      <c r="H967" s="15" t="n">
        <v>20.5</v>
      </c>
      <c r="I967" s="45" t="n">
        <v>61002002</v>
      </c>
      <c r="J967" s="45" t="n">
        <v>64213987.16705</v>
      </c>
      <c r="K967" s="45" t="n">
        <v>31925000</v>
      </c>
      <c r="L967" s="45" t="n">
        <v>33662635.4</v>
      </c>
      <c r="M967" s="45" t="n">
        <v>2399400.623</v>
      </c>
      <c r="N967" s="45" t="n">
        <v>2529999.99891</v>
      </c>
      <c r="O967" s="45" t="n">
        <v>18967593.861</v>
      </c>
      <c r="P967" s="45" t="n">
        <v>19999999.99485</v>
      </c>
      <c r="Q967" s="45" t="n">
        <v>14797328.743</v>
      </c>
      <c r="R967" s="45" t="n">
        <v>15602747.34648</v>
      </c>
      <c r="S967" s="45" t="n">
        <v>68089323.227</v>
      </c>
      <c r="T967" s="45" t="n">
        <v>71795382.74023999</v>
      </c>
      <c r="U967" s="15" t="n">
        <v>20.08</v>
      </c>
      <c r="V967" s="15" t="n">
        <v>44.19</v>
      </c>
      <c r="W967" s="49" t="n">
        <v>105.443</v>
      </c>
    </row>
    <row r="968">
      <c r="A968" s="44" t="inlineStr">
        <is>
          <t>TL Cinsi Sabit Faizli Kuponlu Senetler</t>
        </is>
      </c>
      <c r="B968" s="44" t="n">
        <v>2025</v>
      </c>
      <c r="C968" s="44" t="inlineStr">
        <is>
          <t>TRT270934T18</t>
        </is>
      </c>
      <c r="D968" s="44" t="inlineStr">
        <is>
          <t>18.06.2025</t>
        </is>
      </c>
      <c r="E968" s="44" t="inlineStr">
        <is>
          <t>27.09.2034</t>
        </is>
      </c>
      <c r="F968" s="44" t="n">
        <v>3388</v>
      </c>
      <c r="G968" s="44" t="inlineStr">
        <is>
          <t>6 ay</t>
        </is>
      </c>
      <c r="H968" s="15" t="n">
        <v>13.85</v>
      </c>
      <c r="I968" s="45" t="n">
        <v>26200000</v>
      </c>
      <c r="J968" s="45" t="n">
        <v>24306739.31</v>
      </c>
      <c r="K968" s="45" t="n">
        <v>6219000</v>
      </c>
      <c r="L968" s="45" t="n">
        <v>5794079.74</v>
      </c>
      <c r="M968" s="45" t="n">
        <v>0</v>
      </c>
      <c r="N968" s="45" t="n">
        <v>0</v>
      </c>
      <c r="O968" s="45" t="n">
        <v>6976719.22</v>
      </c>
      <c r="P968" s="45" t="n">
        <v>6499999.9957</v>
      </c>
      <c r="Q968" s="45" t="n">
        <v>3550377.279</v>
      </c>
      <c r="R968" s="45" t="n">
        <v>3307779.99953</v>
      </c>
      <c r="S968" s="45" t="n">
        <v>16746096.499</v>
      </c>
      <c r="T968" s="45" t="n">
        <v>15601859.73523</v>
      </c>
      <c r="U968" s="15" t="n">
        <v>15.87</v>
      </c>
      <c r="V968" s="15" t="n">
        <v>34.26</v>
      </c>
      <c r="W968" s="49" t="n">
        <v>93.167</v>
      </c>
    </row>
    <row r="969">
      <c r="A969" s="44" t="inlineStr">
        <is>
          <t>TL Cinsi Sabit Faizli Kuponlu Senetler</t>
        </is>
      </c>
      <c r="B969" s="44" t="n">
        <v>2025</v>
      </c>
      <c r="C969" s="44" t="inlineStr">
        <is>
          <t>TRT270934T18</t>
        </is>
      </c>
      <c r="D969" s="44" t="inlineStr">
        <is>
          <t>09.07.2025</t>
        </is>
      </c>
      <c r="E969" s="44" t="inlineStr">
        <is>
          <t>27.09.2034</t>
        </is>
      </c>
      <c r="F969" s="44" t="n">
        <v>3367</v>
      </c>
      <c r="G969" s="44" t="inlineStr">
        <is>
          <t>6 ay</t>
        </is>
      </c>
      <c r="H969" s="15" t="n">
        <v>13.85</v>
      </c>
      <c r="I969" s="45" t="n">
        <v>25756000</v>
      </c>
      <c r="J969" s="45" t="n">
        <v>26033004.3</v>
      </c>
      <c r="K969" s="45" t="n">
        <v>9703000</v>
      </c>
      <c r="L969" s="45" t="n">
        <v>9836982.109999999</v>
      </c>
      <c r="M969" s="45" t="n">
        <v>0</v>
      </c>
      <c r="N969" s="45" t="n">
        <v>0</v>
      </c>
      <c r="O969" s="45" t="n">
        <v>4438701.525</v>
      </c>
      <c r="P969" s="45" t="n">
        <v>4499999.99306</v>
      </c>
      <c r="Q969" s="45" t="n">
        <v>0</v>
      </c>
      <c r="R969" s="45" t="n">
        <v>0</v>
      </c>
      <c r="S969" s="45" t="n">
        <v>14141701.525</v>
      </c>
      <c r="T969" s="45" t="n">
        <v>14336982.10306</v>
      </c>
      <c r="U969" s="15" t="n">
        <v>14.7</v>
      </c>
      <c r="V969" s="15" t="n">
        <v>31.55</v>
      </c>
      <c r="W969" s="49" t="n">
        <v>101.381</v>
      </c>
    </row>
    <row r="970">
      <c r="A970" s="44" t="inlineStr">
        <is>
          <t>TL Cinsi Sabit Faizli Kuponlu Senetler</t>
        </is>
      </c>
      <c r="B970" s="44" t="n">
        <v>2025</v>
      </c>
      <c r="C970" s="44" t="inlineStr">
        <is>
          <t>TRT140727T14</t>
        </is>
      </c>
      <c r="D970" s="44" t="inlineStr">
        <is>
          <t>16.07.2025</t>
        </is>
      </c>
      <c r="E970" s="44" t="inlineStr">
        <is>
          <t>14.07.2027</t>
        </is>
      </c>
      <c r="F970" s="44" t="n">
        <v>728</v>
      </c>
      <c r="G970" s="44" t="inlineStr">
        <is>
          <t>6 ay</t>
        </is>
      </c>
      <c r="H970" s="15" t="n">
        <v>18.92</v>
      </c>
      <c r="I970" s="45" t="n">
        <v>44409208.084</v>
      </c>
      <c r="J970" s="45" t="n">
        <v>44618747.92675</v>
      </c>
      <c r="K970" s="45" t="n">
        <v>30693000</v>
      </c>
      <c r="L970" s="45" t="n">
        <v>30904209.43</v>
      </c>
      <c r="M970" s="45" t="n">
        <v>4965835.053</v>
      </c>
      <c r="N970" s="45" t="n">
        <v>4999999.99816</v>
      </c>
      <c r="O970" s="45" t="n">
        <v>11918004.125</v>
      </c>
      <c r="P970" s="45" t="n">
        <v>11999999.99338</v>
      </c>
      <c r="Q970" s="45" t="n">
        <v>0</v>
      </c>
      <c r="R970" s="45" t="n">
        <v>0</v>
      </c>
      <c r="S970" s="45" t="n">
        <v>47576839.178</v>
      </c>
      <c r="T970" s="45" t="n">
        <v>47904209.42154</v>
      </c>
      <c r="U970" s="15" t="n">
        <v>18.66</v>
      </c>
      <c r="V970" s="15" t="n">
        <v>40.8</v>
      </c>
      <c r="W970" s="49" t="n">
        <v>100.688</v>
      </c>
    </row>
    <row r="971">
      <c r="A971" s="44" t="inlineStr">
        <is>
          <t>TL Cinsi Sabit Faizli Kuponlu Senetler</t>
        </is>
      </c>
      <c r="B971" s="44" t="n">
        <v>2025</v>
      </c>
      <c r="C971" s="44" t="inlineStr">
        <is>
          <t>TRT100730T13</t>
        </is>
      </c>
      <c r="D971" s="44" t="inlineStr">
        <is>
          <t>16.07.2025</t>
        </is>
      </c>
      <c r="E971" s="44" t="inlineStr">
        <is>
          <t>10.07.2030</t>
        </is>
      </c>
      <c r="F971" s="44" t="n">
        <v>1820</v>
      </c>
      <c r="G971" s="44" t="inlineStr">
        <is>
          <t>6 ay</t>
        </is>
      </c>
      <c r="H971" s="15" t="n">
        <v>17.05</v>
      </c>
      <c r="I971" s="45" t="n">
        <v>29339000</v>
      </c>
      <c r="J971" s="45" t="n">
        <v>29653262.11</v>
      </c>
      <c r="K971" s="45" t="n">
        <v>17622000</v>
      </c>
      <c r="L971" s="45" t="n">
        <v>17925329.79</v>
      </c>
      <c r="M971" s="45" t="n">
        <v>1966162.346</v>
      </c>
      <c r="N971" s="45" t="n">
        <v>1999999.99997</v>
      </c>
      <c r="O971" s="45" t="n">
        <v>13271595.829</v>
      </c>
      <c r="P971" s="45" t="n">
        <v>13499999.99323</v>
      </c>
      <c r="Q971" s="45" t="n">
        <v>0</v>
      </c>
      <c r="R971" s="45" t="n">
        <v>0</v>
      </c>
      <c r="S971" s="45" t="n">
        <v>32859758.175</v>
      </c>
      <c r="T971" s="45" t="n">
        <v>33425329.7832</v>
      </c>
      <c r="U971" s="15" t="n">
        <v>16.68</v>
      </c>
      <c r="V971" s="15" t="n">
        <v>36.15</v>
      </c>
      <c r="W971" s="49" t="n">
        <v>101.721</v>
      </c>
    </row>
    <row r="972">
      <c r="A972" s="44" t="inlineStr">
        <is>
          <t>TL Cinsi Sabit Faizli Kuponlu Senetler</t>
        </is>
      </c>
      <c r="B972" s="44" t="n">
        <v>2025</v>
      </c>
      <c r="C972" s="44" t="inlineStr">
        <is>
          <t>TRT140727T14</t>
        </is>
      </c>
      <c r="D972" s="44" t="inlineStr">
        <is>
          <t>13.08.2025</t>
        </is>
      </c>
      <c r="E972" s="44" t="inlineStr">
        <is>
          <t>14.07.2027</t>
        </is>
      </c>
      <c r="F972" s="44" t="n">
        <v>700</v>
      </c>
      <c r="G972" s="44" t="inlineStr">
        <is>
          <t>6 ay</t>
        </is>
      </c>
      <c r="H972" s="15" t="n">
        <v>18.92</v>
      </c>
      <c r="I972" s="45" t="n">
        <v>69677500</v>
      </c>
      <c r="J972" s="45" t="n">
        <v>72246449.255</v>
      </c>
      <c r="K972" s="45" t="n">
        <v>40907000</v>
      </c>
      <c r="L972" s="45" t="n">
        <v>42471623.76</v>
      </c>
      <c r="M972" s="45" t="n">
        <v>11586804.718</v>
      </c>
      <c r="N972" s="45" t="n">
        <v>12029999.99847</v>
      </c>
      <c r="O972" s="45" t="n">
        <v>25042138.208</v>
      </c>
      <c r="P972" s="45" t="n">
        <v>25999999.99444</v>
      </c>
      <c r="Q972" s="45" t="n">
        <v>5701789.548</v>
      </c>
      <c r="R972" s="45" t="n">
        <v>5919882.99821</v>
      </c>
      <c r="S972" s="45" t="n">
        <v>83237732.47400001</v>
      </c>
      <c r="T972" s="45" t="n">
        <v>86421506.75112</v>
      </c>
      <c r="U972" s="15" t="n">
        <v>18.49</v>
      </c>
      <c r="V972" s="15" t="n">
        <v>40.39</v>
      </c>
      <c r="W972" s="49" t="n">
        <v>103.825</v>
      </c>
    </row>
    <row r="973">
      <c r="A973" s="44" t="inlineStr">
        <is>
          <t>TL Cinsi Sabit Faizli Kuponlu Senetler</t>
        </is>
      </c>
      <c r="B973" s="44" t="n">
        <v>2025</v>
      </c>
      <c r="C973" s="44" t="inlineStr">
        <is>
          <t>TRT100730T13</t>
        </is>
      </c>
      <c r="D973" s="44" t="inlineStr">
        <is>
          <t>20.08.2025</t>
        </is>
      </c>
      <c r="E973" s="44" t="inlineStr">
        <is>
          <t>10.07.2030</t>
        </is>
      </c>
      <c r="F973" s="44" t="n">
        <v>1785</v>
      </c>
      <c r="G973" s="44" t="inlineStr">
        <is>
          <t>6 ay</t>
        </is>
      </c>
      <c r="H973" s="15" t="n">
        <v>17.05</v>
      </c>
      <c r="I973" s="45" t="n">
        <v>68352190.93000001</v>
      </c>
      <c r="J973" s="45" t="n">
        <v>71525048.95918</v>
      </c>
      <c r="K973" s="45" t="n">
        <v>38786190.93</v>
      </c>
      <c r="L973" s="45" t="n">
        <v>40665427.19918</v>
      </c>
      <c r="M973" s="45" t="n">
        <v>9537889.265000001</v>
      </c>
      <c r="N973" s="45" t="n">
        <v>9999999.99989</v>
      </c>
      <c r="O973" s="45" t="n">
        <v>22414039.766</v>
      </c>
      <c r="P973" s="45" t="n">
        <v>23499999.99266</v>
      </c>
      <c r="Q973" s="45" t="n">
        <v>20256577.853</v>
      </c>
      <c r="R973" s="45" t="n">
        <v>21238009.04998</v>
      </c>
      <c r="S973" s="45" t="n">
        <v>90994697.814</v>
      </c>
      <c r="T973" s="45" t="n">
        <v>95403436.24171001</v>
      </c>
      <c r="U973" s="15" t="n">
        <v>16.67</v>
      </c>
      <c r="V973" s="15" t="n">
        <v>36.12</v>
      </c>
      <c r="W973" s="49" t="n">
        <v>104.845</v>
      </c>
    </row>
    <row r="974">
      <c r="A974" s="44" t="inlineStr">
        <is>
          <t>TL Cinsi Sabit Faizli Kuponlu Senetler</t>
        </is>
      </c>
      <c r="B974" s="44" t="n">
        <v>2025</v>
      </c>
      <c r="C974" s="44" t="inlineStr">
        <is>
          <t>TRT140727T14</t>
        </is>
      </c>
      <c r="D974" s="44" t="inlineStr">
        <is>
          <t>10.09.2025</t>
        </is>
      </c>
      <c r="E974" s="44" t="inlineStr">
        <is>
          <t>14.07.2027</t>
        </is>
      </c>
      <c r="F974" s="44" t="n">
        <v>672</v>
      </c>
      <c r="G974" s="44" t="inlineStr">
        <is>
          <t>6 ay</t>
        </is>
      </c>
      <c r="H974" s="15" t="n">
        <v>18.92</v>
      </c>
      <c r="I974" s="45" t="n">
        <v>81489000</v>
      </c>
      <c r="J974" s="45" t="n">
        <v>86022272.03</v>
      </c>
      <c r="K974" s="45" t="n">
        <v>39906000</v>
      </c>
      <c r="L974" s="45" t="n">
        <v>42216690.91</v>
      </c>
      <c r="M974" s="45" t="n">
        <v>18905.378</v>
      </c>
      <c r="N974" s="45" t="n">
        <v>19999.99939</v>
      </c>
      <c r="O974" s="45" t="n">
        <v>23631723.22</v>
      </c>
      <c r="P974" s="45" t="n">
        <v>24999999.99444</v>
      </c>
      <c r="Q974" s="45" t="n">
        <v>10444878.53</v>
      </c>
      <c r="R974" s="45" t="n">
        <v>11049636.99688</v>
      </c>
      <c r="S974" s="45" t="n">
        <v>74001507.12799999</v>
      </c>
      <c r="T974" s="45" t="n">
        <v>78286327.90071</v>
      </c>
      <c r="U974" s="15" t="n">
        <v>18.8</v>
      </c>
      <c r="V974" s="15" t="n">
        <v>41.12</v>
      </c>
      <c r="W974" s="49" t="n">
        <v>105.79</v>
      </c>
    </row>
    <row r="975">
      <c r="A975" s="44" t="inlineStr">
        <is>
          <t>TL Cinsi Sabit Faizli Kuponlu Senetler</t>
        </is>
      </c>
      <c r="B975" s="44" t="n">
        <v>2025</v>
      </c>
      <c r="C975" s="44" t="inlineStr">
        <is>
          <t>TRT100730T13</t>
        </is>
      </c>
      <c r="D975" s="44" t="inlineStr">
        <is>
          <t>10.09.2025</t>
        </is>
      </c>
      <c r="E975" s="44" t="inlineStr">
        <is>
          <t>10.07.2030</t>
        </is>
      </c>
      <c r="F975" s="44" t="n">
        <v>1764</v>
      </c>
      <c r="G975" s="44" t="inlineStr">
        <is>
          <t>6 ay</t>
        </is>
      </c>
      <c r="H975" s="15" t="n">
        <v>17.05</v>
      </c>
      <c r="I975" s="45" t="n">
        <v>53540000</v>
      </c>
      <c r="J975" s="45" t="n">
        <v>55088210.29</v>
      </c>
      <c r="K975" s="45" t="n">
        <v>7100000</v>
      </c>
      <c r="L975" s="45" t="n">
        <v>7365740</v>
      </c>
      <c r="M975" s="45" t="n">
        <v>0</v>
      </c>
      <c r="N975" s="45" t="n">
        <v>0</v>
      </c>
      <c r="O975" s="45" t="n">
        <v>4819602.281</v>
      </c>
      <c r="P975" s="45" t="n">
        <v>4999999.99438</v>
      </c>
      <c r="Q975" s="45" t="n">
        <v>3283530.261</v>
      </c>
      <c r="R975" s="45" t="n">
        <v>3406432.79867</v>
      </c>
      <c r="S975" s="45" t="n">
        <v>15203132.542</v>
      </c>
      <c r="T975" s="45" t="n">
        <v>15772172.79305</v>
      </c>
      <c r="U975" s="15" t="n">
        <v>17.32</v>
      </c>
      <c r="V975" s="15" t="n">
        <v>37.63</v>
      </c>
      <c r="W975" s="49" t="n">
        <v>103.743</v>
      </c>
    </row>
    <row r="976">
      <c r="A976" s="44" t="inlineStr">
        <is>
          <t>TL Cinsi Sabit Faizli Kuponlu Senetler</t>
        </is>
      </c>
      <c r="B976" s="44" t="n">
        <v>2025</v>
      </c>
      <c r="C976" s="44" t="inlineStr">
        <is>
          <t>TRT050935T13</t>
        </is>
      </c>
      <c r="D976" s="44" t="inlineStr">
        <is>
          <t>17.09.2025</t>
        </is>
      </c>
      <c r="E976" s="44" t="inlineStr">
        <is>
          <t>05.09.2035</t>
        </is>
      </c>
      <c r="F976" s="44" t="n">
        <v>3640</v>
      </c>
      <c r="G976" s="44" t="inlineStr">
        <is>
          <t>6 ay</t>
        </is>
      </c>
      <c r="H976" s="15" t="n">
        <v>15.03</v>
      </c>
      <c r="I976" s="45" t="n">
        <v>30517550</v>
      </c>
      <c r="J976" s="45" t="n">
        <v>30330279.005</v>
      </c>
      <c r="K976" s="45" t="n">
        <v>6358000</v>
      </c>
      <c r="L976" s="45" t="n">
        <v>6397112.75</v>
      </c>
      <c r="M976" s="45" t="n">
        <v>0</v>
      </c>
      <c r="N976" s="45" t="n">
        <v>0</v>
      </c>
      <c r="O976" s="45" t="n">
        <v>3975550.36</v>
      </c>
      <c r="P976" s="45" t="n">
        <v>3999999.99471</v>
      </c>
      <c r="Q976" s="45" t="n">
        <v>3635622.816</v>
      </c>
      <c r="R976" s="45" t="n">
        <v>3657981.89631</v>
      </c>
      <c r="S976" s="45" t="n">
        <v>13969173.176</v>
      </c>
      <c r="T976" s="45" t="n">
        <v>14055094.64102</v>
      </c>
      <c r="U976" s="15" t="n">
        <v>14.93</v>
      </c>
      <c r="V976" s="15" t="n">
        <v>32.09</v>
      </c>
      <c r="W976" s="49" t="n">
        <v>100.615</v>
      </c>
    </row>
    <row r="977">
      <c r="A977" s="44" t="inlineStr">
        <is>
          <t>TL Cinsi Sabit Faizli Kuponlu Senetler</t>
        </is>
      </c>
      <c r="B977" s="44" t="n">
        <v>2025</v>
      </c>
      <c r="C977" s="44" t="inlineStr">
        <is>
          <t>TRT021030T18</t>
        </is>
      </c>
      <c r="D977" s="44" t="inlineStr">
        <is>
          <t>08.10.2025</t>
        </is>
      </c>
      <c r="E977" s="44" t="inlineStr">
        <is>
          <t>02.10.2030</t>
        </is>
      </c>
      <c r="F977" s="44" t="n">
        <v>1820</v>
      </c>
      <c r="G977" s="44" t="inlineStr">
        <is>
          <t>6 ay</t>
        </is>
      </c>
      <c r="H977" s="15" t="n">
        <v>16.95</v>
      </c>
      <c r="I977" s="45" t="n">
        <v>46191947.508</v>
      </c>
      <c r="J977" s="45" t="n">
        <v>45808735.9164</v>
      </c>
      <c r="K977" s="45" t="n">
        <v>20470100</v>
      </c>
      <c r="L977" s="45" t="n">
        <v>20384289.1</v>
      </c>
      <c r="M977" s="45" t="n">
        <v>10042076.298</v>
      </c>
      <c r="N977" s="45" t="n">
        <v>9999999.99832</v>
      </c>
      <c r="O977" s="45" t="n">
        <v>11799439.645</v>
      </c>
      <c r="P977" s="45" t="n">
        <v>11749999.99288</v>
      </c>
      <c r="Q977" s="45" t="n">
        <v>6596003.784</v>
      </c>
      <c r="R977" s="45" t="n">
        <v>6568366.52815</v>
      </c>
      <c r="S977" s="45" t="n">
        <v>48907619.72700001</v>
      </c>
      <c r="T977" s="45" t="n">
        <v>48702655.61935</v>
      </c>
      <c r="U977" s="15" t="n">
        <v>17.04</v>
      </c>
      <c r="V977" s="15" t="n">
        <v>36.98</v>
      </c>
      <c r="W977" s="49" t="n">
        <v>99.581</v>
      </c>
    </row>
    <row r="978">
      <c r="A978" s="44" t="inlineStr">
        <is>
          <t>TL Cinsi Sabit Faizli Kuponlu Senetler</t>
        </is>
      </c>
      <c r="B978" s="44" t="n">
        <v>2025</v>
      </c>
      <c r="C978" s="44" t="inlineStr">
        <is>
          <t>TRT131027T36</t>
        </is>
      </c>
      <c r="D978" s="44" t="inlineStr">
        <is>
          <t>15.10.2025</t>
        </is>
      </c>
      <c r="E978" s="44" t="inlineStr">
        <is>
          <t>13.10.2027</t>
        </is>
      </c>
      <c r="F978" s="44" t="n">
        <v>728</v>
      </c>
      <c r="G978" s="44" t="inlineStr">
        <is>
          <t>6 ay</t>
        </is>
      </c>
      <c r="H978" s="15" t="n">
        <v>18.39</v>
      </c>
      <c r="I978" s="45" t="n">
        <v>49225565.756</v>
      </c>
      <c r="J978" s="45" t="n">
        <v>48968364.33258</v>
      </c>
      <c r="K978" s="45" t="n">
        <v>26058000</v>
      </c>
      <c r="L978" s="45" t="n">
        <v>25969348.44</v>
      </c>
      <c r="M978" s="45" t="n">
        <v>10310054.183</v>
      </c>
      <c r="N978" s="45" t="n">
        <v>10274999.99878</v>
      </c>
      <c r="O978" s="45" t="n">
        <v>9532410.188999999</v>
      </c>
      <c r="P978" s="45" t="n">
        <v>9499999.994379999</v>
      </c>
      <c r="Q978" s="45" t="n">
        <v>0</v>
      </c>
      <c r="R978" s="45" t="n">
        <v>0</v>
      </c>
      <c r="S978" s="45" t="n">
        <v>45900464.37199999</v>
      </c>
      <c r="T978" s="45" t="n">
        <v>45744348.43316</v>
      </c>
      <c r="U978" s="15" t="n">
        <v>18.52</v>
      </c>
      <c r="V978" s="15" t="n">
        <v>40.46</v>
      </c>
      <c r="W978" s="49" t="n">
        <v>99.66</v>
      </c>
    </row>
    <row r="979">
      <c r="A979" s="44" t="inlineStr">
        <is>
          <t>TL Cinsi Sabit Faizli Kuponlu Senetler</t>
        </is>
      </c>
      <c r="B979" s="44" t="n">
        <v>2025</v>
      </c>
      <c r="C979" s="44" t="inlineStr">
        <is>
          <t>TRT050935T13</t>
        </is>
      </c>
      <c r="D979" s="44" t="inlineStr">
        <is>
          <t>15.10.2025</t>
        </is>
      </c>
      <c r="E979" s="44" t="inlineStr">
        <is>
          <t>05.09.2035</t>
        </is>
      </c>
      <c r="F979" s="44" t="n">
        <v>3612</v>
      </c>
      <c r="G979" s="44" t="inlineStr">
        <is>
          <t>6 ay</t>
        </is>
      </c>
      <c r="H979" s="15" t="n">
        <v>15.03</v>
      </c>
      <c r="I979" s="45" t="n">
        <v>16652581.806</v>
      </c>
      <c r="J979" s="45" t="n">
        <v>17158690.90258</v>
      </c>
      <c r="K979" s="45" t="n">
        <v>10760000</v>
      </c>
      <c r="L979" s="45" t="n">
        <v>11125643.9</v>
      </c>
      <c r="M979" s="45" t="n">
        <v>0</v>
      </c>
      <c r="N979" s="45" t="n">
        <v>0</v>
      </c>
      <c r="O979" s="45" t="n">
        <v>4110330.948</v>
      </c>
      <c r="P979" s="45" t="n">
        <v>4249999.9936</v>
      </c>
      <c r="Q979" s="45" t="n">
        <v>0</v>
      </c>
      <c r="R979" s="45" t="n">
        <v>0</v>
      </c>
      <c r="S979" s="45" t="n">
        <v>14870330.948</v>
      </c>
      <c r="T979" s="45" t="n">
        <v>15375643.8936</v>
      </c>
      <c r="U979" s="15" t="n">
        <v>14.84</v>
      </c>
      <c r="V979" s="15" t="n">
        <v>31.87</v>
      </c>
      <c r="W979" s="49" t="n">
        <v>103.398</v>
      </c>
    </row>
    <row r="980">
      <c r="A980" s="44" t="inlineStr">
        <is>
          <t>TL Cinsi Sabit Faizli Kuponlu Senetler</t>
        </is>
      </c>
      <c r="B980" s="44" t="n">
        <v>2025</v>
      </c>
      <c r="C980" s="44" t="inlineStr">
        <is>
          <t>TRT131027T36</t>
        </is>
      </c>
      <c r="D980" s="44" t="inlineStr">
        <is>
          <t>12.11.2025</t>
        </is>
      </c>
      <c r="E980" s="44" t="inlineStr">
        <is>
          <t>13.10.2027</t>
        </is>
      </c>
      <c r="F980" s="44" t="n">
        <v>700</v>
      </c>
      <c r="G980" s="44" t="inlineStr">
        <is>
          <t>6 ay</t>
        </is>
      </c>
      <c r="H980" s="15" t="n">
        <v>18.39</v>
      </c>
      <c r="I980" s="45" t="n">
        <v>47904962.457</v>
      </c>
      <c r="J980" s="45" t="n">
        <v>49178428.58256</v>
      </c>
      <c r="K980" s="45" t="n">
        <v>19793938</v>
      </c>
      <c r="L980" s="45" t="n">
        <v>20351631.8431</v>
      </c>
      <c r="M980" s="45" t="n">
        <v>9774648.16</v>
      </c>
      <c r="N980" s="45" t="n">
        <v>10049999.99868</v>
      </c>
      <c r="O980" s="45" t="n">
        <v>9726018.064999999</v>
      </c>
      <c r="P980" s="45" t="n">
        <v>9999999.993890001</v>
      </c>
      <c r="Q980" s="45" t="n">
        <v>2681886.547</v>
      </c>
      <c r="R980" s="45" t="n">
        <v>2757435.29102</v>
      </c>
      <c r="S980" s="45" t="n">
        <v>41976490.772</v>
      </c>
      <c r="T980" s="45" t="n">
        <v>43159067.12669</v>
      </c>
      <c r="U980" s="15" t="n">
        <v>18.32</v>
      </c>
      <c r="V980" s="15" t="n">
        <v>39.99</v>
      </c>
      <c r="W980" s="49" t="n">
        <v>102.817</v>
      </c>
    </row>
    <row r="981">
      <c r="A981" s="44" t="inlineStr">
        <is>
          <t>TL Cinsi Sabit Faizli Kuponlu Senetler</t>
        </is>
      </c>
      <c r="B981" s="44" t="n">
        <v>2025</v>
      </c>
      <c r="C981" s="44" t="inlineStr">
        <is>
          <t>TRT021030T18</t>
        </is>
      </c>
      <c r="D981" s="44" t="inlineStr">
        <is>
          <t>12.11.2025</t>
        </is>
      </c>
      <c r="E981" s="44" t="inlineStr">
        <is>
          <t>02.10.2030</t>
        </is>
      </c>
      <c r="F981" s="44" t="n">
        <v>1785</v>
      </c>
      <c r="G981" s="44" t="inlineStr">
        <is>
          <t>6 ay</t>
        </is>
      </c>
      <c r="H981" s="15" t="n">
        <v>16.95</v>
      </c>
      <c r="I981" s="45" t="n">
        <v>18227000</v>
      </c>
      <c r="J981" s="45" t="n">
        <v>18740505.27</v>
      </c>
      <c r="K981" s="45" t="n">
        <v>3025000</v>
      </c>
      <c r="L981" s="45" t="n">
        <v>3120415</v>
      </c>
      <c r="M981" s="45" t="n">
        <v>0</v>
      </c>
      <c r="N981" s="45" t="n">
        <v>0</v>
      </c>
      <c r="O981" s="45" t="n">
        <v>3877697.418</v>
      </c>
      <c r="P981" s="45" t="n">
        <v>3999999.99456</v>
      </c>
      <c r="Q981" s="45" t="n">
        <v>969581.8860000001</v>
      </c>
      <c r="R981" s="45" t="n">
        <v>1000162.49868</v>
      </c>
      <c r="S981" s="45" t="n">
        <v>7872279.304</v>
      </c>
      <c r="T981" s="45" t="n">
        <v>8120577.49324</v>
      </c>
      <c r="U981" s="15" t="n">
        <v>16.93</v>
      </c>
      <c r="V981" s="15" t="n">
        <v>36.72</v>
      </c>
      <c r="W981" s="49" t="n">
        <v>103.154</v>
      </c>
    </row>
    <row r="982">
      <c r="A982" s="44" t="inlineStr">
        <is>
          <t>TL Cinsi Sabit Faizli Kuponlu Senetler</t>
        </is>
      </c>
      <c r="B982" s="44" t="n">
        <v>2025</v>
      </c>
      <c r="C982" s="44" t="inlineStr">
        <is>
          <t>TRT131027T36</t>
        </is>
      </c>
      <c r="D982" s="44" t="inlineStr">
        <is>
          <t>10.12.2025</t>
        </is>
      </c>
      <c r="E982" s="44" t="inlineStr">
        <is>
          <t>13.10.2027</t>
        </is>
      </c>
      <c r="F982" s="44" t="n">
        <v>672</v>
      </c>
      <c r="G982" s="44" t="inlineStr">
        <is>
          <t>6 ay</t>
        </is>
      </c>
      <c r="H982" s="15" t="n">
        <v>18.39</v>
      </c>
      <c r="I982" s="45" t="n">
        <v>38868018.538</v>
      </c>
      <c r="J982" s="45" t="n">
        <v>41885488.09972</v>
      </c>
      <c r="K982" s="45" t="n">
        <v>9620000</v>
      </c>
      <c r="L982" s="45" t="n">
        <v>10390576</v>
      </c>
      <c r="M982" s="45" t="n">
        <v>12406258.675</v>
      </c>
      <c r="N982" s="45" t="n">
        <v>13399999.99486</v>
      </c>
      <c r="O982" s="45" t="n">
        <v>13424682.894</v>
      </c>
      <c r="P982" s="45" t="n">
        <v>14499999.9938</v>
      </c>
      <c r="Q982" s="45" t="n">
        <v>0</v>
      </c>
      <c r="R982" s="45" t="n">
        <v>0</v>
      </c>
      <c r="S982" s="45" t="n">
        <v>35450941.569</v>
      </c>
      <c r="T982" s="45" t="n">
        <v>38290575.98866</v>
      </c>
      <c r="U982" s="15" t="n">
        <v>17.35</v>
      </c>
      <c r="V982" s="15" t="n">
        <v>37.72</v>
      </c>
      <c r="W982" s="49" t="n">
        <v>108.01</v>
      </c>
    </row>
    <row r="983">
      <c r="A983" s="44" t="inlineStr">
        <is>
          <t>TL Cinsi Sabit Faizli Kuponlu Senetler</t>
        </is>
      </c>
      <c r="B983" s="44" t="n">
        <v>2025</v>
      </c>
      <c r="C983" s="44" t="inlineStr">
        <is>
          <t>TRT021030T18</t>
        </is>
      </c>
      <c r="D983" s="44" t="inlineStr">
        <is>
          <t>10.12.2025</t>
        </is>
      </c>
      <c r="E983" s="44" t="inlineStr">
        <is>
          <t>02.10.2030</t>
        </is>
      </c>
      <c r="F983" s="44" t="n">
        <v>1757</v>
      </c>
      <c r="G983" s="44" t="inlineStr">
        <is>
          <t>6 ay</t>
        </is>
      </c>
      <c r="H983" s="15" t="n">
        <v>16.95</v>
      </c>
      <c r="I983" s="45" t="n">
        <v>21399000</v>
      </c>
      <c r="J983" s="45" t="n">
        <v>23531748.74</v>
      </c>
      <c r="K983" s="45" t="n">
        <v>7514000</v>
      </c>
      <c r="L983" s="45" t="n">
        <v>8283760.01</v>
      </c>
      <c r="M983" s="45" t="n">
        <v>4544465.004</v>
      </c>
      <c r="N983" s="45" t="n">
        <v>5009999.99901</v>
      </c>
      <c r="O983" s="45" t="n">
        <v>11338485.537</v>
      </c>
      <c r="P983" s="45" t="n">
        <v>12499999.99541</v>
      </c>
      <c r="Q983" s="45" t="n">
        <v>2099305.442</v>
      </c>
      <c r="R983" s="45" t="n">
        <v>2314358.29148</v>
      </c>
      <c r="S983" s="45" t="n">
        <v>25496255.983</v>
      </c>
      <c r="T983" s="45" t="n">
        <v>28108118.2959</v>
      </c>
      <c r="U983" s="15" t="n">
        <v>15.97</v>
      </c>
      <c r="V983" s="15" t="n">
        <v>34.49</v>
      </c>
      <c r="W983" s="49" t="n">
        <v>110.244</v>
      </c>
    </row>
    <row r="984">
      <c r="A984" s="44" t="inlineStr">
        <is>
          <t>TL Cinsi Sabit Faizli Kuponlu Senetler</t>
        </is>
      </c>
      <c r="B984" s="44" t="n">
        <v>2025</v>
      </c>
      <c r="C984" s="44" t="inlineStr">
        <is>
          <t>(*) İlgili ihalede yükümlülüğün yerine getirilmemesi sebebiyle, ihalede kabul edilen tutar ve toplam satış tutarlarında yukarıda belirtilen istatistiklerden nominal satış tutarı 300.000.000,00 TL; net satış tutarı ise 343.384.000,00 TL eksik gerçekleşmiştir.</t>
        </is>
      </c>
      <c r="D984" s="44" t="inlineStr">
        <is>
          <t>nan</t>
        </is>
      </c>
      <c r="E984" s="44" t="inlineStr">
        <is>
          <t>nan</t>
        </is>
      </c>
      <c r="F984" s="44" t="n"/>
      <c r="G984" s="44" t="n"/>
      <c r="H984" s="1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15" t="n"/>
      <c r="V984" s="15" t="n"/>
      <c r="W984" s="49" t="n"/>
    </row>
    <row r="985">
      <c r="A985" s="44" t="inlineStr">
        <is>
          <t>TL Cinsi Sabit Faizli Kuponlu Senetler</t>
        </is>
      </c>
      <c r="B985" s="44" t="n">
        <v>2024</v>
      </c>
      <c r="C985" s="44" t="inlineStr">
        <is>
          <t>TRT051033T12</t>
        </is>
      </c>
      <c r="D985" s="44" t="inlineStr">
        <is>
          <t>10.01.2024</t>
        </is>
      </c>
      <c r="E985" s="44" t="inlineStr">
        <is>
          <t>05.10.2033</t>
        </is>
      </c>
      <c r="F985" s="44" t="n">
        <v>3556</v>
      </c>
      <c r="G985" s="44" t="inlineStr">
        <is>
          <t>6 ay</t>
        </is>
      </c>
      <c r="H985" s="15" t="n">
        <v>13.1</v>
      </c>
      <c r="I985" s="45" t="n">
        <v>69730047.52500001</v>
      </c>
      <c r="J985" s="45" t="n">
        <v>72875275.44546001</v>
      </c>
      <c r="K985" s="45" t="n">
        <v>10390000</v>
      </c>
      <c r="L985" s="45" t="n">
        <v>10977161.83</v>
      </c>
      <c r="M985" s="45" t="n">
        <v>2839.537</v>
      </c>
      <c r="N985" s="45" t="n">
        <v>2999.99924</v>
      </c>
      <c r="O985" s="45" t="n">
        <v>9465125.74</v>
      </c>
      <c r="P985" s="45" t="n">
        <v>9999999.99556</v>
      </c>
      <c r="Q985" s="45" t="n">
        <v>4999000</v>
      </c>
      <c r="R985" s="45" t="n">
        <v>5281493.49</v>
      </c>
      <c r="S985" s="45" t="n">
        <v>24856965.277</v>
      </c>
      <c r="T985" s="45" t="n">
        <v>26261655.3148</v>
      </c>
      <c r="U985" s="15" t="n">
        <v>13.13</v>
      </c>
      <c r="V985" s="15" t="n">
        <v>27.98</v>
      </c>
      <c r="W985" s="49" t="n">
        <v>105.651</v>
      </c>
    </row>
    <row r="986">
      <c r="A986" s="44" t="inlineStr">
        <is>
          <t>TL Cinsi Sabit Faizli Kuponlu Senetler</t>
        </is>
      </c>
      <c r="B986" s="44" t="n">
        <v>2024</v>
      </c>
      <c r="C986" s="44" t="inlineStr">
        <is>
          <t>TRT011025T16</t>
        </is>
      </c>
      <c r="D986" s="44" t="inlineStr">
        <is>
          <t>10.01.2024</t>
        </is>
      </c>
      <c r="E986" s="44" t="inlineStr">
        <is>
          <t>01.10.2025</t>
        </is>
      </c>
      <c r="F986" s="44" t="n">
        <v>630</v>
      </c>
      <c r="G986" s="44" t="inlineStr">
        <is>
          <t>6 ay</t>
        </is>
      </c>
      <c r="H986" s="15" t="n">
        <v>6.3</v>
      </c>
      <c r="I986" s="45" t="n">
        <v>45356009.183</v>
      </c>
      <c r="J986" s="45" t="n">
        <v>33276420.38808</v>
      </c>
      <c r="K986" s="45" t="n">
        <v>14606000</v>
      </c>
      <c r="L986" s="45" t="n">
        <v>10834798.92</v>
      </c>
      <c r="M986" s="45" t="n">
        <v>2709625.235</v>
      </c>
      <c r="N986" s="45" t="n">
        <v>2009999.99932</v>
      </c>
      <c r="O986" s="45" t="n">
        <v>13480722.561</v>
      </c>
      <c r="P986" s="45" t="n">
        <v>9999999.99574</v>
      </c>
      <c r="Q986" s="45" t="n">
        <v>4409538.284</v>
      </c>
      <c r="R986" s="45" t="n">
        <v>3270995.49907</v>
      </c>
      <c r="S986" s="45" t="n">
        <v>35205886.08</v>
      </c>
      <c r="T986" s="45" t="n">
        <v>26115794.41413</v>
      </c>
      <c r="U986" s="15" t="n">
        <v>18.38</v>
      </c>
      <c r="V986" s="15" t="n">
        <v>40.14</v>
      </c>
      <c r="W986" s="49" t="n">
        <v>74.18000000000001</v>
      </c>
    </row>
    <row r="987">
      <c r="A987" s="44" t="inlineStr">
        <is>
          <t>TL Cinsi Sabit Faizli Kuponlu Senetler</t>
        </is>
      </c>
      <c r="B987" s="44" t="n">
        <v>2024</v>
      </c>
      <c r="C987" s="44" t="inlineStr">
        <is>
          <t>TRT081128T15</t>
        </is>
      </c>
      <c r="D987" s="44" t="inlineStr">
        <is>
          <t>24.01.2024</t>
        </is>
      </c>
      <c r="E987" s="44" t="inlineStr">
        <is>
          <t>08.11.2028</t>
        </is>
      </c>
      <c r="F987" s="44" t="n">
        <v>1750</v>
      </c>
      <c r="G987" s="44" t="inlineStr">
        <is>
          <t>6 ay</t>
        </is>
      </c>
      <c r="H987" s="15" t="n">
        <v>15.54</v>
      </c>
      <c r="I987" s="45" t="n">
        <v>33597082.272</v>
      </c>
      <c r="J987" s="45" t="n">
        <v>37293018.5676</v>
      </c>
      <c r="K987" s="45" t="n">
        <v>16926000</v>
      </c>
      <c r="L987" s="45" t="n">
        <v>18915179.62</v>
      </c>
      <c r="M987" s="45" t="n">
        <v>1789677.142</v>
      </c>
      <c r="N987" s="45" t="n">
        <v>1999999.99973</v>
      </c>
      <c r="O987" s="45" t="n">
        <v>8948385.705</v>
      </c>
      <c r="P987" s="45" t="n">
        <v>9999999.99305</v>
      </c>
      <c r="Q987" s="45" t="n">
        <v>7720936.089</v>
      </c>
      <c r="R987" s="45" t="n">
        <v>8628300.49818</v>
      </c>
      <c r="S987" s="45" t="n">
        <v>35384998.936</v>
      </c>
      <c r="T987" s="45" t="n">
        <v>39543480.11096</v>
      </c>
      <c r="U987" s="15" t="n">
        <v>14.35</v>
      </c>
      <c r="V987" s="15" t="n">
        <v>30.75</v>
      </c>
      <c r="W987" s="49" t="n">
        <v>111.752</v>
      </c>
    </row>
    <row r="988">
      <c r="A988" s="44" t="inlineStr">
        <is>
          <t>TL Cinsi Sabit Faizli Kuponlu Senetler</t>
        </is>
      </c>
      <c r="B988" s="44" t="n">
        <v>2024</v>
      </c>
      <c r="C988" s="44" t="inlineStr">
        <is>
          <t>TRT051033T12</t>
        </is>
      </c>
      <c r="D988" s="44" t="inlineStr">
        <is>
          <t>14.02.2024</t>
        </is>
      </c>
      <c r="E988" s="44" t="inlineStr">
        <is>
          <t>05.10.2033</t>
        </is>
      </c>
      <c r="F988" s="44" t="n">
        <v>3521</v>
      </c>
      <c r="G988" s="44" t="inlineStr">
        <is>
          <t>6 ay</t>
        </is>
      </c>
      <c r="H988" s="15" t="n">
        <v>13.1</v>
      </c>
      <c r="I988" s="45" t="n">
        <v>47554200</v>
      </c>
      <c r="J988" s="45" t="n">
        <v>52868374.154</v>
      </c>
      <c r="K988" s="45" t="n">
        <v>8842000</v>
      </c>
      <c r="L988" s="45" t="n">
        <v>9965615.939999999</v>
      </c>
      <c r="M988" s="45" t="n">
        <v>8872.484</v>
      </c>
      <c r="N988" s="45" t="n">
        <v>9999.99927</v>
      </c>
      <c r="O988" s="45" t="n">
        <v>8872484.642999999</v>
      </c>
      <c r="P988" s="45" t="n">
        <v>9999999.99141</v>
      </c>
      <c r="Q988" s="45" t="n">
        <v>4509589.665</v>
      </c>
      <c r="R988" s="45" t="n">
        <v>5082668.31963</v>
      </c>
      <c r="S988" s="45" t="n">
        <v>22232946.792</v>
      </c>
      <c r="T988" s="45" t="n">
        <v>25058284.25031</v>
      </c>
      <c r="U988" s="15" t="n">
        <v>12.5</v>
      </c>
      <c r="V988" s="15" t="n">
        <v>26.56</v>
      </c>
      <c r="W988" s="49" t="n">
        <v>112.708</v>
      </c>
    </row>
    <row r="989">
      <c r="A989" s="44" t="inlineStr">
        <is>
          <t>TL Cinsi Sabit Faizli Kuponlu Senetler</t>
        </is>
      </c>
      <c r="B989" s="44" t="n">
        <v>2024</v>
      </c>
      <c r="C989" s="44" t="inlineStr">
        <is>
          <t>TRT180226T16</t>
        </is>
      </c>
      <c r="D989" s="44" t="inlineStr">
        <is>
          <t>21.02.2024</t>
        </is>
      </c>
      <c r="E989" s="44" t="inlineStr">
        <is>
          <t>18.02.2026</t>
        </is>
      </c>
      <c r="F989" s="44" t="n">
        <v>728</v>
      </c>
      <c r="G989" s="44" t="inlineStr">
        <is>
          <t>6 ay</t>
        </is>
      </c>
      <c r="H989" s="15" t="n">
        <v>18.5</v>
      </c>
      <c r="I989" s="45" t="n">
        <v>15246000</v>
      </c>
      <c r="J989" s="45" t="n">
        <v>14682645.92</v>
      </c>
      <c r="K989" s="45" t="n">
        <v>6976000</v>
      </c>
      <c r="L989" s="45" t="n">
        <v>6804546.72</v>
      </c>
      <c r="M989" s="45" t="n">
        <v>3101228.188</v>
      </c>
      <c r="N989" s="45" t="n">
        <v>3024999.99914</v>
      </c>
      <c r="O989" s="45" t="n">
        <v>1537799.098</v>
      </c>
      <c r="P989" s="45" t="n">
        <v>1499999.99617</v>
      </c>
      <c r="Q989" s="45" t="n">
        <v>2415312.754</v>
      </c>
      <c r="R989" s="45" t="n">
        <v>2355944.3665</v>
      </c>
      <c r="S989" s="45" t="n">
        <v>14030340.04</v>
      </c>
      <c r="T989" s="45" t="n">
        <v>13685491.08181</v>
      </c>
      <c r="U989" s="15" t="n">
        <v>19.44</v>
      </c>
      <c r="V989" s="15" t="n">
        <v>42.66</v>
      </c>
      <c r="W989" s="49" t="n">
        <v>97.542</v>
      </c>
    </row>
    <row r="990">
      <c r="A990" s="44" t="inlineStr">
        <is>
          <t>TL Cinsi Sabit Faizli Kuponlu Senetler</t>
        </is>
      </c>
      <c r="B990" s="44" t="n">
        <v>2024</v>
      </c>
      <c r="C990" s="44" t="inlineStr">
        <is>
          <t>TRT081128T15</t>
        </is>
      </c>
      <c r="D990" s="44" t="inlineStr">
        <is>
          <t>21.02.2024</t>
        </is>
      </c>
      <c r="E990" s="44" t="inlineStr">
        <is>
          <t>08.11.2028</t>
        </is>
      </c>
      <c r="F990" s="44" t="n">
        <v>1722</v>
      </c>
      <c r="G990" s="44" t="inlineStr">
        <is>
          <t>6 ay</t>
        </is>
      </c>
      <c r="H990" s="15" t="n">
        <v>15.54</v>
      </c>
      <c r="I990" s="45" t="n">
        <v>21490110</v>
      </c>
      <c r="J990" s="45" t="n">
        <v>24959850.823</v>
      </c>
      <c r="K990" s="45" t="n">
        <v>11318110</v>
      </c>
      <c r="L990" s="45" t="n">
        <v>13247060.223</v>
      </c>
      <c r="M990" s="45" t="n">
        <v>17087.736</v>
      </c>
      <c r="N990" s="45" t="n">
        <v>19999.99885</v>
      </c>
      <c r="O990" s="45" t="n">
        <v>5980707.939</v>
      </c>
      <c r="P990" s="45" t="n">
        <v>6999999.99304</v>
      </c>
      <c r="Q990" s="45" t="n">
        <v>0</v>
      </c>
      <c r="R990" s="45" t="n">
        <v>0</v>
      </c>
      <c r="S990" s="45" t="n">
        <v>17315905.675</v>
      </c>
      <c r="T990" s="45" t="n">
        <v>20267060.21489</v>
      </c>
      <c r="U990" s="15" t="n">
        <v>13.79</v>
      </c>
      <c r="V990" s="15" t="n">
        <v>29.49</v>
      </c>
      <c r="W990" s="49" t="n">
        <v>117.043</v>
      </c>
    </row>
    <row r="991">
      <c r="A991" s="44" t="inlineStr">
        <is>
          <t>TL Cinsi Sabit Faizli Kuponlu Senetler</t>
        </is>
      </c>
      <c r="B991" s="44" t="n">
        <v>2024</v>
      </c>
      <c r="C991" s="44" t="inlineStr">
        <is>
          <t>TRT051033T12</t>
        </is>
      </c>
      <c r="D991" s="44" t="inlineStr">
        <is>
          <t>13.03.2024</t>
        </is>
      </c>
      <c r="E991" s="44" t="inlineStr">
        <is>
          <t>05.10.2033</t>
        </is>
      </c>
      <c r="F991" s="44" t="n">
        <v>3493</v>
      </c>
      <c r="G991" s="44" t="inlineStr">
        <is>
          <t>6 ay</t>
        </is>
      </c>
      <c r="H991" s="15" t="n">
        <v>13.1</v>
      </c>
      <c r="I991" s="45" t="n">
        <v>29461000</v>
      </c>
      <c r="J991" s="45" t="n">
        <v>33154538.38</v>
      </c>
      <c r="K991" s="45" t="n">
        <v>7752000</v>
      </c>
      <c r="L991" s="45" t="n">
        <v>8799996.060000001</v>
      </c>
      <c r="M991" s="45" t="n">
        <v>0</v>
      </c>
      <c r="N991" s="45" t="n">
        <v>0</v>
      </c>
      <c r="O991" s="45" t="n">
        <v>7928188.226</v>
      </c>
      <c r="P991" s="45" t="n">
        <v>8999999.992280001</v>
      </c>
      <c r="Q991" s="45" t="n">
        <v>2454304.759</v>
      </c>
      <c r="R991" s="45" t="n">
        <v>2786102.21937</v>
      </c>
      <c r="S991" s="45" t="n">
        <v>18134492.985</v>
      </c>
      <c r="T991" s="45" t="n">
        <v>20586098.27165</v>
      </c>
      <c r="U991" s="15" t="n">
        <v>12.67</v>
      </c>
      <c r="V991" s="15" t="n">
        <v>26.94</v>
      </c>
      <c r="W991" s="49" t="n">
        <v>113.519</v>
      </c>
    </row>
    <row r="992">
      <c r="A992" s="44" t="inlineStr">
        <is>
          <t>TL Cinsi Sabit Faizli Kuponlu Senetler</t>
        </is>
      </c>
      <c r="B992" s="44" t="n">
        <v>2024</v>
      </c>
      <c r="C992" s="44" t="inlineStr">
        <is>
          <t>TRT180226T16</t>
        </is>
      </c>
      <c r="D992" s="44" t="inlineStr">
        <is>
          <t>20.03.2024</t>
        </is>
      </c>
      <c r="E992" s="44" t="inlineStr">
        <is>
          <t>18.02.2026</t>
        </is>
      </c>
      <c r="F992" s="44" t="n">
        <v>700</v>
      </c>
      <c r="G992" s="44" t="inlineStr">
        <is>
          <t>6 ay</t>
        </is>
      </c>
      <c r="H992" s="15" t="n">
        <v>18.5</v>
      </c>
      <c r="I992" s="45" t="n">
        <v>10733320</v>
      </c>
      <c r="J992" s="45" t="n">
        <v>10086677.7448</v>
      </c>
      <c r="K992" s="45" t="n">
        <v>2717320</v>
      </c>
      <c r="L992" s="45" t="n">
        <v>2592123.3848</v>
      </c>
      <c r="M992" s="45" t="n">
        <v>3144884.844</v>
      </c>
      <c r="N992" s="45" t="n">
        <v>2999999.99924</v>
      </c>
      <c r="O992" s="45" t="n">
        <v>262073.735</v>
      </c>
      <c r="P992" s="45" t="n">
        <v>249999.99803</v>
      </c>
      <c r="Q992" s="45" t="n">
        <v>100000</v>
      </c>
      <c r="R992" s="45" t="n">
        <v>95393</v>
      </c>
      <c r="S992" s="45" t="n">
        <v>6224278.579000001</v>
      </c>
      <c r="T992" s="45" t="n">
        <v>5937516.382069999</v>
      </c>
      <c r="U992" s="15" t="n">
        <v>21.44</v>
      </c>
      <c r="V992" s="15" t="n">
        <v>47.49</v>
      </c>
      <c r="W992" s="49" t="n">
        <v>95.393</v>
      </c>
    </row>
    <row r="993">
      <c r="A993" s="44" t="inlineStr">
        <is>
          <t>TL Cinsi Sabit Faizli Kuponlu Senetler</t>
        </is>
      </c>
      <c r="B993" s="44" t="n">
        <v>2024</v>
      </c>
      <c r="C993" s="44" t="inlineStr">
        <is>
          <t>TRT081128T15</t>
        </is>
      </c>
      <c r="D993" s="44" t="inlineStr">
        <is>
          <t>20.03.2024</t>
        </is>
      </c>
      <c r="E993" s="44" t="inlineStr">
        <is>
          <t>08.11.2028</t>
        </is>
      </c>
      <c r="F993" s="44" t="n">
        <v>1694</v>
      </c>
      <c r="G993" s="44" t="inlineStr">
        <is>
          <t>6 ay</t>
        </is>
      </c>
      <c r="H993" s="15" t="n">
        <v>15.54</v>
      </c>
      <c r="I993" s="45" t="n">
        <v>18938900</v>
      </c>
      <c r="J993" s="45" t="n">
        <v>21178663.831</v>
      </c>
      <c r="K993" s="45" t="n">
        <v>7904900</v>
      </c>
      <c r="L993" s="45" t="n">
        <v>8880642.321</v>
      </c>
      <c r="M993" s="45" t="n">
        <v>0</v>
      </c>
      <c r="N993" s="45" t="n">
        <v>0</v>
      </c>
      <c r="O993" s="45" t="n">
        <v>9791355.119999999</v>
      </c>
      <c r="P993" s="45" t="n">
        <v>10999999.99602</v>
      </c>
      <c r="Q993" s="45" t="n">
        <v>396698.532</v>
      </c>
      <c r="R993" s="45" t="n">
        <v>445666.99879</v>
      </c>
      <c r="S993" s="45" t="n">
        <v>18092953.652</v>
      </c>
      <c r="T993" s="45" t="n">
        <v>20326309.31581</v>
      </c>
      <c r="U993" s="15" t="n">
        <v>15.16</v>
      </c>
      <c r="V993" s="15" t="n">
        <v>32.62</v>
      </c>
      <c r="W993" s="49" t="n">
        <v>112.344</v>
      </c>
    </row>
    <row r="994">
      <c r="A994" s="44" t="inlineStr">
        <is>
          <t>TL Cinsi Sabit Faizli Kuponlu Senetler</t>
        </is>
      </c>
      <c r="B994" s="44" t="n">
        <v>2024</v>
      </c>
      <c r="C994" s="44" t="inlineStr">
        <is>
          <t>TRT180226T16</t>
        </is>
      </c>
      <c r="D994" s="44" t="inlineStr">
        <is>
          <t>17.04.2024</t>
        </is>
      </c>
      <c r="E994" s="44" t="inlineStr">
        <is>
          <t>18.02.2026</t>
        </is>
      </c>
      <c r="F994" s="44" t="n">
        <v>672</v>
      </c>
      <c r="G994" s="44" t="inlineStr">
        <is>
          <t>6 ay</t>
        </is>
      </c>
      <c r="H994" s="15" t="n">
        <v>18.5</v>
      </c>
      <c r="I994" s="45" t="n">
        <v>16018003.715</v>
      </c>
      <c r="J994" s="45" t="n">
        <v>16048226.8543</v>
      </c>
      <c r="K994" s="45" t="n">
        <v>11055001.715</v>
      </c>
      <c r="L994" s="45" t="n">
        <v>11178070.2793</v>
      </c>
      <c r="M994" s="45" t="n">
        <v>5449348.747</v>
      </c>
      <c r="N994" s="45" t="n">
        <v>5509999.99856</v>
      </c>
      <c r="O994" s="45" t="n">
        <v>1582388.017</v>
      </c>
      <c r="P994" s="45" t="n">
        <v>1599999.99562</v>
      </c>
      <c r="Q994" s="45" t="inlineStr">
        <is>
          <t>-</t>
        </is>
      </c>
      <c r="R994" s="45" t="inlineStr">
        <is>
          <t>-</t>
        </is>
      </c>
      <c r="S994" s="45" t="n">
        <v>18086738.479</v>
      </c>
      <c r="T994" s="45" t="n">
        <v>18288070.27348</v>
      </c>
      <c r="U994" s="15" t="n">
        <v>20.23</v>
      </c>
      <c r="V994" s="15" t="n">
        <v>44.55</v>
      </c>
      <c r="W994" s="49" t="n">
        <v>101.113</v>
      </c>
    </row>
    <row r="995">
      <c r="A995" s="44" t="inlineStr">
        <is>
          <t>TL Cinsi Sabit Faizli Kuponlu Senetler</t>
        </is>
      </c>
      <c r="B995" s="44" t="n">
        <v>2024</v>
      </c>
      <c r="C995" s="44" t="inlineStr">
        <is>
          <t>TRT081128T15</t>
        </is>
      </c>
      <c r="D995" s="44" t="inlineStr">
        <is>
          <t>17.04.2024</t>
        </is>
      </c>
      <c r="E995" s="44" t="inlineStr">
        <is>
          <t>08.11.2028</t>
        </is>
      </c>
      <c r="F995" s="44" t="n">
        <v>1666</v>
      </c>
      <c r="G995" s="44" t="inlineStr">
        <is>
          <t>6 ay</t>
        </is>
      </c>
      <c r="H995" s="15" t="n">
        <v>15.54</v>
      </c>
      <c r="I995" s="45" t="n">
        <v>14213000</v>
      </c>
      <c r="J995" s="45" t="n">
        <v>15850181.96</v>
      </c>
      <c r="K995" s="45" t="n">
        <v>9409000</v>
      </c>
      <c r="L995" s="45" t="n">
        <v>10557919.47</v>
      </c>
      <c r="M995" s="45" t="inlineStr">
        <is>
          <t>-</t>
        </is>
      </c>
      <c r="N995" s="45" t="inlineStr">
        <is>
          <t>-</t>
        </is>
      </c>
      <c r="O995" s="45" t="n">
        <v>3119123.79</v>
      </c>
      <c r="P995" s="45" t="n">
        <v>3499999.99599</v>
      </c>
      <c r="Q995" s="45" t="inlineStr">
        <is>
          <t>-</t>
        </is>
      </c>
      <c r="R995" s="45" t="inlineStr">
        <is>
          <t>-</t>
        </is>
      </c>
      <c r="S995" s="45" t="n">
        <v>12528123.79</v>
      </c>
      <c r="T995" s="45" t="n">
        <v>14057919.46599</v>
      </c>
      <c r="U995" s="15" t="n">
        <v>15.71</v>
      </c>
      <c r="V995" s="15" t="n">
        <v>33.88</v>
      </c>
      <c r="W995" s="49" t="n">
        <v>112.211</v>
      </c>
    </row>
    <row r="996">
      <c r="A996" s="44" t="inlineStr">
        <is>
          <t>TL Cinsi Sabit Faizli Kuponlu Senetler</t>
        </is>
      </c>
      <c r="B996" s="44" t="n">
        <v>2024</v>
      </c>
      <c r="C996" s="44" t="inlineStr">
        <is>
          <t>TRT051033T12</t>
        </is>
      </c>
      <c r="D996" s="44" t="inlineStr">
        <is>
          <t>24.04.2024</t>
        </is>
      </c>
      <c r="E996" s="44" t="inlineStr">
        <is>
          <t>05.10.2033</t>
        </is>
      </c>
      <c r="F996" s="44" t="n">
        <v>3451</v>
      </c>
      <c r="G996" s="44" t="inlineStr">
        <is>
          <t>6 ay</t>
        </is>
      </c>
      <c r="H996" s="15" t="n">
        <v>13.1</v>
      </c>
      <c r="I996" s="45" t="n">
        <v>32154130.5</v>
      </c>
      <c r="J996" s="45" t="n">
        <v>30985103.4785</v>
      </c>
      <c r="K996" s="45" t="n">
        <v>18578130.5</v>
      </c>
      <c r="L996" s="45" t="n">
        <v>18080531.2985</v>
      </c>
      <c r="M996" s="45" t="n">
        <v>0</v>
      </c>
      <c r="N996" s="45" t="n">
        <v>0</v>
      </c>
      <c r="O996" s="45" t="n">
        <v>3082550.702</v>
      </c>
      <c r="P996" s="45" t="n">
        <v>2999999.99419</v>
      </c>
      <c r="Q996" s="45" t="n">
        <v>8950687.65</v>
      </c>
      <c r="R996" s="45" t="n">
        <v>8710988.23474</v>
      </c>
      <c r="S996" s="45" t="n">
        <v>30611368.852</v>
      </c>
      <c r="T996" s="45" t="n">
        <v>29791519.52743</v>
      </c>
      <c r="U996" s="15" t="n">
        <v>13.57</v>
      </c>
      <c r="V996" s="15" t="n">
        <v>28.98</v>
      </c>
      <c r="W996" s="49" t="n">
        <v>97.322</v>
      </c>
    </row>
    <row r="997">
      <c r="A997" s="44" t="inlineStr">
        <is>
          <t>TL Cinsi Sabit Faizli Kuponlu Senetler</t>
        </is>
      </c>
      <c r="B997" s="44" t="n">
        <v>2024</v>
      </c>
      <c r="C997" s="44" t="inlineStr">
        <is>
          <t>TRT180226T16</t>
        </is>
      </c>
      <c r="D997" s="44" t="inlineStr">
        <is>
          <t>08.05.2024</t>
        </is>
      </c>
      <c r="E997" s="44" t="inlineStr">
        <is>
          <t>18.02.2026</t>
        </is>
      </c>
      <c r="F997" s="44" t="n">
        <v>651</v>
      </c>
      <c r="G997" s="44" t="inlineStr">
        <is>
          <t>6 ay</t>
        </is>
      </c>
      <c r="H997" s="15" t="n">
        <v>18.5</v>
      </c>
      <c r="I997" s="45" t="n">
        <v>38342200</v>
      </c>
      <c r="J997" s="45" t="n">
        <v>39238995.463</v>
      </c>
      <c r="K997" s="45" t="n">
        <v>15088000</v>
      </c>
      <c r="L997" s="45" t="n">
        <v>15505190.69</v>
      </c>
      <c r="M997" s="45" t="n">
        <v>3921568.626</v>
      </c>
      <c r="N997" s="45" t="n">
        <v>4029999.99851</v>
      </c>
      <c r="O997" s="45" t="n">
        <v>11677127.422</v>
      </c>
      <c r="P997" s="45" t="n">
        <v>11999999.99522</v>
      </c>
      <c r="Q997" s="45" t="n">
        <v>5727974.719</v>
      </c>
      <c r="R997" s="45" t="n">
        <v>5886353.21998</v>
      </c>
      <c r="S997" s="45" t="n">
        <v>36414670.767</v>
      </c>
      <c r="T997" s="45" t="n">
        <v>37421543.90371</v>
      </c>
      <c r="U997" s="15" t="n">
        <v>20.45</v>
      </c>
      <c r="V997" s="15" t="n">
        <v>45.09</v>
      </c>
      <c r="W997" s="49" t="n">
        <v>102.765</v>
      </c>
    </row>
    <row r="998">
      <c r="A998" s="44" t="inlineStr">
        <is>
          <t>TL Cinsi Sabit Faizli Kuponlu Senetler</t>
        </is>
      </c>
      <c r="B998" s="44" t="n">
        <v>2024</v>
      </c>
      <c r="C998" s="44" t="inlineStr">
        <is>
          <t>TRT051033T12</t>
        </is>
      </c>
      <c r="D998" s="44" t="inlineStr">
        <is>
          <t>08.05.2024</t>
        </is>
      </c>
      <c r="E998" s="44" t="inlineStr">
        <is>
          <t>05.10.2033</t>
        </is>
      </c>
      <c r="F998" s="44" t="n">
        <v>3437</v>
      </c>
      <c r="G998" s="44" t="inlineStr">
        <is>
          <t>6 ay</t>
        </is>
      </c>
      <c r="H998" s="15" t="n">
        <v>13.1</v>
      </c>
      <c r="I998" s="45" t="n">
        <v>62772830</v>
      </c>
      <c r="J998" s="45" t="n">
        <v>61760105.51975</v>
      </c>
      <c r="K998" s="45" t="n">
        <v>25383325</v>
      </c>
      <c r="L998" s="45" t="n">
        <v>25097695.50975</v>
      </c>
      <c r="M998" s="45" t="n">
        <v>0</v>
      </c>
      <c r="N998" s="45" t="n">
        <v>0</v>
      </c>
      <c r="O998" s="45" t="n">
        <v>15170670.032</v>
      </c>
      <c r="P998" s="45" t="n">
        <v>14999999.99415</v>
      </c>
      <c r="Q998" s="45" t="n">
        <v>8085138.484</v>
      </c>
      <c r="R998" s="45" t="n">
        <v>7994180.67606</v>
      </c>
      <c r="S998" s="45" t="n">
        <v>48639133.516</v>
      </c>
      <c r="T998" s="45" t="n">
        <v>48091876.17996</v>
      </c>
      <c r="U998" s="15" t="n">
        <v>13.48</v>
      </c>
      <c r="V998" s="15" t="n">
        <v>28.77</v>
      </c>
      <c r="W998" s="49" t="n">
        <v>98.875</v>
      </c>
    </row>
    <row r="999">
      <c r="A999" s="44" t="inlineStr">
        <is>
          <t>TL Cinsi Sabit Faizli Kuponlu Senetler</t>
        </is>
      </c>
      <c r="B999" s="44" t="n">
        <v>2024</v>
      </c>
      <c r="C999" s="44" t="inlineStr">
        <is>
          <t>TRT081128T15</t>
        </is>
      </c>
      <c r="D999" s="44" t="inlineStr">
        <is>
          <t>22.05.2024</t>
        </is>
      </c>
      <c r="E999" s="44" t="inlineStr">
        <is>
          <t>08.11.2028</t>
        </is>
      </c>
      <c r="F999" s="44" t="n">
        <v>1631</v>
      </c>
      <c r="G999" s="44" t="inlineStr">
        <is>
          <t>6 ay</t>
        </is>
      </c>
      <c r="H999" s="15" t="n">
        <v>15.54</v>
      </c>
      <c r="I999" s="45" t="n">
        <v>49625175</v>
      </c>
      <c r="J999" s="45" t="n">
        <v>51203499.905</v>
      </c>
      <c r="K999" s="45" t="n">
        <v>18233120</v>
      </c>
      <c r="L999" s="45" t="n">
        <v>18910721.7596</v>
      </c>
      <c r="M999" s="45" t="n">
        <v>2429711.904</v>
      </c>
      <c r="N999" s="45" t="n">
        <v>2519999.99836</v>
      </c>
      <c r="O999" s="45" t="n">
        <v>14462570.86</v>
      </c>
      <c r="P999" s="45" t="n">
        <v>14999999.99316</v>
      </c>
      <c r="Q999" s="45" t="n">
        <v>7115223.687</v>
      </c>
      <c r="R999" s="45" t="n">
        <v>7379625.39921</v>
      </c>
      <c r="S999" s="45" t="n">
        <v>42240626.451</v>
      </c>
      <c r="T999" s="45" t="n">
        <v>43810347.15033</v>
      </c>
      <c r="U999" s="15" t="n">
        <v>14.88</v>
      </c>
      <c r="V999" s="15" t="n">
        <v>31.97</v>
      </c>
      <c r="W999" s="49" t="n">
        <v>103.716</v>
      </c>
    </row>
    <row r="1000">
      <c r="A1000" s="44" t="inlineStr">
        <is>
          <t>TL Cinsi Sabit Faizli Kuponlu Senetler</t>
        </is>
      </c>
      <c r="B1000" s="44" t="n">
        <v>2024</v>
      </c>
      <c r="C1000" s="44" t="inlineStr">
        <is>
          <t>TRT180226T16</t>
        </is>
      </c>
      <c r="D1000" s="44" t="inlineStr">
        <is>
          <t>05.06.2024</t>
        </is>
      </c>
      <c r="E1000" s="44" t="inlineStr">
        <is>
          <t>18.02.2026</t>
        </is>
      </c>
      <c r="F1000" s="44" t="n">
        <v>623</v>
      </c>
      <c r="G1000" s="44" t="inlineStr">
        <is>
          <t>6 ay</t>
        </is>
      </c>
      <c r="H1000" s="15" t="n">
        <v>18.5</v>
      </c>
      <c r="I1000" s="45" t="n">
        <v>67220648.873</v>
      </c>
      <c r="J1000" s="45" t="n">
        <v>72966254.44489001</v>
      </c>
      <c r="K1000" s="45" t="n">
        <v>20975000</v>
      </c>
      <c r="L1000" s="45" t="n">
        <v>22813971.5</v>
      </c>
      <c r="M1000" s="45" t="n">
        <v>2758189.524</v>
      </c>
      <c r="N1000" s="45" t="n">
        <v>2999999.99957</v>
      </c>
      <c r="O1000" s="45" t="n">
        <v>18387930.158</v>
      </c>
      <c r="P1000" s="45" t="n">
        <v>19999999.99494</v>
      </c>
      <c r="Q1000" s="45" t="n">
        <v>1300000</v>
      </c>
      <c r="R1000" s="45" t="n">
        <v>1413971</v>
      </c>
      <c r="S1000" s="45" t="n">
        <v>43421119.682</v>
      </c>
      <c r="T1000" s="45" t="n">
        <v>47227942.49450999</v>
      </c>
      <c r="U1000" s="15" t="n">
        <v>19.14</v>
      </c>
      <c r="V1000" s="15" t="n">
        <v>41.94</v>
      </c>
      <c r="W1000" s="49" t="n">
        <v>108.767</v>
      </c>
    </row>
    <row r="1001">
      <c r="A1001" s="44" t="inlineStr">
        <is>
          <t>TL Cinsi Sabit Faizli Kuponlu Senetler</t>
        </is>
      </c>
      <c r="B1001" s="44" t="n">
        <v>2024</v>
      </c>
      <c r="C1001" s="44" t="inlineStr">
        <is>
          <t>TRT051033T12</t>
        </is>
      </c>
      <c r="D1001" s="44" t="inlineStr">
        <is>
          <t>05.06.2024</t>
        </is>
      </c>
      <c r="E1001" s="44" t="inlineStr">
        <is>
          <t>05.10.2033</t>
        </is>
      </c>
      <c r="F1001" s="44" t="n">
        <v>3409</v>
      </c>
      <c r="G1001" s="44" t="inlineStr">
        <is>
          <t>6 ay</t>
        </is>
      </c>
      <c r="H1001" s="15" t="n">
        <v>13.1</v>
      </c>
      <c r="I1001" s="45" t="n">
        <v>32859021</v>
      </c>
      <c r="J1001" s="45" t="n">
        <v>34268868.49972</v>
      </c>
      <c r="K1001" s="45" t="n">
        <v>21221008</v>
      </c>
      <c r="L1001" s="45" t="n">
        <v>22204881.40848</v>
      </c>
      <c r="M1001" s="45" t="inlineStr">
        <is>
          <t>-</t>
        </is>
      </c>
      <c r="N1001" s="45" t="inlineStr">
        <is>
          <t>-</t>
        </is>
      </c>
      <c r="O1001" s="45" t="n">
        <v>16246798.42</v>
      </c>
      <c r="P1001" s="45" t="n">
        <v>16999999.99475</v>
      </c>
      <c r="Q1001" s="45" t="n">
        <v>2700000</v>
      </c>
      <c r="R1001" s="45" t="n">
        <v>2825172</v>
      </c>
      <c r="S1001" s="45" t="n">
        <v>40167806.42</v>
      </c>
      <c r="T1001" s="45" t="n">
        <v>42030053.40323</v>
      </c>
      <c r="U1001" s="15" t="n">
        <v>12.92</v>
      </c>
      <c r="V1001" s="15" t="n">
        <v>27.5</v>
      </c>
      <c r="W1001" s="49" t="n">
        <v>104.636</v>
      </c>
    </row>
    <row r="1002">
      <c r="A1002" s="44" t="inlineStr">
        <is>
          <t>TL Cinsi Sabit Faizli Kuponlu Senetler</t>
        </is>
      </c>
      <c r="B1002" s="44" t="n">
        <v>2024</v>
      </c>
      <c r="C1002" s="44" t="inlineStr">
        <is>
          <t>TRT081128T15</t>
        </is>
      </c>
      <c r="D1002" s="44" t="inlineStr">
        <is>
          <t>12.06.2024</t>
        </is>
      </c>
      <c r="E1002" s="44" t="inlineStr">
        <is>
          <t>08.11.2028</t>
        </is>
      </c>
      <c r="F1002" s="44" t="n">
        <v>1610</v>
      </c>
      <c r="G1002" s="44" t="inlineStr">
        <is>
          <t>6 ay</t>
        </is>
      </c>
      <c r="H1002" s="15" t="n">
        <v>15.54</v>
      </c>
      <c r="I1002" s="45" t="n">
        <v>22891400</v>
      </c>
      <c r="J1002" s="45" t="n">
        <v>23605683.378</v>
      </c>
      <c r="K1002" s="45" t="n">
        <v>16099300</v>
      </c>
      <c r="L1002" s="45" t="n">
        <v>16642095.954</v>
      </c>
      <c r="M1002" s="45" t="n">
        <v>1451069.922</v>
      </c>
      <c r="N1002" s="45" t="n">
        <v>1499999.99977</v>
      </c>
      <c r="O1002" s="45" t="n">
        <v>9673799.477</v>
      </c>
      <c r="P1002" s="45" t="n">
        <v>9999999.99535</v>
      </c>
      <c r="Q1002" s="45" t="n">
        <v>1340284.844</v>
      </c>
      <c r="R1002" s="45" t="n">
        <v>1385479.24894</v>
      </c>
      <c r="S1002" s="45" t="n">
        <v>28564454.243</v>
      </c>
      <c r="T1002" s="45" t="n">
        <v>29527575.19806</v>
      </c>
      <c r="U1002" s="15" t="n">
        <v>15.3</v>
      </c>
      <c r="V1002" s="15" t="n">
        <v>32.94</v>
      </c>
      <c r="W1002" s="49" t="n">
        <v>103.372</v>
      </c>
    </row>
    <row r="1003">
      <c r="A1003" s="44" t="inlineStr">
        <is>
          <t>TL Cinsi Sabit Faizli Kuponlu Senetler</t>
        </is>
      </c>
      <c r="B1003" s="44" t="n">
        <v>2024</v>
      </c>
      <c r="C1003" s="44" t="inlineStr">
        <is>
          <t>TRT081128T15</t>
        </is>
      </c>
      <c r="D1003" s="44" t="inlineStr">
        <is>
          <t>10.07.2024</t>
        </is>
      </c>
      <c r="E1003" s="44" t="inlineStr">
        <is>
          <t>08.11.2028</t>
        </is>
      </c>
      <c r="F1003" s="44" t="n">
        <v>1582</v>
      </c>
      <c r="G1003" s="44" t="inlineStr">
        <is>
          <t>6 ay</t>
        </is>
      </c>
      <c r="H1003" s="15" t="n">
        <v>15.54</v>
      </c>
      <c r="I1003" s="45" t="n">
        <v>21180007</v>
      </c>
      <c r="J1003" s="45" t="n">
        <v>23375251.40924</v>
      </c>
      <c r="K1003" s="45" t="n">
        <v>9625507</v>
      </c>
      <c r="L1003" s="45" t="n">
        <v>10659938.66924</v>
      </c>
      <c r="M1003" s="45" t="n">
        <v>677219.247</v>
      </c>
      <c r="N1003" s="45" t="n">
        <v>749999.99948</v>
      </c>
      <c r="O1003" s="45" t="n">
        <v>9932548.959000001</v>
      </c>
      <c r="P1003" s="45" t="n">
        <v>10999999.99563</v>
      </c>
      <c r="Q1003" s="45" t="n">
        <v>400735.008</v>
      </c>
      <c r="R1003" s="45" t="n">
        <v>443801.99931</v>
      </c>
      <c r="S1003" s="45" t="n">
        <v>20636010.214</v>
      </c>
      <c r="T1003" s="45" t="n">
        <v>22853740.66366</v>
      </c>
      <c r="U1003" s="15" t="n">
        <v>14.26</v>
      </c>
      <c r="V1003" s="15" t="n">
        <v>30.54</v>
      </c>
      <c r="W1003" s="49" t="n">
        <v>110.747</v>
      </c>
    </row>
    <row r="1004">
      <c r="A1004" s="44" t="inlineStr">
        <is>
          <t>TL Cinsi Sabit Faizli Kuponlu Senetler</t>
        </is>
      </c>
      <c r="B1004" s="44" t="n">
        <v>2024</v>
      </c>
      <c r="C1004" s="44" t="inlineStr">
        <is>
          <t>TRT180226T16</t>
        </is>
      </c>
      <c r="D1004" s="44" t="inlineStr">
        <is>
          <t>24.07.2024</t>
        </is>
      </c>
      <c r="E1004" s="44" t="inlineStr">
        <is>
          <t>18.02.2026</t>
        </is>
      </c>
      <c r="F1004" s="44" t="n">
        <v>574</v>
      </c>
      <c r="G1004" s="44" t="inlineStr">
        <is>
          <t>6 ay</t>
        </is>
      </c>
      <c r="H1004" s="15" t="n">
        <v>18.5</v>
      </c>
      <c r="I1004" s="45" t="n">
        <v>23987124.324</v>
      </c>
      <c r="J1004" s="45" t="n">
        <v>27237999.62639</v>
      </c>
      <c r="K1004" s="45" t="n">
        <v>14318080</v>
      </c>
      <c r="L1004" s="45" t="n">
        <v>16284350.13545</v>
      </c>
      <c r="M1004" s="45" t="n">
        <v>2857569.921</v>
      </c>
      <c r="N1004" s="45" t="n">
        <v>3249999.99825</v>
      </c>
      <c r="O1004" s="45" t="n">
        <v>11430279.685</v>
      </c>
      <c r="P1004" s="45" t="n">
        <v>12999999.99413</v>
      </c>
      <c r="Q1004" s="45" t="n">
        <v>510377.726</v>
      </c>
      <c r="R1004" s="45" t="n">
        <v>580467.89912</v>
      </c>
      <c r="S1004" s="45" t="n">
        <v>29116307.332</v>
      </c>
      <c r="T1004" s="45" t="n">
        <v>33114818.02695</v>
      </c>
      <c r="U1004" s="15" t="n">
        <v>19.27</v>
      </c>
      <c r="V1004" s="15" t="n">
        <v>42.25</v>
      </c>
      <c r="W1004" s="49" t="n">
        <v>113.733</v>
      </c>
    </row>
    <row r="1005">
      <c r="A1005" s="44" t="inlineStr">
        <is>
          <t>TL Cinsi Sabit Faizli Kuponlu Senetler</t>
        </is>
      </c>
      <c r="B1005" s="44" t="n">
        <v>2024</v>
      </c>
      <c r="C1005" s="44" t="inlineStr">
        <is>
          <t>TRT051033T12</t>
        </is>
      </c>
      <c r="D1005" s="44" t="inlineStr">
        <is>
          <t>24.07.2024</t>
        </is>
      </c>
      <c r="E1005" s="44" t="inlineStr">
        <is>
          <t>05.10.2033</t>
        </is>
      </c>
      <c r="F1005" s="44" t="n">
        <v>3360</v>
      </c>
      <c r="G1005" s="44" t="inlineStr">
        <is>
          <t>6 ay</t>
        </is>
      </c>
      <c r="H1005" s="15" t="n">
        <v>13.1</v>
      </c>
      <c r="I1005" s="45" t="n">
        <v>19314001</v>
      </c>
      <c r="J1005" s="45" t="n">
        <v>20380128.145</v>
      </c>
      <c r="K1005" s="45" t="n">
        <v>4794001</v>
      </c>
      <c r="L1005" s="45" t="n">
        <v>5082358.405</v>
      </c>
      <c r="M1005" s="45" t="n">
        <v>0</v>
      </c>
      <c r="N1005" s="45" t="n">
        <v>0</v>
      </c>
      <c r="O1005" s="45" t="n">
        <v>5659576.47</v>
      </c>
      <c r="P1005" s="45" t="n">
        <v>5999999.99467</v>
      </c>
      <c r="Q1005" s="45" t="n">
        <v>1821007.967</v>
      </c>
      <c r="R1005" s="45" t="n">
        <v>1930541.59621</v>
      </c>
      <c r="S1005" s="45" t="n">
        <v>12274585.437</v>
      </c>
      <c r="T1005" s="45" t="n">
        <v>13012899.99588</v>
      </c>
      <c r="U1005" s="15" t="n">
        <v>13.22</v>
      </c>
      <c r="V1005" s="15" t="n">
        <v>28.19</v>
      </c>
      <c r="W1005" s="49" t="n">
        <v>106.015</v>
      </c>
    </row>
    <row r="1006">
      <c r="A1006" s="44" t="inlineStr">
        <is>
          <t>TL Cinsi Sabit Faizli Kuponlu Senetler</t>
        </is>
      </c>
      <c r="B1006" s="44" t="n">
        <v>2024</v>
      </c>
      <c r="C1006" s="44" t="inlineStr">
        <is>
          <t>TRT120826T16</t>
        </is>
      </c>
      <c r="D1006" s="44" t="inlineStr">
        <is>
          <t>14.08.2024</t>
        </is>
      </c>
      <c r="E1006" s="44" t="inlineStr">
        <is>
          <t>12.08.2026</t>
        </is>
      </c>
      <c r="F1006" s="44" t="n">
        <v>728</v>
      </c>
      <c r="G1006" s="44" t="inlineStr">
        <is>
          <t>6 ay</t>
        </is>
      </c>
      <c r="H1006" s="15" t="n">
        <v>18</v>
      </c>
      <c r="I1006" s="45" t="n">
        <v>53978011</v>
      </c>
      <c r="J1006" s="45" t="n">
        <v>52205475.69145</v>
      </c>
      <c r="K1006" s="45" t="n">
        <v>13710005</v>
      </c>
      <c r="L1006" s="45" t="n">
        <v>13402936.99145</v>
      </c>
      <c r="M1006" s="45" t="n">
        <v>3610883.795</v>
      </c>
      <c r="N1006" s="45" t="n">
        <v>3529999.998</v>
      </c>
      <c r="O1006" s="45" t="n">
        <v>15343698.848</v>
      </c>
      <c r="P1006" s="45" t="n">
        <v>14999999.99381</v>
      </c>
      <c r="Q1006" s="45" t="n">
        <v>3821604.459</v>
      </c>
      <c r="R1006" s="45" t="n">
        <v>3736000.51912</v>
      </c>
      <c r="S1006" s="45" t="n">
        <v>36486192.102</v>
      </c>
      <c r="T1006" s="45" t="n">
        <v>35668937.50238001</v>
      </c>
      <c r="U1006" s="15" t="n">
        <v>18.85</v>
      </c>
      <c r="V1006" s="15" t="n">
        <v>41.24</v>
      </c>
      <c r="W1006" s="49" t="n">
        <v>97.76000000000001</v>
      </c>
    </row>
    <row r="1007">
      <c r="A1007" s="44" t="inlineStr">
        <is>
          <t>TL Cinsi Sabit Faizli Kuponlu Senetler</t>
        </is>
      </c>
      <c r="B1007" s="44" t="n">
        <v>2024</v>
      </c>
      <c r="C1007" s="44" t="inlineStr">
        <is>
          <t>TRT081128T15</t>
        </is>
      </c>
      <c r="D1007" s="44" t="inlineStr">
        <is>
          <t>14.08.2024</t>
        </is>
      </c>
      <c r="E1007" s="44" t="inlineStr">
        <is>
          <t>08.11.2028</t>
        </is>
      </c>
      <c r="F1007" s="44" t="n">
        <v>1547</v>
      </c>
      <c r="G1007" s="44" t="inlineStr">
        <is>
          <t>6 ay</t>
        </is>
      </c>
      <c r="H1007" s="15" t="n">
        <v>15.54</v>
      </c>
      <c r="I1007" s="45" t="n">
        <v>11908630.669</v>
      </c>
      <c r="J1007" s="45" t="n">
        <v>12978202.18375</v>
      </c>
      <c r="K1007" s="45" t="n">
        <v>6088630.669</v>
      </c>
      <c r="L1007" s="45" t="n">
        <v>6671971.58375</v>
      </c>
      <c r="M1007" s="45" t="n">
        <v>1825133.919</v>
      </c>
      <c r="N1007" s="45" t="n">
        <v>1999999.99978</v>
      </c>
      <c r="O1007" s="45" t="n">
        <v>1825133.916</v>
      </c>
      <c r="P1007" s="45" t="n">
        <v>1999999.99649</v>
      </c>
      <c r="Q1007" s="45" t="n">
        <v>0</v>
      </c>
      <c r="R1007" s="45" t="n">
        <v>0</v>
      </c>
      <c r="S1007" s="45" t="n">
        <v>9738898.503999999</v>
      </c>
      <c r="T1007" s="45" t="n">
        <v>10671971.58002</v>
      </c>
      <c r="U1007" s="15" t="n">
        <v>15.09</v>
      </c>
      <c r="V1007" s="15" t="n">
        <v>32.45</v>
      </c>
      <c r="W1007" s="49" t="n">
        <v>109.581</v>
      </c>
    </row>
    <row r="1008">
      <c r="A1008" s="44" t="inlineStr">
        <is>
          <t>TL Cinsi Sabit Faizli Kuponlu Senetler</t>
        </is>
      </c>
      <c r="B1008" s="44" t="n">
        <v>2024</v>
      </c>
      <c r="C1008" s="44" t="inlineStr">
        <is>
          <t>TRT051033T12</t>
        </is>
      </c>
      <c r="D1008" s="44" t="inlineStr">
        <is>
          <t>21.08.2024</t>
        </is>
      </c>
      <c r="E1008" s="44" t="inlineStr">
        <is>
          <t>05.10.2033</t>
        </is>
      </c>
      <c r="F1008" s="44" t="n">
        <v>3332</v>
      </c>
      <c r="G1008" s="44" t="inlineStr">
        <is>
          <t>6 ay</t>
        </is>
      </c>
      <c r="H1008" s="15" t="n">
        <v>13.1</v>
      </c>
      <c r="I1008" s="45" t="n">
        <v>32495455</v>
      </c>
      <c r="J1008" s="45" t="n">
        <v>34499130.14595</v>
      </c>
      <c r="K1008" s="45" t="n">
        <v>3885000</v>
      </c>
      <c r="L1008" s="45" t="n">
        <v>4142520.25</v>
      </c>
      <c r="M1008" s="45" t="n">
        <v>0</v>
      </c>
      <c r="N1008" s="45" t="n">
        <v>0</v>
      </c>
      <c r="O1008" s="45" t="n">
        <v>4689155.854</v>
      </c>
      <c r="P1008" s="45" t="n">
        <v>4999999.99556</v>
      </c>
      <c r="Q1008" s="45" t="n">
        <v>732578.453</v>
      </c>
      <c r="R1008" s="45" t="n">
        <v>781141.07865</v>
      </c>
      <c r="S1008" s="45" t="n">
        <v>9306734.307</v>
      </c>
      <c r="T1008" s="45" t="n">
        <v>9923661.324209999</v>
      </c>
      <c r="U1008" s="15" t="n">
        <v>13.44</v>
      </c>
      <c r="V1008" s="15" t="n">
        <v>28.68</v>
      </c>
      <c r="W1008" s="49" t="n">
        <v>106.629</v>
      </c>
    </row>
    <row r="1009">
      <c r="A1009" s="44" t="inlineStr">
        <is>
          <t>TL Cinsi Sabit Faizli Kuponlu Senetler</t>
        </is>
      </c>
      <c r="B1009" s="44" t="n">
        <v>2024</v>
      </c>
      <c r="C1009" s="44" t="inlineStr">
        <is>
          <t>TRT051033T12</t>
        </is>
      </c>
      <c r="D1009" s="44" t="inlineStr">
        <is>
          <t>11.09.2024</t>
        </is>
      </c>
      <c r="E1009" s="44" t="inlineStr">
        <is>
          <t>05.10.2033</t>
        </is>
      </c>
      <c r="F1009" s="44" t="n">
        <v>3311</v>
      </c>
      <c r="G1009" s="44" t="inlineStr">
        <is>
          <t>6 ay</t>
        </is>
      </c>
      <c r="H1009" s="15" t="n">
        <v>13.1</v>
      </c>
      <c r="I1009" s="45" t="n">
        <v>13382056.839</v>
      </c>
      <c r="J1009" s="45" t="n">
        <v>14449384.36868</v>
      </c>
      <c r="K1009" s="45" t="n">
        <v>10326056.839</v>
      </c>
      <c r="L1009" s="45" t="n">
        <v>11174091.30868</v>
      </c>
      <c r="M1009" s="45" t="n">
        <v>0</v>
      </c>
      <c r="N1009" s="45" t="n">
        <v>0</v>
      </c>
      <c r="O1009" s="45" t="n">
        <v>5082568.632</v>
      </c>
      <c r="P1009" s="45" t="n">
        <v>5499999.99373</v>
      </c>
      <c r="Q1009" s="45" t="n">
        <v>0</v>
      </c>
      <c r="R1009" s="45" t="n">
        <v>0</v>
      </c>
      <c r="S1009" s="45" t="n">
        <v>15408625.471</v>
      </c>
      <c r="T1009" s="45" t="n">
        <v>16674091.30241</v>
      </c>
      <c r="U1009" s="15" t="n">
        <v>13.43</v>
      </c>
      <c r="V1009" s="15" t="n">
        <v>28.67</v>
      </c>
      <c r="W1009" s="49" t="n">
        <v>108.213</v>
      </c>
    </row>
    <row r="1010">
      <c r="A1010" s="44" t="inlineStr">
        <is>
          <t>TL Cinsi Sabit Faizli Kuponlu Senetler</t>
        </is>
      </c>
      <c r="B1010" s="44" t="n">
        <v>2024</v>
      </c>
      <c r="C1010" s="44" t="inlineStr">
        <is>
          <t>TRT120826T16</t>
        </is>
      </c>
      <c r="D1010" s="44" t="inlineStr">
        <is>
          <t>18.09.2024</t>
        </is>
      </c>
      <c r="E1010" s="44" t="inlineStr">
        <is>
          <t>12.08.2026</t>
        </is>
      </c>
      <c r="F1010" s="44" t="n">
        <v>693</v>
      </c>
      <c r="G1010" s="44" t="inlineStr">
        <is>
          <t>6 ay</t>
        </is>
      </c>
      <c r="H1010" s="15" t="n">
        <v>18</v>
      </c>
      <c r="I1010" s="45" t="n">
        <v>25182000</v>
      </c>
      <c r="J1010" s="45" t="n">
        <v>25486968.27</v>
      </c>
      <c r="K1010" s="45" t="n">
        <v>16709000</v>
      </c>
      <c r="L1010" s="45" t="n">
        <v>16941589.07</v>
      </c>
      <c r="M1010" s="45" t="n">
        <v>8876439.955</v>
      </c>
      <c r="N1010" s="45" t="n">
        <v>8999999.99917</v>
      </c>
      <c r="O1010" s="45" t="n">
        <v>12328388.825</v>
      </c>
      <c r="P1010" s="45" t="n">
        <v>12499999.99746</v>
      </c>
      <c r="Q1010" s="45" t="n">
        <v>250000</v>
      </c>
      <c r="R1010" s="45" t="n">
        <v>253480</v>
      </c>
      <c r="S1010" s="45" t="n">
        <v>38163828.78</v>
      </c>
      <c r="T1010" s="45" t="n">
        <v>38695069.06663</v>
      </c>
      <c r="U1010" s="15" t="n">
        <v>18.72</v>
      </c>
      <c r="V1010" s="15" t="n">
        <v>40.93</v>
      </c>
      <c r="W1010" s="49" t="n">
        <v>101.392</v>
      </c>
    </row>
    <row r="1011">
      <c r="A1011" s="44" t="inlineStr">
        <is>
          <t>TL Cinsi Sabit Faizli Kuponlu Senetler</t>
        </is>
      </c>
      <c r="B1011" s="44" t="n">
        <v>2024</v>
      </c>
      <c r="C1011" s="44" t="inlineStr">
        <is>
          <t>TRT120929T12</t>
        </is>
      </c>
      <c r="D1011" s="44" t="inlineStr">
        <is>
          <t>18.09.2024</t>
        </is>
      </c>
      <c r="E1011" s="44" t="inlineStr">
        <is>
          <t>12.09.2029</t>
        </is>
      </c>
      <c r="F1011" s="44" t="n">
        <v>1820</v>
      </c>
      <c r="G1011" s="44" t="inlineStr">
        <is>
          <t>6 ay</t>
        </is>
      </c>
      <c r="H1011" s="15" t="n">
        <v>15</v>
      </c>
      <c r="I1011" s="45" t="n">
        <v>16178214.061</v>
      </c>
      <c r="J1011" s="45" t="n">
        <v>15609481.29937</v>
      </c>
      <c r="K1011" s="45" t="n">
        <v>9657000</v>
      </c>
      <c r="L1011" s="45" t="n">
        <v>9415127</v>
      </c>
      <c r="M1011" s="45" t="n">
        <v>5128468.126</v>
      </c>
      <c r="N1011" s="45" t="n">
        <v>4999999.99944</v>
      </c>
      <c r="O1011" s="45" t="n">
        <v>1538540.434</v>
      </c>
      <c r="P1011" s="45" t="n">
        <v>1499999.99611</v>
      </c>
      <c r="Q1011" s="45" t="n">
        <v>5573014.46</v>
      </c>
      <c r="R1011" s="45" t="n">
        <v>5433410.44777</v>
      </c>
      <c r="S1011" s="45" t="n">
        <v>21897023.02</v>
      </c>
      <c r="T1011" s="45" t="n">
        <v>21348537.44332</v>
      </c>
      <c r="U1011" s="15" t="n">
        <v>15.51</v>
      </c>
      <c r="V1011" s="15" t="n">
        <v>33.42</v>
      </c>
      <c r="W1011" s="49" t="n">
        <v>97.495</v>
      </c>
    </row>
    <row r="1012">
      <c r="A1012" s="44" t="inlineStr">
        <is>
          <t>TL Cinsi Sabit Faizli Kuponlu Senetler</t>
        </is>
      </c>
      <c r="B1012" s="44" t="n">
        <v>2024</v>
      </c>
      <c r="C1012" s="44" t="inlineStr">
        <is>
          <t>TRT270934T18</t>
        </is>
      </c>
      <c r="D1012" s="44" t="inlineStr">
        <is>
          <t>09.10.2024</t>
        </is>
      </c>
      <c r="E1012" s="44" t="inlineStr">
        <is>
          <t>27.09.2034</t>
        </is>
      </c>
      <c r="F1012" s="44" t="n">
        <v>3640</v>
      </c>
      <c r="G1012" s="44" t="inlineStr">
        <is>
          <t>6 ay</t>
        </is>
      </c>
      <c r="H1012" s="15" t="n">
        <v>13.85</v>
      </c>
      <c r="I1012" s="45" t="n">
        <v>38457763.157</v>
      </c>
      <c r="J1012" s="45" t="n">
        <v>37628568.03715</v>
      </c>
      <c r="K1012" s="45" t="n">
        <v>10681100</v>
      </c>
      <c r="L1012" s="45" t="n">
        <v>10576697.762</v>
      </c>
      <c r="M1012" s="45" t="n">
        <v>0</v>
      </c>
      <c r="N1012" s="45" t="n">
        <v>0</v>
      </c>
      <c r="O1012" s="45" t="n">
        <v>6059198.364</v>
      </c>
      <c r="P1012" s="45" t="n">
        <v>5999999.99599</v>
      </c>
      <c r="Q1012" s="45" t="n">
        <v>4195181.705</v>
      </c>
      <c r="R1012" s="45" t="n">
        <v>4154194.77973</v>
      </c>
      <c r="S1012" s="45" t="n">
        <v>20935480.069</v>
      </c>
      <c r="T1012" s="45" t="n">
        <v>20730892.53772</v>
      </c>
      <c r="U1012" s="15" t="n">
        <v>14</v>
      </c>
      <c r="V1012" s="15" t="n">
        <v>29.95</v>
      </c>
      <c r="W1012" s="49" t="n">
        <v>99.023</v>
      </c>
    </row>
    <row r="1013">
      <c r="A1013" s="44" t="inlineStr">
        <is>
          <t>TL Cinsi Sabit Faizli Kuponlu Senetler</t>
        </is>
      </c>
      <c r="B1013" s="44" t="n">
        <v>2024</v>
      </c>
      <c r="C1013" s="44" t="inlineStr">
        <is>
          <t>TRT120826T16</t>
        </is>
      </c>
      <c r="D1013" s="44" t="inlineStr">
        <is>
          <t>16.10.2024</t>
        </is>
      </c>
      <c r="E1013" s="44" t="inlineStr">
        <is>
          <t>12.08.2026</t>
        </is>
      </c>
      <c r="F1013" s="44" t="n">
        <v>665</v>
      </c>
      <c r="G1013" s="44" t="inlineStr">
        <is>
          <t>6 ay</t>
        </is>
      </c>
      <c r="H1013" s="15" t="n">
        <v>18</v>
      </c>
      <c r="I1013" s="45" t="n">
        <v>22923000</v>
      </c>
      <c r="J1013" s="45" t="n">
        <v>23357566.34</v>
      </c>
      <c r="K1013" s="45" t="n">
        <v>15916000</v>
      </c>
      <c r="L1013" s="45" t="n">
        <v>16250098.47</v>
      </c>
      <c r="M1013" s="45" t="n">
        <v>4916796.442</v>
      </c>
      <c r="N1013" s="45" t="n">
        <v>5019999.99932</v>
      </c>
      <c r="O1013" s="45" t="n">
        <v>4407486.847</v>
      </c>
      <c r="P1013" s="45" t="n">
        <v>4499999.99592</v>
      </c>
      <c r="Q1013" s="45" t="n">
        <v>3897143.393</v>
      </c>
      <c r="R1013" s="45" t="n">
        <v>3978944.43283</v>
      </c>
      <c r="S1013" s="45" t="n">
        <v>29137426.682</v>
      </c>
      <c r="T1013" s="45" t="n">
        <v>29749042.89807</v>
      </c>
      <c r="U1013" s="15" t="n">
        <v>19.54</v>
      </c>
      <c r="V1013" s="15" t="n">
        <v>42.89</v>
      </c>
      <c r="W1013" s="49" t="n">
        <v>102.099</v>
      </c>
    </row>
    <row r="1014">
      <c r="A1014" s="44" t="inlineStr">
        <is>
          <t>TL Cinsi Sabit Faizli Kuponlu Senetler</t>
        </is>
      </c>
      <c r="B1014" s="44" t="n">
        <v>2024</v>
      </c>
      <c r="C1014" s="44" t="inlineStr">
        <is>
          <t>TRT120929T12</t>
        </is>
      </c>
      <c r="D1014" s="44" t="inlineStr">
        <is>
          <t>16.10.2024</t>
        </is>
      </c>
      <c r="E1014" s="44" t="inlineStr">
        <is>
          <t>12.09.2029</t>
        </is>
      </c>
      <c r="F1014" s="44" t="n">
        <v>1792</v>
      </c>
      <c r="G1014" s="44" t="inlineStr">
        <is>
          <t>6 ay</t>
        </is>
      </c>
      <c r="H1014" s="15" t="n">
        <v>15</v>
      </c>
      <c r="I1014" s="45" t="n">
        <v>15461500</v>
      </c>
      <c r="J1014" s="45" t="n">
        <v>15148147.392</v>
      </c>
      <c r="K1014" s="45" t="n">
        <v>9791600</v>
      </c>
      <c r="L1014" s="45" t="n">
        <v>9627647.380999999</v>
      </c>
      <c r="M1014" s="45" t="n">
        <v>5085124.992</v>
      </c>
      <c r="N1014" s="45" t="n">
        <v>4999999.99963</v>
      </c>
      <c r="O1014" s="45" t="n">
        <v>2542562.492</v>
      </c>
      <c r="P1014" s="45" t="n">
        <v>2499999.99588</v>
      </c>
      <c r="Q1014" s="45" t="n">
        <v>4886203.022</v>
      </c>
      <c r="R1014" s="45" t="n">
        <v>4804407.98342</v>
      </c>
      <c r="S1014" s="45" t="n">
        <v>22305490.506</v>
      </c>
      <c r="T1014" s="45" t="n">
        <v>21932055.35993</v>
      </c>
      <c r="U1014" s="15" t="n">
        <v>15.79</v>
      </c>
      <c r="V1014" s="15" t="n">
        <v>34.08</v>
      </c>
      <c r="W1014" s="49" t="n">
        <v>98.32599999999999</v>
      </c>
    </row>
    <row r="1015">
      <c r="A1015" s="44" t="inlineStr">
        <is>
          <t>TL Cinsi Sabit Faizli Kuponlu Senetler</t>
        </is>
      </c>
      <c r="B1015" s="44" t="n">
        <v>2024</v>
      </c>
      <c r="C1015" s="44" t="inlineStr">
        <is>
          <t>TRT270934T18</t>
        </is>
      </c>
      <c r="D1015" s="44" t="inlineStr">
        <is>
          <t>06.11.2024</t>
        </is>
      </c>
      <c r="E1015" s="44" t="inlineStr">
        <is>
          <t>27.09.2034</t>
        </is>
      </c>
      <c r="F1015" s="44" t="n">
        <v>3612</v>
      </c>
      <c r="G1015" s="44" t="inlineStr">
        <is>
          <t>6 ay</t>
        </is>
      </c>
      <c r="H1015" s="15" t="n">
        <v>13.85</v>
      </c>
      <c r="I1015" s="45" t="n">
        <v>18407700</v>
      </c>
      <c r="J1015" s="45" t="n">
        <v>17884111.39</v>
      </c>
      <c r="K1015" s="45" t="n">
        <v>9088600</v>
      </c>
      <c r="L1015" s="45" t="n">
        <v>8877422.152000001</v>
      </c>
      <c r="M1015" s="45" t="n">
        <v>0</v>
      </c>
      <c r="N1015" s="45" t="n">
        <v>0</v>
      </c>
      <c r="O1015" s="45" t="n">
        <v>3071378.839</v>
      </c>
      <c r="P1015" s="45" t="n">
        <v>2999999.99478</v>
      </c>
      <c r="Q1015" s="45" t="n">
        <v>4618726.725</v>
      </c>
      <c r="R1015" s="45" t="n">
        <v>4511387.51591</v>
      </c>
      <c r="S1015" s="45" t="n">
        <v>16778705.564</v>
      </c>
      <c r="T1015" s="45" t="n">
        <v>16388809.66269</v>
      </c>
      <c r="U1015" s="15" t="n">
        <v>14.53</v>
      </c>
      <c r="V1015" s="15" t="n">
        <v>31.16</v>
      </c>
      <c r="W1015" s="49" t="n">
        <v>97.676</v>
      </c>
    </row>
    <row r="1016">
      <c r="A1016" s="44" t="inlineStr">
        <is>
          <t>TL Cinsi Sabit Faizli Kuponlu Senetler</t>
        </is>
      </c>
      <c r="B1016" s="44" t="n">
        <v>2024</v>
      </c>
      <c r="C1016" s="44" t="inlineStr">
        <is>
          <t>TRT120826T16</t>
        </is>
      </c>
      <c r="D1016" s="44" t="inlineStr">
        <is>
          <t>13.11.2024</t>
        </is>
      </c>
      <c r="E1016" s="44" t="inlineStr">
        <is>
          <t>12.08.2026</t>
        </is>
      </c>
      <c r="F1016" s="44" t="n">
        <v>637</v>
      </c>
      <c r="G1016" s="44" t="inlineStr">
        <is>
          <t>6 ay</t>
        </is>
      </c>
      <c r="H1016" s="15" t="n">
        <v>18</v>
      </c>
      <c r="I1016" s="45" t="n">
        <v>40375000</v>
      </c>
      <c r="J1016" s="45" t="n">
        <v>42160130.32</v>
      </c>
      <c r="K1016" s="45" t="n">
        <v>26952000</v>
      </c>
      <c r="L1016" s="45" t="n">
        <v>28199860.03</v>
      </c>
      <c r="M1016" s="45" t="n">
        <v>3851667.78</v>
      </c>
      <c r="N1016" s="45" t="n">
        <v>4029999.99821</v>
      </c>
      <c r="O1016" s="45" t="n">
        <v>9557488.286</v>
      </c>
      <c r="P1016" s="45" t="n">
        <v>9999999.99364</v>
      </c>
      <c r="Q1016" s="45" t="n">
        <v>14163717.247</v>
      </c>
      <c r="R1016" s="45" t="n">
        <v>14819497.35553</v>
      </c>
      <c r="S1016" s="45" t="n">
        <v>54524873.313</v>
      </c>
      <c r="T1016" s="45" t="n">
        <v>57049357.37738</v>
      </c>
      <c r="U1016" s="15" t="n">
        <v>19.67</v>
      </c>
      <c r="V1016" s="15" t="n">
        <v>43.21</v>
      </c>
      <c r="W1016" s="49" t="n">
        <v>104.63</v>
      </c>
    </row>
    <row r="1017">
      <c r="A1017" s="44" t="inlineStr">
        <is>
          <t>TL Cinsi Sabit Faizli Kuponlu Senetler</t>
        </is>
      </c>
      <c r="B1017" s="44" t="n">
        <v>2024</v>
      </c>
      <c r="C1017" s="44" t="inlineStr">
        <is>
          <t>TRT120929T12</t>
        </is>
      </c>
      <c r="D1017" s="44" t="inlineStr">
        <is>
          <t>13.11.2024</t>
        </is>
      </c>
      <c r="E1017" s="44" t="inlineStr">
        <is>
          <t>12.09.2029</t>
        </is>
      </c>
      <c r="F1017" s="44" t="n">
        <v>1764</v>
      </c>
      <c r="G1017" s="44" t="inlineStr">
        <is>
          <t>6 ay</t>
        </is>
      </c>
      <c r="H1017" s="15" t="n">
        <v>15</v>
      </c>
      <c r="I1017" s="45" t="n">
        <v>30037500</v>
      </c>
      <c r="J1017" s="45" t="n">
        <v>29361841.53</v>
      </c>
      <c r="K1017" s="45" t="n">
        <v>20015750</v>
      </c>
      <c r="L1017" s="45" t="n">
        <v>19604100.575</v>
      </c>
      <c r="M1017" s="45" t="n">
        <v>4084008.045</v>
      </c>
      <c r="N1017" s="45" t="n">
        <v>3999999.99951</v>
      </c>
      <c r="O1017" s="45" t="n">
        <v>7147014.073</v>
      </c>
      <c r="P1017" s="45" t="n">
        <v>6999999.99354</v>
      </c>
      <c r="Q1017" s="45" t="n">
        <v>6274618.409</v>
      </c>
      <c r="R1017" s="45" t="n">
        <v>6145549.50833</v>
      </c>
      <c r="S1017" s="45" t="n">
        <v>37521390.527</v>
      </c>
      <c r="T1017" s="45" t="n">
        <v>36749650.07638</v>
      </c>
      <c r="U1017" s="15" t="n">
        <v>16.37</v>
      </c>
      <c r="V1017" s="15" t="n">
        <v>35.41</v>
      </c>
      <c r="W1017" s="49" t="n">
        <v>97.943</v>
      </c>
    </row>
    <row r="1018">
      <c r="A1018" s="44" t="inlineStr">
        <is>
          <t>TL Cinsi Sabit Faizli Kuponlu Senetler</t>
        </is>
      </c>
      <c r="B1018" s="44" t="n">
        <v>2024</v>
      </c>
      <c r="C1018" s="44" t="inlineStr">
        <is>
          <t>TRT120929T12</t>
        </is>
      </c>
      <c r="D1018" s="44" t="inlineStr">
        <is>
          <t>11.12.2024</t>
        </is>
      </c>
      <c r="E1018" s="44" t="inlineStr">
        <is>
          <t>12.09.2029</t>
        </is>
      </c>
      <c r="F1018" s="44" t="n">
        <v>1736</v>
      </c>
      <c r="G1018" s="44" t="inlineStr">
        <is>
          <t>6 ay</t>
        </is>
      </c>
      <c r="H1018" s="15" t="n">
        <v>15</v>
      </c>
      <c r="I1018" s="45" t="n">
        <v>19957000</v>
      </c>
      <c r="J1018" s="45" t="n">
        <v>20255427.18</v>
      </c>
      <c r="K1018" s="45" t="n">
        <v>9945000</v>
      </c>
      <c r="L1018" s="45" t="n">
        <v>10156165.84</v>
      </c>
      <c r="M1018" s="45" t="n">
        <v>9792113.431</v>
      </c>
      <c r="N1018" s="45" t="n">
        <v>9999999.99914</v>
      </c>
      <c r="O1018" s="45" t="n">
        <v>2448028.355</v>
      </c>
      <c r="P1018" s="45" t="n">
        <v>2499999.99697</v>
      </c>
      <c r="Q1018" s="45" t="n">
        <v>825010</v>
      </c>
      <c r="R1018" s="45" t="n">
        <v>842524.9623</v>
      </c>
      <c r="S1018" s="45" t="n">
        <v>23010151.786</v>
      </c>
      <c r="T1018" s="45" t="n">
        <v>23498690.79841</v>
      </c>
      <c r="U1018" s="15" t="n">
        <v>15.95</v>
      </c>
      <c r="V1018" s="15" t="n">
        <v>34.45</v>
      </c>
      <c r="W1018" s="49" t="n">
        <v>102.123</v>
      </c>
    </row>
    <row r="1019">
      <c r="A1019" s="44" t="inlineStr">
        <is>
          <t>TL Cinsi Sabit Faizli Kuponlu Senetler</t>
        </is>
      </c>
      <c r="B1019" s="44" t="n">
        <v>2024</v>
      </c>
      <c r="C1019" s="44" t="inlineStr">
        <is>
          <t>TRT120826T16</t>
        </is>
      </c>
      <c r="D1019" s="44" t="inlineStr">
        <is>
          <t>18.12.2024</t>
        </is>
      </c>
      <c r="E1019" s="44" t="inlineStr">
        <is>
          <t>12.08.2026</t>
        </is>
      </c>
      <c r="F1019" s="44" t="n">
        <v>602</v>
      </c>
      <c r="G1019" s="44" t="inlineStr">
        <is>
          <t>6 ay</t>
        </is>
      </c>
      <c r="H1019" s="15" t="n">
        <v>18</v>
      </c>
      <c r="I1019" s="45" t="n">
        <v>40422510</v>
      </c>
      <c r="J1019" s="45" t="n">
        <v>43451792.1029</v>
      </c>
      <c r="K1019" s="45" t="n">
        <v>12608500</v>
      </c>
      <c r="L1019" s="45" t="n">
        <v>13581027.12</v>
      </c>
      <c r="M1019" s="45" t="n">
        <v>3713572.177</v>
      </c>
      <c r="N1019" s="45" t="n">
        <v>3999999.99901</v>
      </c>
      <c r="O1019" s="45" t="n">
        <v>6498751.307</v>
      </c>
      <c r="P1019" s="45" t="n">
        <v>6999999.9953</v>
      </c>
      <c r="Q1019" s="45" t="n">
        <v>6135092.204</v>
      </c>
      <c r="R1019" s="45" t="n">
        <v>6608291.8657</v>
      </c>
      <c r="S1019" s="45" t="n">
        <v>28955915.688</v>
      </c>
      <c r="T1019" s="45" t="n">
        <v>31189318.98001</v>
      </c>
      <c r="U1019" s="15" t="n">
        <v>19.94</v>
      </c>
      <c r="V1019" s="15" t="n">
        <v>43.85</v>
      </c>
      <c r="W1019" s="49" t="n">
        <v>107.713</v>
      </c>
    </row>
    <row r="1020">
      <c r="A1020" s="44" t="inlineStr">
        <is>
          <t>TL Cinsi Sabit Faizli Kuponlu Senetler</t>
        </is>
      </c>
      <c r="B1020" s="44" t="n">
        <v>2024</v>
      </c>
      <c r="C1020" s="44" t="inlineStr">
        <is>
          <t>TRT270934T18</t>
        </is>
      </c>
      <c r="D1020" s="44" t="inlineStr">
        <is>
          <t>18.12.2024</t>
        </is>
      </c>
      <c r="E1020" s="44" t="inlineStr">
        <is>
          <t>27.09.2034</t>
        </is>
      </c>
      <c r="F1020" s="44" t="n">
        <v>3570</v>
      </c>
      <c r="G1020" s="44" t="inlineStr">
        <is>
          <t>6 ay</t>
        </is>
      </c>
      <c r="H1020" s="15" t="n">
        <v>13.85</v>
      </c>
      <c r="I1020" s="45" t="n">
        <v>23860000</v>
      </c>
      <c r="J1020" s="45" t="n">
        <v>24204404.03</v>
      </c>
      <c r="K1020" s="45" t="n">
        <v>6250000</v>
      </c>
      <c r="L1020" s="45" t="n">
        <v>6369681</v>
      </c>
      <c r="M1020" s="45" t="n">
        <v>0</v>
      </c>
      <c r="N1020" s="45" t="n">
        <v>0</v>
      </c>
      <c r="O1020" s="45" t="n">
        <v>981209.827</v>
      </c>
      <c r="P1020" s="45" t="n">
        <v>999999.99518</v>
      </c>
      <c r="Q1020" s="45" t="n">
        <v>3389637.245</v>
      </c>
      <c r="R1020" s="45" t="n">
        <v>3454548.79824</v>
      </c>
      <c r="S1020" s="45" t="n">
        <v>10620847.072</v>
      </c>
      <c r="T1020" s="45" t="n">
        <v>10824229.79342</v>
      </c>
      <c r="U1020" s="15" t="n">
        <v>14.34</v>
      </c>
      <c r="V1020" s="15" t="n">
        <v>30.74</v>
      </c>
      <c r="W1020" s="49" t="n">
        <v>101.915</v>
      </c>
    </row>
    <row r="1021">
      <c r="A1021" s="44" t="inlineStr">
        <is>
          <t>TL Cinsi Sabit Faizli Kuponlu Senetler</t>
        </is>
      </c>
      <c r="B1021" s="44" t="n">
        <v>2023</v>
      </c>
      <c r="C1021" s="44" t="inlineStr">
        <is>
          <t>TRT131032T13</t>
        </is>
      </c>
      <c r="D1021" s="44" t="inlineStr">
        <is>
          <t>18.01.2023</t>
        </is>
      </c>
      <c r="E1021" s="44" t="inlineStr">
        <is>
          <t>13.10.2032</t>
        </is>
      </c>
      <c r="F1021" s="44" t="n">
        <v>3556</v>
      </c>
      <c r="G1021" s="44" t="inlineStr">
        <is>
          <t>6 ay</t>
        </is>
      </c>
      <c r="H1021" s="15" t="n">
        <v>5.2</v>
      </c>
      <c r="I1021" s="45" t="n">
        <v>13468005</v>
      </c>
      <c r="J1021" s="45" t="n">
        <v>13967847.9</v>
      </c>
      <c r="K1021" s="45" t="n">
        <v>10157000</v>
      </c>
      <c r="L1021" s="45" t="n">
        <v>10577163.2</v>
      </c>
      <c r="M1021" s="45" t="n">
        <v>720205.1139999999</v>
      </c>
      <c r="N1021" s="45" t="n">
        <v>749999.99957</v>
      </c>
      <c r="O1021" s="45" t="n">
        <v>10563008.338</v>
      </c>
      <c r="P1021" s="45" t="n">
        <v>10999999.99295</v>
      </c>
      <c r="Q1021" s="45" t="n">
        <v>2825712.416</v>
      </c>
      <c r="R1021" s="45" t="n">
        <v>2942612.13865</v>
      </c>
      <c r="S1021" s="45" t="n">
        <v>24265925.868</v>
      </c>
      <c r="T1021" s="45" t="n">
        <v>25269775.33117</v>
      </c>
      <c r="U1021" s="15" t="n">
        <v>5.06</v>
      </c>
      <c r="V1021" s="15" t="n">
        <v>10.37</v>
      </c>
      <c r="W1021" s="49" t="n">
        <v>104.137</v>
      </c>
    </row>
    <row r="1022">
      <c r="A1022" s="44" t="inlineStr">
        <is>
          <t>TL Cinsi Sabit Faizli Kuponlu Senetler</t>
        </is>
      </c>
      <c r="B1022" s="44" t="n">
        <v>2023</v>
      </c>
      <c r="C1022" s="44" t="inlineStr">
        <is>
          <t>TRT041224T12</t>
        </is>
      </c>
      <c r="D1022" s="44" t="inlineStr">
        <is>
          <t>18.01.2023</t>
        </is>
      </c>
      <c r="E1022" s="44" t="inlineStr">
        <is>
          <t>04.12.2024</t>
        </is>
      </c>
      <c r="F1022" s="44" t="n">
        <v>686</v>
      </c>
      <c r="G1022" s="44" t="inlineStr">
        <is>
          <t>6 ay</t>
        </is>
      </c>
      <c r="H1022" s="15" t="n">
        <v>4.65</v>
      </c>
      <c r="I1022" s="45" t="n">
        <v>935002</v>
      </c>
      <c r="J1022" s="45" t="n">
        <v>923626.5622</v>
      </c>
      <c r="K1022" s="45" t="n">
        <v>485000</v>
      </c>
      <c r="L1022" s="45" t="n">
        <v>481588.3</v>
      </c>
      <c r="M1022" s="45" t="n">
        <v>0</v>
      </c>
      <c r="N1022" s="45" t="n">
        <v>0</v>
      </c>
      <c r="O1022" s="45" t="n">
        <v>176238.959</v>
      </c>
      <c r="P1022" s="45" t="n">
        <v>174999.99911</v>
      </c>
      <c r="Q1022" s="45" t="n">
        <v>122749.704</v>
      </c>
      <c r="R1022" s="45" t="n">
        <v>121886.77358</v>
      </c>
      <c r="S1022" s="45" t="n">
        <v>783988.6630000001</v>
      </c>
      <c r="T1022" s="45" t="n">
        <v>778475.0726900001</v>
      </c>
      <c r="U1022" s="15" t="n">
        <v>5.17</v>
      </c>
      <c r="V1022" s="15" t="n">
        <v>10.62</v>
      </c>
      <c r="W1022" s="49" t="n">
        <v>99.297</v>
      </c>
    </row>
    <row r="1023">
      <c r="A1023" s="44" t="inlineStr">
        <is>
          <t>TL Cinsi Sabit Faizli Kuponlu Senetler</t>
        </is>
      </c>
      <c r="B1023" s="44" t="n">
        <v>2023</v>
      </c>
      <c r="C1023" s="44" t="inlineStr">
        <is>
          <t>TRT110827T16</t>
        </is>
      </c>
      <c r="D1023" s="44" t="inlineStr">
        <is>
          <t>25.01.2023</t>
        </is>
      </c>
      <c r="E1023" s="44" t="inlineStr">
        <is>
          <t>11.08.2027</t>
        </is>
      </c>
      <c r="F1023" s="44" t="n">
        <v>1659</v>
      </c>
      <c r="G1023" s="44" t="inlineStr">
        <is>
          <t>6 ay</t>
        </is>
      </c>
      <c r="H1023" s="15" t="n">
        <v>5.25</v>
      </c>
      <c r="I1023" s="45" t="n">
        <v>30072000</v>
      </c>
      <c r="J1023" s="45" t="n">
        <v>32291889.64</v>
      </c>
      <c r="K1023" s="45" t="n">
        <v>21183000</v>
      </c>
      <c r="L1023" s="45" t="n">
        <v>22802100.23</v>
      </c>
      <c r="M1023" s="45" t="n">
        <v>1161245.97</v>
      </c>
      <c r="N1023" s="45" t="n">
        <v>1249999.99949</v>
      </c>
      <c r="O1023" s="45" t="n">
        <v>14863948.419</v>
      </c>
      <c r="P1023" s="45" t="n">
        <v>15999999.99668</v>
      </c>
      <c r="Q1023" s="45" t="n">
        <v>7556083.766</v>
      </c>
      <c r="R1023" s="45" t="n">
        <v>8133595.24823</v>
      </c>
      <c r="S1023" s="45" t="n">
        <v>44764278.155</v>
      </c>
      <c r="T1023" s="45" t="n">
        <v>48185695.47440001</v>
      </c>
      <c r="U1023" s="15" t="n">
        <v>4.83</v>
      </c>
      <c r="V1023" s="15" t="n">
        <v>9.9</v>
      </c>
      <c r="W1023" s="49" t="n">
        <v>107.643</v>
      </c>
    </row>
    <row r="1024">
      <c r="A1024" s="44" t="inlineStr">
        <is>
          <t>TL Cinsi Sabit Faizli Kuponlu Senetler</t>
        </is>
      </c>
      <c r="B1024" s="44" t="n">
        <v>2023</v>
      </c>
      <c r="C1024" s="44" t="inlineStr">
        <is>
          <t>TRT041224T12</t>
        </is>
      </c>
      <c r="D1024" s="44" t="inlineStr">
        <is>
          <t>08.02.2023</t>
        </is>
      </c>
      <c r="E1024" s="44" t="inlineStr">
        <is>
          <t>04.12.2024</t>
        </is>
      </c>
      <c r="F1024" s="44" t="n">
        <v>665</v>
      </c>
      <c r="G1024" s="44" t="inlineStr">
        <is>
          <t>6 ay</t>
        </is>
      </c>
      <c r="H1024" s="15" t="n">
        <v>4.65</v>
      </c>
      <c r="I1024" s="45" t="n">
        <v>1615002</v>
      </c>
      <c r="J1024" s="45" t="n">
        <v>1599371.725</v>
      </c>
      <c r="K1024" s="45" t="n">
        <v>680000</v>
      </c>
      <c r="L1024" s="45" t="n">
        <v>677006.25</v>
      </c>
      <c r="M1024" s="45" t="n">
        <v>1004419.445</v>
      </c>
      <c r="N1024" s="45" t="n">
        <v>999999.99944</v>
      </c>
      <c r="O1024" s="45" t="n">
        <v>125552.43</v>
      </c>
      <c r="P1024" s="45" t="n">
        <v>124999.9993</v>
      </c>
      <c r="Q1024" s="45" t="n">
        <v>0</v>
      </c>
      <c r="R1024" s="45" t="n">
        <v>0</v>
      </c>
      <c r="S1024" s="45" t="n">
        <v>1809971.875</v>
      </c>
      <c r="T1024" s="45" t="n">
        <v>1802006.24874</v>
      </c>
      <c r="U1024" s="15" t="n">
        <v>5.27</v>
      </c>
      <c r="V1024" s="15" t="n">
        <v>10.82</v>
      </c>
      <c r="W1024" s="49" t="n">
        <v>99.56</v>
      </c>
    </row>
    <row r="1025">
      <c r="A1025" s="44" t="inlineStr">
        <is>
          <t>TL Cinsi Sabit Faizli Kuponlu Senetler</t>
        </is>
      </c>
      <c r="B1025" s="44" t="n">
        <v>2023</v>
      </c>
      <c r="C1025" s="44" t="inlineStr">
        <is>
          <t>TRT131032T13</t>
        </is>
      </c>
      <c r="D1025" s="44" t="inlineStr">
        <is>
          <t>08.02.2023</t>
        </is>
      </c>
      <c r="E1025" s="44" t="inlineStr">
        <is>
          <t>13.10.2032</t>
        </is>
      </c>
      <c r="F1025" s="44" t="n">
        <v>3535</v>
      </c>
      <c r="G1025" s="44" t="inlineStr">
        <is>
          <t>6 ay</t>
        </is>
      </c>
      <c r="H1025" s="15" t="n">
        <v>5.2</v>
      </c>
      <c r="I1025" s="45" t="n">
        <v>8686005</v>
      </c>
      <c r="J1025" s="45" t="n">
        <v>8425821.125</v>
      </c>
      <c r="K1025" s="45" t="n">
        <v>6623004</v>
      </c>
      <c r="L1025" s="45" t="n">
        <v>6452390.87</v>
      </c>
      <c r="M1025" s="45" t="n">
        <v>0</v>
      </c>
      <c r="N1025" s="45" t="n">
        <v>0</v>
      </c>
      <c r="O1025" s="45" t="n">
        <v>5132205.614</v>
      </c>
      <c r="P1025" s="45" t="n">
        <v>4999999.99739</v>
      </c>
      <c r="Q1025" s="45" t="n">
        <v>1891579.63</v>
      </c>
      <c r="R1025" s="45" t="n">
        <v>1842852.53873</v>
      </c>
      <c r="S1025" s="45" t="n">
        <v>13646789.244</v>
      </c>
      <c r="T1025" s="45" t="n">
        <v>13295243.40612</v>
      </c>
      <c r="U1025" s="15" t="n">
        <v>5.68</v>
      </c>
      <c r="V1025" s="15" t="n">
        <v>11.68</v>
      </c>
      <c r="W1025" s="49" t="n">
        <v>97.42400000000001</v>
      </c>
    </row>
    <row r="1026">
      <c r="A1026" s="44" t="inlineStr">
        <is>
          <t>TL Cinsi Sabit Faizli Kuponlu Senetler</t>
        </is>
      </c>
      <c r="B1026" s="44" t="n">
        <v>2023</v>
      </c>
      <c r="C1026" s="44" t="inlineStr">
        <is>
          <t>TRT160228T16</t>
        </is>
      </c>
      <c r="D1026" s="44" t="inlineStr">
        <is>
          <t>22.02.2023</t>
        </is>
      </c>
      <c r="E1026" s="44" t="inlineStr">
        <is>
          <t>16.02.2028</t>
        </is>
      </c>
      <c r="F1026" s="44" t="n">
        <v>1820</v>
      </c>
      <c r="G1026" s="44" t="inlineStr">
        <is>
          <t>6 ay</t>
        </is>
      </c>
      <c r="H1026" s="15" t="n">
        <v>4.55</v>
      </c>
      <c r="I1026" s="45" t="n">
        <v>18288006</v>
      </c>
      <c r="J1026" s="45" t="n">
        <v>18032354</v>
      </c>
      <c r="K1026" s="45" t="n">
        <v>14100000</v>
      </c>
      <c r="L1026" s="45" t="n">
        <v>13995945.3</v>
      </c>
      <c r="M1026" s="45" t="n">
        <v>0</v>
      </c>
      <c r="N1026" s="45" t="n">
        <v>0</v>
      </c>
      <c r="O1026" s="45" t="n">
        <v>17126392.774</v>
      </c>
      <c r="P1026" s="45" t="n">
        <v>16999999.99534</v>
      </c>
      <c r="Q1026" s="45" t="n">
        <v>1701500</v>
      </c>
      <c r="R1026" s="45" t="n">
        <v>1688942.93</v>
      </c>
      <c r="S1026" s="45" t="n">
        <v>32927892.774</v>
      </c>
      <c r="T1026" s="45" t="n">
        <v>32684888.22534</v>
      </c>
      <c r="U1026" s="15" t="n">
        <v>4.64</v>
      </c>
      <c r="V1026" s="15" t="n">
        <v>9.5</v>
      </c>
      <c r="W1026" s="49" t="n">
        <v>99.262</v>
      </c>
    </row>
    <row r="1027">
      <c r="A1027" s="44" t="inlineStr">
        <is>
          <t>TL Cinsi Sabit Faizli Kuponlu Senetler</t>
        </is>
      </c>
      <c r="B1027" s="44" t="n">
        <v>2023</v>
      </c>
      <c r="C1027" s="44" t="inlineStr">
        <is>
          <t>TRT131032T13</t>
        </is>
      </c>
      <c r="D1027" s="44" t="inlineStr">
        <is>
          <t>08.03.2023</t>
        </is>
      </c>
      <c r="E1027" s="44" t="inlineStr">
        <is>
          <t>13.10.2032</t>
        </is>
      </c>
      <c r="F1027" s="44" t="n">
        <v>3507</v>
      </c>
      <c r="G1027" s="44" t="inlineStr">
        <is>
          <t>6 ay</t>
        </is>
      </c>
      <c r="H1027" s="15" t="n">
        <v>5.2</v>
      </c>
      <c r="I1027" s="45" t="n">
        <v>11350005</v>
      </c>
      <c r="J1027" s="45" t="n">
        <v>10978846.93</v>
      </c>
      <c r="K1027" s="45" t="n">
        <v>8970002</v>
      </c>
      <c r="L1027" s="45" t="n">
        <v>8711016.130000001</v>
      </c>
      <c r="M1027" s="45" t="n">
        <v>0</v>
      </c>
      <c r="N1027" s="45" t="n">
        <v>0</v>
      </c>
      <c r="O1027" s="45" t="n">
        <v>6693233.653</v>
      </c>
      <c r="P1027" s="45" t="n">
        <v>6499999.99744</v>
      </c>
      <c r="Q1027" s="45" t="n">
        <v>3362809.556</v>
      </c>
      <c r="R1027" s="45" t="n">
        <v>3265725.24411</v>
      </c>
      <c r="S1027" s="45" t="n">
        <v>19026045.209</v>
      </c>
      <c r="T1027" s="45" t="n">
        <v>18476741.37155</v>
      </c>
      <c r="U1027" s="15" t="n">
        <v>5.78</v>
      </c>
      <c r="V1027" s="15" t="n">
        <v>11.9</v>
      </c>
      <c r="W1027" s="49" t="n">
        <v>97.113</v>
      </c>
    </row>
    <row r="1028">
      <c r="A1028" s="44" t="inlineStr">
        <is>
          <t>TL Cinsi Sabit Faizli Kuponlu Senetler</t>
        </is>
      </c>
      <c r="B1028" s="44" t="n">
        <v>2023</v>
      </c>
      <c r="C1028" s="44" t="inlineStr">
        <is>
          <t>TRT041224T12</t>
        </is>
      </c>
      <c r="D1028" s="44" t="inlineStr">
        <is>
          <t>22.03.2023</t>
        </is>
      </c>
      <c r="E1028" s="44" t="inlineStr">
        <is>
          <t>04.12.2024</t>
        </is>
      </c>
      <c r="F1028" s="44" t="n">
        <v>623</v>
      </c>
      <c r="G1028" s="44" t="inlineStr">
        <is>
          <t>6 ay</t>
        </is>
      </c>
      <c r="H1028" s="15" t="n">
        <v>4.65</v>
      </c>
      <c r="I1028" s="45" t="n">
        <v>590003</v>
      </c>
      <c r="J1028" s="45" t="n">
        <v>578551.1899999999</v>
      </c>
      <c r="K1028" s="45" t="n">
        <v>200001</v>
      </c>
      <c r="L1028" s="45" t="n">
        <v>196941.74</v>
      </c>
      <c r="M1028" s="45" t="inlineStr">
        <is>
          <t>-</t>
        </is>
      </c>
      <c r="N1028" s="45" t="inlineStr">
        <is>
          <t>-</t>
        </is>
      </c>
      <c r="O1028" s="45" t="n">
        <v>91398.394</v>
      </c>
      <c r="P1028" s="45" t="n">
        <v>89999.99858</v>
      </c>
      <c r="Q1028" s="45" t="n">
        <v>0</v>
      </c>
      <c r="R1028" s="45" t="n">
        <v>0</v>
      </c>
      <c r="S1028" s="45" t="n">
        <v>291399.394</v>
      </c>
      <c r="T1028" s="45" t="n">
        <v>286941.73858</v>
      </c>
      <c r="U1028" s="15" t="n">
        <v>6.04</v>
      </c>
      <c r="V1028" s="15" t="n">
        <v>12.44</v>
      </c>
      <c r="W1028" s="49" t="n">
        <v>98.47</v>
      </c>
    </row>
    <row r="1029">
      <c r="A1029" s="44" t="inlineStr">
        <is>
          <t>TL Cinsi Sabit Faizli Kuponlu Senetler</t>
        </is>
      </c>
      <c r="B1029" s="44" t="n">
        <v>2023</v>
      </c>
      <c r="C1029" s="44" t="inlineStr">
        <is>
          <t>TRT160228T16</t>
        </is>
      </c>
      <c r="D1029" s="44" t="inlineStr">
        <is>
          <t>22.03.2023</t>
        </is>
      </c>
      <c r="E1029" s="44" t="inlineStr">
        <is>
          <t>16.02.2028</t>
        </is>
      </c>
      <c r="F1029" s="44" t="n">
        <v>1792</v>
      </c>
      <c r="G1029" s="44" t="inlineStr">
        <is>
          <t>6 ay</t>
        </is>
      </c>
      <c r="H1029" s="15" t="n">
        <v>4.55</v>
      </c>
      <c r="I1029" s="45" t="n">
        <v>13854005</v>
      </c>
      <c r="J1029" s="45" t="n">
        <v>12816442.86</v>
      </c>
      <c r="K1029" s="45" t="n">
        <v>10946001</v>
      </c>
      <c r="L1029" s="45" t="n">
        <v>10162347.79</v>
      </c>
      <c r="M1029" s="45" t="inlineStr">
        <is>
          <t>-</t>
        </is>
      </c>
      <c r="N1029" s="45" t="inlineStr">
        <is>
          <t>-</t>
        </is>
      </c>
      <c r="O1029" s="45" t="n">
        <v>26927758.207</v>
      </c>
      <c r="P1029" s="45" t="n">
        <v>24999999.99696</v>
      </c>
      <c r="Q1029" s="45" t="n">
        <v>0</v>
      </c>
      <c r="R1029" s="45" t="n">
        <v>0</v>
      </c>
      <c r="S1029" s="45" t="n">
        <v>37873759.207</v>
      </c>
      <c r="T1029" s="45" t="n">
        <v>35162347.78696</v>
      </c>
      <c r="U1029" s="15" t="n">
        <v>5.61</v>
      </c>
      <c r="V1029" s="15" t="n">
        <v>11.53</v>
      </c>
      <c r="W1029" s="49" t="n">
        <v>92.84099999999999</v>
      </c>
    </row>
    <row r="1030">
      <c r="A1030" s="44" t="inlineStr">
        <is>
          <t>TL Cinsi Sabit Faizli Kuponlu Senetler</t>
        </is>
      </c>
      <c r="B1030" s="44" t="n">
        <v>2023</v>
      </c>
      <c r="C1030" s="44" t="inlineStr">
        <is>
          <t>TRT020926T17</t>
        </is>
      </c>
      <c r="D1030" s="44" t="inlineStr">
        <is>
          <t>12.04.2023</t>
        </is>
      </c>
      <c r="E1030" s="44" t="inlineStr">
        <is>
          <t>02.09.2026</t>
        </is>
      </c>
      <c r="F1030" s="44" t="n">
        <v>1239</v>
      </c>
      <c r="G1030" s="44" t="inlineStr">
        <is>
          <t>6 ay</t>
        </is>
      </c>
      <c r="H1030" s="15" t="n">
        <v>8.449999999999999</v>
      </c>
      <c r="I1030" s="45" t="n">
        <v>416000</v>
      </c>
      <c r="J1030" s="45" t="n">
        <v>442726.49</v>
      </c>
      <c r="K1030" s="45" t="n">
        <v>157000</v>
      </c>
      <c r="L1030" s="45" t="n">
        <v>169466.48</v>
      </c>
      <c r="M1030" s="45" t="inlineStr">
        <is>
          <t>-</t>
        </is>
      </c>
      <c r="N1030" s="45" t="inlineStr">
        <is>
          <t>-</t>
        </is>
      </c>
      <c r="O1030" s="45" t="n">
        <v>64850.842</v>
      </c>
      <c r="P1030" s="45" t="n">
        <v>69999.99886000001</v>
      </c>
      <c r="Q1030" s="45" t="n">
        <v>0</v>
      </c>
      <c r="R1030" s="45" t="n">
        <v>0</v>
      </c>
      <c r="S1030" s="45" t="n">
        <v>221850.842</v>
      </c>
      <c r="T1030" s="45" t="n">
        <v>239466.47886</v>
      </c>
      <c r="U1030" s="15" t="n">
        <v>7.23</v>
      </c>
      <c r="V1030" s="15" t="n">
        <v>14.99</v>
      </c>
      <c r="W1030" s="49" t="n">
        <v>107.94</v>
      </c>
    </row>
    <row r="1031">
      <c r="A1031" s="44" t="inlineStr">
        <is>
          <t>TL Cinsi Sabit Faizli Kuponlu Senetler</t>
        </is>
      </c>
      <c r="B1031" s="44" t="n">
        <v>2023</v>
      </c>
      <c r="C1031" s="44" t="inlineStr">
        <is>
          <t>TRT131032T13</t>
        </is>
      </c>
      <c r="D1031" s="44" t="inlineStr">
        <is>
          <t>12.04.2023</t>
        </is>
      </c>
      <c r="E1031" s="44" t="inlineStr">
        <is>
          <t>13.10.2032</t>
        </is>
      </c>
      <c r="F1031" s="44" t="n">
        <v>3472</v>
      </c>
      <c r="G1031" s="44" t="inlineStr">
        <is>
          <t>6 ay</t>
        </is>
      </c>
      <c r="H1031" s="15" t="n">
        <v>5.2</v>
      </c>
      <c r="I1031" s="45" t="n">
        <v>9189005</v>
      </c>
      <c r="J1031" s="45" t="n">
        <v>8762625.449999999</v>
      </c>
      <c r="K1031" s="45" t="n">
        <v>6767000</v>
      </c>
      <c r="L1031" s="45" t="n">
        <v>6477082.06</v>
      </c>
      <c r="M1031" s="45" t="inlineStr">
        <is>
          <t>-</t>
        </is>
      </c>
      <c r="N1031" s="45" t="inlineStr">
        <is>
          <t>-</t>
        </is>
      </c>
      <c r="O1031" s="45" t="n">
        <v>9141627.311000001</v>
      </c>
      <c r="P1031" s="45" t="n">
        <v>8749999.996990001</v>
      </c>
      <c r="Q1031" s="45" t="n">
        <v>0</v>
      </c>
      <c r="R1031" s="45" t="n">
        <v>0</v>
      </c>
      <c r="S1031" s="45" t="n">
        <v>15908627.311</v>
      </c>
      <c r="T1031" s="45" t="n">
        <v>15227082.05699</v>
      </c>
      <c r="U1031" s="15" t="n">
        <v>6.01</v>
      </c>
      <c r="V1031" s="15" t="n">
        <v>12.39</v>
      </c>
      <c r="W1031" s="49" t="n">
        <v>95.71599999999999</v>
      </c>
    </row>
    <row r="1032">
      <c r="A1032" s="44" t="inlineStr">
        <is>
          <t>TL Cinsi Sabit Faizli Kuponlu Senetler</t>
        </is>
      </c>
      <c r="B1032" s="44" t="n">
        <v>2023</v>
      </c>
      <c r="C1032" s="44" t="inlineStr">
        <is>
          <t>TRT160228T16</t>
        </is>
      </c>
      <c r="D1032" s="44" t="inlineStr">
        <is>
          <t>19.04.2023</t>
        </is>
      </c>
      <c r="E1032" s="44" t="inlineStr">
        <is>
          <t>16.02.2028</t>
        </is>
      </c>
      <c r="F1032" s="44" t="n">
        <v>1764</v>
      </c>
      <c r="G1032" s="44" t="inlineStr">
        <is>
          <t>6 ay</t>
        </is>
      </c>
      <c r="H1032" s="15" t="n">
        <v>4.55</v>
      </c>
      <c r="I1032" s="45" t="n">
        <v>9913005</v>
      </c>
      <c r="J1032" s="45" t="n">
        <v>7472456.1</v>
      </c>
      <c r="K1032" s="45" t="n">
        <v>5323005</v>
      </c>
      <c r="L1032" s="45" t="n">
        <v>4045927.69</v>
      </c>
      <c r="M1032" s="45" t="inlineStr">
        <is>
          <t>-</t>
        </is>
      </c>
      <c r="N1032" s="45" t="inlineStr">
        <is>
          <t>-</t>
        </is>
      </c>
      <c r="O1032" s="45" t="n">
        <v>4933691.189</v>
      </c>
      <c r="P1032" s="45" t="n">
        <v>3749999.99893</v>
      </c>
      <c r="Q1032" s="45" t="n">
        <v>2050000</v>
      </c>
      <c r="R1032" s="45" t="n">
        <v>1558164</v>
      </c>
      <c r="S1032" s="45" t="n">
        <v>12306696.189</v>
      </c>
      <c r="T1032" s="45" t="n">
        <v>9354091.688929999</v>
      </c>
      <c r="U1032" s="15" t="n">
        <v>8.49</v>
      </c>
      <c r="V1032" s="15" t="n">
        <v>17.71</v>
      </c>
      <c r="W1032" s="49" t="n">
        <v>76.008</v>
      </c>
    </row>
    <row r="1033">
      <c r="A1033" s="44" t="inlineStr">
        <is>
          <t>TL Cinsi Sabit Faizli Kuponlu Senetler</t>
        </is>
      </c>
      <c r="B1033" s="44" t="n">
        <v>2023</v>
      </c>
      <c r="C1033" s="44" t="inlineStr">
        <is>
          <t>TRT131032T13</t>
        </is>
      </c>
      <c r="D1033" s="44" t="inlineStr">
        <is>
          <t>03.05.2023</t>
        </is>
      </c>
      <c r="E1033" s="44" t="inlineStr">
        <is>
          <t>13.10.2032</t>
        </is>
      </c>
      <c r="F1033" s="44" t="n">
        <v>3451</v>
      </c>
      <c r="G1033" s="44" t="inlineStr">
        <is>
          <t>6 ay</t>
        </is>
      </c>
      <c r="H1033" s="15" t="n">
        <v>5.2</v>
      </c>
      <c r="I1033" s="45" t="n">
        <v>5520000</v>
      </c>
      <c r="J1033" s="45" t="n">
        <v>4636608.03</v>
      </c>
      <c r="K1033" s="45" t="n">
        <v>3157000</v>
      </c>
      <c r="L1033" s="45" t="n">
        <v>2717248.95</v>
      </c>
      <c r="M1033" s="45" t="n">
        <v>2323663.022</v>
      </c>
      <c r="N1033" s="45" t="n">
        <v>1999999.99967</v>
      </c>
      <c r="O1033" s="45" t="n">
        <v>1452289.387</v>
      </c>
      <c r="P1033" s="45" t="n">
        <v>1249999.99828</v>
      </c>
      <c r="Q1033" s="45" t="n">
        <v>1000</v>
      </c>
      <c r="R1033" s="45" t="n">
        <v>860.71</v>
      </c>
      <c r="S1033" s="45" t="n">
        <v>6933952.409</v>
      </c>
      <c r="T1033" s="45" t="n">
        <v>5968109.65795</v>
      </c>
      <c r="U1033" s="15" t="n">
        <v>6.52</v>
      </c>
      <c r="V1033" s="15" t="n">
        <v>13.46</v>
      </c>
      <c r="W1033" s="49" t="n">
        <v>86.071</v>
      </c>
    </row>
    <row r="1034">
      <c r="A1034" s="44" t="inlineStr">
        <is>
          <t>TL Cinsi Sabit Faizli Kuponlu Senetler</t>
        </is>
      </c>
      <c r="B1034" s="44" t="n">
        <v>2023</v>
      </c>
      <c r="C1034" s="44" t="inlineStr">
        <is>
          <t>TRT041224T12</t>
        </is>
      </c>
      <c r="D1034" s="44" t="inlineStr">
        <is>
          <t>10.05.2023</t>
        </is>
      </c>
      <c r="E1034" s="44" t="inlineStr">
        <is>
          <t>04.12.2024</t>
        </is>
      </c>
      <c r="F1034" s="44" t="n">
        <v>574</v>
      </c>
      <c r="G1034" s="44" t="inlineStr">
        <is>
          <t>6 ay</t>
        </is>
      </c>
      <c r="H1034" s="15" t="n">
        <v>4.65</v>
      </c>
      <c r="I1034" s="45" t="n">
        <v>288003</v>
      </c>
      <c r="J1034" s="45" t="n">
        <v>276221.41</v>
      </c>
      <c r="K1034" s="45" t="n">
        <v>187001</v>
      </c>
      <c r="L1034" s="45" t="n">
        <v>179888.99</v>
      </c>
      <c r="M1034" s="45" t="n">
        <v>1559300.186</v>
      </c>
      <c r="N1034" s="45" t="n">
        <v>1499999.99993</v>
      </c>
      <c r="O1034" s="45" t="n">
        <v>129941.681</v>
      </c>
      <c r="P1034" s="45" t="n">
        <v>124999.99887</v>
      </c>
      <c r="Q1034" s="45" t="n">
        <v>5007.172</v>
      </c>
      <c r="R1034" s="45" t="n">
        <v>4816.74925</v>
      </c>
      <c r="S1034" s="45" t="n">
        <v>1881250.039</v>
      </c>
      <c r="T1034" s="45" t="n">
        <v>1809705.73805</v>
      </c>
      <c r="U1034" s="15" t="n">
        <v>7.49</v>
      </c>
      <c r="V1034" s="15" t="n">
        <v>15.53</v>
      </c>
      <c r="W1034" s="49" t="n">
        <v>96.197</v>
      </c>
    </row>
    <row r="1035">
      <c r="A1035" s="44" t="inlineStr">
        <is>
          <t>TL Cinsi Sabit Faizli Kuponlu Senetler</t>
        </is>
      </c>
      <c r="B1035" s="44" t="n">
        <v>2023</v>
      </c>
      <c r="C1035" s="44" t="inlineStr">
        <is>
          <t>TRT080328T15</t>
        </is>
      </c>
      <c r="D1035" s="44" t="inlineStr">
        <is>
          <t>10.05.2023</t>
        </is>
      </c>
      <c r="E1035" s="44" t="inlineStr">
        <is>
          <t>08.03.2028</t>
        </is>
      </c>
      <c r="F1035" s="44" t="n">
        <v>1764</v>
      </c>
      <c r="G1035" s="44" t="inlineStr">
        <is>
          <t>6 ay</t>
        </is>
      </c>
      <c r="H1035" s="15" t="n">
        <v>6.2</v>
      </c>
      <c r="I1035" s="45" t="n">
        <v>14652005</v>
      </c>
      <c r="J1035" s="45" t="n">
        <v>12512111.79</v>
      </c>
      <c r="K1035" s="45" t="n">
        <v>6668004</v>
      </c>
      <c r="L1035" s="45" t="n">
        <v>5825321.32</v>
      </c>
      <c r="M1035" s="45" t="n">
        <v>2289324.878</v>
      </c>
      <c r="N1035" s="45" t="n">
        <v>1999999.99992</v>
      </c>
      <c r="O1035" s="45" t="n">
        <v>2861656.094</v>
      </c>
      <c r="P1035" s="45" t="n">
        <v>2499999.99685</v>
      </c>
      <c r="Q1035" s="45" t="n">
        <v>1146662.439</v>
      </c>
      <c r="R1035" s="45" t="n">
        <v>1001747.23996</v>
      </c>
      <c r="S1035" s="45" t="n">
        <v>12965647.411</v>
      </c>
      <c r="T1035" s="45" t="n">
        <v>11327068.55673</v>
      </c>
      <c r="U1035" s="15" t="n">
        <v>8.449999999999999</v>
      </c>
      <c r="V1035" s="15" t="n">
        <v>17.61</v>
      </c>
      <c r="W1035" s="49" t="n">
        <v>87.36199999999999</v>
      </c>
    </row>
    <row r="1036">
      <c r="A1036" s="44" t="inlineStr">
        <is>
          <t>TL Cinsi Sabit Faizli Kuponlu Senetler</t>
        </is>
      </c>
      <c r="B1036" s="44" t="n">
        <v>2023</v>
      </c>
      <c r="C1036" s="44" t="inlineStr">
        <is>
          <t>TRT041224T12</t>
        </is>
      </c>
      <c r="D1036" s="44" t="inlineStr">
        <is>
          <t>14.06.2023</t>
        </is>
      </c>
      <c r="E1036" s="44" t="inlineStr">
        <is>
          <t>04.12.2024</t>
        </is>
      </c>
      <c r="F1036" s="44" t="n">
        <v>539</v>
      </c>
      <c r="G1036" s="44" t="inlineStr">
        <is>
          <t>6 ay</t>
        </is>
      </c>
      <c r="H1036" s="15" t="n">
        <v>4.65</v>
      </c>
      <c r="I1036" s="45" t="n">
        <v>1416000</v>
      </c>
      <c r="J1036" s="45" t="n">
        <v>1270641.35</v>
      </c>
      <c r="K1036" s="45" t="n">
        <v>530000</v>
      </c>
      <c r="L1036" s="45" t="n">
        <v>483298.8</v>
      </c>
      <c r="M1036" s="45" t="n">
        <v>274158.88</v>
      </c>
      <c r="N1036" s="45" t="n">
        <v>249999.99949</v>
      </c>
      <c r="O1036" s="45" t="n">
        <v>328990.654</v>
      </c>
      <c r="P1036" s="45" t="n">
        <v>299999.99758</v>
      </c>
      <c r="Q1036" s="45" t="n">
        <v>138646.071</v>
      </c>
      <c r="R1036" s="45" t="n">
        <v>126428.57923</v>
      </c>
      <c r="S1036" s="45" t="n">
        <v>1271795.605</v>
      </c>
      <c r="T1036" s="45" t="n">
        <v>1159727.3763</v>
      </c>
      <c r="U1036" s="15" t="n">
        <v>8.19</v>
      </c>
      <c r="V1036" s="15" t="n">
        <v>17.05</v>
      </c>
      <c r="W1036" s="49" t="n">
        <v>91.188</v>
      </c>
    </row>
    <row r="1037">
      <c r="A1037" s="44" t="inlineStr">
        <is>
          <t>TL Cinsi Sabit Faizli Kuponlu Senetler</t>
        </is>
      </c>
      <c r="B1037" s="44" t="n">
        <v>2023</v>
      </c>
      <c r="C1037" s="44" t="inlineStr">
        <is>
          <t>TRT131032T13</t>
        </is>
      </c>
      <c r="D1037" s="44" t="inlineStr">
        <is>
          <t>14.06.2023</t>
        </is>
      </c>
      <c r="E1037" s="44" t="inlineStr">
        <is>
          <t>13.10.2032</t>
        </is>
      </c>
      <c r="F1037" s="44" t="n">
        <v>3409</v>
      </c>
      <c r="G1037" s="44" t="inlineStr">
        <is>
          <t>6 ay</t>
        </is>
      </c>
      <c r="H1037" s="15" t="n">
        <v>5.2</v>
      </c>
      <c r="I1037" s="45" t="n">
        <v>16259000</v>
      </c>
      <c r="J1037" s="45" t="n">
        <v>11266146.73</v>
      </c>
      <c r="K1037" s="45" t="n">
        <v>12024000</v>
      </c>
      <c r="L1037" s="45" t="n">
        <v>8389570.98</v>
      </c>
      <c r="M1037" s="45" t="n">
        <v>1433198.612</v>
      </c>
      <c r="N1037" s="45" t="n">
        <v>999999.99954</v>
      </c>
      <c r="O1037" s="45" t="n">
        <v>8599191.673</v>
      </c>
      <c r="P1037" s="45" t="n">
        <v>5999999.99793</v>
      </c>
      <c r="Q1037" s="45" t="n">
        <v>2775484.668</v>
      </c>
      <c r="R1037" s="45" t="n">
        <v>1936566.67225</v>
      </c>
      <c r="S1037" s="45" t="n">
        <v>24831874.953</v>
      </c>
      <c r="T1037" s="45" t="n">
        <v>17326137.64972</v>
      </c>
      <c r="U1037" s="15" t="n">
        <v>8.67</v>
      </c>
      <c r="V1037" s="15" t="n">
        <v>18.09</v>
      </c>
      <c r="W1037" s="49" t="n">
        <v>69.774</v>
      </c>
    </row>
    <row r="1038">
      <c r="A1038" s="44" t="inlineStr">
        <is>
          <t>TL Cinsi Sabit Faizli Kuponlu Senetler</t>
        </is>
      </c>
      <c r="B1038" s="44" t="n">
        <v>2023</v>
      </c>
      <c r="C1038" s="44" t="inlineStr">
        <is>
          <t>TRT080328T15</t>
        </is>
      </c>
      <c r="D1038" s="44" t="inlineStr">
        <is>
          <t>21.06.2023</t>
        </is>
      </c>
      <c r="E1038" s="44" t="inlineStr">
        <is>
          <t>08.03.2028</t>
        </is>
      </c>
      <c r="F1038" s="44" t="n">
        <v>1722</v>
      </c>
      <c r="G1038" s="44" t="inlineStr">
        <is>
          <t>6 ay</t>
        </is>
      </c>
      <c r="H1038" s="15" t="n">
        <v>6.2</v>
      </c>
      <c r="I1038" s="45" t="n">
        <v>33852000</v>
      </c>
      <c r="J1038" s="45" t="n">
        <v>29597463.54</v>
      </c>
      <c r="K1038" s="45" t="n">
        <v>20261000</v>
      </c>
      <c r="L1038" s="45" t="n">
        <v>17831879.9</v>
      </c>
      <c r="M1038" s="45" t="n">
        <v>852166.206</v>
      </c>
      <c r="N1038" s="45" t="n">
        <v>749999.99956</v>
      </c>
      <c r="O1038" s="45" t="n">
        <v>27269318.603</v>
      </c>
      <c r="P1038" s="45" t="n">
        <v>23999999.99567</v>
      </c>
      <c r="Q1038" s="45" t="n">
        <v>8434909.885</v>
      </c>
      <c r="R1038" s="45" t="n">
        <v>7423648.5389</v>
      </c>
      <c r="S1038" s="45" t="n">
        <v>56817394.694</v>
      </c>
      <c r="T1038" s="45" t="n">
        <v>50005528.43413</v>
      </c>
      <c r="U1038" s="15" t="n">
        <v>8.630000000000001</v>
      </c>
      <c r="V1038" s="15" t="n">
        <v>17.99</v>
      </c>
      <c r="W1038" s="49" t="n">
        <v>88.011</v>
      </c>
    </row>
    <row r="1039">
      <c r="A1039" s="44" t="inlineStr">
        <is>
          <t>TL Cinsi Sabit Faizli Kuponlu Senetler</t>
        </is>
      </c>
      <c r="B1039" s="44" t="n">
        <v>2023</v>
      </c>
      <c r="C1039" s="44" t="inlineStr">
        <is>
          <t>TRT190728T18</t>
        </is>
      </c>
      <c r="D1039" s="44" t="inlineStr">
        <is>
          <t>26.07.2023</t>
        </is>
      </c>
      <c r="E1039" s="44" t="inlineStr">
        <is>
          <t>19.07.2028</t>
        </is>
      </c>
      <c r="F1039" s="44" t="n">
        <v>1820</v>
      </c>
      <c r="G1039" s="44" t="inlineStr">
        <is>
          <t>6 ay</t>
        </is>
      </c>
      <c r="H1039" s="15" t="n">
        <v>8.65</v>
      </c>
      <c r="I1039" s="45" t="n">
        <v>15208506</v>
      </c>
      <c r="J1039" s="45" t="n">
        <v>14347124.36</v>
      </c>
      <c r="K1039" s="45" t="n">
        <v>11320000</v>
      </c>
      <c r="L1039" s="45" t="n">
        <v>10818037.85</v>
      </c>
      <c r="M1039" s="45" t="n">
        <v>0</v>
      </c>
      <c r="N1039" s="45" t="n">
        <v>0</v>
      </c>
      <c r="O1039" s="45" t="n">
        <v>9417575.283</v>
      </c>
      <c r="P1039" s="45" t="n">
        <v>8999999.99495</v>
      </c>
      <c r="Q1039" s="45" t="n">
        <v>3822627.294</v>
      </c>
      <c r="R1039" s="45" t="n">
        <v>3653131.99978</v>
      </c>
      <c r="S1039" s="45" t="n">
        <v>24560202.577</v>
      </c>
      <c r="T1039" s="45" t="n">
        <v>23471169.84473</v>
      </c>
      <c r="U1039" s="15" t="n">
        <v>9.35</v>
      </c>
      <c r="V1039" s="15" t="n">
        <v>19.58</v>
      </c>
      <c r="W1039" s="49" t="n">
        <v>95.566</v>
      </c>
    </row>
    <row r="1040">
      <c r="A1040" s="44" t="inlineStr">
        <is>
          <t>TL Cinsi Sabit Faizli Kuponlu Senetler</t>
        </is>
      </c>
      <c r="B1040" s="44" t="n">
        <v>2023</v>
      </c>
      <c r="C1040" s="44" t="inlineStr">
        <is>
          <t>TRT130733T17</t>
        </is>
      </c>
      <c r="D1040" s="44" t="inlineStr">
        <is>
          <t>26.07.2023</t>
        </is>
      </c>
      <c r="E1040" s="44" t="inlineStr">
        <is>
          <t>13.07.2033</t>
        </is>
      </c>
      <c r="F1040" s="44" t="n">
        <v>3640</v>
      </c>
      <c r="G1040" s="44" t="inlineStr">
        <is>
          <t>6 ay</t>
        </is>
      </c>
      <c r="H1040" s="15" t="n">
        <v>8.9</v>
      </c>
      <c r="I1040" s="45" t="n">
        <v>7555500</v>
      </c>
      <c r="J1040" s="45" t="n">
        <v>7105593.025</v>
      </c>
      <c r="K1040" s="45" t="n">
        <v>4572500</v>
      </c>
      <c r="L1040" s="45" t="n">
        <v>4342872.125</v>
      </c>
      <c r="M1040" s="45" t="n">
        <v>0</v>
      </c>
      <c r="N1040" s="45" t="n">
        <v>0</v>
      </c>
      <c r="O1040" s="45" t="n">
        <v>3948282.758</v>
      </c>
      <c r="P1040" s="45" t="n">
        <v>3749999.99788</v>
      </c>
      <c r="Q1040" s="45" t="n">
        <v>305069.489</v>
      </c>
      <c r="R1040" s="45" t="n">
        <v>289748.89926</v>
      </c>
      <c r="S1040" s="45" t="n">
        <v>8825852.247</v>
      </c>
      <c r="T1040" s="45" t="n">
        <v>8382621.022140001</v>
      </c>
      <c r="U1040" s="15" t="n">
        <v>9.470000000000001</v>
      </c>
      <c r="V1040" s="15" t="n">
        <v>19.83</v>
      </c>
      <c r="W1040" s="49" t="n">
        <v>94.97799999999999</v>
      </c>
    </row>
    <row r="1041">
      <c r="A1041" s="44" t="inlineStr">
        <is>
          <t>TL Cinsi Sabit Faizli Kuponlu Senetler</t>
        </is>
      </c>
      <c r="B1041" s="44" t="n">
        <v>2023</v>
      </c>
      <c r="C1041" s="44" t="inlineStr">
        <is>
          <t>TRT011025T16</t>
        </is>
      </c>
      <c r="D1041" s="44" t="inlineStr">
        <is>
          <t>09.08.2023</t>
        </is>
      </c>
      <c r="E1041" s="44" t="inlineStr">
        <is>
          <t>01.10.2025</t>
        </is>
      </c>
      <c r="F1041" s="44" t="n">
        <v>784</v>
      </c>
      <c r="G1041" s="44" t="inlineStr">
        <is>
          <t>6 ay</t>
        </is>
      </c>
      <c r="H1041" s="15" t="n">
        <v>6.3</v>
      </c>
      <c r="I1041" s="45" t="n">
        <v>1081000</v>
      </c>
      <c r="J1041" s="45" t="n">
        <v>1013339.81</v>
      </c>
      <c r="K1041" s="45" t="n">
        <v>272000</v>
      </c>
      <c r="L1041" s="45" t="n">
        <v>260538.92</v>
      </c>
      <c r="M1041" s="45" t="n">
        <v>0</v>
      </c>
      <c r="N1041" s="45" t="n">
        <v>0</v>
      </c>
      <c r="O1041" s="45" t="n">
        <v>52199.693</v>
      </c>
      <c r="P1041" s="45" t="n">
        <v>49999.99793</v>
      </c>
      <c r="Q1041" s="45" t="n">
        <v>98836.84600000001</v>
      </c>
      <c r="R1041" s="45" t="n">
        <v>94671.86130999999</v>
      </c>
      <c r="S1041" s="45" t="n">
        <v>423036.539</v>
      </c>
      <c r="T1041" s="45" t="n">
        <v>405210.77924</v>
      </c>
      <c r="U1041" s="15" t="n">
        <v>8.76</v>
      </c>
      <c r="V1041" s="15" t="n">
        <v>18.28</v>
      </c>
      <c r="W1041" s="49" t="n">
        <v>95.786</v>
      </c>
    </row>
    <row r="1042">
      <c r="A1042" s="44" t="inlineStr">
        <is>
          <t>TL Cinsi Sabit Faizli Kuponlu Senetler</t>
        </is>
      </c>
      <c r="B1042" s="44" t="n">
        <v>2023</v>
      </c>
      <c r="C1042" s="44" t="inlineStr">
        <is>
          <t>TRT190728T18</t>
        </is>
      </c>
      <c r="D1042" s="44" t="inlineStr">
        <is>
          <t>09.08.2023</t>
        </is>
      </c>
      <c r="E1042" s="44" t="inlineStr">
        <is>
          <t>19.07.2028</t>
        </is>
      </c>
      <c r="F1042" s="44" t="n">
        <v>1806</v>
      </c>
      <c r="G1042" s="44" t="inlineStr">
        <is>
          <t>6 ay</t>
        </is>
      </c>
      <c r="H1042" s="15" t="n">
        <v>8.65</v>
      </c>
      <c r="I1042" s="45" t="n">
        <v>32090000</v>
      </c>
      <c r="J1042" s="45" t="n">
        <v>29910198.46</v>
      </c>
      <c r="K1042" s="45" t="n">
        <v>25118000</v>
      </c>
      <c r="L1042" s="45" t="n">
        <v>23500801.73</v>
      </c>
      <c r="M1042" s="45" t="n">
        <v>0</v>
      </c>
      <c r="N1042" s="45" t="n">
        <v>0</v>
      </c>
      <c r="O1042" s="45" t="n">
        <v>21376199.734</v>
      </c>
      <c r="P1042" s="45" t="n">
        <v>19999999.99511</v>
      </c>
      <c r="Q1042" s="45" t="n">
        <v>4187778.702</v>
      </c>
      <c r="R1042" s="45" t="n">
        <v>3918169.50917</v>
      </c>
      <c r="S1042" s="45" t="n">
        <v>50681978.436</v>
      </c>
      <c r="T1042" s="45" t="n">
        <v>47418971.23428001</v>
      </c>
      <c r="U1042" s="15" t="n">
        <v>9.800000000000001</v>
      </c>
      <c r="V1042" s="15" t="n">
        <v>20.55</v>
      </c>
      <c r="W1042" s="49" t="n">
        <v>93.562</v>
      </c>
    </row>
    <row r="1043">
      <c r="A1043" s="44" t="inlineStr">
        <is>
          <t>TL Cinsi Sabit Faizli Kuponlu Senetler</t>
        </is>
      </c>
      <c r="B1043" s="44" t="n">
        <v>2023</v>
      </c>
      <c r="C1043" s="44" t="inlineStr">
        <is>
          <t>TRT130733T17</t>
        </is>
      </c>
      <c r="D1043" s="44" t="inlineStr">
        <is>
          <t>16.08.2023</t>
        </is>
      </c>
      <c r="E1043" s="44" t="inlineStr">
        <is>
          <t>13.07.2033</t>
        </is>
      </c>
      <c r="F1043" s="44" t="n">
        <v>3619</v>
      </c>
      <c r="G1043" s="44" t="inlineStr">
        <is>
          <t>6 ay</t>
        </is>
      </c>
      <c r="H1043" s="15" t="n">
        <v>8.9</v>
      </c>
      <c r="I1043" s="45" t="n">
        <v>13494004</v>
      </c>
      <c r="J1043" s="45" t="n">
        <v>11686625.08</v>
      </c>
      <c r="K1043" s="45" t="n">
        <v>9113001</v>
      </c>
      <c r="L1043" s="45" t="n">
        <v>7980468.89</v>
      </c>
      <c r="M1043" s="45" t="n">
        <v>1141917.507</v>
      </c>
      <c r="N1043" s="45" t="n">
        <v>999999.99923</v>
      </c>
      <c r="O1043" s="45" t="n">
        <v>8564381.304</v>
      </c>
      <c r="P1043" s="45" t="n">
        <v>7499999.99555</v>
      </c>
      <c r="Q1043" s="45" t="n">
        <v>770751.419</v>
      </c>
      <c r="R1043" s="45" t="n">
        <v>674962.43265</v>
      </c>
      <c r="S1043" s="45" t="n">
        <v>19590051.23</v>
      </c>
      <c r="T1043" s="45" t="n">
        <v>17155431.31743</v>
      </c>
      <c r="U1043" s="15" t="n">
        <v>10.54</v>
      </c>
      <c r="V1043" s="15" t="n">
        <v>22.18</v>
      </c>
      <c r="W1043" s="49" t="n">
        <v>87.572</v>
      </c>
    </row>
    <row r="1044">
      <c r="A1044" s="44" t="inlineStr">
        <is>
          <t>TL Cinsi Sabit Faizli Kuponlu Senetler</t>
        </is>
      </c>
      <c r="B1044" s="44" t="n">
        <v>2023</v>
      </c>
      <c r="C1044" s="44" t="inlineStr">
        <is>
          <t>TRT011025T16</t>
        </is>
      </c>
      <c r="D1044" s="44" t="inlineStr">
        <is>
          <t>13.09.2023</t>
        </is>
      </c>
      <c r="E1044" s="44" t="inlineStr">
        <is>
          <t>01.10.2025</t>
        </is>
      </c>
      <c r="F1044" s="44" t="n">
        <v>749</v>
      </c>
      <c r="G1044" s="44" t="inlineStr">
        <is>
          <t>6 ay</t>
        </is>
      </c>
      <c r="H1044" s="15" t="n">
        <v>6.3</v>
      </c>
      <c r="I1044" s="45" t="n">
        <v>2697003</v>
      </c>
      <c r="J1044" s="45" t="n">
        <v>2162733.61</v>
      </c>
      <c r="K1044" s="45" t="n">
        <v>525000</v>
      </c>
      <c r="L1044" s="45" t="n">
        <v>463067.36</v>
      </c>
      <c r="M1044" s="45" t="n">
        <v>226749.657</v>
      </c>
      <c r="N1044" s="45" t="n">
        <v>199999.99996</v>
      </c>
      <c r="O1044" s="45" t="n">
        <v>396811.898</v>
      </c>
      <c r="P1044" s="45" t="n">
        <v>349999.99839</v>
      </c>
      <c r="Q1044" s="45" t="n">
        <v>0</v>
      </c>
      <c r="R1044" s="45" t="n">
        <v>0</v>
      </c>
      <c r="S1044" s="45" t="n">
        <v>1148561.555</v>
      </c>
      <c r="T1044" s="45" t="n">
        <v>1013067.35835</v>
      </c>
      <c r="U1044" s="15" t="n">
        <v>11.86</v>
      </c>
      <c r="V1044" s="15" t="n">
        <v>25.14</v>
      </c>
      <c r="W1044" s="49" t="n">
        <v>88.203</v>
      </c>
    </row>
    <row r="1045">
      <c r="A1045" s="44" t="inlineStr">
        <is>
          <t>TL Cinsi Sabit Faizli Kuponlu Senetler</t>
        </is>
      </c>
      <c r="B1045" s="44" t="n">
        <v>2023</v>
      </c>
      <c r="C1045" s="44" t="inlineStr">
        <is>
          <t>TRT190728T18</t>
        </is>
      </c>
      <c r="D1045" s="44" t="inlineStr">
        <is>
          <t>13.09.2023</t>
        </is>
      </c>
      <c r="E1045" s="44" t="inlineStr">
        <is>
          <t>19.07.2028</t>
        </is>
      </c>
      <c r="F1045" s="44" t="n">
        <v>1771</v>
      </c>
      <c r="G1045" s="44" t="inlineStr">
        <is>
          <t>6 ay</t>
        </is>
      </c>
      <c r="H1045" s="15" t="n">
        <v>8.65</v>
      </c>
      <c r="I1045" s="45" t="n">
        <v>15630102.276</v>
      </c>
      <c r="J1045" s="45" t="n">
        <v>12129872.85897</v>
      </c>
      <c r="K1045" s="45" t="n">
        <v>11461005</v>
      </c>
      <c r="L1045" s="45" t="n">
        <v>8958811.775</v>
      </c>
      <c r="M1045" s="45" t="n">
        <v>4477535.564</v>
      </c>
      <c r="N1045" s="45" t="n">
        <v>3499999.99967</v>
      </c>
      <c r="O1045" s="45" t="n">
        <v>19189438.129</v>
      </c>
      <c r="P1045" s="45" t="n">
        <v>14999999.99668</v>
      </c>
      <c r="Q1045" s="45" t="n">
        <v>0</v>
      </c>
      <c r="R1045" s="45" t="n">
        <v>0</v>
      </c>
      <c r="S1045" s="45" t="n">
        <v>35127978.693</v>
      </c>
      <c r="T1045" s="45" t="n">
        <v>27458811.77135</v>
      </c>
      <c r="U1045" s="15" t="n">
        <v>13.18</v>
      </c>
      <c r="V1045" s="15" t="n">
        <v>28.09</v>
      </c>
      <c r="W1045" s="49" t="n">
        <v>78.16800000000001</v>
      </c>
    </row>
    <row r="1046">
      <c r="A1046" s="44" t="inlineStr">
        <is>
          <t>TL Cinsi Sabit Faizli Kuponlu Senetler</t>
        </is>
      </c>
      <c r="B1046" s="44" t="n">
        <v>2023</v>
      </c>
      <c r="C1046" s="44" t="inlineStr">
        <is>
          <t>TRT130733T17</t>
        </is>
      </c>
      <c r="D1046" s="44" t="inlineStr">
        <is>
          <t>20.09.2023</t>
        </is>
      </c>
      <c r="E1046" s="44" t="inlineStr">
        <is>
          <t>13.07.2033</t>
        </is>
      </c>
      <c r="F1046" s="44" t="n">
        <v>3584</v>
      </c>
      <c r="G1046" s="44" t="inlineStr">
        <is>
          <t>6 ay</t>
        </is>
      </c>
      <c r="H1046" s="15" t="n">
        <v>8.9</v>
      </c>
      <c r="I1046" s="45" t="n">
        <v>27249840.79</v>
      </c>
      <c r="J1046" s="45" t="n">
        <v>19657210.2623</v>
      </c>
      <c r="K1046" s="45" t="n">
        <v>12924600</v>
      </c>
      <c r="L1046" s="45" t="n">
        <v>9427016.788000001</v>
      </c>
      <c r="M1046" s="45" t="n">
        <v>2056512.976</v>
      </c>
      <c r="N1046" s="45" t="n">
        <v>1499999.99956</v>
      </c>
      <c r="O1046" s="45" t="n">
        <v>20565129.76</v>
      </c>
      <c r="P1046" s="45" t="n">
        <v>14999999.99566</v>
      </c>
      <c r="Q1046" s="45" t="n">
        <v>3652419.83</v>
      </c>
      <c r="R1046" s="45" t="n">
        <v>2664038.4998</v>
      </c>
      <c r="S1046" s="45" t="n">
        <v>39198662.566</v>
      </c>
      <c r="T1046" s="45" t="n">
        <v>28591055.28302</v>
      </c>
      <c r="U1046" s="15" t="n">
        <v>13.19</v>
      </c>
      <c r="V1046" s="15" t="n">
        <v>28.12</v>
      </c>
      <c r="W1046" s="49" t="n">
        <v>72.93899999999999</v>
      </c>
    </row>
    <row r="1047">
      <c r="A1047" s="44" t="inlineStr">
        <is>
          <t>TL Cinsi Sabit Faizli Kuponlu Senetler</t>
        </is>
      </c>
      <c r="B1047" s="44" t="n">
        <v>2023</v>
      </c>
      <c r="C1047" s="44" t="inlineStr">
        <is>
          <t>TRT190728T18</t>
        </is>
      </c>
      <c r="D1047" s="44" t="inlineStr">
        <is>
          <t>18.10.2023</t>
        </is>
      </c>
      <c r="E1047" s="44" t="inlineStr">
        <is>
          <t>19.07.2028</t>
        </is>
      </c>
      <c r="F1047" s="44" t="n">
        <v>1736</v>
      </c>
      <c r="G1047" s="44" t="inlineStr">
        <is>
          <t>6 ay</t>
        </is>
      </c>
      <c r="H1047" s="15" t="n">
        <v>8.65</v>
      </c>
      <c r="I1047" s="45" t="n">
        <v>18028106</v>
      </c>
      <c r="J1047" s="45" t="n">
        <v>13455622.593</v>
      </c>
      <c r="K1047" s="45" t="n">
        <v>10578102</v>
      </c>
      <c r="L1047" s="45" t="n">
        <v>7987005.683</v>
      </c>
      <c r="M1047" s="45" t="n">
        <v>0</v>
      </c>
      <c r="N1047" s="45" t="n">
        <v>0</v>
      </c>
      <c r="O1047" s="45" t="n">
        <v>4966558.504</v>
      </c>
      <c r="P1047" s="45" t="n">
        <v>3749999.99844</v>
      </c>
      <c r="Q1047" s="45" t="n">
        <v>1101336.997</v>
      </c>
      <c r="R1047" s="45" t="n">
        <v>831564.4995799999</v>
      </c>
      <c r="S1047" s="45" t="n">
        <v>16645997.501</v>
      </c>
      <c r="T1047" s="45" t="n">
        <v>12568570.18102</v>
      </c>
      <c r="U1047" s="15" t="n">
        <v>14.27</v>
      </c>
      <c r="V1047" s="15" t="n">
        <v>30.57</v>
      </c>
      <c r="W1047" s="49" t="n">
        <v>75.505</v>
      </c>
    </row>
    <row r="1048">
      <c r="A1048" s="44" t="inlineStr">
        <is>
          <t>TL Cinsi Sabit Faizli Kuponlu Senetler</t>
        </is>
      </c>
      <c r="B1048" s="44" t="n">
        <v>2023</v>
      </c>
      <c r="C1048" s="44" t="inlineStr">
        <is>
          <t>TRT051033T12</t>
        </is>
      </c>
      <c r="D1048" s="44" t="inlineStr">
        <is>
          <t>18.10.2023</t>
        </is>
      </c>
      <c r="E1048" s="44" t="inlineStr">
        <is>
          <t>05.10.2033</t>
        </is>
      </c>
      <c r="F1048" s="44" t="n">
        <v>3640</v>
      </c>
      <c r="G1048" s="44" t="inlineStr">
        <is>
          <t>6 ay</t>
        </is>
      </c>
      <c r="H1048" s="15" t="n">
        <v>13.1</v>
      </c>
      <c r="I1048" s="45" t="n">
        <v>20392529.689</v>
      </c>
      <c r="J1048" s="45" t="n">
        <v>19219203.98959</v>
      </c>
      <c r="K1048" s="45" t="n">
        <v>7449004.45</v>
      </c>
      <c r="L1048" s="45" t="n">
        <v>7129524.019</v>
      </c>
      <c r="M1048" s="45" t="n">
        <v>0</v>
      </c>
      <c r="N1048" s="45" t="n">
        <v>0</v>
      </c>
      <c r="O1048" s="45" t="n">
        <v>6268871.912</v>
      </c>
      <c r="P1048" s="45" t="n">
        <v>5999999.99568</v>
      </c>
      <c r="Q1048" s="45" t="n">
        <v>683630.7070000001</v>
      </c>
      <c r="R1048" s="45" t="n">
        <v>654309.78597</v>
      </c>
      <c r="S1048" s="45" t="n">
        <v>14401507.069</v>
      </c>
      <c r="T1048" s="45" t="n">
        <v>13783833.80065</v>
      </c>
      <c r="U1048" s="15" t="n">
        <v>13.74</v>
      </c>
      <c r="V1048" s="15" t="n">
        <v>29.36</v>
      </c>
      <c r="W1048" s="49" t="n">
        <v>95.711</v>
      </c>
    </row>
    <row r="1049">
      <c r="A1049" s="44" t="inlineStr">
        <is>
          <t>TL Cinsi Sabit Faizli Kuponlu Senetler</t>
        </is>
      </c>
      <c r="B1049" s="44" t="n">
        <v>2023</v>
      </c>
      <c r="C1049" s="44" t="inlineStr">
        <is>
          <t>TRT011025T16</t>
        </is>
      </c>
      <c r="D1049" s="44" t="inlineStr">
        <is>
          <t>25.10.2023</t>
        </is>
      </c>
      <c r="E1049" s="44" t="inlineStr">
        <is>
          <t>01.10.2025</t>
        </is>
      </c>
      <c r="F1049" s="44" t="n">
        <v>707</v>
      </c>
      <c r="G1049" s="44" t="inlineStr">
        <is>
          <t>6 ay</t>
        </is>
      </c>
      <c r="H1049" s="15" t="n">
        <v>6.3</v>
      </c>
      <c r="I1049" s="45" t="n">
        <v>3843008.896</v>
      </c>
      <c r="J1049" s="45" t="n">
        <v>2819912.4796</v>
      </c>
      <c r="K1049" s="45" t="n">
        <v>1784001</v>
      </c>
      <c r="L1049" s="45" t="n">
        <v>1348877.83</v>
      </c>
      <c r="M1049" s="45" t="n">
        <v>529030.551</v>
      </c>
      <c r="N1049" s="45" t="n">
        <v>399999.99961</v>
      </c>
      <c r="O1049" s="45" t="n">
        <v>92580.344</v>
      </c>
      <c r="P1049" s="45" t="n">
        <v>69999.9981</v>
      </c>
      <c r="Q1049" s="45" t="n">
        <v>434349.836</v>
      </c>
      <c r="R1049" s="45" t="n">
        <v>328411.911</v>
      </c>
      <c r="S1049" s="45" t="n">
        <v>2839961.731</v>
      </c>
      <c r="T1049" s="45" t="n">
        <v>2147289.73871</v>
      </c>
      <c r="U1049" s="15" t="n">
        <v>15.34</v>
      </c>
      <c r="V1049" s="15" t="n">
        <v>33.03</v>
      </c>
      <c r="W1049" s="49" t="n">
        <v>75.61</v>
      </c>
    </row>
    <row r="1050">
      <c r="A1050" s="44" t="inlineStr">
        <is>
          <t>TL Cinsi Sabit Faizli Kuponlu Senetler</t>
        </is>
      </c>
      <c r="B1050" s="44" t="n">
        <v>2023</v>
      </c>
      <c r="C1050" s="44" t="inlineStr">
        <is>
          <t>TRT011025T16</t>
        </is>
      </c>
      <c r="D1050" s="44" t="inlineStr">
        <is>
          <t>08.11.2023</t>
        </is>
      </c>
      <c r="E1050" s="44" t="inlineStr">
        <is>
          <t>01.10.2025</t>
        </is>
      </c>
      <c r="F1050" s="44" t="n">
        <v>693</v>
      </c>
      <c r="G1050" s="44" t="inlineStr">
        <is>
          <t>6 ay</t>
        </is>
      </c>
      <c r="H1050" s="15" t="n">
        <v>6.3</v>
      </c>
      <c r="I1050" s="45" t="n">
        <v>23949016</v>
      </c>
      <c r="J1050" s="45" t="n">
        <v>16119034.555</v>
      </c>
      <c r="K1050" s="45" t="n">
        <v>5838003</v>
      </c>
      <c r="L1050" s="45" t="n">
        <v>3986552.5</v>
      </c>
      <c r="M1050" s="45" t="n">
        <v>4393287.057</v>
      </c>
      <c r="N1050" s="45" t="n">
        <v>2999999.99974</v>
      </c>
      <c r="O1050" s="45" t="n">
        <v>5857716.071</v>
      </c>
      <c r="P1050" s="45" t="n">
        <v>3999999.99624</v>
      </c>
      <c r="Q1050" s="45" t="n">
        <v>2175556.906</v>
      </c>
      <c r="R1050" s="45" t="n">
        <v>1485600.78883</v>
      </c>
      <c r="S1050" s="45" t="n">
        <v>18264563.034</v>
      </c>
      <c r="T1050" s="45" t="n">
        <v>12472153.28481</v>
      </c>
      <c r="U1050" s="15" t="n">
        <v>19.24</v>
      </c>
      <c r="V1050" s="15" t="n">
        <v>42.18</v>
      </c>
      <c r="W1050" s="49" t="n">
        <v>68.286</v>
      </c>
    </row>
    <row r="1051">
      <c r="A1051" s="44" t="inlineStr">
        <is>
          <t>TL Cinsi Sabit Faizli Kuponlu Senetler</t>
        </is>
      </c>
      <c r="B1051" s="44" t="n">
        <v>2023</v>
      </c>
      <c r="C1051" s="44" t="inlineStr">
        <is>
          <t>TRT051033T12</t>
        </is>
      </c>
      <c r="D1051" s="44" t="inlineStr">
        <is>
          <t>08.11.2023</t>
        </is>
      </c>
      <c r="E1051" s="44" t="inlineStr">
        <is>
          <t>05.10.2033</t>
        </is>
      </c>
      <c r="F1051" s="44" t="n">
        <v>3619</v>
      </c>
      <c r="G1051" s="44" t="inlineStr">
        <is>
          <t>6 ay</t>
        </is>
      </c>
      <c r="H1051" s="15" t="n">
        <v>13.1</v>
      </c>
      <c r="I1051" s="45" t="n">
        <v>16585382.111</v>
      </c>
      <c r="J1051" s="45" t="n">
        <v>14707567.1029</v>
      </c>
      <c r="K1051" s="45" t="n">
        <v>7876015.111</v>
      </c>
      <c r="L1051" s="45" t="n">
        <v>7104338.8799</v>
      </c>
      <c r="M1051" s="45" t="n">
        <v>0</v>
      </c>
      <c r="N1051" s="45" t="n">
        <v>0</v>
      </c>
      <c r="O1051" s="45" t="n">
        <v>3325868.604</v>
      </c>
      <c r="P1051" s="45" t="n">
        <v>2999999.99817</v>
      </c>
      <c r="Q1051" s="45" t="n">
        <v>2312392.836</v>
      </c>
      <c r="R1051" s="45" t="n">
        <v>2085824.58593</v>
      </c>
      <c r="S1051" s="45" t="n">
        <v>13514276.551</v>
      </c>
      <c r="T1051" s="45" t="n">
        <v>12190163.464</v>
      </c>
      <c r="U1051" s="15" t="n">
        <v>14.88</v>
      </c>
      <c r="V1051" s="15" t="n">
        <v>31.98</v>
      </c>
      <c r="W1051" s="49" t="n">
        <v>90.202</v>
      </c>
    </row>
    <row r="1052">
      <c r="A1052" s="44" t="inlineStr">
        <is>
          <t>TL Cinsi Sabit Faizli Kuponlu Senetler</t>
        </is>
      </c>
      <c r="B1052" s="44" t="n">
        <v>2023</v>
      </c>
      <c r="C1052" s="44" t="inlineStr">
        <is>
          <t>TRT081128T15</t>
        </is>
      </c>
      <c r="D1052" s="44" t="inlineStr">
        <is>
          <t>15.11.2023</t>
        </is>
      </c>
      <c r="E1052" s="44" t="inlineStr">
        <is>
          <t>08.11.2028</t>
        </is>
      </c>
      <c r="F1052" s="44" t="n">
        <v>1820</v>
      </c>
      <c r="G1052" s="44" t="inlineStr">
        <is>
          <t>6 ay</t>
        </is>
      </c>
      <c r="H1052" s="15" t="n">
        <v>15.54</v>
      </c>
      <c r="I1052" s="45" t="n">
        <v>12519109</v>
      </c>
      <c r="J1052" s="45" t="n">
        <v>11668773.48</v>
      </c>
      <c r="K1052" s="45" t="n">
        <v>3816004</v>
      </c>
      <c r="L1052" s="45" t="n">
        <v>3645586.54</v>
      </c>
      <c r="M1052" s="45" t="n">
        <v>3140243.264</v>
      </c>
      <c r="N1052" s="45" t="n">
        <v>2999999.99983</v>
      </c>
      <c r="O1052" s="45" t="n">
        <v>2616869.382</v>
      </c>
      <c r="P1052" s="45" t="n">
        <v>2499999.9954</v>
      </c>
      <c r="Q1052" s="45" t="n">
        <v>200969.91</v>
      </c>
      <c r="R1052" s="45" t="n">
        <v>191994.59382</v>
      </c>
      <c r="S1052" s="45" t="n">
        <v>9774086.556000002</v>
      </c>
      <c r="T1052" s="45" t="n">
        <v>9337581.12905</v>
      </c>
      <c r="U1052" s="15" t="n">
        <v>16.48</v>
      </c>
      <c r="V1052" s="15" t="n">
        <v>35.68</v>
      </c>
      <c r="W1052" s="49" t="n">
        <v>95.53400000000001</v>
      </c>
    </row>
    <row r="1053">
      <c r="A1053" s="44" t="inlineStr">
        <is>
          <t>TL Cinsi Sabit Faizli Kuponlu Senetler</t>
        </is>
      </c>
      <c r="B1053" s="44" t="n">
        <v>2023</v>
      </c>
      <c r="C1053" s="44" t="inlineStr">
        <is>
          <t>TRT011025T16</t>
        </is>
      </c>
      <c r="D1053" s="44" t="inlineStr">
        <is>
          <t>06.12.2023</t>
        </is>
      </c>
      <c r="E1053" s="44" t="inlineStr">
        <is>
          <t>01.10.2025</t>
        </is>
      </c>
      <c r="F1053" s="44" t="n">
        <v>665</v>
      </c>
      <c r="G1053" s="44" t="inlineStr">
        <is>
          <t>6 ay</t>
        </is>
      </c>
      <c r="H1053" s="15" t="n">
        <v>6.3</v>
      </c>
      <c r="I1053" s="45" t="n">
        <v>50032007</v>
      </c>
      <c r="J1053" s="45" t="n">
        <v>35484153.395</v>
      </c>
      <c r="K1053" s="45" t="n">
        <v>10185000</v>
      </c>
      <c r="L1053" s="45" t="n">
        <v>7283591.15</v>
      </c>
      <c r="M1053" s="45" t="n">
        <v>489421.503</v>
      </c>
      <c r="N1053" s="45" t="n">
        <v>349999.99944</v>
      </c>
      <c r="O1053" s="45" t="n">
        <v>9788430.071</v>
      </c>
      <c r="P1053" s="45" t="n">
        <v>6999999.99666</v>
      </c>
      <c r="Q1053" s="45" t="n">
        <v>6146826.269</v>
      </c>
      <c r="R1053" s="45" t="n">
        <v>4395779.86975</v>
      </c>
      <c r="S1053" s="45" t="n">
        <v>26609677.843</v>
      </c>
      <c r="T1053" s="45" t="n">
        <v>19029371.01585</v>
      </c>
      <c r="U1053" s="15" t="n">
        <v>18.54</v>
      </c>
      <c r="V1053" s="15" t="n">
        <v>40.51</v>
      </c>
      <c r="W1053" s="49" t="n">
        <v>71.51300000000001</v>
      </c>
    </row>
    <row r="1054">
      <c r="A1054" s="44" t="inlineStr">
        <is>
          <t>TL Cinsi Sabit Faizli Kuponlu Senetler</t>
        </is>
      </c>
      <c r="B1054" s="44" t="n">
        <v>2023</v>
      </c>
      <c r="C1054" s="44" t="inlineStr">
        <is>
          <t>TRT051033T12</t>
        </is>
      </c>
      <c r="D1054" s="44" t="inlineStr">
        <is>
          <t>06.12.2023</t>
        </is>
      </c>
      <c r="E1054" s="44" t="inlineStr">
        <is>
          <t>05.10.2033</t>
        </is>
      </c>
      <c r="F1054" s="44" t="n">
        <v>3591</v>
      </c>
      <c r="G1054" s="44" t="inlineStr">
        <is>
          <t>6 ay</t>
        </is>
      </c>
      <c r="H1054" s="15" t="n">
        <v>13.1</v>
      </c>
      <c r="I1054" s="45" t="n">
        <v>38190110.95</v>
      </c>
      <c r="J1054" s="45" t="n">
        <v>40208917.20275</v>
      </c>
      <c r="K1054" s="45" t="n">
        <v>13635500</v>
      </c>
      <c r="L1054" s="45" t="n">
        <v>14546997.92</v>
      </c>
      <c r="M1054" s="45" t="n">
        <v>4686.694</v>
      </c>
      <c r="N1054" s="45" t="n">
        <v>4999.99949</v>
      </c>
      <c r="O1054" s="45" t="n">
        <v>9373388.943</v>
      </c>
      <c r="P1054" s="45" t="n">
        <v>9999999.99382</v>
      </c>
      <c r="Q1054" s="45" t="n">
        <v>1961670.46</v>
      </c>
      <c r="R1054" s="45" t="n">
        <v>2092808.13025</v>
      </c>
      <c r="S1054" s="45" t="n">
        <v>24975246.097</v>
      </c>
      <c r="T1054" s="45" t="n">
        <v>26644806.04356</v>
      </c>
      <c r="U1054" s="15" t="n">
        <v>12.64</v>
      </c>
      <c r="V1054" s="15" t="n">
        <v>26.87</v>
      </c>
      <c r="W1054" s="49" t="n">
        <v>106.685</v>
      </c>
    </row>
    <row r="1055">
      <c r="A1055" s="44" t="inlineStr">
        <is>
          <t>TL Cinsi Sabit Faizli Kuponlu Senetler</t>
        </is>
      </c>
      <c r="B1055" s="44" t="n">
        <v>2023</v>
      </c>
      <c r="C1055" s="44" t="inlineStr">
        <is>
          <t>TRT081128T15</t>
        </is>
      </c>
      <c r="D1055" s="44" t="inlineStr">
        <is>
          <t>13.12.2023</t>
        </is>
      </c>
      <c r="E1055" s="44" t="inlineStr">
        <is>
          <t>08.11.2028</t>
        </is>
      </c>
      <c r="F1055" s="44" t="n">
        <v>1792</v>
      </c>
      <c r="G1055" s="44" t="inlineStr">
        <is>
          <t>6 ay</t>
        </is>
      </c>
      <c r="H1055" s="15" t="n">
        <v>15.54</v>
      </c>
      <c r="I1055" s="45" t="n">
        <v>30887609.716</v>
      </c>
      <c r="J1055" s="45" t="n">
        <v>33270189.40711</v>
      </c>
      <c r="K1055" s="45" t="n">
        <v>9370605</v>
      </c>
      <c r="L1055" s="45" t="n">
        <v>10186520.93815</v>
      </c>
      <c r="M1055" s="45" t="n">
        <v>0</v>
      </c>
      <c r="N1055" s="45" t="n">
        <v>0</v>
      </c>
      <c r="O1055" s="45" t="n">
        <v>8739087.634</v>
      </c>
      <c r="P1055" s="45" t="n">
        <v>9499999.994270001</v>
      </c>
      <c r="Q1055" s="45" t="n">
        <v>2780435.022</v>
      </c>
      <c r="R1055" s="45" t="n">
        <v>3022527.49937</v>
      </c>
      <c r="S1055" s="45" t="n">
        <v>20890127.656</v>
      </c>
      <c r="T1055" s="45" t="n">
        <v>22709048.43179</v>
      </c>
      <c r="U1055" s="15" t="n">
        <v>14.28</v>
      </c>
      <c r="V1055" s="15" t="n">
        <v>30.6</v>
      </c>
      <c r="W1055" s="49" t="n">
        <v>108.707</v>
      </c>
    </row>
    <row r="1056">
      <c r="A1056" s="44" t="inlineStr">
        <is>
          <t>TL Cinsi Sabit Faizli Kuponlu Senetler</t>
        </is>
      </c>
      <c r="B1056" s="44" t="n">
        <v>2022</v>
      </c>
      <c r="C1056" s="44" t="inlineStr">
        <is>
          <t>TRT020926T17</t>
        </is>
      </c>
      <c r="D1056" s="44" t="inlineStr">
        <is>
          <t>12.01.2022</t>
        </is>
      </c>
      <c r="E1056" s="44" t="inlineStr">
        <is>
          <t>02.09.2026</t>
        </is>
      </c>
      <c r="F1056" s="44" t="n">
        <v>1694</v>
      </c>
      <c r="G1056" s="44" t="inlineStr">
        <is>
          <t>6 ay</t>
        </is>
      </c>
      <c r="H1056" s="15" t="n">
        <v>8.449999999999999</v>
      </c>
      <c r="I1056" s="45" t="n">
        <v>2368004</v>
      </c>
      <c r="J1056" s="45" t="n">
        <v>1997414.23612</v>
      </c>
      <c r="K1056" s="45" t="n">
        <v>1222002</v>
      </c>
      <c r="L1056" s="45" t="n">
        <v>1033988.81081</v>
      </c>
      <c r="M1056" s="45" t="n">
        <v>3131869.43</v>
      </c>
      <c r="N1056" s="45" t="n">
        <v>2649999.9995</v>
      </c>
      <c r="O1056" s="45" t="n">
        <v>768194.387</v>
      </c>
      <c r="P1056" s="45" t="n">
        <v>649999.99862</v>
      </c>
      <c r="Q1056" s="45" t="n">
        <v>323849.686</v>
      </c>
      <c r="R1056" s="45" t="n">
        <v>274022.17332</v>
      </c>
      <c r="S1056" s="45" t="n">
        <v>5445915.503</v>
      </c>
      <c r="T1056" s="45" t="n">
        <v>4608010.982249999</v>
      </c>
      <c r="U1056" s="15" t="n">
        <v>12.4</v>
      </c>
      <c r="V1056" s="15" t="n">
        <v>26.34</v>
      </c>
      <c r="W1056" s="49" t="n">
        <v>84.614</v>
      </c>
    </row>
    <row r="1057">
      <c r="A1057" s="44" t="inlineStr">
        <is>
          <t>TL Cinsi Sabit Faizli Kuponlu Senetler</t>
        </is>
      </c>
      <c r="B1057" s="44" t="n">
        <v>2022</v>
      </c>
      <c r="C1057" s="44" t="inlineStr">
        <is>
          <t>TRT200923T18</t>
        </is>
      </c>
      <c r="D1057" s="44" t="inlineStr">
        <is>
          <t>26.01.2022</t>
        </is>
      </c>
      <c r="E1057" s="44" t="inlineStr">
        <is>
          <t>20.09.2023</t>
        </is>
      </c>
      <c r="F1057" s="44" t="n">
        <v>602</v>
      </c>
      <c r="G1057" s="44" t="inlineStr">
        <is>
          <t>6 ay</t>
        </is>
      </c>
      <c r="H1057" s="15" t="n">
        <v>8.6</v>
      </c>
      <c r="I1057" s="45" t="n">
        <v>3606543.72</v>
      </c>
      <c r="J1057" s="45" t="n">
        <v>3579194.24181</v>
      </c>
      <c r="K1057" s="45" t="n">
        <v>1996002.099</v>
      </c>
      <c r="L1057" s="45" t="n">
        <v>1984772.6729</v>
      </c>
      <c r="M1057" s="45" t="n">
        <v>402264.75</v>
      </c>
      <c r="N1057" s="45" t="n">
        <v>399999.99946</v>
      </c>
      <c r="O1057" s="45" t="n">
        <v>1005661.873</v>
      </c>
      <c r="P1057" s="45" t="n">
        <v>999999.99667</v>
      </c>
      <c r="Q1057" s="45" t="n">
        <v>926494.3419999999</v>
      </c>
      <c r="R1057" s="45" t="n">
        <v>921278.1788599999</v>
      </c>
      <c r="S1057" s="45" t="n">
        <v>4330423.064</v>
      </c>
      <c r="T1057" s="45" t="n">
        <v>4306050.84789</v>
      </c>
      <c r="U1057" s="15" t="n">
        <v>11.02</v>
      </c>
      <c r="V1057" s="15" t="n">
        <v>23.25</v>
      </c>
      <c r="W1057" s="49" t="n">
        <v>99.437</v>
      </c>
    </row>
    <row r="1058">
      <c r="A1058" s="44" t="inlineStr">
        <is>
          <t>TL Cinsi Sabit Faizli Kuponlu Senetler</t>
        </is>
      </c>
      <c r="B1058" s="44" t="n">
        <v>2022</v>
      </c>
      <c r="C1058" s="44" t="inlineStr">
        <is>
          <t>TRT200923T18</t>
        </is>
      </c>
      <c r="D1058" s="44" t="inlineStr">
        <is>
          <t>16.02.2022</t>
        </is>
      </c>
      <c r="E1058" s="44" t="inlineStr">
        <is>
          <t>20.09.2023</t>
        </is>
      </c>
      <c r="F1058" s="44" t="n">
        <v>581</v>
      </c>
      <c r="G1058" s="44" t="inlineStr">
        <is>
          <t>6 ay</t>
        </is>
      </c>
      <c r="H1058" s="15" t="n">
        <v>8.6</v>
      </c>
      <c r="I1058" s="45" t="n">
        <v>5515001.677</v>
      </c>
      <c r="J1058" s="45" t="n">
        <v>5666015.6042</v>
      </c>
      <c r="K1058" s="45" t="n">
        <v>3143001</v>
      </c>
      <c r="L1058" s="45" t="n">
        <v>3237013.65979</v>
      </c>
      <c r="M1058" s="45" t="n">
        <v>3398355.195</v>
      </c>
      <c r="N1058" s="45" t="n">
        <v>3499999.99888</v>
      </c>
      <c r="O1058" s="45" t="n">
        <v>1844821.388</v>
      </c>
      <c r="P1058" s="45" t="n">
        <v>1899999.99571</v>
      </c>
      <c r="Q1058" s="45" t="n">
        <v>1095640.563</v>
      </c>
      <c r="R1058" s="45" t="n">
        <v>1128411.17224</v>
      </c>
      <c r="S1058" s="45" t="n">
        <v>9481818.146000002</v>
      </c>
      <c r="T1058" s="45" t="n">
        <v>9765424.826620001</v>
      </c>
      <c r="U1058" s="15" t="n">
        <v>10.09</v>
      </c>
      <c r="V1058" s="15" t="n">
        <v>21.19</v>
      </c>
      <c r="W1058" s="49" t="n">
        <v>102.991</v>
      </c>
    </row>
    <row r="1059">
      <c r="A1059" s="44" t="inlineStr">
        <is>
          <t>TL Cinsi Sabit Faizli Kuponlu Senetler</t>
        </is>
      </c>
      <c r="B1059" s="44" t="n">
        <v>2022</v>
      </c>
      <c r="C1059" s="44" t="inlineStr">
        <is>
          <t>TRT020926T17</t>
        </is>
      </c>
      <c r="D1059" s="44" t="inlineStr">
        <is>
          <t>23.02.2022</t>
        </is>
      </c>
      <c r="E1059" s="44" t="inlineStr">
        <is>
          <t>02.09.2026</t>
        </is>
      </c>
      <c r="F1059" s="44" t="n">
        <v>1652</v>
      </c>
      <c r="G1059" s="44" t="inlineStr">
        <is>
          <t>6 ay</t>
        </is>
      </c>
      <c r="H1059" s="15" t="n">
        <v>8.449999999999999</v>
      </c>
      <c r="I1059" s="45" t="n">
        <v>3748502</v>
      </c>
      <c r="J1059" s="45" t="n">
        <v>3471378.24962</v>
      </c>
      <c r="K1059" s="45" t="n">
        <v>2160501</v>
      </c>
      <c r="L1059" s="45" t="n">
        <v>2007946.62481</v>
      </c>
      <c r="M1059" s="45" t="n">
        <v>3362420.511</v>
      </c>
      <c r="N1059" s="45" t="n">
        <v>3124999.99872</v>
      </c>
      <c r="O1059" s="45" t="n">
        <v>941477.741</v>
      </c>
      <c r="P1059" s="45" t="n">
        <v>874999.99771</v>
      </c>
      <c r="Q1059" s="45" t="n">
        <v>150266.841</v>
      </c>
      <c r="R1059" s="45" t="n">
        <v>139656.49936</v>
      </c>
      <c r="S1059" s="45" t="n">
        <v>6614666.093</v>
      </c>
      <c r="T1059" s="45" t="n">
        <v>6147603.1206</v>
      </c>
      <c r="U1059" s="15" t="n">
        <v>11.13</v>
      </c>
      <c r="V1059" s="15" t="n">
        <v>23.49</v>
      </c>
      <c r="W1059" s="49" t="n">
        <v>92.93899999999999</v>
      </c>
    </row>
    <row r="1060">
      <c r="A1060" s="44" t="inlineStr">
        <is>
          <t>TL Cinsi Sabit Faizli Kuponlu Senetler</t>
        </is>
      </c>
      <c r="B1060" s="44" t="n">
        <v>2022</v>
      </c>
      <c r="C1060" s="44" t="inlineStr">
        <is>
          <t>TRT200923T18</t>
        </is>
      </c>
      <c r="D1060" s="44" t="inlineStr">
        <is>
          <t>09.03.2022</t>
        </is>
      </c>
      <c r="E1060" s="44" t="inlineStr">
        <is>
          <t>20.09.2023</t>
        </is>
      </c>
      <c r="F1060" s="44" t="n">
        <v>560</v>
      </c>
      <c r="G1060" s="44" t="inlineStr">
        <is>
          <t>6 ay</t>
        </is>
      </c>
      <c r="H1060" s="15" t="n">
        <v>8.6</v>
      </c>
      <c r="I1060" s="45" t="n">
        <v>2792504</v>
      </c>
      <c r="J1060" s="45" t="n">
        <v>2777604.7792</v>
      </c>
      <c r="K1060" s="45" t="n">
        <v>1595002</v>
      </c>
      <c r="L1060" s="45" t="n">
        <v>1589294.7436</v>
      </c>
      <c r="M1060" s="45" t="n">
        <v>2007185.724</v>
      </c>
      <c r="N1060" s="45" t="n">
        <v>1999999.9991</v>
      </c>
      <c r="O1060" s="45" t="n">
        <v>903233.573</v>
      </c>
      <c r="P1060" s="45" t="n">
        <v>899999.99682</v>
      </c>
      <c r="Q1060" s="45" t="n">
        <v>135082.042</v>
      </c>
      <c r="R1060" s="45" t="n">
        <v>134598.44829</v>
      </c>
      <c r="S1060" s="45" t="n">
        <v>4640503.339000001</v>
      </c>
      <c r="T1060" s="45" t="n">
        <v>4623893.18781</v>
      </c>
      <c r="U1060" s="15" t="n">
        <v>11.97</v>
      </c>
      <c r="V1060" s="15" t="n">
        <v>25.36</v>
      </c>
      <c r="W1060" s="49" t="n">
        <v>99.642</v>
      </c>
    </row>
    <row r="1061">
      <c r="A1061" s="44" t="inlineStr">
        <is>
          <t>TL Cinsi Sabit Faizli Kuponlu Senetler</t>
        </is>
      </c>
      <c r="B1061" s="44" t="n">
        <v>2022</v>
      </c>
      <c r="C1061" s="44" t="inlineStr">
        <is>
          <t>TRT020926T17</t>
        </is>
      </c>
      <c r="D1061" s="44" t="inlineStr">
        <is>
          <t>23.03.2022</t>
        </is>
      </c>
      <c r="E1061" s="44" t="inlineStr">
        <is>
          <t>02.09.2026</t>
        </is>
      </c>
      <c r="F1061" s="44" t="n">
        <v>1624</v>
      </c>
      <c r="G1061" s="44" t="inlineStr">
        <is>
          <t>6 ay</t>
        </is>
      </c>
      <c r="H1061" s="15" t="n">
        <v>8.449999999999999</v>
      </c>
      <c r="I1061" s="45" t="n">
        <v>2596010.953</v>
      </c>
      <c r="J1061" s="45" t="n">
        <v>2007220.94934</v>
      </c>
      <c r="K1061" s="45" t="n">
        <v>1154002</v>
      </c>
      <c r="L1061" s="45" t="n">
        <v>896613.95468</v>
      </c>
      <c r="M1061" s="45" t="n">
        <v>6435337.726</v>
      </c>
      <c r="N1061" s="45" t="n">
        <v>4999999.9996</v>
      </c>
      <c r="O1061" s="45" t="n">
        <v>643533.77</v>
      </c>
      <c r="P1061" s="45" t="n">
        <v>499999.99794</v>
      </c>
      <c r="Q1061" s="45" t="n">
        <v>0</v>
      </c>
      <c r="R1061" s="45" t="n">
        <v>0</v>
      </c>
      <c r="S1061" s="45" t="n">
        <v>8232873.495999999</v>
      </c>
      <c r="T1061" s="45" t="n">
        <v>6396613.952219999</v>
      </c>
      <c r="U1061" s="15" t="n">
        <v>12.92</v>
      </c>
      <c r="V1061" s="15" t="n">
        <v>27.52</v>
      </c>
      <c r="W1061" s="49" t="n">
        <v>77.696</v>
      </c>
    </row>
    <row r="1062">
      <c r="A1062" s="44" t="inlineStr">
        <is>
          <t>TL Cinsi Sabit Faizli Kuponlu Senetler</t>
        </is>
      </c>
      <c r="B1062" s="44" t="n">
        <v>2022</v>
      </c>
      <c r="C1062" s="44" t="inlineStr">
        <is>
          <t>TRT170424T17</t>
        </is>
      </c>
      <c r="D1062" s="44" t="inlineStr">
        <is>
          <t>20.04.2022</t>
        </is>
      </c>
      <c r="E1062" s="44" t="inlineStr">
        <is>
          <t>17.04.2024</t>
        </is>
      </c>
      <c r="F1062" s="44" t="n">
        <v>728</v>
      </c>
      <c r="G1062" s="44" t="inlineStr">
        <is>
          <t>6 ay</t>
        </is>
      </c>
      <c r="H1062" s="15" t="n">
        <v>10.45</v>
      </c>
      <c r="I1062" s="45" t="n">
        <v>2508006</v>
      </c>
      <c r="J1062" s="45" t="n">
        <v>2482913.2838</v>
      </c>
      <c r="K1062" s="45" t="n">
        <v>1088002</v>
      </c>
      <c r="L1062" s="45" t="n">
        <v>1082112.9946</v>
      </c>
      <c r="M1062" s="45" t="n">
        <v>1910334.91</v>
      </c>
      <c r="N1062" s="45" t="n">
        <v>1899999.99814</v>
      </c>
      <c r="O1062" s="45" t="n">
        <v>653535.626</v>
      </c>
      <c r="P1062" s="45" t="n">
        <v>649999.99827</v>
      </c>
      <c r="Q1062" s="45" t="n">
        <v>120020.964</v>
      </c>
      <c r="R1062" s="45" t="n">
        <v>119371.65058</v>
      </c>
      <c r="S1062" s="45" t="n">
        <v>3771893.5</v>
      </c>
      <c r="T1062" s="45" t="n">
        <v>3751484.64159</v>
      </c>
      <c r="U1062" s="15" t="n">
        <v>10.62</v>
      </c>
      <c r="V1062" s="15" t="n">
        <v>22.37</v>
      </c>
      <c r="W1062" s="49" t="n">
        <v>99.459</v>
      </c>
    </row>
    <row r="1063">
      <c r="A1063" s="44" t="inlineStr">
        <is>
          <t>TL Cinsi Sabit Faizli Kuponlu Senetler</t>
        </is>
      </c>
      <c r="B1063" s="44" t="n">
        <v>2022</v>
      </c>
      <c r="C1063" s="44" t="inlineStr">
        <is>
          <t>TRT020926T17</t>
        </is>
      </c>
      <c r="D1063" s="44" t="inlineStr">
        <is>
          <t>20.04.2022</t>
        </is>
      </c>
      <c r="E1063" s="44" t="inlineStr">
        <is>
          <t>02.09.2026</t>
        </is>
      </c>
      <c r="F1063" s="44" t="n">
        <v>1596</v>
      </c>
      <c r="G1063" s="44" t="inlineStr">
        <is>
          <t>6 ay</t>
        </is>
      </c>
      <c r="H1063" s="15" t="n">
        <v>8.449999999999999</v>
      </c>
      <c r="I1063" s="45" t="n">
        <v>3403005</v>
      </c>
      <c r="J1063" s="45" t="n">
        <v>2893117.68911</v>
      </c>
      <c r="K1063" s="45" t="n">
        <v>2137004</v>
      </c>
      <c r="L1063" s="45" t="n">
        <v>1822971.19928</v>
      </c>
      <c r="M1063" s="45" t="n">
        <v>1230877.439</v>
      </c>
      <c r="N1063" s="45" t="n">
        <v>1049999.99934</v>
      </c>
      <c r="O1063" s="45" t="n">
        <v>996424.59</v>
      </c>
      <c r="P1063" s="45" t="n">
        <v>849999.99651</v>
      </c>
      <c r="Q1063" s="45" t="n">
        <v>449617.079</v>
      </c>
      <c r="R1063" s="45" t="n">
        <v>383545.84924</v>
      </c>
      <c r="S1063" s="45" t="n">
        <v>4813923.108</v>
      </c>
      <c r="T1063" s="45" t="n">
        <v>4106517.04437</v>
      </c>
      <c r="U1063" s="15" t="n">
        <v>11.55</v>
      </c>
      <c r="V1063" s="15" t="n">
        <v>24.44</v>
      </c>
      <c r="W1063" s="49" t="n">
        <v>85.30500000000001</v>
      </c>
    </row>
    <row r="1064">
      <c r="A1064" s="44" t="inlineStr">
        <is>
          <t>TL Cinsi Sabit Faizli Kuponlu Senetler</t>
        </is>
      </c>
      <c r="B1064" s="44" t="n">
        <v>2022</v>
      </c>
      <c r="C1064" s="44" t="inlineStr">
        <is>
          <t>TRT170424T17</t>
        </is>
      </c>
      <c r="D1064" s="44" t="inlineStr">
        <is>
          <t>11.05.2022</t>
        </is>
      </c>
      <c r="E1064" s="44" t="inlineStr">
        <is>
          <t>17.04.2024</t>
        </is>
      </c>
      <c r="F1064" s="44" t="n">
        <v>707</v>
      </c>
      <c r="G1064" s="44" t="inlineStr">
        <is>
          <t>6 ay</t>
        </is>
      </c>
      <c r="H1064" s="15" t="n">
        <v>10.45</v>
      </c>
      <c r="I1064" s="45" t="n">
        <v>1899006</v>
      </c>
      <c r="J1064" s="45" t="n">
        <v>1861520.139</v>
      </c>
      <c r="K1064" s="45" t="n">
        <v>1074006</v>
      </c>
      <c r="L1064" s="45" t="n">
        <v>1057209.489</v>
      </c>
      <c r="M1064" s="45" t="n">
        <v>4342923.32</v>
      </c>
      <c r="N1064" s="45" t="n">
        <v>4274999.99928</v>
      </c>
      <c r="O1064" s="45" t="n">
        <v>863505.219</v>
      </c>
      <c r="P1064" s="45" t="n">
        <v>849999.99737</v>
      </c>
      <c r="Q1064" s="45" t="n">
        <v>0</v>
      </c>
      <c r="R1064" s="45" t="n">
        <v>0</v>
      </c>
      <c r="S1064" s="45" t="n">
        <v>6280434.539000001</v>
      </c>
      <c r="T1064" s="45" t="n">
        <v>6182209.48565</v>
      </c>
      <c r="U1064" s="15" t="n">
        <v>11.35</v>
      </c>
      <c r="V1064" s="15" t="n">
        <v>23.99</v>
      </c>
      <c r="W1064" s="49" t="n">
        <v>98.43600000000001</v>
      </c>
    </row>
    <row r="1065">
      <c r="A1065" s="44" t="inlineStr">
        <is>
          <t>TL Cinsi Sabit Faizli Kuponlu Senetler</t>
        </is>
      </c>
      <c r="B1065" s="44" t="n">
        <v>2022</v>
      </c>
      <c r="C1065" s="44" t="inlineStr">
        <is>
          <t>TRT280432T14</t>
        </is>
      </c>
      <c r="D1065" s="44" t="inlineStr">
        <is>
          <t>11.05.2022</t>
        </is>
      </c>
      <c r="E1065" s="44" t="inlineStr">
        <is>
          <t>28.04.2032</t>
        </is>
      </c>
      <c r="F1065" s="44" t="n">
        <v>3640</v>
      </c>
      <c r="G1065" s="44" t="inlineStr">
        <is>
          <t>6 ay</t>
        </is>
      </c>
      <c r="H1065" s="15" t="n">
        <v>10.75</v>
      </c>
      <c r="I1065" s="45" t="n">
        <v>3541506</v>
      </c>
      <c r="J1065" s="45" t="n">
        <v>3349361.755</v>
      </c>
      <c r="K1065" s="45" t="n">
        <v>2028506</v>
      </c>
      <c r="L1065" s="45" t="n">
        <v>1939599.685</v>
      </c>
      <c r="M1065" s="45" t="n">
        <v>52291.956</v>
      </c>
      <c r="N1065" s="45" t="n">
        <v>49999.99957</v>
      </c>
      <c r="O1065" s="45" t="n">
        <v>1568758.689</v>
      </c>
      <c r="P1065" s="45" t="n">
        <v>1499999.99568</v>
      </c>
      <c r="Q1065" s="45" t="n">
        <v>0</v>
      </c>
      <c r="R1065" s="45" t="n">
        <v>0</v>
      </c>
      <c r="S1065" s="45" t="n">
        <v>3649556.645</v>
      </c>
      <c r="T1065" s="45" t="n">
        <v>3489599.68025</v>
      </c>
      <c r="U1065" s="15" t="n">
        <v>11.31</v>
      </c>
      <c r="V1065" s="15" t="n">
        <v>23.9</v>
      </c>
      <c r="W1065" s="49" t="n">
        <v>95.617</v>
      </c>
    </row>
    <row r="1066">
      <c r="A1066" s="44" t="inlineStr">
        <is>
          <t>TL Cinsi Sabit Faizli Kuponlu Senetler</t>
        </is>
      </c>
      <c r="B1066" s="44" t="n">
        <v>2022</v>
      </c>
      <c r="C1066" s="44" t="inlineStr">
        <is>
          <t>TRT020926T17</t>
        </is>
      </c>
      <c r="D1066" s="44" t="inlineStr">
        <is>
          <t>25.05.2022</t>
        </is>
      </c>
      <c r="E1066" s="44" t="inlineStr">
        <is>
          <t>02.09.2026</t>
        </is>
      </c>
      <c r="F1066" s="44" t="n">
        <v>1561</v>
      </c>
      <c r="G1066" s="44" t="inlineStr">
        <is>
          <t>6 ay</t>
        </is>
      </c>
      <c r="H1066" s="15" t="n">
        <v>8.449999999999999</v>
      </c>
      <c r="I1066" s="45" t="n">
        <v>6408605</v>
      </c>
      <c r="J1066" s="45" t="n">
        <v>5208382.145</v>
      </c>
      <c r="K1066" s="45" t="n">
        <v>4858101</v>
      </c>
      <c r="L1066" s="45" t="n">
        <v>3955462.765</v>
      </c>
      <c r="M1066" s="45" t="n">
        <v>61409.972</v>
      </c>
      <c r="N1066" s="45" t="n">
        <v>49999.9992</v>
      </c>
      <c r="O1066" s="45" t="n">
        <v>4175878.158</v>
      </c>
      <c r="P1066" s="45" t="n">
        <v>3399999.99624</v>
      </c>
      <c r="Q1066" s="45" t="n">
        <v>0</v>
      </c>
      <c r="R1066" s="45" t="n">
        <v>0</v>
      </c>
      <c r="S1066" s="45" t="n">
        <v>9095389.129999999</v>
      </c>
      <c r="T1066" s="45" t="n">
        <v>7405462.76044</v>
      </c>
      <c r="U1066" s="15" t="n">
        <v>12.83</v>
      </c>
      <c r="V1066" s="15" t="n">
        <v>27.31</v>
      </c>
      <c r="W1066" s="49" t="n">
        <v>81.42</v>
      </c>
    </row>
    <row r="1067">
      <c r="A1067" s="44" t="inlineStr">
        <is>
          <t>TL Cinsi Sabit Faizli Kuponlu Senetler</t>
        </is>
      </c>
      <c r="B1067" s="44" t="n">
        <v>2022</v>
      </c>
      <c r="C1067" s="44" t="inlineStr">
        <is>
          <t>TRT170424T17</t>
        </is>
      </c>
      <c r="D1067" s="44" t="inlineStr">
        <is>
          <t>08.06.2022</t>
        </is>
      </c>
      <c r="E1067" s="44" t="inlineStr">
        <is>
          <t>17.04.2024</t>
        </is>
      </c>
      <c r="F1067" s="44" t="n">
        <v>679</v>
      </c>
      <c r="G1067" s="44" t="inlineStr">
        <is>
          <t>6 ay</t>
        </is>
      </c>
      <c r="H1067" s="15" t="n">
        <v>10.45</v>
      </c>
      <c r="I1067" s="45" t="n">
        <v>2666007</v>
      </c>
      <c r="J1067" s="45" t="n">
        <v>2583042.465</v>
      </c>
      <c r="K1067" s="45" t="n">
        <v>1540001</v>
      </c>
      <c r="L1067" s="45" t="n">
        <v>1495465.07</v>
      </c>
      <c r="M1067" s="45" t="n">
        <v>2574453.185</v>
      </c>
      <c r="N1067" s="45" t="n">
        <v>2499999.99889</v>
      </c>
      <c r="O1067" s="45" t="n">
        <v>1287226.591</v>
      </c>
      <c r="P1067" s="45" t="n">
        <v>1249999.99798</v>
      </c>
      <c r="Q1067" s="45" t="n">
        <v>0</v>
      </c>
      <c r="R1067" s="45" t="n">
        <v>0</v>
      </c>
      <c r="S1067" s="45" t="n">
        <v>5401680.776000001</v>
      </c>
      <c r="T1067" s="45" t="n">
        <v>5245465.06687</v>
      </c>
      <c r="U1067" s="15" t="n">
        <v>12.41</v>
      </c>
      <c r="V1067" s="15" t="n">
        <v>26.36</v>
      </c>
      <c r="W1067" s="49" t="n">
        <v>97.108</v>
      </c>
    </row>
    <row r="1068">
      <c r="A1068" s="44" t="inlineStr">
        <is>
          <t>TL Cinsi Sabit Faizli Kuponlu Senetler</t>
        </is>
      </c>
      <c r="B1068" s="44" t="n">
        <v>2022</v>
      </c>
      <c r="C1068" s="44" t="inlineStr">
        <is>
          <t>TRT280432T14</t>
        </is>
      </c>
      <c r="D1068" s="44" t="inlineStr">
        <is>
          <t>08.06.2022</t>
        </is>
      </c>
      <c r="E1068" s="44" t="inlineStr">
        <is>
          <t>28.04.2032</t>
        </is>
      </c>
      <c r="F1068" s="44" t="n">
        <v>3612</v>
      </c>
      <c r="G1068" s="44" t="inlineStr">
        <is>
          <t>6 ay</t>
        </is>
      </c>
      <c r="H1068" s="15" t="n">
        <v>10.75</v>
      </c>
      <c r="I1068" s="45" t="n">
        <v>3246007</v>
      </c>
      <c r="J1068" s="45" t="n">
        <v>3124237.55</v>
      </c>
      <c r="K1068" s="45" t="n">
        <v>1127005</v>
      </c>
      <c r="L1068" s="45" t="n">
        <v>1103817.6</v>
      </c>
      <c r="M1068" s="45" t="n">
        <v>0</v>
      </c>
      <c r="N1068" s="45" t="n">
        <v>0</v>
      </c>
      <c r="O1068" s="45" t="n">
        <v>2144104.222</v>
      </c>
      <c r="P1068" s="45" t="n">
        <v>2099999.99815</v>
      </c>
      <c r="Q1068" s="45" t="n">
        <v>0</v>
      </c>
      <c r="R1068" s="45" t="n">
        <v>0</v>
      </c>
      <c r="S1068" s="45" t="n">
        <v>3271109.222</v>
      </c>
      <c r="T1068" s="45" t="n">
        <v>3203817.59815</v>
      </c>
      <c r="U1068" s="15" t="n">
        <v>11.21</v>
      </c>
      <c r="V1068" s="15" t="n">
        <v>23.69</v>
      </c>
      <c r="W1068" s="49" t="n">
        <v>97.943</v>
      </c>
    </row>
    <row r="1069">
      <c r="A1069" s="44" t="inlineStr">
        <is>
          <t>TL Cinsi Sabit Faizli Kuponlu Senetler</t>
        </is>
      </c>
      <c r="B1069" s="44" t="n">
        <v>2022</v>
      </c>
      <c r="C1069" s="44" t="inlineStr">
        <is>
          <t>TRT090627T12</t>
        </is>
      </c>
      <c r="D1069" s="44" t="inlineStr">
        <is>
          <t>15.06.2022</t>
        </is>
      </c>
      <c r="E1069" s="44" t="inlineStr">
        <is>
          <t>09.06.2027</t>
        </is>
      </c>
      <c r="F1069" s="44" t="n">
        <v>1820</v>
      </c>
      <c r="G1069" s="44" t="inlineStr">
        <is>
          <t>6 ay</t>
        </is>
      </c>
      <c r="H1069" s="15" t="n">
        <v>10.1</v>
      </c>
      <c r="I1069" s="45" t="n">
        <v>19091505</v>
      </c>
      <c r="J1069" s="45" t="n">
        <v>19926078.4248</v>
      </c>
      <c r="K1069" s="45" t="n">
        <v>15229000</v>
      </c>
      <c r="L1069" s="45" t="n">
        <v>16007191.92</v>
      </c>
      <c r="M1069" s="45" t="n">
        <v>3501094.091</v>
      </c>
      <c r="N1069" s="45" t="n">
        <v>3679999.99905</v>
      </c>
      <c r="O1069" s="45" t="n">
        <v>9513842.637</v>
      </c>
      <c r="P1069" s="45" t="n">
        <v>9999999.995759999</v>
      </c>
      <c r="Q1069" s="45" t="n">
        <v>0</v>
      </c>
      <c r="R1069" s="45" t="n">
        <v>0</v>
      </c>
      <c r="S1069" s="45" t="n">
        <v>28243936.728</v>
      </c>
      <c r="T1069" s="45" t="n">
        <v>29687191.91481</v>
      </c>
      <c r="U1069" s="15" t="n">
        <v>9.289999999999999</v>
      </c>
      <c r="V1069" s="15" t="n">
        <v>19.45</v>
      </c>
      <c r="W1069" s="49" t="n">
        <v>105.11</v>
      </c>
    </row>
    <row r="1070">
      <c r="A1070" s="44" t="inlineStr">
        <is>
          <t>TL Cinsi Sabit Faizli Kuponlu Senetler</t>
        </is>
      </c>
      <c r="B1070" s="44" t="n">
        <v>2022</v>
      </c>
      <c r="C1070" s="44" t="inlineStr">
        <is>
          <t>TRT280432T14</t>
        </is>
      </c>
      <c r="D1070" s="44" t="inlineStr">
        <is>
          <t>06.07.2022</t>
        </is>
      </c>
      <c r="E1070" s="44" t="inlineStr">
        <is>
          <t>28.04.2032</t>
        </is>
      </c>
      <c r="F1070" s="44" t="n">
        <v>3584</v>
      </c>
      <c r="G1070" s="44" t="inlineStr">
        <is>
          <t>6 ay</t>
        </is>
      </c>
      <c r="H1070" s="15" t="n">
        <v>10.75</v>
      </c>
      <c r="I1070" s="45" t="n">
        <v>6635001</v>
      </c>
      <c r="J1070" s="45" t="n">
        <v>7825379.31</v>
      </c>
      <c r="K1070" s="45" t="n">
        <v>4799000</v>
      </c>
      <c r="L1070" s="45" t="n">
        <v>5683182.47</v>
      </c>
      <c r="M1070" s="45" t="n">
        <v>0</v>
      </c>
      <c r="N1070" s="45" t="n">
        <v>0</v>
      </c>
      <c r="O1070" s="45" t="n">
        <v>8444234.273</v>
      </c>
      <c r="P1070" s="45" t="n">
        <v>9999999.99546</v>
      </c>
      <c r="Q1070" s="45" t="n">
        <v>633832.2610000001</v>
      </c>
      <c r="R1070" s="45" t="n">
        <v>750609.51677</v>
      </c>
      <c r="S1070" s="45" t="n">
        <v>13877066.534</v>
      </c>
      <c r="T1070" s="45" t="n">
        <v>16433791.98223</v>
      </c>
      <c r="U1070" s="15" t="n">
        <v>9.07</v>
      </c>
      <c r="V1070" s="15" t="n">
        <v>18.95</v>
      </c>
      <c r="W1070" s="49" t="n">
        <v>118.424</v>
      </c>
    </row>
    <row r="1071">
      <c r="A1071" s="44" t="inlineStr">
        <is>
          <t>TL Cinsi Sabit Faizli Kuponlu Senetler</t>
        </is>
      </c>
      <c r="B1071" s="44" t="n">
        <v>2022</v>
      </c>
      <c r="C1071" s="44" t="inlineStr">
        <is>
          <t>TRT090627T12</t>
        </is>
      </c>
      <c r="D1071" s="44" t="inlineStr">
        <is>
          <t>06.07.2022</t>
        </is>
      </c>
      <c r="E1071" s="44" t="inlineStr">
        <is>
          <t>09.06.2027</t>
        </is>
      </c>
      <c r="F1071" s="44" t="n">
        <v>1799</v>
      </c>
      <c r="G1071" s="44" t="inlineStr">
        <is>
          <t>6 ay</t>
        </is>
      </c>
      <c r="H1071" s="15" t="n">
        <v>10.1</v>
      </c>
      <c r="I1071" s="45" t="n">
        <v>5099003</v>
      </c>
      <c r="J1071" s="45" t="n">
        <v>5381796.965</v>
      </c>
      <c r="K1071" s="45" t="n">
        <v>3289000</v>
      </c>
      <c r="L1071" s="45" t="n">
        <v>3480751.3</v>
      </c>
      <c r="M1071" s="45" t="n">
        <v>2026835.49</v>
      </c>
      <c r="N1071" s="45" t="n">
        <v>2144999.99907</v>
      </c>
      <c r="O1071" s="45" t="n">
        <v>6614381.552</v>
      </c>
      <c r="P1071" s="45" t="n">
        <v>6999999.99647</v>
      </c>
      <c r="Q1071" s="45" t="n">
        <v>733212.049</v>
      </c>
      <c r="R1071" s="45" t="n">
        <v>775958.31146</v>
      </c>
      <c r="S1071" s="45" t="n">
        <v>12663429.091</v>
      </c>
      <c r="T1071" s="45" t="n">
        <v>13401709.607</v>
      </c>
      <c r="U1071" s="15" t="n">
        <v>9.35</v>
      </c>
      <c r="V1071" s="15" t="n">
        <v>19.57</v>
      </c>
      <c r="W1071" s="49" t="n">
        <v>105.83</v>
      </c>
    </row>
    <row r="1072">
      <c r="A1072" s="44" t="inlineStr">
        <is>
          <t>TL Cinsi Sabit Faizli Kuponlu Senetler</t>
        </is>
      </c>
      <c r="B1072" s="44" t="n">
        <v>2022</v>
      </c>
      <c r="C1072" s="44" t="inlineStr">
        <is>
          <t>TRT090627T12</t>
        </is>
      </c>
      <c r="D1072" s="44" t="inlineStr">
        <is>
          <t>10.08.2022</t>
        </is>
      </c>
      <c r="E1072" s="44" t="inlineStr">
        <is>
          <t>09.06.2027</t>
        </is>
      </c>
      <c r="F1072" s="44" t="n">
        <v>1764</v>
      </c>
      <c r="G1072" s="44" t="inlineStr">
        <is>
          <t>6 ay</t>
        </is>
      </c>
      <c r="H1072" s="15" t="n">
        <v>10.1</v>
      </c>
      <c r="I1072" s="45" t="n">
        <v>10070000</v>
      </c>
      <c r="J1072" s="45" t="n">
        <v>11432831.6</v>
      </c>
      <c r="K1072" s="45" t="n">
        <v>7160000</v>
      </c>
      <c r="L1072" s="45" t="n">
        <v>8160945.75</v>
      </c>
      <c r="M1072" s="45" t="n">
        <v>877346.902</v>
      </c>
      <c r="N1072" s="45" t="n">
        <v>999999.9989</v>
      </c>
      <c r="O1072" s="45" t="n">
        <v>7018775.219</v>
      </c>
      <c r="P1072" s="45" t="n">
        <v>7999999.99461</v>
      </c>
      <c r="Q1072" s="45" t="n">
        <v>686715.497</v>
      </c>
      <c r="R1072" s="45" t="n">
        <v>782718.32348</v>
      </c>
      <c r="S1072" s="45" t="n">
        <v>15742837.618</v>
      </c>
      <c r="T1072" s="45" t="n">
        <v>17943664.06699</v>
      </c>
      <c r="U1072" s="15" t="n">
        <v>8.4</v>
      </c>
      <c r="V1072" s="15" t="n">
        <v>17.51</v>
      </c>
      <c r="W1072" s="49" t="n">
        <v>113.98</v>
      </c>
    </row>
    <row r="1073">
      <c r="A1073" s="44" t="inlineStr">
        <is>
          <t>TL Cinsi Sabit Faizli Kuponlu Senetler</t>
        </is>
      </c>
      <c r="B1073" s="44" t="n">
        <v>2022</v>
      </c>
      <c r="C1073" s="44" t="inlineStr">
        <is>
          <t>TRT170424T17</t>
        </is>
      </c>
      <c r="D1073" s="44" t="inlineStr">
        <is>
          <t>10.08.2022</t>
        </is>
      </c>
      <c r="E1073" s="44" t="inlineStr">
        <is>
          <t>17.04.2024</t>
        </is>
      </c>
      <c r="F1073" s="44" t="n">
        <v>616</v>
      </c>
      <c r="G1073" s="44" t="inlineStr">
        <is>
          <t>6 ay</t>
        </is>
      </c>
      <c r="H1073" s="15" t="n">
        <v>10.45</v>
      </c>
      <c r="I1073" s="45" t="n">
        <v>1982001</v>
      </c>
      <c r="J1073" s="45" t="n">
        <v>2117167.9</v>
      </c>
      <c r="K1073" s="45" t="n">
        <v>1065000</v>
      </c>
      <c r="L1073" s="45" t="n">
        <v>1139480.3</v>
      </c>
      <c r="M1073" s="45" t="n">
        <v>2897385.808</v>
      </c>
      <c r="N1073" s="45" t="n">
        <v>3099999.99756</v>
      </c>
      <c r="O1073" s="45" t="n">
        <v>1495424.931</v>
      </c>
      <c r="P1073" s="45" t="n">
        <v>1599999.99642</v>
      </c>
      <c r="Q1073" s="45" t="n">
        <v>447535.531</v>
      </c>
      <c r="R1073" s="45" t="n">
        <v>478831.69068</v>
      </c>
      <c r="S1073" s="45" t="n">
        <v>5905346.27</v>
      </c>
      <c r="T1073" s="45" t="n">
        <v>6318311.98466</v>
      </c>
      <c r="U1073" s="15" t="n">
        <v>10.2</v>
      </c>
      <c r="V1073" s="15" t="n">
        <v>21.44</v>
      </c>
      <c r="W1073" s="49" t="n">
        <v>106.993</v>
      </c>
    </row>
    <row r="1074">
      <c r="A1074" s="44" t="inlineStr">
        <is>
          <t>TL Cinsi Sabit Faizli Kuponlu Senetler</t>
        </is>
      </c>
      <c r="B1074" s="44" t="n">
        <v>2022</v>
      </c>
      <c r="C1074" s="44" t="inlineStr">
        <is>
          <t>TRT280432T14</t>
        </is>
      </c>
      <c r="D1074" s="44" t="inlineStr">
        <is>
          <t>17.08.2022</t>
        </is>
      </c>
      <c r="E1074" s="44" t="inlineStr">
        <is>
          <t>28.04.2032</t>
        </is>
      </c>
      <c r="F1074" s="44" t="n">
        <v>3542</v>
      </c>
      <c r="G1074" s="44" t="inlineStr">
        <is>
          <t>6 ay</t>
        </is>
      </c>
      <c r="H1074" s="15" t="n">
        <v>10.75</v>
      </c>
      <c r="I1074" s="45" t="n">
        <v>8440000</v>
      </c>
      <c r="J1074" s="45" t="n">
        <v>11071955.43</v>
      </c>
      <c r="K1074" s="45" t="n">
        <v>6625000</v>
      </c>
      <c r="L1074" s="45" t="n">
        <v>8716453.58</v>
      </c>
      <c r="M1074" s="45" t="n">
        <v>1634123.539</v>
      </c>
      <c r="N1074" s="45" t="n">
        <v>2149999.99903</v>
      </c>
      <c r="O1074" s="45" t="n">
        <v>6080459.679</v>
      </c>
      <c r="P1074" s="45" t="n">
        <v>7999999.99506</v>
      </c>
      <c r="Q1074" s="45" t="n">
        <v>0</v>
      </c>
      <c r="R1074" s="45" t="n">
        <v>0</v>
      </c>
      <c r="S1074" s="45" t="n">
        <v>14339583.218</v>
      </c>
      <c r="T1074" s="45" t="n">
        <v>18866453.57409</v>
      </c>
      <c r="U1074" s="15" t="n">
        <v>8.07</v>
      </c>
      <c r="V1074" s="15" t="n">
        <v>16.79</v>
      </c>
      <c r="W1074" s="49" t="n">
        <v>131.569</v>
      </c>
    </row>
    <row r="1075">
      <c r="A1075" s="44" t="inlineStr">
        <is>
          <t>TL Cinsi Sabit Faizli Kuponlu Senetler</t>
        </is>
      </c>
      <c r="B1075" s="44" t="n">
        <v>2022</v>
      </c>
      <c r="C1075" s="44" t="inlineStr">
        <is>
          <t>TRT280432T14</t>
        </is>
      </c>
      <c r="D1075" s="44" t="inlineStr">
        <is>
          <t>14.09.2022</t>
        </is>
      </c>
      <c r="E1075" s="44" t="inlineStr">
        <is>
          <t>28.04.2032</t>
        </is>
      </c>
      <c r="F1075" s="44" t="n">
        <v>3514</v>
      </c>
      <c r="G1075" s="44" t="inlineStr">
        <is>
          <t>6 ay</t>
        </is>
      </c>
      <c r="H1075" s="15" t="n">
        <v>10.75</v>
      </c>
      <c r="I1075" s="45" t="n">
        <v>5391000</v>
      </c>
      <c r="J1075" s="45" t="n">
        <v>9060116.01</v>
      </c>
      <c r="K1075" s="45" t="n">
        <v>4065000</v>
      </c>
      <c r="L1075" s="45" t="n">
        <v>6874898.8</v>
      </c>
      <c r="M1075" s="45" t="n">
        <v>827794.99</v>
      </c>
      <c r="N1075" s="45" t="n">
        <v>1399999.99889</v>
      </c>
      <c r="O1075" s="45" t="n">
        <v>4730257.083</v>
      </c>
      <c r="P1075" s="45" t="n">
        <v>7999999.98905</v>
      </c>
      <c r="Q1075" s="45" t="n">
        <v>300000</v>
      </c>
      <c r="R1075" s="45" t="n">
        <v>507372</v>
      </c>
      <c r="S1075" s="45" t="n">
        <v>9923052.073000001</v>
      </c>
      <c r="T1075" s="45" t="n">
        <v>16782270.78794</v>
      </c>
      <c r="U1075" s="15" t="n">
        <v>5.49</v>
      </c>
      <c r="V1075" s="15" t="n">
        <v>11.27</v>
      </c>
      <c r="W1075" s="49" t="n">
        <v>169.124</v>
      </c>
    </row>
    <row r="1076">
      <c r="A1076" s="44" t="inlineStr">
        <is>
          <t>TL Cinsi Sabit Faizli Kuponlu Senetler</t>
        </is>
      </c>
      <c r="B1076" s="44" t="n">
        <v>2022</v>
      </c>
      <c r="C1076" s="44" t="inlineStr">
        <is>
          <t>TRT170424T17</t>
        </is>
      </c>
      <c r="D1076" s="44" t="inlineStr">
        <is>
          <t>14.09.2022</t>
        </is>
      </c>
      <c r="E1076" s="44" t="inlineStr">
        <is>
          <t>17.04.2024</t>
        </is>
      </c>
      <c r="F1076" s="44" t="n">
        <v>581</v>
      </c>
      <c r="G1076" s="44" t="inlineStr">
        <is>
          <t>6 ay</t>
        </is>
      </c>
      <c r="H1076" s="15" t="n">
        <v>10.45</v>
      </c>
      <c r="I1076" s="45" t="n">
        <v>1701000</v>
      </c>
      <c r="J1076" s="45" t="n">
        <v>1997954.68</v>
      </c>
      <c r="K1076" s="45" t="n">
        <v>819000</v>
      </c>
      <c r="L1076" s="45" t="n">
        <v>964456.0600000001</v>
      </c>
      <c r="M1076" s="45" t="n">
        <v>0</v>
      </c>
      <c r="N1076" s="45" t="n">
        <v>0</v>
      </c>
      <c r="O1076" s="45" t="n">
        <v>254755.433</v>
      </c>
      <c r="P1076" s="45" t="n">
        <v>299999.9979</v>
      </c>
      <c r="Q1076" s="45" t="n">
        <v>165245.679</v>
      </c>
      <c r="R1076" s="45" t="n">
        <v>194593.31159</v>
      </c>
      <c r="S1076" s="45" t="n">
        <v>1239001.112</v>
      </c>
      <c r="T1076" s="45" t="n">
        <v>1459049.36949</v>
      </c>
      <c r="U1076" s="15" t="n">
        <v>7.07</v>
      </c>
      <c r="V1076" s="15" t="n">
        <v>14.63</v>
      </c>
      <c r="W1076" s="49" t="n">
        <v>117.76</v>
      </c>
    </row>
    <row r="1077">
      <c r="A1077" s="44" t="inlineStr">
        <is>
          <t>TL Cinsi Sabit Faizli Kuponlu Senetler</t>
        </is>
      </c>
      <c r="B1077" s="44" t="n">
        <v>2022</v>
      </c>
      <c r="C1077" s="44" t="inlineStr">
        <is>
          <t>TRT150927T11</t>
        </is>
      </c>
      <c r="D1077" s="44" t="inlineStr">
        <is>
          <t>21.09.2022</t>
        </is>
      </c>
      <c r="E1077" s="44" t="inlineStr">
        <is>
          <t>15.09.2027</t>
        </is>
      </c>
      <c r="F1077" s="44" t="n">
        <v>1820</v>
      </c>
      <c r="G1077" s="44" t="inlineStr">
        <is>
          <t>6 ay</t>
        </is>
      </c>
      <c r="H1077" s="15" t="n">
        <v>5.14</v>
      </c>
      <c r="I1077" s="45" t="n">
        <v>15237001</v>
      </c>
      <c r="J1077" s="45" t="n">
        <v>15140213.6</v>
      </c>
      <c r="K1077" s="45" t="n">
        <v>10005000</v>
      </c>
      <c r="L1077" s="45" t="n">
        <v>9998724.199999999</v>
      </c>
      <c r="M1077" s="45" t="n">
        <v>1400882.556</v>
      </c>
      <c r="N1077" s="45" t="n">
        <v>1399999.99999</v>
      </c>
      <c r="O1077" s="45" t="n">
        <v>10006303.967</v>
      </c>
      <c r="P1077" s="45" t="n">
        <v>9999999.995510001</v>
      </c>
      <c r="Q1077" s="45" t="n">
        <v>1768652.309</v>
      </c>
      <c r="R1077" s="45" t="n">
        <v>1767538.05804</v>
      </c>
      <c r="S1077" s="45" t="n">
        <v>23180838.832</v>
      </c>
      <c r="T1077" s="45" t="n">
        <v>23166262.25354</v>
      </c>
      <c r="U1077" s="15" t="n">
        <v>5.15</v>
      </c>
      <c r="V1077" s="15" t="n">
        <v>10.56</v>
      </c>
      <c r="W1077" s="49" t="n">
        <v>99.937</v>
      </c>
    </row>
    <row r="1078">
      <c r="A1078" s="44" t="inlineStr">
        <is>
          <t>TL Cinsi Sabit Faizli Kuponlu Senetler</t>
        </is>
      </c>
      <c r="B1078" s="44" t="n">
        <v>2022</v>
      </c>
      <c r="C1078" s="44" t="inlineStr">
        <is>
          <t>TRT150927T11</t>
        </is>
      </c>
      <c r="D1078" s="44" t="inlineStr">
        <is>
          <t>12.10.2022</t>
        </is>
      </c>
      <c r="E1078" s="44" t="inlineStr">
        <is>
          <t>15.09.2027</t>
        </is>
      </c>
      <c r="F1078" s="44" t="n">
        <v>1799</v>
      </c>
      <c r="G1078" s="44" t="inlineStr">
        <is>
          <t>6 ay</t>
        </is>
      </c>
      <c r="H1078" s="15" t="n">
        <v>5.14</v>
      </c>
      <c r="I1078" s="45" t="n">
        <v>9932001</v>
      </c>
      <c r="J1078" s="45" t="n">
        <v>9903631.560000001</v>
      </c>
      <c r="K1078" s="45" t="n">
        <v>7678000</v>
      </c>
      <c r="L1078" s="45" t="n">
        <v>7672317.38</v>
      </c>
      <c r="M1078" s="45" t="n">
        <v>1501110.822</v>
      </c>
      <c r="N1078" s="45" t="n">
        <v>1499999.99999</v>
      </c>
      <c r="O1078" s="45" t="n">
        <v>12008886.571</v>
      </c>
      <c r="P1078" s="45" t="n">
        <v>11999999.99494</v>
      </c>
      <c r="Q1078" s="45" t="n">
        <v>1572525.466</v>
      </c>
      <c r="R1078" s="45" t="n">
        <v>1571361.79715</v>
      </c>
      <c r="S1078" s="45" t="n">
        <v>22760522.859</v>
      </c>
      <c r="T1078" s="45" t="n">
        <v>22743679.17208</v>
      </c>
      <c r="U1078" s="15" t="n">
        <v>5.23</v>
      </c>
      <c r="V1078" s="15" t="n">
        <v>10.73</v>
      </c>
      <c r="W1078" s="49" t="n">
        <v>99.926</v>
      </c>
    </row>
    <row r="1079">
      <c r="A1079" s="44" t="inlineStr">
        <is>
          <t>TL Cinsi Sabit Faizli Kuponlu Senetler</t>
        </is>
      </c>
      <c r="B1079" s="44" t="n">
        <v>2022</v>
      </c>
      <c r="C1079" s="44" t="inlineStr">
        <is>
          <t>TRT131032T13</t>
        </is>
      </c>
      <c r="D1079" s="44" t="inlineStr">
        <is>
          <t>26.10.2022</t>
        </is>
      </c>
      <c r="E1079" s="44" t="inlineStr">
        <is>
          <t>13.10.2032</t>
        </is>
      </c>
      <c r="F1079" s="44" t="n">
        <v>3640</v>
      </c>
      <c r="G1079" s="44" t="inlineStr">
        <is>
          <t>6 ay</t>
        </is>
      </c>
      <c r="H1079" s="15" t="n">
        <v>5.2</v>
      </c>
      <c r="I1079" s="45" t="n">
        <v>6752009</v>
      </c>
      <c r="J1079" s="45" t="n">
        <v>6666136.74</v>
      </c>
      <c r="K1079" s="45" t="n">
        <v>5231002</v>
      </c>
      <c r="L1079" s="45" t="n">
        <v>5203519.1</v>
      </c>
      <c r="M1079" s="45" t="n">
        <v>1507916.561</v>
      </c>
      <c r="N1079" s="45" t="n">
        <v>1499999.99905</v>
      </c>
      <c r="O1079" s="45" t="n">
        <v>11058054.782</v>
      </c>
      <c r="P1079" s="45" t="n">
        <v>10999999.99439</v>
      </c>
      <c r="Q1079" s="45" t="n">
        <v>1407388.791</v>
      </c>
      <c r="R1079" s="45" t="n">
        <v>1399999.99985</v>
      </c>
      <c r="S1079" s="45" t="n">
        <v>19204362.134</v>
      </c>
      <c r="T1079" s="45" t="n">
        <v>19103519.09329</v>
      </c>
      <c r="U1079" s="15" t="n">
        <v>5.24</v>
      </c>
      <c r="V1079" s="15" t="n">
        <v>10.76</v>
      </c>
      <c r="W1079" s="49" t="n">
        <v>99.47499999999999</v>
      </c>
    </row>
    <row r="1080">
      <c r="A1080" s="44" t="inlineStr">
        <is>
          <t>TL Cinsi Sabit Faizli Kuponlu Senetler</t>
        </is>
      </c>
      <c r="B1080" s="44" t="n">
        <v>2022</v>
      </c>
      <c r="C1080" s="44" t="inlineStr">
        <is>
          <t>TRT170424T17</t>
        </is>
      </c>
      <c r="D1080" s="44" t="inlineStr">
        <is>
          <t>26.10.2022</t>
        </is>
      </c>
      <c r="E1080" s="44" t="inlineStr">
        <is>
          <t>17.04.2024</t>
        </is>
      </c>
      <c r="F1080" s="44" t="n">
        <v>539</v>
      </c>
      <c r="G1080" s="44" t="inlineStr">
        <is>
          <t>6 ay</t>
        </is>
      </c>
      <c r="H1080" s="15" t="n">
        <v>10.45</v>
      </c>
      <c r="I1080" s="45" t="n">
        <v>2103001</v>
      </c>
      <c r="J1080" s="45" t="n">
        <v>2272358.83</v>
      </c>
      <c r="K1080" s="45" t="n">
        <v>1383000</v>
      </c>
      <c r="L1080" s="45" t="n">
        <v>1496224.12</v>
      </c>
      <c r="M1080" s="45" t="n">
        <v>0</v>
      </c>
      <c r="N1080" s="45" t="n">
        <v>0</v>
      </c>
      <c r="O1080" s="45" t="n">
        <v>231081.366</v>
      </c>
      <c r="P1080" s="45" t="n">
        <v>249999.99742</v>
      </c>
      <c r="Q1080" s="45" t="n">
        <v>433837.695</v>
      </c>
      <c r="R1080" s="45" t="n">
        <v>469355.98709</v>
      </c>
      <c r="S1080" s="45" t="n">
        <v>2047919.061</v>
      </c>
      <c r="T1080" s="45" t="n">
        <v>2215580.10451</v>
      </c>
      <c r="U1080" s="15" t="n">
        <v>7.42</v>
      </c>
      <c r="V1080" s="15" t="n">
        <v>15.39</v>
      </c>
      <c r="W1080" s="49" t="n">
        <v>108.187</v>
      </c>
    </row>
    <row r="1081">
      <c r="A1081" s="44" t="inlineStr">
        <is>
          <t>TL Cinsi Sabit Faizli Kuponlu Senetler</t>
        </is>
      </c>
      <c r="B1081" s="44" t="n">
        <v>2022</v>
      </c>
      <c r="C1081" s="44" t="inlineStr">
        <is>
          <t>TRT131032T13</t>
        </is>
      </c>
      <c r="D1081" s="44" t="inlineStr">
        <is>
          <t>09.11.2022</t>
        </is>
      </c>
      <c r="E1081" s="44" t="inlineStr">
        <is>
          <t>13.10.2032</t>
        </is>
      </c>
      <c r="F1081" s="44" t="n">
        <v>3626</v>
      </c>
      <c r="G1081" s="44" t="inlineStr">
        <is>
          <t>6 ay</t>
        </is>
      </c>
      <c r="H1081" s="15" t="n">
        <v>5.2</v>
      </c>
      <c r="I1081" s="45" t="n">
        <v>5300010</v>
      </c>
      <c r="J1081" s="45" t="n">
        <v>4880958.87</v>
      </c>
      <c r="K1081" s="45" t="n">
        <v>3701004</v>
      </c>
      <c r="L1081" s="45" t="n">
        <v>3430627.32</v>
      </c>
      <c r="M1081" s="45" t="n">
        <v>0</v>
      </c>
      <c r="N1081" s="45" t="n">
        <v>0</v>
      </c>
      <c r="O1081" s="45" t="n">
        <v>3506122.226</v>
      </c>
      <c r="P1081" s="45" t="n">
        <v>3249999.9974</v>
      </c>
      <c r="Q1081" s="45" t="n">
        <v>10022.223</v>
      </c>
      <c r="R1081" s="45" t="n">
        <v>9290.099609999999</v>
      </c>
      <c r="S1081" s="45" t="n">
        <v>7217148.449</v>
      </c>
      <c r="T1081" s="45" t="n">
        <v>6689917.417009999</v>
      </c>
      <c r="U1081" s="15" t="n">
        <v>5.86</v>
      </c>
      <c r="V1081" s="15" t="n">
        <v>12.07</v>
      </c>
      <c r="W1081" s="49" t="n">
        <v>92.69499999999999</v>
      </c>
    </row>
    <row r="1082">
      <c r="A1082" s="44" t="inlineStr">
        <is>
          <t>TL Cinsi Sabit Faizli Kuponlu Senetler</t>
        </is>
      </c>
      <c r="B1082" s="44" t="n">
        <v>2022</v>
      </c>
      <c r="C1082" s="44" t="inlineStr">
        <is>
          <t>TRT150927T11</t>
        </is>
      </c>
      <c r="D1082" s="44" t="inlineStr">
        <is>
          <t>23.11.2022</t>
        </is>
      </c>
      <c r="E1082" s="44" t="inlineStr">
        <is>
          <t>15.09.2027</t>
        </is>
      </c>
      <c r="F1082" s="44" t="n">
        <v>1757</v>
      </c>
      <c r="G1082" s="44" t="inlineStr">
        <is>
          <t>6 ay</t>
        </is>
      </c>
      <c r="H1082" s="15" t="n">
        <v>5.14</v>
      </c>
      <c r="I1082" s="45" t="n">
        <v>7655001</v>
      </c>
      <c r="J1082" s="45" t="n">
        <v>7863838.42</v>
      </c>
      <c r="K1082" s="45" t="n">
        <v>5835000</v>
      </c>
      <c r="L1082" s="45" t="n">
        <v>6027420.65</v>
      </c>
      <c r="M1082" s="45" t="n">
        <v>1452109.43</v>
      </c>
      <c r="N1082" s="45" t="n">
        <v>1499999.999</v>
      </c>
      <c r="O1082" s="45" t="n">
        <v>12584948.398</v>
      </c>
      <c r="P1082" s="45" t="n">
        <v>12999999.99617</v>
      </c>
      <c r="Q1082" s="45" t="n">
        <v>0</v>
      </c>
      <c r="R1082" s="45" t="n">
        <v>0</v>
      </c>
      <c r="S1082" s="45" t="n">
        <v>19872057.828</v>
      </c>
      <c r="T1082" s="45" t="n">
        <v>20527420.64517</v>
      </c>
      <c r="U1082" s="15" t="n">
        <v>4.93</v>
      </c>
      <c r="V1082" s="15" t="n">
        <v>10.11</v>
      </c>
      <c r="W1082" s="49" t="n">
        <v>103.298</v>
      </c>
    </row>
    <row r="1083">
      <c r="A1083" s="44" t="inlineStr">
        <is>
          <t>TL Cinsi Sabit Faizli Kuponlu Senetler</t>
        </is>
      </c>
      <c r="B1083" s="44" t="n">
        <v>2022</v>
      </c>
      <c r="C1083" s="44" t="inlineStr">
        <is>
          <t>TRT041224T12</t>
        </is>
      </c>
      <c r="D1083" s="44" t="inlineStr">
        <is>
          <t>07.12.2022</t>
        </is>
      </c>
      <c r="E1083" s="44" t="inlineStr">
        <is>
          <t>04.12.2024</t>
        </is>
      </c>
      <c r="F1083" s="44" t="n">
        <v>728</v>
      </c>
      <c r="G1083" s="44" t="inlineStr">
        <is>
          <t>6 ay</t>
        </is>
      </c>
      <c r="H1083" s="15" t="n">
        <v>4.65</v>
      </c>
      <c r="I1083" s="45" t="n">
        <v>1726002</v>
      </c>
      <c r="J1083" s="45" t="n">
        <v>1669824.67</v>
      </c>
      <c r="K1083" s="45" t="n">
        <v>1146002</v>
      </c>
      <c r="L1083" s="45" t="n">
        <v>1115843.92</v>
      </c>
      <c r="M1083" s="45" t="n">
        <v>410812.586</v>
      </c>
      <c r="N1083" s="45" t="n">
        <v>399999.99874</v>
      </c>
      <c r="O1083" s="45" t="n">
        <v>513515.731</v>
      </c>
      <c r="P1083" s="45" t="n">
        <v>499999.99696</v>
      </c>
      <c r="Q1083" s="45" t="n">
        <v>100239.298</v>
      </c>
      <c r="R1083" s="45" t="n">
        <v>97600.99967999999</v>
      </c>
      <c r="S1083" s="45" t="n">
        <v>2170569.615</v>
      </c>
      <c r="T1083" s="45" t="n">
        <v>2113444.91538</v>
      </c>
      <c r="U1083" s="15" t="n">
        <v>5.4</v>
      </c>
      <c r="V1083" s="15" t="n">
        <v>11.09</v>
      </c>
      <c r="W1083" s="49" t="n">
        <v>97.36799999999999</v>
      </c>
    </row>
    <row r="1084">
      <c r="A1084" s="44" t="inlineStr">
        <is>
          <t>TL Cinsi Sabit Faizli Kuponlu Senetler</t>
        </is>
      </c>
      <c r="B1084" s="44" t="n">
        <v>2022</v>
      </c>
      <c r="C1084" s="44" t="inlineStr">
        <is>
          <t>TRT150927T11</t>
        </is>
      </c>
      <c r="D1084" s="44" t="inlineStr">
        <is>
          <t>07.12.2022</t>
        </is>
      </c>
      <c r="E1084" s="44" t="inlineStr">
        <is>
          <t>15.09.2027</t>
        </is>
      </c>
      <c r="F1084" s="44" t="n">
        <v>1743</v>
      </c>
      <c r="G1084" s="44" t="inlineStr">
        <is>
          <t>6 ay</t>
        </is>
      </c>
      <c r="H1084" s="15" t="n">
        <v>5.14</v>
      </c>
      <c r="I1084" s="45" t="n">
        <v>20138002</v>
      </c>
      <c r="J1084" s="45" t="n">
        <v>20529876.11</v>
      </c>
      <c r="K1084" s="45" t="n">
        <v>15925000</v>
      </c>
      <c r="L1084" s="45" t="n">
        <v>16277875.67</v>
      </c>
      <c r="M1084" s="45" t="n">
        <v>1467480.629</v>
      </c>
      <c r="N1084" s="45" t="n">
        <v>1499999.99974</v>
      </c>
      <c r="O1084" s="45" t="n">
        <v>10761524.608</v>
      </c>
      <c r="P1084" s="45" t="n">
        <v>10999999.9933</v>
      </c>
      <c r="Q1084" s="45" t="n">
        <v>1915580.974</v>
      </c>
      <c r="R1084" s="45" t="n">
        <v>1958030.24838</v>
      </c>
      <c r="S1084" s="45" t="n">
        <v>30069586.211</v>
      </c>
      <c r="T1084" s="45" t="n">
        <v>30735905.91142</v>
      </c>
      <c r="U1084" s="15" t="n">
        <v>5.13</v>
      </c>
      <c r="V1084" s="15" t="n">
        <v>10.52</v>
      </c>
      <c r="W1084" s="49" t="n">
        <v>102.216</v>
      </c>
    </row>
    <row r="1085">
      <c r="A1085" s="44" t="inlineStr">
        <is>
          <t>TL Cinsi Sabit Faizli Kuponlu Senetler</t>
        </is>
      </c>
      <c r="B1085" s="44" t="n">
        <v>2022</v>
      </c>
      <c r="C1085" s="44" t="inlineStr">
        <is>
          <t>TRT131032T13</t>
        </is>
      </c>
      <c r="D1085" s="44" t="inlineStr">
        <is>
          <t>14.12.2022</t>
        </is>
      </c>
      <c r="E1085" s="44" t="inlineStr">
        <is>
          <t>13.10.2032</t>
        </is>
      </c>
      <c r="F1085" s="44" t="n">
        <v>3591</v>
      </c>
      <c r="G1085" s="44" t="inlineStr">
        <is>
          <t>6 ay</t>
        </is>
      </c>
      <c r="H1085" s="15" t="n">
        <v>5.2</v>
      </c>
      <c r="I1085" s="45" t="n">
        <v>5261001</v>
      </c>
      <c r="J1085" s="45" t="n">
        <v>5099850.14</v>
      </c>
      <c r="K1085" s="45" t="n">
        <v>2938000</v>
      </c>
      <c r="L1085" s="45" t="n">
        <v>2878116.5</v>
      </c>
      <c r="M1085" s="45" t="n">
        <v>1531205.977</v>
      </c>
      <c r="N1085" s="45" t="n">
        <v>1499999.99919</v>
      </c>
      <c r="O1085" s="45" t="n">
        <v>2552009.96</v>
      </c>
      <c r="P1085" s="45" t="n">
        <v>2499999.99702</v>
      </c>
      <c r="Q1085" s="45" t="n">
        <v>317971.559</v>
      </c>
      <c r="R1085" s="45" t="n">
        <v>311491.29863</v>
      </c>
      <c r="S1085" s="45" t="n">
        <v>7339187.496</v>
      </c>
      <c r="T1085" s="45" t="n">
        <v>7189607.794840001</v>
      </c>
      <c r="U1085" s="15" t="n">
        <v>5.49</v>
      </c>
      <c r="V1085" s="15" t="n">
        <v>11.28</v>
      </c>
      <c r="W1085" s="49" t="n">
        <v>97.962</v>
      </c>
    </row>
    <row r="1086">
      <c r="A1086" s="44" t="inlineStr">
        <is>
          <t>TL Cinsi Sabit Faizli Kuponlu Senetler</t>
        </is>
      </c>
      <c r="B1086" s="44" t="n">
        <v>2021</v>
      </c>
      <c r="C1086" s="44" t="inlineStr">
        <is>
          <t>TRT091122T10</t>
        </is>
      </c>
      <c r="D1086" s="44" t="inlineStr">
        <is>
          <t>06.01.2021</t>
        </is>
      </c>
      <c r="E1086" s="44" t="inlineStr">
        <is>
          <t>09.11.2022</t>
        </is>
      </c>
      <c r="F1086" s="44" t="n">
        <v>672</v>
      </c>
      <c r="G1086" s="44" t="inlineStr">
        <is>
          <t>6 ay</t>
        </is>
      </c>
      <c r="H1086" s="15" t="n">
        <v>6.95</v>
      </c>
      <c r="I1086" s="45" t="n">
        <v>4697000</v>
      </c>
      <c r="J1086" s="45" t="n">
        <v>4740332.37</v>
      </c>
      <c r="K1086" s="45" t="n">
        <v>2138000</v>
      </c>
      <c r="L1086" s="45" t="n">
        <v>2161986.09</v>
      </c>
      <c r="M1086" s="45" t="n">
        <v>0</v>
      </c>
      <c r="N1086" s="45" t="n">
        <v>0</v>
      </c>
      <c r="O1086" s="45" t="n">
        <v>1730582.856</v>
      </c>
      <c r="P1086" s="45" t="n">
        <v>1749999.99566</v>
      </c>
      <c r="Q1086" s="45" t="n">
        <v>236000</v>
      </c>
      <c r="R1086" s="45" t="n">
        <v>238647.92</v>
      </c>
      <c r="S1086" s="45" t="n">
        <v>4104582.856</v>
      </c>
      <c r="T1086" s="45" t="n">
        <v>4150634.00566</v>
      </c>
      <c r="U1086" s="15" t="n">
        <v>7.26</v>
      </c>
      <c r="V1086" s="15" t="n">
        <v>15.04</v>
      </c>
      <c r="W1086" s="49" t="n">
        <v>101.122</v>
      </c>
    </row>
    <row r="1087">
      <c r="A1087" s="44" t="inlineStr">
        <is>
          <t>TL Cinsi Sabit Faizli Kuponlu Senetler</t>
        </is>
      </c>
      <c r="B1087" s="44" t="n">
        <v>2021</v>
      </c>
      <c r="C1087" s="44" t="inlineStr">
        <is>
          <t>TRT011025T16</t>
        </is>
      </c>
      <c r="D1087" s="44" t="inlineStr">
        <is>
          <t>06.01.2021</t>
        </is>
      </c>
      <c r="E1087" s="44" t="inlineStr">
        <is>
          <t>01.10.2025</t>
        </is>
      </c>
      <c r="F1087" s="44" t="n">
        <v>1729</v>
      </c>
      <c r="G1087" s="44" t="inlineStr">
        <is>
          <t>6 ay</t>
        </is>
      </c>
      <c r="H1087" s="15" t="n">
        <v>6.3</v>
      </c>
      <c r="I1087" s="45" t="n">
        <v>4884500</v>
      </c>
      <c r="J1087" s="45" t="n">
        <v>4950821.105</v>
      </c>
      <c r="K1087" s="45" t="n">
        <v>2613500</v>
      </c>
      <c r="L1087" s="45" t="n">
        <v>2658451.685</v>
      </c>
      <c r="M1087" s="45" t="n">
        <v>491545.418</v>
      </c>
      <c r="N1087" s="45" t="n">
        <v>499999.99919</v>
      </c>
      <c r="O1087" s="45" t="n">
        <v>1622099.876</v>
      </c>
      <c r="P1087" s="45" t="n">
        <v>1649999.99387</v>
      </c>
      <c r="Q1087" s="45" t="n">
        <v>252561.688</v>
      </c>
      <c r="R1087" s="45" t="n">
        <v>256905.74904</v>
      </c>
      <c r="S1087" s="45" t="n">
        <v>4979706.982</v>
      </c>
      <c r="T1087" s="45" t="n">
        <v>5065357.4271</v>
      </c>
      <c r="U1087" s="15" t="n">
        <v>6.5</v>
      </c>
      <c r="V1087" s="15" t="n">
        <v>13.42</v>
      </c>
      <c r="W1087" s="49" t="n">
        <v>101.72</v>
      </c>
    </row>
    <row r="1088">
      <c r="A1088" s="44" t="inlineStr">
        <is>
          <t>TL Cinsi Sabit Faizli Kuponlu Senetler</t>
        </is>
      </c>
      <c r="B1088" s="44" t="n">
        <v>2021</v>
      </c>
      <c r="C1088" s="44" t="inlineStr">
        <is>
          <t>TRT131130T14</t>
        </is>
      </c>
      <c r="D1088" s="44" t="inlineStr">
        <is>
          <t>06.01.2021</t>
        </is>
      </c>
      <c r="E1088" s="44" t="inlineStr">
        <is>
          <t>13.11.2030</t>
        </is>
      </c>
      <c r="F1088" s="44" t="n">
        <v>3598</v>
      </c>
      <c r="G1088" s="44" t="inlineStr">
        <is>
          <t>6 ay</t>
        </is>
      </c>
      <c r="H1088" s="15" t="n">
        <v>5.85</v>
      </c>
      <c r="I1088" s="45" t="n">
        <v>6094500</v>
      </c>
      <c r="J1088" s="45" t="n">
        <v>5794742.835</v>
      </c>
      <c r="K1088" s="45" t="n">
        <v>3849500</v>
      </c>
      <c r="L1088" s="45" t="n">
        <v>3671091.165</v>
      </c>
      <c r="M1088" s="45" t="n">
        <v>524301.368</v>
      </c>
      <c r="N1088" s="45" t="n">
        <v>499999.99959</v>
      </c>
      <c r="O1088" s="45" t="n">
        <v>1572904.101</v>
      </c>
      <c r="P1088" s="45" t="n">
        <v>1499999.99594</v>
      </c>
      <c r="Q1088" s="45" t="n">
        <v>1147819.245</v>
      </c>
      <c r="R1088" s="45" t="n">
        <v>1094617.823</v>
      </c>
      <c r="S1088" s="45" t="n">
        <v>7094524.714</v>
      </c>
      <c r="T1088" s="45" t="n">
        <v>6765708.98353</v>
      </c>
      <c r="U1088" s="15" t="n">
        <v>6.39</v>
      </c>
      <c r="V1088" s="15" t="n">
        <v>13.19</v>
      </c>
      <c r="W1088" s="49" t="n">
        <v>95.36499999999999</v>
      </c>
    </row>
    <row r="1089">
      <c r="A1089" s="44" t="inlineStr">
        <is>
          <t>TL Cinsi Sabit Faizli Kuponlu Senetler</t>
        </is>
      </c>
      <c r="B1089" s="44" t="n">
        <v>2021</v>
      </c>
      <c r="C1089" s="44" t="inlineStr">
        <is>
          <t>TRT131130T14</t>
        </is>
      </c>
      <c r="D1089" s="44" t="inlineStr">
        <is>
          <t>17.02.2021</t>
        </is>
      </c>
      <c r="E1089" s="44" t="inlineStr">
        <is>
          <t>13.11.2030</t>
        </is>
      </c>
      <c r="F1089" s="44" t="n">
        <v>3556</v>
      </c>
      <c r="G1089" s="44" t="inlineStr">
        <is>
          <t>6 ay</t>
        </is>
      </c>
      <c r="H1089" s="15" t="n">
        <v>5.85</v>
      </c>
      <c r="I1089" s="45" t="n">
        <v>6191667.437</v>
      </c>
      <c r="J1089" s="45" t="n">
        <v>6018184.72223</v>
      </c>
      <c r="K1089" s="45" t="n">
        <v>3579167.437</v>
      </c>
      <c r="L1089" s="45" t="n">
        <v>3487656.74223</v>
      </c>
      <c r="M1089" s="45" t="n">
        <v>513120.49</v>
      </c>
      <c r="N1089" s="45" t="n">
        <v>499999.99907</v>
      </c>
      <c r="O1089" s="45" t="n">
        <v>1128865.077</v>
      </c>
      <c r="P1089" s="45" t="n">
        <v>1099999.99698</v>
      </c>
      <c r="Q1089" s="45" t="n">
        <v>0</v>
      </c>
      <c r="R1089" s="45" t="n">
        <v>0</v>
      </c>
      <c r="S1089" s="45" t="n">
        <v>5221153.004000001</v>
      </c>
      <c r="T1089" s="45" t="n">
        <v>5087656.73828</v>
      </c>
      <c r="U1089" s="15" t="n">
        <v>6.32</v>
      </c>
      <c r="V1089" s="15" t="n">
        <v>13.04</v>
      </c>
      <c r="W1089" s="49" t="n">
        <v>97.443</v>
      </c>
    </row>
    <row r="1090">
      <c r="A1090" s="44" t="inlineStr">
        <is>
          <t>TL Cinsi Sabit Faizli Kuponlu Senetler</t>
        </is>
      </c>
      <c r="B1090" s="44" t="n">
        <v>2021</v>
      </c>
      <c r="C1090" s="44" t="inlineStr">
        <is>
          <t>TRT091122T10</t>
        </is>
      </c>
      <c r="D1090" s="44" t="inlineStr">
        <is>
          <t>17.02.2021</t>
        </is>
      </c>
      <c r="E1090" s="44" t="inlineStr">
        <is>
          <t>09.11.2022</t>
        </is>
      </c>
      <c r="F1090" s="44" t="n">
        <v>630</v>
      </c>
      <c r="G1090" s="44" t="inlineStr">
        <is>
          <t>6 ay</t>
        </is>
      </c>
      <c r="H1090" s="15" t="n">
        <v>6.95</v>
      </c>
      <c r="I1090" s="45" t="n">
        <v>2088750</v>
      </c>
      <c r="J1090" s="45" t="n">
        <v>2141343.59</v>
      </c>
      <c r="K1090" s="45" t="n">
        <v>1196750</v>
      </c>
      <c r="L1090" s="45" t="n">
        <v>1230725.1</v>
      </c>
      <c r="M1090" s="45" t="n">
        <v>0</v>
      </c>
      <c r="N1090" s="45" t="n">
        <v>0</v>
      </c>
      <c r="O1090" s="45" t="n">
        <v>486196.867</v>
      </c>
      <c r="P1090" s="45" t="n">
        <v>499999.99605</v>
      </c>
      <c r="Q1090" s="45" t="n">
        <v>10000</v>
      </c>
      <c r="R1090" s="45" t="n">
        <v>10283.9</v>
      </c>
      <c r="S1090" s="45" t="n">
        <v>1692946.867</v>
      </c>
      <c r="T1090" s="45" t="n">
        <v>1741008.99605</v>
      </c>
      <c r="U1090" s="15" t="n">
        <v>7.23</v>
      </c>
      <c r="V1090" s="15" t="n">
        <v>14.99</v>
      </c>
      <c r="W1090" s="49" t="n">
        <v>102.839</v>
      </c>
    </row>
    <row r="1091">
      <c r="A1091" s="44" t="inlineStr">
        <is>
          <t>TL Cinsi Sabit Faizli Kuponlu Senetler</t>
        </is>
      </c>
      <c r="B1091" s="44" t="n">
        <v>2021</v>
      </c>
      <c r="C1091" s="44" t="inlineStr">
        <is>
          <t>TRT011025T16</t>
        </is>
      </c>
      <c r="D1091" s="44" t="inlineStr">
        <is>
          <t>17.02.2021</t>
        </is>
      </c>
      <c r="E1091" s="44" t="inlineStr">
        <is>
          <t>01.10.2025</t>
        </is>
      </c>
      <c r="F1091" s="44" t="n">
        <v>1687</v>
      </c>
      <c r="G1091" s="44" t="inlineStr">
        <is>
          <t>6 ay</t>
        </is>
      </c>
      <c r="H1091" s="15" t="n">
        <v>6.3</v>
      </c>
      <c r="I1091" s="45" t="n">
        <v>3326000</v>
      </c>
      <c r="J1091" s="45" t="n">
        <v>3418301.92</v>
      </c>
      <c r="K1091" s="45" t="n">
        <v>2095000</v>
      </c>
      <c r="L1091" s="45" t="n">
        <v>2156893.15</v>
      </c>
      <c r="M1091" s="45" t="n">
        <v>485653.787</v>
      </c>
      <c r="N1091" s="45" t="n">
        <v>499999.99987</v>
      </c>
      <c r="O1091" s="45" t="n">
        <v>971307.5699999999</v>
      </c>
      <c r="P1091" s="45" t="n">
        <v>999999.9956</v>
      </c>
      <c r="Q1091" s="45" t="n">
        <v>0</v>
      </c>
      <c r="R1091" s="45" t="n">
        <v>0</v>
      </c>
      <c r="S1091" s="45" t="n">
        <v>3551961.357</v>
      </c>
      <c r="T1091" s="45" t="n">
        <v>3656893.14547</v>
      </c>
      <c r="U1091" s="15" t="n">
        <v>6.54</v>
      </c>
      <c r="V1091" s="15" t="n">
        <v>13.5</v>
      </c>
      <c r="W1091" s="49" t="n">
        <v>102.954</v>
      </c>
    </row>
    <row r="1092">
      <c r="A1092" s="44" t="inlineStr">
        <is>
          <t>TL Cinsi Sabit Faizli Kuponlu Senetler</t>
        </is>
      </c>
      <c r="B1092" s="44" t="n">
        <v>2021</v>
      </c>
      <c r="C1092" s="44" t="inlineStr">
        <is>
          <t>TRT131130T14</t>
        </is>
      </c>
      <c r="D1092" s="44" t="inlineStr">
        <is>
          <t>17.03.2021</t>
        </is>
      </c>
      <c r="E1092" s="44" t="inlineStr">
        <is>
          <t>13.11.2030</t>
        </is>
      </c>
      <c r="F1092" s="44" t="n">
        <v>3528</v>
      </c>
      <c r="G1092" s="44" t="inlineStr">
        <is>
          <t>6 ay</t>
        </is>
      </c>
      <c r="H1092" s="15" t="n">
        <v>5.85</v>
      </c>
      <c r="I1092" s="45" t="n">
        <v>2994300</v>
      </c>
      <c r="J1092" s="45" t="n">
        <v>2759504.336</v>
      </c>
      <c r="K1092" s="45" t="n">
        <v>1598300</v>
      </c>
      <c r="L1092" s="45" t="n">
        <v>1477292.716</v>
      </c>
      <c r="M1092" s="45" t="n">
        <v>649146.912</v>
      </c>
      <c r="N1092" s="45" t="n">
        <v>599999.9992899999</v>
      </c>
      <c r="O1092" s="45" t="n">
        <v>540955.758</v>
      </c>
      <c r="P1092" s="45" t="n">
        <v>499999.99757</v>
      </c>
      <c r="Q1092" s="45" t="n">
        <v>154845.668</v>
      </c>
      <c r="R1092" s="45" t="n">
        <v>143122.30248</v>
      </c>
      <c r="S1092" s="45" t="n">
        <v>2943248.338</v>
      </c>
      <c r="T1092" s="45" t="n">
        <v>2720415.01534</v>
      </c>
      <c r="U1092" s="15" t="n">
        <v>6.91</v>
      </c>
      <c r="V1092" s="15" t="n">
        <v>14.29</v>
      </c>
      <c r="W1092" s="49" t="n">
        <v>92.429</v>
      </c>
    </row>
    <row r="1093">
      <c r="A1093" s="44" t="inlineStr">
        <is>
          <t>TL Cinsi Sabit Faizli Kuponlu Senetler</t>
        </is>
      </c>
      <c r="B1093" s="44" t="n">
        <v>2021</v>
      </c>
      <c r="C1093" s="44" t="inlineStr">
        <is>
          <t>TRT091122T10</t>
        </is>
      </c>
      <c r="D1093" s="44" t="inlineStr">
        <is>
          <t>17.03.2021</t>
        </is>
      </c>
      <c r="E1093" s="44" t="inlineStr">
        <is>
          <t>09.11.2022</t>
        </is>
      </c>
      <c r="F1093" s="44" t="n">
        <v>602</v>
      </c>
      <c r="G1093" s="44" t="inlineStr">
        <is>
          <t>6 ay</t>
        </is>
      </c>
      <c r="H1093" s="15" t="n">
        <v>6.95</v>
      </c>
      <c r="I1093" s="45" t="n">
        <v>2521000</v>
      </c>
      <c r="J1093" s="45" t="n">
        <v>2561514.07</v>
      </c>
      <c r="K1093" s="45" t="n">
        <v>1282000</v>
      </c>
      <c r="L1093" s="45" t="n">
        <v>1307409.02</v>
      </c>
      <c r="M1093" s="45" t="n">
        <v>98056.519</v>
      </c>
      <c r="N1093" s="45" t="n">
        <v>99999.99920999999</v>
      </c>
      <c r="O1093" s="45" t="n">
        <v>392226.075</v>
      </c>
      <c r="P1093" s="45" t="n">
        <v>399999.99581</v>
      </c>
      <c r="Q1093" s="45" t="n">
        <v>250000</v>
      </c>
      <c r="R1093" s="45" t="n">
        <v>254955</v>
      </c>
      <c r="S1093" s="45" t="n">
        <v>2022282.594</v>
      </c>
      <c r="T1093" s="45" t="n">
        <v>2062364.01502</v>
      </c>
      <c r="U1093" s="15" t="n">
        <v>7.94</v>
      </c>
      <c r="V1093" s="15" t="n">
        <v>16.5</v>
      </c>
      <c r="W1093" s="49" t="n">
        <v>101.982</v>
      </c>
    </row>
    <row r="1094">
      <c r="A1094" s="44" t="inlineStr">
        <is>
          <t>TL Cinsi Sabit Faizli Kuponlu Senetler</t>
        </is>
      </c>
      <c r="B1094" s="44" t="n">
        <v>2021</v>
      </c>
      <c r="C1094" s="44" t="inlineStr">
        <is>
          <t>TRT011025T16</t>
        </is>
      </c>
      <c r="D1094" s="44" t="inlineStr">
        <is>
          <t>17.03.2021</t>
        </is>
      </c>
      <c r="E1094" s="44" t="inlineStr">
        <is>
          <t>01.10.2025</t>
        </is>
      </c>
      <c r="F1094" s="44" t="n">
        <v>1659</v>
      </c>
      <c r="G1094" s="44" t="inlineStr">
        <is>
          <t>6 ay</t>
        </is>
      </c>
      <c r="H1094" s="15" t="n">
        <v>6.3</v>
      </c>
      <c r="I1094" s="45" t="n">
        <v>3706000</v>
      </c>
      <c r="J1094" s="45" t="n">
        <v>3614730.86</v>
      </c>
      <c r="K1094" s="45" t="n">
        <v>1499000</v>
      </c>
      <c r="L1094" s="45" t="n">
        <v>1465880.67</v>
      </c>
      <c r="M1094" s="45" t="n">
        <v>613553.394</v>
      </c>
      <c r="N1094" s="45" t="n">
        <v>599999.99953</v>
      </c>
      <c r="O1094" s="45" t="n">
        <v>613553.39</v>
      </c>
      <c r="P1094" s="45" t="n">
        <v>599999.9956199999</v>
      </c>
      <c r="Q1094" s="45" t="n">
        <v>404637.818</v>
      </c>
      <c r="R1094" s="45" t="n">
        <v>395699.3686</v>
      </c>
      <c r="S1094" s="45" t="n">
        <v>3130744.602</v>
      </c>
      <c r="T1094" s="45" t="n">
        <v>3061580.03375</v>
      </c>
      <c r="U1094" s="15" t="n">
        <v>7.51</v>
      </c>
      <c r="V1094" s="15" t="n">
        <v>15.57</v>
      </c>
      <c r="W1094" s="49" t="n">
        <v>97.791</v>
      </c>
    </row>
    <row r="1095">
      <c r="A1095" s="44" t="inlineStr">
        <is>
          <t>TL Cinsi Sabit Faizli Kuponlu Senetler</t>
        </is>
      </c>
      <c r="B1095" s="44" t="n">
        <v>2021</v>
      </c>
      <c r="C1095" s="44" t="inlineStr">
        <is>
          <t>TRT140623T19</t>
        </is>
      </c>
      <c r="D1095" s="44" t="inlineStr">
        <is>
          <t>14.04.2021</t>
        </is>
      </c>
      <c r="E1095" s="44" t="inlineStr">
        <is>
          <t>14.06.2023</t>
        </is>
      </c>
      <c r="F1095" s="44" t="n">
        <v>791</v>
      </c>
      <c r="G1095" s="44" t="inlineStr">
        <is>
          <t>6 ay</t>
        </is>
      </c>
      <c r="H1095" s="15" t="n">
        <v>8.1</v>
      </c>
      <c r="I1095" s="45" t="n">
        <v>3415800</v>
      </c>
      <c r="J1095" s="45" t="n">
        <v>3464620.72</v>
      </c>
      <c r="K1095" s="45" t="n">
        <v>1743400</v>
      </c>
      <c r="L1095" s="45" t="n">
        <v>1774277.62</v>
      </c>
      <c r="M1095" s="45" t="n">
        <v>1965196.372</v>
      </c>
      <c r="N1095" s="45" t="n">
        <v>1999999.99975</v>
      </c>
      <c r="O1095" s="45" t="n">
        <v>687818.726</v>
      </c>
      <c r="P1095" s="45" t="n">
        <v>699999.9956500001</v>
      </c>
      <c r="Q1095" s="45" t="n">
        <v>528938.347</v>
      </c>
      <c r="R1095" s="45" t="n">
        <v>538305.84512</v>
      </c>
      <c r="S1095" s="45" t="n">
        <v>4925353.445</v>
      </c>
      <c r="T1095" s="45" t="n">
        <v>5012583.460519999</v>
      </c>
      <c r="U1095" s="15" t="n">
        <v>9.09</v>
      </c>
      <c r="V1095" s="15" t="n">
        <v>19.02</v>
      </c>
      <c r="W1095" s="49" t="n">
        <v>101.771</v>
      </c>
    </row>
    <row r="1096">
      <c r="A1096" s="44" t="inlineStr">
        <is>
          <t>TL Cinsi Sabit Faizli Kuponlu Senetler</t>
        </is>
      </c>
      <c r="B1096" s="44" t="n">
        <v>2021</v>
      </c>
      <c r="C1096" s="44" t="inlineStr">
        <is>
          <t>TRT091122T10</t>
        </is>
      </c>
      <c r="D1096" s="44" t="inlineStr">
        <is>
          <t>21.04.2021</t>
        </is>
      </c>
      <c r="E1096" s="44" t="inlineStr">
        <is>
          <t>09.11.2022</t>
        </is>
      </c>
      <c r="F1096" s="44" t="n">
        <v>567</v>
      </c>
      <c r="G1096" s="44" t="inlineStr">
        <is>
          <t>6 ay</t>
        </is>
      </c>
      <c r="H1096" s="15" t="n">
        <v>6.95</v>
      </c>
      <c r="I1096" s="45" t="n">
        <v>2825000</v>
      </c>
      <c r="J1096" s="45" t="n">
        <v>2863489.38</v>
      </c>
      <c r="K1096" s="45" t="n">
        <v>1055000</v>
      </c>
      <c r="L1096" s="45" t="n">
        <v>1073178.18</v>
      </c>
      <c r="M1096" s="45" t="n">
        <v>589837.106</v>
      </c>
      <c r="N1096" s="45" t="n">
        <v>599999.99934</v>
      </c>
      <c r="O1096" s="45" t="n">
        <v>491530.92</v>
      </c>
      <c r="P1096" s="45" t="n">
        <v>499999.99775</v>
      </c>
      <c r="Q1096" s="45" t="n">
        <v>0</v>
      </c>
      <c r="R1096" s="45" t="n">
        <v>0</v>
      </c>
      <c r="S1096" s="45" t="n">
        <v>2136368.026</v>
      </c>
      <c r="T1096" s="45" t="n">
        <v>2173178.17709</v>
      </c>
      <c r="U1096" s="15" t="n">
        <v>8.619999999999999</v>
      </c>
      <c r="V1096" s="15" t="n">
        <v>17.98</v>
      </c>
      <c r="W1096" s="49" t="n">
        <v>101.723</v>
      </c>
    </row>
    <row r="1097">
      <c r="A1097" s="44" t="inlineStr">
        <is>
          <t>TL Cinsi Sabit Faizli Kuponlu Senetler</t>
        </is>
      </c>
      <c r="B1097" s="44" t="n">
        <v>2021</v>
      </c>
      <c r="C1097" s="44" t="inlineStr">
        <is>
          <t>TRT011025T16</t>
        </is>
      </c>
      <c r="D1097" s="44" t="inlineStr">
        <is>
          <t>21.04.2021</t>
        </is>
      </c>
      <c r="E1097" s="44" t="inlineStr">
        <is>
          <t>01.10.2025</t>
        </is>
      </c>
      <c r="F1097" s="44" t="n">
        <v>1624</v>
      </c>
      <c r="G1097" s="44" t="inlineStr">
        <is>
          <t>6 ay</t>
        </is>
      </c>
      <c r="H1097" s="15" t="n">
        <v>6.3</v>
      </c>
      <c r="I1097" s="45" t="n">
        <v>3497500</v>
      </c>
      <c r="J1097" s="45" t="n">
        <v>2962462.305</v>
      </c>
      <c r="K1097" s="45" t="n">
        <v>1924000</v>
      </c>
      <c r="L1097" s="45" t="n">
        <v>1632158.57</v>
      </c>
      <c r="M1097" s="45" t="n">
        <v>5952942.284</v>
      </c>
      <c r="N1097" s="45" t="n">
        <v>5049999.99836</v>
      </c>
      <c r="O1097" s="45" t="n">
        <v>766220.292</v>
      </c>
      <c r="P1097" s="45" t="n">
        <v>649999.99812</v>
      </c>
      <c r="Q1097" s="45" t="n">
        <v>100145</v>
      </c>
      <c r="R1097" s="45" t="n">
        <v>84955.0064</v>
      </c>
      <c r="S1097" s="45" t="n">
        <v>8743307.575999999</v>
      </c>
      <c r="T1097" s="45" t="n">
        <v>7417113.57288</v>
      </c>
      <c r="U1097" s="15" t="n">
        <v>8.91</v>
      </c>
      <c r="V1097" s="15" t="n">
        <v>18.62</v>
      </c>
      <c r="W1097" s="49" t="n">
        <v>84.83199999999999</v>
      </c>
    </row>
    <row r="1098">
      <c r="A1098" s="44" t="inlineStr">
        <is>
          <t>TL Cinsi Sabit Faizli Kuponlu Senetler</t>
        </is>
      </c>
      <c r="B1098" s="44" t="n">
        <v>2021</v>
      </c>
      <c r="C1098" s="44" t="inlineStr">
        <is>
          <t>TRT180123T10</t>
        </is>
      </c>
      <c r="D1098" s="44" t="inlineStr">
        <is>
          <t>05.05.2021</t>
        </is>
      </c>
      <c r="E1098" s="44" t="inlineStr">
        <is>
          <t>18.01.2023</t>
        </is>
      </c>
      <c r="F1098" s="44" t="n">
        <v>623</v>
      </c>
      <c r="G1098" s="44" t="inlineStr">
        <is>
          <t>6 ay</t>
        </is>
      </c>
      <c r="H1098" s="15" t="n">
        <v>6.1</v>
      </c>
      <c r="I1098" s="45" t="n">
        <v>3043000</v>
      </c>
      <c r="J1098" s="45" t="n">
        <v>2911956.93</v>
      </c>
      <c r="K1098" s="45" t="n">
        <v>1008000</v>
      </c>
      <c r="L1098" s="45" t="n">
        <v>968577.63</v>
      </c>
      <c r="M1098" s="45" t="n">
        <v>0</v>
      </c>
      <c r="N1098" s="45" t="n">
        <v>0</v>
      </c>
      <c r="O1098" s="45" t="n">
        <v>364245.644</v>
      </c>
      <c r="P1098" s="45" t="n">
        <v>349999.99687</v>
      </c>
      <c r="Q1098" s="45" t="n">
        <v>30000.26</v>
      </c>
      <c r="R1098" s="45" t="n">
        <v>28826.94983</v>
      </c>
      <c r="S1098" s="45" t="n">
        <v>1402245.904</v>
      </c>
      <c r="T1098" s="45" t="n">
        <v>1347404.5767</v>
      </c>
      <c r="U1098" s="15" t="n">
        <v>8.68</v>
      </c>
      <c r="V1098" s="15" t="n">
        <v>18.11</v>
      </c>
      <c r="W1098" s="49" t="n">
        <v>96.089</v>
      </c>
    </row>
    <row r="1099">
      <c r="A1099" s="44" t="inlineStr">
        <is>
          <t>TL Cinsi Sabit Faizli Kuponlu Senetler</t>
        </is>
      </c>
      <c r="B1099" s="44" t="n">
        <v>2021</v>
      </c>
      <c r="C1099" s="44" t="inlineStr">
        <is>
          <t>TRT011025T16</t>
        </is>
      </c>
      <c r="D1099" s="44" t="inlineStr">
        <is>
          <t>26.05.2021</t>
        </is>
      </c>
      <c r="E1099" s="44" t="inlineStr">
        <is>
          <t>01.10.2025</t>
        </is>
      </c>
      <c r="F1099" s="44" t="n">
        <v>1589</v>
      </c>
      <c r="G1099" s="44" t="inlineStr">
        <is>
          <t>6 ay</t>
        </is>
      </c>
      <c r="H1099" s="15" t="n">
        <v>6.3</v>
      </c>
      <c r="I1099" s="45" t="n">
        <v>3453600</v>
      </c>
      <c r="J1099" s="45" t="n">
        <v>2949713.066</v>
      </c>
      <c r="K1099" s="45" t="n">
        <v>1581600</v>
      </c>
      <c r="L1099" s="45" t="n">
        <v>1353088.616</v>
      </c>
      <c r="M1099" s="45" t="n">
        <v>1636431.643</v>
      </c>
      <c r="N1099" s="45" t="n">
        <v>1399999.99922</v>
      </c>
      <c r="O1099" s="45" t="n">
        <v>701327.844</v>
      </c>
      <c r="P1099" s="45" t="n">
        <v>599999.99708</v>
      </c>
      <c r="Q1099" s="45" t="n">
        <v>300628.705</v>
      </c>
      <c r="R1099" s="45" t="n">
        <v>257193.8697</v>
      </c>
      <c r="S1099" s="45" t="n">
        <v>4219988.192</v>
      </c>
      <c r="T1099" s="45" t="n">
        <v>3610282.482</v>
      </c>
      <c r="U1099" s="15" t="n">
        <v>9.039999999999999</v>
      </c>
      <c r="V1099" s="15" t="n">
        <v>18.9</v>
      </c>
      <c r="W1099" s="49" t="n">
        <v>85.55200000000001</v>
      </c>
    </row>
    <row r="1100">
      <c r="A1100" s="44" t="inlineStr">
        <is>
          <t>TL Cinsi Sabit Faizli Kuponlu Senetler</t>
        </is>
      </c>
      <c r="B1100" s="44" t="n">
        <v>2021</v>
      </c>
      <c r="C1100" s="44" t="inlineStr">
        <is>
          <t>TRT091122T10</t>
        </is>
      </c>
      <c r="D1100" s="44" t="inlineStr">
        <is>
          <t>26.05.2021</t>
        </is>
      </c>
      <c r="E1100" s="44" t="inlineStr">
        <is>
          <t>09.11.2022</t>
        </is>
      </c>
      <c r="F1100" s="44" t="n">
        <v>532</v>
      </c>
      <c r="G1100" s="44" t="inlineStr">
        <is>
          <t>6 ay</t>
        </is>
      </c>
      <c r="H1100" s="15" t="n">
        <v>6.95</v>
      </c>
      <c r="I1100" s="45" t="n">
        <v>939000</v>
      </c>
      <c r="J1100" s="45" t="n">
        <v>897486.05</v>
      </c>
      <c r="K1100" s="45" t="n">
        <v>402000</v>
      </c>
      <c r="L1100" s="45" t="n">
        <v>384637.28</v>
      </c>
      <c r="M1100" s="45" t="n">
        <v>0</v>
      </c>
      <c r="N1100" s="45" t="n">
        <v>0</v>
      </c>
      <c r="O1100" s="45" t="n">
        <v>313541.871</v>
      </c>
      <c r="P1100" s="45" t="n">
        <v>299999.99759</v>
      </c>
      <c r="Q1100" s="45" t="inlineStr">
        <is>
          <t>-</t>
        </is>
      </c>
      <c r="R1100" s="45" t="inlineStr">
        <is>
          <t>-</t>
        </is>
      </c>
      <c r="S1100" s="45" t="n">
        <v>715541.871</v>
      </c>
      <c r="T1100" s="45" t="n">
        <v>684637.2775900001</v>
      </c>
      <c r="U1100" s="15" t="n">
        <v>8.9</v>
      </c>
      <c r="V1100" s="15" t="n">
        <v>18.59</v>
      </c>
      <c r="W1100" s="49" t="n">
        <v>95.681</v>
      </c>
    </row>
    <row r="1101">
      <c r="A1101" s="44" t="inlineStr">
        <is>
          <t>TL Cinsi Sabit Faizli Kuponlu Senetler</t>
        </is>
      </c>
      <c r="B1101" s="44" t="n">
        <v>2021</v>
      </c>
      <c r="C1101" s="44" t="inlineStr">
        <is>
          <t>TRT011025T16</t>
        </is>
      </c>
      <c r="D1101" s="44" t="inlineStr">
        <is>
          <t>09.06.2021</t>
        </is>
      </c>
      <c r="E1101" s="44" t="inlineStr">
        <is>
          <t>01.10.2025</t>
        </is>
      </c>
      <c r="F1101" s="44" t="n">
        <v>1575</v>
      </c>
      <c r="G1101" s="44" t="inlineStr">
        <is>
          <t>6 ay</t>
        </is>
      </c>
      <c r="H1101" s="15" t="n">
        <v>6.3</v>
      </c>
      <c r="I1101" s="45" t="n">
        <v>5856000</v>
      </c>
      <c r="J1101" s="45" t="n">
        <v>4972913.76</v>
      </c>
      <c r="K1101" s="45" t="n">
        <v>3382000</v>
      </c>
      <c r="L1101" s="45" t="n">
        <v>2874545.34</v>
      </c>
      <c r="M1101" s="45" t="n">
        <v>2206012.117</v>
      </c>
      <c r="N1101" s="45" t="n">
        <v>1874999.99885</v>
      </c>
      <c r="O1101" s="45" t="n">
        <v>941231.831</v>
      </c>
      <c r="P1101" s="45" t="n">
        <v>799999.9947799999</v>
      </c>
      <c r="Q1101" s="45" t="n">
        <v>1083691.846</v>
      </c>
      <c r="R1101" s="45" t="n">
        <v>921083.88451</v>
      </c>
      <c r="S1101" s="45" t="n">
        <v>7612935.794000001</v>
      </c>
      <c r="T1101" s="45" t="n">
        <v>6470629.21814</v>
      </c>
      <c r="U1101" s="15" t="n">
        <v>9.26</v>
      </c>
      <c r="V1101" s="15" t="n">
        <v>19.38</v>
      </c>
      <c r="W1101" s="49" t="n">
        <v>84.995</v>
      </c>
    </row>
    <row r="1102">
      <c r="A1102" s="44" t="inlineStr">
        <is>
          <t>TL Cinsi Sabit Faizli Kuponlu Senetler</t>
        </is>
      </c>
      <c r="B1102" s="44" t="n">
        <v>2021</v>
      </c>
      <c r="C1102" s="44" t="inlineStr">
        <is>
          <t>TRT140623T19</t>
        </is>
      </c>
      <c r="D1102" s="44" t="inlineStr">
        <is>
          <t>23.06.2021</t>
        </is>
      </c>
      <c r="E1102" s="44" t="inlineStr">
        <is>
          <t>14.06.2023</t>
        </is>
      </c>
      <c r="F1102" s="44" t="n">
        <v>721</v>
      </c>
      <c r="G1102" s="44" t="inlineStr">
        <is>
          <t>6 ay</t>
        </is>
      </c>
      <c r="H1102" s="15" t="n">
        <v>8.1</v>
      </c>
      <c r="I1102" s="45" t="n">
        <v>2384500</v>
      </c>
      <c r="J1102" s="45" t="n">
        <v>2324613.885</v>
      </c>
      <c r="K1102" s="45" t="n">
        <v>1588000</v>
      </c>
      <c r="L1102" s="45" t="n">
        <v>1550160.06</v>
      </c>
      <c r="M1102" s="45" t="n">
        <v>281713.226</v>
      </c>
      <c r="N1102" s="45" t="n">
        <v>274999.99982</v>
      </c>
      <c r="O1102" s="45" t="n">
        <v>1126852.901</v>
      </c>
      <c r="P1102" s="45" t="n">
        <v>1099999.99636</v>
      </c>
      <c r="Q1102" s="45" t="n">
        <v>475122.673</v>
      </c>
      <c r="R1102" s="45" t="n">
        <v>463800.4997</v>
      </c>
      <c r="S1102" s="45" t="n">
        <v>3471688.8</v>
      </c>
      <c r="T1102" s="45" t="n">
        <v>3388960.55588</v>
      </c>
      <c r="U1102" s="15" t="n">
        <v>8.93</v>
      </c>
      <c r="V1102" s="15" t="n">
        <v>18.66</v>
      </c>
      <c r="W1102" s="49" t="n">
        <v>97.617</v>
      </c>
    </row>
    <row r="1103">
      <c r="A1103" s="44" t="inlineStr">
        <is>
          <t>TL Cinsi Sabit Faizli Kuponlu Senetler</t>
        </is>
      </c>
      <c r="B1103" s="44" t="n">
        <v>2021</v>
      </c>
      <c r="C1103" s="44" t="inlineStr">
        <is>
          <t>TRT140623T19</t>
        </is>
      </c>
      <c r="D1103" s="44" t="inlineStr">
        <is>
          <t>14.07.2021</t>
        </is>
      </c>
      <c r="E1103" s="44" t="inlineStr">
        <is>
          <t>14.06.2023</t>
        </is>
      </c>
      <c r="F1103" s="44" t="n">
        <v>700</v>
      </c>
      <c r="G1103" s="44" t="inlineStr">
        <is>
          <t>6 ay</t>
        </is>
      </c>
      <c r="H1103" s="15" t="n">
        <v>8.1</v>
      </c>
      <c r="I1103" s="45" t="n">
        <v>3794500</v>
      </c>
      <c r="J1103" s="45" t="n">
        <v>3718118.64</v>
      </c>
      <c r="K1103" s="45" t="n">
        <v>2405500</v>
      </c>
      <c r="L1103" s="45" t="n">
        <v>2363580.5</v>
      </c>
      <c r="M1103" s="45" t="n">
        <v>1017739.194</v>
      </c>
      <c r="N1103" s="45" t="n">
        <v>999999.99985</v>
      </c>
      <c r="O1103" s="45" t="n">
        <v>712417.432</v>
      </c>
      <c r="P1103" s="45" t="n">
        <v>699999.9961399999</v>
      </c>
      <c r="Q1103" s="45" t="n">
        <v>150029.463</v>
      </c>
      <c r="R1103" s="45" t="n">
        <v>147414.44946</v>
      </c>
      <c r="S1103" s="45" t="n">
        <v>4285686.089</v>
      </c>
      <c r="T1103" s="45" t="n">
        <v>4210994.94545</v>
      </c>
      <c r="U1103" s="15" t="n">
        <v>9.039999999999999</v>
      </c>
      <c r="V1103" s="15" t="n">
        <v>18.9</v>
      </c>
      <c r="W1103" s="49" t="n">
        <v>98.25700000000001</v>
      </c>
    </row>
    <row r="1104">
      <c r="A1104" s="44" t="inlineStr">
        <is>
          <t>TL Cinsi Sabit Faizli Kuponlu Senetler</t>
        </is>
      </c>
      <c r="B1104" s="44" t="n">
        <v>2021</v>
      </c>
      <c r="C1104" s="44" t="inlineStr">
        <is>
          <t>TRT131130T14</t>
        </is>
      </c>
      <c r="D1104" s="44" t="inlineStr">
        <is>
          <t>28.07.2021</t>
        </is>
      </c>
      <c r="E1104" s="44" t="inlineStr">
        <is>
          <t>13.11.2030</t>
        </is>
      </c>
      <c r="F1104" s="44" t="n">
        <v>3395</v>
      </c>
      <c r="G1104" s="44" t="inlineStr">
        <is>
          <t>6 ay</t>
        </is>
      </c>
      <c r="H1104" s="15" t="n">
        <v>5.85</v>
      </c>
      <c r="I1104" s="45" t="n">
        <v>4629600</v>
      </c>
      <c r="J1104" s="45" t="n">
        <v>3586205.75</v>
      </c>
      <c r="K1104" s="45" t="n">
        <v>2845000</v>
      </c>
      <c r="L1104" s="45" t="n">
        <v>2211532.55</v>
      </c>
      <c r="M1104" s="45" t="n">
        <v>1286438.366</v>
      </c>
      <c r="N1104" s="45" t="n">
        <v>999999.99942</v>
      </c>
      <c r="O1104" s="45" t="n">
        <v>1608047.954</v>
      </c>
      <c r="P1104" s="45" t="n">
        <v>1249999.99656</v>
      </c>
      <c r="Q1104" s="45" t="n">
        <v>1000133.145</v>
      </c>
      <c r="R1104" s="45" t="n">
        <v>777443.49893</v>
      </c>
      <c r="S1104" s="45" t="n">
        <v>6739619.465</v>
      </c>
      <c r="T1104" s="45" t="n">
        <v>5238976.04491</v>
      </c>
      <c r="U1104" s="15" t="n">
        <v>8.48</v>
      </c>
      <c r="V1104" s="15" t="n">
        <v>17.68</v>
      </c>
      <c r="W1104" s="49" t="n">
        <v>77.73399999999999</v>
      </c>
    </row>
    <row r="1105">
      <c r="A1105" s="44" t="inlineStr">
        <is>
          <t>TL Cinsi Sabit Faizli Kuponlu Senetler</t>
        </is>
      </c>
      <c r="B1105" s="44" t="n">
        <v>2021</v>
      </c>
      <c r="C1105" s="44" t="inlineStr">
        <is>
          <t>TRT181023T19</t>
        </is>
      </c>
      <c r="D1105" s="44" t="inlineStr">
        <is>
          <t>18.08.2021</t>
        </is>
      </c>
      <c r="E1105" s="44" t="inlineStr">
        <is>
          <t>18.10.2023</t>
        </is>
      </c>
      <c r="F1105" s="44" t="n">
        <v>791</v>
      </c>
      <c r="G1105" s="44" t="inlineStr">
        <is>
          <t>6 ay</t>
        </is>
      </c>
      <c r="H1105" s="15" t="n">
        <v>10.05</v>
      </c>
      <c r="I1105" s="45" t="n">
        <v>4886500</v>
      </c>
      <c r="J1105" s="45" t="n">
        <v>5373931.47</v>
      </c>
      <c r="K1105" s="45" t="n">
        <v>3014500</v>
      </c>
      <c r="L1105" s="45" t="n">
        <v>3319706.57</v>
      </c>
      <c r="M1105" s="45" t="n">
        <v>635641.316</v>
      </c>
      <c r="N1105" s="45" t="n">
        <v>699999.99925</v>
      </c>
      <c r="O1105" s="45" t="n">
        <v>908059.022</v>
      </c>
      <c r="P1105" s="45" t="n">
        <v>999999.99798</v>
      </c>
      <c r="Q1105" s="45" t="n">
        <v>1054161.225</v>
      </c>
      <c r="R1105" s="45" t="n">
        <v>1160895.04903</v>
      </c>
      <c r="S1105" s="45" t="n">
        <v>5612361.563</v>
      </c>
      <c r="T1105" s="45" t="n">
        <v>6180601.61626</v>
      </c>
      <c r="U1105" s="15" t="n">
        <v>9</v>
      </c>
      <c r="V1105" s="15" t="n">
        <v>18.81</v>
      </c>
      <c r="W1105" s="49" t="n">
        <v>110.125</v>
      </c>
    </row>
    <row r="1106">
      <c r="A1106" s="44" t="inlineStr">
        <is>
          <t>TL Cinsi Sabit Faizli Kuponlu Senetler</t>
        </is>
      </c>
      <c r="B1106" s="44" t="n">
        <v>2021</v>
      </c>
      <c r="C1106" s="44" t="inlineStr">
        <is>
          <t>TRT131130T14</t>
        </is>
      </c>
      <c r="D1106" s="44" t="inlineStr">
        <is>
          <t>18.08.2021</t>
        </is>
      </c>
      <c r="E1106" s="44" t="inlineStr">
        <is>
          <t>13.11.2030</t>
        </is>
      </c>
      <c r="F1106" s="44" t="n">
        <v>3374</v>
      </c>
      <c r="G1106" s="44" t="inlineStr">
        <is>
          <t>6 ay</t>
        </is>
      </c>
      <c r="H1106" s="15" t="n">
        <v>5.85</v>
      </c>
      <c r="I1106" s="45" t="n">
        <v>3479000</v>
      </c>
      <c r="J1106" s="45" t="n">
        <v>2749315.2</v>
      </c>
      <c r="K1106" s="45" t="n">
        <v>1933000</v>
      </c>
      <c r="L1106" s="45" t="n">
        <v>1530217</v>
      </c>
      <c r="M1106" s="45" t="n">
        <v>63160.82</v>
      </c>
      <c r="N1106" s="45" t="n">
        <v>49999.99994</v>
      </c>
      <c r="O1106" s="45" t="n">
        <v>568447.379</v>
      </c>
      <c r="P1106" s="45" t="n">
        <v>449999.99863</v>
      </c>
      <c r="Q1106" s="45" t="n">
        <v>50077.056</v>
      </c>
      <c r="R1106" s="45" t="n">
        <v>39642.49984</v>
      </c>
      <c r="S1106" s="45" t="n">
        <v>2614685.255</v>
      </c>
      <c r="T1106" s="45" t="n">
        <v>2069859.49841</v>
      </c>
      <c r="U1106" s="15" t="n">
        <v>8.390000000000001</v>
      </c>
      <c r="V1106" s="15" t="n">
        <v>17.48</v>
      </c>
      <c r="W1106" s="49" t="n">
        <v>79.163</v>
      </c>
    </row>
    <row r="1107">
      <c r="A1107" s="44" t="inlineStr">
        <is>
          <t>TL Cinsi Sabit Faizli Kuponlu Senetler</t>
        </is>
      </c>
      <c r="B1107" s="44" t="n">
        <v>2021</v>
      </c>
      <c r="C1107" s="44" t="inlineStr">
        <is>
          <t>TRT020926T17</t>
        </is>
      </c>
      <c r="D1107" s="44" t="inlineStr">
        <is>
          <t>08.09.2021</t>
        </is>
      </c>
      <c r="E1107" s="44" t="inlineStr">
        <is>
          <t>02.09.2026</t>
        </is>
      </c>
      <c r="F1107" s="44" t="n">
        <v>1820</v>
      </c>
      <c r="G1107" s="44" t="inlineStr">
        <is>
          <t>6 ay</t>
        </is>
      </c>
      <c r="H1107" s="15" t="n">
        <v>8.449999999999999</v>
      </c>
      <c r="I1107" s="45" t="n">
        <v>4407500</v>
      </c>
      <c r="J1107" s="45" t="n">
        <v>4386650.37</v>
      </c>
      <c r="K1107" s="45" t="n">
        <v>2807500</v>
      </c>
      <c r="L1107" s="45" t="n">
        <v>2802351.21</v>
      </c>
      <c r="M1107" s="45" t="n">
        <v>2504583.387</v>
      </c>
      <c r="N1107" s="45" t="n">
        <v>2499999.9994</v>
      </c>
      <c r="O1107" s="45" t="n">
        <v>1252291.69</v>
      </c>
      <c r="P1107" s="45" t="n">
        <v>1249999.9962</v>
      </c>
      <c r="Q1107" s="45" t="n">
        <v>39783.849</v>
      </c>
      <c r="R1107" s="45" t="n">
        <v>39711.04456</v>
      </c>
      <c r="S1107" s="45" t="n">
        <v>6604158.926</v>
      </c>
      <c r="T1107" s="45" t="n">
        <v>6592062.250159999</v>
      </c>
      <c r="U1107" s="15" t="n">
        <v>8.48</v>
      </c>
      <c r="V1107" s="15" t="n">
        <v>17.67</v>
      </c>
      <c r="W1107" s="49" t="n">
        <v>99.81699999999999</v>
      </c>
    </row>
    <row r="1108">
      <c r="A1108" s="44" t="inlineStr">
        <is>
          <t>TL Cinsi Sabit Faizli Kuponlu Senetler</t>
        </is>
      </c>
      <c r="B1108" s="44" t="n">
        <v>2021</v>
      </c>
      <c r="C1108" s="44" t="inlineStr">
        <is>
          <t>TRT200923T18</t>
        </is>
      </c>
      <c r="D1108" s="44" t="inlineStr">
        <is>
          <t>22.09.2021</t>
        </is>
      </c>
      <c r="E1108" s="44" t="inlineStr">
        <is>
          <t>20.09.2023</t>
        </is>
      </c>
      <c r="F1108" s="44" t="n">
        <v>728</v>
      </c>
      <c r="G1108" s="44" t="inlineStr">
        <is>
          <t>6 ay</t>
        </is>
      </c>
      <c r="H1108" s="15" t="n">
        <v>8.6</v>
      </c>
      <c r="I1108" s="45" t="n">
        <v>2375500</v>
      </c>
      <c r="J1108" s="45" t="n">
        <v>2366919.855</v>
      </c>
      <c r="K1108" s="45" t="n">
        <v>1103000</v>
      </c>
      <c r="L1108" s="45" t="n">
        <v>1100544.45</v>
      </c>
      <c r="M1108" s="45" t="n">
        <v>1623620.674</v>
      </c>
      <c r="N1108" s="45" t="n">
        <v>1619999.9999</v>
      </c>
      <c r="O1108" s="45" t="n">
        <v>601340.988</v>
      </c>
      <c r="P1108" s="45" t="n">
        <v>599999.9976</v>
      </c>
      <c r="Q1108" s="45" t="n">
        <v>253072.762</v>
      </c>
      <c r="R1108" s="45" t="n">
        <v>252508.40974</v>
      </c>
      <c r="S1108" s="45" t="n">
        <v>3581034.424</v>
      </c>
      <c r="T1108" s="45" t="n">
        <v>3573052.85724</v>
      </c>
      <c r="U1108" s="15" t="n">
        <v>8.67</v>
      </c>
      <c r="V1108" s="15" t="n">
        <v>18.09</v>
      </c>
      <c r="W1108" s="49" t="n">
        <v>99.777</v>
      </c>
    </row>
    <row r="1109">
      <c r="A1109" s="44" t="inlineStr">
        <is>
          <t>TL Cinsi Sabit Faizli Kuponlu Senetler</t>
        </is>
      </c>
      <c r="B1109" s="44" t="n">
        <v>2021</v>
      </c>
      <c r="C1109" s="44" t="inlineStr">
        <is>
          <t>TRT020926T17</t>
        </is>
      </c>
      <c r="D1109" s="44" t="inlineStr">
        <is>
          <t>06.10.2021</t>
        </is>
      </c>
      <c r="E1109" s="44" t="inlineStr">
        <is>
          <t>02.09.2026</t>
        </is>
      </c>
      <c r="F1109" s="44" t="n">
        <v>1792</v>
      </c>
      <c r="G1109" s="44" t="inlineStr">
        <is>
          <t>6 ay</t>
        </is>
      </c>
      <c r="H1109" s="15" t="n">
        <v>8.449999999999999</v>
      </c>
      <c r="I1109" s="45" t="n">
        <v>4851000</v>
      </c>
      <c r="J1109" s="45" t="n">
        <v>4713010.85</v>
      </c>
      <c r="K1109" s="45" t="n">
        <v>2355000</v>
      </c>
      <c r="L1109" s="45" t="n">
        <v>2293272.55</v>
      </c>
      <c r="M1109" s="45" t="n">
        <v>1026915.454</v>
      </c>
      <c r="N1109" s="45" t="n">
        <v>999999.99995</v>
      </c>
      <c r="O1109" s="45" t="n">
        <v>1334990.088</v>
      </c>
      <c r="P1109" s="45" t="n">
        <v>1299999.99779</v>
      </c>
      <c r="Q1109" s="45" t="inlineStr">
        <is>
          <t>-</t>
        </is>
      </c>
      <c r="R1109" s="45" t="inlineStr">
        <is>
          <t>-</t>
        </is>
      </c>
      <c r="S1109" s="45" t="n">
        <v>4716905.541999999</v>
      </c>
      <c r="T1109" s="45" t="n">
        <v>4593272.547739999</v>
      </c>
      <c r="U1109" s="15" t="n">
        <v>9.06</v>
      </c>
      <c r="V1109" s="15" t="n">
        <v>18.94</v>
      </c>
      <c r="W1109" s="49" t="n">
        <v>97.379</v>
      </c>
    </row>
    <row r="1110">
      <c r="A1110" s="44" t="inlineStr">
        <is>
          <t>TL Cinsi Sabit Faizli Kuponlu Senetler</t>
        </is>
      </c>
      <c r="B1110" s="44" t="n">
        <v>2021</v>
      </c>
      <c r="C1110" s="44" t="inlineStr">
        <is>
          <t>TRT200923T18</t>
        </is>
      </c>
      <c r="D1110" s="44" t="inlineStr">
        <is>
          <t>20.10.2021</t>
        </is>
      </c>
      <c r="E1110" s="44" t="inlineStr">
        <is>
          <t>20.09.2023</t>
        </is>
      </c>
      <c r="F1110" s="44" t="n">
        <v>700</v>
      </c>
      <c r="G1110" s="44" t="inlineStr">
        <is>
          <t>6 ay</t>
        </is>
      </c>
      <c r="H1110" s="15" t="n">
        <v>8.6</v>
      </c>
      <c r="I1110" s="45" t="n">
        <v>2175001</v>
      </c>
      <c r="J1110" s="45" t="n">
        <v>2167073.05</v>
      </c>
      <c r="K1110" s="45" t="n">
        <v>1150001</v>
      </c>
      <c r="L1110" s="45" t="n">
        <v>1148261</v>
      </c>
      <c r="M1110" s="45" t="n">
        <v>4406654.046</v>
      </c>
      <c r="N1110" s="45" t="n">
        <v>4399999.99839</v>
      </c>
      <c r="O1110" s="45" t="n">
        <v>1352041.579</v>
      </c>
      <c r="P1110" s="45" t="n">
        <v>1349999.99621</v>
      </c>
      <c r="Q1110" s="45" t="n">
        <v>97541.31200000001</v>
      </c>
      <c r="R1110" s="45" t="n">
        <v>97394.02462</v>
      </c>
      <c r="S1110" s="45" t="n">
        <v>7006237.937</v>
      </c>
      <c r="T1110" s="45" t="n">
        <v>6995655.01922</v>
      </c>
      <c r="U1110" s="15" t="n">
        <v>9.06</v>
      </c>
      <c r="V1110" s="15" t="n">
        <v>18.93</v>
      </c>
      <c r="W1110" s="49" t="n">
        <v>99.849</v>
      </c>
    </row>
    <row r="1111">
      <c r="A1111" s="44" t="inlineStr">
        <is>
          <t>TL Cinsi Sabit Faizli Kuponlu Senetler</t>
        </is>
      </c>
      <c r="B1111" s="44" t="n">
        <v>2021</v>
      </c>
      <c r="C1111" s="44" t="inlineStr">
        <is>
          <t>TRT020926T17</t>
        </is>
      </c>
      <c r="D1111" s="44" t="inlineStr">
        <is>
          <t>10.11.2021</t>
        </is>
      </c>
      <c r="E1111" s="44" t="inlineStr">
        <is>
          <t>02.09.2026</t>
        </is>
      </c>
      <c r="F1111" s="44" t="n">
        <v>1757</v>
      </c>
      <c r="G1111" s="44" t="inlineStr">
        <is>
          <t>6 ay</t>
        </is>
      </c>
      <c r="H1111" s="15" t="n">
        <v>8.449999999999999</v>
      </c>
      <c r="I1111" s="45" t="n">
        <v>4266000</v>
      </c>
      <c r="J1111" s="45" t="n">
        <v>4157843.34</v>
      </c>
      <c r="K1111" s="45" t="n">
        <v>2711000</v>
      </c>
      <c r="L1111" s="45" t="n">
        <v>2646729.19</v>
      </c>
      <c r="M1111" s="45" t="n">
        <v>153642.872</v>
      </c>
      <c r="N1111" s="45" t="n">
        <v>149999.9995</v>
      </c>
      <c r="O1111" s="45" t="n">
        <v>870642.939</v>
      </c>
      <c r="P1111" s="45" t="n">
        <v>849999.9949</v>
      </c>
      <c r="Q1111" s="45" t="n">
        <v>486346.658</v>
      </c>
      <c r="R1111" s="45" t="n">
        <v>474815.37873</v>
      </c>
      <c r="S1111" s="45" t="n">
        <v>4221632.469</v>
      </c>
      <c r="T1111" s="45" t="n">
        <v>4121544.56313</v>
      </c>
      <c r="U1111" s="15" t="n">
        <v>9.289999999999999</v>
      </c>
      <c r="V1111" s="15" t="n">
        <v>19.44</v>
      </c>
      <c r="W1111" s="49" t="n">
        <v>97.629</v>
      </c>
    </row>
    <row r="1112">
      <c r="A1112" s="44" t="inlineStr">
        <is>
          <t>TL Cinsi Sabit Faizli Kuponlu Senetler</t>
        </is>
      </c>
      <c r="B1112" s="44" t="n">
        <v>2021</v>
      </c>
      <c r="C1112" s="44" t="inlineStr">
        <is>
          <t>TRT200923T18</t>
        </is>
      </c>
      <c r="D1112" s="44" t="inlineStr">
        <is>
          <t>24.11.2021</t>
        </is>
      </c>
      <c r="E1112" s="44" t="inlineStr">
        <is>
          <t>20.09.2023</t>
        </is>
      </c>
      <c r="F1112" s="44" t="n">
        <v>665</v>
      </c>
      <c r="G1112" s="44" t="inlineStr">
        <is>
          <t>6 ay</t>
        </is>
      </c>
      <c r="H1112" s="15" t="n">
        <v>8.6</v>
      </c>
      <c r="I1112" s="45" t="n">
        <v>2184114.66</v>
      </c>
      <c r="J1112" s="45" t="n">
        <v>2152083.27518</v>
      </c>
      <c r="K1112" s="45" t="n">
        <v>625101.401</v>
      </c>
      <c r="L1112" s="45" t="n">
        <v>619275.6706</v>
      </c>
      <c r="M1112" s="45" t="n">
        <v>580409.414</v>
      </c>
      <c r="N1112" s="45" t="n">
        <v>574999.99826</v>
      </c>
      <c r="O1112" s="45" t="n">
        <v>428998.262</v>
      </c>
      <c r="P1112" s="45" t="n">
        <v>424999.99821</v>
      </c>
      <c r="Q1112" s="45" t="inlineStr">
        <is>
          <t>-</t>
        </is>
      </c>
      <c r="R1112" s="45" t="inlineStr">
        <is>
          <t>-</t>
        </is>
      </c>
      <c r="S1112" s="45" t="n">
        <v>1634509.077</v>
      </c>
      <c r="T1112" s="45" t="n">
        <v>1619275.66707</v>
      </c>
      <c r="U1112" s="15" t="n">
        <v>9.9</v>
      </c>
      <c r="V1112" s="15" t="n">
        <v>20.77</v>
      </c>
      <c r="W1112" s="49" t="n">
        <v>99.068</v>
      </c>
    </row>
    <row r="1113">
      <c r="A1113" s="44" t="inlineStr">
        <is>
          <t>TL Cinsi Sabit Faizli Kuponlu Senetler</t>
        </is>
      </c>
      <c r="B1113" s="44" t="n">
        <v>2021</v>
      </c>
      <c r="C1113" s="44" t="inlineStr">
        <is>
          <t>TRT020926T17</t>
        </is>
      </c>
      <c r="D1113" s="44" t="inlineStr">
        <is>
          <t>08.12.2021</t>
        </is>
      </c>
      <c r="E1113" s="44" t="inlineStr">
        <is>
          <t>02.09.2026</t>
        </is>
      </c>
      <c r="F1113" s="44" t="n">
        <v>1729</v>
      </c>
      <c r="G1113" s="44" t="inlineStr">
        <is>
          <t>6 ay</t>
        </is>
      </c>
      <c r="H1113" s="15" t="n">
        <v>8.449999999999999</v>
      </c>
      <c r="I1113" s="45" t="n">
        <v>1290003</v>
      </c>
      <c r="J1113" s="45" t="n">
        <v>1166794.53</v>
      </c>
      <c r="K1113" s="45" t="n">
        <v>647001</v>
      </c>
      <c r="L1113" s="45" t="n">
        <v>586953.4399999999</v>
      </c>
      <c r="M1113" s="45" t="n">
        <v>165345.737</v>
      </c>
      <c r="N1113" s="45" t="n">
        <v>149999.99915</v>
      </c>
      <c r="O1113" s="45" t="n">
        <v>551152.456</v>
      </c>
      <c r="P1113" s="45" t="n">
        <v>499999.99656</v>
      </c>
      <c r="Q1113" s="45" t="n">
        <v>50022.817</v>
      </c>
      <c r="R1113" s="45" t="n">
        <v>45380.19935</v>
      </c>
      <c r="S1113" s="45" t="n">
        <v>1413522.01</v>
      </c>
      <c r="T1113" s="45" t="n">
        <v>1282333.63506</v>
      </c>
      <c r="U1113" s="15" t="n">
        <v>10.77</v>
      </c>
      <c r="V1113" s="15" t="n">
        <v>22.7</v>
      </c>
      <c r="W1113" s="49" t="n">
        <v>90.71899999999999</v>
      </c>
    </row>
    <row r="1114">
      <c r="A1114" s="44" t="inlineStr">
        <is>
          <t>TL Cinsi Sabit Faizli Kuponlu Senetler</t>
        </is>
      </c>
      <c r="B1114" s="44" t="n">
        <v>2021</v>
      </c>
      <c r="C1114" s="44" t="inlineStr">
        <is>
          <t>TRT200923T18</t>
        </is>
      </c>
      <c r="D1114" s="44" t="inlineStr">
        <is>
          <t>15.12.2021</t>
        </is>
      </c>
      <c r="E1114" s="44" t="inlineStr">
        <is>
          <t>20.09.2023</t>
        </is>
      </c>
      <c r="F1114" s="44" t="n">
        <v>644</v>
      </c>
      <c r="G1114" s="44" t="inlineStr">
        <is>
          <t>6 ay</t>
        </is>
      </c>
      <c r="H1114" s="15" t="n">
        <v>8.6</v>
      </c>
      <c r="I1114" s="45" t="n">
        <v>1322007.128</v>
      </c>
      <c r="J1114" s="45" t="n">
        <v>1306480.89412</v>
      </c>
      <c r="K1114" s="45" t="n">
        <v>576000</v>
      </c>
      <c r="L1114" s="45" t="n">
        <v>572536.29</v>
      </c>
      <c r="M1114" s="45" t="n">
        <v>1131802.13</v>
      </c>
      <c r="N1114" s="45" t="n">
        <v>1124999.9992</v>
      </c>
      <c r="O1114" s="45" t="n">
        <v>326965.057</v>
      </c>
      <c r="P1114" s="45" t="n">
        <v>324999.99701</v>
      </c>
      <c r="Q1114" s="45" t="inlineStr">
        <is>
          <t>-</t>
        </is>
      </c>
      <c r="R1114" s="45" t="inlineStr">
        <is>
          <t>-</t>
        </is>
      </c>
      <c r="S1114" s="45" t="n">
        <v>2034767.187</v>
      </c>
      <c r="T1114" s="45" t="n">
        <v>2022536.28621</v>
      </c>
      <c r="U1114" s="15" t="n">
        <v>10.17</v>
      </c>
      <c r="V1114" s="15" t="n">
        <v>21.36</v>
      </c>
      <c r="W1114" s="49" t="n">
        <v>99.399</v>
      </c>
    </row>
    <row r="1115">
      <c r="A1115" s="44" t="inlineStr">
        <is>
          <t>TL Cinsi Sabit Faizli Kuponlu Senetler</t>
        </is>
      </c>
      <c r="B1115" s="44" t="n">
        <v>2020</v>
      </c>
      <c r="C1115" s="44" t="inlineStr">
        <is>
          <t>TRT201021T25</t>
        </is>
      </c>
      <c r="D1115" s="44" t="inlineStr">
        <is>
          <t>29.01.2020</t>
        </is>
      </c>
      <c r="E1115" s="44" t="inlineStr">
        <is>
          <t>20.10.2021</t>
        </is>
      </c>
      <c r="F1115" s="44" t="n">
        <v>630</v>
      </c>
      <c r="G1115" s="44" t="inlineStr">
        <is>
          <t>6 ay</t>
        </is>
      </c>
      <c r="H1115" s="15" t="n">
        <v>6.9</v>
      </c>
      <c r="I1115" s="45" t="n">
        <v>3465000</v>
      </c>
      <c r="J1115" s="45" t="n">
        <v>3798562.77</v>
      </c>
      <c r="K1115" s="45" t="n">
        <v>1994000</v>
      </c>
      <c r="L1115" s="45" t="n">
        <v>2189787.17</v>
      </c>
      <c r="M1115" s="45" t="n">
        <v>409765.158</v>
      </c>
      <c r="N1115" s="45" t="n">
        <v>449999.99886</v>
      </c>
      <c r="O1115" s="45" t="n">
        <v>682941.929</v>
      </c>
      <c r="P1115" s="45" t="n">
        <v>749999.997</v>
      </c>
      <c r="Q1115" s="45" t="n">
        <v>146741.829</v>
      </c>
      <c r="R1115" s="45" t="n">
        <v>161150.40919</v>
      </c>
      <c r="S1115" s="45" t="n">
        <v>3233448.916</v>
      </c>
      <c r="T1115" s="45" t="n">
        <v>3550937.57505</v>
      </c>
      <c r="U1115" s="15" t="n">
        <v>4.93</v>
      </c>
      <c r="V1115" s="15" t="n">
        <v>10.09</v>
      </c>
      <c r="W1115" s="49" t="n">
        <v>109.819</v>
      </c>
    </row>
    <row r="1116">
      <c r="A1116" s="44" t="inlineStr">
        <is>
          <t>TL Cinsi Sabit Faizli Kuponlu Senetler</t>
        </is>
      </c>
      <c r="B1116" s="44" t="n">
        <v>2020</v>
      </c>
      <c r="C1116" s="44" t="inlineStr">
        <is>
          <t>TRT201021T25</t>
        </is>
      </c>
      <c r="D1116" s="44" t="inlineStr">
        <is>
          <t>26.02.2020</t>
        </is>
      </c>
      <c r="E1116" s="44" t="inlineStr">
        <is>
          <t>20.10.2021</t>
        </is>
      </c>
      <c r="F1116" s="44" t="n">
        <v>602</v>
      </c>
      <c r="G1116" s="44" t="inlineStr">
        <is>
          <t>6 ay</t>
        </is>
      </c>
      <c r="H1116" s="15" t="n">
        <v>6.9</v>
      </c>
      <c r="I1116" s="45" t="n">
        <v>3477500</v>
      </c>
      <c r="J1116" s="45" t="n">
        <v>3750577.545</v>
      </c>
      <c r="K1116" s="45" t="n">
        <v>1258000</v>
      </c>
      <c r="L1116" s="45" t="n">
        <v>1359900.8</v>
      </c>
      <c r="M1116" s="45" t="n">
        <v>1017576.318</v>
      </c>
      <c r="N1116" s="45" t="n">
        <v>1099999.99976</v>
      </c>
      <c r="O1116" s="45" t="n">
        <v>740055.501</v>
      </c>
      <c r="P1116" s="45" t="n">
        <v>799999.99657</v>
      </c>
      <c r="Q1116" s="45" t="n">
        <v>0</v>
      </c>
      <c r="R1116" s="45" t="n">
        <v>0</v>
      </c>
      <c r="S1116" s="45" t="n">
        <v>3015631.819</v>
      </c>
      <c r="T1116" s="45" t="n">
        <v>3259900.79633</v>
      </c>
      <c r="U1116" s="15" t="n">
        <v>5.75</v>
      </c>
      <c r="V1116" s="15" t="n">
        <v>11.84</v>
      </c>
      <c r="W1116" s="49" t="n">
        <v>108.1</v>
      </c>
    </row>
    <row r="1117">
      <c r="A1117" s="44" t="inlineStr">
        <is>
          <t>TL Cinsi Sabit Faizli Kuponlu Senetler</t>
        </is>
      </c>
      <c r="B1117" s="44" t="n">
        <v>2020</v>
      </c>
      <c r="C1117" s="44" t="inlineStr">
        <is>
          <t>TRT201021T25</t>
        </is>
      </c>
      <c r="D1117" s="44" t="inlineStr">
        <is>
          <t>25.03.2020</t>
        </is>
      </c>
      <c r="E1117" s="44" t="inlineStr">
        <is>
          <t>20.10.2021</t>
        </is>
      </c>
      <c r="F1117" s="44" t="n">
        <v>574</v>
      </c>
      <c r="G1117" s="44" t="inlineStr">
        <is>
          <t>6 ay</t>
        </is>
      </c>
      <c r="H1117" s="15" t="n">
        <v>6.9</v>
      </c>
      <c r="I1117" s="45" t="n">
        <v>2310000</v>
      </c>
      <c r="J1117" s="45" t="n">
        <v>2541215.94</v>
      </c>
      <c r="K1117" s="45" t="n">
        <v>1458000</v>
      </c>
      <c r="L1117" s="45" t="n">
        <v>1607768.28</v>
      </c>
      <c r="M1117" s="45" t="n">
        <v>1995066.744</v>
      </c>
      <c r="N1117" s="45" t="n">
        <v>2199999.99994</v>
      </c>
      <c r="O1117" s="45" t="n">
        <v>906848.519</v>
      </c>
      <c r="P1117" s="45" t="n">
        <v>999999.99889</v>
      </c>
      <c r="Q1117" s="45" t="n">
        <v>0</v>
      </c>
      <c r="R1117" s="45" t="n">
        <v>0</v>
      </c>
      <c r="S1117" s="45" t="n">
        <v>4359915.263</v>
      </c>
      <c r="T1117" s="45" t="n">
        <v>4807768.27883</v>
      </c>
      <c r="U1117" s="15" t="n">
        <v>5.33</v>
      </c>
      <c r="V1117" s="15" t="n">
        <v>10.94</v>
      </c>
      <c r="W1117" s="49" t="n">
        <v>110.272</v>
      </c>
    </row>
    <row r="1118">
      <c r="A1118" s="44" t="inlineStr">
        <is>
          <t>TL Cinsi Sabit Faizli Kuponlu Senetler</t>
        </is>
      </c>
      <c r="B1118" s="44" t="n">
        <v>2020</v>
      </c>
      <c r="C1118" s="44" t="inlineStr">
        <is>
          <t>TRT201021T25</t>
        </is>
      </c>
      <c r="D1118" s="44" t="inlineStr">
        <is>
          <t>29.04.2020</t>
        </is>
      </c>
      <c r="E1118" s="44" t="inlineStr">
        <is>
          <t>20.10.2021</t>
        </is>
      </c>
      <c r="F1118" s="44" t="n">
        <v>539</v>
      </c>
      <c r="G1118" s="44" t="inlineStr">
        <is>
          <t>6 ay</t>
        </is>
      </c>
      <c r="H1118" s="15" t="n">
        <v>6.9</v>
      </c>
      <c r="I1118" s="45" t="n">
        <v>3256000</v>
      </c>
      <c r="J1118" s="45" t="n">
        <v>3485329.87</v>
      </c>
      <c r="K1118" s="45" t="n">
        <v>1945000</v>
      </c>
      <c r="L1118" s="45" t="n">
        <v>2083117.18</v>
      </c>
      <c r="M1118" s="45" t="n">
        <v>280109.429</v>
      </c>
      <c r="N1118" s="45" t="n">
        <v>299999.99955</v>
      </c>
      <c r="O1118" s="45" t="n">
        <v>933698.096</v>
      </c>
      <c r="P1118" s="45" t="n">
        <v>999999.99781</v>
      </c>
      <c r="Q1118" s="45" t="n">
        <v>0</v>
      </c>
      <c r="R1118" s="45" t="n">
        <v>0</v>
      </c>
      <c r="S1118" s="45" t="n">
        <v>3158807.525</v>
      </c>
      <c r="T1118" s="45" t="n">
        <v>3383117.17736</v>
      </c>
      <c r="U1118" s="15" t="n">
        <v>4.39</v>
      </c>
      <c r="V1118" s="15" t="n">
        <v>8.970000000000001</v>
      </c>
      <c r="W1118" s="49" t="n">
        <v>107.101</v>
      </c>
    </row>
    <row r="1119">
      <c r="A1119" s="44" t="inlineStr">
        <is>
          <t>TL Cinsi Sabit Faizli Kuponlu Senetler</t>
        </is>
      </c>
      <c r="B1119" s="44" t="n">
        <v>2020</v>
      </c>
      <c r="C1119" s="44" t="inlineStr">
        <is>
          <t>TRT040522T13</t>
        </is>
      </c>
      <c r="D1119" s="44" t="inlineStr">
        <is>
          <t>06.05.2020</t>
        </is>
      </c>
      <c r="E1119" s="44" t="inlineStr">
        <is>
          <t>04.05.2022</t>
        </is>
      </c>
      <c r="F1119" s="44" t="n">
        <v>728</v>
      </c>
      <c r="G1119" s="44" t="inlineStr">
        <is>
          <t>6 ay</t>
        </is>
      </c>
      <c r="H1119" s="15" t="n">
        <v>4.5</v>
      </c>
      <c r="I1119" s="45" t="n">
        <v>7990000</v>
      </c>
      <c r="J1119" s="45" t="n">
        <v>7914431.68</v>
      </c>
      <c r="K1119" s="45" t="n">
        <v>3335000</v>
      </c>
      <c r="L1119" s="45" t="n">
        <v>3309273.3</v>
      </c>
      <c r="M1119" s="45" t="n">
        <v>0</v>
      </c>
      <c r="N1119" s="45" t="n">
        <v>0</v>
      </c>
      <c r="O1119" s="45" t="n">
        <v>4031079.62</v>
      </c>
      <c r="P1119" s="45" t="n">
        <v>3999999.99613</v>
      </c>
      <c r="Q1119" s="45" t="n">
        <v>0</v>
      </c>
      <c r="R1119" s="45" t="n">
        <v>0</v>
      </c>
      <c r="S1119" s="45" t="n">
        <v>7366079.62</v>
      </c>
      <c r="T1119" s="45" t="n">
        <v>7309273.29613</v>
      </c>
      <c r="U1119" s="15" t="n">
        <v>4.72</v>
      </c>
      <c r="V1119" s="15" t="n">
        <v>9.65</v>
      </c>
      <c r="W1119" s="49" t="n">
        <v>99.229</v>
      </c>
    </row>
    <row r="1120">
      <c r="A1120" s="44" t="inlineStr">
        <is>
          <t>TL Cinsi Sabit Faizli Kuponlu Senetler</t>
        </is>
      </c>
      <c r="B1120" s="44" t="n">
        <v>2020</v>
      </c>
      <c r="C1120" s="44" t="inlineStr">
        <is>
          <t>TRT220921T18</t>
        </is>
      </c>
      <c r="D1120" s="44" t="inlineStr">
        <is>
          <t>13.05.2020</t>
        </is>
      </c>
      <c r="E1120" s="44" t="inlineStr">
        <is>
          <t>22.09.2021</t>
        </is>
      </c>
      <c r="F1120" s="44" t="n">
        <v>497</v>
      </c>
      <c r="G1120" s="44" t="inlineStr">
        <is>
          <t>6 ay</t>
        </is>
      </c>
      <c r="H1120" s="15" t="n">
        <v>4.6</v>
      </c>
      <c r="I1120" s="45" t="n">
        <v>2175200</v>
      </c>
      <c r="J1120" s="45" t="n">
        <v>2214196.19</v>
      </c>
      <c r="K1120" s="45" t="n">
        <v>1045000</v>
      </c>
      <c r="L1120" s="45" t="n">
        <v>1064185.45</v>
      </c>
      <c r="M1120" s="45" t="n">
        <v>196394.202</v>
      </c>
      <c r="N1120" s="45" t="n">
        <v>199999.99955</v>
      </c>
      <c r="O1120" s="45" t="n">
        <v>1276562.314</v>
      </c>
      <c r="P1120" s="45" t="n">
        <v>1299999.9981</v>
      </c>
      <c r="Q1120" s="45" t="n">
        <v>0</v>
      </c>
      <c r="R1120" s="45" t="n">
        <v>0</v>
      </c>
      <c r="S1120" s="45" t="n">
        <v>2517956.516</v>
      </c>
      <c r="T1120" s="45" t="n">
        <v>2564185.44765</v>
      </c>
      <c r="U1120" s="15" t="n">
        <v>4.36</v>
      </c>
      <c r="V1120" s="15" t="n">
        <v>8.9</v>
      </c>
      <c r="W1120" s="49" t="n">
        <v>101.836</v>
      </c>
    </row>
    <row r="1121">
      <c r="A1121" s="44" t="inlineStr">
        <is>
          <t>TL Cinsi Sabit Faizli Kuponlu Senetler</t>
        </is>
      </c>
      <c r="B1121" s="44" t="n">
        <v>2020</v>
      </c>
      <c r="C1121" s="44" t="inlineStr">
        <is>
          <t>TRT040522T13</t>
        </is>
      </c>
      <c r="D1121" s="44" t="inlineStr">
        <is>
          <t>10.06.2020</t>
        </is>
      </c>
      <c r="E1121" s="44" t="inlineStr">
        <is>
          <t>04.05.2022</t>
        </is>
      </c>
      <c r="F1121" s="44" t="n">
        <v>693</v>
      </c>
      <c r="G1121" s="44" t="inlineStr">
        <is>
          <t>6 ay</t>
        </is>
      </c>
      <c r="H1121" s="15" t="n">
        <v>4.5</v>
      </c>
      <c r="I1121" s="45" t="n">
        <v>3676000</v>
      </c>
      <c r="J1121" s="45" t="n">
        <v>3698729.55</v>
      </c>
      <c r="K1121" s="45" t="n">
        <v>1511000</v>
      </c>
      <c r="L1121" s="45" t="n">
        <v>1523414.5</v>
      </c>
      <c r="M1121" s="45" t="n">
        <v>297554.105</v>
      </c>
      <c r="N1121" s="45" t="n">
        <v>299999.99974</v>
      </c>
      <c r="O1121" s="45" t="n">
        <v>1388585.821</v>
      </c>
      <c r="P1121" s="45" t="n">
        <v>1399999.99646</v>
      </c>
      <c r="Q1121" s="45" t="n">
        <v>0</v>
      </c>
      <c r="R1121" s="45" t="n">
        <v>0</v>
      </c>
      <c r="S1121" s="45" t="n">
        <v>3197139.926</v>
      </c>
      <c r="T1121" s="45" t="n">
        <v>3223414.4962</v>
      </c>
      <c r="U1121" s="15" t="n">
        <v>4.51</v>
      </c>
      <c r="V1121" s="15" t="n">
        <v>9.220000000000001</v>
      </c>
      <c r="W1121" s="49" t="n">
        <v>100.822</v>
      </c>
    </row>
    <row r="1122">
      <c r="A1122" s="44" t="inlineStr">
        <is>
          <t>TL Cinsi Sabit Faizli Kuponlu Senetler</t>
        </is>
      </c>
      <c r="B1122" s="44" t="n">
        <v>2020</v>
      </c>
      <c r="C1122" s="44" t="inlineStr">
        <is>
          <t>TRT180123T10</t>
        </is>
      </c>
      <c r="D1122" s="44" t="inlineStr">
        <is>
          <t>24.06.2020</t>
        </is>
      </c>
      <c r="E1122" s="44" t="inlineStr">
        <is>
          <t>18.01.2023</t>
        </is>
      </c>
      <c r="F1122" s="44" t="n">
        <v>938</v>
      </c>
      <c r="G1122" s="44" t="inlineStr">
        <is>
          <t>6 ay</t>
        </is>
      </c>
      <c r="H1122" s="15" t="n">
        <v>6.1</v>
      </c>
      <c r="I1122" s="45" t="n">
        <v>3405000</v>
      </c>
      <c r="J1122" s="45" t="n">
        <v>3774406.25</v>
      </c>
      <c r="K1122" s="45" t="n">
        <v>1385000</v>
      </c>
      <c r="L1122" s="45" t="n">
        <v>1540607.95</v>
      </c>
      <c r="M1122" s="45" t="n">
        <v>134849.642</v>
      </c>
      <c r="N1122" s="45" t="n">
        <v>149999.99928</v>
      </c>
      <c r="O1122" s="45" t="n">
        <v>1663145.588</v>
      </c>
      <c r="P1122" s="45" t="n">
        <v>1849999.99481</v>
      </c>
      <c r="Q1122" s="45" t="n">
        <v>0</v>
      </c>
      <c r="R1122" s="45" t="n">
        <v>0</v>
      </c>
      <c r="S1122" s="45" t="n">
        <v>3182995.23</v>
      </c>
      <c r="T1122" s="45" t="n">
        <v>3540607.94409</v>
      </c>
      <c r="U1122" s="15" t="n">
        <v>4.74</v>
      </c>
      <c r="V1122" s="15" t="n">
        <v>9.699999999999999</v>
      </c>
      <c r="W1122" s="49" t="n">
        <v>111.235</v>
      </c>
    </row>
    <row r="1123">
      <c r="A1123" s="44" t="inlineStr">
        <is>
          <t>TL Cinsi Sabit Faizli Kuponlu Senetler</t>
        </is>
      </c>
      <c r="B1123" s="44" t="n">
        <v>2020</v>
      </c>
      <c r="C1123" s="44" t="inlineStr">
        <is>
          <t>TRT040522T13</t>
        </is>
      </c>
      <c r="D1123" s="44" t="inlineStr">
        <is>
          <t>08.07.2020</t>
        </is>
      </c>
      <c r="E1123" s="44" t="inlineStr">
        <is>
          <t>04.05.2022</t>
        </is>
      </c>
      <c r="F1123" s="44" t="n">
        <v>665</v>
      </c>
      <c r="G1123" s="44" t="inlineStr">
        <is>
          <t>6 ay</t>
        </is>
      </c>
      <c r="H1123" s="15" t="n">
        <v>4.5</v>
      </c>
      <c r="I1123" s="45" t="n">
        <v>3914000</v>
      </c>
      <c r="J1123" s="45" t="n">
        <v>3935028.24</v>
      </c>
      <c r="K1123" s="45" t="n">
        <v>1694000</v>
      </c>
      <c r="L1123" s="45" t="n">
        <v>1706180.74</v>
      </c>
      <c r="M1123" s="45" t="n">
        <v>446787.597</v>
      </c>
      <c r="N1123" s="45" t="n">
        <v>449999.99982</v>
      </c>
      <c r="O1123" s="45" t="n">
        <v>1191433.59</v>
      </c>
      <c r="P1123" s="45" t="n">
        <v>1199999.99752</v>
      </c>
      <c r="Q1123" s="45" t="n">
        <v>0</v>
      </c>
      <c r="R1123" s="45" t="n">
        <v>0</v>
      </c>
      <c r="S1123" s="45" t="n">
        <v>3332221.187</v>
      </c>
      <c r="T1123" s="45" t="n">
        <v>3356180.73734</v>
      </c>
      <c r="U1123" s="15" t="n">
        <v>4.75</v>
      </c>
      <c r="V1123" s="15" t="n">
        <v>9.720000000000001</v>
      </c>
      <c r="W1123" s="49" t="n">
        <v>100.719</v>
      </c>
    </row>
    <row r="1124">
      <c r="A1124" s="44" t="inlineStr">
        <is>
          <t>TL Cinsi Sabit Faizli Kuponlu Senetler</t>
        </is>
      </c>
      <c r="B1124" s="44" t="n">
        <v>2020</v>
      </c>
      <c r="C1124" s="44" t="inlineStr">
        <is>
          <t>TRT180123T10</t>
        </is>
      </c>
      <c r="D1124" s="44" t="inlineStr">
        <is>
          <t>22.07.2020</t>
        </is>
      </c>
      <c r="E1124" s="44" t="inlineStr">
        <is>
          <t>18.01.2023</t>
        </is>
      </c>
      <c r="F1124" s="44" t="n">
        <v>910</v>
      </c>
      <c r="G1124" s="44" t="inlineStr">
        <is>
          <t>6 ay</t>
        </is>
      </c>
      <c r="H1124" s="15" t="n">
        <v>6.1</v>
      </c>
      <c r="I1124" s="45" t="n">
        <v>2593000</v>
      </c>
      <c r="J1124" s="45" t="n">
        <v>2681974.75</v>
      </c>
      <c r="K1124" s="45" t="n">
        <v>957000</v>
      </c>
      <c r="L1124" s="45" t="n">
        <v>992199.87</v>
      </c>
      <c r="M1124" s="45" t="n">
        <v>0</v>
      </c>
      <c r="N1124" s="45" t="n">
        <v>0</v>
      </c>
      <c r="O1124" s="45" t="n">
        <v>964524.773</v>
      </c>
      <c r="P1124" s="45" t="n">
        <v>999999.99413</v>
      </c>
      <c r="Q1124" s="45" t="n">
        <v>0</v>
      </c>
      <c r="R1124" s="45" t="n">
        <v>0</v>
      </c>
      <c r="S1124" s="45" t="n">
        <v>1921524.773</v>
      </c>
      <c r="T1124" s="45" t="n">
        <v>1992199.86413</v>
      </c>
      <c r="U1124" s="15" t="n">
        <v>5.24</v>
      </c>
      <c r="V1124" s="15" t="n">
        <v>10.76</v>
      </c>
      <c r="W1124" s="49" t="n">
        <v>103.678</v>
      </c>
    </row>
    <row r="1125">
      <c r="A1125" s="44" t="inlineStr">
        <is>
          <t>TL Cinsi Sabit Faizli Kuponlu Senetler</t>
        </is>
      </c>
      <c r="B1125" s="44" t="n">
        <v>2020</v>
      </c>
      <c r="C1125" s="44" t="inlineStr">
        <is>
          <t>TRT040522T13</t>
        </is>
      </c>
      <c r="D1125" s="44" t="inlineStr">
        <is>
          <t>12.08.2020</t>
        </is>
      </c>
      <c r="E1125" s="44" t="inlineStr">
        <is>
          <t>04.05.2022</t>
        </is>
      </c>
      <c r="F1125" s="44" t="n">
        <v>630</v>
      </c>
      <c r="G1125" s="44" t="inlineStr">
        <is>
          <t>6 ay</t>
        </is>
      </c>
      <c r="H1125" s="15" t="n">
        <v>4.5</v>
      </c>
      <c r="I1125" s="45" t="n">
        <v>2366000</v>
      </c>
      <c r="J1125" s="45" t="n">
        <v>2256144.93</v>
      </c>
      <c r="K1125" s="45" t="n">
        <v>787000</v>
      </c>
      <c r="L1125" s="45" t="n">
        <v>751894.26</v>
      </c>
      <c r="M1125" s="45" t="n">
        <v>1360700.865</v>
      </c>
      <c r="N1125" s="45" t="n">
        <v>1299999.99941</v>
      </c>
      <c r="O1125" s="45" t="n">
        <v>732685.078</v>
      </c>
      <c r="P1125" s="45" t="n">
        <v>699999.9966599999</v>
      </c>
      <c r="Q1125" s="45" t="n">
        <v>44831.433</v>
      </c>
      <c r="R1125" s="45" t="n">
        <v>42831.50277</v>
      </c>
      <c r="S1125" s="45" t="n">
        <v>2925217.376</v>
      </c>
      <c r="T1125" s="45" t="n">
        <v>2794725.75884</v>
      </c>
      <c r="U1125" s="15" t="n">
        <v>6.79</v>
      </c>
      <c r="V1125" s="15" t="n">
        <v>14.03</v>
      </c>
      <c r="W1125" s="49" t="n">
        <v>95.539</v>
      </c>
    </row>
    <row r="1126">
      <c r="A1126" s="44" t="inlineStr">
        <is>
          <t>TL Cinsi Sabit Faizli Kuponlu Senetler</t>
        </is>
      </c>
      <c r="B1126" s="44" t="n">
        <v>2020</v>
      </c>
      <c r="C1126" s="44" t="inlineStr">
        <is>
          <t>TRT240724T15</t>
        </is>
      </c>
      <c r="D1126" s="44" t="inlineStr">
        <is>
          <t>26.08.2020</t>
        </is>
      </c>
      <c r="E1126" s="44" t="inlineStr">
        <is>
          <t>24.07.2024</t>
        </is>
      </c>
      <c r="F1126" s="44" t="n">
        <v>1428</v>
      </c>
      <c r="G1126" s="44" t="inlineStr">
        <is>
          <t>6 ay</t>
        </is>
      </c>
      <c r="H1126" s="15" t="n">
        <v>4.5</v>
      </c>
      <c r="I1126" s="45" t="n">
        <v>2236000</v>
      </c>
      <c r="J1126" s="45" t="n">
        <v>1941518.32</v>
      </c>
      <c r="K1126" s="45" t="n">
        <v>899000</v>
      </c>
      <c r="L1126" s="45" t="n">
        <v>782188.8199999999</v>
      </c>
      <c r="M1126" s="45" t="n">
        <v>2574505.499</v>
      </c>
      <c r="N1126" s="45" t="n">
        <v>2239999.99952</v>
      </c>
      <c r="O1126" s="45" t="n">
        <v>747066.325</v>
      </c>
      <c r="P1126" s="45" t="n">
        <v>649999.99739</v>
      </c>
      <c r="Q1126" s="45" t="n">
        <v>0</v>
      </c>
      <c r="R1126" s="45" t="n">
        <v>0</v>
      </c>
      <c r="S1126" s="45" t="n">
        <v>4220571.824</v>
      </c>
      <c r="T1126" s="45" t="n">
        <v>3672188.81691</v>
      </c>
      <c r="U1126" s="15" t="n">
        <v>6.81</v>
      </c>
      <c r="V1126" s="15" t="n">
        <v>14.07</v>
      </c>
      <c r="W1126" s="49" t="n">
        <v>87.00700000000001</v>
      </c>
    </row>
    <row r="1127">
      <c r="A1127" s="44" t="inlineStr">
        <is>
          <t>TL Cinsi Sabit Faizli Kuponlu Senetler</t>
        </is>
      </c>
      <c r="B1127" s="44" t="n">
        <v>2020</v>
      </c>
      <c r="C1127" s="44" t="inlineStr">
        <is>
          <t>TRT040522T13</t>
        </is>
      </c>
      <c r="D1127" s="44" t="inlineStr">
        <is>
          <t>16.09.2020</t>
        </is>
      </c>
      <c r="E1127" s="44" t="inlineStr">
        <is>
          <t>04.05.2022</t>
        </is>
      </c>
      <c r="F1127" s="44" t="n">
        <v>595</v>
      </c>
      <c r="G1127" s="44" t="inlineStr">
        <is>
          <t>6 ay</t>
        </is>
      </c>
      <c r="H1127" s="15" t="n">
        <v>4.5</v>
      </c>
      <c r="I1127" s="45" t="n">
        <v>3494000</v>
      </c>
      <c r="J1127" s="45" t="n">
        <v>3403167.42</v>
      </c>
      <c r="K1127" s="45" t="n">
        <v>758000</v>
      </c>
      <c r="L1127" s="45" t="n">
        <v>740616.27</v>
      </c>
      <c r="M1127" s="45" t="n">
        <v>25586.703</v>
      </c>
      <c r="N1127" s="45" t="n">
        <v>24999.9999</v>
      </c>
      <c r="O1127" s="45" t="n">
        <v>614080.8689999999</v>
      </c>
      <c r="P1127" s="45" t="n">
        <v>599999.99466</v>
      </c>
      <c r="Q1127" s="45" t="n">
        <v>56010.152</v>
      </c>
      <c r="R1127" s="45" t="n">
        <v>54725.83921</v>
      </c>
      <c r="S1127" s="45" t="n">
        <v>1453677.724</v>
      </c>
      <c r="T1127" s="45" t="n">
        <v>1420342.10377</v>
      </c>
      <c r="U1127" s="15" t="n">
        <v>6.44</v>
      </c>
      <c r="V1127" s="15" t="n">
        <v>13.29</v>
      </c>
      <c r="W1127" s="49" t="n">
        <v>97.70699999999999</v>
      </c>
    </row>
    <row r="1128">
      <c r="A1128" s="44" t="inlineStr">
        <is>
          <t>TL Cinsi Sabit Faizli Kuponlu Senetler</t>
        </is>
      </c>
      <c r="B1128" s="44" t="n">
        <v>2020</v>
      </c>
      <c r="C1128" s="44" t="inlineStr">
        <is>
          <t>TRT110226T13</t>
        </is>
      </c>
      <c r="D1128" s="44" t="inlineStr">
        <is>
          <t>23.09.2020</t>
        </is>
      </c>
      <c r="E1128" s="44" t="inlineStr">
        <is>
          <t>11.02.2026</t>
        </is>
      </c>
      <c r="F1128" s="44" t="n">
        <v>1967</v>
      </c>
      <c r="G1128" s="44" t="inlineStr">
        <is>
          <t>6 ay</t>
        </is>
      </c>
      <c r="H1128" s="15" t="n">
        <v>5.3</v>
      </c>
      <c r="I1128" s="45" t="n">
        <v>3337000</v>
      </c>
      <c r="J1128" s="45" t="n">
        <v>2993318</v>
      </c>
      <c r="K1128" s="45" t="n">
        <v>834000</v>
      </c>
      <c r="L1128" s="45" t="n">
        <v>755315</v>
      </c>
      <c r="M1128" s="45" t="n">
        <v>1104179</v>
      </c>
      <c r="N1128" s="45" t="n">
        <v>1000000</v>
      </c>
      <c r="O1128" s="45" t="n">
        <v>828134</v>
      </c>
      <c r="P1128" s="45" t="n">
        <v>750000</v>
      </c>
      <c r="Q1128" s="45" t="inlineStr">
        <is>
          <t xml:space="preserve">               -     </t>
        </is>
      </c>
      <c r="R1128" s="45" t="inlineStr">
        <is>
          <t xml:space="preserve">               -     </t>
        </is>
      </c>
      <c r="S1128" s="45" t="n">
        <v>2766314</v>
      </c>
      <c r="T1128" s="45" t="n">
        <v>2505315</v>
      </c>
      <c r="U1128" s="15" t="n">
        <v>6.69</v>
      </c>
      <c r="V1128" s="15" t="n">
        <v>13.82</v>
      </c>
      <c r="W1128" s="49" t="n">
        <v>90.565</v>
      </c>
    </row>
    <row r="1129">
      <c r="A1129" s="44" t="inlineStr">
        <is>
          <t>TL Cinsi Sabit Faizli Kuponlu Senetler</t>
        </is>
      </c>
      <c r="B1129" s="44" t="n">
        <v>2020</v>
      </c>
      <c r="C1129" s="44" t="inlineStr">
        <is>
          <t>TRT011025T16</t>
        </is>
      </c>
      <c r="D1129" s="44" t="inlineStr">
        <is>
          <t>07.10.2020</t>
        </is>
      </c>
      <c r="E1129" s="44" t="inlineStr">
        <is>
          <t>01.10.2025</t>
        </is>
      </c>
      <c r="F1129" s="44" t="n">
        <v>1820</v>
      </c>
      <c r="G1129" s="44" t="inlineStr">
        <is>
          <t>6 ay</t>
        </is>
      </c>
      <c r="H1129" s="15" t="n">
        <v>6.3</v>
      </c>
      <c r="I1129" s="45" t="n">
        <v>2718000</v>
      </c>
      <c r="J1129" s="45" t="n">
        <v>2709157.28</v>
      </c>
      <c r="K1129" s="45" t="n">
        <v>1749000</v>
      </c>
      <c r="L1129" s="45" t="n">
        <v>1749731.66</v>
      </c>
      <c r="M1129" s="45" t="n">
        <v>499790.088</v>
      </c>
      <c r="N1129" s="45" t="n">
        <v>499999.99984</v>
      </c>
      <c r="O1129" s="45" t="n">
        <v>1499370.26</v>
      </c>
      <c r="P1129" s="45" t="n">
        <v>1499999.99552</v>
      </c>
      <c r="Q1129" s="45" t="n">
        <v>0</v>
      </c>
      <c r="R1129" s="45" t="n">
        <v>0</v>
      </c>
      <c r="S1129" s="45" t="n">
        <v>3748160.348</v>
      </c>
      <c r="T1129" s="45" t="n">
        <v>3749731.65536</v>
      </c>
      <c r="U1129" s="15" t="n">
        <v>6.29</v>
      </c>
      <c r="V1129" s="15" t="n">
        <v>12.98</v>
      </c>
      <c r="W1129" s="49" t="n">
        <v>100.042</v>
      </c>
    </row>
    <row r="1130">
      <c r="A1130" s="44" t="inlineStr">
        <is>
          <t>TL Cinsi Sabit Faizli Kuponlu Senetler</t>
        </is>
      </c>
      <c r="B1130" s="44" t="n">
        <v>2020</v>
      </c>
      <c r="C1130" s="44" t="inlineStr">
        <is>
          <t>TRT040522T13</t>
        </is>
      </c>
      <c r="D1130" s="44" t="inlineStr">
        <is>
          <t>21.10.2020</t>
        </is>
      </c>
      <c r="E1130" s="44" t="inlineStr">
        <is>
          <t>04.05.2022</t>
        </is>
      </c>
      <c r="F1130" s="44" t="n">
        <v>560</v>
      </c>
      <c r="G1130" s="44" t="inlineStr">
        <is>
          <t>6 ay</t>
        </is>
      </c>
      <c r="H1130" s="15" t="n">
        <v>4.5</v>
      </c>
      <c r="I1130" s="45" t="n">
        <v>2775000</v>
      </c>
      <c r="J1130" s="45" t="n">
        <v>2717414.68</v>
      </c>
      <c r="K1130" s="45" t="n">
        <v>1061000</v>
      </c>
      <c r="L1130" s="45" t="n">
        <v>1041244.52</v>
      </c>
      <c r="M1130" s="45" t="n">
        <v>0</v>
      </c>
      <c r="N1130" s="45" t="n">
        <v>0</v>
      </c>
      <c r="O1130" s="45" t="n">
        <v>1273716.599</v>
      </c>
      <c r="P1130" s="45" t="n">
        <v>1249999.99591</v>
      </c>
      <c r="Q1130" s="45" t="n">
        <v>0</v>
      </c>
      <c r="R1130" s="45" t="n">
        <v>0</v>
      </c>
      <c r="S1130" s="45" t="n">
        <v>2334716.599</v>
      </c>
      <c r="T1130" s="45" t="n">
        <v>2291244.51591</v>
      </c>
      <c r="U1130" s="15" t="n">
        <v>6.73</v>
      </c>
      <c r="V1130" s="15" t="n">
        <v>13.9</v>
      </c>
      <c r="W1130" s="49" t="n">
        <v>98.13800000000001</v>
      </c>
    </row>
    <row r="1131">
      <c r="A1131" s="44" t="inlineStr">
        <is>
          <t>TL Cinsi Sabit Faizli Kuponlu Senetler</t>
        </is>
      </c>
      <c r="B1131" s="44" t="n">
        <v>2020</v>
      </c>
      <c r="C1131" s="44" t="inlineStr">
        <is>
          <t>TRT091122T10</t>
        </is>
      </c>
      <c r="D1131" s="44" t="inlineStr">
        <is>
          <t>11.11.2020</t>
        </is>
      </c>
      <c r="E1131" s="44" t="inlineStr">
        <is>
          <t>09.11.2022</t>
        </is>
      </c>
      <c r="F1131" s="44" t="n">
        <v>728</v>
      </c>
      <c r="G1131" s="44" t="inlineStr">
        <is>
          <t>6 ay</t>
        </is>
      </c>
      <c r="H1131" s="15" t="n">
        <v>6.95</v>
      </c>
      <c r="I1131" s="45" t="n">
        <v>2055000</v>
      </c>
      <c r="J1131" s="45" t="n">
        <v>2038550.59</v>
      </c>
      <c r="K1131" s="45" t="n">
        <v>621000</v>
      </c>
      <c r="L1131" s="45" t="n">
        <v>617881.3</v>
      </c>
      <c r="M1131" s="45" t="n">
        <v>222115.017</v>
      </c>
      <c r="N1131" s="45" t="n">
        <v>220999.99961</v>
      </c>
      <c r="O1131" s="45" t="n">
        <v>1005045.323</v>
      </c>
      <c r="P1131" s="45" t="n">
        <v>999999.99549</v>
      </c>
      <c r="Q1131" s="45" t="n">
        <v>0</v>
      </c>
      <c r="R1131" s="45" t="n">
        <v>0</v>
      </c>
      <c r="S1131" s="45" t="n">
        <v>1848160.34</v>
      </c>
      <c r="T1131" s="45" t="n">
        <v>1838881.2951</v>
      </c>
      <c r="U1131" s="15" t="n">
        <v>7.1</v>
      </c>
      <c r="V1131" s="15" t="n">
        <v>14.7</v>
      </c>
      <c r="W1131" s="49" t="n">
        <v>99.498</v>
      </c>
    </row>
    <row r="1132">
      <c r="A1132" s="44" t="inlineStr">
        <is>
          <t>TL Cinsi Sabit Faizli Kuponlu Senetler</t>
        </is>
      </c>
      <c r="B1132" s="44" t="n">
        <v>2020</v>
      </c>
      <c r="C1132" s="44" t="inlineStr">
        <is>
          <t>TRT011025T16</t>
        </is>
      </c>
      <c r="D1132" s="44" t="inlineStr">
        <is>
          <t>11.11.2020</t>
        </is>
      </c>
      <c r="E1132" s="44" t="inlineStr">
        <is>
          <t>01.10.2025</t>
        </is>
      </c>
      <c r="F1132" s="44" t="n">
        <v>1785</v>
      </c>
      <c r="G1132" s="44" t="inlineStr">
        <is>
          <t>6 ay</t>
        </is>
      </c>
      <c r="H1132" s="15" t="n">
        <v>6.3</v>
      </c>
      <c r="I1132" s="45" t="n">
        <v>2067000</v>
      </c>
      <c r="J1132" s="45" t="n">
        <v>2028926.2</v>
      </c>
      <c r="K1132" s="45" t="n">
        <v>472000</v>
      </c>
      <c r="L1132" s="45" t="n">
        <v>466440.1</v>
      </c>
      <c r="M1132" s="45" t="n">
        <v>505960.211</v>
      </c>
      <c r="N1132" s="45" t="n">
        <v>499999.99971</v>
      </c>
      <c r="O1132" s="45" t="n">
        <v>505960.207</v>
      </c>
      <c r="P1132" s="45" t="n">
        <v>499999.99576</v>
      </c>
      <c r="Q1132" s="45" t="n">
        <v>132015.543</v>
      </c>
      <c r="R1132" s="45" t="n">
        <v>130460.3999</v>
      </c>
      <c r="S1132" s="45" t="n">
        <v>1615935.961</v>
      </c>
      <c r="T1132" s="45" t="n">
        <v>1596900.49537</v>
      </c>
      <c r="U1132" s="15" t="n">
        <v>6.63</v>
      </c>
      <c r="V1132" s="15" t="n">
        <v>13.71</v>
      </c>
      <c r="W1132" s="49" t="n">
        <v>98.822</v>
      </c>
    </row>
    <row r="1133">
      <c r="A1133" s="44" t="inlineStr">
        <is>
          <t>TL Cinsi Sabit Faizli Kuponlu Senetler</t>
        </is>
      </c>
      <c r="B1133" s="44" t="n">
        <v>2020</v>
      </c>
      <c r="C1133" s="44" t="inlineStr">
        <is>
          <t>TRT131130T14</t>
        </is>
      </c>
      <c r="D1133" s="44" t="inlineStr">
        <is>
          <t>25.11.2020</t>
        </is>
      </c>
      <c r="E1133" s="44" t="inlineStr">
        <is>
          <t>13.11.2030</t>
        </is>
      </c>
      <c r="F1133" s="44" t="n">
        <v>3640</v>
      </c>
      <c r="G1133" s="44" t="inlineStr">
        <is>
          <t>6 ay</t>
        </is>
      </c>
      <c r="H1133" s="15" t="n">
        <v>5.85</v>
      </c>
      <c r="I1133" s="45" t="n">
        <v>3485323</v>
      </c>
      <c r="J1133" s="45" t="n">
        <v>3388247.84389</v>
      </c>
      <c r="K1133" s="45" t="n">
        <v>1519632</v>
      </c>
      <c r="L1133" s="45" t="n">
        <v>1496964.58767</v>
      </c>
      <c r="M1133" s="45" t="n">
        <v>1101433.385</v>
      </c>
      <c r="N1133" s="45" t="n">
        <v>1084999.99889</v>
      </c>
      <c r="O1133" s="45" t="n">
        <v>1015145.973</v>
      </c>
      <c r="P1133" s="45" t="n">
        <v>999999.99509</v>
      </c>
      <c r="Q1133" s="45" t="n">
        <v>52235.595</v>
      </c>
      <c r="R1133" s="45" t="n">
        <v>51456.23992</v>
      </c>
      <c r="S1133" s="45" t="n">
        <v>3688446.953</v>
      </c>
      <c r="T1133" s="45" t="n">
        <v>3633420.82157</v>
      </c>
      <c r="U1133" s="15" t="n">
        <v>5.98</v>
      </c>
      <c r="V1133" s="15" t="n">
        <v>12.32</v>
      </c>
      <c r="W1133" s="49" t="n">
        <v>98.508</v>
      </c>
    </row>
    <row r="1134">
      <c r="A1134" s="44" t="inlineStr">
        <is>
          <t>TL Cinsi Sabit Faizli Kuponlu Senetler</t>
        </is>
      </c>
      <c r="B1134" s="44" t="n">
        <v>2020</v>
      </c>
      <c r="C1134" s="44" t="inlineStr">
        <is>
          <t>TRT091122T10</t>
        </is>
      </c>
      <c r="D1134" s="44" t="inlineStr">
        <is>
          <t>09.12.2020</t>
        </is>
      </c>
      <c r="E1134" s="44" t="inlineStr">
        <is>
          <t>09.11.2022</t>
        </is>
      </c>
      <c r="F1134" s="44" t="n">
        <v>700</v>
      </c>
      <c r="G1134" s="44" t="inlineStr">
        <is>
          <t>6 ay</t>
        </is>
      </c>
      <c r="H1134" s="15" t="n">
        <v>6.95</v>
      </c>
      <c r="I1134" s="45" t="n">
        <v>1314000</v>
      </c>
      <c r="J1134" s="45" t="n">
        <v>1324012.85</v>
      </c>
      <c r="K1134" s="45" t="n">
        <v>808000</v>
      </c>
      <c r="L1134" s="45" t="n">
        <v>816167.67</v>
      </c>
      <c r="M1134" s="45" t="n">
        <v>0</v>
      </c>
      <c r="N1134" s="45" t="n">
        <v>0</v>
      </c>
      <c r="O1134" s="45" t="n">
        <v>791992.948</v>
      </c>
      <c r="P1134" s="45" t="n">
        <v>799999.9966900001</v>
      </c>
      <c r="Q1134" s="45" t="n">
        <v>0</v>
      </c>
      <c r="R1134" s="45" t="n">
        <v>0</v>
      </c>
      <c r="S1134" s="45" t="n">
        <v>1599992.948</v>
      </c>
      <c r="T1134" s="45" t="n">
        <v>1616167.66669</v>
      </c>
      <c r="U1134" s="15" t="n">
        <v>6.96</v>
      </c>
      <c r="V1134" s="15" t="n">
        <v>14.4</v>
      </c>
      <c r="W1134" s="49" t="n">
        <v>101.011</v>
      </c>
    </row>
    <row r="1135">
      <c r="A1135" s="44" t="inlineStr">
        <is>
          <t>TL Cinsi Sabit Faizli Kuponlu Senetler</t>
        </is>
      </c>
      <c r="B1135" s="44" t="n">
        <v>2020</v>
      </c>
      <c r="C1135" s="44" t="inlineStr">
        <is>
          <t>TRT011025T16</t>
        </is>
      </c>
      <c r="D1135" s="44" t="inlineStr">
        <is>
          <t>09.12.2020</t>
        </is>
      </c>
      <c r="E1135" s="44" t="inlineStr">
        <is>
          <t>01.10.2025</t>
        </is>
      </c>
      <c r="F1135" s="44" t="n">
        <v>1757</v>
      </c>
      <c r="G1135" s="44" t="inlineStr">
        <is>
          <t>6 ay</t>
        </is>
      </c>
      <c r="H1135" s="15" t="n">
        <v>6.3</v>
      </c>
      <c r="I1135" s="45" t="n">
        <v>1415000</v>
      </c>
      <c r="J1135" s="45" t="n">
        <v>1411960.1</v>
      </c>
      <c r="K1135" s="45" t="n">
        <v>940000</v>
      </c>
      <c r="L1135" s="45" t="n">
        <v>940123.75</v>
      </c>
      <c r="M1135" s="45" t="n">
        <v>499935.008</v>
      </c>
      <c r="N1135" s="45" t="n">
        <v>499999.99955</v>
      </c>
      <c r="O1135" s="45" t="n">
        <v>699909.008</v>
      </c>
      <c r="P1135" s="45" t="n">
        <v>699999.99619</v>
      </c>
      <c r="Q1135" s="45" t="n">
        <v>0</v>
      </c>
      <c r="R1135" s="45" t="n">
        <v>0</v>
      </c>
      <c r="S1135" s="45" t="n">
        <v>2139844.016</v>
      </c>
      <c r="T1135" s="45" t="n">
        <v>2140123.74574</v>
      </c>
      <c r="U1135" s="15" t="n">
        <v>6.6</v>
      </c>
      <c r="V1135" s="15" t="n">
        <v>13.64</v>
      </c>
      <c r="W1135" s="49" t="n">
        <v>100.013</v>
      </c>
    </row>
    <row r="1136">
      <c r="A1136" s="44" t="inlineStr">
        <is>
          <t>TL Cinsi Sabit Faizli Kuponlu Senetler</t>
        </is>
      </c>
      <c r="B1136" s="44" t="n">
        <v>2020</v>
      </c>
      <c r="C1136" s="44" t="inlineStr">
        <is>
          <t>TRT131130T14</t>
        </is>
      </c>
      <c r="D1136" s="44" t="inlineStr">
        <is>
          <t>09.12.2020</t>
        </is>
      </c>
      <c r="E1136" s="44" t="inlineStr">
        <is>
          <t>13.11.2030</t>
        </is>
      </c>
      <c r="F1136" s="44" t="n">
        <v>3626</v>
      </c>
      <c r="G1136" s="44" t="inlineStr">
        <is>
          <t>6 ay</t>
        </is>
      </c>
      <c r="H1136" s="15" t="n">
        <v>5.85</v>
      </c>
      <c r="I1136" s="45" t="n">
        <v>2771000</v>
      </c>
      <c r="J1136" s="45" t="n">
        <v>2579307.94</v>
      </c>
      <c r="K1136" s="45" t="n">
        <v>1633000</v>
      </c>
      <c r="L1136" s="45" t="n">
        <v>1542256.45</v>
      </c>
      <c r="M1136" s="45" t="n">
        <v>1058839.723</v>
      </c>
      <c r="N1136" s="45" t="n">
        <v>999999.99959</v>
      </c>
      <c r="O1136" s="45" t="n">
        <v>794129.7879999999</v>
      </c>
      <c r="P1136" s="45" t="n">
        <v>749999.99569</v>
      </c>
      <c r="Q1136" s="45" t="n">
        <v>20079.836</v>
      </c>
      <c r="R1136" s="45" t="n">
        <v>18963.99951</v>
      </c>
      <c r="S1136" s="45" t="n">
        <v>3506049.347</v>
      </c>
      <c r="T1136" s="45" t="n">
        <v>3311220.44479</v>
      </c>
      <c r="U1136" s="15" t="n">
        <v>6.39</v>
      </c>
      <c r="V1136" s="15" t="n">
        <v>13.19</v>
      </c>
      <c r="W1136" s="49" t="n">
        <v>94.443</v>
      </c>
    </row>
    <row r="1137">
      <c r="A1137" s="44" t="inlineStr">
        <is>
          <t>TL Cinsi Sabit Faizli Kuponlu Senetler</t>
        </is>
      </c>
      <c r="B1137" s="44" t="n">
        <v>2019</v>
      </c>
      <c r="C1137" s="44" t="inlineStr">
        <is>
          <t>TRT120820T12</t>
        </is>
      </c>
      <c r="D1137" s="44" t="inlineStr">
        <is>
          <t>23.01.2019</t>
        </is>
      </c>
      <c r="E1137" s="44" t="inlineStr">
        <is>
          <t>12.08.2020</t>
        </is>
      </c>
      <c r="F1137" s="44" t="n">
        <v>567</v>
      </c>
      <c r="G1137" s="44" t="inlineStr">
        <is>
          <t>6 ay</t>
        </is>
      </c>
      <c r="H1137" s="15" t="n">
        <v>11.5</v>
      </c>
      <c r="I1137" s="45" t="n">
        <v>2022000</v>
      </c>
      <c r="J1137" s="45" t="n">
        <v>2325473.55</v>
      </c>
      <c r="K1137" s="45" t="n">
        <v>667000</v>
      </c>
      <c r="L1137" s="45" t="n">
        <v>784437.9</v>
      </c>
      <c r="M1137" s="45" t="n">
        <v>0</v>
      </c>
      <c r="N1137" s="45" t="n">
        <v>0</v>
      </c>
      <c r="O1137" s="45" t="n">
        <v>552688.187</v>
      </c>
      <c r="P1137" s="45" t="n">
        <v>649999.99609</v>
      </c>
      <c r="Q1137" s="45" t="n">
        <v>0</v>
      </c>
      <c r="R1137" s="45" t="n">
        <v>0</v>
      </c>
      <c r="S1137" s="45" t="n">
        <v>1219688.187</v>
      </c>
      <c r="T1137" s="45" t="n">
        <v>1434437.89609</v>
      </c>
      <c r="U1137" s="15" t="n">
        <v>8.66</v>
      </c>
      <c r="V1137" s="15" t="n">
        <v>18.06</v>
      </c>
      <c r="W1137" s="49" t="n">
        <v>117.607</v>
      </c>
    </row>
    <row r="1138">
      <c r="A1138" s="44" t="inlineStr">
        <is>
          <t>TL Cinsi Sabit Faizli Kuponlu Senetler</t>
        </is>
      </c>
      <c r="B1138" s="44" t="n">
        <v>2019</v>
      </c>
      <c r="C1138" s="44" t="inlineStr">
        <is>
          <t>TRT120820T12</t>
        </is>
      </c>
      <c r="D1138" s="44" t="inlineStr">
        <is>
          <t>20.02.2019</t>
        </is>
      </c>
      <c r="E1138" s="44" t="inlineStr">
        <is>
          <t>12.08.2020</t>
        </is>
      </c>
      <c r="F1138" s="44" t="n">
        <v>539</v>
      </c>
      <c r="G1138" s="44" t="inlineStr">
        <is>
          <t>6 ay</t>
        </is>
      </c>
      <c r="H1138" s="15" t="n">
        <v>11.5</v>
      </c>
      <c r="I1138" s="45" t="n">
        <v>2737500</v>
      </c>
      <c r="J1138" s="45" t="n">
        <v>2910555.4</v>
      </c>
      <c r="K1138" s="45" t="n">
        <v>1404500</v>
      </c>
      <c r="L1138" s="45" t="n">
        <v>1506234.75</v>
      </c>
      <c r="M1138" s="45" t="n">
        <v>3109760.077</v>
      </c>
      <c r="N1138" s="45" t="n">
        <v>3334999.99938</v>
      </c>
      <c r="O1138" s="45" t="n">
        <v>410283.184</v>
      </c>
      <c r="P1138" s="45" t="n">
        <v>439999.99502</v>
      </c>
      <c r="Q1138" s="45" t="n">
        <v>0</v>
      </c>
      <c r="R1138" s="45" t="n">
        <v>0</v>
      </c>
      <c r="S1138" s="45" t="n">
        <v>4924543.261</v>
      </c>
      <c r="T1138" s="45" t="n">
        <v>5281234.7444</v>
      </c>
      <c r="U1138" s="15" t="n">
        <v>8.789999999999999</v>
      </c>
      <c r="V1138" s="15" t="n">
        <v>18.34</v>
      </c>
      <c r="W1138" s="49" t="n">
        <v>107.243</v>
      </c>
    </row>
    <row r="1139">
      <c r="A1139" s="44" t="inlineStr">
        <is>
          <t>TL Cinsi Sabit Faizli Kuponlu Senetler</t>
        </is>
      </c>
      <c r="B1139" s="44" t="n">
        <v>2019</v>
      </c>
      <c r="C1139" s="44" t="inlineStr">
        <is>
          <t>TRT120820T12</t>
        </is>
      </c>
      <c r="D1139" s="44" t="inlineStr">
        <is>
          <t>27.03.2019</t>
        </is>
      </c>
      <c r="E1139" s="44" t="inlineStr">
        <is>
          <t>12.08.2020</t>
        </is>
      </c>
      <c r="F1139" s="44" t="n">
        <v>504</v>
      </c>
      <c r="G1139" s="44" t="inlineStr">
        <is>
          <t>6 ay</t>
        </is>
      </c>
      <c r="H1139" s="15" t="n">
        <v>11.5</v>
      </c>
      <c r="I1139" s="45" t="n">
        <v>1061000</v>
      </c>
      <c r="J1139" s="45" t="n">
        <v>1140522.47</v>
      </c>
      <c r="K1139" s="45" t="n">
        <v>811000</v>
      </c>
      <c r="L1139" s="45" t="n">
        <v>874356.47</v>
      </c>
      <c r="M1139" s="45" t="n">
        <v>1629688.716</v>
      </c>
      <c r="N1139" s="45" t="n">
        <v>1756999.99849</v>
      </c>
      <c r="O1139" s="45" t="n">
        <v>649278.37</v>
      </c>
      <c r="P1139" s="45" t="n">
        <v>699999.99626</v>
      </c>
      <c r="Q1139" s="45" t="n">
        <v>0</v>
      </c>
      <c r="R1139" s="45" t="n">
        <v>0</v>
      </c>
      <c r="S1139" s="45" t="n">
        <v>3089967.086</v>
      </c>
      <c r="T1139" s="45" t="n">
        <v>3331356.46475</v>
      </c>
      <c r="U1139" s="15" t="n">
        <v>9.27</v>
      </c>
      <c r="V1139" s="15" t="n">
        <v>19.39</v>
      </c>
      <c r="W1139" s="49" t="n">
        <v>107.812</v>
      </c>
    </row>
    <row r="1140">
      <c r="A1140" s="44" t="inlineStr">
        <is>
          <t>TL Cinsi Sabit Faizli Kuponlu Senetler</t>
        </is>
      </c>
      <c r="B1140" s="44" t="n">
        <v>2019</v>
      </c>
      <c r="C1140" s="44" t="inlineStr">
        <is>
          <t>TRT210421T14</t>
        </is>
      </c>
      <c r="D1140" s="44" t="inlineStr">
        <is>
          <t>24.04.2019</t>
        </is>
      </c>
      <c r="E1140" s="44" t="inlineStr">
        <is>
          <t>21.04.2021</t>
        </is>
      </c>
      <c r="F1140" s="44" t="n">
        <v>728</v>
      </c>
      <c r="G1140" s="44" t="inlineStr">
        <is>
          <t>6 ay</t>
        </is>
      </c>
      <c r="H1140" s="15" t="n">
        <v>10.45</v>
      </c>
      <c r="I1140" s="45" t="n">
        <v>2512000</v>
      </c>
      <c r="J1140" s="45" t="n">
        <v>2464428.73</v>
      </c>
      <c r="K1140" s="45" t="n">
        <v>1310000</v>
      </c>
      <c r="L1140" s="45" t="n">
        <v>1306444.9</v>
      </c>
      <c r="M1140" s="45" t="n">
        <v>952581.495</v>
      </c>
      <c r="N1140" s="45" t="n">
        <v>949999.99915</v>
      </c>
      <c r="O1140" s="45" t="n">
        <v>962608.665</v>
      </c>
      <c r="P1140" s="45" t="n">
        <v>959999.99554</v>
      </c>
      <c r="Q1140" s="45" t="n">
        <v>0</v>
      </c>
      <c r="R1140" s="45" t="n">
        <v>0</v>
      </c>
      <c r="S1140" s="45" t="n">
        <v>3225190.16</v>
      </c>
      <c r="T1140" s="45" t="n">
        <v>3216444.89469</v>
      </c>
      <c r="U1140" s="15" t="n">
        <v>10.54</v>
      </c>
      <c r="V1140" s="15" t="n">
        <v>22.18</v>
      </c>
      <c r="W1140" s="49" t="n">
        <v>99.729</v>
      </c>
    </row>
    <row r="1141">
      <c r="A1141" s="44" t="inlineStr">
        <is>
          <t>TL Cinsi Sabit Faizli Kuponlu Senetler</t>
        </is>
      </c>
      <c r="B1141" s="44" t="n">
        <v>2019</v>
      </c>
      <c r="C1141" s="44" t="inlineStr">
        <is>
          <t>TRT210421T14</t>
        </is>
      </c>
      <c r="D1141" s="44" t="inlineStr">
        <is>
          <t>15.05.2019</t>
        </is>
      </c>
      <c r="E1141" s="44" t="inlineStr">
        <is>
          <t>21.04.2021</t>
        </is>
      </c>
      <c r="F1141" s="44" t="n">
        <v>707</v>
      </c>
      <c r="G1141" s="44" t="inlineStr">
        <is>
          <t>6 ay</t>
        </is>
      </c>
      <c r="H1141" s="15" t="n">
        <v>10.45</v>
      </c>
      <c r="I1141" s="45" t="n">
        <v>2550023.04</v>
      </c>
      <c r="J1141" s="45" t="n">
        <v>2455340.01658</v>
      </c>
      <c r="K1141" s="45" t="n">
        <v>1730000</v>
      </c>
      <c r="L1141" s="45" t="n">
        <v>1673185.5</v>
      </c>
      <c r="M1141" s="45" t="n">
        <v>1296579.674</v>
      </c>
      <c r="N1141" s="45" t="n">
        <v>1253999.9975</v>
      </c>
      <c r="O1141" s="45" t="n">
        <v>1643988.581</v>
      </c>
      <c r="P1141" s="45" t="n">
        <v>1589999.99599</v>
      </c>
      <c r="Q1141" s="45" t="n">
        <v>0</v>
      </c>
      <c r="R1141" s="45" t="n">
        <v>0</v>
      </c>
      <c r="S1141" s="45" t="n">
        <v>4670568.255</v>
      </c>
      <c r="T1141" s="45" t="n">
        <v>4517185.493489999</v>
      </c>
      <c r="U1141" s="15" t="n">
        <v>11.94</v>
      </c>
      <c r="V1141" s="15" t="n">
        <v>25.31</v>
      </c>
      <c r="W1141" s="49" t="n">
        <v>96.71599999999999</v>
      </c>
    </row>
    <row r="1142">
      <c r="A1142" s="44" t="inlineStr">
        <is>
          <t>TL Cinsi Sabit Faizli Kuponlu Senetler</t>
        </is>
      </c>
      <c r="B1142" s="44" t="n">
        <v>2019</v>
      </c>
      <c r="C1142" s="44" t="inlineStr">
        <is>
          <t>TRT210421T14</t>
        </is>
      </c>
      <c r="D1142" s="44" t="inlineStr">
        <is>
          <t>12.06.2019</t>
        </is>
      </c>
      <c r="E1142" s="44" t="inlineStr">
        <is>
          <t>21.04.2021</t>
        </is>
      </c>
      <c r="F1142" s="44" t="n">
        <v>679</v>
      </c>
      <c r="G1142" s="44" t="inlineStr">
        <is>
          <t>6 ay</t>
        </is>
      </c>
      <c r="H1142" s="15" t="n">
        <v>10.45</v>
      </c>
      <c r="I1142" s="45" t="n">
        <v>2115023.2</v>
      </c>
      <c r="J1142" s="45" t="n">
        <v>2146319.67051</v>
      </c>
      <c r="K1142" s="45" t="n">
        <v>1511000</v>
      </c>
      <c r="L1142" s="45" t="n">
        <v>1535110.83</v>
      </c>
      <c r="M1142" s="45" t="n">
        <v>1072876.884</v>
      </c>
      <c r="N1142" s="45" t="n">
        <v>1089999.99907</v>
      </c>
      <c r="O1142" s="45" t="n">
        <v>885861.6459999999</v>
      </c>
      <c r="P1142" s="45" t="n">
        <v>899999.99788</v>
      </c>
      <c r="Q1142" s="45" t="n">
        <v>116050</v>
      </c>
      <c r="R1142" s="45" t="n">
        <v>117902.158</v>
      </c>
      <c r="S1142" s="45" t="n">
        <v>3585788.53</v>
      </c>
      <c r="T1142" s="45" t="n">
        <v>3643012.98495</v>
      </c>
      <c r="U1142" s="15" t="n">
        <v>10.83</v>
      </c>
      <c r="V1142" s="15" t="n">
        <v>22.83</v>
      </c>
      <c r="W1142" s="49" t="n">
        <v>101.596</v>
      </c>
    </row>
    <row r="1143">
      <c r="A1143" s="44" t="inlineStr">
        <is>
          <t>TL Cinsi Sabit Faizli Kuponlu Senetler</t>
        </is>
      </c>
      <c r="B1143" s="44" t="n">
        <v>2019</v>
      </c>
      <c r="C1143" s="44" t="inlineStr">
        <is>
          <t>TRT210421T14</t>
        </is>
      </c>
      <c r="D1143" s="44" t="inlineStr">
        <is>
          <t>10.07.2019</t>
        </is>
      </c>
      <c r="E1143" s="44" t="inlineStr">
        <is>
          <t>21.04.2021</t>
        </is>
      </c>
      <c r="F1143" s="44" t="n">
        <v>651</v>
      </c>
      <c r="G1143" s="44" t="inlineStr">
        <is>
          <t>6 ay</t>
        </is>
      </c>
      <c r="H1143" s="15" t="n">
        <v>10.45</v>
      </c>
      <c r="I1143" s="45" t="n">
        <v>3687000</v>
      </c>
      <c r="J1143" s="45" t="n">
        <v>3967199.43</v>
      </c>
      <c r="K1143" s="45" t="n">
        <v>2610000</v>
      </c>
      <c r="L1143" s="45" t="n">
        <v>2814444.65</v>
      </c>
      <c r="M1143" s="45" t="n">
        <v>1632153.421</v>
      </c>
      <c r="N1143" s="45" t="n">
        <v>1759999.99846</v>
      </c>
      <c r="O1143" s="45" t="n">
        <v>1391039.843</v>
      </c>
      <c r="P1143" s="45" t="n">
        <v>1499999.99392</v>
      </c>
      <c r="Q1143" s="45" t="n">
        <v>0</v>
      </c>
      <c r="R1143" s="45" t="n">
        <v>0</v>
      </c>
      <c r="S1143" s="45" t="n">
        <v>5633193.264</v>
      </c>
      <c r="T1143" s="45" t="n">
        <v>6074444.642379999</v>
      </c>
      <c r="U1143" s="15" t="n">
        <v>9.25</v>
      </c>
      <c r="V1143" s="15" t="n">
        <v>19.35</v>
      </c>
      <c r="W1143" s="49" t="n">
        <v>107.833</v>
      </c>
    </row>
    <row r="1144">
      <c r="A1144" s="44" t="inlineStr">
        <is>
          <t>TL Cinsi Sabit Faizli Kuponlu Senetler</t>
        </is>
      </c>
      <c r="B1144" s="44" t="n">
        <v>2019</v>
      </c>
      <c r="C1144" s="44" t="inlineStr">
        <is>
          <t>TRT210421T14</t>
        </is>
      </c>
      <c r="D1144" s="44" t="inlineStr">
        <is>
          <t>18.09.2019</t>
        </is>
      </c>
      <c r="E1144" s="44" t="inlineStr">
        <is>
          <t>21.04.2021</t>
        </is>
      </c>
      <c r="F1144" s="44" t="n">
        <v>581</v>
      </c>
      <c r="G1144" s="44" t="inlineStr">
        <is>
          <t>6 ay</t>
        </is>
      </c>
      <c r="H1144" s="15" t="n">
        <v>10.45</v>
      </c>
      <c r="I1144" s="45" t="n">
        <v>4782000</v>
      </c>
      <c r="J1144" s="45" t="n">
        <v>5568164.77</v>
      </c>
      <c r="K1144" s="45" t="n">
        <v>1041000</v>
      </c>
      <c r="L1144" s="45" t="n">
        <v>1214384.52</v>
      </c>
      <c r="M1144" s="45" t="n">
        <v>900082.291</v>
      </c>
      <c r="N1144" s="45" t="n">
        <v>1049999.99739</v>
      </c>
      <c r="O1144" s="45" t="n">
        <v>663489.225</v>
      </c>
      <c r="P1144" s="45" t="n">
        <v>773999.99028</v>
      </c>
      <c r="Q1144" s="45" t="n">
        <v>208863.517</v>
      </c>
      <c r="R1144" s="45" t="n">
        <v>243651.82439</v>
      </c>
      <c r="S1144" s="45" t="n">
        <v>2813435.033</v>
      </c>
      <c r="T1144" s="45" t="n">
        <v>3282036.33206</v>
      </c>
      <c r="U1144" s="15" t="n">
        <v>7.44</v>
      </c>
      <c r="V1144" s="15" t="n">
        <v>15.44</v>
      </c>
      <c r="W1144" s="49" t="n">
        <v>116.656</v>
      </c>
    </row>
    <row r="1145">
      <c r="A1145" s="44" t="inlineStr">
        <is>
          <t>TL Cinsi Sabit Faizli Kuponlu Senetler</t>
        </is>
      </c>
      <c r="B1145" s="44" t="n">
        <v>2019</v>
      </c>
      <c r="C1145" s="44" t="inlineStr">
        <is>
          <t>TRT201021T25</t>
        </is>
      </c>
      <c r="D1145" s="44" t="inlineStr">
        <is>
          <t>23.10.2019</t>
        </is>
      </c>
      <c r="E1145" s="44" t="inlineStr">
        <is>
          <t>20.10.2021</t>
        </is>
      </c>
      <c r="F1145" s="44" t="n">
        <v>728</v>
      </c>
      <c r="G1145" s="44" t="inlineStr">
        <is>
          <t>6 ay</t>
        </is>
      </c>
      <c r="H1145" s="15" t="n">
        <v>6.9</v>
      </c>
      <c r="I1145" s="45" t="n">
        <v>2483000</v>
      </c>
      <c r="J1145" s="45" t="n">
        <v>2468005.65</v>
      </c>
      <c r="K1145" s="45" t="n">
        <v>1458000</v>
      </c>
      <c r="L1145" s="45" t="n">
        <v>1453435.15</v>
      </c>
      <c r="M1145" s="45" t="n">
        <v>652040.887</v>
      </c>
      <c r="N1145" s="45" t="n">
        <v>649999.9990299999</v>
      </c>
      <c r="O1145" s="45" t="n">
        <v>1003139.822</v>
      </c>
      <c r="P1145" s="45" t="n">
        <v>999999.99436</v>
      </c>
      <c r="Q1145" s="45" t="n">
        <v>580525.763</v>
      </c>
      <c r="R1145" s="45" t="n">
        <v>578708.71737</v>
      </c>
      <c r="S1145" s="45" t="n">
        <v>3693706.472</v>
      </c>
      <c r="T1145" s="45" t="n">
        <v>3682143.86076</v>
      </c>
      <c r="U1145" s="15" t="n">
        <v>6.99</v>
      </c>
      <c r="V1145" s="15" t="n">
        <v>14.47</v>
      </c>
      <c r="W1145" s="49" t="n">
        <v>99.687</v>
      </c>
    </row>
    <row r="1146">
      <c r="A1146" s="44" t="inlineStr">
        <is>
          <t>TL Cinsi Sabit Faizli Kuponlu Senetler</t>
        </is>
      </c>
      <c r="B1146" s="44" t="n">
        <v>2019</v>
      </c>
      <c r="C1146" s="44" t="inlineStr">
        <is>
          <t>TRT240724T15</t>
        </is>
      </c>
      <c r="D1146" s="44" t="inlineStr">
        <is>
          <t>06.11.2019</t>
        </is>
      </c>
      <c r="E1146" s="44" t="inlineStr">
        <is>
          <t>24.07.2024</t>
        </is>
      </c>
      <c r="F1146" s="44" t="n">
        <v>1722</v>
      </c>
      <c r="G1146" s="44" t="inlineStr">
        <is>
          <t>6 ay</t>
        </is>
      </c>
      <c r="H1146" s="15" t="n">
        <v>4.5</v>
      </c>
      <c r="I1146" s="45" t="n">
        <v>3336500</v>
      </c>
      <c r="J1146" s="45" t="n">
        <v>3021664.965</v>
      </c>
      <c r="K1146" s="45" t="n">
        <v>1477500</v>
      </c>
      <c r="L1146" s="45" t="n">
        <v>1345744.895</v>
      </c>
      <c r="M1146" s="45" t="n">
        <v>0</v>
      </c>
      <c r="N1146" s="45" t="n">
        <v>0</v>
      </c>
      <c r="O1146" s="45" t="n">
        <v>1097899.714</v>
      </c>
      <c r="P1146" s="45" t="n">
        <v>999999.99651</v>
      </c>
      <c r="Q1146" s="45" t="n">
        <v>0</v>
      </c>
      <c r="R1146" s="45" t="n">
        <v>0</v>
      </c>
      <c r="S1146" s="45" t="n">
        <v>2575399.714</v>
      </c>
      <c r="T1146" s="45" t="n">
        <v>2345744.89151</v>
      </c>
      <c r="U1146" s="15" t="n">
        <v>6.11</v>
      </c>
      <c r="V1146" s="15" t="n">
        <v>12.59</v>
      </c>
      <c r="W1146" s="49" t="n">
        <v>91.083</v>
      </c>
    </row>
    <row r="1147">
      <c r="A1147" s="44" t="inlineStr">
        <is>
          <t>TL Cinsi Sabit Faizli Kuponlu Senetler</t>
        </is>
      </c>
      <c r="B1147" s="44" t="n">
        <v>2019</v>
      </c>
      <c r="C1147" s="44" t="inlineStr">
        <is>
          <t>TRT201021T25</t>
        </is>
      </c>
      <c r="D1147" s="44" t="inlineStr">
        <is>
          <t>13.11.2019</t>
        </is>
      </c>
      <c r="E1147" s="44" t="inlineStr">
        <is>
          <t>20.10.2021</t>
        </is>
      </c>
      <c r="F1147" s="44" t="n">
        <v>707</v>
      </c>
      <c r="G1147" s="44" t="inlineStr">
        <is>
          <t>6 ay</t>
        </is>
      </c>
      <c r="H1147" s="15" t="n">
        <v>6.9</v>
      </c>
      <c r="I1147" s="45" t="n">
        <v>3744150</v>
      </c>
      <c r="J1147" s="45" t="n">
        <v>3883319.304</v>
      </c>
      <c r="K1147" s="45" t="n">
        <v>1680000</v>
      </c>
      <c r="L1147" s="45" t="n">
        <v>1746432.5</v>
      </c>
      <c r="M1147" s="45" t="n">
        <v>1481424.475</v>
      </c>
      <c r="N1147" s="45" t="n">
        <v>1539999.99874</v>
      </c>
      <c r="O1147" s="45" t="n">
        <v>1846970.769</v>
      </c>
      <c r="P1147" s="45" t="n">
        <v>1919999.99322</v>
      </c>
      <c r="Q1147" s="45" t="n">
        <v>228074.917</v>
      </c>
      <c r="R1147" s="45" t="n">
        <v>237092.99922</v>
      </c>
      <c r="S1147" s="45" t="n">
        <v>5236470.161</v>
      </c>
      <c r="T1147" s="45" t="n">
        <v>5443525.49118</v>
      </c>
      <c r="U1147" s="15" t="n">
        <v>5.96</v>
      </c>
      <c r="V1147" s="15" t="n">
        <v>12.27</v>
      </c>
      <c r="W1147" s="49" t="n">
        <v>103.954</v>
      </c>
    </row>
    <row r="1148">
      <c r="A1148" s="44" t="inlineStr">
        <is>
          <t>TL Cinsi Sabit Faizli Kuponlu Senetler</t>
        </is>
      </c>
      <c r="B1148" s="44" t="n">
        <v>2019</v>
      </c>
      <c r="C1148" s="44" t="inlineStr">
        <is>
          <t>TRT110226T13</t>
        </is>
      </c>
      <c r="D1148" s="44" t="inlineStr">
        <is>
          <t>13.11.2019</t>
        </is>
      </c>
      <c r="E1148" s="44" t="inlineStr">
        <is>
          <t>11.02.2026</t>
        </is>
      </c>
      <c r="F1148" s="44" t="n">
        <v>2282</v>
      </c>
      <c r="G1148" s="44" t="inlineStr">
        <is>
          <t>6 ay</t>
        </is>
      </c>
      <c r="H1148" s="15" t="n">
        <v>5.3</v>
      </c>
      <c r="I1148" s="45" t="n">
        <v>2849000</v>
      </c>
      <c r="J1148" s="45" t="n">
        <v>2711985.2</v>
      </c>
      <c r="K1148" s="45" t="n">
        <v>855000</v>
      </c>
      <c r="L1148" s="45" t="n">
        <v>817822.65</v>
      </c>
      <c r="M1148" s="45" t="n">
        <v>26136.411</v>
      </c>
      <c r="N1148" s="45" t="n">
        <v>24999.99985</v>
      </c>
      <c r="O1148" s="45" t="n">
        <v>757955.92</v>
      </c>
      <c r="P1148" s="45" t="n">
        <v>724999.9966</v>
      </c>
      <c r="Q1148" s="45" t="n">
        <v>24036.444</v>
      </c>
      <c r="R1148" s="45" t="n">
        <v>22991.33941</v>
      </c>
      <c r="S1148" s="45" t="n">
        <v>1663128.775</v>
      </c>
      <c r="T1148" s="45" t="n">
        <v>1590813.98586</v>
      </c>
      <c r="U1148" s="15" t="n">
        <v>6.09</v>
      </c>
      <c r="V1148" s="15" t="n">
        <v>12.54</v>
      </c>
      <c r="W1148" s="49" t="n">
        <v>95.652</v>
      </c>
    </row>
    <row r="1149">
      <c r="A1149" s="44" t="inlineStr">
        <is>
          <t>TL Cinsi Sabit Faizli Kuponlu Senetler</t>
        </is>
      </c>
      <c r="B1149" s="44" t="n">
        <v>2019</v>
      </c>
      <c r="C1149" s="44" t="inlineStr">
        <is>
          <t>TRT201021T25</t>
        </is>
      </c>
      <c r="D1149" s="44" t="inlineStr">
        <is>
          <t>18.12.2019</t>
        </is>
      </c>
      <c r="E1149" s="44" t="inlineStr">
        <is>
          <t>20.10.2021</t>
        </is>
      </c>
      <c r="F1149" s="44" t="n">
        <v>672</v>
      </c>
      <c r="G1149" s="44" t="inlineStr">
        <is>
          <t>6 ay</t>
        </is>
      </c>
      <c r="H1149" s="15" t="n">
        <v>6.9</v>
      </c>
      <c r="I1149" s="45" t="n">
        <v>3672000</v>
      </c>
      <c r="J1149" s="45" t="n">
        <v>3875929.239</v>
      </c>
      <c r="K1149" s="45" t="n">
        <v>2286300</v>
      </c>
      <c r="L1149" s="45" t="n">
        <v>2417306.339</v>
      </c>
      <c r="M1149" s="45" t="n">
        <v>756644.282</v>
      </c>
      <c r="N1149" s="45" t="n">
        <v>799999.99936</v>
      </c>
      <c r="O1149" s="45" t="n">
        <v>1418708.025</v>
      </c>
      <c r="P1149" s="45" t="n">
        <v>1499999.99482</v>
      </c>
      <c r="Q1149" s="45" t="n">
        <v>0</v>
      </c>
      <c r="R1149" s="45" t="n">
        <v>0</v>
      </c>
      <c r="S1149" s="45" t="n">
        <v>4461652.307</v>
      </c>
      <c r="T1149" s="45" t="n">
        <v>4717306.33318</v>
      </c>
      <c r="U1149" s="15" t="n">
        <v>5.77</v>
      </c>
      <c r="V1149" s="15" t="n">
        <v>11.88</v>
      </c>
      <c r="W1149" s="49" t="n">
        <v>105.73</v>
      </c>
    </row>
    <row r="1150">
      <c r="A1150" s="44" t="inlineStr">
        <is>
          <t>TL Cinsi Sabit Faizli Kuponlu Senetler</t>
        </is>
      </c>
      <c r="B1150" s="44" t="n">
        <v>2018</v>
      </c>
      <c r="C1150" s="44" t="inlineStr">
        <is>
          <t>TRT131119T19</t>
        </is>
      </c>
      <c r="D1150" s="44" t="inlineStr">
        <is>
          <t>10.01.2018</t>
        </is>
      </c>
      <c r="E1150" s="44" t="inlineStr">
        <is>
          <t>13.11.2019</t>
        </is>
      </c>
      <c r="F1150" s="44" t="n">
        <v>672</v>
      </c>
      <c r="G1150" s="44" t="inlineStr">
        <is>
          <t>6 ay</t>
        </is>
      </c>
      <c r="H1150" s="15" t="n">
        <v>6.5</v>
      </c>
      <c r="I1150" s="45" t="n">
        <v>1943400</v>
      </c>
      <c r="J1150" s="45" t="n">
        <v>1978165.91</v>
      </c>
      <c r="K1150" s="45" t="n">
        <v>645400</v>
      </c>
      <c r="L1150" s="45" t="n">
        <v>657823.45</v>
      </c>
      <c r="M1150" s="45" t="n">
        <v>348295.315</v>
      </c>
      <c r="N1150" s="45" t="n">
        <v>354999.99981</v>
      </c>
      <c r="O1150" s="45" t="n">
        <v>845916.116</v>
      </c>
      <c r="P1150" s="45" t="n">
        <v>862200.00122</v>
      </c>
      <c r="Q1150" s="45" t="n">
        <v>0</v>
      </c>
      <c r="R1150" s="45" t="n">
        <v>0</v>
      </c>
      <c r="S1150" s="45" t="n">
        <v>1839611.431</v>
      </c>
      <c r="T1150" s="45" t="n">
        <v>1875023.45103</v>
      </c>
      <c r="U1150" s="15" t="n">
        <v>6.51</v>
      </c>
      <c r="V1150" s="15" t="n">
        <v>13.44</v>
      </c>
      <c r="W1150" s="49" t="n">
        <v>101.925</v>
      </c>
    </row>
    <row r="1151">
      <c r="A1151" s="44" t="inlineStr">
        <is>
          <t>TL Cinsi Sabit Faizli Kuponlu Senetler</t>
        </is>
      </c>
      <c r="B1151" s="44" t="n">
        <v>2018</v>
      </c>
      <c r="C1151" s="44" t="inlineStr">
        <is>
          <t>TRT180123T10</t>
        </is>
      </c>
      <c r="D1151" s="44" t="inlineStr">
        <is>
          <t>24.01.2018</t>
        </is>
      </c>
      <c r="E1151" s="44" t="inlineStr">
        <is>
          <t>18.01.2023</t>
        </is>
      </c>
      <c r="F1151" s="44" t="n">
        <v>1820</v>
      </c>
      <c r="G1151" s="44" t="inlineStr">
        <is>
          <t>6 ay</t>
        </is>
      </c>
      <c r="H1151" s="15" t="n">
        <v>6.1</v>
      </c>
      <c r="I1151" s="45" t="n">
        <v>1877001.01</v>
      </c>
      <c r="J1151" s="45" t="n">
        <v>1868888.47398</v>
      </c>
      <c r="K1151" s="45" t="n">
        <v>853500</v>
      </c>
      <c r="L1151" s="45" t="n">
        <v>852246.295</v>
      </c>
      <c r="M1151" s="45" t="n">
        <v>460677.194</v>
      </c>
      <c r="N1151" s="45" t="n">
        <v>459999.99852</v>
      </c>
      <c r="O1151" s="45" t="n">
        <v>966420.638</v>
      </c>
      <c r="P1151" s="45" t="n">
        <v>964999.99968</v>
      </c>
      <c r="Q1151" s="45" t="n">
        <v>123605.908</v>
      </c>
      <c r="R1151" s="45" t="n">
        <v>123424.20732</v>
      </c>
      <c r="S1151" s="45" t="n">
        <v>2404203.74</v>
      </c>
      <c r="T1151" s="45" t="n">
        <v>2400670.50052</v>
      </c>
      <c r="U1151" s="15" t="n">
        <v>6.12</v>
      </c>
      <c r="V1151" s="15" t="n">
        <v>12.61</v>
      </c>
      <c r="W1151" s="49" t="n">
        <v>99.85299999999999</v>
      </c>
    </row>
    <row r="1152">
      <c r="A1152" s="44" t="inlineStr">
        <is>
          <t>TL Cinsi Sabit Faizli Kuponlu Senetler</t>
        </is>
      </c>
      <c r="B1152" s="44" t="n">
        <v>2018</v>
      </c>
      <c r="C1152" s="44" t="inlineStr">
        <is>
          <t>TRT110827T16</t>
        </is>
      </c>
      <c r="D1152" s="44" t="inlineStr">
        <is>
          <t>24.01.2018</t>
        </is>
      </c>
      <c r="E1152" s="44" t="inlineStr">
        <is>
          <t>11.08.2027</t>
        </is>
      </c>
      <c r="F1152" s="44" t="n">
        <v>3486</v>
      </c>
      <c r="G1152" s="44" t="inlineStr">
        <is>
          <t>6 ay</t>
        </is>
      </c>
      <c r="H1152" s="15" t="n">
        <v>5.25</v>
      </c>
      <c r="I1152" s="45" t="n">
        <v>1692600</v>
      </c>
      <c r="J1152" s="45" t="n">
        <v>1636564.761</v>
      </c>
      <c r="K1152" s="45" t="n">
        <v>632000</v>
      </c>
      <c r="L1152" s="45" t="n">
        <v>612252.62</v>
      </c>
      <c r="M1152" s="45" t="n">
        <v>464516.128</v>
      </c>
      <c r="N1152" s="45" t="n">
        <v>449999.999</v>
      </c>
      <c r="O1152" s="45" t="n">
        <v>802270.968</v>
      </c>
      <c r="P1152" s="45" t="n">
        <v>777200.00026</v>
      </c>
      <c r="Q1152" s="45" t="n">
        <v>116075.932</v>
      </c>
      <c r="R1152" s="45" t="n">
        <v>112448.55913</v>
      </c>
      <c r="S1152" s="45" t="n">
        <v>2014863.028</v>
      </c>
      <c r="T1152" s="45" t="n">
        <v>1951901.17839</v>
      </c>
      <c r="U1152" s="15" t="n">
        <v>5.92</v>
      </c>
      <c r="V1152" s="15" t="n">
        <v>12.19</v>
      </c>
      <c r="W1152" s="49" t="n">
        <v>96.875</v>
      </c>
    </row>
    <row r="1153">
      <c r="A1153" s="44" t="inlineStr">
        <is>
          <t>TL Cinsi Sabit Faizli Kuponlu Senetler</t>
        </is>
      </c>
      <c r="B1153" s="44" t="n">
        <v>2018</v>
      </c>
      <c r="C1153" s="44" t="inlineStr">
        <is>
          <t>TRT180123T10</t>
        </is>
      </c>
      <c r="D1153" s="44" t="inlineStr">
        <is>
          <t>14.02.2018</t>
        </is>
      </c>
      <c r="E1153" s="44" t="inlineStr">
        <is>
          <t>18.01.2023</t>
        </is>
      </c>
      <c r="F1153" s="44" t="n">
        <v>1799</v>
      </c>
      <c r="G1153" s="44" t="inlineStr">
        <is>
          <t>6 ay</t>
        </is>
      </c>
      <c r="H1153" s="15" t="n">
        <v>6.1</v>
      </c>
      <c r="I1153" s="45" t="n">
        <v>3787000</v>
      </c>
      <c r="J1153" s="45" t="n">
        <v>3822762.44</v>
      </c>
      <c r="K1153" s="45" t="n">
        <v>2406000</v>
      </c>
      <c r="L1153" s="45" t="n">
        <v>2430636.14</v>
      </c>
      <c r="M1153" s="45" t="n">
        <v>574121</v>
      </c>
      <c r="N1153" s="45" t="n">
        <v>579999.99904</v>
      </c>
      <c r="O1153" s="45" t="n">
        <v>1934342.333</v>
      </c>
      <c r="P1153" s="45" t="n">
        <v>1954149.99848</v>
      </c>
      <c r="Q1153" s="45" t="n">
        <v>0</v>
      </c>
      <c r="R1153" s="45" t="n">
        <v>0</v>
      </c>
      <c r="S1153" s="45" t="n">
        <v>4914463.333000001</v>
      </c>
      <c r="T1153" s="45" t="n">
        <v>4964786.13752</v>
      </c>
      <c r="U1153" s="15" t="n">
        <v>6.05</v>
      </c>
      <c r="V1153" s="15" t="n">
        <v>12.47</v>
      </c>
      <c r="W1153" s="49" t="n">
        <v>101.024</v>
      </c>
    </row>
    <row r="1154">
      <c r="A1154" s="44" t="inlineStr">
        <is>
          <t>TL Cinsi Sabit Faizli Kuponlu Senetler</t>
        </is>
      </c>
      <c r="B1154" s="44" t="n">
        <v>2018</v>
      </c>
      <c r="C1154" s="44" t="inlineStr">
        <is>
          <t>TRT131119T19</t>
        </is>
      </c>
      <c r="D1154" s="44" t="inlineStr">
        <is>
          <t>14.02.2018</t>
        </is>
      </c>
      <c r="E1154" s="44" t="inlineStr">
        <is>
          <t>13.11.2019</t>
        </is>
      </c>
      <c r="F1154" s="44" t="n">
        <v>637</v>
      </c>
      <c r="G1154" s="44" t="inlineStr">
        <is>
          <t>6 ay</t>
        </is>
      </c>
      <c r="H1154" s="15" t="n">
        <v>6.5</v>
      </c>
      <c r="I1154" s="45" t="n">
        <v>1998393.505</v>
      </c>
      <c r="J1154" s="45" t="n">
        <v>2060240.71578</v>
      </c>
      <c r="K1154" s="45" t="n">
        <v>631000</v>
      </c>
      <c r="L1154" s="45" t="n">
        <v>650996.04</v>
      </c>
      <c r="M1154" s="45" t="n">
        <v>319863.524</v>
      </c>
      <c r="N1154" s="45" t="n">
        <v>329999.99908</v>
      </c>
      <c r="O1154" s="45" t="n">
        <v>1039192.975</v>
      </c>
      <c r="P1154" s="45" t="n">
        <v>1072125.00038</v>
      </c>
      <c r="Q1154" s="45" t="n">
        <v>66013.492</v>
      </c>
      <c r="R1154" s="45" t="n">
        <v>68105.45956</v>
      </c>
      <c r="S1154" s="45" t="n">
        <v>2056069.991</v>
      </c>
      <c r="T1154" s="45" t="n">
        <v>2121226.49902</v>
      </c>
      <c r="U1154" s="15" t="n">
        <v>6.51</v>
      </c>
      <c r="V1154" s="15" t="n">
        <v>13.44</v>
      </c>
      <c r="W1154" s="49" t="n">
        <v>103.169</v>
      </c>
    </row>
    <row r="1155">
      <c r="A1155" s="44" t="inlineStr">
        <is>
          <t>TL Cinsi Sabit Faizli Kuponlu Senetler</t>
        </is>
      </c>
      <c r="B1155" s="44" t="n">
        <v>2018</v>
      </c>
      <c r="C1155" s="44" t="inlineStr">
        <is>
          <t>TRT110827T16</t>
        </is>
      </c>
      <c r="D1155" s="44" t="inlineStr">
        <is>
          <t>14.02.2018</t>
        </is>
      </c>
      <c r="E1155" s="44" t="inlineStr">
        <is>
          <t>11.08.2027</t>
        </is>
      </c>
      <c r="F1155" s="44" t="n">
        <v>3465</v>
      </c>
      <c r="G1155" s="44" t="inlineStr">
        <is>
          <t>6 ay</t>
        </is>
      </c>
      <c r="H1155" s="15" t="n">
        <v>5.25</v>
      </c>
      <c r="I1155" s="45" t="n">
        <v>2004800</v>
      </c>
      <c r="J1155" s="45" t="n">
        <v>1958868.215</v>
      </c>
      <c r="K1155" s="45" t="n">
        <v>1330800</v>
      </c>
      <c r="L1155" s="45" t="n">
        <v>1301482.11</v>
      </c>
      <c r="M1155" s="45" t="n">
        <v>306757.876</v>
      </c>
      <c r="N1155" s="45" t="n">
        <v>299999.99999</v>
      </c>
      <c r="O1155" s="45" t="n">
        <v>2276641.923</v>
      </c>
      <c r="P1155" s="45" t="n">
        <v>2226487.50144</v>
      </c>
      <c r="Q1155" s="45" t="n">
        <v>293365.731</v>
      </c>
      <c r="R1155" s="45" t="n">
        <v>286902.88396</v>
      </c>
      <c r="S1155" s="45" t="n">
        <v>4207565.529999999</v>
      </c>
      <c r="T1155" s="45" t="n">
        <v>4114872.49539</v>
      </c>
      <c r="U1155" s="15" t="n">
        <v>5.89</v>
      </c>
      <c r="V1155" s="15" t="n">
        <v>12.13</v>
      </c>
      <c r="W1155" s="49" t="n">
        <v>97.797</v>
      </c>
    </row>
    <row r="1156">
      <c r="A1156" s="44" t="inlineStr">
        <is>
          <t>TL Cinsi Sabit Faizli Kuponlu Senetler</t>
        </is>
      </c>
      <c r="B1156" s="44" t="n">
        <v>2018</v>
      </c>
      <c r="C1156" s="44" t="inlineStr">
        <is>
          <t>TRT180123T10</t>
        </is>
      </c>
      <c r="D1156" s="44" t="inlineStr">
        <is>
          <t>14.03.2018</t>
        </is>
      </c>
      <c r="E1156" s="44" t="inlineStr">
        <is>
          <t>18.01.2023</t>
        </is>
      </c>
      <c r="F1156" s="44" t="n">
        <v>1771</v>
      </c>
      <c r="G1156" s="44" t="inlineStr">
        <is>
          <t>6 ay</t>
        </is>
      </c>
      <c r="H1156" s="15" t="n">
        <v>6.1</v>
      </c>
      <c r="I1156" s="45" t="n">
        <v>2538781</v>
      </c>
      <c r="J1156" s="45" t="n">
        <v>2512745.70322</v>
      </c>
      <c r="K1156" s="45" t="n">
        <v>955681</v>
      </c>
      <c r="L1156" s="45" t="n">
        <v>948025.98922</v>
      </c>
      <c r="M1156" s="45" t="n">
        <v>579642.939</v>
      </c>
      <c r="N1156" s="45" t="n">
        <v>574999.9990599999</v>
      </c>
      <c r="O1156" s="45" t="n">
        <v>1140787.71</v>
      </c>
      <c r="P1156" s="45" t="n">
        <v>1131650.00045</v>
      </c>
      <c r="Q1156" s="45" t="n">
        <v>179802.648</v>
      </c>
      <c r="R1156" s="45" t="n">
        <v>178362.42879</v>
      </c>
      <c r="S1156" s="45" t="n">
        <v>2855914.297</v>
      </c>
      <c r="T1156" s="45" t="n">
        <v>2833038.41752</v>
      </c>
      <c r="U1156" s="15" t="n">
        <v>6.44</v>
      </c>
      <c r="V1156" s="15" t="n">
        <v>13.3</v>
      </c>
      <c r="W1156" s="49" t="n">
        <v>99.199</v>
      </c>
    </row>
    <row r="1157">
      <c r="A1157" s="44" t="inlineStr">
        <is>
          <t>TL Cinsi Sabit Faizli Kuponlu Senetler</t>
        </is>
      </c>
      <c r="B1157" s="44" t="n">
        <v>2018</v>
      </c>
      <c r="C1157" s="44" t="inlineStr">
        <is>
          <t>TRT131119T19</t>
        </is>
      </c>
      <c r="D1157" s="44" t="inlineStr">
        <is>
          <t>21.03.2018</t>
        </is>
      </c>
      <c r="E1157" s="44" t="inlineStr">
        <is>
          <t>13.11.2019</t>
        </is>
      </c>
      <c r="F1157" s="44" t="n">
        <v>602</v>
      </c>
      <c r="G1157" s="44" t="inlineStr">
        <is>
          <t>6 ay</t>
        </is>
      </c>
      <c r="H1157" s="15" t="n">
        <v>6.5</v>
      </c>
      <c r="I1157" s="45" t="n">
        <v>1866204.85</v>
      </c>
      <c r="J1157" s="45" t="n">
        <v>1933435.51196</v>
      </c>
      <c r="K1157" s="45" t="n">
        <v>600000</v>
      </c>
      <c r="L1157" s="45" t="n">
        <v>622193.3100000001</v>
      </c>
      <c r="M1157" s="45" t="n">
        <v>144649.418</v>
      </c>
      <c r="N1157" s="45" t="n">
        <v>149999.99997</v>
      </c>
      <c r="O1157" s="45" t="n">
        <v>1015786.073</v>
      </c>
      <c r="P1157" s="45" t="n">
        <v>1053359.99983</v>
      </c>
      <c r="Q1157" s="45" t="n">
        <v>116015.852</v>
      </c>
      <c r="R1157" s="45" t="n">
        <v>120307.27836</v>
      </c>
      <c r="S1157" s="45" t="n">
        <v>1876451.343</v>
      </c>
      <c r="T1157" s="45" t="n">
        <v>1945860.58816</v>
      </c>
      <c r="U1157" s="15" t="n">
        <v>6.76</v>
      </c>
      <c r="V1157" s="15" t="n">
        <v>13.98</v>
      </c>
      <c r="W1157" s="49" t="n">
        <v>103.699</v>
      </c>
    </row>
    <row r="1158">
      <c r="A1158" s="44" t="inlineStr">
        <is>
          <t>TL Cinsi Sabit Faizli Kuponlu Senetler</t>
        </is>
      </c>
      <c r="B1158" s="44" t="n">
        <v>2018</v>
      </c>
      <c r="C1158" s="44" t="inlineStr">
        <is>
          <t>TRT080328T15</t>
        </is>
      </c>
      <c r="D1158" s="44" t="inlineStr">
        <is>
          <t>21.03.2018</t>
        </is>
      </c>
      <c r="E1158" s="44" t="inlineStr">
        <is>
          <t>08.03.2028</t>
        </is>
      </c>
      <c r="F1158" s="44" t="n">
        <v>3640</v>
      </c>
      <c r="G1158" s="44" t="inlineStr">
        <is>
          <t>6 ay</t>
        </is>
      </c>
      <c r="H1158" s="15" t="n">
        <v>6.2</v>
      </c>
      <c r="I1158" s="45" t="n">
        <v>3326505.11</v>
      </c>
      <c r="J1158" s="45" t="n">
        <v>3303339.44651</v>
      </c>
      <c r="K1158" s="45" t="n">
        <v>625000</v>
      </c>
      <c r="L1158" s="45" t="n">
        <v>623343.25</v>
      </c>
      <c r="M1158" s="45" t="n">
        <v>526394.946</v>
      </c>
      <c r="N1158" s="45" t="n">
        <v>524999.9994</v>
      </c>
      <c r="O1158" s="45" t="n">
        <v>788690.028</v>
      </c>
      <c r="P1158" s="45" t="n">
        <v>786599.99942</v>
      </c>
      <c r="Q1158" s="45" t="n">
        <v>109225.146</v>
      </c>
      <c r="R1158" s="45" t="n">
        <v>108935.69936</v>
      </c>
      <c r="S1158" s="45" t="n">
        <v>2049310.12</v>
      </c>
      <c r="T1158" s="45" t="n">
        <v>2043878.94818</v>
      </c>
      <c r="U1158" s="15" t="n">
        <v>6.22</v>
      </c>
      <c r="V1158" s="15" t="n">
        <v>12.83</v>
      </c>
      <c r="W1158" s="49" t="n">
        <v>99.735</v>
      </c>
    </row>
    <row r="1159">
      <c r="A1159" s="44" t="inlineStr">
        <is>
          <t>TL Cinsi Sabit Faizli Kuponlu Senetler</t>
        </is>
      </c>
      <c r="B1159" s="44" t="n">
        <v>2018</v>
      </c>
      <c r="C1159" s="44" t="inlineStr">
        <is>
          <t>TRT080328T15</t>
        </is>
      </c>
      <c r="D1159" s="44" t="inlineStr">
        <is>
          <t>11.04.2018</t>
        </is>
      </c>
      <c r="E1159" s="44" t="inlineStr">
        <is>
          <t>08.03.2028</t>
        </is>
      </c>
      <c r="F1159" s="44" t="n">
        <v>3619</v>
      </c>
      <c r="G1159" s="44" t="inlineStr">
        <is>
          <t>6 ay</t>
        </is>
      </c>
      <c r="H1159" s="15" t="n">
        <v>6.2</v>
      </c>
      <c r="I1159" s="45" t="n">
        <v>1657600</v>
      </c>
      <c r="J1159" s="45" t="n">
        <v>1628844.063</v>
      </c>
      <c r="K1159" s="45" t="n">
        <v>975500</v>
      </c>
      <c r="L1159" s="45" t="n">
        <v>960754.39</v>
      </c>
      <c r="M1159" s="45" t="n">
        <v>0</v>
      </c>
      <c r="N1159" s="45" t="n">
        <v>0</v>
      </c>
      <c r="O1159" s="45" t="n">
        <v>1023474.939</v>
      </c>
      <c r="P1159" s="45" t="n">
        <v>1007999.99793</v>
      </c>
      <c r="Q1159" s="45" t="n">
        <v>0</v>
      </c>
      <c r="R1159" s="45" t="n">
        <v>0</v>
      </c>
      <c r="S1159" s="45" t="n">
        <v>1998974.939</v>
      </c>
      <c r="T1159" s="45" t="n">
        <v>1968754.38793</v>
      </c>
      <c r="U1159" s="15" t="n">
        <v>6.4</v>
      </c>
      <c r="V1159" s="15" t="n">
        <v>13.21</v>
      </c>
      <c r="W1159" s="49" t="n">
        <v>98.488</v>
      </c>
    </row>
    <row r="1160">
      <c r="A1160" s="44" t="inlineStr">
        <is>
          <t>TL Cinsi Sabit Faizli Kuponlu Senetler</t>
        </is>
      </c>
      <c r="B1160" s="44" t="n">
        <v>2018</v>
      </c>
      <c r="C1160" s="44" t="inlineStr">
        <is>
          <t>TRT180123T10</t>
        </is>
      </c>
      <c r="D1160" s="44" t="inlineStr">
        <is>
          <t>18.04.2018</t>
        </is>
      </c>
      <c r="E1160" s="44" t="inlineStr">
        <is>
          <t>18.01.2023</t>
        </is>
      </c>
      <c r="F1160" s="44" t="n">
        <v>1736</v>
      </c>
      <c r="G1160" s="44" t="inlineStr">
        <is>
          <t>6 ay</t>
        </is>
      </c>
      <c r="H1160" s="15" t="n">
        <v>6.1</v>
      </c>
      <c r="I1160" s="45" t="n">
        <v>3074002</v>
      </c>
      <c r="J1160" s="45" t="n">
        <v>3046464.9997</v>
      </c>
      <c r="K1160" s="45" t="n">
        <v>727000</v>
      </c>
      <c r="L1160" s="45" t="n">
        <v>722773.26</v>
      </c>
      <c r="M1160" s="45" t="n">
        <v>533097.294</v>
      </c>
      <c r="N1160" s="45" t="n">
        <v>529999.99872</v>
      </c>
      <c r="O1160" s="45" t="n">
        <v>1157826.975</v>
      </c>
      <c r="P1160" s="45" t="n">
        <v>1151100.00027</v>
      </c>
      <c r="Q1160" s="45" t="n">
        <v>156410.786</v>
      </c>
      <c r="R1160" s="45" t="n">
        <v>155502.03934</v>
      </c>
      <c r="S1160" s="45" t="n">
        <v>2574335.055</v>
      </c>
      <c r="T1160" s="45" t="n">
        <v>2559375.29833</v>
      </c>
      <c r="U1160" s="15" t="n">
        <v>6.58</v>
      </c>
      <c r="V1160" s="15" t="n">
        <v>13.6</v>
      </c>
      <c r="W1160" s="49" t="n">
        <v>99.419</v>
      </c>
    </row>
    <row r="1161">
      <c r="A1161" s="44" t="inlineStr">
        <is>
          <t>TL Cinsi Sabit Faizli Kuponlu Senetler</t>
        </is>
      </c>
      <c r="B1161" s="44" t="n">
        <v>2018</v>
      </c>
      <c r="C1161" s="44" t="inlineStr">
        <is>
          <t>TRT131119T19</t>
        </is>
      </c>
      <c r="D1161" s="44" t="inlineStr">
        <is>
          <t>16.05.2018</t>
        </is>
      </c>
      <c r="E1161" s="44" t="inlineStr">
        <is>
          <t>13.11.2019</t>
        </is>
      </c>
      <c r="F1161" s="44" t="n">
        <v>546</v>
      </c>
      <c r="G1161" s="44" t="inlineStr">
        <is>
          <t>6 ay</t>
        </is>
      </c>
      <c r="H1161" s="15" t="n">
        <v>6.5</v>
      </c>
      <c r="I1161" s="45" t="n">
        <v>721317.415</v>
      </c>
      <c r="J1161" s="45" t="n">
        <v>692625.10615</v>
      </c>
      <c r="K1161" s="45" t="n">
        <v>471317.415</v>
      </c>
      <c r="L1161" s="45" t="n">
        <v>453250.10615</v>
      </c>
      <c r="M1161" s="45" t="n">
        <v>0</v>
      </c>
      <c r="N1161" s="45" t="n">
        <v>0</v>
      </c>
      <c r="O1161" s="45" t="n">
        <v>1108228.394</v>
      </c>
      <c r="P1161" s="45" t="n">
        <v>1065749.99965</v>
      </c>
      <c r="Q1161" s="45" t="n">
        <v>0</v>
      </c>
      <c r="R1161" s="45" t="n">
        <v>0</v>
      </c>
      <c r="S1161" s="45" t="n">
        <v>1579545.809</v>
      </c>
      <c r="T1161" s="45" t="n">
        <v>1519000.1058</v>
      </c>
      <c r="U1161" s="15" t="n">
        <v>7.99</v>
      </c>
      <c r="V1161" s="15" t="n">
        <v>16.61</v>
      </c>
      <c r="W1161" s="49" t="n">
        <v>96.167</v>
      </c>
    </row>
    <row r="1162">
      <c r="A1162" s="44" t="inlineStr">
        <is>
          <t>TL Cinsi Sabit Faizli Kuponlu Senetler</t>
        </is>
      </c>
      <c r="B1162" s="44" t="n">
        <v>2018</v>
      </c>
      <c r="C1162" s="44" t="inlineStr">
        <is>
          <t>TRT180123T10</t>
        </is>
      </c>
      <c r="D1162" s="44" t="inlineStr">
        <is>
          <t>16.05.2018</t>
        </is>
      </c>
      <c r="E1162" s="44" t="inlineStr">
        <is>
          <t>18.01.2023</t>
        </is>
      </c>
      <c r="F1162" s="44" t="n">
        <v>1708</v>
      </c>
      <c r="G1162" s="44" t="inlineStr">
        <is>
          <t>6 ay</t>
        </is>
      </c>
      <c r="H1162" s="15" t="n">
        <v>6.1</v>
      </c>
      <c r="I1162" s="45" t="n">
        <v>921200</v>
      </c>
      <c r="J1162" s="45" t="n">
        <v>857971.498</v>
      </c>
      <c r="K1162" s="45" t="n">
        <v>588200</v>
      </c>
      <c r="L1162" s="45" t="n">
        <v>549194.4179999999</v>
      </c>
      <c r="M1162" s="45" t="n">
        <v>117812.121</v>
      </c>
      <c r="N1162" s="45" t="n">
        <v>109999.99926</v>
      </c>
      <c r="O1162" s="45" t="n">
        <v>1069145.005</v>
      </c>
      <c r="P1162" s="45" t="n">
        <v>998249.9997</v>
      </c>
      <c r="Q1162" s="45" t="n">
        <v>0</v>
      </c>
      <c r="R1162" s="45" t="n">
        <v>0</v>
      </c>
      <c r="S1162" s="45" t="n">
        <v>1775157.126</v>
      </c>
      <c r="T1162" s="45" t="n">
        <v>1657444.41696</v>
      </c>
      <c r="U1162" s="15" t="n">
        <v>7.69</v>
      </c>
      <c r="V1162" s="15" t="n">
        <v>15.96</v>
      </c>
      <c r="W1162" s="49" t="n">
        <v>93.369</v>
      </c>
    </row>
    <row r="1163">
      <c r="A1163" s="44" t="inlineStr">
        <is>
          <t>TL Cinsi Sabit Faizli Kuponlu Senetler</t>
        </is>
      </c>
      <c r="B1163" s="44" t="n">
        <v>2018</v>
      </c>
      <c r="C1163" s="44" t="inlineStr">
        <is>
          <t>TRT140623T19</t>
        </is>
      </c>
      <c r="D1163" s="44" t="inlineStr">
        <is>
          <t>20.06.2018</t>
        </is>
      </c>
      <c r="E1163" s="44" t="inlineStr">
        <is>
          <t>14.06.2023</t>
        </is>
      </c>
      <c r="F1163" s="44" t="n">
        <v>1820</v>
      </c>
      <c r="G1163" s="44" t="inlineStr">
        <is>
          <t>6 ay</t>
        </is>
      </c>
      <c r="H1163" s="15" t="n">
        <v>8.1</v>
      </c>
      <c r="I1163" s="45" t="n">
        <v>1610031.835</v>
      </c>
      <c r="J1163" s="45" t="n">
        <v>1579787.41621</v>
      </c>
      <c r="K1163" s="45" t="n">
        <v>844000</v>
      </c>
      <c r="L1163" s="45" t="n">
        <v>833954.745</v>
      </c>
      <c r="M1163" s="45" t="n">
        <v>516142.09</v>
      </c>
      <c r="N1163" s="45" t="n">
        <v>509999.99913</v>
      </c>
      <c r="O1163" s="45" t="n">
        <v>1970448.334</v>
      </c>
      <c r="P1163" s="45" t="n">
        <v>1946999.99883</v>
      </c>
      <c r="Q1163" s="45" t="n">
        <v>0</v>
      </c>
      <c r="R1163" s="45" t="n">
        <v>0</v>
      </c>
      <c r="S1163" s="45" t="n">
        <v>3330590.424</v>
      </c>
      <c r="T1163" s="45" t="n">
        <v>3290954.74296</v>
      </c>
      <c r="U1163" s="15" t="n">
        <v>8.279999999999999</v>
      </c>
      <c r="V1163" s="15" t="n">
        <v>17.24</v>
      </c>
      <c r="W1163" s="49" t="n">
        <v>98.81</v>
      </c>
    </row>
    <row r="1164">
      <c r="A1164" s="44" t="inlineStr">
        <is>
          <t>TL Cinsi Sabit Faizli Kuponlu Senetler</t>
        </is>
      </c>
      <c r="B1164" s="44" t="n">
        <v>2018</v>
      </c>
      <c r="C1164" s="44" t="inlineStr">
        <is>
          <t>TRT131119T19</t>
        </is>
      </c>
      <c r="D1164" s="44" t="inlineStr">
        <is>
          <t>20.06.2018</t>
        </is>
      </c>
      <c r="E1164" s="44" t="inlineStr">
        <is>
          <t>13.11.2019</t>
        </is>
      </c>
      <c r="F1164" s="44" t="n">
        <v>511</v>
      </c>
      <c r="G1164" s="44" t="inlineStr">
        <is>
          <t>6 ay</t>
        </is>
      </c>
      <c r="H1164" s="15" t="n">
        <v>6.5</v>
      </c>
      <c r="I1164" s="45" t="n">
        <v>1871232.05</v>
      </c>
      <c r="J1164" s="45" t="n">
        <v>1767811.43558</v>
      </c>
      <c r="K1164" s="45" t="n">
        <v>675000</v>
      </c>
      <c r="L1164" s="45" t="n">
        <v>639061.1</v>
      </c>
      <c r="M1164" s="45" t="n">
        <v>538679.284</v>
      </c>
      <c r="N1164" s="45" t="n">
        <v>509999.99892</v>
      </c>
      <c r="O1164" s="45" t="n">
        <v>2163378.259</v>
      </c>
      <c r="P1164" s="45" t="n">
        <v>2048200.0005</v>
      </c>
      <c r="Q1164" s="45" t="n">
        <v>0</v>
      </c>
      <c r="R1164" s="45" t="n">
        <v>0</v>
      </c>
      <c r="S1164" s="45" t="n">
        <v>3377057.543</v>
      </c>
      <c r="T1164" s="45" t="n">
        <v>3197261.09942</v>
      </c>
      <c r="U1164" s="15" t="n">
        <v>9.25</v>
      </c>
      <c r="V1164" s="15" t="n">
        <v>19.35</v>
      </c>
      <c r="W1164" s="49" t="n">
        <v>94.676</v>
      </c>
    </row>
    <row r="1165">
      <c r="A1165" s="44" t="inlineStr">
        <is>
          <t>TL Cinsi Sabit Faizli Kuponlu Senetler</t>
        </is>
      </c>
      <c r="B1165" s="44" t="n">
        <v>2018</v>
      </c>
      <c r="C1165" s="44" t="inlineStr">
        <is>
          <t>TRT080328T15</t>
        </is>
      </c>
      <c r="D1165" s="44" t="inlineStr">
        <is>
          <t>20.06.2018</t>
        </is>
      </c>
      <c r="E1165" s="44" t="inlineStr">
        <is>
          <t>08.03.2028</t>
        </is>
      </c>
      <c r="F1165" s="44" t="n">
        <v>3549</v>
      </c>
      <c r="G1165" s="44" t="inlineStr">
        <is>
          <t>6 ay</t>
        </is>
      </c>
      <c r="H1165" s="15" t="n">
        <v>6.2</v>
      </c>
      <c r="I1165" s="45" t="n">
        <v>1712000</v>
      </c>
      <c r="J1165" s="45" t="n">
        <v>1436431.69</v>
      </c>
      <c r="K1165" s="45" t="n">
        <v>829000</v>
      </c>
      <c r="L1165" s="45" t="n">
        <v>699557.74</v>
      </c>
      <c r="M1165" s="45" t="n">
        <v>604365.652</v>
      </c>
      <c r="N1165" s="45" t="n">
        <v>509999.99909</v>
      </c>
      <c r="O1165" s="45" t="n">
        <v>1542198.943</v>
      </c>
      <c r="P1165" s="45" t="n">
        <v>1301400.00006</v>
      </c>
      <c r="Q1165" s="45" t="n">
        <v>70000</v>
      </c>
      <c r="R1165" s="45" t="n">
        <v>59070.2</v>
      </c>
      <c r="S1165" s="45" t="n">
        <v>3045564.595</v>
      </c>
      <c r="T1165" s="45" t="n">
        <v>2570027.93915</v>
      </c>
      <c r="U1165" s="15" t="n">
        <v>8.140000000000001</v>
      </c>
      <c r="V1165" s="15" t="n">
        <v>16.94</v>
      </c>
      <c r="W1165" s="49" t="n">
        <v>84.386</v>
      </c>
    </row>
    <row r="1166">
      <c r="A1166" s="44" t="inlineStr">
        <is>
          <t>TL Cinsi Sabit Faizli Kuponlu Senetler</t>
        </is>
      </c>
      <c r="B1166" s="44" t="n">
        <v>2018</v>
      </c>
      <c r="C1166" s="44" t="inlineStr">
        <is>
          <t>TRT140623T19</t>
        </is>
      </c>
      <c r="D1166" s="44" t="inlineStr">
        <is>
          <t>11.07.2018</t>
        </is>
      </c>
      <c r="E1166" s="44" t="inlineStr">
        <is>
          <t>14.06.2023</t>
        </is>
      </c>
      <c r="F1166" s="44" t="n">
        <v>1799</v>
      </c>
      <c r="G1166" s="44" t="inlineStr">
        <is>
          <t>6 ay</t>
        </is>
      </c>
      <c r="H1166" s="15" t="n">
        <v>8.1</v>
      </c>
      <c r="I1166" s="45" t="n">
        <v>3989000</v>
      </c>
      <c r="J1166" s="45" t="n">
        <v>3860335.64</v>
      </c>
      <c r="K1166" s="45" t="n">
        <v>1640000</v>
      </c>
      <c r="L1166" s="45" t="n">
        <v>1595026.15</v>
      </c>
      <c r="M1166" s="45" t="n">
        <v>185074.749</v>
      </c>
      <c r="N1166" s="45" t="n">
        <v>179999.99938</v>
      </c>
      <c r="O1166" s="45" t="n">
        <v>3210491.681</v>
      </c>
      <c r="P1166" s="45" t="n">
        <v>3122459.99911</v>
      </c>
      <c r="Q1166" s="45" t="n">
        <v>0</v>
      </c>
      <c r="R1166" s="45" t="n">
        <v>0</v>
      </c>
      <c r="S1166" s="45" t="n">
        <v>5035566.43</v>
      </c>
      <c r="T1166" s="45" t="n">
        <v>4897486.148490001</v>
      </c>
      <c r="U1166" s="15" t="n">
        <v>8.66</v>
      </c>
      <c r="V1166" s="15" t="n">
        <v>18.08</v>
      </c>
      <c r="W1166" s="49" t="n">
        <v>97.258</v>
      </c>
    </row>
    <row r="1167">
      <c r="A1167" s="44" t="inlineStr">
        <is>
          <t>TL Cinsi Sabit Faizli Kuponlu Senetler</t>
        </is>
      </c>
      <c r="B1167" s="44" t="n">
        <v>2018</v>
      </c>
      <c r="C1167" s="44" t="inlineStr">
        <is>
          <t>TRT131119T19</t>
        </is>
      </c>
      <c r="D1167" s="44" t="inlineStr">
        <is>
          <t>11.07.2018</t>
        </is>
      </c>
      <c r="E1167" s="44" t="inlineStr">
        <is>
          <t>13.11.2019</t>
        </is>
      </c>
      <c r="F1167" s="44" t="n">
        <v>490</v>
      </c>
      <c r="G1167" s="44" t="inlineStr">
        <is>
          <t>6 ay</t>
        </is>
      </c>
      <c r="H1167" s="15" t="n">
        <v>6.5</v>
      </c>
      <c r="I1167" s="45" t="n">
        <v>2605000</v>
      </c>
      <c r="J1167" s="45" t="n">
        <v>2460785.35</v>
      </c>
      <c r="K1167" s="45" t="n">
        <v>744000</v>
      </c>
      <c r="L1167" s="45" t="n">
        <v>704699.8199999999</v>
      </c>
      <c r="M1167" s="45" t="n">
        <v>929073.67</v>
      </c>
      <c r="N1167" s="45" t="n">
        <v>879999.99876</v>
      </c>
      <c r="O1167" s="45" t="n">
        <v>2104604.194</v>
      </c>
      <c r="P1167" s="45" t="n">
        <v>1993439.00047</v>
      </c>
      <c r="Q1167" s="45" t="n">
        <v>0</v>
      </c>
      <c r="R1167" s="45" t="n">
        <v>0</v>
      </c>
      <c r="S1167" s="45" t="n">
        <v>3777677.864</v>
      </c>
      <c r="T1167" s="45" t="n">
        <v>3578138.81923</v>
      </c>
      <c r="U1167" s="15" t="n">
        <v>9.67</v>
      </c>
      <c r="V1167" s="15" t="n">
        <v>20.28</v>
      </c>
      <c r="W1167" s="49" t="n">
        <v>94.718</v>
      </c>
    </row>
    <row r="1168">
      <c r="A1168" s="44" t="inlineStr">
        <is>
          <t>TL Cinsi Sabit Faizli Kuponlu Senetler</t>
        </is>
      </c>
      <c r="B1168" s="44" t="n">
        <v>2018</v>
      </c>
      <c r="C1168" s="44" t="inlineStr">
        <is>
          <t>TRT080328T15</t>
        </is>
      </c>
      <c r="D1168" s="44" t="inlineStr">
        <is>
          <t>11.07.2018</t>
        </is>
      </c>
      <c r="E1168" s="44" t="inlineStr">
        <is>
          <t>08.03.2028</t>
        </is>
      </c>
      <c r="F1168" s="44" t="n">
        <v>3528</v>
      </c>
      <c r="G1168" s="44" t="inlineStr">
        <is>
          <t>6 ay</t>
        </is>
      </c>
      <c r="H1168" s="15" t="n">
        <v>6.2</v>
      </c>
      <c r="I1168" s="45" t="n">
        <v>1968800</v>
      </c>
      <c r="J1168" s="45" t="n">
        <v>1614219.38</v>
      </c>
      <c r="K1168" s="45" t="n">
        <v>863000</v>
      </c>
      <c r="L1168" s="45" t="n">
        <v>713742.4399999999</v>
      </c>
      <c r="M1168" s="45" t="n">
        <v>217641.013</v>
      </c>
      <c r="N1168" s="45" t="n">
        <v>179999.9998</v>
      </c>
      <c r="O1168" s="45" t="n">
        <v>2412739.254</v>
      </c>
      <c r="P1168" s="45" t="n">
        <v>1995456.00002</v>
      </c>
      <c r="Q1168" s="45" t="n">
        <v>0</v>
      </c>
      <c r="R1168" s="45" t="n">
        <v>0</v>
      </c>
      <c r="S1168" s="45" t="n">
        <v>3493380.267</v>
      </c>
      <c r="T1168" s="45" t="n">
        <v>2889198.43982</v>
      </c>
      <c r="U1168" s="15" t="n">
        <v>8.44</v>
      </c>
      <c r="V1168" s="15" t="n">
        <v>17.6</v>
      </c>
      <c r="W1168" s="49" t="n">
        <v>82.705</v>
      </c>
    </row>
    <row r="1169">
      <c r="A1169" s="44" t="inlineStr">
        <is>
          <t>TL Cinsi Sabit Faizli Kuponlu Senetler</t>
        </is>
      </c>
      <c r="B1169" s="44" t="n">
        <v>2018</v>
      </c>
      <c r="C1169" s="44" t="inlineStr">
        <is>
          <t>TRT140623T19</t>
        </is>
      </c>
      <c r="D1169" s="44" t="inlineStr">
        <is>
          <t>08.08.2018</t>
        </is>
      </c>
      <c r="E1169" s="44" t="inlineStr">
        <is>
          <t>14.06.2023</t>
        </is>
      </c>
      <c r="F1169" s="44" t="n">
        <v>1771</v>
      </c>
      <c r="G1169" s="44" t="inlineStr">
        <is>
          <t>6 ay</t>
        </is>
      </c>
      <c r="H1169" s="15" t="n">
        <v>8.1</v>
      </c>
      <c r="I1169" s="45" t="n">
        <v>1359001.59</v>
      </c>
      <c r="J1169" s="45" t="n">
        <v>1187895.37755</v>
      </c>
      <c r="K1169" s="45" t="n">
        <v>614001.59</v>
      </c>
      <c r="L1169" s="45" t="n">
        <v>539661.8475499999</v>
      </c>
      <c r="M1169" s="45" t="n">
        <v>341324.109</v>
      </c>
      <c r="N1169" s="45" t="n">
        <v>299999.99912</v>
      </c>
      <c r="O1169" s="45" t="n">
        <v>1294187.251</v>
      </c>
      <c r="P1169" s="45" t="n">
        <v>1137500.00052</v>
      </c>
      <c r="Q1169" s="45" t="n">
        <v>44103.58</v>
      </c>
      <c r="R1169" s="45" t="n">
        <v>38763.95957</v>
      </c>
      <c r="S1169" s="45" t="n">
        <v>2293616.53</v>
      </c>
      <c r="T1169" s="45" t="n">
        <v>2015925.80676</v>
      </c>
      <c r="U1169" s="15" t="n">
        <v>10.5</v>
      </c>
      <c r="V1169" s="15" t="n">
        <v>22.1</v>
      </c>
      <c r="W1169" s="49" t="n">
        <v>87.893</v>
      </c>
    </row>
    <row r="1170">
      <c r="A1170" s="44" t="inlineStr">
        <is>
          <t>TL Cinsi Sabit Faizli Kuponlu Senetler</t>
        </is>
      </c>
      <c r="B1170" s="44" t="n">
        <v>2018</v>
      </c>
      <c r="C1170" s="44" t="inlineStr">
        <is>
          <t>TRT120820T12</t>
        </is>
      </c>
      <c r="D1170" s="44" t="inlineStr">
        <is>
          <t>15.08.2018</t>
        </is>
      </c>
      <c r="E1170" s="44" t="inlineStr">
        <is>
          <t>12.08.2020</t>
        </is>
      </c>
      <c r="F1170" s="44" t="n">
        <v>728</v>
      </c>
      <c r="G1170" s="44" t="inlineStr">
        <is>
          <t>6 ay</t>
        </is>
      </c>
      <c r="H1170" s="15" t="n">
        <v>11.5</v>
      </c>
      <c r="I1170" s="45" t="n">
        <v>912070.265</v>
      </c>
      <c r="J1170" s="45" t="n">
        <v>902686.01646</v>
      </c>
      <c r="K1170" s="45" t="n">
        <v>422000</v>
      </c>
      <c r="L1170" s="45" t="n">
        <v>418707.32</v>
      </c>
      <c r="M1170" s="45" t="n">
        <v>932271.718</v>
      </c>
      <c r="N1170" s="45" t="n">
        <v>924999.9986</v>
      </c>
      <c r="O1170" s="45" t="n">
        <v>380971.578</v>
      </c>
      <c r="P1170" s="45" t="n">
        <v>377999.9997</v>
      </c>
      <c r="Q1170" s="45" t="n">
        <v>0</v>
      </c>
      <c r="R1170" s="45" t="n">
        <v>0</v>
      </c>
      <c r="S1170" s="45" t="n">
        <v>1735243.296</v>
      </c>
      <c r="T1170" s="45" t="n">
        <v>1721707.3183</v>
      </c>
      <c r="U1170" s="15" t="n">
        <v>11.76</v>
      </c>
      <c r="V1170" s="15" t="n">
        <v>24.89</v>
      </c>
      <c r="W1170" s="49" t="n">
        <v>99.22</v>
      </c>
    </row>
    <row r="1171">
      <c r="A1171" s="44" t="inlineStr">
        <is>
          <t>TL Cinsi Sabit Faizli Kuponlu Senetler</t>
        </is>
      </c>
      <c r="B1171" s="44" t="n">
        <v>2018</v>
      </c>
      <c r="C1171" s="44" t="inlineStr">
        <is>
          <t>TRT120820T12</t>
        </is>
      </c>
      <c r="D1171" s="44" t="inlineStr">
        <is>
          <t>12.09.2018</t>
        </is>
      </c>
      <c r="E1171" s="44" t="inlineStr">
        <is>
          <t>12.08.2020</t>
        </is>
      </c>
      <c r="F1171" s="44" t="n">
        <v>700</v>
      </c>
      <c r="G1171" s="44" t="inlineStr">
        <is>
          <t>6 ay</t>
        </is>
      </c>
      <c r="H1171" s="15" t="n">
        <v>11.5</v>
      </c>
      <c r="I1171" s="45" t="n">
        <v>2539320.42</v>
      </c>
      <c r="J1171" s="45" t="n">
        <v>2491373.94165</v>
      </c>
      <c r="K1171" s="45" t="n">
        <v>875000</v>
      </c>
      <c r="L1171" s="45" t="n">
        <v>880595.05</v>
      </c>
      <c r="M1171" s="45" t="n">
        <v>1649459.95</v>
      </c>
      <c r="N1171" s="45" t="n">
        <v>1659999.99908</v>
      </c>
      <c r="O1171" s="45" t="n">
        <v>795914.11</v>
      </c>
      <c r="P1171" s="45" t="n">
        <v>801000.00116</v>
      </c>
      <c r="Q1171" s="45" t="n">
        <v>0</v>
      </c>
      <c r="R1171" s="45" t="n">
        <v>0</v>
      </c>
      <c r="S1171" s="45" t="n">
        <v>3320374.06</v>
      </c>
      <c r="T1171" s="45" t="n">
        <v>3341595.05024</v>
      </c>
      <c r="U1171" s="15" t="n">
        <v>11.85</v>
      </c>
      <c r="V1171" s="15" t="n">
        <v>25.11</v>
      </c>
      <c r="W1171" s="49" t="n">
        <v>100.639</v>
      </c>
    </row>
    <row r="1172">
      <c r="A1172" s="44" t="inlineStr">
        <is>
          <t>TL Cinsi Sabit Faizli Kuponlu Senetler</t>
        </is>
      </c>
      <c r="B1172" s="44" t="n">
        <v>2018</v>
      </c>
      <c r="C1172" s="44" t="inlineStr">
        <is>
          <t>TRT120820T12</t>
        </is>
      </c>
      <c r="D1172" s="44" t="inlineStr">
        <is>
          <t>24.10.2018</t>
        </is>
      </c>
      <c r="E1172" s="44" t="inlineStr">
        <is>
          <t>12.08.2020</t>
        </is>
      </c>
      <c r="F1172" s="44" t="n">
        <v>658</v>
      </c>
      <c r="G1172" s="44" t="inlineStr">
        <is>
          <t>6 ay</t>
        </is>
      </c>
      <c r="H1172" s="15" t="n">
        <v>11.5</v>
      </c>
      <c r="I1172" s="45" t="n">
        <v>1355070</v>
      </c>
      <c r="J1172" s="45" t="n">
        <v>1381731.5561</v>
      </c>
      <c r="K1172" s="45" t="n">
        <v>715000</v>
      </c>
      <c r="L1172" s="45" t="n">
        <v>730702.21</v>
      </c>
      <c r="M1172" s="45" t="n">
        <v>489255.939</v>
      </c>
      <c r="N1172" s="45" t="n">
        <v>499999.99942</v>
      </c>
      <c r="O1172" s="45" t="n">
        <v>614642.452</v>
      </c>
      <c r="P1172" s="45" t="n">
        <v>628140.00026</v>
      </c>
      <c r="Q1172" s="45" t="n">
        <v>0</v>
      </c>
      <c r="R1172" s="45" t="n">
        <v>0</v>
      </c>
      <c r="S1172" s="45" t="n">
        <v>1818898.391</v>
      </c>
      <c r="T1172" s="45" t="n">
        <v>1858842.20968</v>
      </c>
      <c r="U1172" s="15" t="n">
        <v>12.24</v>
      </c>
      <c r="V1172" s="15" t="n">
        <v>25.98</v>
      </c>
      <c r="W1172" s="49" t="n">
        <v>102.196</v>
      </c>
    </row>
    <row r="1173">
      <c r="A1173" s="44" t="inlineStr">
        <is>
          <t>TL Cinsi Sabit Faizli Kuponlu Senetler</t>
        </is>
      </c>
      <c r="B1173" s="44" t="n">
        <v>2018</v>
      </c>
      <c r="C1173" s="44" t="inlineStr">
        <is>
          <t>TRT181023T19</t>
        </is>
      </c>
      <c r="D1173" s="44" t="inlineStr">
        <is>
          <t>24.10.2018</t>
        </is>
      </c>
      <c r="E1173" s="44" t="inlineStr">
        <is>
          <t>18.10.2023</t>
        </is>
      </c>
      <c r="F1173" s="44" t="n">
        <v>1820</v>
      </c>
      <c r="G1173" s="44" t="inlineStr">
        <is>
          <t>6 ay</t>
        </is>
      </c>
      <c r="H1173" s="15" t="n">
        <v>10.05</v>
      </c>
      <c r="I1173" s="45" t="n">
        <v>839000</v>
      </c>
      <c r="J1173" s="45" t="n">
        <v>819742.4</v>
      </c>
      <c r="K1173" s="45" t="n">
        <v>257000</v>
      </c>
      <c r="L1173" s="45" t="n">
        <v>254808.86</v>
      </c>
      <c r="M1173" s="45" t="n">
        <v>1119549.758</v>
      </c>
      <c r="N1173" s="45" t="n">
        <v>1109999.99856</v>
      </c>
      <c r="O1173" s="45" t="n">
        <v>346455.264</v>
      </c>
      <c r="P1173" s="45" t="n">
        <v>343500.0006</v>
      </c>
      <c r="Q1173" s="45" t="n">
        <v>0</v>
      </c>
      <c r="R1173" s="45" t="n">
        <v>0</v>
      </c>
      <c r="S1173" s="45" t="n">
        <v>1723005.022</v>
      </c>
      <c r="T1173" s="45" t="n">
        <v>1708308.85916</v>
      </c>
      <c r="U1173" s="15" t="n">
        <v>10.19</v>
      </c>
      <c r="V1173" s="15" t="n">
        <v>21.42</v>
      </c>
      <c r="W1173" s="49" t="n">
        <v>99.14700000000001</v>
      </c>
    </row>
    <row r="1174">
      <c r="A1174" s="44" t="inlineStr">
        <is>
          <t>TL Cinsi Sabit Faizli Kuponlu Senetler</t>
        </is>
      </c>
      <c r="B1174" s="44" t="n">
        <v>2018</v>
      </c>
      <c r="C1174" s="44" t="inlineStr">
        <is>
          <t>TRT181023T19</t>
        </is>
      </c>
      <c r="D1174" s="44" t="inlineStr">
        <is>
          <t>14.11.2018</t>
        </is>
      </c>
      <c r="E1174" s="44" t="inlineStr">
        <is>
          <t>18.10.2023</t>
        </is>
      </c>
      <c r="F1174" s="44" t="n">
        <v>1799</v>
      </c>
      <c r="G1174" s="44" t="inlineStr">
        <is>
          <t>6 ay</t>
        </is>
      </c>
      <c r="H1174" s="15" t="n">
        <v>10.05</v>
      </c>
      <c r="I1174" s="45" t="n">
        <v>1845000</v>
      </c>
      <c r="J1174" s="45" t="n">
        <v>2027151.95</v>
      </c>
      <c r="K1174" s="45" t="n">
        <v>70000</v>
      </c>
      <c r="L1174" s="45" t="n">
        <v>77972.3</v>
      </c>
      <c r="M1174" s="45" t="n">
        <v>673316.035</v>
      </c>
      <c r="N1174" s="45" t="n">
        <v>749999.99823</v>
      </c>
      <c r="O1174" s="45" t="n">
        <v>135053.731</v>
      </c>
      <c r="P1174" s="45" t="n">
        <v>150435.00042</v>
      </c>
      <c r="Q1174" s="45" t="n">
        <v>0</v>
      </c>
      <c r="R1174" s="45" t="n">
        <v>0</v>
      </c>
      <c r="S1174" s="45" t="n">
        <v>878369.7660000001</v>
      </c>
      <c r="T1174" s="45" t="n">
        <v>978407.29865</v>
      </c>
      <c r="U1174" s="15" t="n">
        <v>8.470000000000001</v>
      </c>
      <c r="V1174" s="15" t="n">
        <v>17.67</v>
      </c>
      <c r="W1174" s="49" t="n">
        <v>111.389</v>
      </c>
    </row>
    <row r="1175">
      <c r="A1175" s="44" t="inlineStr">
        <is>
          <t>TL Cinsi Sabit Faizli Kuponlu Senetler</t>
        </is>
      </c>
      <c r="B1175" s="44" t="n">
        <v>2018</v>
      </c>
      <c r="C1175" s="44" t="inlineStr">
        <is>
          <t>TRT120820T12</t>
        </is>
      </c>
      <c r="D1175" s="44" t="inlineStr">
        <is>
          <t>14.11.2018</t>
        </is>
      </c>
      <c r="E1175" s="44" t="inlineStr">
        <is>
          <t>12.08.2020</t>
        </is>
      </c>
      <c r="F1175" s="44" t="n">
        <v>637</v>
      </c>
      <c r="G1175" s="44" t="inlineStr">
        <is>
          <t>6 ay</t>
        </is>
      </c>
      <c r="H1175" s="15" t="n">
        <v>11.5</v>
      </c>
      <c r="I1175" s="45" t="n">
        <v>1598000</v>
      </c>
      <c r="J1175" s="45" t="n">
        <v>1750930.16</v>
      </c>
      <c r="K1175" s="45" t="n">
        <v>179000</v>
      </c>
      <c r="L1175" s="45" t="n">
        <v>202072.5</v>
      </c>
      <c r="M1175" s="45" t="n">
        <v>699796.2610000001</v>
      </c>
      <c r="N1175" s="45" t="n">
        <v>789999.99905</v>
      </c>
      <c r="O1175" s="45" t="n">
        <v>129315.261</v>
      </c>
      <c r="P1175" s="45" t="n">
        <v>145983.99813</v>
      </c>
      <c r="Q1175" s="45" t="n">
        <v>0</v>
      </c>
      <c r="R1175" s="45" t="n">
        <v>0</v>
      </c>
      <c r="S1175" s="45" t="n">
        <v>1008111.522</v>
      </c>
      <c r="T1175" s="45" t="n">
        <v>1138056.49718</v>
      </c>
      <c r="U1175" s="15" t="n">
        <v>8.99</v>
      </c>
      <c r="V1175" s="15" t="n">
        <v>18.79</v>
      </c>
      <c r="W1175" s="49" t="n">
        <v>112.89</v>
      </c>
    </row>
    <row r="1176">
      <c r="A1176" s="44" t="inlineStr">
        <is>
          <t>TL Cinsi Sabit Faizli Kuponlu Senetler</t>
        </is>
      </c>
      <c r="B1176" s="44" t="n">
        <v>2018</v>
      </c>
      <c r="C1176" s="44" t="inlineStr">
        <is>
          <t>TRT120820T12</t>
        </is>
      </c>
      <c r="D1176" s="44" t="inlineStr">
        <is>
          <t>12.12.2018</t>
        </is>
      </c>
      <c r="E1176" s="44" t="inlineStr">
        <is>
          <t>12.08.2020</t>
        </is>
      </c>
      <c r="F1176" s="44" t="n">
        <v>609</v>
      </c>
      <c r="G1176" s="44" t="inlineStr">
        <is>
          <t>6 ay</t>
        </is>
      </c>
      <c r="H1176" s="15" t="n">
        <v>11.5</v>
      </c>
      <c r="I1176" s="45" t="n">
        <v>1478000</v>
      </c>
      <c r="J1176" s="45" t="n">
        <v>1656690.57</v>
      </c>
      <c r="K1176" s="45" t="n">
        <v>440000</v>
      </c>
      <c r="L1176" s="45" t="n">
        <v>504351.4</v>
      </c>
      <c r="M1176" s="45" t="n">
        <v>719738.276</v>
      </c>
      <c r="N1176" s="45" t="n">
        <v>824999.9988600001</v>
      </c>
      <c r="O1176" s="45" t="n">
        <v>1300854.961</v>
      </c>
      <c r="P1176" s="45" t="n">
        <v>1491104.99906</v>
      </c>
      <c r="Q1176" s="45" t="n">
        <v>0</v>
      </c>
      <c r="R1176" s="45" t="n">
        <v>0</v>
      </c>
      <c r="S1176" s="45" t="n">
        <v>2460593.237</v>
      </c>
      <c r="T1176" s="45" t="n">
        <v>2820456.39792</v>
      </c>
      <c r="U1176" s="15" t="n">
        <v>8.91</v>
      </c>
      <c r="V1176" s="15" t="n">
        <v>18.62</v>
      </c>
      <c r="W1176" s="49" t="n">
        <v>114.625</v>
      </c>
    </row>
    <row r="1177">
      <c r="A1177" s="44" t="inlineStr">
        <is>
          <t>TL Cinsi Sabit Faizli Kuponlu Senetler</t>
        </is>
      </c>
      <c r="B1177" s="44" t="n">
        <v>2017</v>
      </c>
      <c r="C1177" s="44" t="inlineStr">
        <is>
          <t>TRT110718T18</t>
        </is>
      </c>
      <c r="D1177" s="44" t="inlineStr">
        <is>
          <t>04.01.2017</t>
        </is>
      </c>
      <c r="E1177" s="44" t="inlineStr">
        <is>
          <t>11.07.2018</t>
        </is>
      </c>
      <c r="F1177" s="44" t="n">
        <v>553</v>
      </c>
      <c r="G1177" s="44" t="inlineStr">
        <is>
          <t>6 ay</t>
        </is>
      </c>
      <c r="H1177" s="15" t="n">
        <v>4.35</v>
      </c>
      <c r="I1177" s="45" t="n">
        <v>4207600</v>
      </c>
      <c r="J1177" s="45" t="n">
        <v>4266725.812</v>
      </c>
      <c r="K1177" s="45" t="n">
        <v>1104000</v>
      </c>
      <c r="L1177" s="45" t="n">
        <v>1120693.54</v>
      </c>
      <c r="M1177" s="45" t="n">
        <v>492552.603</v>
      </c>
      <c r="N1177" s="45" t="n">
        <v>499999.99836</v>
      </c>
      <c r="O1177" s="45" t="n">
        <v>997813.067</v>
      </c>
      <c r="P1177" s="45" t="n">
        <v>1012900.00058</v>
      </c>
      <c r="Q1177" s="45" t="n">
        <v>140000</v>
      </c>
      <c r="R1177" s="45" t="n">
        <v>142116.8</v>
      </c>
      <c r="S1177" s="45" t="n">
        <v>2734365.67</v>
      </c>
      <c r="T1177" s="45" t="n">
        <v>2775710.33894</v>
      </c>
      <c r="U1177" s="15" t="n">
        <v>5.32</v>
      </c>
      <c r="V1177" s="15" t="n">
        <v>10.93</v>
      </c>
      <c r="W1177" s="49" t="n">
        <v>101.512</v>
      </c>
    </row>
    <row r="1178">
      <c r="A1178" s="44" t="inlineStr">
        <is>
          <t>TL Cinsi Sabit Faizli Kuponlu Senetler</t>
        </is>
      </c>
      <c r="B1178" s="44" t="n">
        <v>2017</v>
      </c>
      <c r="C1178" s="44" t="inlineStr">
        <is>
          <t>TRT220921T18</t>
        </is>
      </c>
      <c r="D1178" s="44" t="inlineStr">
        <is>
          <t>04.01.2017</t>
        </is>
      </c>
      <c r="E1178" s="44" t="inlineStr">
        <is>
          <t>22.09.2021</t>
        </is>
      </c>
      <c r="F1178" s="44" t="n">
        <v>1722</v>
      </c>
      <c r="G1178" s="44" t="inlineStr">
        <is>
          <t>6 ay</t>
        </is>
      </c>
      <c r="H1178" s="15" t="n">
        <v>4.6</v>
      </c>
      <c r="I1178" s="45" t="n">
        <v>1145100</v>
      </c>
      <c r="J1178" s="45" t="n">
        <v>1086827.634</v>
      </c>
      <c r="K1178" s="45" t="n">
        <v>630100</v>
      </c>
      <c r="L1178" s="45" t="n">
        <v>599167.934</v>
      </c>
      <c r="M1178" s="45" t="n">
        <v>841299.3860000001</v>
      </c>
      <c r="N1178" s="45" t="n">
        <v>799999.99914</v>
      </c>
      <c r="O1178" s="45" t="n">
        <v>1080543.902</v>
      </c>
      <c r="P1178" s="45" t="n">
        <v>1027500.00185</v>
      </c>
      <c r="Q1178" s="45" t="n">
        <v>100550.505</v>
      </c>
      <c r="R1178" s="45" t="n">
        <v>95614.48071</v>
      </c>
      <c r="S1178" s="45" t="n">
        <v>2652493.793</v>
      </c>
      <c r="T1178" s="45" t="n">
        <v>2522282.4157</v>
      </c>
      <c r="U1178" s="15" t="n">
        <v>5.62</v>
      </c>
      <c r="V1178" s="15" t="n">
        <v>11.56</v>
      </c>
      <c r="W1178" s="49" t="n">
        <v>95.09099999999999</v>
      </c>
    </row>
    <row r="1179">
      <c r="A1179" s="44" t="inlineStr">
        <is>
          <t>TL Cinsi Sabit Faizli Kuponlu Senetler</t>
        </is>
      </c>
      <c r="B1179" s="44" t="n">
        <v>2017</v>
      </c>
      <c r="C1179" s="44" t="inlineStr">
        <is>
          <t>TRT110226T13</t>
        </is>
      </c>
      <c r="D1179" s="44" t="inlineStr">
        <is>
          <t>04.01.2017</t>
        </is>
      </c>
      <c r="E1179" s="44" t="inlineStr">
        <is>
          <t>11.02.2026</t>
        </is>
      </c>
      <c r="F1179" s="44" t="n">
        <v>3325</v>
      </c>
      <c r="G1179" s="44" t="inlineStr">
        <is>
          <t>6 ay</t>
        </is>
      </c>
      <c r="H1179" s="15" t="n">
        <v>5.3</v>
      </c>
      <c r="I1179" s="45" t="n">
        <v>1861363</v>
      </c>
      <c r="J1179" s="45" t="n">
        <v>1849129.83824</v>
      </c>
      <c r="K1179" s="45" t="n">
        <v>737102</v>
      </c>
      <c r="L1179" s="45" t="n">
        <v>734482.19248</v>
      </c>
      <c r="M1179" s="45" t="n">
        <v>752671.9840000001</v>
      </c>
      <c r="N1179" s="45" t="n">
        <v>749999.99845</v>
      </c>
      <c r="O1179" s="45" t="n">
        <v>970144.0110000001</v>
      </c>
      <c r="P1179" s="45" t="n">
        <v>966699.99976</v>
      </c>
      <c r="Q1179" s="45" t="n">
        <v>61942.395</v>
      </c>
      <c r="R1179" s="45" t="n">
        <v>61722.4995</v>
      </c>
      <c r="S1179" s="45" t="n">
        <v>2521860.39</v>
      </c>
      <c r="T1179" s="45" t="n">
        <v>2512904.69019</v>
      </c>
      <c r="U1179" s="15" t="n">
        <v>5.68</v>
      </c>
      <c r="V1179" s="15" t="n">
        <v>11.67</v>
      </c>
      <c r="W1179" s="49" t="n">
        <v>99.645</v>
      </c>
    </row>
    <row r="1180">
      <c r="A1180" s="44" t="inlineStr">
        <is>
          <t>TL Cinsi Sabit Faizli Kuponlu Senetler</t>
        </is>
      </c>
      <c r="B1180" s="44" t="n">
        <v>2017</v>
      </c>
      <c r="C1180" s="44" t="inlineStr">
        <is>
          <t>TRT110226T13</t>
        </is>
      </c>
      <c r="D1180" s="44" t="inlineStr">
        <is>
          <t>15.02.2017</t>
        </is>
      </c>
      <c r="E1180" s="44" t="inlineStr">
        <is>
          <t>11.02.2026</t>
        </is>
      </c>
      <c r="F1180" s="44" t="n">
        <v>3283</v>
      </c>
      <c r="G1180" s="44" t="inlineStr">
        <is>
          <t>6 ay</t>
        </is>
      </c>
      <c r="H1180" s="15" t="n">
        <v>5.3</v>
      </c>
      <c r="I1180" s="45" t="n">
        <v>3369600</v>
      </c>
      <c r="J1180" s="45" t="n">
        <v>3538237.398</v>
      </c>
      <c r="K1180" s="45" t="n">
        <v>1183000</v>
      </c>
      <c r="L1180" s="45" t="n">
        <v>1244768.45</v>
      </c>
      <c r="M1180" s="45" t="n">
        <v>556685.451</v>
      </c>
      <c r="N1180" s="45" t="n">
        <v>585749.99839</v>
      </c>
      <c r="O1180" s="45" t="n">
        <v>579371.04</v>
      </c>
      <c r="P1180" s="45" t="n">
        <v>609620.0020100001</v>
      </c>
      <c r="Q1180" s="45" t="n">
        <v>19200</v>
      </c>
      <c r="R1180" s="45" t="n">
        <v>20202.432</v>
      </c>
      <c r="S1180" s="45" t="n">
        <v>2338256.491</v>
      </c>
      <c r="T1180" s="45" t="n">
        <v>2460340.8824</v>
      </c>
      <c r="U1180" s="15" t="n">
        <v>5.29</v>
      </c>
      <c r="V1180" s="15" t="n">
        <v>10.86</v>
      </c>
      <c r="W1180" s="49" t="n">
        <v>105.221</v>
      </c>
    </row>
    <row r="1181">
      <c r="A1181" s="44" t="inlineStr">
        <is>
          <t>TL Cinsi Sabit Faizli Kuponlu Senetler</t>
        </is>
      </c>
      <c r="B1181" s="44" t="n">
        <v>2017</v>
      </c>
      <c r="C1181" s="44" t="inlineStr">
        <is>
          <t>TRT220921T18</t>
        </is>
      </c>
      <c r="D1181" s="44" t="inlineStr">
        <is>
          <t>22.02.2017</t>
        </is>
      </c>
      <c r="E1181" s="44" t="inlineStr">
        <is>
          <t>22.09.2021</t>
        </is>
      </c>
      <c r="F1181" s="44" t="n">
        <v>1673</v>
      </c>
      <c r="G1181" s="44" t="inlineStr">
        <is>
          <t>6 ay</t>
        </is>
      </c>
      <c r="H1181" s="15" t="n">
        <v>4.6</v>
      </c>
      <c r="I1181" s="45" t="n">
        <v>1974803.095</v>
      </c>
      <c r="J1181" s="45" t="n">
        <v>1938593.2131</v>
      </c>
      <c r="K1181" s="45" t="n">
        <v>996200</v>
      </c>
      <c r="L1181" s="45" t="n">
        <v>979132.882</v>
      </c>
      <c r="M1181" s="45" t="n">
        <v>305228.565</v>
      </c>
      <c r="N1181" s="45" t="n">
        <v>299999.99968</v>
      </c>
      <c r="O1181" s="45" t="n">
        <v>507595.105</v>
      </c>
      <c r="P1181" s="45" t="n">
        <v>498900.00086</v>
      </c>
      <c r="Q1181" s="45" t="n">
        <v>198022.842</v>
      </c>
      <c r="R1181" s="45" t="n">
        <v>194630.71071</v>
      </c>
      <c r="S1181" s="45" t="n">
        <v>2007046.512</v>
      </c>
      <c r="T1181" s="45" t="n">
        <v>1972663.59325</v>
      </c>
      <c r="U1181" s="15" t="n">
        <v>5.36</v>
      </c>
      <c r="V1181" s="15" t="n">
        <v>11.01</v>
      </c>
      <c r="W1181" s="49" t="n">
        <v>98.28700000000001</v>
      </c>
    </row>
    <row r="1182">
      <c r="A1182" s="44" t="inlineStr">
        <is>
          <t>TL Cinsi Sabit Faizli Kuponlu Senetler</t>
        </is>
      </c>
      <c r="B1182" s="44" t="n">
        <v>2017</v>
      </c>
      <c r="C1182" s="44" t="inlineStr">
        <is>
          <t>TRT020322T17</t>
        </is>
      </c>
      <c r="D1182" s="44" t="inlineStr">
        <is>
          <t>08.03.2017</t>
        </is>
      </c>
      <c r="E1182" s="44" t="inlineStr">
        <is>
          <t>02.03.2022</t>
        </is>
      </c>
      <c r="F1182" s="44" t="n">
        <v>1820</v>
      </c>
      <c r="G1182" s="44" t="inlineStr">
        <is>
          <t>6 ay</t>
        </is>
      </c>
      <c r="H1182" s="15" t="n">
        <v>5.5</v>
      </c>
      <c r="I1182" s="45" t="n">
        <v>2727000</v>
      </c>
      <c r="J1182" s="45" t="n">
        <v>2704616.897</v>
      </c>
      <c r="K1182" s="45" t="n">
        <v>1942000</v>
      </c>
      <c r="L1182" s="45" t="n">
        <v>1928775.847</v>
      </c>
      <c r="M1182" s="45" t="n">
        <v>1032028.111</v>
      </c>
      <c r="N1182" s="45" t="n">
        <v>1024999.99957</v>
      </c>
      <c r="O1182" s="45" t="n">
        <v>1309724.221</v>
      </c>
      <c r="P1182" s="45" t="n">
        <v>1300804.99905</v>
      </c>
      <c r="Q1182" s="45" t="n">
        <v>347038.002</v>
      </c>
      <c r="R1182" s="45" t="n">
        <v>344674.67321</v>
      </c>
      <c r="S1182" s="45" t="n">
        <v>4630790.334000001</v>
      </c>
      <c r="T1182" s="45" t="n">
        <v>4599255.518829999</v>
      </c>
      <c r="U1182" s="15" t="n">
        <v>5.59</v>
      </c>
      <c r="V1182" s="15" t="n">
        <v>11.49</v>
      </c>
      <c r="W1182" s="49" t="n">
        <v>99.319</v>
      </c>
    </row>
    <row r="1183">
      <c r="A1183" s="44" t="inlineStr">
        <is>
          <t>TL Cinsi Sabit Faizli Kuponlu Senetler</t>
        </is>
      </c>
      <c r="B1183" s="44" t="n">
        <v>2017</v>
      </c>
      <c r="C1183" s="44" t="inlineStr">
        <is>
          <t>TRT110718T18</t>
        </is>
      </c>
      <c r="D1183" s="44" t="inlineStr">
        <is>
          <t>08.03.2017</t>
        </is>
      </c>
      <c r="E1183" s="44" t="inlineStr">
        <is>
          <t>11.07.2018</t>
        </is>
      </c>
      <c r="F1183" s="44" t="n">
        <v>490</v>
      </c>
      <c r="G1183" s="44" t="inlineStr">
        <is>
          <t>6 ay</t>
        </is>
      </c>
      <c r="H1183" s="15" t="n">
        <v>4.35</v>
      </c>
      <c r="I1183" s="45" t="n">
        <v>3194100</v>
      </c>
      <c r="J1183" s="45" t="n">
        <v>3136075.242</v>
      </c>
      <c r="K1183" s="45" t="n">
        <v>1124400</v>
      </c>
      <c r="L1183" s="45" t="n">
        <v>1105851.302</v>
      </c>
      <c r="M1183" s="45" t="n">
        <v>533807.829</v>
      </c>
      <c r="N1183" s="45" t="n">
        <v>524999.99982</v>
      </c>
      <c r="O1183" s="45" t="n">
        <v>814056.9399999999</v>
      </c>
      <c r="P1183" s="45" t="n">
        <v>800625.00049</v>
      </c>
      <c r="Q1183" s="45" t="n">
        <v>270527.767</v>
      </c>
      <c r="R1183" s="45" t="n">
        <v>266064.05884</v>
      </c>
      <c r="S1183" s="45" t="n">
        <v>2742792.536</v>
      </c>
      <c r="T1183" s="45" t="n">
        <v>2697540.36115</v>
      </c>
      <c r="U1183" s="15" t="n">
        <v>5.57</v>
      </c>
      <c r="V1183" s="15" t="n">
        <v>11.44</v>
      </c>
      <c r="W1183" s="49" t="n">
        <v>98.34999999999999</v>
      </c>
    </row>
    <row r="1184">
      <c r="A1184" s="44" t="inlineStr">
        <is>
          <t>TL Cinsi Sabit Faizli Kuponlu Senetler</t>
        </is>
      </c>
      <c r="B1184" s="44" t="n">
        <v>2017</v>
      </c>
      <c r="C1184" s="44" t="inlineStr">
        <is>
          <t>TRT240227T17</t>
        </is>
      </c>
      <c r="D1184" s="44" t="inlineStr">
        <is>
          <t>08.03.2017</t>
        </is>
      </c>
      <c r="E1184" s="44" t="inlineStr">
        <is>
          <t>24.02.2027</t>
        </is>
      </c>
      <c r="F1184" s="44" t="n">
        <v>3640</v>
      </c>
      <c r="G1184" s="44" t="inlineStr">
        <is>
          <t>6 ay</t>
        </is>
      </c>
      <c r="H1184" s="15" t="n">
        <v>5.5</v>
      </c>
      <c r="I1184" s="45" t="n">
        <v>4715289.653</v>
      </c>
      <c r="J1184" s="45" t="n">
        <v>4701097.47986</v>
      </c>
      <c r="K1184" s="45" t="n">
        <v>2189689.653</v>
      </c>
      <c r="L1184" s="45" t="n">
        <v>2188867.19686</v>
      </c>
      <c r="M1184" s="45" t="n">
        <v>1500570.216</v>
      </c>
      <c r="N1184" s="45" t="n">
        <v>1499999.99932</v>
      </c>
      <c r="O1184" s="45" t="n">
        <v>1562993.938</v>
      </c>
      <c r="P1184" s="45" t="n">
        <v>1562400.00031</v>
      </c>
      <c r="Q1184" s="45" t="n">
        <v>379393.621</v>
      </c>
      <c r="R1184" s="45" t="n">
        <v>379249.45143</v>
      </c>
      <c r="S1184" s="45" t="n">
        <v>5632647.428</v>
      </c>
      <c r="T1184" s="45" t="n">
        <v>5630516.647919999</v>
      </c>
      <c r="U1184" s="15" t="n">
        <v>5.5</v>
      </c>
      <c r="V1184" s="15" t="n">
        <v>11.31</v>
      </c>
      <c r="W1184" s="49" t="n">
        <v>99.962</v>
      </c>
    </row>
    <row r="1185">
      <c r="A1185" s="44" t="inlineStr">
        <is>
          <t>TL Cinsi Sabit Faizli Kuponlu Senetler</t>
        </is>
      </c>
      <c r="B1185" s="44" t="n">
        <v>2017</v>
      </c>
      <c r="C1185" s="44" t="inlineStr">
        <is>
          <t>TRT240227T17</t>
        </is>
      </c>
      <c r="D1185" s="44" t="inlineStr">
        <is>
          <t>05.04.2017</t>
        </is>
      </c>
      <c r="E1185" s="44" t="inlineStr">
        <is>
          <t>24.02.2027</t>
        </is>
      </c>
      <c r="F1185" s="44" t="n">
        <v>3612</v>
      </c>
      <c r="G1185" s="44" t="inlineStr">
        <is>
          <t>6 ay</t>
        </is>
      </c>
      <c r="H1185" s="15" t="n">
        <v>5.5</v>
      </c>
      <c r="I1185" s="45" t="n">
        <v>2579537.5</v>
      </c>
      <c r="J1185" s="45" t="n">
        <v>2647801.93213</v>
      </c>
      <c r="K1185" s="45" t="n">
        <v>1235000</v>
      </c>
      <c r="L1185" s="45" t="n">
        <v>1271331.94</v>
      </c>
      <c r="M1185" s="45" t="n">
        <v>301140.448</v>
      </c>
      <c r="N1185" s="45" t="n">
        <v>309999.99998</v>
      </c>
      <c r="O1185" s="45" t="n">
        <v>562957.784</v>
      </c>
      <c r="P1185" s="45" t="n">
        <v>579520.002</v>
      </c>
      <c r="Q1185" s="45" t="n">
        <v>0</v>
      </c>
      <c r="R1185" s="45" t="n">
        <v>0</v>
      </c>
      <c r="S1185" s="45" t="n">
        <v>2099098.232</v>
      </c>
      <c r="T1185" s="45" t="n">
        <v>2160851.94198</v>
      </c>
      <c r="U1185" s="15" t="n">
        <v>5.32</v>
      </c>
      <c r="V1185" s="15" t="n">
        <v>10.93</v>
      </c>
      <c r="W1185" s="49" t="n">
        <v>102.942</v>
      </c>
    </row>
    <row r="1186">
      <c r="A1186" s="44" t="inlineStr">
        <is>
          <t>TL Cinsi Sabit Faizli Kuponlu Senetler</t>
        </is>
      </c>
      <c r="B1186" s="44" t="n">
        <v>2017</v>
      </c>
      <c r="C1186" s="44" t="inlineStr">
        <is>
          <t>TRT020322T17</t>
        </is>
      </c>
      <c r="D1186" s="44" t="inlineStr">
        <is>
          <t>26.04.2017</t>
        </is>
      </c>
      <c r="E1186" s="44" t="inlineStr">
        <is>
          <t>02.03.2022</t>
        </is>
      </c>
      <c r="F1186" s="44" t="n">
        <v>1771</v>
      </c>
      <c r="G1186" s="44" t="inlineStr">
        <is>
          <t>6 ay</t>
        </is>
      </c>
      <c r="H1186" s="15" t="n">
        <v>5.5</v>
      </c>
      <c r="I1186" s="45" t="n">
        <v>1305507.35</v>
      </c>
      <c r="J1186" s="45" t="n">
        <v>1340579.43024</v>
      </c>
      <c r="K1186" s="45" t="n">
        <v>535000</v>
      </c>
      <c r="L1186" s="45" t="n">
        <v>550326.1899999999</v>
      </c>
      <c r="M1186" s="45" t="n">
        <v>622174.694</v>
      </c>
      <c r="N1186" s="45" t="n">
        <v>639999.99898</v>
      </c>
      <c r="O1186" s="45" t="n">
        <v>488640.452</v>
      </c>
      <c r="P1186" s="45" t="n">
        <v>502640.00095</v>
      </c>
      <c r="Q1186" s="45" t="n">
        <v>0</v>
      </c>
      <c r="R1186" s="45" t="n">
        <v>0</v>
      </c>
      <c r="S1186" s="45" t="n">
        <v>1645815.146</v>
      </c>
      <c r="T1186" s="45" t="n">
        <v>1692966.18993</v>
      </c>
      <c r="U1186" s="15" t="n">
        <v>5.31</v>
      </c>
      <c r="V1186" s="15" t="n">
        <v>10.9</v>
      </c>
      <c r="W1186" s="49" t="n">
        <v>102.865</v>
      </c>
    </row>
    <row r="1187">
      <c r="A1187" s="44" t="inlineStr">
        <is>
          <t>TL Cinsi Sabit Faizli Kuponlu Senetler</t>
        </is>
      </c>
      <c r="B1187" s="44" t="n">
        <v>2017</v>
      </c>
      <c r="C1187" s="44" t="inlineStr">
        <is>
          <t>TRT150519T15</t>
        </is>
      </c>
      <c r="D1187" s="44" t="inlineStr">
        <is>
          <t>17.05.2017</t>
        </is>
      </c>
      <c r="E1187" s="44" t="inlineStr">
        <is>
          <t>15.05.2019</t>
        </is>
      </c>
      <c r="F1187" s="44" t="n">
        <v>728</v>
      </c>
      <c r="G1187" s="44" t="inlineStr">
        <is>
          <t>6 ay</t>
        </is>
      </c>
      <c r="H1187" s="15" t="n">
        <v>5.55</v>
      </c>
      <c r="I1187" s="45" t="n">
        <v>1773700</v>
      </c>
      <c r="J1187" s="45" t="n">
        <v>1772840.139</v>
      </c>
      <c r="K1187" s="45" t="n">
        <v>1055000</v>
      </c>
      <c r="L1187" s="45" t="n">
        <v>1055159.28</v>
      </c>
      <c r="M1187" s="45" t="n">
        <v>553916.912</v>
      </c>
      <c r="N1187" s="45" t="n">
        <v>553999.99954</v>
      </c>
      <c r="O1187" s="45" t="n">
        <v>761885.7169999999</v>
      </c>
      <c r="P1187" s="45" t="n">
        <v>761999.99986</v>
      </c>
      <c r="Q1187" s="45" t="n">
        <v>0</v>
      </c>
      <c r="R1187" s="45" t="n">
        <v>0</v>
      </c>
      <c r="S1187" s="45" t="n">
        <v>2370802.629</v>
      </c>
      <c r="T1187" s="45" t="n">
        <v>2371159.2794</v>
      </c>
      <c r="U1187" s="15" t="n">
        <v>5.55</v>
      </c>
      <c r="V1187" s="15" t="n">
        <v>11.4</v>
      </c>
      <c r="W1187" s="49" t="n">
        <v>100.015</v>
      </c>
    </row>
    <row r="1188">
      <c r="A1188" s="44" t="inlineStr">
        <is>
          <t>TL Cinsi Sabit Faizli Kuponlu Senetler</t>
        </is>
      </c>
      <c r="B1188" s="44" t="n">
        <v>2017</v>
      </c>
      <c r="C1188" s="44" t="inlineStr">
        <is>
          <t>TRT020322T17</t>
        </is>
      </c>
      <c r="D1188" s="44" t="inlineStr">
        <is>
          <t>17.05.2017</t>
        </is>
      </c>
      <c r="E1188" s="44" t="inlineStr">
        <is>
          <t>02.03.2022</t>
        </is>
      </c>
      <c r="F1188" s="44" t="n">
        <v>1750</v>
      </c>
      <c r="G1188" s="44" t="inlineStr">
        <is>
          <t>6 ay</t>
        </is>
      </c>
      <c r="H1188" s="15" t="n">
        <v>5.5</v>
      </c>
      <c r="I1188" s="45" t="n">
        <v>1404600</v>
      </c>
      <c r="J1188" s="45" t="n">
        <v>1449830.859</v>
      </c>
      <c r="K1188" s="45" t="n">
        <v>789600</v>
      </c>
      <c r="L1188" s="45" t="n">
        <v>815497.6090000001</v>
      </c>
      <c r="M1188" s="45" t="n">
        <v>668086.753</v>
      </c>
      <c r="N1188" s="45" t="n">
        <v>689999.9985</v>
      </c>
      <c r="O1188" s="45" t="n">
        <v>937742.061</v>
      </c>
      <c r="P1188" s="45" t="n">
        <v>968500.0006199999</v>
      </c>
      <c r="Q1188" s="45" t="n">
        <v>0</v>
      </c>
      <c r="R1188" s="45" t="n">
        <v>0</v>
      </c>
      <c r="S1188" s="45" t="n">
        <v>2395428.814</v>
      </c>
      <c r="T1188" s="45" t="n">
        <v>2473997.60812</v>
      </c>
      <c r="U1188" s="15" t="n">
        <v>5.34</v>
      </c>
      <c r="V1188" s="15" t="n">
        <v>10.96</v>
      </c>
      <c r="W1188" s="49" t="n">
        <v>103.28</v>
      </c>
    </row>
    <row r="1189">
      <c r="A1189" s="44" t="inlineStr">
        <is>
          <t>TL Cinsi Sabit Faizli Kuponlu Senetler</t>
        </is>
      </c>
      <c r="B1189" s="44" t="n">
        <v>2017</v>
      </c>
      <c r="C1189" s="44" t="inlineStr">
        <is>
          <t>TRT020322T17</t>
        </is>
      </c>
      <c r="D1189" s="44" t="inlineStr">
        <is>
          <t>14.06.2017</t>
        </is>
      </c>
      <c r="E1189" s="44" t="inlineStr">
        <is>
          <t>02.03.2022</t>
        </is>
      </c>
      <c r="F1189" s="44" t="n">
        <v>1722</v>
      </c>
      <c r="G1189" s="44" t="inlineStr">
        <is>
          <t>6 ay</t>
        </is>
      </c>
      <c r="H1189" s="15" t="n">
        <v>5.5</v>
      </c>
      <c r="I1189" s="45" t="n">
        <v>4276300</v>
      </c>
      <c r="J1189" s="45" t="n">
        <v>4488849.646</v>
      </c>
      <c r="K1189" s="45" t="n">
        <v>2415000</v>
      </c>
      <c r="L1189" s="45" t="n">
        <v>2538782.84</v>
      </c>
      <c r="M1189" s="45" t="n">
        <v>922702.281</v>
      </c>
      <c r="N1189" s="45" t="n">
        <v>969999.99992</v>
      </c>
      <c r="O1189" s="45" t="n">
        <v>1074520.1</v>
      </c>
      <c r="P1189" s="45" t="n">
        <v>1129600.00033</v>
      </c>
      <c r="Q1189" s="45" t="n">
        <v>0</v>
      </c>
      <c r="R1189" s="45" t="n">
        <v>0</v>
      </c>
      <c r="S1189" s="45" t="n">
        <v>4412222.381</v>
      </c>
      <c r="T1189" s="45" t="n">
        <v>4638382.84025</v>
      </c>
      <c r="U1189" s="15" t="n">
        <v>5.2</v>
      </c>
      <c r="V1189" s="15" t="n">
        <v>10.67</v>
      </c>
      <c r="W1189" s="49" t="n">
        <v>105.126</v>
      </c>
    </row>
    <row r="1190">
      <c r="A1190" s="44" t="inlineStr">
        <is>
          <t>TL Cinsi Sabit Faizli Kuponlu Senetler</t>
        </is>
      </c>
      <c r="B1190" s="44" t="n">
        <v>2017</v>
      </c>
      <c r="C1190" s="44" t="inlineStr">
        <is>
          <t>TRT150519T15</t>
        </is>
      </c>
      <c r="D1190" s="44" t="inlineStr">
        <is>
          <t>14.06.2017</t>
        </is>
      </c>
      <c r="E1190" s="44" t="inlineStr">
        <is>
          <t>15.05.2019</t>
        </is>
      </c>
      <c r="F1190" s="44" t="n">
        <v>700</v>
      </c>
      <c r="G1190" s="44" t="inlineStr">
        <is>
          <t>6 ay</t>
        </is>
      </c>
      <c r="H1190" s="15" t="n">
        <v>5.55</v>
      </c>
      <c r="I1190" s="45" t="n">
        <v>1972500</v>
      </c>
      <c r="J1190" s="45" t="n">
        <v>1997301.805</v>
      </c>
      <c r="K1190" s="45" t="n">
        <v>1405500</v>
      </c>
      <c r="L1190" s="45" t="n">
        <v>1423861.875</v>
      </c>
      <c r="M1190" s="45" t="n">
        <v>394843.345</v>
      </c>
      <c r="N1190" s="45" t="n">
        <v>399999.99909</v>
      </c>
      <c r="O1190" s="45" t="n">
        <v>529287.505</v>
      </c>
      <c r="P1190" s="45" t="n">
        <v>536199.99981</v>
      </c>
      <c r="Q1190" s="45" t="n">
        <v>173667.434</v>
      </c>
      <c r="R1190" s="45" t="n">
        <v>175935.53069</v>
      </c>
      <c r="S1190" s="45" t="n">
        <v>2503298.284</v>
      </c>
      <c r="T1190" s="45" t="n">
        <v>2535997.40459</v>
      </c>
      <c r="U1190" s="15" t="n">
        <v>5.41</v>
      </c>
      <c r="V1190" s="15" t="n">
        <v>11.11</v>
      </c>
      <c r="W1190" s="49" t="n">
        <v>101.306</v>
      </c>
    </row>
    <row r="1191">
      <c r="A1191" s="44" t="inlineStr">
        <is>
          <t>TL Cinsi Sabit Faizli Kuponlu Senetler</t>
        </is>
      </c>
      <c r="B1191" s="44" t="n">
        <v>2017</v>
      </c>
      <c r="C1191" s="44" t="inlineStr">
        <is>
          <t>TRT240227T17</t>
        </is>
      </c>
      <c r="D1191" s="44" t="inlineStr">
        <is>
          <t>14.06.2017</t>
        </is>
      </c>
      <c r="E1191" s="44" t="inlineStr">
        <is>
          <t>24.02.2027</t>
        </is>
      </c>
      <c r="F1191" s="44" t="n">
        <v>3542</v>
      </c>
      <c r="G1191" s="44" t="inlineStr">
        <is>
          <t>6 ay</t>
        </is>
      </c>
      <c r="H1191" s="15" t="n">
        <v>5.5</v>
      </c>
      <c r="I1191" s="45" t="n">
        <v>2620300</v>
      </c>
      <c r="J1191" s="45" t="n">
        <v>2809622.657</v>
      </c>
      <c r="K1191" s="45" t="n">
        <v>1922300</v>
      </c>
      <c r="L1191" s="45" t="n">
        <v>2065601.287</v>
      </c>
      <c r="M1191" s="45" t="n">
        <v>837559.9080000001</v>
      </c>
      <c r="N1191" s="45" t="n">
        <v>899999.99914</v>
      </c>
      <c r="O1191" s="45" t="n">
        <v>726350.5649999999</v>
      </c>
      <c r="P1191" s="45" t="n">
        <v>780499.99962</v>
      </c>
      <c r="Q1191" s="45" t="n">
        <v>0</v>
      </c>
      <c r="R1191" s="45" t="n">
        <v>0</v>
      </c>
      <c r="S1191" s="45" t="n">
        <v>3486210.473</v>
      </c>
      <c r="T1191" s="45" t="n">
        <v>3746101.28576</v>
      </c>
      <c r="U1191" s="15" t="n">
        <v>5.13</v>
      </c>
      <c r="V1191" s="15" t="n">
        <v>10.52</v>
      </c>
      <c r="W1191" s="49" t="n">
        <v>107.455</v>
      </c>
    </row>
    <row r="1192">
      <c r="A1192" s="44" t="inlineStr">
        <is>
          <t>TL Cinsi Sabit Faizli Kuponlu Senetler</t>
        </is>
      </c>
      <c r="B1192" s="44" t="n">
        <v>2017</v>
      </c>
      <c r="C1192" s="44" t="inlineStr">
        <is>
          <t>TRT150519T15</t>
        </is>
      </c>
      <c r="D1192" s="44" t="inlineStr">
        <is>
          <t>12.07.2017</t>
        </is>
      </c>
      <c r="E1192" s="44" t="inlineStr">
        <is>
          <t>15.05.2019</t>
        </is>
      </c>
      <c r="F1192" s="44" t="n">
        <v>672</v>
      </c>
      <c r="G1192" s="44" t="inlineStr">
        <is>
          <t>6 ay</t>
        </is>
      </c>
      <c r="H1192" s="15" t="n">
        <v>5.55</v>
      </c>
      <c r="I1192" s="45" t="n">
        <v>3836004.85</v>
      </c>
      <c r="J1192" s="45" t="n">
        <v>3885303.84846</v>
      </c>
      <c r="K1192" s="45" t="n">
        <v>1968000</v>
      </c>
      <c r="L1192" s="45" t="n">
        <v>1994425.43</v>
      </c>
      <c r="M1192" s="45" t="n">
        <v>294050.896</v>
      </c>
      <c r="N1192" s="45" t="n">
        <v>297999.99953</v>
      </c>
      <c r="O1192" s="45" t="n">
        <v>1042795.26</v>
      </c>
      <c r="P1192" s="45" t="n">
        <v>1056800.00035</v>
      </c>
      <c r="Q1192" s="45" t="n">
        <v>348437.457</v>
      </c>
      <c r="R1192" s="45" t="n">
        <v>353116.97205</v>
      </c>
      <c r="S1192" s="45" t="n">
        <v>3653283.613</v>
      </c>
      <c r="T1192" s="45" t="n">
        <v>3702342.40193</v>
      </c>
      <c r="U1192" s="15" t="n">
        <v>5.65</v>
      </c>
      <c r="V1192" s="15" t="n">
        <v>11.62</v>
      </c>
      <c r="W1192" s="49" t="n">
        <v>101.343</v>
      </c>
    </row>
    <row r="1193">
      <c r="A1193" s="44" t="inlineStr">
        <is>
          <t>TL Cinsi Sabit Faizli Kuponlu Senetler</t>
        </is>
      </c>
      <c r="B1193" s="44" t="n">
        <v>2017</v>
      </c>
      <c r="C1193" s="44" t="inlineStr">
        <is>
          <t>TRT020322T17</t>
        </is>
      </c>
      <c r="D1193" s="44" t="inlineStr">
        <is>
          <t>19.07.2017</t>
        </is>
      </c>
      <c r="E1193" s="44" t="inlineStr">
        <is>
          <t>02.03.2022</t>
        </is>
      </c>
      <c r="F1193" s="44" t="n">
        <v>1687</v>
      </c>
      <c r="G1193" s="44" t="inlineStr">
        <is>
          <t>6 ay</t>
        </is>
      </c>
      <c r="H1193" s="15" t="n">
        <v>5.5</v>
      </c>
      <c r="I1193" s="45" t="n">
        <v>3765257.4</v>
      </c>
      <c r="J1193" s="45" t="n">
        <v>3973851.45192</v>
      </c>
      <c r="K1193" s="45" t="n">
        <v>986500</v>
      </c>
      <c r="L1193" s="45" t="n">
        <v>1043715.265</v>
      </c>
      <c r="M1193" s="45" t="n">
        <v>765595.463</v>
      </c>
      <c r="N1193" s="45" t="n">
        <v>809999.99986</v>
      </c>
      <c r="O1193" s="45" t="n">
        <v>1800000</v>
      </c>
      <c r="P1193" s="45" t="n">
        <v>1904400</v>
      </c>
      <c r="Q1193" s="45" t="n">
        <v>199852.569</v>
      </c>
      <c r="R1193" s="45" t="n">
        <v>211444.018</v>
      </c>
      <c r="S1193" s="45" t="n">
        <v>3751948.032</v>
      </c>
      <c r="T1193" s="45" t="n">
        <v>3969559.28286</v>
      </c>
      <c r="U1193" s="15" t="n">
        <v>5.25</v>
      </c>
      <c r="V1193" s="15" t="n">
        <v>10.77</v>
      </c>
      <c r="W1193" s="49" t="n">
        <v>105.8</v>
      </c>
    </row>
    <row r="1194">
      <c r="A1194" s="44" t="inlineStr">
        <is>
          <t>TL Cinsi Sabit Faizli Kuponlu Senetler</t>
        </is>
      </c>
      <c r="B1194" s="44" t="n">
        <v>2017</v>
      </c>
      <c r="C1194" s="44" t="inlineStr">
        <is>
          <t>TRT240227T17</t>
        </is>
      </c>
      <c r="D1194" s="44" t="inlineStr">
        <is>
          <t>19.07.2017</t>
        </is>
      </c>
      <c r="E1194" s="44" t="inlineStr">
        <is>
          <t>24.02.2027</t>
        </is>
      </c>
      <c r="F1194" s="44" t="n">
        <v>3507</v>
      </c>
      <c r="G1194" s="44" t="inlineStr">
        <is>
          <t>6 ay</t>
        </is>
      </c>
      <c r="H1194" s="15" t="n">
        <v>5.5</v>
      </c>
      <c r="I1194" s="45" t="n">
        <v>5695400</v>
      </c>
      <c r="J1194" s="45" t="n">
        <v>6129053.599</v>
      </c>
      <c r="K1194" s="45" t="n">
        <v>2213000</v>
      </c>
      <c r="L1194" s="45" t="n">
        <v>2387907.64</v>
      </c>
      <c r="M1194" s="45" t="n">
        <v>657992.289</v>
      </c>
      <c r="N1194" s="45" t="n">
        <v>709999.99952</v>
      </c>
      <c r="O1194" s="45" t="n">
        <v>1568894.573</v>
      </c>
      <c r="P1194" s="45" t="n">
        <v>1692900.00006</v>
      </c>
      <c r="Q1194" s="45" t="n">
        <v>450568.652</v>
      </c>
      <c r="R1194" s="45" t="n">
        <v>486181.59826</v>
      </c>
      <c r="S1194" s="45" t="n">
        <v>4890455.514</v>
      </c>
      <c r="T1194" s="45" t="n">
        <v>5276989.237840001</v>
      </c>
      <c r="U1194" s="15" t="n">
        <v>5.17</v>
      </c>
      <c r="V1194" s="15" t="n">
        <v>10.62</v>
      </c>
      <c r="W1194" s="49" t="n">
        <v>107.904</v>
      </c>
    </row>
    <row r="1195">
      <c r="A1195" s="44" t="inlineStr">
        <is>
          <t>TL Cinsi Sabit Faizli Kuponlu Senetler</t>
        </is>
      </c>
      <c r="B1195" s="44" t="n">
        <v>2017</v>
      </c>
      <c r="C1195" s="44" t="inlineStr">
        <is>
          <t>TRT170822T15</t>
        </is>
      </c>
      <c r="D1195" s="44" t="inlineStr">
        <is>
          <t>23.08.2017</t>
        </is>
      </c>
      <c r="E1195" s="44" t="inlineStr">
        <is>
          <t>17.08.2022</t>
        </is>
      </c>
      <c r="F1195" s="44" t="n">
        <v>1820</v>
      </c>
      <c r="G1195" s="44" t="inlineStr">
        <is>
          <t>6 ay</t>
        </is>
      </c>
      <c r="H1195" s="15" t="n">
        <v>5.35</v>
      </c>
      <c r="I1195" s="45" t="n">
        <v>3225400</v>
      </c>
      <c r="J1195" s="45" t="n">
        <v>3225237.397</v>
      </c>
      <c r="K1195" s="45" t="n">
        <v>1694000</v>
      </c>
      <c r="L1195" s="45" t="n">
        <v>1696956.25</v>
      </c>
      <c r="M1195" s="45" t="n">
        <v>339406.039</v>
      </c>
      <c r="N1195" s="45" t="n">
        <v>339999.99957</v>
      </c>
      <c r="O1195" s="45" t="n">
        <v>1355791.364</v>
      </c>
      <c r="P1195" s="45" t="n">
        <v>1358163.99889</v>
      </c>
      <c r="Q1195" s="45" t="n">
        <v>90538.83100000001</v>
      </c>
      <c r="R1195" s="45" t="n">
        <v>90697.27395</v>
      </c>
      <c r="S1195" s="45" t="n">
        <v>3479736.234</v>
      </c>
      <c r="T1195" s="45" t="n">
        <v>3485817.52241</v>
      </c>
      <c r="U1195" s="15" t="n">
        <v>5.33</v>
      </c>
      <c r="V1195" s="15" t="n">
        <v>10.94</v>
      </c>
      <c r="W1195" s="49" t="n">
        <v>100.175</v>
      </c>
    </row>
    <row r="1196">
      <c r="A1196" s="44" t="inlineStr">
        <is>
          <t>TL Cinsi Sabit Faizli Kuponlu Senetler</t>
        </is>
      </c>
      <c r="B1196" s="44" t="n">
        <v>2017</v>
      </c>
      <c r="C1196" s="44" t="inlineStr">
        <is>
          <t>TRT150519T15</t>
        </is>
      </c>
      <c r="D1196" s="44" t="inlineStr">
        <is>
          <t>23.08.2017</t>
        </is>
      </c>
      <c r="E1196" s="44" t="inlineStr">
        <is>
          <t>15.05.2019</t>
        </is>
      </c>
      <c r="F1196" s="44" t="n">
        <v>630</v>
      </c>
      <c r="G1196" s="44" t="inlineStr">
        <is>
          <t>6 ay</t>
        </is>
      </c>
      <c r="H1196" s="15" t="n">
        <v>5.55</v>
      </c>
      <c r="I1196" s="45" t="n">
        <v>1855150</v>
      </c>
      <c r="J1196" s="45" t="n">
        <v>1899889.357</v>
      </c>
      <c r="K1196" s="45" t="n">
        <v>833000</v>
      </c>
      <c r="L1196" s="45" t="n">
        <v>853882.9300000001</v>
      </c>
      <c r="M1196" s="45" t="n">
        <v>117065.176</v>
      </c>
      <c r="N1196" s="45" t="n">
        <v>119999.99996</v>
      </c>
      <c r="O1196" s="45" t="n">
        <v>875062.1899999999</v>
      </c>
      <c r="P1196" s="45" t="n">
        <v>896999.99911</v>
      </c>
      <c r="Q1196" s="45" t="n">
        <v>0</v>
      </c>
      <c r="R1196" s="45" t="n">
        <v>0</v>
      </c>
      <c r="S1196" s="45" t="n">
        <v>1825127.366</v>
      </c>
      <c r="T1196" s="45" t="n">
        <v>1870882.92907</v>
      </c>
      <c r="U1196" s="15" t="n">
        <v>5.69</v>
      </c>
      <c r="V1196" s="15" t="n">
        <v>11.71</v>
      </c>
      <c r="W1196" s="49" t="n">
        <v>102.507</v>
      </c>
    </row>
    <row r="1197">
      <c r="A1197" s="44" t="inlineStr">
        <is>
          <t>TL Cinsi Sabit Faizli Kuponlu Senetler</t>
        </is>
      </c>
      <c r="B1197" s="44" t="n">
        <v>2017</v>
      </c>
      <c r="C1197" s="44" t="inlineStr">
        <is>
          <t>TRT110827T16</t>
        </is>
      </c>
      <c r="D1197" s="44" t="inlineStr">
        <is>
          <t>23.08.2017</t>
        </is>
      </c>
      <c r="E1197" s="44" t="inlineStr">
        <is>
          <t>11.08.2027</t>
        </is>
      </c>
      <c r="F1197" s="44" t="n">
        <v>3640</v>
      </c>
      <c r="G1197" s="44" t="inlineStr">
        <is>
          <t>6 ay</t>
        </is>
      </c>
      <c r="H1197" s="15" t="n">
        <v>5.25</v>
      </c>
      <c r="I1197" s="45" t="n">
        <v>2262100</v>
      </c>
      <c r="J1197" s="45" t="n">
        <v>2272212.409</v>
      </c>
      <c r="K1197" s="45" t="n">
        <v>1382900</v>
      </c>
      <c r="L1197" s="45" t="n">
        <v>1392347.694</v>
      </c>
      <c r="M1197" s="45" t="n">
        <v>89389.469</v>
      </c>
      <c r="N1197" s="45" t="n">
        <v>89999.99907000001</v>
      </c>
      <c r="O1197" s="45" t="n">
        <v>1145282.125</v>
      </c>
      <c r="P1197" s="45" t="n">
        <v>1153104.40191</v>
      </c>
      <c r="Q1197" s="45" t="n">
        <v>0</v>
      </c>
      <c r="R1197" s="45" t="n">
        <v>0</v>
      </c>
      <c r="S1197" s="45" t="n">
        <v>2617571.594</v>
      </c>
      <c r="T1197" s="45" t="n">
        <v>2635452.09498</v>
      </c>
      <c r="U1197" s="15" t="n">
        <v>5.19</v>
      </c>
      <c r="V1197" s="15" t="n">
        <v>10.66</v>
      </c>
      <c r="W1197" s="49" t="n">
        <v>100.683</v>
      </c>
    </row>
    <row r="1198">
      <c r="A1198" s="44" t="inlineStr">
        <is>
          <t>TL Cinsi Sabit Faizli Kuponlu Senetler</t>
        </is>
      </c>
      <c r="B1198" s="44" t="n">
        <v>2017</v>
      </c>
      <c r="C1198" s="44" t="inlineStr">
        <is>
          <t>TRT170822T15</t>
        </is>
      </c>
      <c r="D1198" s="44" t="inlineStr">
        <is>
          <t>13.09.2017</t>
        </is>
      </c>
      <c r="E1198" s="44" t="inlineStr">
        <is>
          <t>17.08.2022</t>
        </is>
      </c>
      <c r="F1198" s="44" t="n">
        <v>1799</v>
      </c>
      <c r="G1198" s="44" t="inlineStr">
        <is>
          <t>6 ay</t>
        </is>
      </c>
      <c r="H1198" s="15" t="n">
        <v>5.35</v>
      </c>
      <c r="I1198" s="45" t="n">
        <v>5253100</v>
      </c>
      <c r="J1198" s="45" t="n">
        <v>5290351.189</v>
      </c>
      <c r="K1198" s="45" t="n">
        <v>2147000</v>
      </c>
      <c r="L1198" s="45" t="n">
        <v>2164590.45</v>
      </c>
      <c r="M1198" s="45" t="n">
        <v>446344.438</v>
      </c>
      <c r="N1198" s="45" t="n">
        <v>449999.99894</v>
      </c>
      <c r="O1198" s="45" t="n">
        <v>1582054.97</v>
      </c>
      <c r="P1198" s="45" t="n">
        <v>1595012.00021</v>
      </c>
      <c r="Q1198" s="45" t="n">
        <v>460021.423</v>
      </c>
      <c r="R1198" s="45" t="n">
        <v>463788.99845</v>
      </c>
      <c r="S1198" s="45" t="n">
        <v>4635420.831</v>
      </c>
      <c r="T1198" s="45" t="n">
        <v>4673391.447600001</v>
      </c>
      <c r="U1198" s="15" t="n">
        <v>5.32</v>
      </c>
      <c r="V1198" s="15" t="n">
        <v>10.93</v>
      </c>
      <c r="W1198" s="49" t="n">
        <v>100.819</v>
      </c>
    </row>
    <row r="1199">
      <c r="A1199" s="44" t="inlineStr">
        <is>
          <t>TL Cinsi Sabit Faizli Kuponlu Senetler</t>
        </is>
      </c>
      <c r="B1199" s="44" t="n">
        <v>2017</v>
      </c>
      <c r="C1199" s="44" t="inlineStr">
        <is>
          <t>TRT110827T16</t>
        </is>
      </c>
      <c r="D1199" s="44" t="inlineStr">
        <is>
          <t>20.09.2017</t>
        </is>
      </c>
      <c r="E1199" s="44" t="inlineStr">
        <is>
          <t>11.08.2027</t>
        </is>
      </c>
      <c r="F1199" s="44" t="n">
        <v>3612</v>
      </c>
      <c r="G1199" s="44" t="inlineStr">
        <is>
          <t>6 ay</t>
        </is>
      </c>
      <c r="H1199" s="15" t="n">
        <v>5.25</v>
      </c>
      <c r="I1199" s="45" t="n">
        <v>2425000</v>
      </c>
      <c r="J1199" s="45" t="n">
        <v>2427530.52</v>
      </c>
      <c r="K1199" s="45" t="n">
        <v>1718000</v>
      </c>
      <c r="L1199" s="45" t="n">
        <v>1725565.18</v>
      </c>
      <c r="M1199" s="45" t="n">
        <v>527678.215</v>
      </c>
      <c r="N1199" s="45" t="n">
        <v>529999.99914</v>
      </c>
      <c r="O1199" s="45" t="n">
        <v>525487.853</v>
      </c>
      <c r="P1199" s="45" t="n">
        <v>527799.9995799999</v>
      </c>
      <c r="Q1199" s="45" t="n">
        <v>299818.119</v>
      </c>
      <c r="R1199" s="45" t="n">
        <v>301137.31873</v>
      </c>
      <c r="S1199" s="45" t="n">
        <v>3070984.187</v>
      </c>
      <c r="T1199" s="45" t="n">
        <v>3084502.49745</v>
      </c>
      <c r="U1199" s="15" t="n">
        <v>5.28</v>
      </c>
      <c r="V1199" s="15" t="n">
        <v>10.84</v>
      </c>
      <c r="W1199" s="49" t="n">
        <v>100.44</v>
      </c>
    </row>
    <row r="1200">
      <c r="A1200" s="44" t="inlineStr">
        <is>
          <t>TL Cinsi Sabit Faizli Kuponlu Senetler</t>
        </is>
      </c>
      <c r="B1200" s="44" t="n">
        <v>2017</v>
      </c>
      <c r="C1200" s="44" t="inlineStr">
        <is>
          <t>TRT150519T15</t>
        </is>
      </c>
      <c r="D1200" s="44" t="inlineStr">
        <is>
          <t>27.09.2017</t>
        </is>
      </c>
      <c r="E1200" s="44" t="inlineStr">
        <is>
          <t>15.05.2019</t>
        </is>
      </c>
      <c r="F1200" s="44" t="n">
        <v>595</v>
      </c>
      <c r="G1200" s="44" t="inlineStr">
        <is>
          <t>6 ay</t>
        </is>
      </c>
      <c r="H1200" s="15" t="n">
        <v>5.55</v>
      </c>
      <c r="I1200" s="45" t="n">
        <v>2795000</v>
      </c>
      <c r="J1200" s="45" t="n">
        <v>2885558.34</v>
      </c>
      <c r="K1200" s="45" t="n">
        <v>413000</v>
      </c>
      <c r="L1200" s="45" t="n">
        <v>426784.78</v>
      </c>
      <c r="M1200" s="45" t="n">
        <v>193539.646</v>
      </c>
      <c r="N1200" s="45" t="n">
        <v>199999.99938</v>
      </c>
      <c r="O1200" s="45" t="n">
        <v>479736.398</v>
      </c>
      <c r="P1200" s="45" t="n">
        <v>495749.99895</v>
      </c>
      <c r="Q1200" s="45" t="n">
        <v>20000</v>
      </c>
      <c r="R1200" s="45" t="n">
        <v>20667.6</v>
      </c>
      <c r="S1200" s="45" t="n">
        <v>1106276.044</v>
      </c>
      <c r="T1200" s="45" t="n">
        <v>1143202.37833</v>
      </c>
      <c r="U1200" s="15" t="n">
        <v>5.79</v>
      </c>
      <c r="V1200" s="15" t="n">
        <v>11.91</v>
      </c>
      <c r="W1200" s="49" t="n">
        <v>103.338</v>
      </c>
    </row>
    <row r="1201">
      <c r="A1201" s="44" t="inlineStr">
        <is>
          <t>TL Cinsi Sabit Faizli Kuponlu Senetler</t>
        </is>
      </c>
      <c r="B1201" s="44" t="n">
        <v>2017</v>
      </c>
      <c r="C1201" s="44" t="inlineStr">
        <is>
          <t>TRT170822T15</t>
        </is>
      </c>
      <c r="D1201" s="44" t="inlineStr">
        <is>
          <t>25.10.2017</t>
        </is>
      </c>
      <c r="E1201" s="44" t="inlineStr">
        <is>
          <t>17.08.2022</t>
        </is>
      </c>
      <c r="F1201" s="44" t="n">
        <v>1757</v>
      </c>
      <c r="G1201" s="44" t="inlineStr">
        <is>
          <t>6 ay</t>
        </is>
      </c>
      <c r="H1201" s="15" t="n">
        <v>5.35</v>
      </c>
      <c r="I1201" s="45" t="n">
        <v>2948000</v>
      </c>
      <c r="J1201" s="45" t="n">
        <v>2905310.73</v>
      </c>
      <c r="K1201" s="45" t="n">
        <v>2037000</v>
      </c>
      <c r="L1201" s="45" t="n">
        <v>2008865.87</v>
      </c>
      <c r="M1201" s="45" t="n">
        <v>684452.285</v>
      </c>
      <c r="N1201" s="45" t="n">
        <v>674999.99895</v>
      </c>
      <c r="O1201" s="45" t="n">
        <v>1590667.112</v>
      </c>
      <c r="P1201" s="45" t="n">
        <v>1568699.99919</v>
      </c>
      <c r="Q1201" s="45" t="n">
        <v>0</v>
      </c>
      <c r="R1201" s="45" t="n">
        <v>0</v>
      </c>
      <c r="S1201" s="45" t="n">
        <v>4312119.397</v>
      </c>
      <c r="T1201" s="45" t="n">
        <v>4252565.86814</v>
      </c>
      <c r="U1201" s="15" t="n">
        <v>5.79</v>
      </c>
      <c r="V1201" s="15" t="n">
        <v>11.92</v>
      </c>
      <c r="W1201" s="49" t="n">
        <v>98.619</v>
      </c>
    </row>
    <row r="1202">
      <c r="A1202" s="44" t="inlineStr">
        <is>
          <t>TL Cinsi Sabit Faizli Kuponlu Senetler</t>
        </is>
      </c>
      <c r="B1202" s="44" t="n">
        <v>2017</v>
      </c>
      <c r="C1202" s="44" t="inlineStr">
        <is>
          <t>TRT150519T15</t>
        </is>
      </c>
      <c r="D1202" s="44" t="inlineStr">
        <is>
          <t>25.10.2017</t>
        </is>
      </c>
      <c r="E1202" s="44" t="inlineStr">
        <is>
          <t>15.05.2019</t>
        </is>
      </c>
      <c r="F1202" s="44" t="n">
        <v>567</v>
      </c>
      <c r="G1202" s="44" t="inlineStr">
        <is>
          <t>6 ay</t>
        </is>
      </c>
      <c r="H1202" s="15" t="n">
        <v>5.55</v>
      </c>
      <c r="I1202" s="45" t="n">
        <v>2039001.5</v>
      </c>
      <c r="J1202" s="45" t="n">
        <v>2107837.92407</v>
      </c>
      <c r="K1202" s="45" t="n">
        <v>594000</v>
      </c>
      <c r="L1202" s="45" t="n">
        <v>614752.91</v>
      </c>
      <c r="M1202" s="45" t="n">
        <v>483119.794</v>
      </c>
      <c r="N1202" s="45" t="n">
        <v>499999.9996</v>
      </c>
      <c r="O1202" s="45" t="n">
        <v>1094991.014</v>
      </c>
      <c r="P1202" s="45" t="n">
        <v>1133250.00003</v>
      </c>
      <c r="Q1202" s="45" t="n">
        <v>0</v>
      </c>
      <c r="R1202" s="45" t="n">
        <v>0</v>
      </c>
      <c r="S1202" s="45" t="n">
        <v>2172110.808</v>
      </c>
      <c r="T1202" s="45" t="n">
        <v>2248002.90963</v>
      </c>
      <c r="U1202" s="15" t="n">
        <v>6.06</v>
      </c>
      <c r="V1202" s="15" t="n">
        <v>12.48</v>
      </c>
      <c r="W1202" s="49" t="n">
        <v>103.494</v>
      </c>
    </row>
    <row r="1203">
      <c r="A1203" s="44" t="inlineStr">
        <is>
          <t>TL Cinsi Sabit Faizli Kuponlu Senetler</t>
        </is>
      </c>
      <c r="B1203" s="44" t="n">
        <v>2017</v>
      </c>
      <c r="C1203" s="44" t="inlineStr">
        <is>
          <t>TRT110827T16</t>
        </is>
      </c>
      <c r="D1203" s="44" t="inlineStr">
        <is>
          <t>25.10.2017</t>
        </is>
      </c>
      <c r="E1203" s="44" t="inlineStr">
        <is>
          <t>11.08.2027</t>
        </is>
      </c>
      <c r="F1203" s="44" t="n">
        <v>3577</v>
      </c>
      <c r="G1203" s="44" t="inlineStr">
        <is>
          <t>6 ay</t>
        </is>
      </c>
      <c r="H1203" s="15" t="n">
        <v>5.25</v>
      </c>
      <c r="I1203" s="45" t="n">
        <v>4668900</v>
      </c>
      <c r="J1203" s="45" t="n">
        <v>4515588.667</v>
      </c>
      <c r="K1203" s="45" t="n">
        <v>3073900</v>
      </c>
      <c r="L1203" s="45" t="n">
        <v>2977801.042</v>
      </c>
      <c r="M1203" s="45" t="n">
        <v>619361.232</v>
      </c>
      <c r="N1203" s="45" t="n">
        <v>599999.99988</v>
      </c>
      <c r="O1203" s="45" t="n">
        <v>1529719.016</v>
      </c>
      <c r="P1203" s="45" t="n">
        <v>1481899.99956</v>
      </c>
      <c r="Q1203" s="45" t="n">
        <v>0</v>
      </c>
      <c r="R1203" s="45" t="n">
        <v>0</v>
      </c>
      <c r="S1203" s="45" t="n">
        <v>5222980.248</v>
      </c>
      <c r="T1203" s="45" t="n">
        <v>5059701.04144</v>
      </c>
      <c r="U1203" s="15" t="n">
        <v>5.67</v>
      </c>
      <c r="V1203" s="15" t="n">
        <v>11.66</v>
      </c>
      <c r="W1203" s="49" t="n">
        <v>96.874</v>
      </c>
    </row>
    <row r="1204">
      <c r="A1204" s="44" t="inlineStr">
        <is>
          <t>TL Cinsi Sabit Faizli Kuponlu Senetler</t>
        </is>
      </c>
      <c r="B1204" s="44" t="n">
        <v>2017</v>
      </c>
      <c r="C1204" s="44" t="inlineStr">
        <is>
          <t>TRT131119T19</t>
        </is>
      </c>
      <c r="D1204" s="44" t="inlineStr">
        <is>
          <t>15.11.2017</t>
        </is>
      </c>
      <c r="E1204" s="44" t="inlineStr">
        <is>
          <t>13.11.2019</t>
        </is>
      </c>
      <c r="F1204" s="44" t="n">
        <v>728</v>
      </c>
      <c r="G1204" s="44" t="inlineStr">
        <is>
          <t>6 ay</t>
        </is>
      </c>
      <c r="H1204" s="15" t="n">
        <v>6.5</v>
      </c>
      <c r="I1204" s="45" t="n">
        <v>1358400</v>
      </c>
      <c r="J1204" s="45" t="n">
        <v>1348781.786</v>
      </c>
      <c r="K1204" s="45" t="n">
        <v>485100</v>
      </c>
      <c r="L1204" s="45" t="n">
        <v>482536.943</v>
      </c>
      <c r="M1204" s="45" t="n">
        <v>241273.926</v>
      </c>
      <c r="N1204" s="45" t="n">
        <v>239999.99967</v>
      </c>
      <c r="O1204" s="45" t="n">
        <v>553914.6679999999</v>
      </c>
      <c r="P1204" s="45" t="n">
        <v>550989.99855</v>
      </c>
      <c r="Q1204" s="45" t="n">
        <v>16000</v>
      </c>
      <c r="R1204" s="45" t="n">
        <v>15915.52</v>
      </c>
      <c r="S1204" s="45" t="n">
        <v>1296288.594</v>
      </c>
      <c r="T1204" s="45" t="n">
        <v>1289442.46122</v>
      </c>
      <c r="U1204" s="15" t="n">
        <v>6.65</v>
      </c>
      <c r="V1204" s="15" t="n">
        <v>13.75</v>
      </c>
      <c r="W1204" s="49" t="n">
        <v>99.47199999999999</v>
      </c>
    </row>
    <row r="1205">
      <c r="A1205" s="44" t="inlineStr">
        <is>
          <t>TL Cinsi Sabit Faizli Kuponlu Senetler</t>
        </is>
      </c>
      <c r="B1205" s="44" t="n">
        <v>2017</v>
      </c>
      <c r="C1205" s="44" t="inlineStr">
        <is>
          <t>TRT110827T16</t>
        </is>
      </c>
      <c r="D1205" s="44" t="inlineStr">
        <is>
          <t>15.11.2017</t>
        </is>
      </c>
      <c r="E1205" s="44" t="inlineStr">
        <is>
          <t>11.08.2027</t>
        </is>
      </c>
      <c r="F1205" s="44" t="n">
        <v>3556</v>
      </c>
      <c r="G1205" s="44" t="inlineStr">
        <is>
          <t>6 ay</t>
        </is>
      </c>
      <c r="H1205" s="15" t="n">
        <v>5.25</v>
      </c>
      <c r="I1205" s="45" t="n">
        <v>1813810</v>
      </c>
      <c r="J1205" s="45" t="n">
        <v>1701391.8815</v>
      </c>
      <c r="K1205" s="45" t="n">
        <v>922810</v>
      </c>
      <c r="L1205" s="45" t="n">
        <v>867635.6415</v>
      </c>
      <c r="M1205" s="45" t="n">
        <v>255262.122</v>
      </c>
      <c r="N1205" s="45" t="n">
        <v>239999.99973</v>
      </c>
      <c r="O1205" s="45" t="n">
        <v>757171.272</v>
      </c>
      <c r="P1205" s="45" t="n">
        <v>711900.00163</v>
      </c>
      <c r="Q1205" s="45" t="n">
        <v>0</v>
      </c>
      <c r="R1205" s="45" t="n">
        <v>0</v>
      </c>
      <c r="S1205" s="45" t="n">
        <v>1935243.394</v>
      </c>
      <c r="T1205" s="45" t="n">
        <v>1819535.64286</v>
      </c>
      <c r="U1205" s="15" t="n">
        <v>5.99</v>
      </c>
      <c r="V1205" s="15" t="n">
        <v>12.33</v>
      </c>
      <c r="W1205" s="49" t="n">
        <v>94.021</v>
      </c>
    </row>
    <row r="1206">
      <c r="A1206" s="44" t="inlineStr">
        <is>
          <t>TL Cinsi Sabit Faizli Kuponlu Senetler</t>
        </is>
      </c>
      <c r="B1206" s="44" t="n">
        <v>2017</v>
      </c>
      <c r="C1206" s="44" t="inlineStr">
        <is>
          <t>TRT170822T15</t>
        </is>
      </c>
      <c r="D1206" s="44" t="inlineStr">
        <is>
          <t>22.11.2017</t>
        </is>
      </c>
      <c r="E1206" s="44" t="inlineStr">
        <is>
          <t>17.08.2022</t>
        </is>
      </c>
      <c r="F1206" s="44" t="n">
        <v>1729</v>
      </c>
      <c r="G1206" s="44" t="inlineStr">
        <is>
          <t>6 ay</t>
        </is>
      </c>
      <c r="H1206" s="15" t="n">
        <v>5.35</v>
      </c>
      <c r="I1206" s="45" t="n">
        <v>1699001.625</v>
      </c>
      <c r="J1206" s="45" t="n">
        <v>1584333.98895</v>
      </c>
      <c r="K1206" s="45" t="n">
        <v>490000</v>
      </c>
      <c r="L1206" s="45" t="n">
        <v>457846.23</v>
      </c>
      <c r="M1206" s="45" t="n">
        <v>645347.716</v>
      </c>
      <c r="N1206" s="45" t="n">
        <v>602999.99887</v>
      </c>
      <c r="O1206" s="45" t="n">
        <v>530191.1409999999</v>
      </c>
      <c r="P1206" s="45" t="n">
        <v>495399.99833</v>
      </c>
      <c r="Q1206" s="45" t="n">
        <v>0</v>
      </c>
      <c r="R1206" s="45" t="n">
        <v>0</v>
      </c>
      <c r="S1206" s="45" t="n">
        <v>1665538.857</v>
      </c>
      <c r="T1206" s="45" t="n">
        <v>1556246.2272</v>
      </c>
      <c r="U1206" s="15" t="n">
        <v>6.69</v>
      </c>
      <c r="V1206" s="15" t="n">
        <v>13.82</v>
      </c>
      <c r="W1206" s="49" t="n">
        <v>93.438</v>
      </c>
    </row>
    <row r="1207">
      <c r="A1207" s="44" t="inlineStr">
        <is>
          <t>TL Cinsi Sabit Faizli Kuponlu Senetler</t>
        </is>
      </c>
      <c r="B1207" s="44" t="n">
        <v>2017</v>
      </c>
      <c r="C1207" s="44" t="inlineStr">
        <is>
          <t>TRT131119T19</t>
        </is>
      </c>
      <c r="D1207" s="44" t="inlineStr">
        <is>
          <t>13.12.2017</t>
        </is>
      </c>
      <c r="E1207" s="44" t="inlineStr">
        <is>
          <t>13.11.2019</t>
        </is>
      </c>
      <c r="F1207" s="44" t="n">
        <v>700</v>
      </c>
      <c r="G1207" s="44" t="inlineStr">
        <is>
          <t>6 ay</t>
        </is>
      </c>
      <c r="H1207" s="15" t="n">
        <v>6.5</v>
      </c>
      <c r="I1207" s="45" t="n">
        <v>452150</v>
      </c>
      <c r="J1207" s="45" t="n">
        <v>456576.34825</v>
      </c>
      <c r="K1207" s="45" t="n">
        <v>155000</v>
      </c>
      <c r="L1207" s="45" t="n">
        <v>156643.6</v>
      </c>
      <c r="M1207" s="45" t="n">
        <v>512566.791</v>
      </c>
      <c r="N1207" s="45" t="n">
        <v>517999.99898</v>
      </c>
      <c r="O1207" s="45" t="n">
        <v>365723.333</v>
      </c>
      <c r="P1207" s="45" t="n">
        <v>369600.00032</v>
      </c>
      <c r="Q1207" s="45" t="n">
        <v>0</v>
      </c>
      <c r="R1207" s="45" t="n">
        <v>0</v>
      </c>
      <c r="S1207" s="45" t="n">
        <v>1033290.124</v>
      </c>
      <c r="T1207" s="45" t="n">
        <v>1044243.5993</v>
      </c>
      <c r="U1207" s="15" t="n">
        <v>6.47</v>
      </c>
      <c r="V1207" s="15" t="n">
        <v>13.37</v>
      </c>
      <c r="W1207" s="49" t="n">
        <v>101.06</v>
      </c>
    </row>
    <row r="1208">
      <c r="A1208" s="44" t="inlineStr">
        <is>
          <t>TL Cinsi Sabit Faizli Kuponlu Senetler</t>
        </is>
      </c>
      <c r="B1208" s="44" t="n">
        <v>2017</v>
      </c>
      <c r="C1208" s="44" t="inlineStr">
        <is>
          <t>TRT170822T15</t>
        </is>
      </c>
      <c r="D1208" s="44" t="inlineStr">
        <is>
          <t>13.12.2017</t>
        </is>
      </c>
      <c r="E1208" s="44" t="inlineStr">
        <is>
          <t>17.08.2022</t>
        </is>
      </c>
      <c r="F1208" s="44" t="n">
        <v>1708</v>
      </c>
      <c r="G1208" s="44" t="inlineStr">
        <is>
          <t>6 ay</t>
        </is>
      </c>
      <c r="H1208" s="15" t="n">
        <v>5.35</v>
      </c>
      <c r="I1208" s="45" t="n">
        <v>2342000</v>
      </c>
      <c r="J1208" s="45" t="n">
        <v>2273248.23</v>
      </c>
      <c r="K1208" s="45" t="n">
        <v>663000</v>
      </c>
      <c r="L1208" s="45" t="n">
        <v>644814.1</v>
      </c>
      <c r="M1208" s="45" t="n">
        <v>457550.613</v>
      </c>
      <c r="N1208" s="45" t="n">
        <v>444999.99968</v>
      </c>
      <c r="O1208" s="45" t="n">
        <v>636612.274</v>
      </c>
      <c r="P1208" s="45" t="n">
        <v>619149.99931</v>
      </c>
      <c r="Q1208" s="45" t="n">
        <v>0</v>
      </c>
      <c r="R1208" s="45" t="n">
        <v>0</v>
      </c>
      <c r="S1208" s="45" t="n">
        <v>1757162.887</v>
      </c>
      <c r="T1208" s="45" t="n">
        <v>1708964.09899</v>
      </c>
      <c r="U1208" s="15" t="n">
        <v>6.21</v>
      </c>
      <c r="V1208" s="15" t="n">
        <v>12.81</v>
      </c>
      <c r="W1208" s="49" t="n">
        <v>97.25700000000001</v>
      </c>
    </row>
    <row r="1209">
      <c r="A1209" s="44" t="inlineStr">
        <is>
          <t>TL Cinsi Sabit Faizli Kuponlu Senetler</t>
        </is>
      </c>
      <c r="B1209" s="44" t="n">
        <v>2016</v>
      </c>
      <c r="C1209" s="44" t="inlineStr">
        <is>
          <t>TRT080720T19</t>
        </is>
      </c>
      <c r="D1209" s="44" t="inlineStr">
        <is>
          <t>27.01.2016</t>
        </is>
      </c>
      <c r="E1209" s="44" t="inlineStr">
        <is>
          <t>08.07.2020</t>
        </is>
      </c>
      <c r="F1209" s="44" t="n">
        <v>1624</v>
      </c>
      <c r="G1209" s="44" t="inlineStr">
        <is>
          <t>6 ay</t>
        </is>
      </c>
      <c r="H1209" s="15" t="n">
        <v>4.7</v>
      </c>
      <c r="I1209" s="45" t="n">
        <v>3298350</v>
      </c>
      <c r="J1209" s="45" t="n">
        <v>3153856.959</v>
      </c>
      <c r="K1209" s="45" t="n">
        <v>1130500</v>
      </c>
      <c r="L1209" s="45" t="n">
        <v>1082805.695</v>
      </c>
      <c r="M1209" s="45" t="n">
        <v>835238.721</v>
      </c>
      <c r="N1209" s="45" t="n">
        <v>799999.99936</v>
      </c>
      <c r="O1209" s="45" t="n">
        <v>1105866.509</v>
      </c>
      <c r="P1209" s="45" t="n">
        <v>1059210.00099</v>
      </c>
      <c r="Q1209" s="45" t="n">
        <v>38021.068</v>
      </c>
      <c r="R1209" s="45" t="n">
        <v>36416.95914</v>
      </c>
      <c r="S1209" s="45" t="n">
        <v>3109626.298</v>
      </c>
      <c r="T1209" s="45" t="n">
        <v>2978432.65449</v>
      </c>
      <c r="U1209" s="15" t="n">
        <v>5.36</v>
      </c>
      <c r="V1209" s="15" t="n">
        <v>11</v>
      </c>
      <c r="W1209" s="49" t="n">
        <v>95.78100000000001</v>
      </c>
    </row>
    <row r="1210">
      <c r="A1210" s="44" t="inlineStr">
        <is>
          <t>TL Cinsi Sabit Faizli Kuponlu Senetler</t>
        </is>
      </c>
      <c r="B1210" s="44" t="n">
        <v>2016</v>
      </c>
      <c r="C1210" s="44" t="inlineStr">
        <is>
          <t>TRT140617T17</t>
        </is>
      </c>
      <c r="D1210" s="44" t="inlineStr">
        <is>
          <t>27.01.2016</t>
        </is>
      </c>
      <c r="E1210" s="44" t="inlineStr">
        <is>
          <t>14.06.2017</t>
        </is>
      </c>
      <c r="F1210" s="44" t="n">
        <v>504</v>
      </c>
      <c r="G1210" s="44" t="inlineStr">
        <is>
          <t>6 ay</t>
        </is>
      </c>
      <c r="H1210" s="15" t="n">
        <v>4.8</v>
      </c>
      <c r="I1210" s="45" t="n">
        <v>1784200</v>
      </c>
      <c r="J1210" s="45" t="n">
        <v>1770971.78</v>
      </c>
      <c r="K1210" s="45" t="n">
        <v>591000</v>
      </c>
      <c r="L1210" s="45" t="n">
        <v>587178.1</v>
      </c>
      <c r="M1210" s="45" t="n">
        <v>1132326.15</v>
      </c>
      <c r="N1210" s="45" t="n">
        <v>1124999.99981</v>
      </c>
      <c r="O1210" s="45" t="n">
        <v>586796.573</v>
      </c>
      <c r="P1210" s="45" t="n">
        <v>582999.99918</v>
      </c>
      <c r="Q1210" s="45" t="n">
        <v>111002.957</v>
      </c>
      <c r="R1210" s="45" t="n">
        <v>110284.76786</v>
      </c>
      <c r="S1210" s="45" t="n">
        <v>2421125.68</v>
      </c>
      <c r="T1210" s="45" t="n">
        <v>2405462.86685</v>
      </c>
      <c r="U1210" s="15" t="n">
        <v>5.49</v>
      </c>
      <c r="V1210" s="15" t="n">
        <v>11.28</v>
      </c>
      <c r="W1210" s="49" t="n">
        <v>99.35299999999999</v>
      </c>
    </row>
    <row r="1211">
      <c r="A1211" s="44" t="inlineStr">
        <is>
          <t>TL Cinsi Sabit Faizli Kuponlu Senetler</t>
        </is>
      </c>
      <c r="B1211" s="44" t="n">
        <v>2016</v>
      </c>
      <c r="C1211" s="44" t="inlineStr">
        <is>
          <t>TRT120325T12</t>
        </is>
      </c>
      <c r="D1211" s="44" t="inlineStr">
        <is>
          <t>27.01.2016</t>
        </is>
      </c>
      <c r="E1211" s="44" t="inlineStr">
        <is>
          <t>12.03.2025</t>
        </is>
      </c>
      <c r="F1211" s="44" t="n">
        <v>3332</v>
      </c>
      <c r="G1211" s="44" t="inlineStr">
        <is>
          <t>6 ay</t>
        </is>
      </c>
      <c r="H1211" s="15" t="n">
        <v>4</v>
      </c>
      <c r="I1211" s="45" t="n">
        <v>1940900</v>
      </c>
      <c r="J1211" s="45" t="n">
        <v>1672984.485</v>
      </c>
      <c r="K1211" s="45" t="n">
        <v>1116000</v>
      </c>
      <c r="L1211" s="45" t="n">
        <v>964460.5699999999</v>
      </c>
      <c r="M1211" s="45" t="n">
        <v>925700.929</v>
      </c>
      <c r="N1211" s="45" t="n">
        <v>799999.99985</v>
      </c>
      <c r="O1211" s="45" t="n">
        <v>1015725.344</v>
      </c>
      <c r="P1211" s="45" t="n">
        <v>877799.99954</v>
      </c>
      <c r="Q1211" s="45" t="n">
        <v>269750.551</v>
      </c>
      <c r="R1211" s="45" t="n">
        <v>233121.12368</v>
      </c>
      <c r="S1211" s="45" t="n">
        <v>3327176.824</v>
      </c>
      <c r="T1211" s="45" t="n">
        <v>2875381.69307</v>
      </c>
      <c r="U1211" s="15" t="n">
        <v>5.43</v>
      </c>
      <c r="V1211" s="15" t="n">
        <v>11.15</v>
      </c>
      <c r="W1211" s="49" t="n">
        <v>86.42100000000001</v>
      </c>
    </row>
    <row r="1212">
      <c r="A1212" s="44" t="inlineStr">
        <is>
          <t>TL Cinsi Sabit Faizli Kuponlu Senetler</t>
        </is>
      </c>
      <c r="B1212" s="44" t="n">
        <v>2016</v>
      </c>
      <c r="C1212" s="44" t="inlineStr">
        <is>
          <t>TRT170221T12</t>
        </is>
      </c>
      <c r="D1212" s="44" t="inlineStr">
        <is>
          <t>24.02.2016</t>
        </is>
      </c>
      <c r="E1212" s="44" t="inlineStr">
        <is>
          <t>17.02.2021</t>
        </is>
      </c>
      <c r="F1212" s="44" t="n">
        <v>1820</v>
      </c>
      <c r="G1212" s="44" t="inlineStr">
        <is>
          <t>6 ay</t>
        </is>
      </c>
      <c r="H1212" s="15" t="n">
        <v>5.35</v>
      </c>
      <c r="I1212" s="45" t="n">
        <v>3436600</v>
      </c>
      <c r="J1212" s="45" t="n">
        <v>3440387.495</v>
      </c>
      <c r="K1212" s="45" t="n">
        <v>1252500</v>
      </c>
      <c r="L1212" s="45" t="n">
        <v>1256014.794</v>
      </c>
      <c r="M1212" s="45" t="n">
        <v>408851.127</v>
      </c>
      <c r="N1212" s="45" t="n">
        <v>409999.99867</v>
      </c>
      <c r="O1212" s="45" t="n">
        <v>760918.617</v>
      </c>
      <c r="P1212" s="45" t="n">
        <v>763056.7983</v>
      </c>
      <c r="Q1212" s="45" t="n">
        <v>174862.968</v>
      </c>
      <c r="R1212" s="45" t="n">
        <v>175354.33294</v>
      </c>
      <c r="S1212" s="45" t="n">
        <v>2597132.712</v>
      </c>
      <c r="T1212" s="45" t="n">
        <v>2604425.92391</v>
      </c>
      <c r="U1212" s="15" t="n">
        <v>5.31</v>
      </c>
      <c r="V1212" s="15" t="n">
        <v>10.91</v>
      </c>
      <c r="W1212" s="49" t="n">
        <v>100.281</v>
      </c>
    </row>
    <row r="1213">
      <c r="A1213" s="44" t="inlineStr">
        <is>
          <t>TL Cinsi Sabit Faizli Kuponlu Senetler</t>
        </is>
      </c>
      <c r="B1213" s="44" t="n">
        <v>2016</v>
      </c>
      <c r="C1213" s="44" t="inlineStr">
        <is>
          <t>TRT140617T17</t>
        </is>
      </c>
      <c r="D1213" s="44" t="inlineStr">
        <is>
          <t>24.02.2016</t>
        </is>
      </c>
      <c r="E1213" s="44" t="inlineStr">
        <is>
          <t>14.06.2017</t>
        </is>
      </c>
      <c r="F1213" s="44" t="n">
        <v>476</v>
      </c>
      <c r="G1213" s="44" t="inlineStr">
        <is>
          <t>6 ay</t>
        </is>
      </c>
      <c r="H1213" s="15" t="n">
        <v>4.8</v>
      </c>
      <c r="I1213" s="45" t="n">
        <v>1830843.524</v>
      </c>
      <c r="J1213" s="45" t="n">
        <v>1834871.62619</v>
      </c>
      <c r="K1213" s="45" t="n">
        <v>621748.67</v>
      </c>
      <c r="L1213" s="45" t="n">
        <v>623437.23706</v>
      </c>
      <c r="M1213" s="45" t="n">
        <v>379168.661</v>
      </c>
      <c r="N1213" s="45" t="n">
        <v>380199.99976</v>
      </c>
      <c r="O1213" s="45" t="n">
        <v>584909.049</v>
      </c>
      <c r="P1213" s="45" t="n">
        <v>586500.0016</v>
      </c>
      <c r="Q1213" s="45" t="n">
        <v>82388.645</v>
      </c>
      <c r="R1213" s="45" t="n">
        <v>82612.74211000001</v>
      </c>
      <c r="S1213" s="45" t="n">
        <v>1668215.025</v>
      </c>
      <c r="T1213" s="45" t="n">
        <v>1672749.98053</v>
      </c>
      <c r="U1213" s="15" t="n">
        <v>5.45</v>
      </c>
      <c r="V1213" s="15" t="n">
        <v>11.2</v>
      </c>
      <c r="W1213" s="49" t="n">
        <v>100.272</v>
      </c>
    </row>
    <row r="1214">
      <c r="A1214" s="44" t="inlineStr">
        <is>
          <t>TL Cinsi Sabit Faizli Kuponlu Senetler</t>
        </is>
      </c>
      <c r="B1214" s="44" t="n">
        <v>2016</v>
      </c>
      <c r="C1214" s="44" t="inlineStr">
        <is>
          <t>TRT110226T13</t>
        </is>
      </c>
      <c r="D1214" s="44" t="inlineStr">
        <is>
          <t>24.02.2016</t>
        </is>
      </c>
      <c r="E1214" s="44" t="inlineStr">
        <is>
          <t>11.02.2026</t>
        </is>
      </c>
      <c r="F1214" s="44" t="n">
        <v>3640</v>
      </c>
      <c r="G1214" s="44" t="inlineStr">
        <is>
          <t>6 ay</t>
        </is>
      </c>
      <c r="H1214" s="15" t="n">
        <v>5.3</v>
      </c>
      <c r="I1214" s="45" t="n">
        <v>3155400</v>
      </c>
      <c r="J1214" s="45" t="n">
        <v>3172089.708</v>
      </c>
      <c r="K1214" s="45" t="n">
        <v>1276600</v>
      </c>
      <c r="L1214" s="45" t="n">
        <v>1285805.128</v>
      </c>
      <c r="M1214" s="45" t="n">
        <v>273031.443</v>
      </c>
      <c r="N1214" s="45" t="n">
        <v>274999.9997</v>
      </c>
      <c r="O1214" s="45" t="n">
        <v>704406.231</v>
      </c>
      <c r="P1214" s="45" t="n">
        <v>709484.99993</v>
      </c>
      <c r="Q1214" s="45" t="n">
        <v>144723.589</v>
      </c>
      <c r="R1214" s="45" t="n">
        <v>145767.04608</v>
      </c>
      <c r="S1214" s="45" t="n">
        <v>2398761.263</v>
      </c>
      <c r="T1214" s="45" t="n">
        <v>2416057.17371</v>
      </c>
      <c r="U1214" s="15" t="n">
        <v>5.24</v>
      </c>
      <c r="V1214" s="15" t="n">
        <v>10.76</v>
      </c>
      <c r="W1214" s="49" t="n">
        <v>100.721</v>
      </c>
    </row>
    <row r="1215">
      <c r="A1215" s="44" t="inlineStr">
        <is>
          <t>TL Cinsi Sabit Faizli Kuponlu Senetler</t>
        </is>
      </c>
      <c r="B1215" s="44" t="n">
        <v>2016</v>
      </c>
      <c r="C1215" s="44" t="inlineStr">
        <is>
          <t>TRT110226T13</t>
        </is>
      </c>
      <c r="D1215" s="44" t="inlineStr">
        <is>
          <t>16.03.2016</t>
        </is>
      </c>
      <c r="E1215" s="44" t="inlineStr">
        <is>
          <t>11.02.2026</t>
        </is>
      </c>
      <c r="F1215" s="44" t="n">
        <v>3619</v>
      </c>
      <c r="G1215" s="44" t="inlineStr">
        <is>
          <t>6 ay</t>
        </is>
      </c>
      <c r="H1215" s="15" t="n">
        <v>5.3</v>
      </c>
      <c r="I1215" s="45" t="n">
        <v>1775200</v>
      </c>
      <c r="J1215" s="45" t="n">
        <v>1854795.328</v>
      </c>
      <c r="K1215" s="45" t="n">
        <v>655000</v>
      </c>
      <c r="L1215" s="45" t="n">
        <v>686331.62</v>
      </c>
      <c r="M1215" s="45" t="n">
        <v>620329.633</v>
      </c>
      <c r="N1215" s="45" t="n">
        <v>649999.9993500001</v>
      </c>
      <c r="O1215" s="45" t="n">
        <v>469971.275</v>
      </c>
      <c r="P1215" s="45" t="n">
        <v>492450.00109</v>
      </c>
      <c r="Q1215" s="45" t="n">
        <v>0</v>
      </c>
      <c r="R1215" s="45" t="n">
        <v>0</v>
      </c>
      <c r="S1215" s="45" t="n">
        <v>1745300.908</v>
      </c>
      <c r="T1215" s="45" t="n">
        <v>1828781.62044</v>
      </c>
      <c r="U1215" s="15" t="n">
        <v>4.96</v>
      </c>
      <c r="V1215" s="15" t="n">
        <v>10.17</v>
      </c>
      <c r="W1215" s="49" t="n">
        <v>104.783</v>
      </c>
    </row>
    <row r="1216">
      <c r="A1216" s="44" t="inlineStr">
        <is>
          <t>TL Cinsi Sabit Faizli Kuponlu Senetler</t>
        </is>
      </c>
      <c r="B1216" s="44" t="n">
        <v>2016</v>
      </c>
      <c r="C1216" s="44" t="inlineStr">
        <is>
          <t>TRT170221T12</t>
        </is>
      </c>
      <c r="D1216" s="44" t="inlineStr">
        <is>
          <t>23.03.2016</t>
        </is>
      </c>
      <c r="E1216" s="44" t="inlineStr">
        <is>
          <t>17.02.2021</t>
        </is>
      </c>
      <c r="F1216" s="44" t="n">
        <v>1792</v>
      </c>
      <c r="G1216" s="44" t="inlineStr">
        <is>
          <t>6 ay</t>
        </is>
      </c>
      <c r="H1216" s="15" t="n">
        <v>5.35</v>
      </c>
      <c r="I1216" s="45" t="n">
        <v>2726000</v>
      </c>
      <c r="J1216" s="45" t="n">
        <v>2832156.21</v>
      </c>
      <c r="K1216" s="45" t="n">
        <v>1599000</v>
      </c>
      <c r="L1216" s="45" t="n">
        <v>1663335.51</v>
      </c>
      <c r="M1216" s="45" t="n">
        <v>519115.964</v>
      </c>
      <c r="N1216" s="45" t="n">
        <v>539999.99923</v>
      </c>
      <c r="O1216" s="45" t="n">
        <v>219326.495</v>
      </c>
      <c r="P1216" s="45" t="n">
        <v>228149.99989</v>
      </c>
      <c r="Q1216" s="45" t="n">
        <v>483311.74</v>
      </c>
      <c r="R1216" s="45" t="n">
        <v>502755.3713</v>
      </c>
      <c r="S1216" s="45" t="n">
        <v>2820754.199</v>
      </c>
      <c r="T1216" s="45" t="n">
        <v>2934240.88042</v>
      </c>
      <c r="U1216" s="15" t="n">
        <v>4.93</v>
      </c>
      <c r="V1216" s="15" t="n">
        <v>10.1</v>
      </c>
      <c r="W1216" s="49" t="n">
        <v>104.023</v>
      </c>
    </row>
    <row r="1217">
      <c r="A1217" s="44" t="inlineStr">
        <is>
          <t>TL Cinsi Sabit Faizli Kuponlu Senetler</t>
        </is>
      </c>
      <c r="B1217" s="44" t="n">
        <v>2016</v>
      </c>
      <c r="C1217" s="44" t="inlineStr">
        <is>
          <t>TRT170221T12</t>
        </is>
      </c>
      <c r="D1217" s="44" t="inlineStr">
        <is>
          <t>13.04.2016</t>
        </is>
      </c>
      <c r="E1217" s="44" t="inlineStr">
        <is>
          <t>17.02.2021</t>
        </is>
      </c>
      <c r="F1217" s="44" t="n">
        <v>1771</v>
      </c>
      <c r="G1217" s="44" t="inlineStr">
        <is>
          <t>6 ay</t>
        </is>
      </c>
      <c r="H1217" s="15" t="n">
        <v>5.35</v>
      </c>
      <c r="I1217" s="45" t="n">
        <v>3149950</v>
      </c>
      <c r="J1217" s="45" t="n">
        <v>3353775.78</v>
      </c>
      <c r="K1217" s="45" t="n">
        <v>1125750</v>
      </c>
      <c r="L1217" s="45" t="n">
        <v>1200418.83</v>
      </c>
      <c r="M1217" s="45" t="n">
        <v>1059709.47</v>
      </c>
      <c r="N1217" s="45" t="n">
        <v>1129999.99915</v>
      </c>
      <c r="O1217" s="45" t="n">
        <v>677726.409</v>
      </c>
      <c r="P1217" s="45" t="n">
        <v>722680.0017199999</v>
      </c>
      <c r="Q1217" s="45" t="n">
        <v>210337.728</v>
      </c>
      <c r="R1217" s="45" t="n">
        <v>224289.4295</v>
      </c>
      <c r="S1217" s="45" t="n">
        <v>3073523.607</v>
      </c>
      <c r="T1217" s="45" t="n">
        <v>3277388.26037</v>
      </c>
      <c r="U1217" s="15" t="n">
        <v>4.67</v>
      </c>
      <c r="V1217" s="15" t="n">
        <v>9.56</v>
      </c>
      <c r="W1217" s="49" t="n">
        <v>106.633</v>
      </c>
    </row>
    <row r="1218">
      <c r="A1218" s="44" t="inlineStr">
        <is>
          <t>TL Cinsi Sabit Faizli Kuponlu Senetler</t>
        </is>
      </c>
      <c r="B1218" s="44" t="n">
        <v>2016</v>
      </c>
      <c r="C1218" s="44" t="inlineStr">
        <is>
          <t>TRT110226T13</t>
        </is>
      </c>
      <c r="D1218" s="44" t="inlineStr">
        <is>
          <t>04.05.2016</t>
        </is>
      </c>
      <c r="E1218" s="44" t="inlineStr">
        <is>
          <t>11.02.2026</t>
        </is>
      </c>
      <c r="F1218" s="44" t="n">
        <v>3570</v>
      </c>
      <c r="G1218" s="44" t="inlineStr">
        <is>
          <t>6 ay</t>
        </is>
      </c>
      <c r="H1218" s="15" t="n">
        <v>5.3</v>
      </c>
      <c r="I1218" s="45" t="n">
        <v>1305300</v>
      </c>
      <c r="J1218" s="45" t="n">
        <v>1452208.234</v>
      </c>
      <c r="K1218" s="45" t="n">
        <v>960000</v>
      </c>
      <c r="L1218" s="45" t="n">
        <v>1069794.93</v>
      </c>
      <c r="M1218" s="45" t="n">
        <v>717894.415</v>
      </c>
      <c r="N1218" s="45" t="n">
        <v>799999.99924</v>
      </c>
      <c r="O1218" s="45" t="n">
        <v>703042.973</v>
      </c>
      <c r="P1218" s="45" t="n">
        <v>783449.99782</v>
      </c>
      <c r="Q1218" s="45" t="n">
        <v>0</v>
      </c>
      <c r="R1218" s="45" t="n">
        <v>0</v>
      </c>
      <c r="S1218" s="45" t="n">
        <v>2380937.388</v>
      </c>
      <c r="T1218" s="45" t="n">
        <v>2653244.92706</v>
      </c>
      <c r="U1218" s="15" t="n">
        <v>4.56</v>
      </c>
      <c r="V1218" s="15" t="n">
        <v>9.33</v>
      </c>
      <c r="W1218" s="49" t="n">
        <v>111.437</v>
      </c>
    </row>
    <row r="1219">
      <c r="A1219" s="44" t="inlineStr">
        <is>
          <t>TL Cinsi Sabit Faizli Kuponlu Senetler</t>
        </is>
      </c>
      <c r="B1219" s="44" t="n">
        <v>2016</v>
      </c>
      <c r="C1219" s="44" t="inlineStr">
        <is>
          <t>TRT170221T12</t>
        </is>
      </c>
      <c r="D1219" s="44" t="inlineStr">
        <is>
          <t>18.05.2016</t>
        </is>
      </c>
      <c r="E1219" s="44" t="inlineStr">
        <is>
          <t>17.02.2021</t>
        </is>
      </c>
      <c r="F1219" s="44" t="n">
        <v>1736</v>
      </c>
      <c r="G1219" s="44" t="inlineStr">
        <is>
          <t>6 ay</t>
        </is>
      </c>
      <c r="H1219" s="15" t="n">
        <v>5.35</v>
      </c>
      <c r="I1219" s="45" t="n">
        <v>3147200</v>
      </c>
      <c r="J1219" s="45" t="n">
        <v>3328444.418</v>
      </c>
      <c r="K1219" s="45" t="n">
        <v>1813000</v>
      </c>
      <c r="L1219" s="45" t="n">
        <v>1919736.86</v>
      </c>
      <c r="M1219" s="45" t="n">
        <v>404204.482</v>
      </c>
      <c r="N1219" s="45" t="n">
        <v>427999.99986</v>
      </c>
      <c r="O1219" s="45" t="n">
        <v>383191.515</v>
      </c>
      <c r="P1219" s="45" t="n">
        <v>405749.99949</v>
      </c>
      <c r="Q1219" s="45" t="n">
        <v>0</v>
      </c>
      <c r="R1219" s="45" t="n">
        <v>0</v>
      </c>
      <c r="S1219" s="45" t="n">
        <v>2600395.997</v>
      </c>
      <c r="T1219" s="45" t="n">
        <v>2753486.85935</v>
      </c>
      <c r="U1219" s="15" t="n">
        <v>4.89</v>
      </c>
      <c r="V1219" s="15" t="n">
        <v>10.02</v>
      </c>
      <c r="W1219" s="49" t="n">
        <v>105.887</v>
      </c>
    </row>
    <row r="1220">
      <c r="A1220" s="44" t="inlineStr">
        <is>
          <t>TL Cinsi Sabit Faizli Kuponlu Senetler</t>
        </is>
      </c>
      <c r="B1220" s="44" t="n">
        <v>2016</v>
      </c>
      <c r="C1220" s="44" t="inlineStr">
        <is>
          <t>TRT170221T12</t>
        </is>
      </c>
      <c r="D1220" s="44" t="inlineStr">
        <is>
          <t>08.06.2016</t>
        </is>
      </c>
      <c r="E1220" s="44" t="inlineStr">
        <is>
          <t>17.02.2021</t>
        </is>
      </c>
      <c r="F1220" s="44" t="n">
        <v>1715</v>
      </c>
      <c r="G1220" s="44" t="inlineStr">
        <is>
          <t>6 ay</t>
        </is>
      </c>
      <c r="H1220" s="15" t="n">
        <v>5.35</v>
      </c>
      <c r="I1220" s="45" t="n">
        <v>2442000</v>
      </c>
      <c r="J1220" s="45" t="n">
        <v>2659456.04</v>
      </c>
      <c r="K1220" s="45" t="n">
        <v>1319000</v>
      </c>
      <c r="L1220" s="45" t="n">
        <v>1438090.71</v>
      </c>
      <c r="M1220" s="45" t="n">
        <v>405396.729</v>
      </c>
      <c r="N1220" s="45" t="n">
        <v>441999.99966</v>
      </c>
      <c r="O1220" s="45" t="n">
        <v>775940.346</v>
      </c>
      <c r="P1220" s="45" t="n">
        <v>845999.99985</v>
      </c>
      <c r="Q1220" s="45" t="n">
        <v>0</v>
      </c>
      <c r="R1220" s="45" t="n">
        <v>0</v>
      </c>
      <c r="S1220" s="45" t="n">
        <v>2500337.075</v>
      </c>
      <c r="T1220" s="45" t="n">
        <v>2726090.70951</v>
      </c>
      <c r="U1220" s="15" t="n">
        <v>4.56</v>
      </c>
      <c r="V1220" s="15" t="n">
        <v>9.32</v>
      </c>
      <c r="W1220" s="49" t="n">
        <v>109.029</v>
      </c>
    </row>
    <row r="1221">
      <c r="A1221" s="44" t="inlineStr">
        <is>
          <t>TL Cinsi Sabit Faizli Kuponlu Senetler</t>
        </is>
      </c>
      <c r="B1221" s="44" t="n">
        <v>2016</v>
      </c>
      <c r="C1221" s="44" t="inlineStr">
        <is>
          <t>TRT110718T18</t>
        </is>
      </c>
      <c r="D1221" s="44" t="inlineStr">
        <is>
          <t>13.07.2016</t>
        </is>
      </c>
      <c r="E1221" s="44" t="inlineStr">
        <is>
          <t>11.07.2018</t>
        </is>
      </c>
      <c r="F1221" s="44" t="n">
        <v>728</v>
      </c>
      <c r="G1221" s="44" t="inlineStr">
        <is>
          <t>6 ay</t>
        </is>
      </c>
      <c r="H1221" s="15" t="n">
        <v>4.35</v>
      </c>
      <c r="I1221" s="45" t="n">
        <v>1365000</v>
      </c>
      <c r="J1221" s="45" t="n">
        <v>1364470.65</v>
      </c>
      <c r="K1221" s="45" t="n">
        <v>615000</v>
      </c>
      <c r="L1221" s="45" t="n">
        <v>616873.4</v>
      </c>
      <c r="M1221" s="45" t="n">
        <v>259209.41</v>
      </c>
      <c r="N1221" s="45" t="n">
        <v>259999.9987</v>
      </c>
      <c r="O1221" s="45" t="n">
        <v>649020.4889999999</v>
      </c>
      <c r="P1221" s="45" t="n">
        <v>651000.00151</v>
      </c>
      <c r="Q1221" s="45" t="n">
        <v>52000</v>
      </c>
      <c r="R1221" s="45" t="n">
        <v>52158.6</v>
      </c>
      <c r="S1221" s="45" t="n">
        <v>1575229.899</v>
      </c>
      <c r="T1221" s="45" t="n">
        <v>1580032.00021</v>
      </c>
      <c r="U1221" s="15" t="n">
        <v>4.27</v>
      </c>
      <c r="V1221" s="15" t="n">
        <v>8.710000000000001</v>
      </c>
      <c r="W1221" s="49" t="n">
        <v>100.305</v>
      </c>
    </row>
    <row r="1222">
      <c r="A1222" s="44" t="inlineStr">
        <is>
          <t>TL Cinsi Sabit Faizli Kuponlu Senetler</t>
        </is>
      </c>
      <c r="B1222" s="44" t="n">
        <v>2016</v>
      </c>
      <c r="C1222" s="44" t="inlineStr">
        <is>
          <t>TRT110226T13</t>
        </is>
      </c>
      <c r="D1222" s="44" t="inlineStr">
        <is>
          <t>13.07.2016</t>
        </is>
      </c>
      <c r="E1222" s="44" t="inlineStr">
        <is>
          <t>11.02.2026</t>
        </is>
      </c>
      <c r="F1222" s="44" t="n">
        <v>3500</v>
      </c>
      <c r="G1222" s="44" t="inlineStr">
        <is>
          <t>6 ay</t>
        </is>
      </c>
      <c r="H1222" s="15" t="n">
        <v>5.3</v>
      </c>
      <c r="I1222" s="45" t="n">
        <v>2780270</v>
      </c>
      <c r="J1222" s="45" t="n">
        <v>3173960.2979</v>
      </c>
      <c r="K1222" s="45" t="n">
        <v>1741270</v>
      </c>
      <c r="L1222" s="45" t="n">
        <v>1991271.9379</v>
      </c>
      <c r="M1222" s="45" t="n">
        <v>87445.455</v>
      </c>
      <c r="N1222" s="45" t="n">
        <v>99999.99897</v>
      </c>
      <c r="O1222" s="45" t="n">
        <v>1269445.684</v>
      </c>
      <c r="P1222" s="45" t="n">
        <v>1451700.00084</v>
      </c>
      <c r="Q1222" s="45" t="n">
        <v>0</v>
      </c>
      <c r="R1222" s="45" t="n">
        <v>0</v>
      </c>
      <c r="S1222" s="45" t="n">
        <v>3098161.139</v>
      </c>
      <c r="T1222" s="45" t="n">
        <v>3542971.93771</v>
      </c>
      <c r="U1222" s="15" t="n">
        <v>4.49</v>
      </c>
      <c r="V1222" s="15" t="n">
        <v>9.18</v>
      </c>
      <c r="W1222" s="49" t="n">
        <v>114.357</v>
      </c>
    </row>
    <row r="1223">
      <c r="A1223" s="44" t="inlineStr">
        <is>
          <t>TL Cinsi Sabit Faizli Kuponlu Senetler</t>
        </is>
      </c>
      <c r="B1223" s="44" t="n">
        <v>2016</v>
      </c>
      <c r="C1223" s="44" t="inlineStr">
        <is>
          <t>TRT170221T12</t>
        </is>
      </c>
      <c r="D1223" s="44" t="inlineStr">
        <is>
          <t>13.07.2016</t>
        </is>
      </c>
      <c r="E1223" s="44" t="inlineStr">
        <is>
          <t>17.02.2021</t>
        </is>
      </c>
      <c r="F1223" s="44" t="n">
        <v>1680</v>
      </c>
      <c r="G1223" s="44" t="inlineStr">
        <is>
          <t>6 ay</t>
        </is>
      </c>
      <c r="H1223" s="15" t="n">
        <v>5.35</v>
      </c>
      <c r="I1223" s="45" t="n">
        <v>1532400</v>
      </c>
      <c r="J1223" s="45" t="n">
        <v>1700445.52</v>
      </c>
      <c r="K1223" s="45" t="n">
        <v>965400</v>
      </c>
      <c r="L1223" s="45" t="n">
        <v>1072292.02</v>
      </c>
      <c r="M1223" s="45" t="n">
        <v>43215.211</v>
      </c>
      <c r="N1223" s="45" t="n">
        <v>47999.99916</v>
      </c>
      <c r="O1223" s="45" t="n">
        <v>935271.716</v>
      </c>
      <c r="P1223" s="45" t="n">
        <v>1038825.0004</v>
      </c>
      <c r="Q1223" s="45" t="n">
        <v>0</v>
      </c>
      <c r="R1223" s="45" t="n">
        <v>0</v>
      </c>
      <c r="S1223" s="45" t="n">
        <v>1943886.927</v>
      </c>
      <c r="T1223" s="45" t="n">
        <v>2159117.01956</v>
      </c>
      <c r="U1223" s="15" t="n">
        <v>4.41</v>
      </c>
      <c r="V1223" s="15" t="n">
        <v>9.02</v>
      </c>
      <c r="W1223" s="49" t="n">
        <v>111.072</v>
      </c>
    </row>
    <row r="1224">
      <c r="A1224" s="44" t="inlineStr">
        <is>
          <t>TL Cinsi Sabit Faizli Kuponlu Senetler</t>
        </is>
      </c>
      <c r="B1224" s="44" t="n">
        <v>2016</v>
      </c>
      <c r="C1224" s="44" t="inlineStr">
        <is>
          <t>TRT110226T13</t>
        </is>
      </c>
      <c r="D1224" s="44" t="inlineStr">
        <is>
          <t>17.08.2016</t>
        </is>
      </c>
      <c r="E1224" s="44" t="inlineStr">
        <is>
          <t>11.02.2026</t>
        </is>
      </c>
      <c r="F1224" s="44" t="n">
        <v>3465</v>
      </c>
      <c r="G1224" s="44" t="inlineStr">
        <is>
          <t>6 ay</t>
        </is>
      </c>
      <c r="H1224" s="15" t="n">
        <v>5.3</v>
      </c>
      <c r="I1224" s="45" t="n">
        <v>1934000</v>
      </c>
      <c r="J1224" s="45" t="n">
        <v>2160075.23</v>
      </c>
      <c r="K1224" s="45" t="n">
        <v>985000</v>
      </c>
      <c r="L1224" s="45" t="n">
        <v>1102165.09</v>
      </c>
      <c r="M1224" s="45" t="n">
        <v>174270.521</v>
      </c>
      <c r="N1224" s="45" t="n">
        <v>194999.99947</v>
      </c>
      <c r="O1224" s="45" t="n">
        <v>503373.698</v>
      </c>
      <c r="P1224" s="45" t="n">
        <v>563249.9993800001</v>
      </c>
      <c r="Q1224" s="45" t="n">
        <v>230539.014</v>
      </c>
      <c r="R1224" s="45" t="n">
        <v>257961.62972</v>
      </c>
      <c r="S1224" s="45" t="n">
        <v>1893183.233</v>
      </c>
      <c r="T1224" s="45" t="n">
        <v>2118376.71857</v>
      </c>
      <c r="U1224" s="15" t="n">
        <v>4.75</v>
      </c>
      <c r="V1224" s="15" t="n">
        <v>9.720000000000001</v>
      </c>
      <c r="W1224" s="49" t="n">
        <v>111.895</v>
      </c>
    </row>
    <row r="1225">
      <c r="A1225" s="44" t="inlineStr">
        <is>
          <t>TL Cinsi Sabit Faizli Kuponlu Senetler</t>
        </is>
      </c>
      <c r="B1225" s="44" t="n">
        <v>2016</v>
      </c>
      <c r="C1225" s="44" t="inlineStr">
        <is>
          <t>TRT170221T12</t>
        </is>
      </c>
      <c r="D1225" s="44" t="inlineStr">
        <is>
          <t>24.08.2016</t>
        </is>
      </c>
      <c r="E1225" s="44" t="inlineStr">
        <is>
          <t>17.02.2021</t>
        </is>
      </c>
      <c r="F1225" s="44" t="n">
        <v>1638</v>
      </c>
      <c r="G1225" s="44" t="inlineStr">
        <is>
          <t>6 ay</t>
        </is>
      </c>
      <c r="H1225" s="15" t="n">
        <v>5.35</v>
      </c>
      <c r="I1225" s="45" t="n">
        <v>3740400</v>
      </c>
      <c r="J1225" s="45" t="n">
        <v>3893975.002</v>
      </c>
      <c r="K1225" s="45" t="n">
        <v>1223500</v>
      </c>
      <c r="L1225" s="45" t="n">
        <v>1276210.11</v>
      </c>
      <c r="M1225" s="45" t="n">
        <v>356636.115</v>
      </c>
      <c r="N1225" s="45" t="n">
        <v>371999.99883</v>
      </c>
      <c r="O1225" s="45" t="n">
        <v>863548.338</v>
      </c>
      <c r="P1225" s="45" t="n">
        <v>900750.0004</v>
      </c>
      <c r="Q1225" s="45" t="n">
        <v>234071.863</v>
      </c>
      <c r="R1225" s="45" t="n">
        <v>244155.67886</v>
      </c>
      <c r="S1225" s="45" t="n">
        <v>2677756.316</v>
      </c>
      <c r="T1225" s="45" t="n">
        <v>2793115.78809</v>
      </c>
      <c r="U1225" s="15" t="n">
        <v>4.75</v>
      </c>
      <c r="V1225" s="15" t="n">
        <v>9.73</v>
      </c>
      <c r="W1225" s="49" t="n">
        <v>104.308</v>
      </c>
    </row>
    <row r="1226">
      <c r="A1226" s="44" t="inlineStr">
        <is>
          <t>TL Cinsi Sabit Faizli Kuponlu Senetler</t>
        </is>
      </c>
      <c r="B1226" s="44" t="n">
        <v>2016</v>
      </c>
      <c r="C1226" s="44" t="inlineStr">
        <is>
          <t>TRT110718T18</t>
        </is>
      </c>
      <c r="D1226" s="44" t="inlineStr">
        <is>
          <t>28.09.2016</t>
        </is>
      </c>
      <c r="E1226" s="44" t="inlineStr">
        <is>
          <t>11.07.2018</t>
        </is>
      </c>
      <c r="F1226" s="44" t="n">
        <v>651</v>
      </c>
      <c r="G1226" s="44" t="inlineStr">
        <is>
          <t>6 ay</t>
        </is>
      </c>
      <c r="H1226" s="15" t="n">
        <v>4.35</v>
      </c>
      <c r="I1226" s="45" t="n">
        <v>2628000</v>
      </c>
      <c r="J1226" s="45" t="n">
        <v>2669474.27</v>
      </c>
      <c r="K1226" s="45" t="n">
        <v>998000</v>
      </c>
      <c r="L1226" s="45" t="n">
        <v>1014671.59</v>
      </c>
      <c r="M1226" s="45" t="n">
        <v>245891.158</v>
      </c>
      <c r="N1226" s="45" t="n">
        <v>249999.99925</v>
      </c>
      <c r="O1226" s="45" t="n">
        <v>826194.2929999999</v>
      </c>
      <c r="P1226" s="45" t="n">
        <v>839999.9996400001</v>
      </c>
      <c r="Q1226" s="45" t="n">
        <v>0</v>
      </c>
      <c r="R1226" s="45" t="n">
        <v>0</v>
      </c>
      <c r="S1226" s="45" t="n">
        <v>2070085.451</v>
      </c>
      <c r="T1226" s="45" t="n">
        <v>2104671.58889</v>
      </c>
      <c r="U1226" s="15" t="n">
        <v>4.4</v>
      </c>
      <c r="V1226" s="15" t="n">
        <v>8.98</v>
      </c>
      <c r="W1226" s="49" t="n">
        <v>101.671</v>
      </c>
    </row>
    <row r="1227">
      <c r="A1227" s="44" t="inlineStr">
        <is>
          <t>TL Cinsi Sabit Faizli Kuponlu Senetler</t>
        </is>
      </c>
      <c r="B1227" s="44" t="n">
        <v>2016</v>
      </c>
      <c r="C1227" s="44" t="inlineStr">
        <is>
          <t>TRT110226T13</t>
        </is>
      </c>
      <c r="D1227" s="44" t="inlineStr">
        <is>
          <t>28.09.2016</t>
        </is>
      </c>
      <c r="E1227" s="44" t="inlineStr">
        <is>
          <t>11.02.2026</t>
        </is>
      </c>
      <c r="F1227" s="44" t="n">
        <v>3423</v>
      </c>
      <c r="G1227" s="44" t="inlineStr">
        <is>
          <t>6 ay</t>
        </is>
      </c>
      <c r="H1227" s="15" t="n">
        <v>5.3</v>
      </c>
      <c r="I1227" s="45" t="n">
        <v>3612100</v>
      </c>
      <c r="J1227" s="45" t="n">
        <v>3831020.054</v>
      </c>
      <c r="K1227" s="45" t="n">
        <v>1016000</v>
      </c>
      <c r="L1227" s="45" t="n">
        <v>1081269.54</v>
      </c>
      <c r="M1227" s="45" t="n">
        <v>187927.535</v>
      </c>
      <c r="N1227" s="45" t="n">
        <v>199999.99985</v>
      </c>
      <c r="O1227" s="45" t="n">
        <v>890776.5159999999</v>
      </c>
      <c r="P1227" s="45" t="n">
        <v>947999.9994</v>
      </c>
      <c r="Q1227" s="45" t="n">
        <v>132607.023</v>
      </c>
      <c r="R1227" s="45" t="n">
        <v>141125.69816</v>
      </c>
      <c r="S1227" s="45" t="n">
        <v>2227311.074</v>
      </c>
      <c r="T1227" s="45" t="n">
        <v>2370395.23741</v>
      </c>
      <c r="U1227" s="15" t="n">
        <v>4.85</v>
      </c>
      <c r="V1227" s="15" t="n">
        <v>9.94</v>
      </c>
      <c r="W1227" s="49" t="n">
        <v>106.424</v>
      </c>
    </row>
    <row r="1228">
      <c r="A1228" s="44" t="inlineStr">
        <is>
          <t>TL Cinsi Sabit Faizli Kuponlu Senetler</t>
        </is>
      </c>
      <c r="B1228" s="44" t="n">
        <v>2016</v>
      </c>
      <c r="C1228" s="44" t="inlineStr">
        <is>
          <t>TRT220921T18</t>
        </is>
      </c>
      <c r="D1228" s="44" t="inlineStr">
        <is>
          <t>28.09.2016</t>
        </is>
      </c>
      <c r="E1228" s="44" t="inlineStr">
        <is>
          <t>22.09.2021</t>
        </is>
      </c>
      <c r="F1228" s="44" t="n">
        <v>1820</v>
      </c>
      <c r="G1228" s="44" t="inlineStr">
        <is>
          <t>6 ay</t>
        </is>
      </c>
      <c r="H1228" s="15" t="n">
        <v>4.6</v>
      </c>
      <c r="I1228" s="45" t="n">
        <v>4167900</v>
      </c>
      <c r="J1228" s="45" t="n">
        <v>4181463.499</v>
      </c>
      <c r="K1228" s="45" t="n">
        <v>1420000</v>
      </c>
      <c r="L1228" s="45" t="n">
        <v>1426869.5</v>
      </c>
      <c r="M1228" s="45" t="n">
        <v>547350.821</v>
      </c>
      <c r="N1228" s="45" t="n">
        <v>549999.99898</v>
      </c>
      <c r="O1228" s="45" t="n">
        <v>854016.559</v>
      </c>
      <c r="P1228" s="45" t="n">
        <v>858149.99916</v>
      </c>
      <c r="Q1228" s="45" t="n">
        <v>241229.169</v>
      </c>
      <c r="R1228" s="45" t="n">
        <v>242396.71818</v>
      </c>
      <c r="S1228" s="45" t="n">
        <v>3062596.549</v>
      </c>
      <c r="T1228" s="45" t="n">
        <v>3077416.21632</v>
      </c>
      <c r="U1228" s="15" t="n">
        <v>4.54</v>
      </c>
      <c r="V1228" s="15" t="n">
        <v>9.279999999999999</v>
      </c>
      <c r="W1228" s="49" t="n">
        <v>100.484</v>
      </c>
    </row>
    <row r="1229">
      <c r="A1229" s="44" t="inlineStr">
        <is>
          <t>TL Cinsi Sabit Faizli Kuponlu Senetler</t>
        </is>
      </c>
      <c r="B1229" s="44" t="n">
        <v>2016</v>
      </c>
      <c r="C1229" s="44" t="inlineStr">
        <is>
          <t>TRT220921T18</t>
        </is>
      </c>
      <c r="D1229" s="44" t="inlineStr">
        <is>
          <t>26.10.2016</t>
        </is>
      </c>
      <c r="E1229" s="44" t="inlineStr">
        <is>
          <t>22.09.2021</t>
        </is>
      </c>
      <c r="F1229" s="44" t="n">
        <v>1792</v>
      </c>
      <c r="G1229" s="44" t="inlineStr">
        <is>
          <t>6 ay</t>
        </is>
      </c>
      <c r="H1229" s="15" t="n">
        <v>4.6</v>
      </c>
      <c r="I1229" s="45" t="n">
        <v>2964200</v>
      </c>
      <c r="J1229" s="45" t="n">
        <v>2953121.753</v>
      </c>
      <c r="K1229" s="45" t="n">
        <v>1372200</v>
      </c>
      <c r="L1229" s="45" t="n">
        <v>1369175.366</v>
      </c>
      <c r="M1229" s="45" t="n">
        <v>250551.211</v>
      </c>
      <c r="N1229" s="45" t="n">
        <v>249999.99833</v>
      </c>
      <c r="O1229" s="45" t="n">
        <v>989777.5110000001</v>
      </c>
      <c r="P1229" s="45" t="n">
        <v>987600.00049</v>
      </c>
      <c r="Q1229" s="45" t="n">
        <v>0</v>
      </c>
      <c r="R1229" s="45" t="n">
        <v>0</v>
      </c>
      <c r="S1229" s="45" t="n">
        <v>2612528.722</v>
      </c>
      <c r="T1229" s="45" t="n">
        <v>2606775.36482</v>
      </c>
      <c r="U1229" s="15" t="n">
        <v>4.72</v>
      </c>
      <c r="V1229" s="15" t="n">
        <v>9.66</v>
      </c>
      <c r="W1229" s="49" t="n">
        <v>99.78</v>
      </c>
    </row>
    <row r="1230">
      <c r="A1230" s="44" t="inlineStr">
        <is>
          <t>TL Cinsi Sabit Faizli Kuponlu Senetler</t>
        </is>
      </c>
      <c r="B1230" s="44" t="n">
        <v>2016</v>
      </c>
      <c r="C1230" s="44" t="inlineStr">
        <is>
          <t>TRT110718T18</t>
        </is>
      </c>
      <c r="D1230" s="44" t="inlineStr">
        <is>
          <t>16.11.2016</t>
        </is>
      </c>
      <c r="E1230" s="44" t="inlineStr">
        <is>
          <t>11.07.2018</t>
        </is>
      </c>
      <c r="F1230" s="44" t="n">
        <v>602</v>
      </c>
      <c r="G1230" s="44" t="inlineStr">
        <is>
          <t>6 ay</t>
        </is>
      </c>
      <c r="H1230" s="15" t="n">
        <v>4.35</v>
      </c>
      <c r="I1230" s="45" t="n">
        <v>1039300</v>
      </c>
      <c r="J1230" s="45" t="n">
        <v>1051394.234</v>
      </c>
      <c r="K1230" s="45" t="n">
        <v>739200</v>
      </c>
      <c r="L1230" s="45" t="n">
        <v>748247.414</v>
      </c>
      <c r="M1230" s="45" t="n">
        <v>380344.582</v>
      </c>
      <c r="N1230" s="45" t="n">
        <v>384999.99969</v>
      </c>
      <c r="O1230" s="45" t="n">
        <v>565330.356</v>
      </c>
      <c r="P1230" s="45" t="n">
        <v>572249.99957</v>
      </c>
      <c r="Q1230" s="45" t="n">
        <v>0</v>
      </c>
      <c r="R1230" s="45" t="n">
        <v>0</v>
      </c>
      <c r="S1230" s="45" t="n">
        <v>1684874.938</v>
      </c>
      <c r="T1230" s="45" t="n">
        <v>1705497.41326</v>
      </c>
      <c r="U1230" s="15" t="n">
        <v>4.94</v>
      </c>
      <c r="V1230" s="15" t="n">
        <v>10.13</v>
      </c>
      <c r="W1230" s="49" t="n">
        <v>101.224</v>
      </c>
    </row>
    <row r="1231">
      <c r="A1231" s="44" t="inlineStr">
        <is>
          <t>TL Cinsi Sabit Faizli Kuponlu Senetler</t>
        </is>
      </c>
      <c r="B1231" s="44" t="n">
        <v>2016</v>
      </c>
      <c r="C1231" s="44" t="inlineStr">
        <is>
          <t>TRT110226T13</t>
        </is>
      </c>
      <c r="D1231" s="44" t="inlineStr">
        <is>
          <t>16.11.2016</t>
        </is>
      </c>
      <c r="E1231" s="44" t="inlineStr">
        <is>
          <t>11.02.2026</t>
        </is>
      </c>
      <c r="F1231" s="44" t="n">
        <v>3374</v>
      </c>
      <c r="G1231" s="44" t="inlineStr">
        <is>
          <t>6 ay</t>
        </is>
      </c>
      <c r="H1231" s="15" t="n">
        <v>5.3</v>
      </c>
      <c r="I1231" s="45" t="n">
        <v>2171400</v>
      </c>
      <c r="J1231" s="45" t="n">
        <v>2194850.59</v>
      </c>
      <c r="K1231" s="45" t="n">
        <v>1415600</v>
      </c>
      <c r="L1231" s="45" t="n">
        <v>1434085.44</v>
      </c>
      <c r="M1231" s="45" t="n">
        <v>493554.182</v>
      </c>
      <c r="N1231" s="45" t="n">
        <v>499999.99962</v>
      </c>
      <c r="O1231" s="45" t="n">
        <v>594634.078</v>
      </c>
      <c r="P1231" s="45" t="n">
        <v>602399.9990599999</v>
      </c>
      <c r="Q1231" s="45" t="n">
        <v>50059.3</v>
      </c>
      <c r="R1231" s="45" t="n">
        <v>50713.07446</v>
      </c>
      <c r="S1231" s="45" t="n">
        <v>2553847.56</v>
      </c>
      <c r="T1231" s="45" t="n">
        <v>2587198.51314</v>
      </c>
      <c r="U1231" s="15" t="n">
        <v>5.4</v>
      </c>
      <c r="V1231" s="15" t="n">
        <v>11.08</v>
      </c>
      <c r="W1231" s="49" t="n">
        <v>101.306</v>
      </c>
    </row>
    <row r="1232">
      <c r="A1232" s="44" t="inlineStr">
        <is>
          <t>TL Cinsi Sabit Faizli Kuponlu Senetler</t>
        </is>
      </c>
      <c r="B1232" s="44" t="n">
        <v>2016</v>
      </c>
      <c r="C1232" s="44" t="inlineStr">
        <is>
          <t>TRT220921T18</t>
        </is>
      </c>
      <c r="D1232" s="44" t="inlineStr">
        <is>
          <t>16.11.2016</t>
        </is>
      </c>
      <c r="E1232" s="44" t="inlineStr">
        <is>
          <t>22.09.2021</t>
        </is>
      </c>
      <c r="F1232" s="44" t="n">
        <v>1771</v>
      </c>
      <c r="G1232" s="44" t="inlineStr">
        <is>
          <t>6 ay</t>
        </is>
      </c>
      <c r="H1232" s="15" t="n">
        <v>4.6</v>
      </c>
      <c r="I1232" s="45" t="n">
        <v>3131900</v>
      </c>
      <c r="J1232" s="45" t="n">
        <v>2998204.678</v>
      </c>
      <c r="K1232" s="45" t="n">
        <v>1437500</v>
      </c>
      <c r="L1232" s="45" t="n">
        <v>1377962.41</v>
      </c>
      <c r="M1232" s="45" t="n">
        <v>542469.068</v>
      </c>
      <c r="N1232" s="45" t="n">
        <v>519999.9992</v>
      </c>
      <c r="O1232" s="45" t="n">
        <v>1346491.687</v>
      </c>
      <c r="P1232" s="45" t="n">
        <v>1290720.00133</v>
      </c>
      <c r="Q1232" s="45" t="n">
        <v>0</v>
      </c>
      <c r="R1232" s="45" t="n">
        <v>0</v>
      </c>
      <c r="S1232" s="45" t="n">
        <v>3326460.755</v>
      </c>
      <c r="T1232" s="45" t="n">
        <v>3188682.41053</v>
      </c>
      <c r="U1232" s="15" t="n">
        <v>5.32</v>
      </c>
      <c r="V1232" s="15" t="n">
        <v>10.92</v>
      </c>
      <c r="W1232" s="49" t="n">
        <v>95.858</v>
      </c>
    </row>
    <row r="1233">
      <c r="A1233" s="44" t="inlineStr">
        <is>
          <t>TL Cinsi Sabit Faizli Kuponlu Senetler</t>
        </is>
      </c>
      <c r="B1233" s="44" t="n">
        <v>2016</v>
      </c>
      <c r="C1233" s="44" t="inlineStr">
        <is>
          <t>TRT220921T18</t>
        </is>
      </c>
      <c r="D1233" s="44" t="inlineStr">
        <is>
          <t>14.12.2016</t>
        </is>
      </c>
      <c r="E1233" s="44" t="inlineStr">
        <is>
          <t>22.09.2021</t>
        </is>
      </c>
      <c r="F1233" s="44" t="n">
        <v>1743</v>
      </c>
      <c r="G1233" s="44" t="inlineStr">
        <is>
          <t>6 ay</t>
        </is>
      </c>
      <c r="H1233" s="15" t="n">
        <v>4.6</v>
      </c>
      <c r="I1233" s="45" t="n">
        <v>1335400</v>
      </c>
      <c r="J1233" s="45" t="n">
        <v>1262134.374</v>
      </c>
      <c r="K1233" s="45" t="n">
        <v>762300</v>
      </c>
      <c r="L1233" s="45" t="n">
        <v>721588.836</v>
      </c>
      <c r="M1233" s="45" t="n">
        <v>274670.131</v>
      </c>
      <c r="N1233" s="45" t="n">
        <v>259999.9993</v>
      </c>
      <c r="O1233" s="45" t="n">
        <v>583990.956</v>
      </c>
      <c r="P1233" s="45" t="n">
        <v>552799.9990299999</v>
      </c>
      <c r="Q1233" s="45" t="n">
        <v>109610.682</v>
      </c>
      <c r="R1233" s="45" t="n">
        <v>103756.37548</v>
      </c>
      <c r="S1233" s="45" t="n">
        <v>1730571.769</v>
      </c>
      <c r="T1233" s="45" t="n">
        <v>1638145.20981</v>
      </c>
      <c r="U1233" s="15" t="n">
        <v>5.6</v>
      </c>
      <c r="V1233" s="15" t="n">
        <v>11.51</v>
      </c>
      <c r="W1233" s="49" t="n">
        <v>94.65900000000001</v>
      </c>
    </row>
    <row r="1234">
      <c r="A1234" s="44" t="inlineStr">
        <is>
          <t>TL Cinsi Sabit Faizli Kuponlu Senetler</t>
        </is>
      </c>
      <c r="B1234" s="44" t="n">
        <v>2016</v>
      </c>
      <c r="C1234" s="44" t="inlineStr">
        <is>
          <t>TRT110718T18</t>
        </is>
      </c>
      <c r="D1234" s="44" t="inlineStr">
        <is>
          <t>14.12.2016</t>
        </is>
      </c>
      <c r="E1234" s="44" t="inlineStr">
        <is>
          <t>11.07.2018</t>
        </is>
      </c>
      <c r="F1234" s="44" t="n">
        <v>574</v>
      </c>
      <c r="G1234" s="44" t="inlineStr">
        <is>
          <t>6 ay</t>
        </is>
      </c>
      <c r="H1234" s="15" t="n">
        <v>4.35</v>
      </c>
      <c r="I1234" s="45" t="n">
        <v>1456000</v>
      </c>
      <c r="J1234" s="45" t="n">
        <v>1462574.08</v>
      </c>
      <c r="K1234" s="45" t="n">
        <v>709000</v>
      </c>
      <c r="L1234" s="45" t="n">
        <v>712828.99</v>
      </c>
      <c r="M1234" s="45" t="n">
        <v>198925.8</v>
      </c>
      <c r="N1234" s="45" t="n">
        <v>199999.99932</v>
      </c>
      <c r="O1234" s="45" t="n">
        <v>776606.326</v>
      </c>
      <c r="P1234" s="45" t="n">
        <v>780800.0001600001</v>
      </c>
      <c r="Q1234" s="45" t="n">
        <v>120014.858</v>
      </c>
      <c r="R1234" s="45" t="n">
        <v>120662.93823</v>
      </c>
      <c r="S1234" s="45" t="n">
        <v>1804546.984</v>
      </c>
      <c r="T1234" s="45" t="n">
        <v>1814291.92771</v>
      </c>
      <c r="U1234" s="15" t="n">
        <v>5.46</v>
      </c>
      <c r="V1234" s="15" t="n">
        <v>11.21</v>
      </c>
      <c r="W1234" s="49" t="n">
        <v>100.54</v>
      </c>
    </row>
    <row r="1235">
      <c r="A1235" s="44" t="inlineStr">
        <is>
          <t>TL Cinsi Sabit Faizli Kuponlu Senetler</t>
        </is>
      </c>
      <c r="B1235" s="44" t="n">
        <v>2016</v>
      </c>
      <c r="C1235" s="44" t="inlineStr">
        <is>
          <t>TRT110226T13</t>
        </is>
      </c>
      <c r="D1235" s="44" t="inlineStr">
        <is>
          <t>14.12.2016</t>
        </is>
      </c>
      <c r="E1235" s="44" t="inlineStr">
        <is>
          <t>11.02.2026</t>
        </is>
      </c>
      <c r="F1235" s="44" t="n">
        <v>3346</v>
      </c>
      <c r="G1235" s="44" t="inlineStr">
        <is>
          <t>6 ay</t>
        </is>
      </c>
      <c r="H1235" s="15" t="n">
        <v>5.3</v>
      </c>
      <c r="I1235" s="45" t="n">
        <v>1619658.107</v>
      </c>
      <c r="J1235" s="45" t="n">
        <v>1609063.634</v>
      </c>
      <c r="K1235" s="45" t="n">
        <v>584158.107</v>
      </c>
      <c r="L1235" s="45" t="n">
        <v>582003.39439</v>
      </c>
      <c r="M1235" s="45" t="n">
        <v>301111.099</v>
      </c>
      <c r="N1235" s="45" t="n">
        <v>299999.99904</v>
      </c>
      <c r="O1235" s="45" t="n">
        <v>647991.0870000001</v>
      </c>
      <c r="P1235" s="45" t="n">
        <v>645599.99989</v>
      </c>
      <c r="Q1235" s="45" t="n">
        <v>93119.94</v>
      </c>
      <c r="R1235" s="45" t="n">
        <v>92776.32742</v>
      </c>
      <c r="S1235" s="45" t="n">
        <v>1626380.233</v>
      </c>
      <c r="T1235" s="45" t="n">
        <v>1620379.72074</v>
      </c>
      <c r="U1235" s="15" t="n">
        <v>5.62</v>
      </c>
      <c r="V1235" s="15" t="n">
        <v>11.55</v>
      </c>
      <c r="W1235" s="49" t="n">
        <v>99.631</v>
      </c>
    </row>
    <row r="1236">
      <c r="A1236" s="44" t="inlineStr">
        <is>
          <t>TL Cinsi Sabit Faizli Kuponlu Senetler</t>
        </is>
      </c>
      <c r="B1236" s="44" t="n">
        <v>2015</v>
      </c>
      <c r="C1236" s="44" t="inlineStr">
        <is>
          <t>TRT100719T18</t>
        </is>
      </c>
      <c r="D1236" s="44" t="inlineStr">
        <is>
          <t>07.01.2015</t>
        </is>
      </c>
      <c r="E1236" s="44" t="inlineStr">
        <is>
          <t>10.07.2019</t>
        </is>
      </c>
      <c r="F1236" s="44" t="n">
        <v>1645</v>
      </c>
      <c r="G1236" s="44" t="inlineStr">
        <is>
          <t>6 Ay</t>
        </is>
      </c>
      <c r="H1236" s="15" t="n">
        <v>4.25</v>
      </c>
      <c r="I1236" s="45" t="n">
        <v>3208700</v>
      </c>
      <c r="J1236" s="45" t="n">
        <v>3418311.231</v>
      </c>
      <c r="K1236" s="45" t="n">
        <v>1624000</v>
      </c>
      <c r="L1236" s="45" t="n">
        <v>1733596.18</v>
      </c>
      <c r="M1236" s="45" t="n">
        <v>253866.546</v>
      </c>
      <c r="N1236" s="45" t="n">
        <v>270999.99919</v>
      </c>
      <c r="O1236" s="45" t="n">
        <v>1146277.717</v>
      </c>
      <c r="P1236" s="45" t="n">
        <v>1223640.00012</v>
      </c>
      <c r="Q1236" s="45" t="n">
        <v>217890.579</v>
      </c>
      <c r="R1236" s="45" t="n">
        <v>232596.01418</v>
      </c>
      <c r="S1236" s="45" t="n">
        <v>3242034.842</v>
      </c>
      <c r="T1236" s="45" t="n">
        <v>3460832.19349</v>
      </c>
      <c r="U1236" s="15" t="n">
        <v>3.89</v>
      </c>
      <c r="V1236" s="15" t="n">
        <v>7.94</v>
      </c>
      <c r="W1236" s="49" t="n">
        <v>106.749</v>
      </c>
    </row>
    <row r="1237">
      <c r="A1237" s="44" t="inlineStr">
        <is>
          <t>TL Cinsi Sabit Faizli Kuponlu Senetler</t>
        </is>
      </c>
      <c r="B1237" s="44" t="n">
        <v>2015</v>
      </c>
      <c r="C1237" s="44" t="inlineStr">
        <is>
          <t>TRT161116T19</t>
        </is>
      </c>
      <c r="D1237" s="44" t="inlineStr">
        <is>
          <t>07.01.2015</t>
        </is>
      </c>
      <c r="E1237" s="44" t="inlineStr">
        <is>
          <t>16.11.2016</t>
        </is>
      </c>
      <c r="F1237" s="44" t="n">
        <v>679</v>
      </c>
      <c r="G1237" s="44" t="inlineStr">
        <is>
          <t>6 Ay</t>
        </is>
      </c>
      <c r="H1237" s="15" t="n">
        <v>4.1</v>
      </c>
      <c r="I1237" s="45" t="n">
        <v>2135300</v>
      </c>
      <c r="J1237" s="45" t="n">
        <v>2175274.35</v>
      </c>
      <c r="K1237" s="45" t="n">
        <v>670200</v>
      </c>
      <c r="L1237" s="45" t="n">
        <v>684223.1</v>
      </c>
      <c r="M1237" s="45" t="n">
        <v>0</v>
      </c>
      <c r="N1237" s="45" t="n">
        <v>0</v>
      </c>
      <c r="O1237" s="45" t="n">
        <v>518951.044</v>
      </c>
      <c r="P1237" s="45" t="n">
        <v>529807.4998399999</v>
      </c>
      <c r="Q1237" s="45" t="n">
        <v>108053.577</v>
      </c>
      <c r="R1237" s="45" t="n">
        <v>110314.05783</v>
      </c>
      <c r="S1237" s="45" t="n">
        <v>1297204.621</v>
      </c>
      <c r="T1237" s="45" t="n">
        <v>1324344.65767</v>
      </c>
      <c r="U1237" s="15" t="n">
        <v>3.81</v>
      </c>
      <c r="V1237" s="15" t="n">
        <v>7.76</v>
      </c>
      <c r="W1237" s="49" t="n">
        <v>102.092</v>
      </c>
    </row>
    <row r="1238">
      <c r="A1238" s="44" t="inlineStr">
        <is>
          <t>TL Cinsi Sabit Faizli Kuponlu Senetler</t>
        </is>
      </c>
      <c r="B1238" s="44" t="n">
        <v>2015</v>
      </c>
      <c r="C1238" s="44" t="inlineStr">
        <is>
          <t>TRT240724T15</t>
        </is>
      </c>
      <c r="D1238" s="44" t="inlineStr">
        <is>
          <t>07.01.2015</t>
        </is>
      </c>
      <c r="E1238" s="44" t="inlineStr">
        <is>
          <t>24.07.2024</t>
        </is>
      </c>
      <c r="F1238" s="44" t="n">
        <v>3486</v>
      </c>
      <c r="G1238" s="44" t="inlineStr">
        <is>
          <t>6 Ay</t>
        </is>
      </c>
      <c r="H1238" s="15" t="n">
        <v>4.5</v>
      </c>
      <c r="I1238" s="45" t="n">
        <v>1563600</v>
      </c>
      <c r="J1238" s="45" t="n">
        <v>1767006.64</v>
      </c>
      <c r="K1238" s="45" t="n">
        <v>809400</v>
      </c>
      <c r="L1238" s="45" t="n">
        <v>917157.308</v>
      </c>
      <c r="M1238" s="45" t="n">
        <v>441255.637</v>
      </c>
      <c r="N1238" s="45" t="n">
        <v>499999.99995</v>
      </c>
      <c r="O1238" s="45" t="n">
        <v>520178.62</v>
      </c>
      <c r="P1238" s="45" t="n">
        <v>589429.9996799999</v>
      </c>
      <c r="Q1238" s="45" t="n">
        <v>58260.143</v>
      </c>
      <c r="R1238" s="45" t="n">
        <v>66016.31584000001</v>
      </c>
      <c r="S1238" s="45" t="n">
        <v>1829094.4</v>
      </c>
      <c r="T1238" s="45" t="n">
        <v>2072603.62347</v>
      </c>
      <c r="U1238" s="15" t="n">
        <v>3.79</v>
      </c>
      <c r="V1238" s="15" t="n">
        <v>7.73</v>
      </c>
      <c r="W1238" s="49" t="n">
        <v>113.313</v>
      </c>
    </row>
    <row r="1239">
      <c r="A1239" s="44" t="inlineStr">
        <is>
          <t>TL Cinsi Sabit Faizli Kuponlu Senetler</t>
        </is>
      </c>
      <c r="B1239" s="44" t="n">
        <v>2015</v>
      </c>
      <c r="C1239" s="44" t="inlineStr">
        <is>
          <t>TRT050220T17</t>
        </is>
      </c>
      <c r="D1239" s="44" t="inlineStr">
        <is>
          <t>11.02.2015</t>
        </is>
      </c>
      <c r="E1239" s="44" t="inlineStr">
        <is>
          <t>05.02.2020</t>
        </is>
      </c>
      <c r="F1239" s="44" t="n">
        <v>1820</v>
      </c>
      <c r="G1239" s="44" t="inlineStr">
        <is>
          <t>6 Ay</t>
        </is>
      </c>
      <c r="H1239" s="15" t="n">
        <v>3.7</v>
      </c>
      <c r="I1239" s="45" t="n">
        <v>2944003.47</v>
      </c>
      <c r="J1239" s="45" t="n">
        <v>2882031.17205</v>
      </c>
      <c r="K1239" s="45" t="n">
        <v>1216103.47</v>
      </c>
      <c r="L1239" s="45" t="n">
        <v>1194641.95205</v>
      </c>
      <c r="M1239" s="45" t="n">
        <v>628085.7120000001</v>
      </c>
      <c r="N1239" s="45" t="n">
        <v>616999.9991799999</v>
      </c>
      <c r="O1239" s="45" t="n">
        <v>1168173.258</v>
      </c>
      <c r="P1239" s="45" t="n">
        <v>1147555</v>
      </c>
      <c r="Q1239" s="45" t="n">
        <v>74572.042</v>
      </c>
      <c r="R1239" s="45" t="n">
        <v>73255.84546</v>
      </c>
      <c r="S1239" s="45" t="n">
        <v>3086934.482</v>
      </c>
      <c r="T1239" s="45" t="n">
        <v>3032452.79669</v>
      </c>
      <c r="U1239" s="15" t="n">
        <v>3.92</v>
      </c>
      <c r="V1239" s="15" t="n">
        <v>7.99</v>
      </c>
      <c r="W1239" s="49" t="n">
        <v>98.235</v>
      </c>
    </row>
    <row r="1240">
      <c r="A1240" s="44" t="inlineStr">
        <is>
          <t>TL Cinsi Sabit Faizli Kuponlu Senetler</t>
        </is>
      </c>
      <c r="B1240" s="44" t="n">
        <v>2015</v>
      </c>
      <c r="C1240" s="44" t="inlineStr">
        <is>
          <t>TRT161116T19</t>
        </is>
      </c>
      <c r="D1240" s="44" t="inlineStr">
        <is>
          <t>11.02.2015</t>
        </is>
      </c>
      <c r="E1240" s="44" t="inlineStr">
        <is>
          <t>16.11.2016</t>
        </is>
      </c>
      <c r="F1240" s="44" t="n">
        <v>644</v>
      </c>
      <c r="G1240" s="44" t="inlineStr">
        <is>
          <t>6 ay</t>
        </is>
      </c>
      <c r="H1240" s="15" t="n">
        <v>4.1</v>
      </c>
      <c r="I1240" s="45" t="n">
        <v>1546500</v>
      </c>
      <c r="J1240" s="45" t="n">
        <v>1574628.185</v>
      </c>
      <c r="K1240" s="45" t="n">
        <v>801300</v>
      </c>
      <c r="L1240" s="45" t="n">
        <v>816666.009</v>
      </c>
      <c r="M1240" s="45" t="n">
        <v>196236.189</v>
      </c>
      <c r="N1240" s="45" t="n">
        <v>199999.99911</v>
      </c>
      <c r="O1240" s="45" t="n">
        <v>740014.5209999999</v>
      </c>
      <c r="P1240" s="45" t="n">
        <v>754207.99951</v>
      </c>
      <c r="Q1240" s="45" t="n">
        <v>4841</v>
      </c>
      <c r="R1240" s="45" t="n">
        <v>4933.85038</v>
      </c>
      <c r="S1240" s="45" t="n">
        <v>1742391.71</v>
      </c>
      <c r="T1240" s="45" t="n">
        <v>1775807.858</v>
      </c>
      <c r="U1240" s="15" t="n">
        <v>4.09</v>
      </c>
      <c r="V1240" s="15" t="n">
        <v>8.34</v>
      </c>
      <c r="W1240" s="49" t="n">
        <v>101.918</v>
      </c>
    </row>
    <row r="1241">
      <c r="A1241" s="44" t="inlineStr">
        <is>
          <t>TL Cinsi Sabit Faizli Kuponlu Senetler</t>
        </is>
      </c>
      <c r="B1241" s="44" t="n">
        <v>2015</v>
      </c>
      <c r="C1241" s="44" t="inlineStr">
        <is>
          <t>TRT240724T15</t>
        </is>
      </c>
      <c r="D1241" s="44" t="inlineStr">
        <is>
          <t>11.02.2015</t>
        </is>
      </c>
      <c r="E1241" s="44" t="inlineStr">
        <is>
          <t>24.07.2024</t>
        </is>
      </c>
      <c r="F1241" s="44" t="n">
        <v>3451</v>
      </c>
      <c r="G1241" s="44" t="inlineStr">
        <is>
          <t>6 ay</t>
        </is>
      </c>
      <c r="H1241" s="15" t="n">
        <v>4.5</v>
      </c>
      <c r="I1241" s="45" t="n">
        <v>2629709.98</v>
      </c>
      <c r="J1241" s="45" t="n">
        <v>2843008.1196</v>
      </c>
      <c r="K1241" s="45" t="n">
        <v>1299100</v>
      </c>
      <c r="L1241" s="45" t="n">
        <v>1408191.583</v>
      </c>
      <c r="M1241" s="45" t="n">
        <v>461267.378</v>
      </c>
      <c r="N1241" s="45" t="n">
        <v>499999.99973</v>
      </c>
      <c r="O1241" s="45" t="n">
        <v>714418.296</v>
      </c>
      <c r="P1241" s="45" t="n">
        <v>774408.0003200001</v>
      </c>
      <c r="Q1241" s="45" t="n">
        <v>0</v>
      </c>
      <c r="R1241" s="45" t="n">
        <v>0</v>
      </c>
      <c r="S1241" s="45" t="n">
        <v>2474785.674</v>
      </c>
      <c r="T1241" s="45" t="n">
        <v>2682599.58305</v>
      </c>
      <c r="U1241" s="15" t="n">
        <v>3.88</v>
      </c>
      <c r="V1241" s="15" t="n">
        <v>7.91</v>
      </c>
      <c r="W1241" s="49" t="n">
        <v>108.397</v>
      </c>
    </row>
    <row r="1242">
      <c r="A1242" s="44" t="inlineStr">
        <is>
          <t>TL Cinsi Sabit Faizli Kuponlu Senetler</t>
        </is>
      </c>
      <c r="B1242" s="44" t="n">
        <v>2015</v>
      </c>
      <c r="C1242" s="44" t="inlineStr">
        <is>
          <t>TRT050220T17</t>
        </is>
      </c>
      <c r="D1242" s="44" t="inlineStr">
        <is>
          <t>25.03.2015</t>
        </is>
      </c>
      <c r="E1242" s="44" t="inlineStr">
        <is>
          <t>05.02.2020</t>
        </is>
      </c>
      <c r="F1242" s="44" t="n">
        <v>1778</v>
      </c>
      <c r="G1242" s="44" t="inlineStr">
        <is>
          <t>6 ay</t>
        </is>
      </c>
      <c r="H1242" s="15" t="n">
        <v>3.7</v>
      </c>
      <c r="I1242" s="45" t="n">
        <v>1759500</v>
      </c>
      <c r="J1242" s="45" t="n">
        <v>1724028.54</v>
      </c>
      <c r="K1242" s="45" t="n">
        <v>1077000</v>
      </c>
      <c r="L1242" s="45" t="n">
        <v>1056771.26</v>
      </c>
      <c r="M1242" s="45" t="n">
        <v>965125.048</v>
      </c>
      <c r="N1242" s="45" t="n">
        <v>946999.9996</v>
      </c>
      <c r="O1242" s="45" t="n">
        <v>442928.191</v>
      </c>
      <c r="P1242" s="45" t="n">
        <v>434609.99957</v>
      </c>
      <c r="Q1242" s="45" t="n">
        <v>0</v>
      </c>
      <c r="R1242" s="45" t="n">
        <v>0</v>
      </c>
      <c r="S1242" s="45" t="n">
        <v>2485053.239</v>
      </c>
      <c r="T1242" s="45" t="n">
        <v>2438381.25917</v>
      </c>
      <c r="U1242" s="15" t="n">
        <v>4.04</v>
      </c>
      <c r="V1242" s="15" t="n">
        <v>8.25</v>
      </c>
      <c r="W1242" s="49" t="n">
        <v>98.122</v>
      </c>
    </row>
    <row r="1243">
      <c r="A1243" s="44" t="inlineStr">
        <is>
          <t>TL Cinsi Sabit Faizli Kuponlu Senetler</t>
        </is>
      </c>
      <c r="B1243" s="44" t="n">
        <v>2015</v>
      </c>
      <c r="C1243" s="44" t="inlineStr">
        <is>
          <t>TRT120325T12</t>
        </is>
      </c>
      <c r="D1243" s="44" t="inlineStr">
        <is>
          <t>25.03.2015</t>
        </is>
      </c>
      <c r="E1243" s="44" t="inlineStr">
        <is>
          <t>12.03.2025</t>
        </is>
      </c>
      <c r="F1243" s="44" t="n">
        <v>3640</v>
      </c>
      <c r="G1243" s="44" t="inlineStr">
        <is>
          <t>6 ay</t>
        </is>
      </c>
      <c r="H1243" s="15" t="n">
        <v>4</v>
      </c>
      <c r="I1243" s="45" t="n">
        <v>1634900</v>
      </c>
      <c r="J1243" s="45" t="n">
        <v>1632736.562</v>
      </c>
      <c r="K1243" s="45" t="n">
        <v>818350</v>
      </c>
      <c r="L1243" s="45" t="n">
        <v>819428.8345</v>
      </c>
      <c r="M1243" s="45" t="n">
        <v>499340.87</v>
      </c>
      <c r="N1243" s="45" t="n">
        <v>499999.99995</v>
      </c>
      <c r="O1243" s="45" t="n">
        <v>737686.254</v>
      </c>
      <c r="P1243" s="45" t="n">
        <v>738659.99986</v>
      </c>
      <c r="Q1243" s="45" t="n">
        <v>0</v>
      </c>
      <c r="R1243" s="45" t="n">
        <v>0</v>
      </c>
      <c r="S1243" s="45" t="n">
        <v>2055377.124</v>
      </c>
      <c r="T1243" s="45" t="n">
        <v>2058088.83431</v>
      </c>
      <c r="U1243" s="15" t="n">
        <v>3.99</v>
      </c>
      <c r="V1243" s="15" t="n">
        <v>8.140000000000001</v>
      </c>
      <c r="W1243" s="49" t="n">
        <v>100.132</v>
      </c>
    </row>
    <row r="1244">
      <c r="A1244" s="44" t="inlineStr">
        <is>
          <t>TL Cinsi Sabit Faizli Kuponlu Senetler</t>
        </is>
      </c>
      <c r="B1244" s="44" t="n">
        <v>2015</v>
      </c>
      <c r="C1244" s="44" t="inlineStr">
        <is>
          <t>TRT050220T17</t>
        </is>
      </c>
      <c r="D1244" s="44" t="inlineStr">
        <is>
          <t>29.04.2015</t>
        </is>
      </c>
      <c r="E1244" s="44" t="inlineStr">
        <is>
          <t>05.02.2020</t>
        </is>
      </c>
      <c r="F1244" s="44" t="n">
        <v>1743</v>
      </c>
      <c r="G1244" s="44" t="inlineStr">
        <is>
          <t>6 ay</t>
        </is>
      </c>
      <c r="H1244" s="15" t="n">
        <v>3.7</v>
      </c>
      <c r="I1244" s="45" t="n">
        <v>1769400</v>
      </c>
      <c r="J1244" s="45" t="n">
        <v>1639553.405</v>
      </c>
      <c r="K1244" s="45" t="n">
        <v>1339300</v>
      </c>
      <c r="L1244" s="45" t="n">
        <v>1243287.178</v>
      </c>
      <c r="M1244" s="45" t="n">
        <v>1174176.729</v>
      </c>
      <c r="N1244" s="45" t="n">
        <v>1089999.9993</v>
      </c>
      <c r="O1244" s="45" t="n">
        <v>243318.504</v>
      </c>
      <c r="P1244" s="45" t="n">
        <v>225875.00045</v>
      </c>
      <c r="Q1244" s="45" t="n">
        <v>260655.748</v>
      </c>
      <c r="R1244" s="45" t="n">
        <v>241969.33743</v>
      </c>
      <c r="S1244" s="45" t="n">
        <v>3017450.981000001</v>
      </c>
      <c r="T1244" s="45" t="n">
        <v>2801131.51518</v>
      </c>
      <c r="U1244" s="15" t="n">
        <v>4.86</v>
      </c>
      <c r="V1244" s="15" t="n">
        <v>9.949999999999999</v>
      </c>
      <c r="W1244" s="49" t="n">
        <v>92.831</v>
      </c>
    </row>
    <row r="1245">
      <c r="A1245" s="44" t="inlineStr">
        <is>
          <t>TL Cinsi Sabit Faizli Kuponlu Senetler</t>
        </is>
      </c>
      <c r="B1245" s="44" t="n">
        <v>2015</v>
      </c>
      <c r="C1245" s="44" t="inlineStr">
        <is>
          <t>TRT161116T19</t>
        </is>
      </c>
      <c r="D1245" s="44" t="inlineStr">
        <is>
          <t>29.04.2015</t>
        </is>
      </c>
      <c r="E1245" s="44" t="inlineStr">
        <is>
          <t>16.11.2016</t>
        </is>
      </c>
      <c r="F1245" s="44" t="n">
        <v>567</v>
      </c>
      <c r="G1245" s="44" t="inlineStr">
        <is>
          <t>6 ay</t>
        </is>
      </c>
      <c r="H1245" s="15" t="n">
        <v>4.1</v>
      </c>
      <c r="I1245" s="45" t="n">
        <v>3368370</v>
      </c>
      <c r="J1245" s="45" t="n">
        <v>3408691.4493</v>
      </c>
      <c r="K1245" s="45" t="n">
        <v>547900</v>
      </c>
      <c r="L1245" s="45" t="n">
        <v>555988.826</v>
      </c>
      <c r="M1245" s="45" t="n">
        <v>640545.547</v>
      </c>
      <c r="N1245" s="45" t="n">
        <v>649999.99927</v>
      </c>
      <c r="O1245" s="45" t="n">
        <v>572610.765</v>
      </c>
      <c r="P1245" s="45" t="n">
        <v>581062.49989</v>
      </c>
      <c r="Q1245" s="45" t="n">
        <v>0</v>
      </c>
      <c r="R1245" s="45" t="n">
        <v>0</v>
      </c>
      <c r="S1245" s="45" t="n">
        <v>1761056.312</v>
      </c>
      <c r="T1245" s="45" t="n">
        <v>1787051.32516</v>
      </c>
      <c r="U1245" s="15" t="n">
        <v>4.86</v>
      </c>
      <c r="V1245" s="15" t="n">
        <v>9.949999999999999</v>
      </c>
      <c r="W1245" s="49" t="n">
        <v>101.476</v>
      </c>
    </row>
    <row r="1246">
      <c r="A1246" s="44" t="inlineStr">
        <is>
          <t>TL Cinsi Sabit Faizli Kuponlu Senetler</t>
        </is>
      </c>
      <c r="B1246" s="44" t="n">
        <v>2015</v>
      </c>
      <c r="C1246" s="44" t="inlineStr">
        <is>
          <t>TRT120325T12</t>
        </is>
      </c>
      <c r="D1246" s="44" t="inlineStr">
        <is>
          <t>29.04.2015</t>
        </is>
      </c>
      <c r="E1246" s="44" t="inlineStr">
        <is>
          <t>12.03.2025</t>
        </is>
      </c>
      <c r="F1246" s="44" t="n">
        <v>3605</v>
      </c>
      <c r="G1246" s="44" t="inlineStr">
        <is>
          <t>6 ay</t>
        </is>
      </c>
      <c r="H1246" s="15" t="n">
        <v>4</v>
      </c>
      <c r="I1246" s="45" t="n">
        <v>3451800</v>
      </c>
      <c r="J1246" s="45" t="n">
        <v>3200430.77</v>
      </c>
      <c r="K1246" s="45" t="n">
        <v>1338200</v>
      </c>
      <c r="L1246" s="45" t="n">
        <v>1244304.762</v>
      </c>
      <c r="M1246" s="45" t="n">
        <v>537732.703</v>
      </c>
      <c r="N1246" s="45" t="n">
        <v>499999.99923</v>
      </c>
      <c r="O1246" s="45" t="n">
        <v>635664.584</v>
      </c>
      <c r="P1246" s="45" t="n">
        <v>591060.00014</v>
      </c>
      <c r="Q1246" s="45" t="n">
        <v>92039.11199999999</v>
      </c>
      <c r="R1246" s="45" t="n">
        <v>85580.72751000001</v>
      </c>
      <c r="S1246" s="45" t="n">
        <v>2603636.399</v>
      </c>
      <c r="T1246" s="45" t="n">
        <v>2420945.488880001</v>
      </c>
      <c r="U1246" s="15" t="n">
        <v>4.61</v>
      </c>
      <c r="V1246" s="15" t="n">
        <v>9.43</v>
      </c>
      <c r="W1246" s="49" t="n">
        <v>92.983</v>
      </c>
    </row>
    <row r="1247">
      <c r="A1247" s="44" t="inlineStr">
        <is>
          <t>TL Cinsi Sabit Faizli Kuponlu Senetler</t>
        </is>
      </c>
      <c r="B1247" s="44" t="n">
        <v>2015</v>
      </c>
      <c r="C1247" s="44" t="inlineStr">
        <is>
          <t>TRT050220T17</t>
        </is>
      </c>
      <c r="D1247" s="44" t="inlineStr">
        <is>
          <t>13.05.2015</t>
        </is>
      </c>
      <c r="E1247" s="44" t="inlineStr">
        <is>
          <t>05.02.2020</t>
        </is>
      </c>
      <c r="F1247" s="44" t="n">
        <v>1729</v>
      </c>
      <c r="G1247" s="44" t="inlineStr">
        <is>
          <t>6 ay</t>
        </is>
      </c>
      <c r="H1247" s="15" t="n">
        <v>3.7</v>
      </c>
      <c r="I1247" s="45" t="n">
        <v>4097900</v>
      </c>
      <c r="J1247" s="45" t="n">
        <v>3856104.319</v>
      </c>
      <c r="K1247" s="45" t="n">
        <v>1028000</v>
      </c>
      <c r="L1247" s="45" t="n">
        <v>969886.5699999999</v>
      </c>
      <c r="M1247" s="45" t="n">
        <v>0</v>
      </c>
      <c r="N1247" s="45" t="n">
        <v>0</v>
      </c>
      <c r="O1247" s="45" t="n">
        <v>1121534.336</v>
      </c>
      <c r="P1247" s="45" t="n">
        <v>1058133.99999</v>
      </c>
      <c r="Q1247" s="45" t="n">
        <v>274894.428</v>
      </c>
      <c r="R1247" s="45" t="n">
        <v>259354.64599</v>
      </c>
      <c r="S1247" s="45" t="n">
        <v>2424428.764</v>
      </c>
      <c r="T1247" s="45" t="n">
        <v>2287375.21598</v>
      </c>
      <c r="U1247" s="15" t="n">
        <v>4.69</v>
      </c>
      <c r="V1247" s="15" t="n">
        <v>9.609999999999999</v>
      </c>
      <c r="W1247" s="49" t="n">
        <v>94.34699999999999</v>
      </c>
    </row>
    <row r="1248">
      <c r="A1248" s="44" t="inlineStr">
        <is>
          <t>TL Cinsi Sabit Faizli Kuponlu Senetler</t>
        </is>
      </c>
      <c r="B1248" s="44" t="n">
        <v>2015</v>
      </c>
      <c r="C1248" s="44" t="inlineStr">
        <is>
          <t>TRT161116T19</t>
        </is>
      </c>
      <c r="D1248" s="44" t="inlineStr">
        <is>
          <t>13.05.2015</t>
        </is>
      </c>
      <c r="E1248" s="44" t="inlineStr">
        <is>
          <t>16.11.2016</t>
        </is>
      </c>
      <c r="F1248" s="44" t="n">
        <v>553</v>
      </c>
      <c r="G1248" s="44" t="inlineStr">
        <is>
          <t>6 ay</t>
        </is>
      </c>
      <c r="H1248" s="15" t="n">
        <v>4.1</v>
      </c>
      <c r="I1248" s="45" t="n">
        <v>1009400</v>
      </c>
      <c r="J1248" s="45" t="n">
        <v>1028302.714</v>
      </c>
      <c r="K1248" s="45" t="n">
        <v>562400</v>
      </c>
      <c r="L1248" s="45" t="n">
        <v>573286.943</v>
      </c>
      <c r="M1248" s="45" t="n">
        <v>276644.168</v>
      </c>
      <c r="N1248" s="45" t="n">
        <v>281999.99909</v>
      </c>
      <c r="O1248" s="45" t="n">
        <v>850758.319</v>
      </c>
      <c r="P1248" s="45" t="n">
        <v>867229.00006</v>
      </c>
      <c r="Q1248" s="45" t="n">
        <v>110243.642</v>
      </c>
      <c r="R1248" s="45" t="n">
        <v>112377.95891</v>
      </c>
      <c r="S1248" s="45" t="n">
        <v>1800046.129</v>
      </c>
      <c r="T1248" s="45" t="n">
        <v>1834893.90106</v>
      </c>
      <c r="U1248" s="15" t="n">
        <v>4.82</v>
      </c>
      <c r="V1248" s="15" t="n">
        <v>9.880000000000001</v>
      </c>
      <c r="W1248" s="49" t="n">
        <v>101.936</v>
      </c>
    </row>
    <row r="1249">
      <c r="A1249" s="44" t="inlineStr">
        <is>
          <t>TL Cinsi Sabit Faizli Kuponlu Senetler</t>
        </is>
      </c>
      <c r="B1249" s="44" t="n">
        <v>2015</v>
      </c>
      <c r="C1249" s="44" t="inlineStr">
        <is>
          <t>TRT120325T12</t>
        </is>
      </c>
      <c r="D1249" s="44" t="inlineStr">
        <is>
          <t>13.05.2015</t>
        </is>
      </c>
      <c r="E1249" s="44" t="inlineStr">
        <is>
          <t>12.03.2025</t>
        </is>
      </c>
      <c r="F1249" s="44" t="n">
        <v>3591</v>
      </c>
      <c r="G1249" s="44" t="inlineStr">
        <is>
          <t>6 ay</t>
        </is>
      </c>
      <c r="H1249" s="15" t="n">
        <v>4</v>
      </c>
      <c r="I1249" s="45" t="n">
        <v>1076100</v>
      </c>
      <c r="J1249" s="45" t="n">
        <v>1010529.472</v>
      </c>
      <c r="K1249" s="45" t="n">
        <v>511200</v>
      </c>
      <c r="L1249" s="45" t="n">
        <v>481253.444</v>
      </c>
      <c r="M1249" s="45" t="n">
        <v>0</v>
      </c>
      <c r="N1249" s="45" t="n">
        <v>0</v>
      </c>
      <c r="O1249" s="45" t="n">
        <v>1116802.277</v>
      </c>
      <c r="P1249" s="45" t="n">
        <v>1051379.99961</v>
      </c>
      <c r="Q1249" s="45" t="n">
        <v>63213.903</v>
      </c>
      <c r="R1249" s="45" t="n">
        <v>59510.83256</v>
      </c>
      <c r="S1249" s="45" t="n">
        <v>1691216.18</v>
      </c>
      <c r="T1249" s="45" t="n">
        <v>1592144.27617</v>
      </c>
      <c r="U1249" s="15" t="n">
        <v>4.54</v>
      </c>
      <c r="V1249" s="15" t="n">
        <v>9.279999999999999</v>
      </c>
      <c r="W1249" s="49" t="n">
        <v>94.142</v>
      </c>
    </row>
    <row r="1250">
      <c r="A1250" s="44" t="inlineStr">
        <is>
          <t>TL Cinsi Sabit Faizli Kuponlu Senetler</t>
        </is>
      </c>
      <c r="B1250" s="44" t="n">
        <v>2015</v>
      </c>
      <c r="C1250" s="44" t="inlineStr">
        <is>
          <t>TRT050220T17</t>
        </is>
      </c>
      <c r="D1250" s="44" t="inlineStr">
        <is>
          <t>17.06.2015</t>
        </is>
      </c>
      <c r="E1250" s="44" t="inlineStr">
        <is>
          <t>05.02.2020</t>
        </is>
      </c>
      <c r="F1250" s="44" t="n">
        <v>1694</v>
      </c>
      <c r="G1250" s="44" t="inlineStr">
        <is>
          <t>6 ay</t>
        </is>
      </c>
      <c r="H1250" s="15" t="n">
        <v>3.7</v>
      </c>
      <c r="I1250" s="45" t="n">
        <v>2175500</v>
      </c>
      <c r="J1250" s="45" t="n">
        <v>2053046.39</v>
      </c>
      <c r="K1250" s="45" t="n">
        <v>929000</v>
      </c>
      <c r="L1250" s="45" t="n">
        <v>878958.8199999999</v>
      </c>
      <c r="M1250" s="45" t="n">
        <v>845549.765</v>
      </c>
      <c r="N1250" s="45" t="n">
        <v>799999.99916</v>
      </c>
      <c r="O1250" s="45" t="n">
        <v>655512.456</v>
      </c>
      <c r="P1250" s="45" t="n">
        <v>620200</v>
      </c>
      <c r="Q1250" s="45" t="n">
        <v>0</v>
      </c>
      <c r="R1250" s="45" t="n">
        <v>0</v>
      </c>
      <c r="S1250" s="45" t="n">
        <v>2430062.221</v>
      </c>
      <c r="T1250" s="45" t="n">
        <v>2299158.81916</v>
      </c>
      <c r="U1250" s="15" t="n">
        <v>4.78</v>
      </c>
      <c r="V1250" s="15" t="n">
        <v>9.779999999999999</v>
      </c>
      <c r="W1250" s="49" t="n">
        <v>94.613</v>
      </c>
    </row>
    <row r="1251">
      <c r="A1251" s="44" t="inlineStr">
        <is>
          <t>TL Cinsi Sabit Faizli Kuponlu Senetler</t>
        </is>
      </c>
      <c r="B1251" s="44" t="n">
        <v>2015</v>
      </c>
      <c r="C1251" s="44" t="inlineStr">
        <is>
          <t>TRT140617T17</t>
        </is>
      </c>
      <c r="D1251" s="44" t="inlineStr">
        <is>
          <t>17.06.2015</t>
        </is>
      </c>
      <c r="E1251" s="44" t="inlineStr">
        <is>
          <t>14.06.2017</t>
        </is>
      </c>
      <c r="F1251" s="44" t="n">
        <v>728</v>
      </c>
      <c r="G1251" s="44" t="inlineStr">
        <is>
          <t>6 ay</t>
        </is>
      </c>
      <c r="H1251" s="15" t="n">
        <v>4.8</v>
      </c>
      <c r="I1251" s="45" t="n">
        <v>511200</v>
      </c>
      <c r="J1251" s="45" t="n">
        <v>507206.63</v>
      </c>
      <c r="K1251" s="45" t="n">
        <v>368200</v>
      </c>
      <c r="L1251" s="45" t="n">
        <v>366306.32</v>
      </c>
      <c r="M1251" s="45" t="n">
        <v>502583.278</v>
      </c>
      <c r="N1251" s="45" t="n">
        <v>499999.99995</v>
      </c>
      <c r="O1251" s="45" t="n">
        <v>719772.129</v>
      </c>
      <c r="P1251" s="45" t="n">
        <v>716072.50026</v>
      </c>
      <c r="Q1251" s="45" t="n">
        <v>0</v>
      </c>
      <c r="R1251" s="45" t="n">
        <v>0</v>
      </c>
      <c r="S1251" s="45" t="n">
        <v>1590555.407</v>
      </c>
      <c r="T1251" s="45" t="n">
        <v>1582378.82021</v>
      </c>
      <c r="U1251" s="15" t="n">
        <v>4.94</v>
      </c>
      <c r="V1251" s="15" t="n">
        <v>10.13</v>
      </c>
      <c r="W1251" s="49" t="n">
        <v>99.486</v>
      </c>
    </row>
    <row r="1252">
      <c r="A1252" s="44" t="inlineStr">
        <is>
          <t>TL Cinsi Sabit Faizli Kuponlu Senetler</t>
        </is>
      </c>
      <c r="B1252" s="44" t="n">
        <v>2015</v>
      </c>
      <c r="C1252" s="44" t="inlineStr">
        <is>
          <t>TRT120325T12</t>
        </is>
      </c>
      <c r="D1252" s="44" t="inlineStr">
        <is>
          <t>17.06.2015</t>
        </is>
      </c>
      <c r="E1252" s="44" t="inlineStr">
        <is>
          <t>12.03.2025</t>
        </is>
      </c>
      <c r="F1252" s="44" t="n">
        <v>3556</v>
      </c>
      <c r="G1252" s="44" t="inlineStr">
        <is>
          <t>6 ay</t>
        </is>
      </c>
      <c r="H1252" s="15" t="n">
        <v>4</v>
      </c>
      <c r="I1252" s="45" t="n">
        <v>1786130</v>
      </c>
      <c r="J1252" s="45" t="n">
        <v>1650043.1848</v>
      </c>
      <c r="K1252" s="45" t="n">
        <v>1363830</v>
      </c>
      <c r="L1252" s="45" t="n">
        <v>1264230.4518</v>
      </c>
      <c r="M1252" s="45" t="n">
        <v>701209.316</v>
      </c>
      <c r="N1252" s="45" t="n">
        <v>649999.99965</v>
      </c>
      <c r="O1252" s="45" t="n">
        <v>582057.672</v>
      </c>
      <c r="P1252" s="45" t="n">
        <v>539550.0002100001</v>
      </c>
      <c r="Q1252" s="45" t="n">
        <v>0</v>
      </c>
      <c r="R1252" s="45" t="n">
        <v>0</v>
      </c>
      <c r="S1252" s="45" t="n">
        <v>2647096.988</v>
      </c>
      <c r="T1252" s="45" t="n">
        <v>2453780.45166</v>
      </c>
      <c r="U1252" s="15" t="n">
        <v>4.73</v>
      </c>
      <c r="V1252" s="15" t="n">
        <v>9.67</v>
      </c>
      <c r="W1252" s="49" t="n">
        <v>92.697</v>
      </c>
    </row>
    <row r="1253">
      <c r="A1253" s="44" t="inlineStr">
        <is>
          <t>TL Cinsi Sabit Faizli Kuponlu Senetler</t>
        </is>
      </c>
      <c r="B1253" s="44" t="n">
        <v>2015</v>
      </c>
      <c r="C1253" s="44" t="inlineStr">
        <is>
          <t>TRT080720T19</t>
        </is>
      </c>
      <c r="D1253" s="44" t="inlineStr">
        <is>
          <t>15.07.2015</t>
        </is>
      </c>
      <c r="E1253" s="44" t="inlineStr">
        <is>
          <t>08.07.2020</t>
        </is>
      </c>
      <c r="F1253" s="44" t="n">
        <v>1820</v>
      </c>
      <c r="G1253" s="44" t="inlineStr">
        <is>
          <t>6 ay</t>
        </is>
      </c>
      <c r="H1253" s="15" t="n">
        <v>4.7</v>
      </c>
      <c r="I1253" s="45" t="n">
        <v>1981700</v>
      </c>
      <c r="J1253" s="45" t="n">
        <v>1968038.406</v>
      </c>
      <c r="K1253" s="45" t="n">
        <v>804600</v>
      </c>
      <c r="L1253" s="45" t="n">
        <v>801251.8149999999</v>
      </c>
      <c r="M1253" s="45" t="n">
        <v>733049.485</v>
      </c>
      <c r="N1253" s="45" t="n">
        <v>729999.99914</v>
      </c>
      <c r="O1253" s="45" t="n">
        <v>762773.1360000001</v>
      </c>
      <c r="P1253" s="45" t="n">
        <v>759599.99975</v>
      </c>
      <c r="Q1253" s="45" t="n">
        <v>146220.592</v>
      </c>
      <c r="R1253" s="45" t="n">
        <v>145612.31434</v>
      </c>
      <c r="S1253" s="45" t="n">
        <v>2446643.213</v>
      </c>
      <c r="T1253" s="45" t="n">
        <v>2436464.12823</v>
      </c>
      <c r="U1253" s="15" t="n">
        <v>4.75</v>
      </c>
      <c r="V1253" s="15" t="n">
        <v>9.73</v>
      </c>
      <c r="W1253" s="49" t="n">
        <v>99.584</v>
      </c>
    </row>
    <row r="1254">
      <c r="A1254" s="44" t="inlineStr">
        <is>
          <t>TL Cinsi Sabit Faizli Kuponlu Senetler</t>
        </is>
      </c>
      <c r="B1254" s="44" t="n">
        <v>2015</v>
      </c>
      <c r="C1254" s="44" t="inlineStr">
        <is>
          <t>TRT140617T17</t>
        </is>
      </c>
      <c r="D1254" s="44" t="inlineStr">
        <is>
          <t>15.07.2015</t>
        </is>
      </c>
      <c r="E1254" s="44" t="inlineStr">
        <is>
          <t>14.06.2017</t>
        </is>
      </c>
      <c r="F1254" s="44" t="n">
        <v>700</v>
      </c>
      <c r="G1254" s="44" t="inlineStr">
        <is>
          <t>6 ay</t>
        </is>
      </c>
      <c r="H1254" s="15" t="n">
        <v>4.8</v>
      </c>
      <c r="I1254" s="45" t="n">
        <v>1353900</v>
      </c>
      <c r="J1254" s="45" t="n">
        <v>1364036.358</v>
      </c>
      <c r="K1254" s="45" t="n">
        <v>590400</v>
      </c>
      <c r="L1254" s="45" t="n">
        <v>595436.6679999999</v>
      </c>
      <c r="M1254" s="45" t="n">
        <v>644502.394</v>
      </c>
      <c r="N1254" s="45" t="n">
        <v>649999.99942</v>
      </c>
      <c r="O1254" s="45" t="n">
        <v>405739.046</v>
      </c>
      <c r="P1254" s="45" t="n">
        <v>409200.00006</v>
      </c>
      <c r="Q1254" s="45" t="n">
        <v>63635.851</v>
      </c>
      <c r="R1254" s="45" t="n">
        <v>64178.66481</v>
      </c>
      <c r="S1254" s="45" t="n">
        <v>1704277.291</v>
      </c>
      <c r="T1254" s="45" t="n">
        <v>1718815.33229</v>
      </c>
      <c r="U1254" s="15" t="n">
        <v>4.76</v>
      </c>
      <c r="V1254" s="15" t="n">
        <v>9.75</v>
      </c>
      <c r="W1254" s="49" t="n">
        <v>100.853</v>
      </c>
    </row>
    <row r="1255">
      <c r="A1255" s="44" t="inlineStr">
        <is>
          <t>TL Cinsi Sabit Faizli Kuponlu Senetler</t>
        </is>
      </c>
      <c r="B1255" s="44" t="n">
        <v>2015</v>
      </c>
      <c r="C1255" s="44" t="inlineStr">
        <is>
          <t>TRT120325T12</t>
        </is>
      </c>
      <c r="D1255" s="44" t="inlineStr">
        <is>
          <t>15.07.2015</t>
        </is>
      </c>
      <c r="E1255" s="44" t="inlineStr">
        <is>
          <t>12.03.2025</t>
        </is>
      </c>
      <c r="F1255" s="44" t="n">
        <v>3528</v>
      </c>
      <c r="G1255" s="44" t="inlineStr">
        <is>
          <t>6 ay</t>
        </is>
      </c>
      <c r="H1255" s="15" t="n">
        <v>4</v>
      </c>
      <c r="I1255" s="45" t="n">
        <v>3226400</v>
      </c>
      <c r="J1255" s="45" t="n">
        <v>3040130.177</v>
      </c>
      <c r="K1255" s="45" t="n">
        <v>1212250</v>
      </c>
      <c r="L1255" s="45" t="n">
        <v>1145839.755</v>
      </c>
      <c r="M1255" s="45" t="n">
        <v>740568.333</v>
      </c>
      <c r="N1255" s="45" t="n">
        <v>699999.9997200001</v>
      </c>
      <c r="O1255" s="45" t="n">
        <v>578939.295</v>
      </c>
      <c r="P1255" s="45" t="n">
        <v>547225.0004199999</v>
      </c>
      <c r="Q1255" s="45" t="n">
        <v>259710.578</v>
      </c>
      <c r="R1255" s="45" t="n">
        <v>245483.63254</v>
      </c>
      <c r="S1255" s="45" t="n">
        <v>2791468.206</v>
      </c>
      <c r="T1255" s="45" t="n">
        <v>2638548.38768</v>
      </c>
      <c r="U1255" s="15" t="n">
        <v>4.63</v>
      </c>
      <c r="V1255" s="15" t="n">
        <v>9.470000000000001</v>
      </c>
      <c r="W1255" s="49" t="n">
        <v>94.52200000000001</v>
      </c>
    </row>
    <row r="1256">
      <c r="A1256" s="44" t="inlineStr">
        <is>
          <t>TL Cinsi Sabit Faizli Kuponlu Senetler</t>
        </is>
      </c>
      <c r="B1256" s="44" t="n">
        <v>2015</v>
      </c>
      <c r="C1256" s="44" t="inlineStr">
        <is>
          <t>TRT080720T19</t>
        </is>
      </c>
      <c r="D1256" s="44" t="inlineStr">
        <is>
          <t>19.08.2015</t>
        </is>
      </c>
      <c r="E1256" s="44" t="inlineStr">
        <is>
          <t>08.07.2020</t>
        </is>
      </c>
      <c r="F1256" s="44" t="n">
        <v>1785</v>
      </c>
      <c r="G1256" s="44" t="inlineStr">
        <is>
          <t>6 ay</t>
        </is>
      </c>
      <c r="H1256" s="15" t="n">
        <v>4.7</v>
      </c>
      <c r="I1256" s="45" t="n">
        <v>1565900</v>
      </c>
      <c r="J1256" s="45" t="n">
        <v>1527335.435</v>
      </c>
      <c r="K1256" s="45" t="n">
        <v>1161400</v>
      </c>
      <c r="L1256" s="45" t="n">
        <v>1136008.76</v>
      </c>
      <c r="M1256" s="45" t="n">
        <v>981454.597</v>
      </c>
      <c r="N1256" s="45" t="n">
        <v>959999.99951</v>
      </c>
      <c r="O1256" s="45" t="n">
        <v>603287.873</v>
      </c>
      <c r="P1256" s="45" t="n">
        <v>590100.0001000001</v>
      </c>
      <c r="Q1256" s="45" t="n">
        <v>127793.567</v>
      </c>
      <c r="R1256" s="45" t="n">
        <v>124999.99963</v>
      </c>
      <c r="S1256" s="45" t="n">
        <v>2873936.037</v>
      </c>
      <c r="T1256" s="45" t="n">
        <v>2811108.75924</v>
      </c>
      <c r="U1256" s="15" t="n">
        <v>5.11</v>
      </c>
      <c r="V1256" s="15" t="n">
        <v>10.47</v>
      </c>
      <c r="W1256" s="49" t="n">
        <v>97.81399999999999</v>
      </c>
    </row>
    <row r="1257">
      <c r="A1257" s="44" t="inlineStr">
        <is>
          <t>TL Cinsi Sabit Faizli Kuponlu Senetler</t>
        </is>
      </c>
      <c r="B1257" s="44" t="n">
        <v>2015</v>
      </c>
      <c r="C1257" s="44" t="inlineStr">
        <is>
          <t>TRT080720T19</t>
        </is>
      </c>
      <c r="D1257" s="44" t="inlineStr">
        <is>
          <t>16.09.2015</t>
        </is>
      </c>
      <c r="E1257" s="44" t="inlineStr">
        <is>
          <t>08.07.2020</t>
        </is>
      </c>
      <c r="F1257" s="44" t="n">
        <v>1757</v>
      </c>
      <c r="G1257" s="44" t="inlineStr">
        <is>
          <t>6 ay</t>
        </is>
      </c>
      <c r="H1257" s="15" t="n">
        <v>4.7</v>
      </c>
      <c r="I1257" s="45" t="n">
        <v>1901405.365</v>
      </c>
      <c r="J1257" s="45" t="n">
        <v>1813731.40427</v>
      </c>
      <c r="K1257" s="45" t="n">
        <v>771501</v>
      </c>
      <c r="L1257" s="45" t="n">
        <v>737803.05428</v>
      </c>
      <c r="M1257" s="45" t="n">
        <v>1051949.138</v>
      </c>
      <c r="N1257" s="45" t="n">
        <v>1005999.99965</v>
      </c>
      <c r="O1257" s="45" t="n">
        <v>290959.093</v>
      </c>
      <c r="P1257" s="45" t="n">
        <v>278249.99982</v>
      </c>
      <c r="Q1257" s="45" t="n">
        <v>141774.341</v>
      </c>
      <c r="R1257" s="45" t="n">
        <v>135581.63779</v>
      </c>
      <c r="S1257" s="45" t="n">
        <v>2256183.572</v>
      </c>
      <c r="T1257" s="45" t="n">
        <v>2157634.69154</v>
      </c>
      <c r="U1257" s="15" t="n">
        <v>5.51</v>
      </c>
      <c r="V1257" s="15" t="n">
        <v>11.33</v>
      </c>
      <c r="W1257" s="49" t="n">
        <v>95.63200000000001</v>
      </c>
    </row>
    <row r="1258">
      <c r="A1258" s="44" t="inlineStr">
        <is>
          <t>TL Cinsi Sabit Faizli Kuponlu Senetler</t>
        </is>
      </c>
      <c r="B1258" s="44" t="n">
        <v>2015</v>
      </c>
      <c r="C1258" s="44" t="inlineStr">
        <is>
          <t>TRT080720T19</t>
        </is>
      </c>
      <c r="D1258" s="44" t="inlineStr">
        <is>
          <t>07.10.2015</t>
        </is>
      </c>
      <c r="E1258" s="44" t="inlineStr">
        <is>
          <t>08.07.2020</t>
        </is>
      </c>
      <c r="F1258" s="44" t="n">
        <v>1736</v>
      </c>
      <c r="G1258" s="44" t="inlineStr">
        <is>
          <t>6 ay</t>
        </is>
      </c>
      <c r="H1258" s="15" t="n">
        <v>4.7</v>
      </c>
      <c r="I1258" s="45" t="n">
        <v>3609450</v>
      </c>
      <c r="J1258" s="45" t="n">
        <v>3519798.031</v>
      </c>
      <c r="K1258" s="45" t="n">
        <v>1042000</v>
      </c>
      <c r="L1258" s="45" t="n">
        <v>1018886.28</v>
      </c>
      <c r="M1258" s="45" t="n">
        <v>255670.777</v>
      </c>
      <c r="N1258" s="45" t="n">
        <v>249999.99917</v>
      </c>
      <c r="O1258" s="45" t="n">
        <v>815196.048</v>
      </c>
      <c r="P1258" s="45" t="n">
        <v>797114.99966</v>
      </c>
      <c r="Q1258" s="45" t="n">
        <v>161140.721</v>
      </c>
      <c r="R1258" s="45" t="n">
        <v>157566.61981</v>
      </c>
      <c r="S1258" s="45" t="n">
        <v>2274007.546</v>
      </c>
      <c r="T1258" s="45" t="n">
        <v>2223567.89864</v>
      </c>
      <c r="U1258" s="15" t="n">
        <v>5.29</v>
      </c>
      <c r="V1258" s="15" t="n">
        <v>10.87</v>
      </c>
      <c r="W1258" s="49" t="n">
        <v>97.782</v>
      </c>
    </row>
    <row r="1259">
      <c r="A1259" s="44" t="inlineStr">
        <is>
          <t>TL Cinsi Sabit Faizli Kuponlu Senetler</t>
        </is>
      </c>
      <c r="B1259" s="44" t="n">
        <v>2015</v>
      </c>
      <c r="C1259" s="44" t="inlineStr">
        <is>
          <t>TRT140617T17</t>
        </is>
      </c>
      <c r="D1259" s="44" t="inlineStr">
        <is>
          <t>07.10.2015</t>
        </is>
      </c>
      <c r="E1259" s="44" t="inlineStr">
        <is>
          <t>14.06.2017</t>
        </is>
      </c>
      <c r="F1259" s="44" t="n">
        <v>616</v>
      </c>
      <c r="G1259" s="44" t="inlineStr">
        <is>
          <t>6 ay</t>
        </is>
      </c>
      <c r="H1259" s="15" t="n">
        <v>4.8</v>
      </c>
      <c r="I1259" s="45" t="n">
        <v>1581000</v>
      </c>
      <c r="J1259" s="45" t="n">
        <v>1597287.135</v>
      </c>
      <c r="K1259" s="45" t="n">
        <v>525000</v>
      </c>
      <c r="L1259" s="45" t="n">
        <v>531655</v>
      </c>
      <c r="M1259" s="45" t="n">
        <v>193545.838</v>
      </c>
      <c r="N1259" s="45" t="n">
        <v>195999.99923</v>
      </c>
      <c r="O1259" s="45" t="n">
        <v>356874.827</v>
      </c>
      <c r="P1259" s="45" t="n">
        <v>361399.99981</v>
      </c>
      <c r="Q1259" s="45" t="n">
        <v>120000</v>
      </c>
      <c r="R1259" s="45" t="n">
        <v>121521.6</v>
      </c>
      <c r="S1259" s="45" t="n">
        <v>1195420.665</v>
      </c>
      <c r="T1259" s="45" t="n">
        <v>1210576.59904</v>
      </c>
      <c r="U1259" s="15" t="n">
        <v>5.35</v>
      </c>
      <c r="V1259" s="15" t="n">
        <v>10.98</v>
      </c>
      <c r="W1259" s="49" t="n">
        <v>101.268</v>
      </c>
    </row>
    <row r="1260">
      <c r="A1260" s="44" t="inlineStr">
        <is>
          <t>TL Cinsi Sabit Faizli Kuponlu Senetler</t>
        </is>
      </c>
      <c r="B1260" s="44" t="n">
        <v>2015</v>
      </c>
      <c r="C1260" s="44" t="inlineStr">
        <is>
          <t>TRT120325T12</t>
        </is>
      </c>
      <c r="D1260" s="44" t="inlineStr">
        <is>
          <t>07.10.2015</t>
        </is>
      </c>
      <c r="E1260" s="44" t="inlineStr">
        <is>
          <t>12.03.2025</t>
        </is>
      </c>
      <c r="F1260" s="44" t="n">
        <v>3444</v>
      </c>
      <c r="G1260" s="44" t="inlineStr">
        <is>
          <t>6 ay</t>
        </is>
      </c>
      <c r="H1260" s="15" t="n">
        <v>4</v>
      </c>
      <c r="I1260" s="45" t="n">
        <v>2285200</v>
      </c>
      <c r="J1260" s="45" t="n">
        <v>1974060.0435</v>
      </c>
      <c r="K1260" s="45" t="n">
        <v>787000</v>
      </c>
      <c r="L1260" s="45" t="n">
        <v>682688.67</v>
      </c>
      <c r="M1260" s="45" t="n">
        <v>288197.726</v>
      </c>
      <c r="N1260" s="45" t="n">
        <v>249999.9994</v>
      </c>
      <c r="O1260" s="45" t="n">
        <v>461775.759</v>
      </c>
      <c r="P1260" s="45" t="n">
        <v>400571.9999</v>
      </c>
      <c r="Q1260" s="45" t="n">
        <v>145629.395</v>
      </c>
      <c r="R1260" s="45" t="n">
        <v>126327.67499</v>
      </c>
      <c r="S1260" s="45" t="n">
        <v>1682602.88</v>
      </c>
      <c r="T1260" s="45" t="n">
        <v>1459588.34429</v>
      </c>
      <c r="U1260" s="15" t="n">
        <v>5.14</v>
      </c>
      <c r="V1260" s="15" t="n">
        <v>10.54</v>
      </c>
      <c r="W1260" s="49" t="n">
        <v>86.746</v>
      </c>
    </row>
    <row r="1261">
      <c r="A1261" s="44" t="inlineStr">
        <is>
          <t>TL Cinsi Sabit Faizli Kuponlu Senetler</t>
        </is>
      </c>
      <c r="B1261" s="44" t="n">
        <v>2015</v>
      </c>
      <c r="C1261" s="44" t="inlineStr">
        <is>
          <t>TRT140617T17</t>
        </is>
      </c>
      <c r="D1261" s="44" t="inlineStr">
        <is>
          <t>18.11.2015</t>
        </is>
      </c>
      <c r="E1261" s="44" t="inlineStr">
        <is>
          <t>14.06.2017</t>
        </is>
      </c>
      <c r="F1261" s="44" t="n">
        <v>574</v>
      </c>
      <c r="G1261" s="44" t="inlineStr">
        <is>
          <t>6 ay</t>
        </is>
      </c>
      <c r="H1261" s="15" t="n">
        <v>4.8</v>
      </c>
      <c r="I1261" s="45" t="n">
        <v>1436200</v>
      </c>
      <c r="J1261" s="45" t="n">
        <v>1482630.902</v>
      </c>
      <c r="K1261" s="45" t="n">
        <v>585000</v>
      </c>
      <c r="L1261" s="45" t="n">
        <v>604499.95</v>
      </c>
      <c r="M1261" s="45" t="n">
        <v>193549.011</v>
      </c>
      <c r="N1261" s="45" t="n">
        <v>199999.99954</v>
      </c>
      <c r="O1261" s="45" t="n">
        <v>516485.537</v>
      </c>
      <c r="P1261" s="45" t="n">
        <v>533699.99995</v>
      </c>
      <c r="Q1261" s="45" t="n">
        <v>0</v>
      </c>
      <c r="R1261" s="45" t="n">
        <v>0</v>
      </c>
      <c r="S1261" s="45" t="n">
        <v>1295034.548</v>
      </c>
      <c r="T1261" s="45" t="n">
        <v>1338199.94949</v>
      </c>
      <c r="U1261" s="15" t="n">
        <v>5.05</v>
      </c>
      <c r="V1261" s="15" t="n">
        <v>10.36</v>
      </c>
      <c r="W1261" s="49" t="n">
        <v>103.333</v>
      </c>
    </row>
    <row r="1262">
      <c r="A1262" s="44" t="inlineStr">
        <is>
          <t>TL Cinsi Sabit Faizli Kuponlu Senetler</t>
        </is>
      </c>
      <c r="B1262" s="44" t="n">
        <v>2015</v>
      </c>
      <c r="C1262" s="44" t="inlineStr">
        <is>
          <t>TRT080720T19</t>
        </is>
      </c>
      <c r="D1262" s="44" t="inlineStr">
        <is>
          <t>18.11.2015</t>
        </is>
      </c>
      <c r="E1262" s="44" t="inlineStr">
        <is>
          <t>08.07.2020</t>
        </is>
      </c>
      <c r="F1262" s="44" t="n">
        <v>1694</v>
      </c>
      <c r="G1262" s="44" t="inlineStr">
        <is>
          <t>6 ay</t>
        </is>
      </c>
      <c r="H1262" s="15" t="n">
        <v>4.7</v>
      </c>
      <c r="I1262" s="45" t="n">
        <v>3180500</v>
      </c>
      <c r="J1262" s="45" t="n">
        <v>3212629.487</v>
      </c>
      <c r="K1262" s="45" t="n">
        <v>872700</v>
      </c>
      <c r="L1262" s="45" t="n">
        <v>884149.6949999999</v>
      </c>
      <c r="M1262" s="45" t="n">
        <v>493524.952</v>
      </c>
      <c r="N1262" s="45" t="n">
        <v>499999.99937</v>
      </c>
      <c r="O1262" s="45" t="n">
        <v>487257.186</v>
      </c>
      <c r="P1262" s="45" t="n">
        <v>493650.00028</v>
      </c>
      <c r="Q1262" s="45" t="n">
        <v>0</v>
      </c>
      <c r="R1262" s="45" t="n">
        <v>0</v>
      </c>
      <c r="S1262" s="45" t="n">
        <v>1853482.138</v>
      </c>
      <c r="T1262" s="45" t="n">
        <v>1877799.69465</v>
      </c>
      <c r="U1262" s="15" t="n">
        <v>4.96</v>
      </c>
      <c r="V1262" s="15" t="n">
        <v>10.17</v>
      </c>
      <c r="W1262" s="49" t="n">
        <v>101.312</v>
      </c>
    </row>
    <row r="1263">
      <c r="A1263" s="44" t="inlineStr">
        <is>
          <t>TL Cinsi Sabit Faizli Kuponlu Senetler</t>
        </is>
      </c>
      <c r="B1263" s="44" t="n">
        <v>2015</v>
      </c>
      <c r="C1263" s="44" t="inlineStr">
        <is>
          <t>TRT080720T19</t>
        </is>
      </c>
      <c r="D1263" s="44" t="inlineStr">
        <is>
          <t>16.12.2015</t>
        </is>
      </c>
      <c r="E1263" s="44" t="inlineStr">
        <is>
          <t>08.07.2020</t>
        </is>
      </c>
      <c r="F1263" s="44" t="n">
        <v>1666</v>
      </c>
      <c r="G1263" s="44" t="inlineStr">
        <is>
          <t>6 ay</t>
        </is>
      </c>
      <c r="H1263" s="15" t="n">
        <v>4.7</v>
      </c>
      <c r="I1263" s="45" t="n">
        <v>910100</v>
      </c>
      <c r="J1263" s="45" t="n">
        <v>900000.437</v>
      </c>
      <c r="K1263" s="45" t="n">
        <v>500600</v>
      </c>
      <c r="L1263" s="45" t="n">
        <v>496299.852</v>
      </c>
      <c r="M1263" s="45" t="n">
        <v>1296133.789</v>
      </c>
      <c r="N1263" s="45" t="n">
        <v>1284999.99975</v>
      </c>
      <c r="O1263" s="45" t="n">
        <v>474475.747</v>
      </c>
      <c r="P1263" s="45" t="n">
        <v>470400.00033</v>
      </c>
      <c r="Q1263" s="45" t="n">
        <v>6643.927</v>
      </c>
      <c r="R1263" s="45" t="n">
        <v>6586.85567</v>
      </c>
      <c r="S1263" s="45" t="n">
        <v>2277853.463</v>
      </c>
      <c r="T1263" s="45" t="n">
        <v>2258286.70775</v>
      </c>
      <c r="U1263" s="15" t="n">
        <v>5.38</v>
      </c>
      <c r="V1263" s="15" t="n">
        <v>11.05</v>
      </c>
      <c r="W1263" s="49" t="n">
        <v>99.14100000000001</v>
      </c>
    </row>
    <row r="1264">
      <c r="A1264" s="44" t="inlineStr">
        <is>
          <t>TL Cinsi Sabit Faizli Kuponlu Senetler</t>
        </is>
      </c>
      <c r="B1264" s="44" t="n">
        <v>2015</v>
      </c>
      <c r="C1264" s="44" t="inlineStr">
        <is>
          <t>TRT120325T12</t>
        </is>
      </c>
      <c r="D1264" s="44" t="inlineStr">
        <is>
          <t>16.12.2015</t>
        </is>
      </c>
      <c r="E1264" s="44" t="inlineStr">
        <is>
          <t>12.03.2025</t>
        </is>
      </c>
      <c r="F1264" s="44" t="n">
        <v>3374</v>
      </c>
      <c r="G1264" s="44" t="inlineStr">
        <is>
          <t>6 ay</t>
        </is>
      </c>
      <c r="H1264" s="15" t="n">
        <v>4</v>
      </c>
      <c r="I1264" s="45" t="n">
        <v>1021500</v>
      </c>
      <c r="J1264" s="45" t="n">
        <v>886912.84</v>
      </c>
      <c r="K1264" s="45" t="n">
        <v>527000</v>
      </c>
      <c r="L1264" s="45" t="n">
        <v>459231.08</v>
      </c>
      <c r="M1264" s="45" t="n">
        <v>981168.451</v>
      </c>
      <c r="N1264" s="45" t="n">
        <v>854999.99989</v>
      </c>
      <c r="O1264" s="45" t="n">
        <v>462698.385</v>
      </c>
      <c r="P1264" s="45" t="n">
        <v>403199.99967</v>
      </c>
      <c r="Q1264" s="45" t="n">
        <v>99013.859</v>
      </c>
      <c r="R1264" s="45" t="n">
        <v>86281.66687</v>
      </c>
      <c r="S1264" s="45" t="n">
        <v>2069880.695</v>
      </c>
      <c r="T1264" s="45" t="n">
        <v>1803712.74643</v>
      </c>
      <c r="U1264" s="15" t="n">
        <v>5.26</v>
      </c>
      <c r="V1264" s="15" t="n">
        <v>10.79</v>
      </c>
      <c r="W1264" s="49" t="n">
        <v>87.14100000000001</v>
      </c>
    </row>
    <row r="1265">
      <c r="A1265" s="44" t="inlineStr">
        <is>
          <t>TL Cinsi Sabit Faizli Kuponlu Senetler</t>
        </is>
      </c>
      <c r="B1265" s="44" t="n">
        <v>2014</v>
      </c>
      <c r="C1265" s="44" t="inlineStr">
        <is>
          <t>TRT141118T19</t>
        </is>
      </c>
      <c r="D1265" s="44" t="inlineStr">
        <is>
          <t>29.01.2014</t>
        </is>
      </c>
      <c r="E1265" s="44" t="inlineStr">
        <is>
          <t>14.11.2018</t>
        </is>
      </c>
      <c r="F1265" s="44" t="n">
        <v>1750</v>
      </c>
      <c r="G1265" s="44" t="inlineStr">
        <is>
          <t>6 Ay</t>
        </is>
      </c>
      <c r="H1265" s="15" t="n">
        <v>4.4</v>
      </c>
      <c r="I1265" s="45" t="n">
        <v>1837726.24</v>
      </c>
      <c r="J1265" s="45" t="n">
        <v>1719471.76555</v>
      </c>
      <c r="K1265" s="45" t="n">
        <v>1142926.24</v>
      </c>
      <c r="L1265" s="45" t="n">
        <v>1071858.94455</v>
      </c>
      <c r="M1265" s="45" t="n">
        <v>1230513.318120748</v>
      </c>
      <c r="N1265" s="45" t="n">
        <v>1154000</v>
      </c>
      <c r="O1265" s="45" t="n">
        <v>605340.0439316713</v>
      </c>
      <c r="P1265" s="45" t="n">
        <v>567700</v>
      </c>
      <c r="Q1265" s="45" t="n">
        <v>255972.507</v>
      </c>
      <c r="R1265" s="45" t="n">
        <v>240056.13651474</v>
      </c>
      <c r="S1265" s="45" t="n">
        <v>3234752.10905242</v>
      </c>
      <c r="T1265" s="45" t="n">
        <v>3033615.08106474</v>
      </c>
      <c r="U1265" s="15" t="n">
        <v>5.48</v>
      </c>
      <c r="V1265" s="15" t="n">
        <v>11.25</v>
      </c>
      <c r="W1265" s="49" t="n">
        <v>93.782</v>
      </c>
    </row>
    <row r="1266">
      <c r="A1266" s="44" t="inlineStr">
        <is>
          <t>TL Cinsi Sabit Faizli Kuponlu Senetler</t>
        </is>
      </c>
      <c r="B1266" s="44" t="n">
        <v>2014</v>
      </c>
      <c r="C1266" s="44" t="inlineStr">
        <is>
          <t>TRT071015T12</t>
        </is>
      </c>
      <c r="D1266" s="44" t="inlineStr">
        <is>
          <t>29.01.2014</t>
        </is>
      </c>
      <c r="E1266" s="44" t="inlineStr">
        <is>
          <t>07.10.2015</t>
        </is>
      </c>
      <c r="F1266" s="44" t="n">
        <v>616</v>
      </c>
      <c r="G1266" s="44" t="inlineStr">
        <is>
          <t>6 Ay</t>
        </is>
      </c>
      <c r="H1266" s="15" t="n">
        <v>4.15</v>
      </c>
      <c r="I1266" s="45" t="n">
        <v>3556808.025</v>
      </c>
      <c r="J1266" s="45" t="n">
        <v>3499565.33978</v>
      </c>
      <c r="K1266" s="45" t="n">
        <v>883007.025</v>
      </c>
      <c r="L1266" s="45" t="n">
        <v>872961.01472</v>
      </c>
      <c r="M1266" s="45" t="n">
        <v>0</v>
      </c>
      <c r="N1266" s="45" t="n">
        <v>0</v>
      </c>
      <c r="O1266" s="45" t="n">
        <v>542296.3322611317</v>
      </c>
      <c r="P1266" s="45" t="n">
        <v>536125</v>
      </c>
      <c r="Q1266" s="45" t="n">
        <v>149017.437</v>
      </c>
      <c r="R1266" s="45" t="n">
        <v>147321.61856694</v>
      </c>
      <c r="S1266" s="45" t="n">
        <v>1574320.794261132</v>
      </c>
      <c r="T1266" s="45" t="n">
        <v>1556407.63328694</v>
      </c>
      <c r="U1266" s="15" t="n">
        <v>5.36</v>
      </c>
      <c r="V1266" s="15" t="n">
        <v>11.01</v>
      </c>
      <c r="W1266" s="49" t="n">
        <v>98.86199999999999</v>
      </c>
    </row>
    <row r="1267">
      <c r="A1267" s="44" t="inlineStr">
        <is>
          <t>TL Cinsi Sabit Faizli Kuponlu Senetler</t>
        </is>
      </c>
      <c r="B1267" s="44" t="n">
        <v>2014</v>
      </c>
      <c r="C1267" s="44" t="inlineStr">
        <is>
          <t>TRT270923T11</t>
        </is>
      </c>
      <c r="D1267" s="44" t="inlineStr">
        <is>
          <t>29.01.2014</t>
        </is>
      </c>
      <c r="E1267" s="44" t="inlineStr">
        <is>
          <t>27.09.2023</t>
        </is>
      </c>
      <c r="F1267" s="44" t="n">
        <v>3528</v>
      </c>
      <c r="G1267" s="44" t="inlineStr">
        <is>
          <t>6 Ay</t>
        </is>
      </c>
      <c r="H1267" s="15" t="n">
        <v>4.4</v>
      </c>
      <c r="I1267" s="45" t="n">
        <v>1677600</v>
      </c>
      <c r="J1267" s="45" t="n">
        <v>1564036.162</v>
      </c>
      <c r="K1267" s="45" t="n">
        <v>637100</v>
      </c>
      <c r="L1267" s="45" t="n">
        <v>601124.944</v>
      </c>
      <c r="M1267" s="45" t="n">
        <v>1118141.447542739</v>
      </c>
      <c r="N1267" s="45" t="n">
        <v>1055000</v>
      </c>
      <c r="O1267" s="45" t="n">
        <v>428730.4060284252</v>
      </c>
      <c r="P1267" s="45" t="n">
        <v>404520</v>
      </c>
      <c r="Q1267" s="45" t="n">
        <v>100856.801</v>
      </c>
      <c r="R1267" s="45" t="n">
        <v>95161.41744753</v>
      </c>
      <c r="S1267" s="45" t="n">
        <v>2284828.654571164</v>
      </c>
      <c r="T1267" s="45" t="n">
        <v>2155806.36144753</v>
      </c>
      <c r="U1267" s="15" t="n">
        <v>5.09</v>
      </c>
      <c r="V1267" s="15" t="n">
        <v>10.43</v>
      </c>
      <c r="W1267" s="49" t="n">
        <v>94.35299999999999</v>
      </c>
    </row>
    <row r="1268">
      <c r="A1268" s="44" t="inlineStr">
        <is>
          <t>TL Cinsi Sabit Faizli Kuponlu Senetler</t>
        </is>
      </c>
      <c r="B1268" s="44" t="n">
        <v>2014</v>
      </c>
      <c r="C1268" s="44" t="inlineStr">
        <is>
          <t>TRT141118T19</t>
        </is>
      </c>
      <c r="D1268" s="44" t="inlineStr">
        <is>
          <t>26.02.2014</t>
        </is>
      </c>
      <c r="E1268" s="44" t="inlineStr">
        <is>
          <t>14.11.2018</t>
        </is>
      </c>
      <c r="F1268" s="44" t="n">
        <v>1722</v>
      </c>
      <c r="G1268" s="44" t="inlineStr">
        <is>
          <t>6 Ay</t>
        </is>
      </c>
      <c r="H1268" s="15" t="n">
        <v>4.4</v>
      </c>
      <c r="I1268" s="45" t="n">
        <v>5122322.14</v>
      </c>
      <c r="J1268" s="45" t="n">
        <v>4907110.25039</v>
      </c>
      <c r="K1268" s="45" t="n">
        <v>1025000</v>
      </c>
      <c r="L1268" s="45" t="n">
        <v>986678.1</v>
      </c>
      <c r="M1268" s="45" t="n">
        <v>623305.3884750834</v>
      </c>
      <c r="N1268" s="45" t="n">
        <v>600000</v>
      </c>
      <c r="O1268" s="45" t="n">
        <v>1008445.788013837</v>
      </c>
      <c r="P1268" s="45" t="n">
        <v>970740</v>
      </c>
      <c r="Q1268" s="45" t="n">
        <v>122079.824</v>
      </c>
      <c r="R1268" s="45" t="n">
        <v>117515.25938064</v>
      </c>
      <c r="S1268" s="45" t="n">
        <v>2778831.000488921</v>
      </c>
      <c r="T1268" s="45" t="n">
        <v>2674933.35938064</v>
      </c>
      <c r="U1268" s="15" t="n">
        <v>5.23</v>
      </c>
      <c r="V1268" s="15" t="n">
        <v>10.74</v>
      </c>
      <c r="W1268" s="49" t="n">
        <v>96.261</v>
      </c>
    </row>
    <row r="1269">
      <c r="A1269" s="44" t="inlineStr">
        <is>
          <t>TL Cinsi Sabit Faizli Kuponlu Senetler</t>
        </is>
      </c>
      <c r="B1269" s="44" t="n">
        <v>2014</v>
      </c>
      <c r="C1269" s="44" t="inlineStr">
        <is>
          <t>TRT240216T10</t>
        </is>
      </c>
      <c r="D1269" s="44" t="inlineStr">
        <is>
          <t>26.02.2014</t>
        </is>
      </c>
      <c r="E1269" s="44" t="inlineStr">
        <is>
          <t>24.02.2016</t>
        </is>
      </c>
      <c r="F1269" s="44" t="n">
        <v>728</v>
      </c>
      <c r="G1269" s="44" t="inlineStr">
        <is>
          <t>6 Ay</t>
        </is>
      </c>
      <c r="H1269" s="15" t="n">
        <v>5.35</v>
      </c>
      <c r="I1269" s="45" t="n">
        <v>1737675</v>
      </c>
      <c r="J1269" s="45" t="n">
        <v>1727494.975</v>
      </c>
      <c r="K1269" s="45" t="n">
        <v>719075</v>
      </c>
      <c r="L1269" s="45" t="n">
        <v>716750.045</v>
      </c>
      <c r="M1269" s="45" t="n">
        <v>0</v>
      </c>
      <c r="N1269" s="45" t="n">
        <v>0</v>
      </c>
      <c r="O1269" s="45" t="n">
        <v>754481.9767850155</v>
      </c>
      <c r="P1269" s="45" t="n">
        <v>752045</v>
      </c>
      <c r="Q1269" s="45" t="n">
        <v>111642.195</v>
      </c>
      <c r="R1269" s="45" t="n">
        <v>111281.59071015</v>
      </c>
      <c r="S1269" s="45" t="n">
        <v>1585199.171785016</v>
      </c>
      <c r="T1269" s="45" t="n">
        <v>1580076.63571015</v>
      </c>
      <c r="U1269" s="15" t="n">
        <v>5.44</v>
      </c>
      <c r="V1269" s="15" t="n">
        <v>11.18</v>
      </c>
      <c r="W1269" s="49" t="n">
        <v>99.67700000000001</v>
      </c>
    </row>
    <row r="1270">
      <c r="A1270" s="44" t="inlineStr">
        <is>
          <t>TL Cinsi Sabit Faizli Kuponlu Senetler</t>
        </is>
      </c>
      <c r="B1270" s="44" t="n">
        <v>2014</v>
      </c>
      <c r="C1270" s="44" t="inlineStr">
        <is>
          <t>TRT270923T11</t>
        </is>
      </c>
      <c r="D1270" s="44" t="inlineStr">
        <is>
          <t>26.02.2014</t>
        </is>
      </c>
      <c r="E1270" s="44" t="inlineStr">
        <is>
          <t>27.09.2023</t>
        </is>
      </c>
      <c r="F1270" s="44" t="n">
        <v>3500</v>
      </c>
      <c r="G1270" s="44" t="inlineStr">
        <is>
          <t>6 Ay</t>
        </is>
      </c>
      <c r="H1270" s="15" t="n">
        <v>4.4</v>
      </c>
      <c r="I1270" s="45" t="n">
        <v>2165300</v>
      </c>
      <c r="J1270" s="45" t="n">
        <v>2025947.277</v>
      </c>
      <c r="K1270" s="45" t="n">
        <v>763500</v>
      </c>
      <c r="L1270" s="45" t="n">
        <v>718575.975</v>
      </c>
      <c r="M1270" s="45" t="n">
        <v>637511.1564452378</v>
      </c>
      <c r="N1270" s="45" t="n">
        <v>600000</v>
      </c>
      <c r="O1270" s="45" t="n">
        <v>650123.2521569127</v>
      </c>
      <c r="P1270" s="45" t="n">
        <v>611870</v>
      </c>
      <c r="Q1270" s="45" t="n">
        <v>96525.79300000001</v>
      </c>
      <c r="R1270" s="45" t="n">
        <v>90846.21533988001</v>
      </c>
      <c r="S1270" s="45" t="n">
        <v>2147660.201602151</v>
      </c>
      <c r="T1270" s="45" t="n">
        <v>2021292.19033988</v>
      </c>
      <c r="U1270" s="15" t="n">
        <v>5.17</v>
      </c>
      <c r="V1270" s="15" t="n">
        <v>10.61</v>
      </c>
      <c r="W1270" s="49" t="n">
        <v>94.116</v>
      </c>
    </row>
    <row r="1271">
      <c r="A1271" s="44" t="inlineStr">
        <is>
          <t>TL Cinsi Sabit Faizli Kuponlu Senetler</t>
        </is>
      </c>
      <c r="B1271" s="44" t="n">
        <v>2014</v>
      </c>
      <c r="C1271" s="44" t="inlineStr">
        <is>
          <t>TRT141118T19</t>
        </is>
      </c>
      <c r="D1271" s="44" t="inlineStr">
        <is>
          <t>05.03.2014</t>
        </is>
      </c>
      <c r="E1271" s="44" t="inlineStr">
        <is>
          <t>14.11.2018</t>
        </is>
      </c>
      <c r="F1271" s="44" t="n">
        <v>1715</v>
      </c>
      <c r="G1271" s="44" t="inlineStr">
        <is>
          <t>6 Ay</t>
        </is>
      </c>
      <c r="H1271" s="15" t="n">
        <v>4.4</v>
      </c>
      <c r="I1271" s="45" t="n">
        <v>2497400</v>
      </c>
      <c r="J1271" s="45" t="n">
        <v>2381819.043</v>
      </c>
      <c r="K1271" s="45" t="n">
        <v>1277800</v>
      </c>
      <c r="L1271" s="45" t="n">
        <v>1220641.482</v>
      </c>
      <c r="M1271" s="45" t="n">
        <v>680435.897704314</v>
      </c>
      <c r="N1271" s="45" t="n">
        <v>650000</v>
      </c>
      <c r="O1271" s="45" t="n">
        <v>1672563.777780104</v>
      </c>
      <c r="P1271" s="45" t="n">
        <v>1597750</v>
      </c>
      <c r="Q1271" s="45" t="n">
        <v>318459.273</v>
      </c>
      <c r="R1271" s="45" t="n">
        <v>304214.58971871</v>
      </c>
      <c r="S1271" s="45" t="n">
        <v>3949258.948484418</v>
      </c>
      <c r="T1271" s="45" t="n">
        <v>3772606.07171871</v>
      </c>
      <c r="U1271" s="15" t="n">
        <v>5.36</v>
      </c>
      <c r="V1271" s="15" t="n">
        <v>11.01</v>
      </c>
      <c r="W1271" s="49" t="n">
        <v>95.527</v>
      </c>
    </row>
    <row r="1272">
      <c r="A1272" s="44" t="inlineStr">
        <is>
          <t>TL Cinsi Sabit Faizli Kuponlu Senetler</t>
        </is>
      </c>
      <c r="B1272" s="44" t="n">
        <v>2014</v>
      </c>
      <c r="C1272" s="44" t="inlineStr">
        <is>
          <t>TRT240216T10</t>
        </is>
      </c>
      <c r="D1272" s="44" t="inlineStr">
        <is>
          <t>05.03.2014</t>
        </is>
      </c>
      <c r="E1272" s="44" t="inlineStr">
        <is>
          <t>24.02.2016</t>
        </is>
      </c>
      <c r="F1272" s="44" t="n">
        <v>721</v>
      </c>
      <c r="G1272" s="44" t="inlineStr">
        <is>
          <t>6 Ay</t>
        </is>
      </c>
      <c r="H1272" s="15" t="n">
        <v>5.35</v>
      </c>
      <c r="I1272" s="45" t="n">
        <v>3494202</v>
      </c>
      <c r="J1272" s="45" t="n">
        <v>3476601.29804</v>
      </c>
      <c r="K1272" s="45" t="n">
        <v>1797802</v>
      </c>
      <c r="L1272" s="45" t="n">
        <v>1791114.03704</v>
      </c>
      <c r="M1272" s="45" t="n">
        <v>752800.4175532983</v>
      </c>
      <c r="N1272" s="45" t="n">
        <v>750000</v>
      </c>
      <c r="O1272" s="45" t="n">
        <v>515116.2323844702</v>
      </c>
      <c r="P1272" s="45" t="n">
        <v>513200</v>
      </c>
      <c r="Q1272" s="45" t="n">
        <v>331645.4</v>
      </c>
      <c r="R1272" s="45" t="n">
        <v>330411.679112</v>
      </c>
      <c r="S1272" s="45" t="n">
        <v>3397364.049937768</v>
      </c>
      <c r="T1272" s="45" t="n">
        <v>3384725.716152</v>
      </c>
      <c r="U1272" s="15" t="n">
        <v>5.51</v>
      </c>
      <c r="V1272" s="15" t="n">
        <v>11.33</v>
      </c>
      <c r="W1272" s="49" t="n">
        <v>99.628</v>
      </c>
    </row>
    <row r="1273">
      <c r="A1273" s="44" t="inlineStr">
        <is>
          <t>TL Cinsi Sabit Faizli Kuponlu Senetler</t>
        </is>
      </c>
      <c r="B1273" s="44" t="n">
        <v>2014</v>
      </c>
      <c r="C1273" s="44" t="inlineStr">
        <is>
          <t>TRT270923T11</t>
        </is>
      </c>
      <c r="D1273" s="44" t="inlineStr">
        <is>
          <t>05.03.2014</t>
        </is>
      </c>
      <c r="E1273" s="44" t="inlineStr">
        <is>
          <t>27.09.2023</t>
        </is>
      </c>
      <c r="F1273" s="44" t="n">
        <v>3493</v>
      </c>
      <c r="G1273" s="44" t="inlineStr">
        <is>
          <t>6 Ay</t>
        </is>
      </c>
      <c r="H1273" s="15" t="n">
        <v>4.4</v>
      </c>
      <c r="I1273" s="45" t="n">
        <v>2764900</v>
      </c>
      <c r="J1273" s="45" t="n">
        <v>2570935.493</v>
      </c>
      <c r="K1273" s="45" t="n">
        <v>1732300</v>
      </c>
      <c r="L1273" s="45" t="n">
        <v>1614764.585</v>
      </c>
      <c r="M1273" s="45" t="n">
        <v>0</v>
      </c>
      <c r="N1273" s="45" t="n">
        <v>0</v>
      </c>
      <c r="O1273" s="45" t="n">
        <v>1420275.706699566</v>
      </c>
      <c r="P1273" s="45" t="n">
        <v>1323910</v>
      </c>
      <c r="Q1273" s="45" t="n">
        <v>339989.122</v>
      </c>
      <c r="R1273" s="45" t="n">
        <v>316920.8600723</v>
      </c>
      <c r="S1273" s="45" t="n">
        <v>3492564.828699565</v>
      </c>
      <c r="T1273" s="45" t="n">
        <v>3255595.4450723</v>
      </c>
      <c r="U1273" s="15" t="n">
        <v>5.27</v>
      </c>
      <c r="V1273" s="15" t="n">
        <v>10.81</v>
      </c>
      <c r="W1273" s="49" t="n">
        <v>93.215</v>
      </c>
    </row>
    <row r="1274">
      <c r="A1274" s="44" t="inlineStr">
        <is>
          <t>TL Cinsi Sabit Faizli Kuponlu Senetler</t>
        </is>
      </c>
      <c r="B1274" s="44" t="n">
        <v>2014</v>
      </c>
      <c r="C1274" s="44" t="inlineStr">
        <is>
          <t>TRT270319T13</t>
        </is>
      </c>
      <c r="D1274" s="44" t="inlineStr">
        <is>
          <t>02.04.2014</t>
        </is>
      </c>
      <c r="E1274" s="44" t="inlineStr">
        <is>
          <t>27.03.2019</t>
        </is>
      </c>
      <c r="F1274" s="44" t="n">
        <v>1820</v>
      </c>
      <c r="G1274" s="44" t="inlineStr">
        <is>
          <t>6 Ay</t>
        </is>
      </c>
      <c r="H1274" s="15" t="n">
        <v>5.2</v>
      </c>
      <c r="I1274" s="45" t="n">
        <v>2332700</v>
      </c>
      <c r="J1274" s="45" t="n">
        <v>2341921.815</v>
      </c>
      <c r="K1274" s="45" t="n">
        <v>995200</v>
      </c>
      <c r="L1274" s="45" t="n">
        <v>1002121.945</v>
      </c>
      <c r="M1274" s="45" t="n">
        <v>297926.43203305</v>
      </c>
      <c r="N1274" s="45" t="n">
        <v>300000</v>
      </c>
      <c r="O1274" s="45" t="n">
        <v>1095952.172876778</v>
      </c>
      <c r="P1274" s="45" t="n">
        <v>1103580</v>
      </c>
      <c r="Q1274" s="45" t="n">
        <v>156382.127</v>
      </c>
      <c r="R1274" s="45" t="n">
        <v>157470.54660392</v>
      </c>
      <c r="S1274" s="45" t="n">
        <v>2545460.731909827</v>
      </c>
      <c r="T1274" s="45" t="n">
        <v>2563172.49160392</v>
      </c>
      <c r="U1274" s="15" t="n">
        <v>5.11</v>
      </c>
      <c r="V1274" s="15" t="n">
        <v>10.48</v>
      </c>
      <c r="W1274" s="49" t="n">
        <v>100.696</v>
      </c>
    </row>
    <row r="1275">
      <c r="A1275" s="44" t="inlineStr">
        <is>
          <t>TL Cinsi Sabit Faizli Kuponlu Senetler</t>
        </is>
      </c>
      <c r="B1275" s="44" t="n">
        <v>2014</v>
      </c>
      <c r="C1275" s="44" t="inlineStr">
        <is>
          <t>TRT240216T10</t>
        </is>
      </c>
      <c r="D1275" s="44" t="inlineStr">
        <is>
          <t>02.04.2014</t>
        </is>
      </c>
      <c r="E1275" s="44" t="inlineStr">
        <is>
          <t>24.02.2016</t>
        </is>
      </c>
      <c r="F1275" s="44" t="n">
        <v>693</v>
      </c>
      <c r="G1275" s="44" t="inlineStr">
        <is>
          <t>6 Ay</t>
        </is>
      </c>
      <c r="H1275" s="15" t="n">
        <v>5.35</v>
      </c>
      <c r="I1275" s="45" t="n">
        <v>2664209.87</v>
      </c>
      <c r="J1275" s="45" t="n">
        <v>2700735.40957</v>
      </c>
      <c r="K1275" s="45" t="n">
        <v>764200</v>
      </c>
      <c r="L1275" s="45" t="n">
        <v>775547.8199999999</v>
      </c>
      <c r="M1275" s="45" t="n">
        <v>180322.2151056807</v>
      </c>
      <c r="N1275" s="45" t="n">
        <v>183000</v>
      </c>
      <c r="O1275" s="45" t="n">
        <v>732078.6323101936</v>
      </c>
      <c r="P1275" s="45" t="n">
        <v>742950</v>
      </c>
      <c r="Q1275" s="45" t="n">
        <v>205680.299</v>
      </c>
      <c r="R1275" s="45" t="n">
        <v>208734.65144015</v>
      </c>
      <c r="S1275" s="45" t="n">
        <v>1882281.146415874</v>
      </c>
      <c r="T1275" s="45" t="n">
        <v>1910232.47144015</v>
      </c>
      <c r="U1275" s="15" t="n">
        <v>5.21</v>
      </c>
      <c r="V1275" s="15" t="n">
        <v>10.69</v>
      </c>
      <c r="W1275" s="49" t="n">
        <v>101.485</v>
      </c>
    </row>
    <row r="1276">
      <c r="A1276" s="44" t="inlineStr">
        <is>
          <t>TL Cinsi Sabit Faizli Kuponlu Senetler</t>
        </is>
      </c>
      <c r="B1276" s="44" t="n">
        <v>2014</v>
      </c>
      <c r="C1276" s="44" t="inlineStr">
        <is>
          <t>TRT200324T13</t>
        </is>
      </c>
      <c r="D1276" s="44" t="inlineStr">
        <is>
          <t>02.04.2014</t>
        </is>
      </c>
      <c r="E1276" s="44" t="inlineStr">
        <is>
          <t>20.03.2024</t>
        </is>
      </c>
      <c r="F1276" s="44" t="n">
        <v>3640</v>
      </c>
      <c r="G1276" s="44" t="inlineStr">
        <is>
          <t>6 Ay</t>
        </is>
      </c>
      <c r="H1276" s="15" t="n">
        <v>5.2</v>
      </c>
      <c r="I1276" s="45" t="n">
        <v>1771400</v>
      </c>
      <c r="J1276" s="45" t="n">
        <v>1800069.14</v>
      </c>
      <c r="K1276" s="45" t="n">
        <v>765000</v>
      </c>
      <c r="L1276" s="45" t="n">
        <v>779831.013</v>
      </c>
      <c r="M1276" s="45" t="n">
        <v>686685.1744670833</v>
      </c>
      <c r="N1276" s="45" t="n">
        <v>700000</v>
      </c>
      <c r="O1276" s="45" t="n">
        <v>538910.5249217669</v>
      </c>
      <c r="P1276" s="45" t="n">
        <v>549360</v>
      </c>
      <c r="Q1276" s="45" t="n">
        <v>95747.05</v>
      </c>
      <c r="R1276" s="45" t="n">
        <v>97603.5852995</v>
      </c>
      <c r="S1276" s="45" t="n">
        <v>2086342.74938885</v>
      </c>
      <c r="T1276" s="45" t="n">
        <v>2126794.5982995</v>
      </c>
      <c r="U1276" s="15" t="n">
        <v>5.04</v>
      </c>
      <c r="V1276" s="15" t="n">
        <v>10.34</v>
      </c>
      <c r="W1276" s="49" t="n">
        <v>101.939</v>
      </c>
    </row>
    <row r="1277">
      <c r="A1277" s="44" t="inlineStr">
        <is>
          <t>TL Cinsi Sabit Faizli Kuponlu Senetler</t>
        </is>
      </c>
      <c r="B1277" s="44" t="n">
        <v>2014</v>
      </c>
      <c r="C1277" s="44" t="inlineStr">
        <is>
          <t>TRT240216T10</t>
        </is>
      </c>
      <c r="D1277" s="44" t="inlineStr">
        <is>
          <t>21.05.2014</t>
        </is>
      </c>
      <c r="E1277" s="44" t="inlineStr">
        <is>
          <t>24.02.2016</t>
        </is>
      </c>
      <c r="F1277" s="44" t="n">
        <v>644</v>
      </c>
      <c r="G1277" s="44" t="inlineStr">
        <is>
          <t>6 Ay</t>
        </is>
      </c>
      <c r="H1277" s="15" t="n">
        <v>5.35</v>
      </c>
      <c r="I1277" s="45" t="n">
        <v>3422100</v>
      </c>
      <c r="J1277" s="45" t="n">
        <v>3592847.5</v>
      </c>
      <c r="K1277" s="45" t="n">
        <v>502000</v>
      </c>
      <c r="L1277" s="45" t="n">
        <v>527592.2</v>
      </c>
      <c r="M1277" s="45" t="n">
        <v>380597.1569392377</v>
      </c>
      <c r="N1277" s="45" t="n">
        <v>400000</v>
      </c>
      <c r="O1277" s="45" t="n">
        <v>622733.0681839806</v>
      </c>
      <c r="P1277" s="45" t="n">
        <v>654480</v>
      </c>
      <c r="Q1277" s="45" t="n">
        <v>800</v>
      </c>
      <c r="R1277" s="45" t="n">
        <v>840.784</v>
      </c>
      <c r="S1277" s="45" t="n">
        <v>1506130.225123218</v>
      </c>
      <c r="T1277" s="45" t="n">
        <v>1582912.984</v>
      </c>
      <c r="U1277" s="15" t="n">
        <v>4.52</v>
      </c>
      <c r="V1277" s="15" t="n">
        <v>9.24</v>
      </c>
      <c r="W1277" s="49" t="n">
        <v>105.098</v>
      </c>
    </row>
    <row r="1278">
      <c r="A1278" s="44" t="inlineStr">
        <is>
          <t>TL Cinsi Sabit Faizli Kuponlu Senetler</t>
        </is>
      </c>
      <c r="B1278" s="44" t="n">
        <v>2014</v>
      </c>
      <c r="C1278" s="44" t="inlineStr">
        <is>
          <t>TRT270319T13</t>
        </is>
      </c>
      <c r="D1278" s="44" t="inlineStr">
        <is>
          <t>21.05.2014</t>
        </is>
      </c>
      <c r="E1278" s="44" t="inlineStr">
        <is>
          <t>27.03.2019</t>
        </is>
      </c>
      <c r="F1278" s="44" t="n">
        <v>1771</v>
      </c>
      <c r="G1278" s="44" t="inlineStr">
        <is>
          <t>6 Ay</t>
        </is>
      </c>
      <c r="H1278" s="15" t="n">
        <v>5.2</v>
      </c>
      <c r="I1278" s="45" t="n">
        <v>4232500</v>
      </c>
      <c r="J1278" s="45" t="n">
        <v>4492195.844</v>
      </c>
      <c r="K1278" s="45" t="n">
        <v>1509500</v>
      </c>
      <c r="L1278" s="45" t="n">
        <v>1606076.195</v>
      </c>
      <c r="M1278" s="45" t="n">
        <v>375946.9162954191</v>
      </c>
      <c r="N1278" s="45" t="n">
        <v>400000</v>
      </c>
      <c r="O1278" s="45" t="n">
        <v>954928.664072633</v>
      </c>
      <c r="P1278" s="45" t="n">
        <v>1016025</v>
      </c>
      <c r="Q1278" s="45" t="n">
        <v>204650</v>
      </c>
      <c r="R1278" s="45" t="n">
        <v>217743.507</v>
      </c>
      <c r="S1278" s="45" t="n">
        <v>3045025.580368052</v>
      </c>
      <c r="T1278" s="45" t="n">
        <v>3239844.702000001</v>
      </c>
      <c r="U1278" s="15" t="n">
        <v>4.55</v>
      </c>
      <c r="V1278" s="15" t="n">
        <v>9.31</v>
      </c>
      <c r="W1278" s="49" t="n">
        <v>106.398</v>
      </c>
    </row>
    <row r="1279">
      <c r="A1279" s="44" t="inlineStr">
        <is>
          <t>TL Cinsi Sabit Faizli Kuponlu Senetler</t>
        </is>
      </c>
      <c r="B1279" s="44" t="n">
        <v>2014</v>
      </c>
      <c r="C1279" s="44" t="inlineStr">
        <is>
          <t>TRT200324T13</t>
        </is>
      </c>
      <c r="D1279" s="44" t="inlineStr">
        <is>
          <t>28.05.2014</t>
        </is>
      </c>
      <c r="E1279" s="44" t="inlineStr">
        <is>
          <t>20.03.2024</t>
        </is>
      </c>
      <c r="F1279" s="44" t="n">
        <v>3584</v>
      </c>
      <c r="G1279" s="44" t="inlineStr">
        <is>
          <t>6 Ay</t>
        </is>
      </c>
      <c r="H1279" s="15" t="n">
        <v>5.2</v>
      </c>
      <c r="I1279" s="45" t="n">
        <v>2603819.16</v>
      </c>
      <c r="J1279" s="45" t="n">
        <v>2878951.9081</v>
      </c>
      <c r="K1279" s="45" t="n">
        <v>1093200</v>
      </c>
      <c r="L1279" s="45" t="n">
        <v>1211804</v>
      </c>
      <c r="M1279" s="45" t="n">
        <v>0</v>
      </c>
      <c r="N1279" s="45" t="n">
        <v>0</v>
      </c>
      <c r="O1279" s="45" t="n">
        <v>705355.9346498389</v>
      </c>
      <c r="P1279" s="45" t="n">
        <v>781880</v>
      </c>
      <c r="Q1279" s="45" t="n">
        <v>0</v>
      </c>
      <c r="R1279" s="45" t="n">
        <v>0</v>
      </c>
      <c r="S1279" s="45" t="n">
        <v>1798555.934649839</v>
      </c>
      <c r="T1279" s="45" t="n">
        <v>1993683.92</v>
      </c>
      <c r="U1279" s="15" t="n">
        <v>4.48</v>
      </c>
      <c r="V1279" s="15" t="n">
        <v>9.16</v>
      </c>
      <c r="W1279" s="49" t="n">
        <v>110.849</v>
      </c>
    </row>
    <row r="1280">
      <c r="A1280" s="44" t="inlineStr">
        <is>
          <t>TL Cinsi Sabit Faizli Kuponlu Senetler</t>
        </is>
      </c>
      <c r="B1280" s="44" t="n">
        <v>2014</v>
      </c>
      <c r="C1280" s="44" t="inlineStr">
        <is>
          <t>TRT270319T13</t>
        </is>
      </c>
      <c r="D1280" s="44" t="inlineStr">
        <is>
          <t>04.06.2014</t>
        </is>
      </c>
      <c r="E1280" s="44" t="inlineStr">
        <is>
          <t>27.03.2019</t>
        </is>
      </c>
      <c r="F1280" s="44" t="n">
        <v>1757</v>
      </c>
      <c r="G1280" s="44" t="inlineStr">
        <is>
          <t>6 Ay</t>
        </is>
      </c>
      <c r="H1280" s="15" t="n">
        <v>5.2</v>
      </c>
      <c r="I1280" s="45" t="n">
        <v>3303501</v>
      </c>
      <c r="J1280" s="45" t="n">
        <v>3603530.7025</v>
      </c>
      <c r="K1280" s="45" t="n">
        <v>998000</v>
      </c>
      <c r="L1280" s="45" t="n">
        <v>1093678.26</v>
      </c>
      <c r="M1280" s="45" t="n">
        <v>821265.2960661391</v>
      </c>
      <c r="N1280" s="45" t="n">
        <v>900000</v>
      </c>
      <c r="O1280" s="45" t="n">
        <v>526307.8649839853</v>
      </c>
      <c r="P1280" s="45" t="n">
        <v>576765</v>
      </c>
      <c r="Q1280" s="45" t="n">
        <v>0</v>
      </c>
      <c r="R1280" s="45" t="n">
        <v>0</v>
      </c>
      <c r="S1280" s="45" t="n">
        <v>2345573.161050125</v>
      </c>
      <c r="T1280" s="45" t="n">
        <v>2570443.26</v>
      </c>
      <c r="U1280" s="15" t="n">
        <v>4.2</v>
      </c>
      <c r="V1280" s="15" t="n">
        <v>8.57</v>
      </c>
      <c r="W1280" s="49" t="n">
        <v>109.587</v>
      </c>
    </row>
    <row r="1281">
      <c r="A1281" s="44" t="inlineStr">
        <is>
          <t>TL Cinsi Sabit Faizli Kuponlu Senetler</t>
        </is>
      </c>
      <c r="B1281" s="44" t="n">
        <v>2014</v>
      </c>
      <c r="C1281" s="44" t="inlineStr">
        <is>
          <t>TRT240216T10</t>
        </is>
      </c>
      <c r="D1281" s="44" t="inlineStr">
        <is>
          <t>04.06.2014</t>
        </is>
      </c>
      <c r="E1281" s="44" t="inlineStr">
        <is>
          <t>24.02.2016</t>
        </is>
      </c>
      <c r="F1281" s="44" t="n">
        <v>630</v>
      </c>
      <c r="G1281" s="44" t="inlineStr">
        <is>
          <t>6 Ay</t>
        </is>
      </c>
      <c r="H1281" s="15" t="n">
        <v>5.35</v>
      </c>
      <c r="I1281" s="45" t="n">
        <v>4160053.7</v>
      </c>
      <c r="J1281" s="45" t="n">
        <v>4432319.10456</v>
      </c>
      <c r="K1281" s="45" t="n">
        <v>1121752.7</v>
      </c>
      <c r="L1281" s="45" t="n">
        <v>1196454.46556</v>
      </c>
      <c r="M1281" s="45" t="n">
        <v>0</v>
      </c>
      <c r="N1281" s="45" t="n">
        <v>0</v>
      </c>
      <c r="O1281" s="45" t="n">
        <v>810395.7471943296</v>
      </c>
      <c r="P1281" s="45" t="n">
        <v>864360</v>
      </c>
      <c r="Q1281" s="45" t="n">
        <v>0</v>
      </c>
      <c r="R1281" s="45" t="n">
        <v>0</v>
      </c>
      <c r="S1281" s="45" t="n">
        <v>1932148.447194329</v>
      </c>
      <c r="T1281" s="45" t="n">
        <v>2060814.46556</v>
      </c>
      <c r="U1281" s="15" t="n">
        <v>4.15</v>
      </c>
      <c r="V1281" s="15" t="n">
        <v>8.470000000000001</v>
      </c>
      <c r="W1281" s="49" t="n">
        <v>106.659</v>
      </c>
    </row>
    <row r="1282">
      <c r="A1282" s="44" t="inlineStr">
        <is>
          <t>TL Cinsi Sabit Faizli Kuponlu Senetler</t>
        </is>
      </c>
      <c r="B1282" s="44" t="n">
        <v>2014</v>
      </c>
      <c r="C1282" s="44" t="inlineStr">
        <is>
          <t>TRT200324T13</t>
        </is>
      </c>
      <c r="D1282" s="44" t="inlineStr">
        <is>
          <t>04.06.2014</t>
        </is>
      </c>
      <c r="E1282" s="44" t="inlineStr">
        <is>
          <t>20.03.2024</t>
        </is>
      </c>
      <c r="F1282" s="44" t="n">
        <v>3577</v>
      </c>
      <c r="G1282" s="44" t="inlineStr">
        <is>
          <t>6 Ay</t>
        </is>
      </c>
      <c r="H1282" s="15" t="n">
        <v>5.2</v>
      </c>
      <c r="I1282" s="45" t="n">
        <v>2266201</v>
      </c>
      <c r="J1282" s="45" t="n">
        <v>2519330.17</v>
      </c>
      <c r="K1282" s="45" t="n">
        <v>856000</v>
      </c>
      <c r="L1282" s="45" t="n">
        <v>954441.0600000001</v>
      </c>
      <c r="M1282" s="45" t="n">
        <v>538116.5919282511</v>
      </c>
      <c r="N1282" s="45" t="n">
        <v>600000</v>
      </c>
      <c r="O1282" s="45" t="n">
        <v>607417.0403587443</v>
      </c>
      <c r="P1282" s="45" t="n">
        <v>677270</v>
      </c>
      <c r="Q1282" s="45" t="n">
        <v>0</v>
      </c>
      <c r="R1282" s="45" t="n">
        <v>0</v>
      </c>
      <c r="S1282" s="45" t="n">
        <v>2001533.632286995</v>
      </c>
      <c r="T1282" s="45" t="n">
        <v>2231711.06</v>
      </c>
      <c r="U1282" s="15" t="n">
        <v>4.45</v>
      </c>
      <c r="V1282" s="15" t="n">
        <v>9.09</v>
      </c>
      <c r="W1282" s="49" t="n">
        <v>111.5</v>
      </c>
    </row>
    <row r="1283">
      <c r="A1283" s="44" t="inlineStr">
        <is>
          <t>TL Cinsi Sabit Faizli Kuponlu Senetler</t>
        </is>
      </c>
      <c r="B1283" s="44" t="n">
        <v>2014</v>
      </c>
      <c r="C1283" s="44" t="inlineStr">
        <is>
          <t>TRT100719T18</t>
        </is>
      </c>
      <c r="D1283" s="44" t="inlineStr">
        <is>
          <t>16.07.2014</t>
        </is>
      </c>
      <c r="E1283" s="44" t="inlineStr">
        <is>
          <t>10.07.2019</t>
        </is>
      </c>
      <c r="F1283" s="44" t="n">
        <v>1820</v>
      </c>
      <c r="G1283" s="44" t="inlineStr">
        <is>
          <t>6 Ay</t>
        </is>
      </c>
      <c r="H1283" s="15" t="n">
        <v>4.25</v>
      </c>
      <c r="I1283" s="45" t="n">
        <v>3685040</v>
      </c>
      <c r="J1283" s="45" t="n">
        <v>3683655.2055</v>
      </c>
      <c r="K1283" s="45" t="n">
        <v>1235470</v>
      </c>
      <c r="L1283" s="45" t="n">
        <v>1238120.181</v>
      </c>
      <c r="M1283" s="45" t="n">
        <v>825225.7646060969</v>
      </c>
      <c r="N1283" s="45" t="n">
        <v>827000</v>
      </c>
      <c r="O1283" s="45" t="n">
        <v>599062.0166641721</v>
      </c>
      <c r="P1283" s="45" t="n">
        <v>600350</v>
      </c>
      <c r="Q1283" s="45" t="n">
        <v>166109.184</v>
      </c>
      <c r="R1283" s="45" t="n">
        <v>166466.3187456</v>
      </c>
      <c r="S1283" s="45" t="n">
        <v>2825866.965270269</v>
      </c>
      <c r="T1283" s="45" t="n">
        <v>2831936.4997456</v>
      </c>
      <c r="U1283" s="15" t="n">
        <v>4.22</v>
      </c>
      <c r="V1283" s="15" t="n">
        <v>8.619999999999999</v>
      </c>
      <c r="W1283" s="49" t="n">
        <v>100.215</v>
      </c>
    </row>
    <row r="1284">
      <c r="A1284" s="44" t="inlineStr">
        <is>
          <t>TL Cinsi Sabit Faizli Kuponlu Senetler</t>
        </is>
      </c>
      <c r="B1284" s="44" t="n">
        <v>2014</v>
      </c>
      <c r="C1284" s="44" t="inlineStr">
        <is>
          <t>TRT130716T18</t>
        </is>
      </c>
      <c r="D1284" s="44" t="inlineStr">
        <is>
          <t>16.07.2014</t>
        </is>
      </c>
      <c r="E1284" s="44" t="inlineStr">
        <is>
          <t>13.07.2016</t>
        </is>
      </c>
      <c r="F1284" s="44" t="n">
        <v>728</v>
      </c>
      <c r="G1284" s="44" t="inlineStr">
        <is>
          <t>6 Ay</t>
        </is>
      </c>
      <c r="H1284" s="15" t="n">
        <v>4.1</v>
      </c>
      <c r="I1284" s="45" t="n">
        <v>3327285</v>
      </c>
      <c r="J1284" s="45" t="n">
        <v>3331674.703</v>
      </c>
      <c r="K1284" s="45" t="n">
        <v>1097515</v>
      </c>
      <c r="L1284" s="45" t="n">
        <v>1100148.332</v>
      </c>
      <c r="M1284" s="45" t="n">
        <v>0</v>
      </c>
      <c r="N1284" s="45" t="n">
        <v>0</v>
      </c>
      <c r="O1284" s="45" t="n">
        <v>911382.6815642461</v>
      </c>
      <c r="P1284" s="45" t="n">
        <v>913570.0000000001</v>
      </c>
      <c r="Q1284" s="45" t="n">
        <v>225475.903</v>
      </c>
      <c r="R1284" s="45" t="n">
        <v>226017.0451672</v>
      </c>
      <c r="S1284" s="45" t="n">
        <v>2234373.584564246</v>
      </c>
      <c r="T1284" s="45" t="n">
        <v>2239735.3771672</v>
      </c>
      <c r="U1284" s="15" t="n">
        <v>4.03</v>
      </c>
      <c r="V1284" s="15" t="n">
        <v>8.23</v>
      </c>
      <c r="W1284" s="49" t="n">
        <v>100.24</v>
      </c>
    </row>
    <row r="1285">
      <c r="A1285" s="44" t="inlineStr">
        <is>
          <t>TL Cinsi Sabit Faizli Kuponlu Senetler</t>
        </is>
      </c>
      <c r="B1285" s="44" t="n">
        <v>2014</v>
      </c>
      <c r="C1285" s="44" t="inlineStr">
        <is>
          <t>TRT200324T13</t>
        </is>
      </c>
      <c r="D1285" s="44" t="inlineStr">
        <is>
          <t>16.07.2014</t>
        </is>
      </c>
      <c r="E1285" s="44" t="inlineStr">
        <is>
          <t>20.03.2024</t>
        </is>
      </c>
      <c r="F1285" s="44" t="n">
        <v>3535</v>
      </c>
      <c r="G1285" s="44" t="inlineStr">
        <is>
          <t>6 Ay</t>
        </is>
      </c>
      <c r="H1285" s="15" t="n">
        <v>5.2</v>
      </c>
      <c r="I1285" s="45" t="n">
        <v>3308415</v>
      </c>
      <c r="J1285" s="45" t="n">
        <v>3737063.398</v>
      </c>
      <c r="K1285" s="45" t="n">
        <v>689000</v>
      </c>
      <c r="L1285" s="45" t="n">
        <v>781414.87</v>
      </c>
      <c r="M1285" s="45" t="n">
        <v>552846.6754252159</v>
      </c>
      <c r="N1285" s="45" t="n">
        <v>627000</v>
      </c>
      <c r="O1285" s="45" t="n">
        <v>422709.4777494643</v>
      </c>
      <c r="P1285" s="45" t="n">
        <v>479407.5</v>
      </c>
      <c r="Q1285" s="45" t="n">
        <v>35000</v>
      </c>
      <c r="R1285" s="45" t="n">
        <v>39694.55</v>
      </c>
      <c r="S1285" s="45" t="n">
        <v>1699556.15317468</v>
      </c>
      <c r="T1285" s="45" t="n">
        <v>1927516.92</v>
      </c>
      <c r="U1285" s="15" t="n">
        <v>4.39</v>
      </c>
      <c r="V1285" s="15" t="n">
        <v>8.970000000000001</v>
      </c>
      <c r="W1285" s="49" t="n">
        <v>113.413</v>
      </c>
    </row>
    <row r="1286">
      <c r="A1286" s="44" t="inlineStr">
        <is>
          <t>TL Cinsi Sabit Faizli Kuponlu Senetler</t>
        </is>
      </c>
      <c r="B1286" s="44" t="n">
        <v>2014</v>
      </c>
      <c r="C1286" s="44" t="inlineStr">
        <is>
          <t>TRT100719T18</t>
        </is>
      </c>
      <c r="D1286" s="44" t="inlineStr">
        <is>
          <t>06.08.2014</t>
        </is>
      </c>
      <c r="E1286" s="44" t="inlineStr">
        <is>
          <t>10.07.2019</t>
        </is>
      </c>
      <c r="F1286" s="44" t="n">
        <v>1799</v>
      </c>
      <c r="G1286" s="44" t="inlineStr">
        <is>
          <t>6 Ay</t>
        </is>
      </c>
      <c r="H1286" s="15" t="n">
        <v>4.25</v>
      </c>
      <c r="I1286" s="45" t="n">
        <v>2245100</v>
      </c>
      <c r="J1286" s="45" t="n">
        <v>2215188.027</v>
      </c>
      <c r="K1286" s="45" t="n">
        <v>997200</v>
      </c>
      <c r="L1286" s="45" t="n">
        <v>986141.535</v>
      </c>
      <c r="M1286" s="45" t="n">
        <v>151682.1551000597</v>
      </c>
      <c r="N1286" s="45" t="n">
        <v>150000</v>
      </c>
      <c r="O1286" s="45" t="n">
        <v>1055551.061269478</v>
      </c>
      <c r="P1286" s="45" t="n">
        <v>1043845</v>
      </c>
      <c r="Q1286" s="45" t="n">
        <v>0</v>
      </c>
      <c r="R1286" s="45" t="n">
        <v>0</v>
      </c>
      <c r="S1286" s="45" t="n">
        <v>2204433.216369538</v>
      </c>
      <c r="T1286" s="45" t="n">
        <v>2179986.535</v>
      </c>
      <c r="U1286" s="15" t="n">
        <v>4.45</v>
      </c>
      <c r="V1286" s="15" t="n">
        <v>9.1</v>
      </c>
      <c r="W1286" s="49" t="n">
        <v>98.89100000000001</v>
      </c>
    </row>
    <row r="1287">
      <c r="A1287" s="44" t="inlineStr">
        <is>
          <t>TL Cinsi Sabit Faizli Kuponlu Senetler</t>
        </is>
      </c>
      <c r="B1287" s="44" t="n">
        <v>2014</v>
      </c>
      <c r="C1287" s="44" t="inlineStr">
        <is>
          <t>TRT130716T18</t>
        </is>
      </c>
      <c r="D1287" s="44" t="inlineStr">
        <is>
          <t>06.08.2014</t>
        </is>
      </c>
      <c r="E1287" s="44" t="inlineStr">
        <is>
          <t>13.07.2016</t>
        </is>
      </c>
      <c r="F1287" s="44" t="n">
        <v>707</v>
      </c>
      <c r="G1287" s="44" t="inlineStr">
        <is>
          <t>6 Ay</t>
        </is>
      </c>
      <c r="H1287" s="15" t="n">
        <v>4.1</v>
      </c>
      <c r="I1287" s="45" t="n">
        <v>3122300</v>
      </c>
      <c r="J1287" s="45" t="n">
        <v>3092597.48</v>
      </c>
      <c r="K1287" s="45" t="n">
        <v>955700</v>
      </c>
      <c r="L1287" s="45" t="n">
        <v>948072.669</v>
      </c>
      <c r="M1287" s="45" t="n">
        <v>207657.1036874257</v>
      </c>
      <c r="N1287" s="45" t="n">
        <v>206000</v>
      </c>
      <c r="O1287" s="45" t="n">
        <v>725543.8398419388</v>
      </c>
      <c r="P1287" s="45" t="n">
        <v>719754.0000000001</v>
      </c>
      <c r="Q1287" s="45" t="n">
        <v>0</v>
      </c>
      <c r="R1287" s="45" t="n">
        <v>0</v>
      </c>
      <c r="S1287" s="45" t="n">
        <v>1888900.943529364</v>
      </c>
      <c r="T1287" s="45" t="n">
        <v>1873826.669</v>
      </c>
      <c r="U1287" s="15" t="n">
        <v>4.46</v>
      </c>
      <c r="V1287" s="15" t="n">
        <v>9.119999999999999</v>
      </c>
      <c r="W1287" s="49" t="n">
        <v>99.202</v>
      </c>
    </row>
    <row r="1288">
      <c r="A1288" s="44" t="inlineStr">
        <is>
          <t>TL Cinsi Sabit Faizli Kuponlu Senetler</t>
        </is>
      </c>
      <c r="B1288" s="44" t="n">
        <v>2014</v>
      </c>
      <c r="C1288" s="44" t="inlineStr">
        <is>
          <t>TRT240724T15</t>
        </is>
      </c>
      <c r="D1288" s="44" t="inlineStr">
        <is>
          <t>06.08.2014</t>
        </is>
      </c>
      <c r="E1288" s="44" t="inlineStr">
        <is>
          <t>24.07.2024</t>
        </is>
      </c>
      <c r="F1288" s="44" t="n">
        <v>3640</v>
      </c>
      <c r="G1288" s="44" t="inlineStr">
        <is>
          <t>6 Ay</t>
        </is>
      </c>
      <c r="H1288" s="15" t="n">
        <v>4.5</v>
      </c>
      <c r="I1288" s="45" t="n">
        <v>3578980</v>
      </c>
      <c r="J1288" s="45" t="n">
        <v>3524722.509</v>
      </c>
      <c r="K1288" s="45" t="n">
        <v>926090</v>
      </c>
      <c r="L1288" s="45" t="n">
        <v>916858.67</v>
      </c>
      <c r="M1288" s="45" t="n">
        <v>0</v>
      </c>
      <c r="N1288" s="45" t="n">
        <v>0</v>
      </c>
      <c r="O1288" s="45" t="n">
        <v>971303.8998818218</v>
      </c>
      <c r="P1288" s="45" t="n">
        <v>961620</v>
      </c>
      <c r="Q1288" s="45" t="n">
        <v>0</v>
      </c>
      <c r="R1288" s="45" t="n">
        <v>0</v>
      </c>
      <c r="S1288" s="45" t="n">
        <v>1897393.899881822</v>
      </c>
      <c r="T1288" s="45" t="n">
        <v>1878478.67</v>
      </c>
      <c r="U1288" s="15" t="n">
        <v>4.58</v>
      </c>
      <c r="V1288" s="15" t="n">
        <v>9.359999999999999</v>
      </c>
      <c r="W1288" s="49" t="n">
        <v>99.003</v>
      </c>
    </row>
    <row r="1289">
      <c r="A1289" s="44" t="inlineStr">
        <is>
          <t>TL Cinsi Sabit Faizli Kuponlu Senetler</t>
        </is>
      </c>
      <c r="B1289" s="44" t="n">
        <v>2014</v>
      </c>
      <c r="C1289" s="44" t="inlineStr">
        <is>
          <t>TRT100719T18</t>
        </is>
      </c>
      <c r="D1289" s="44" t="inlineStr">
        <is>
          <t>24.09.2014</t>
        </is>
      </c>
      <c r="E1289" s="44" t="inlineStr">
        <is>
          <t>10.07.2019</t>
        </is>
      </c>
      <c r="F1289" s="44" t="n">
        <v>1750</v>
      </c>
      <c r="G1289" s="44" t="inlineStr">
        <is>
          <t>6 Ay</t>
        </is>
      </c>
      <c r="H1289" s="15" t="n">
        <v>4.25</v>
      </c>
      <c r="I1289" s="45" t="n">
        <v>3229867</v>
      </c>
      <c r="J1289" s="45" t="n">
        <v>3192638.75876</v>
      </c>
      <c r="K1289" s="45" t="n">
        <v>1015200</v>
      </c>
      <c r="L1289" s="45" t="n">
        <v>1007277.618</v>
      </c>
      <c r="M1289" s="45" t="n">
        <v>1259826.647853256</v>
      </c>
      <c r="N1289" s="45" t="n">
        <v>1250000</v>
      </c>
      <c r="O1289" s="45" t="n">
        <v>501995.5654101996</v>
      </c>
      <c r="P1289" s="45" t="n">
        <v>498080</v>
      </c>
      <c r="Q1289" s="45" t="n">
        <v>143883.394</v>
      </c>
      <c r="R1289" s="45" t="n">
        <v>142761.1035268</v>
      </c>
      <c r="S1289" s="45" t="n">
        <v>2920905.607263455</v>
      </c>
      <c r="T1289" s="45" t="n">
        <v>2898118.7215268</v>
      </c>
      <c r="U1289" s="15" t="n">
        <v>4.56</v>
      </c>
      <c r="V1289" s="15" t="n">
        <v>9.33</v>
      </c>
      <c r="W1289" s="49" t="n">
        <v>99.22</v>
      </c>
    </row>
    <row r="1290">
      <c r="A1290" s="44" t="inlineStr">
        <is>
          <t>TL Cinsi Sabit Faizli Kuponlu Senetler</t>
        </is>
      </c>
      <c r="B1290" s="44" t="n">
        <v>2014</v>
      </c>
      <c r="C1290" s="44" t="inlineStr">
        <is>
          <t>TRT130716T18</t>
        </is>
      </c>
      <c r="D1290" s="44" t="inlineStr">
        <is>
          <t>24.09.2014</t>
        </is>
      </c>
      <c r="E1290" s="44" t="inlineStr">
        <is>
          <t>13.07.2016</t>
        </is>
      </c>
      <c r="F1290" s="44" t="n">
        <v>658</v>
      </c>
      <c r="G1290" s="44" t="inlineStr">
        <is>
          <t>6 Ay</t>
        </is>
      </c>
      <c r="H1290" s="15" t="n">
        <v>4.1</v>
      </c>
      <c r="I1290" s="45" t="n">
        <v>1447900</v>
      </c>
      <c r="J1290" s="45" t="n">
        <v>1446558.408</v>
      </c>
      <c r="K1290" s="45" t="n">
        <v>735500</v>
      </c>
      <c r="L1290" s="45" t="n">
        <v>736083.8860000001</v>
      </c>
      <c r="M1290" s="45" t="n">
        <v>0</v>
      </c>
      <c r="N1290" s="45" t="n">
        <v>0</v>
      </c>
      <c r="O1290" s="45" t="n">
        <v>716134.253939388</v>
      </c>
      <c r="P1290" s="45" t="n">
        <v>716700</v>
      </c>
      <c r="Q1290" s="45" t="n">
        <v>112138.522</v>
      </c>
      <c r="R1290" s="45" t="n">
        <v>112227.11143238</v>
      </c>
      <c r="S1290" s="45" t="n">
        <v>1563772.775939388</v>
      </c>
      <c r="T1290" s="45" t="n">
        <v>1565010.99743238</v>
      </c>
      <c r="U1290" s="15" t="n">
        <v>4.55</v>
      </c>
      <c r="V1290" s="15" t="n">
        <v>9.31</v>
      </c>
      <c r="W1290" s="49" t="n">
        <v>100.079</v>
      </c>
    </row>
    <row r="1291">
      <c r="A1291" s="44" t="inlineStr">
        <is>
          <t>TL Cinsi Sabit Faizli Kuponlu Senetler</t>
        </is>
      </c>
      <c r="B1291" s="44" t="n">
        <v>2014</v>
      </c>
      <c r="C1291" s="44" t="inlineStr">
        <is>
          <t>TRT240724T15</t>
        </is>
      </c>
      <c r="D1291" s="44" t="inlineStr">
        <is>
          <t>24.09.2014</t>
        </is>
      </c>
      <c r="E1291" s="44" t="inlineStr">
        <is>
          <t>24.07.2024</t>
        </is>
      </c>
      <c r="F1291" s="44" t="n">
        <v>3591</v>
      </c>
      <c r="G1291" s="44" t="inlineStr">
        <is>
          <t>6 Ay</t>
        </is>
      </c>
      <c r="H1291" s="15" t="n">
        <v>4.5</v>
      </c>
      <c r="I1291" s="45" t="n">
        <v>2850400</v>
      </c>
      <c r="J1291" s="45" t="n">
        <v>2824086.02</v>
      </c>
      <c r="K1291" s="45" t="n">
        <v>1185900</v>
      </c>
      <c r="L1291" s="45" t="n">
        <v>1179578.469</v>
      </c>
      <c r="M1291" s="45" t="n">
        <v>502679.2805654137</v>
      </c>
      <c r="N1291" s="45" t="n">
        <v>500000</v>
      </c>
      <c r="O1291" s="45" t="n">
        <v>710044.5373842581</v>
      </c>
      <c r="P1291" s="45" t="n">
        <v>706260</v>
      </c>
      <c r="Q1291" s="45" t="n">
        <v>157648.471</v>
      </c>
      <c r="R1291" s="45" t="n">
        <v>156808.20464957</v>
      </c>
      <c r="S1291" s="45" t="n">
        <v>2556272.288949672</v>
      </c>
      <c r="T1291" s="45" t="n">
        <v>2542646.67364957</v>
      </c>
      <c r="U1291" s="15" t="n">
        <v>4.64</v>
      </c>
      <c r="V1291" s="15" t="n">
        <v>9.49</v>
      </c>
      <c r="W1291" s="49" t="n">
        <v>99.467</v>
      </c>
    </row>
    <row r="1292">
      <c r="A1292" s="44" t="inlineStr">
        <is>
          <t>TL Cinsi Sabit Faizli Kuponlu Senetler</t>
        </is>
      </c>
      <c r="B1292" s="44" t="n">
        <v>2014</v>
      </c>
      <c r="C1292" s="44" t="inlineStr">
        <is>
          <t>TRT100719T18</t>
        </is>
      </c>
      <c r="D1292" s="44" t="inlineStr">
        <is>
          <t>01.10.2014</t>
        </is>
      </c>
      <c r="E1292" s="44" t="inlineStr">
        <is>
          <t>10.07.2019</t>
        </is>
      </c>
      <c r="F1292" s="44" t="n">
        <v>1743</v>
      </c>
      <c r="G1292" s="44" t="inlineStr">
        <is>
          <t>6 Ay</t>
        </is>
      </c>
      <c r="H1292" s="15" t="n">
        <v>4.25</v>
      </c>
      <c r="I1292" s="45" t="n">
        <v>1992100</v>
      </c>
      <c r="J1292" s="45" t="n">
        <v>1932791.99</v>
      </c>
      <c r="K1292" s="45" t="n">
        <v>901100</v>
      </c>
      <c r="L1292" s="45" t="n">
        <v>876859.21</v>
      </c>
      <c r="M1292" s="45" t="n">
        <v>133593.6697153427</v>
      </c>
      <c r="N1292" s="45" t="n">
        <v>130000</v>
      </c>
      <c r="O1292" s="45" t="n">
        <v>1040072.962696537</v>
      </c>
      <c r="P1292" s="45" t="n">
        <v>1012095</v>
      </c>
      <c r="Q1292" s="45" t="n">
        <v>149604.087</v>
      </c>
      <c r="R1292" s="45" t="n">
        <v>145579.7370597</v>
      </c>
      <c r="S1292" s="45" t="n">
        <v>2224370.719411879</v>
      </c>
      <c r="T1292" s="45" t="n">
        <v>2164533.9470597</v>
      </c>
      <c r="U1292" s="15" t="n">
        <v>4.84</v>
      </c>
      <c r="V1292" s="15" t="n">
        <v>9.92</v>
      </c>
      <c r="W1292" s="49" t="n">
        <v>97.31</v>
      </c>
    </row>
    <row r="1293">
      <c r="A1293" s="44" t="inlineStr">
        <is>
          <t>TL Cinsi Sabit Faizli Kuponlu Senetler</t>
        </is>
      </c>
      <c r="B1293" s="44" t="n">
        <v>2014</v>
      </c>
      <c r="C1293" s="44" t="inlineStr">
        <is>
          <t>TRT130716T18</t>
        </is>
      </c>
      <c r="D1293" s="44" t="inlineStr">
        <is>
          <t>01.10.2014</t>
        </is>
      </c>
      <c r="E1293" s="44" t="inlineStr">
        <is>
          <t>13.07.2016</t>
        </is>
      </c>
      <c r="F1293" s="44" t="n">
        <v>651</v>
      </c>
      <c r="G1293" s="44" t="inlineStr">
        <is>
          <t>6 Ay</t>
        </is>
      </c>
      <c r="H1293" s="15" t="n">
        <v>4.1</v>
      </c>
      <c r="I1293" s="45" t="n">
        <v>2521520</v>
      </c>
      <c r="J1293" s="45" t="n">
        <v>2498686.129</v>
      </c>
      <c r="K1293" s="45" t="n">
        <v>712800</v>
      </c>
      <c r="L1293" s="45" t="n">
        <v>707066.118</v>
      </c>
      <c r="M1293" s="45" t="n">
        <v>100810.5165530868</v>
      </c>
      <c r="N1293" s="45" t="n">
        <v>100000</v>
      </c>
      <c r="O1293" s="45" t="n">
        <v>736785.7574902214</v>
      </c>
      <c r="P1293" s="45" t="n">
        <v>730862</v>
      </c>
      <c r="Q1293" s="45" t="n">
        <v>156605.499</v>
      </c>
      <c r="R1293" s="45" t="n">
        <v>155346.39078804</v>
      </c>
      <c r="S1293" s="45" t="n">
        <v>1707001.773043308</v>
      </c>
      <c r="T1293" s="45" t="n">
        <v>1693274.50878804</v>
      </c>
      <c r="U1293" s="15" t="n">
        <v>4.88</v>
      </c>
      <c r="V1293" s="15" t="n">
        <v>10.01</v>
      </c>
      <c r="W1293" s="49" t="n">
        <v>99.196</v>
      </c>
    </row>
    <row r="1294">
      <c r="A1294" s="44" t="inlineStr">
        <is>
          <t>TL Cinsi Sabit Faizli Kuponlu Senetler</t>
        </is>
      </c>
      <c r="B1294" s="44" t="n">
        <v>2014</v>
      </c>
      <c r="C1294" s="44" t="inlineStr">
        <is>
          <t>TRT240724T15</t>
        </is>
      </c>
      <c r="D1294" s="44" t="inlineStr">
        <is>
          <t>01.10.2014</t>
        </is>
      </c>
      <c r="E1294" s="44" t="inlineStr">
        <is>
          <t>24.07.2024</t>
        </is>
      </c>
      <c r="F1294" s="44" t="n">
        <v>3584</v>
      </c>
      <c r="G1294" s="44" t="inlineStr">
        <is>
          <t>6 Ay</t>
        </is>
      </c>
      <c r="H1294" s="15" t="n">
        <v>4.5</v>
      </c>
      <c r="I1294" s="45" t="n">
        <v>2816920</v>
      </c>
      <c r="J1294" s="45" t="n">
        <v>2720385.56</v>
      </c>
      <c r="K1294" s="45" t="n">
        <v>1055360</v>
      </c>
      <c r="L1294" s="45" t="n">
        <v>1022621.187</v>
      </c>
      <c r="M1294" s="45" t="n">
        <v>0</v>
      </c>
      <c r="N1294" s="45" t="n">
        <v>0</v>
      </c>
      <c r="O1294" s="45" t="n">
        <v>744110.3015542116</v>
      </c>
      <c r="P1294" s="45" t="n">
        <v>721028</v>
      </c>
      <c r="Q1294" s="45" t="n">
        <v>205577.506</v>
      </c>
      <c r="R1294" s="45" t="n">
        <v>199200.49176388</v>
      </c>
      <c r="S1294" s="45" t="n">
        <v>2005047.807554212</v>
      </c>
      <c r="T1294" s="45" t="n">
        <v>1942849.67876388</v>
      </c>
      <c r="U1294" s="15" t="n">
        <v>4.86</v>
      </c>
      <c r="V1294" s="15" t="n">
        <v>9.949999999999999</v>
      </c>
      <c r="W1294" s="49" t="n">
        <v>96.898</v>
      </c>
    </row>
    <row r="1295">
      <c r="A1295" s="44" t="inlineStr">
        <is>
          <t>TL Cinsi Sabit Faizli Kuponlu Senetler</t>
        </is>
      </c>
      <c r="B1295" s="44" t="n">
        <v>2014</v>
      </c>
      <c r="C1295" s="44" t="inlineStr">
        <is>
          <t>TRT100719T18</t>
        </is>
      </c>
      <c r="D1295" s="44" t="inlineStr">
        <is>
          <t>19.11.2014</t>
        </is>
      </c>
      <c r="E1295" s="44" t="inlineStr">
        <is>
          <t>10.07.2019</t>
        </is>
      </c>
      <c r="F1295" s="44" t="n">
        <v>1694</v>
      </c>
      <c r="G1295" s="44" t="inlineStr">
        <is>
          <t>6 Ay</t>
        </is>
      </c>
      <c r="H1295" s="15" t="n">
        <v>4.25</v>
      </c>
      <c r="I1295" s="45" t="n">
        <v>2380301</v>
      </c>
      <c r="J1295" s="45" t="n">
        <v>2480936.13646</v>
      </c>
      <c r="K1295" s="45" t="n">
        <v>559001</v>
      </c>
      <c r="L1295" s="45" t="n">
        <v>583881.42646</v>
      </c>
      <c r="M1295" s="45" t="n">
        <v>1289944.567309073</v>
      </c>
      <c r="N1295" s="45" t="n">
        <v>1347360</v>
      </c>
      <c r="O1295" s="45" t="n">
        <v>329296.0335468306</v>
      </c>
      <c r="P1295" s="45" t="n">
        <v>343953</v>
      </c>
      <c r="Q1295" s="45" t="n">
        <v>75068.25</v>
      </c>
      <c r="R1295" s="45" t="n">
        <v>78409.5378075</v>
      </c>
      <c r="S1295" s="45" t="n">
        <v>2253309.850855904</v>
      </c>
      <c r="T1295" s="45" t="n">
        <v>2353603.9642675</v>
      </c>
      <c r="U1295" s="15" t="n">
        <v>4.05</v>
      </c>
      <c r="V1295" s="15" t="n">
        <v>8.26</v>
      </c>
      <c r="W1295" s="49" t="n">
        <v>104.451</v>
      </c>
    </row>
    <row r="1296">
      <c r="A1296" s="44" t="inlineStr">
        <is>
          <t>TL Cinsi Sabit Faizli Kuponlu Senetler</t>
        </is>
      </c>
      <c r="B1296" s="44" t="n">
        <v>2014</v>
      </c>
      <c r="C1296" s="44" t="inlineStr">
        <is>
          <t>TRT161116T19</t>
        </is>
      </c>
      <c r="D1296" s="44" t="inlineStr">
        <is>
          <t>19.11.2014</t>
        </is>
      </c>
      <c r="E1296" s="44" t="inlineStr">
        <is>
          <t>16.11.2016</t>
        </is>
      </c>
      <c r="F1296" s="44" t="n">
        <v>728</v>
      </c>
      <c r="G1296" s="44" t="inlineStr">
        <is>
          <t>6 Ay</t>
        </is>
      </c>
      <c r="H1296" s="15" t="n">
        <v>4.1</v>
      </c>
      <c r="I1296" s="45" t="n">
        <v>1666300</v>
      </c>
      <c r="J1296" s="45" t="n">
        <v>1673742.703</v>
      </c>
      <c r="K1296" s="45" t="n">
        <v>577000</v>
      </c>
      <c r="L1296" s="45" t="n">
        <v>580334.397</v>
      </c>
      <c r="M1296" s="45" t="n">
        <v>242597.7848038338</v>
      </c>
      <c r="N1296" s="45" t="n">
        <v>244000</v>
      </c>
      <c r="O1296" s="45" t="n">
        <v>431629.183320408</v>
      </c>
      <c r="P1296" s="45" t="n">
        <v>434124</v>
      </c>
      <c r="Q1296" s="45" t="n">
        <v>0</v>
      </c>
      <c r="R1296" s="45" t="n">
        <v>0</v>
      </c>
      <c r="S1296" s="45" t="n">
        <v>1251226.968124242</v>
      </c>
      <c r="T1296" s="45" t="n">
        <v>1258458.397</v>
      </c>
      <c r="U1296" s="15" t="n">
        <v>3.94</v>
      </c>
      <c r="V1296" s="15" t="n">
        <v>8.039999999999999</v>
      </c>
      <c r="W1296" s="49" t="n">
        <v>100.578</v>
      </c>
    </row>
    <row r="1297">
      <c r="A1297" s="44" t="inlineStr">
        <is>
          <t>TL Cinsi Sabit Faizli Kuponlu Senetler</t>
        </is>
      </c>
      <c r="B1297" s="44" t="n">
        <v>2014</v>
      </c>
      <c r="C1297" s="44" t="inlineStr">
        <is>
          <t>TRT240724T15</t>
        </is>
      </c>
      <c r="D1297" s="44" t="inlineStr">
        <is>
          <t>19.11.2014</t>
        </is>
      </c>
      <c r="E1297" s="44" t="inlineStr">
        <is>
          <t>24.07.2024</t>
        </is>
      </c>
      <c r="F1297" s="44" t="n">
        <v>3535</v>
      </c>
      <c r="G1297" s="44" t="inlineStr">
        <is>
          <t>6 Ay</t>
        </is>
      </c>
      <c r="H1297" s="15" t="n">
        <v>4.5</v>
      </c>
      <c r="I1297" s="45" t="n">
        <v>2116300</v>
      </c>
      <c r="J1297" s="45" t="n">
        <v>2264756.568</v>
      </c>
      <c r="K1297" s="45" t="n">
        <v>585000</v>
      </c>
      <c r="L1297" s="45" t="n">
        <v>628124.5</v>
      </c>
      <c r="M1297" s="45" t="n">
        <v>931341.5043027977</v>
      </c>
      <c r="N1297" s="45" t="n">
        <v>1000000</v>
      </c>
      <c r="O1297" s="45" t="n">
        <v>393887.6057072607</v>
      </c>
      <c r="P1297" s="45" t="n">
        <v>422925</v>
      </c>
      <c r="Q1297" s="45" t="n">
        <v>0</v>
      </c>
      <c r="R1297" s="45" t="n">
        <v>0</v>
      </c>
      <c r="S1297" s="45" t="n">
        <v>1910229.110010059</v>
      </c>
      <c r="T1297" s="45" t="n">
        <v>2051049.5</v>
      </c>
      <c r="U1297" s="15" t="n">
        <v>4.14</v>
      </c>
      <c r="V1297" s="15" t="n">
        <v>8.44</v>
      </c>
      <c r="W1297" s="49" t="n">
        <v>107.372</v>
      </c>
    </row>
    <row r="1298">
      <c r="A1298" s="44" t="inlineStr">
        <is>
          <t>TL Cinsi Sabit Faizli Kuponlu Senetler</t>
        </is>
      </c>
      <c r="B1298" s="44" t="n">
        <v>2013</v>
      </c>
      <c r="C1298" s="44" t="inlineStr">
        <is>
          <t>TRT080317T18</t>
        </is>
      </c>
      <c r="D1298" s="44" t="inlineStr">
        <is>
          <t>nan</t>
        </is>
      </c>
      <c r="E1298" s="44" t="inlineStr">
        <is>
          <t>nan</t>
        </is>
      </c>
      <c r="F1298" s="44" t="n"/>
      <c r="G1298" s="44" t="n"/>
      <c r="H1298" s="15" t="n"/>
      <c r="I1298" s="45" t="n">
        <v>10853764.55</v>
      </c>
      <c r="J1298" s="45" t="n">
        <v>12107025.83563</v>
      </c>
      <c r="K1298" s="45" t="n">
        <v>1554153</v>
      </c>
      <c r="L1298" s="45" t="n">
        <v>1738801.50763</v>
      </c>
      <c r="M1298" s="45" t="n">
        <v>536284.0875573154</v>
      </c>
      <c r="N1298" s="45" t="n">
        <v>600000</v>
      </c>
      <c r="O1298" s="45" t="n">
        <v>570512.419445661</v>
      </c>
      <c r="P1298" s="45" t="n">
        <v>638295</v>
      </c>
      <c r="Q1298" s="45" t="n">
        <v>186572.948</v>
      </c>
      <c r="R1298" s="45" t="n">
        <v>208739.67995188</v>
      </c>
      <c r="S1298" s="45" t="n">
        <v>2847522.455002976</v>
      </c>
      <c r="T1298" s="45" t="n">
        <v>3185836.18758188</v>
      </c>
      <c r="U1298" s="15" t="n">
        <v>3.26</v>
      </c>
      <c r="V1298" s="15" t="n">
        <v>6.62</v>
      </c>
      <c r="W1298" s="49" t="n">
        <v>111.881</v>
      </c>
    </row>
    <row r="1299">
      <c r="A1299" s="44" t="inlineStr">
        <is>
          <t>TL Cinsi Sabit Faizli Kuponlu Senetler</t>
        </is>
      </c>
      <c r="B1299" s="44" t="n">
        <v>2013</v>
      </c>
      <c r="C1299" s="44" t="inlineStr">
        <is>
          <t>TRT070115T13</t>
        </is>
      </c>
      <c r="D1299" s="44" t="inlineStr">
        <is>
          <t>nan</t>
        </is>
      </c>
      <c r="E1299" s="44" t="inlineStr">
        <is>
          <t>nan</t>
        </is>
      </c>
      <c r="F1299" s="44" t="n"/>
      <c r="G1299" s="44" t="n"/>
      <c r="H1299" s="15" t="n"/>
      <c r="I1299" s="45" t="n">
        <v>8854019</v>
      </c>
      <c r="J1299" s="45" t="n">
        <v>8921472.341809999</v>
      </c>
      <c r="K1299" s="45" t="n">
        <v>1189000</v>
      </c>
      <c r="L1299" s="45" t="n">
        <v>1199916.65</v>
      </c>
      <c r="M1299" s="45" t="n">
        <v>297271.0517449811</v>
      </c>
      <c r="N1299" s="45" t="n">
        <v>300000</v>
      </c>
      <c r="O1299" s="45" t="n">
        <v>818294.0605243861</v>
      </c>
      <c r="P1299" s="45" t="n">
        <v>825806</v>
      </c>
      <c r="Q1299" s="45" t="n">
        <v>168077.012</v>
      </c>
      <c r="R1299" s="45" t="n">
        <v>169619.95897016</v>
      </c>
      <c r="S1299" s="45" t="n">
        <v>2472642.124269367</v>
      </c>
      <c r="T1299" s="45" t="n">
        <v>2495342.60897016</v>
      </c>
      <c r="U1299" s="15" t="n">
        <v>3</v>
      </c>
      <c r="V1299" s="15" t="n">
        <v>6.1</v>
      </c>
      <c r="W1299" s="49" t="n">
        <v>100.918</v>
      </c>
    </row>
    <row r="1300">
      <c r="A1300" s="44" t="inlineStr">
        <is>
          <t>TL Cinsi Sabit Faizli Kuponlu Senetler</t>
        </is>
      </c>
      <c r="B1300" s="44" t="n">
        <v>2013</v>
      </c>
      <c r="C1300" s="44" t="inlineStr">
        <is>
          <t>TRT140922T17</t>
        </is>
      </c>
      <c r="D1300" s="44" t="inlineStr">
        <is>
          <t>nan</t>
        </is>
      </c>
      <c r="E1300" s="44" t="inlineStr">
        <is>
          <t>nan</t>
        </is>
      </c>
      <c r="F1300" s="44" t="n"/>
      <c r="G1300" s="44" t="n"/>
      <c r="H1300" s="15" t="n"/>
      <c r="I1300" s="45" t="n">
        <v>3667436.13</v>
      </c>
      <c r="J1300" s="45" t="n">
        <v>4219821.61989</v>
      </c>
      <c r="K1300" s="45" t="n">
        <v>1251254</v>
      </c>
      <c r="L1300" s="45" t="n">
        <v>1446843.08318</v>
      </c>
      <c r="M1300" s="45" t="n">
        <v>684937.4302738884</v>
      </c>
      <c r="N1300" s="45" t="n">
        <v>792000</v>
      </c>
      <c r="O1300" s="45" t="n">
        <v>324923.2472260899</v>
      </c>
      <c r="P1300" s="45" t="n">
        <v>375712</v>
      </c>
      <c r="Q1300" s="45" t="n">
        <v>108202.557</v>
      </c>
      <c r="R1300" s="45" t="n">
        <v>125115.69868467</v>
      </c>
      <c r="S1300" s="45" t="n">
        <v>2369317.234499978</v>
      </c>
      <c r="T1300" s="45" t="n">
        <v>2739670.78186467</v>
      </c>
      <c r="U1300" s="15" t="n">
        <v>3.32</v>
      </c>
      <c r="V1300" s="15" t="n">
        <v>6.75</v>
      </c>
      <c r="W1300" s="49" t="n">
        <v>115.631</v>
      </c>
    </row>
    <row r="1301">
      <c r="A1301" s="44" t="inlineStr">
        <is>
          <t>TL Cinsi Sabit Faizli Kuponlu Senetler</t>
        </is>
      </c>
      <c r="B1301" s="44" t="n">
        <v>2013</v>
      </c>
      <c r="C1301" s="44" t="inlineStr">
        <is>
          <t>TRT140218T10</t>
        </is>
      </c>
      <c r="D1301" s="44" t="inlineStr">
        <is>
          <t>nan</t>
        </is>
      </c>
      <c r="E1301" s="44" t="inlineStr">
        <is>
          <t>nan</t>
        </is>
      </c>
      <c r="F1301" s="44" t="n"/>
      <c r="G1301" s="44" t="n"/>
      <c r="H1301" s="15" t="n"/>
      <c r="I1301" s="45" t="n">
        <v>4965691</v>
      </c>
      <c r="J1301" s="45" t="n">
        <v>4970686.154</v>
      </c>
      <c r="K1301" s="45" t="n">
        <v>844800</v>
      </c>
      <c r="L1301" s="45" t="n">
        <v>848212.55</v>
      </c>
      <c r="M1301" s="45" t="n">
        <v>1593562.009481694</v>
      </c>
      <c r="N1301" s="45" t="n">
        <v>1600000</v>
      </c>
      <c r="O1301" s="45" t="n">
        <v>497549.8984104219</v>
      </c>
      <c r="P1301" s="45" t="n">
        <v>499560</v>
      </c>
      <c r="Q1301" s="45" t="n">
        <v>94064.97500000001</v>
      </c>
      <c r="R1301" s="45" t="n">
        <v>94444.997499</v>
      </c>
      <c r="S1301" s="45" t="n">
        <v>3029976.882892116</v>
      </c>
      <c r="T1301" s="45" t="n">
        <v>3042217.547499</v>
      </c>
      <c r="U1301" s="15" t="n">
        <v>3.1</v>
      </c>
      <c r="V1301" s="15" t="n">
        <v>6.3</v>
      </c>
      <c r="W1301" s="49" t="n">
        <v>100.404</v>
      </c>
    </row>
    <row r="1302">
      <c r="A1302" s="44" t="inlineStr">
        <is>
          <t>TL Cinsi Sabit Faizli Kuponlu Senetler</t>
        </is>
      </c>
      <c r="B1302" s="44" t="n">
        <v>2013</v>
      </c>
      <c r="C1302" s="44" t="inlineStr">
        <is>
          <t>TRT070115T13</t>
        </is>
      </c>
      <c r="D1302" s="44" t="inlineStr">
        <is>
          <t>nan</t>
        </is>
      </c>
      <c r="E1302" s="44" t="inlineStr">
        <is>
          <t>nan</t>
        </is>
      </c>
      <c r="F1302" s="44" t="n"/>
      <c r="G1302" s="44" t="n"/>
      <c r="H1302" s="15" t="n"/>
      <c r="I1302" s="45" t="n">
        <v>1439550</v>
      </c>
      <c r="J1302" s="45" t="n">
        <v>1470376.053</v>
      </c>
      <c r="K1302" s="45" t="n">
        <v>802450</v>
      </c>
      <c r="L1302" s="45" t="n">
        <v>820041.923</v>
      </c>
      <c r="M1302" s="45" t="n">
        <v>626272.1152340692</v>
      </c>
      <c r="N1302" s="45" t="n">
        <v>640000</v>
      </c>
      <c r="O1302" s="45" t="n">
        <v>762858.1493658995</v>
      </c>
      <c r="P1302" s="45" t="n">
        <v>779580</v>
      </c>
      <c r="Q1302" s="45" t="n">
        <v>114001.174</v>
      </c>
      <c r="R1302" s="45" t="n">
        <v>116500.07973408</v>
      </c>
      <c r="S1302" s="45" t="n">
        <v>2305581.438599969</v>
      </c>
      <c r="T1302" s="45" t="n">
        <v>2356122.00273408</v>
      </c>
      <c r="U1302" s="15" t="n">
        <v>2.84</v>
      </c>
      <c r="V1302" s="15" t="n">
        <v>5.76</v>
      </c>
      <c r="W1302" s="49" t="n">
        <v>102.192</v>
      </c>
    </row>
    <row r="1303">
      <c r="A1303" s="44" t="inlineStr">
        <is>
          <t>TL Cinsi Sabit Faizli Kuponlu Senetler</t>
        </is>
      </c>
      <c r="B1303" s="44" t="n">
        <v>2013</v>
      </c>
      <c r="C1303" s="44" t="inlineStr">
        <is>
          <t>TRT140922T17</t>
        </is>
      </c>
      <c r="D1303" s="44" t="inlineStr">
        <is>
          <t>nan</t>
        </is>
      </c>
      <c r="E1303" s="44" t="inlineStr">
        <is>
          <t>nan</t>
        </is>
      </c>
      <c r="F1303" s="44" t="n"/>
      <c r="G1303" s="44" t="n"/>
      <c r="H1303" s="15" t="n"/>
      <c r="I1303" s="45" t="n">
        <v>2265900</v>
      </c>
      <c r="J1303" s="45" t="n">
        <v>2616246.929</v>
      </c>
      <c r="K1303" s="45" t="n">
        <v>1179600</v>
      </c>
      <c r="L1303" s="45" t="n">
        <v>1365759.37</v>
      </c>
      <c r="M1303" s="45" t="n">
        <v>553626.6431742412</v>
      </c>
      <c r="N1303" s="45" t="n">
        <v>641000</v>
      </c>
      <c r="O1303" s="45" t="n">
        <v>416956.0035238638</v>
      </c>
      <c r="P1303" s="45" t="n">
        <v>482760</v>
      </c>
      <c r="Q1303" s="45" t="n">
        <v>0</v>
      </c>
      <c r="R1303" s="45" t="n">
        <v>0</v>
      </c>
      <c r="S1303" s="45" t="n">
        <v>2150182.646698105</v>
      </c>
      <c r="T1303" s="45" t="n">
        <v>2489519.37</v>
      </c>
      <c r="U1303" s="15" t="n">
        <v>3.37</v>
      </c>
      <c r="V1303" s="15" t="n">
        <v>6.84</v>
      </c>
      <c r="W1303" s="49" t="n">
        <v>115.782</v>
      </c>
    </row>
    <row r="1304">
      <c r="A1304" s="44" t="inlineStr">
        <is>
          <t>TL Cinsi Sabit Faizli Kuponlu Senetler</t>
        </is>
      </c>
      <c r="B1304" s="44" t="n">
        <v>2013</v>
      </c>
      <c r="C1304" s="44" t="inlineStr">
        <is>
          <t>TRT140218T10</t>
        </is>
      </c>
      <c r="D1304" s="44" t="inlineStr">
        <is>
          <t>nan</t>
        </is>
      </c>
      <c r="E1304" s="44" t="inlineStr">
        <is>
          <t>nan</t>
        </is>
      </c>
      <c r="F1304" s="44" t="n"/>
      <c r="G1304" s="44" t="n"/>
      <c r="H1304" s="15" t="n"/>
      <c r="I1304" s="45" t="n">
        <v>2192900</v>
      </c>
      <c r="J1304" s="45" t="n">
        <v>2182819.276</v>
      </c>
      <c r="K1304" s="45" t="n">
        <v>688600</v>
      </c>
      <c r="L1304" s="45" t="n">
        <v>687845.5060000001</v>
      </c>
      <c r="M1304" s="45" t="n">
        <v>0</v>
      </c>
      <c r="N1304" s="45" t="n">
        <v>0</v>
      </c>
      <c r="O1304" s="45" t="n">
        <v>677745.5200720793</v>
      </c>
      <c r="P1304" s="45" t="n">
        <v>677000</v>
      </c>
      <c r="Q1304" s="45" t="n">
        <v>0</v>
      </c>
      <c r="R1304" s="45" t="n">
        <v>0</v>
      </c>
      <c r="S1304" s="45" t="n">
        <v>1366345.520072079</v>
      </c>
      <c r="T1304" s="45" t="n">
        <v>1364845.506</v>
      </c>
      <c r="U1304" s="15" t="n">
        <v>3.22</v>
      </c>
      <c r="V1304" s="15" t="n">
        <v>6.54</v>
      </c>
      <c r="W1304" s="49" t="n">
        <v>99.89</v>
      </c>
    </row>
    <row r="1305">
      <c r="A1305" s="44" t="inlineStr">
        <is>
          <t>TL Cinsi Sabit Faizli Kuponlu Senetler</t>
        </is>
      </c>
      <c r="B1305" s="44" t="n">
        <v>2013</v>
      </c>
      <c r="C1305" s="44" t="inlineStr">
        <is>
          <t>TRT070115T13</t>
        </is>
      </c>
      <c r="D1305" s="44" t="inlineStr">
        <is>
          <t>nan</t>
        </is>
      </c>
      <c r="E1305" s="44" t="inlineStr">
        <is>
          <t>nan</t>
        </is>
      </c>
      <c r="F1305" s="44" t="n"/>
      <c r="G1305" s="44" t="n"/>
      <c r="H1305" s="15" t="n"/>
      <c r="I1305" s="45" t="n">
        <v>1609303</v>
      </c>
      <c r="J1305" s="45" t="n">
        <v>1640006.345</v>
      </c>
      <c r="K1305" s="45" t="n">
        <v>1177600</v>
      </c>
      <c r="L1305" s="45" t="n">
        <v>1200515.04</v>
      </c>
      <c r="M1305" s="45" t="n">
        <v>0</v>
      </c>
      <c r="N1305" s="45" t="n">
        <v>0</v>
      </c>
      <c r="O1305" s="45" t="n">
        <v>474000.9416750044</v>
      </c>
      <c r="P1305" s="45" t="n">
        <v>483225</v>
      </c>
      <c r="Q1305" s="45" t="n">
        <v>0</v>
      </c>
      <c r="R1305" s="45" t="n">
        <v>0</v>
      </c>
      <c r="S1305" s="45" t="n">
        <v>1651600.941675004</v>
      </c>
      <c r="T1305" s="45" t="n">
        <v>1683740.04</v>
      </c>
      <c r="U1305" s="15" t="n">
        <v>3.04</v>
      </c>
      <c r="V1305" s="15" t="n">
        <v>6.17</v>
      </c>
      <c r="W1305" s="49" t="n">
        <v>101.946</v>
      </c>
    </row>
    <row r="1306">
      <c r="A1306" s="44" t="inlineStr">
        <is>
          <t>TL Cinsi Sabit Faizli Kuponlu Senetler</t>
        </is>
      </c>
      <c r="B1306" s="44" t="n">
        <v>2013</v>
      </c>
      <c r="C1306" s="44" t="inlineStr">
        <is>
          <t>TRT080323T10</t>
        </is>
      </c>
      <c r="D1306" s="44" t="inlineStr">
        <is>
          <t>nan</t>
        </is>
      </c>
      <c r="E1306" s="44" t="inlineStr">
        <is>
          <t>nan</t>
        </is>
      </c>
      <c r="F1306" s="44" t="n"/>
      <c r="G1306" s="44" t="n"/>
      <c r="H1306" s="15" t="n"/>
      <c r="I1306" s="45" t="n">
        <v>3208300</v>
      </c>
      <c r="J1306" s="45" t="n">
        <v>3190045.32</v>
      </c>
      <c r="K1306" s="45" t="n">
        <v>1671600</v>
      </c>
      <c r="L1306" s="45" t="n">
        <v>1670980.73</v>
      </c>
      <c r="M1306" s="45" t="n">
        <v>0</v>
      </c>
      <c r="N1306" s="45" t="n">
        <v>0</v>
      </c>
      <c r="O1306" s="45" t="n">
        <v>523993.8777347619</v>
      </c>
      <c r="P1306" s="45" t="n">
        <v>523800</v>
      </c>
      <c r="Q1306" s="45" t="n">
        <v>0</v>
      </c>
      <c r="R1306" s="45" t="n">
        <v>0</v>
      </c>
      <c r="S1306" s="45" t="n">
        <v>2195593.877734762</v>
      </c>
      <c r="T1306" s="45" t="n">
        <v>2194780.73</v>
      </c>
      <c r="U1306" s="15" t="n">
        <v>3.55</v>
      </c>
      <c r="V1306" s="15" t="n">
        <v>7.23</v>
      </c>
      <c r="W1306" s="49" t="n">
        <v>99.96299999999999</v>
      </c>
    </row>
    <row r="1307">
      <c r="A1307" s="44" t="inlineStr">
        <is>
          <t>TL Cinsi Sabit Faizli Kuponlu Senetler</t>
        </is>
      </c>
      <c r="B1307" s="44" t="n">
        <v>2013</v>
      </c>
      <c r="C1307" s="44" t="inlineStr">
        <is>
          <t>TRT080323T10</t>
        </is>
      </c>
      <c r="D1307" s="44" t="inlineStr">
        <is>
          <t>nan</t>
        </is>
      </c>
      <c r="E1307" s="44" t="inlineStr">
        <is>
          <t>nan</t>
        </is>
      </c>
      <c r="F1307" s="44" t="n"/>
      <c r="G1307" s="44" t="n"/>
      <c r="H1307" s="15" t="n"/>
      <c r="I1307" s="45" t="n">
        <v>3684361.691</v>
      </c>
      <c r="J1307" s="45" t="n">
        <v>3671610.40146</v>
      </c>
      <c r="K1307" s="45" t="n">
        <v>1504661.691</v>
      </c>
      <c r="L1307" s="45" t="n">
        <v>1504265.76646</v>
      </c>
      <c r="M1307" s="45" t="n">
        <v>0</v>
      </c>
      <c r="N1307" s="45" t="n">
        <v>0</v>
      </c>
      <c r="O1307" s="45" t="n">
        <v>829415.6480684979</v>
      </c>
      <c r="P1307" s="45" t="n">
        <v>829200</v>
      </c>
      <c r="Q1307" s="45" t="n">
        <v>272408.551</v>
      </c>
      <c r="R1307" s="45" t="n">
        <v>272337.72477674</v>
      </c>
      <c r="S1307" s="45" t="n">
        <v>2606485.890068498</v>
      </c>
      <c r="T1307" s="45" t="n">
        <v>2605803.49123674</v>
      </c>
      <c r="U1307" s="15" t="n">
        <v>3.57</v>
      </c>
      <c r="V1307" s="15" t="n">
        <v>7.27</v>
      </c>
      <c r="W1307" s="49" t="n">
        <v>99.974</v>
      </c>
    </row>
    <row r="1308">
      <c r="A1308" s="44" t="inlineStr">
        <is>
          <t>TL Cinsi Sabit Faizli Kuponlu Senetler</t>
        </is>
      </c>
      <c r="B1308" s="44" t="n">
        <v>2013</v>
      </c>
      <c r="C1308" s="44" t="inlineStr">
        <is>
          <t>TRT140218T10</t>
        </is>
      </c>
      <c r="D1308" s="44" t="inlineStr">
        <is>
          <t>nan</t>
        </is>
      </c>
      <c r="E1308" s="44" t="inlineStr">
        <is>
          <t>nan</t>
        </is>
      </c>
      <c r="F1308" s="44" t="n"/>
      <c r="G1308" s="44" t="n"/>
      <c r="H1308" s="15" t="n"/>
      <c r="I1308" s="45" t="n">
        <v>5801650</v>
      </c>
      <c r="J1308" s="45" t="n">
        <v>5824514.361</v>
      </c>
      <c r="K1308" s="45" t="n">
        <v>1742000</v>
      </c>
      <c r="L1308" s="45" t="n">
        <v>1758190.65</v>
      </c>
      <c r="M1308" s="45" t="n">
        <v>0</v>
      </c>
      <c r="N1308" s="45" t="n">
        <v>0</v>
      </c>
      <c r="O1308" s="45" t="n">
        <v>1310554.944564991</v>
      </c>
      <c r="P1308" s="45" t="n">
        <v>1322730</v>
      </c>
      <c r="Q1308" s="45" t="n">
        <v>399400</v>
      </c>
      <c r="R1308" s="45" t="n">
        <v>403110.426</v>
      </c>
      <c r="S1308" s="45" t="n">
        <v>3451954.944564991</v>
      </c>
      <c r="T1308" s="45" t="n">
        <v>3484031.076</v>
      </c>
      <c r="U1308" s="15" t="n">
        <v>3.14</v>
      </c>
      <c r="V1308" s="15" t="n">
        <v>6.38</v>
      </c>
      <c r="W1308" s="49" t="n">
        <v>100.929</v>
      </c>
    </row>
    <row r="1309">
      <c r="A1309" s="44" t="inlineStr">
        <is>
          <t>TL Cinsi Sabit Faizli Kuponlu Senetler</t>
        </is>
      </c>
      <c r="B1309" s="44" t="n">
        <v>2013</v>
      </c>
      <c r="C1309" s="44" t="inlineStr">
        <is>
          <t>TRT070115T13</t>
        </is>
      </c>
      <c r="D1309" s="44" t="inlineStr">
        <is>
          <t>nan</t>
        </is>
      </c>
      <c r="E1309" s="44" t="inlineStr">
        <is>
          <t>nan</t>
        </is>
      </c>
      <c r="F1309" s="44" t="n"/>
      <c r="G1309" s="44" t="n"/>
      <c r="H1309" s="15" t="n"/>
      <c r="I1309" s="45" t="n">
        <v>2485175</v>
      </c>
      <c r="J1309" s="45" t="n">
        <v>2547717.12375</v>
      </c>
      <c r="K1309" s="45" t="n">
        <v>706375</v>
      </c>
      <c r="L1309" s="45" t="n">
        <v>724868.06375</v>
      </c>
      <c r="M1309" s="45" t="n">
        <v>277729.0533824476</v>
      </c>
      <c r="N1309" s="45" t="n">
        <v>285000</v>
      </c>
      <c r="O1309" s="45" t="n">
        <v>936482.878247481</v>
      </c>
      <c r="P1309" s="45" t="n">
        <v>961000</v>
      </c>
      <c r="Q1309" s="45" t="n">
        <v>140001.051</v>
      </c>
      <c r="R1309" s="45" t="n">
        <v>143666.27851518</v>
      </c>
      <c r="S1309" s="45" t="n">
        <v>2060587.982629929</v>
      </c>
      <c r="T1309" s="45" t="n">
        <v>2114534.34226518</v>
      </c>
      <c r="U1309" s="15" t="n">
        <v>2.94</v>
      </c>
      <c r="V1309" s="15" t="n">
        <v>5.97</v>
      </c>
      <c r="W1309" s="49" t="n">
        <v>102.618</v>
      </c>
    </row>
    <row r="1310">
      <c r="A1310" s="44" t="inlineStr">
        <is>
          <t>TL Cinsi Sabit Faizli Kuponlu Senetler</t>
        </is>
      </c>
      <c r="B1310" s="44" t="n">
        <v>2013</v>
      </c>
      <c r="C1310" s="44" t="inlineStr">
        <is>
          <t>TRT140218T10</t>
        </is>
      </c>
      <c r="D1310" s="44" t="inlineStr">
        <is>
          <t>nan</t>
        </is>
      </c>
      <c r="E1310" s="44" t="inlineStr">
        <is>
          <t>nan</t>
        </is>
      </c>
      <c r="F1310" s="44" t="n"/>
      <c r="G1310" s="44" t="n"/>
      <c r="H1310" s="15" t="n"/>
      <c r="I1310" s="45" t="n">
        <v>5997200</v>
      </c>
      <c r="J1310" s="45" t="n">
        <v>6186267.231</v>
      </c>
      <c r="K1310" s="45" t="n">
        <v>2826000</v>
      </c>
      <c r="L1310" s="45" t="n">
        <v>2920036.38</v>
      </c>
      <c r="M1310" s="45" t="n">
        <v>329049.2412511614</v>
      </c>
      <c r="N1310" s="45" t="n">
        <v>340000</v>
      </c>
      <c r="O1310" s="45" t="n">
        <v>1016181.480334469</v>
      </c>
      <c r="P1310" s="45" t="n">
        <v>1050000</v>
      </c>
      <c r="Q1310" s="45" t="n">
        <v>798600</v>
      </c>
      <c r="R1310" s="45" t="n">
        <v>825177.4079999999</v>
      </c>
      <c r="S1310" s="45" t="n">
        <v>4969830.72158563</v>
      </c>
      <c r="T1310" s="45" t="n">
        <v>5135213.788</v>
      </c>
      <c r="U1310" s="15" t="n">
        <v>2.92</v>
      </c>
      <c r="V1310" s="15" t="n">
        <v>5.93</v>
      </c>
      <c r="W1310" s="49" t="n">
        <v>103.328</v>
      </c>
    </row>
    <row r="1311">
      <c r="A1311" s="44" t="inlineStr">
        <is>
          <t>TL Cinsi Sabit Faizli Kuponlu Senetler</t>
        </is>
      </c>
      <c r="B1311" s="44" t="n">
        <v>2013</v>
      </c>
      <c r="C1311" s="44" t="inlineStr">
        <is>
          <t>TRT130515T11</t>
        </is>
      </c>
      <c r="D1311" s="44" t="inlineStr">
        <is>
          <t>nan</t>
        </is>
      </c>
      <c r="E1311" s="44" t="inlineStr">
        <is>
          <t>nan</t>
        </is>
      </c>
      <c r="F1311" s="44" t="n"/>
      <c r="G1311" s="44" t="n"/>
      <c r="H1311" s="15" t="n"/>
      <c r="I1311" s="45" t="n">
        <v>2783401.2</v>
      </c>
      <c r="J1311" s="45" t="n">
        <v>2784231.80091</v>
      </c>
      <c r="K1311" s="45" t="n">
        <v>1729100</v>
      </c>
      <c r="L1311" s="45" t="n">
        <v>1730665.595</v>
      </c>
      <c r="M1311" s="45" t="n">
        <v>0</v>
      </c>
      <c r="N1311" s="45" t="n">
        <v>0</v>
      </c>
      <c r="O1311" s="45" t="n">
        <v>962730.0728337213</v>
      </c>
      <c r="P1311" s="45" t="n">
        <v>963606.1571999999</v>
      </c>
      <c r="Q1311" s="45" t="n">
        <v>0</v>
      </c>
      <c r="R1311" s="45" t="n">
        <v>0</v>
      </c>
      <c r="S1311" s="45" t="n">
        <v>2691830.072833722</v>
      </c>
      <c r="T1311" s="45" t="n">
        <v>2694271.7522</v>
      </c>
      <c r="U1311" s="15" t="n">
        <v>2.48</v>
      </c>
      <c r="V1311" s="15" t="n">
        <v>5.01</v>
      </c>
      <c r="W1311" s="49" t="n">
        <v>100.091</v>
      </c>
    </row>
    <row r="1312">
      <c r="A1312" s="44" t="inlineStr">
        <is>
          <t>TL Cinsi Sabit Faizli Kuponlu Senetler</t>
        </is>
      </c>
      <c r="B1312" s="44" t="n">
        <v>2013</v>
      </c>
      <c r="C1312" s="44" t="inlineStr">
        <is>
          <t>TRT080323T10</t>
        </is>
      </c>
      <c r="D1312" s="44" t="inlineStr">
        <is>
          <t>nan</t>
        </is>
      </c>
      <c r="E1312" s="44" t="inlineStr">
        <is>
          <t>nan</t>
        </is>
      </c>
      <c r="F1312" s="44" t="n"/>
      <c r="G1312" s="44" t="n"/>
      <c r="H1312" s="15" t="n"/>
      <c r="I1312" s="45" t="n">
        <v>1621200</v>
      </c>
      <c r="J1312" s="45" t="n">
        <v>1743858.967</v>
      </c>
      <c r="K1312" s="45" t="n">
        <v>955600</v>
      </c>
      <c r="L1312" s="45" t="n">
        <v>1030199.763</v>
      </c>
      <c r="M1312" s="45" t="n">
        <v>0</v>
      </c>
      <c r="N1312" s="45" t="n">
        <v>0</v>
      </c>
      <c r="O1312" s="45" t="n">
        <v>620831.6714128024</v>
      </c>
      <c r="P1312" s="45" t="n">
        <v>669300</v>
      </c>
      <c r="Q1312" s="45" t="n">
        <v>0</v>
      </c>
      <c r="R1312" s="45" t="n">
        <v>0</v>
      </c>
      <c r="S1312" s="45" t="n">
        <v>1576431.671412802</v>
      </c>
      <c r="T1312" s="45" t="n">
        <v>1699499.763</v>
      </c>
      <c r="U1312" s="15" t="n">
        <v>3.09</v>
      </c>
      <c r="V1312" s="15" t="n">
        <v>6.27</v>
      </c>
      <c r="W1312" s="49" t="n">
        <v>107.807</v>
      </c>
    </row>
    <row r="1313">
      <c r="A1313" s="44" t="inlineStr">
        <is>
          <t>TL Cinsi Sabit Faizli Kuponlu Senetler</t>
        </is>
      </c>
      <c r="B1313" s="44" t="n">
        <v>2013</v>
      </c>
      <c r="C1313" s="44" t="inlineStr">
        <is>
          <t>TRT200618T18</t>
        </is>
      </c>
      <c r="D1313" s="44" t="inlineStr">
        <is>
          <t>nan</t>
        </is>
      </c>
      <c r="E1313" s="44" t="inlineStr">
        <is>
          <t>nan</t>
        </is>
      </c>
      <c r="F1313" s="44" t="n"/>
      <c r="G1313" s="44" t="n"/>
      <c r="H1313" s="15" t="n"/>
      <c r="I1313" s="45" t="n">
        <v>1588000</v>
      </c>
      <c r="J1313" s="45" t="n">
        <v>1557182.437</v>
      </c>
      <c r="K1313" s="45" t="n">
        <v>1245600</v>
      </c>
      <c r="L1313" s="45" t="n">
        <v>1223674.427</v>
      </c>
      <c r="M1313" s="45" t="n">
        <v>91612.37785016287</v>
      </c>
      <c r="N1313" s="45" t="n">
        <v>90000</v>
      </c>
      <c r="O1313" s="45" t="n">
        <v>1016897.394136808</v>
      </c>
      <c r="P1313" s="45" t="n">
        <v>999000</v>
      </c>
      <c r="Q1313" s="45" t="n">
        <v>118871.644</v>
      </c>
      <c r="R1313" s="45" t="n">
        <v>116779.5030656</v>
      </c>
      <c r="S1313" s="45" t="n">
        <v>2472981.415986971</v>
      </c>
      <c r="T1313" s="45" t="n">
        <v>2429453.9300656</v>
      </c>
      <c r="U1313" s="15" t="n">
        <v>4.37</v>
      </c>
      <c r="V1313" s="15" t="n">
        <v>8.93</v>
      </c>
      <c r="W1313" s="49" t="n">
        <v>98.23999999999999</v>
      </c>
    </row>
    <row r="1314">
      <c r="A1314" s="44" t="inlineStr">
        <is>
          <t>TL Cinsi Sabit Faizli Kuponlu Senetler</t>
        </is>
      </c>
      <c r="B1314" s="44" t="n">
        <v>2013</v>
      </c>
      <c r="C1314" s="44" t="inlineStr">
        <is>
          <t>TRT130515T11</t>
        </is>
      </c>
      <c r="D1314" s="44" t="inlineStr">
        <is>
          <t>nan</t>
        </is>
      </c>
      <c r="E1314" s="44" t="inlineStr">
        <is>
          <t>nan</t>
        </is>
      </c>
      <c r="F1314" s="44" t="n"/>
      <c r="G1314" s="44" t="n"/>
      <c r="H1314" s="15" t="n"/>
      <c r="I1314" s="45" t="n">
        <v>1724880.625</v>
      </c>
      <c r="J1314" s="45" t="n">
        <v>1644374.01631</v>
      </c>
      <c r="K1314" s="45" t="n">
        <v>835530</v>
      </c>
      <c r="L1314" s="45" t="n">
        <v>797752.6344</v>
      </c>
      <c r="M1314" s="45" t="n">
        <v>0</v>
      </c>
      <c r="N1314" s="45" t="n">
        <v>0</v>
      </c>
      <c r="O1314" s="45" t="n">
        <v>815100.7027723374</v>
      </c>
      <c r="P1314" s="45" t="n">
        <v>778250</v>
      </c>
      <c r="Q1314" s="45" t="n">
        <v>0</v>
      </c>
      <c r="R1314" s="45" t="n">
        <v>0</v>
      </c>
      <c r="S1314" s="45" t="n">
        <v>1650630.702772337</v>
      </c>
      <c r="T1314" s="45" t="n">
        <v>1576002.6344</v>
      </c>
      <c r="U1314" s="15" t="n">
        <v>3.98</v>
      </c>
      <c r="V1314" s="15" t="n">
        <v>8.119999999999999</v>
      </c>
      <c r="W1314" s="49" t="n">
        <v>95.479</v>
      </c>
    </row>
    <row r="1315">
      <c r="A1315" s="44" t="inlineStr">
        <is>
          <t>TL Cinsi Sabit Faizli Kuponlu Senetler</t>
        </is>
      </c>
      <c r="B1315" s="44" t="n">
        <v>2013</v>
      </c>
      <c r="C1315" s="44" t="inlineStr">
        <is>
          <t>TRT080323T10</t>
        </is>
      </c>
      <c r="D1315" s="44" t="inlineStr">
        <is>
          <t>nan</t>
        </is>
      </c>
      <c r="E1315" s="44" t="inlineStr">
        <is>
          <t>nan</t>
        </is>
      </c>
      <c r="F1315" s="44" t="n"/>
      <c r="G1315" s="44" t="n"/>
      <c r="H1315" s="15" t="n"/>
      <c r="I1315" s="45" t="n">
        <v>2036970.64</v>
      </c>
      <c r="J1315" s="45" t="n">
        <v>1868423.97221</v>
      </c>
      <c r="K1315" s="45" t="n">
        <v>784870</v>
      </c>
      <c r="L1315" s="45" t="n">
        <v>723452.1524</v>
      </c>
      <c r="M1315" s="45" t="n">
        <v>1627339.300244101</v>
      </c>
      <c r="N1315" s="45" t="n">
        <v>1500000</v>
      </c>
      <c r="O1315" s="45" t="n">
        <v>521041.4971521563</v>
      </c>
      <c r="P1315" s="45" t="n">
        <v>480270</v>
      </c>
      <c r="Q1315" s="45" t="n">
        <v>52962.328</v>
      </c>
      <c r="R1315" s="45" t="n">
        <v>48818.025834</v>
      </c>
      <c r="S1315" s="45" t="n">
        <v>2986213.125396257</v>
      </c>
      <c r="T1315" s="45" t="n">
        <v>2752540.178234</v>
      </c>
      <c r="U1315" s="15" t="n">
        <v>4.3</v>
      </c>
      <c r="V1315" s="15" t="n">
        <v>8.779999999999999</v>
      </c>
      <c r="W1315" s="49" t="n">
        <v>92.175</v>
      </c>
    </row>
    <row r="1316">
      <c r="A1316" s="44" t="inlineStr">
        <is>
          <t>TL Cinsi Sabit Faizli Kuponlu Senetler</t>
        </is>
      </c>
      <c r="B1316" s="44" t="n">
        <v>2013</v>
      </c>
      <c r="C1316" s="44" t="inlineStr">
        <is>
          <t>TRT200618T18</t>
        </is>
      </c>
      <c r="D1316" s="44" t="inlineStr">
        <is>
          <t>nan</t>
        </is>
      </c>
      <c r="E1316" s="44" t="inlineStr">
        <is>
          <t>nan</t>
        </is>
      </c>
      <c r="F1316" s="44" t="n"/>
      <c r="G1316" s="44" t="n"/>
      <c r="H1316" s="15" t="n"/>
      <c r="I1316" s="45" t="n">
        <v>2799415</v>
      </c>
      <c r="J1316" s="45" t="n">
        <v>2730795.95445</v>
      </c>
      <c r="K1316" s="45" t="n">
        <v>1464800</v>
      </c>
      <c r="L1316" s="45" t="n">
        <v>1435800.488</v>
      </c>
      <c r="M1316" s="45" t="n">
        <v>714139.9714344012</v>
      </c>
      <c r="N1316" s="45" t="n">
        <v>700000</v>
      </c>
      <c r="O1316" s="45" t="n">
        <v>1273046.317078147</v>
      </c>
      <c r="P1316" s="45" t="n">
        <v>1247840</v>
      </c>
      <c r="Q1316" s="45" t="n">
        <v>272974.762</v>
      </c>
      <c r="R1316" s="45" t="n">
        <v>267569.8617124</v>
      </c>
      <c r="S1316" s="45" t="n">
        <v>3724961.050512549</v>
      </c>
      <c r="T1316" s="45" t="n">
        <v>3651210.3497124</v>
      </c>
      <c r="U1316" s="15" t="n">
        <v>4.46</v>
      </c>
      <c r="V1316" s="15" t="n">
        <v>9.119999999999999</v>
      </c>
      <c r="W1316" s="49" t="n">
        <v>98.02</v>
      </c>
    </row>
    <row r="1317">
      <c r="A1317" s="44" t="inlineStr">
        <is>
          <t>TL Cinsi Sabit Faizli Kuponlu Senetler</t>
        </is>
      </c>
      <c r="B1317" s="44" t="n">
        <v>2013</v>
      </c>
      <c r="C1317" s="44" t="inlineStr">
        <is>
          <t>TRT130515T11</t>
        </is>
      </c>
      <c r="D1317" s="44" t="inlineStr">
        <is>
          <t>nan</t>
        </is>
      </c>
      <c r="E1317" s="44" t="inlineStr">
        <is>
          <t>nan</t>
        </is>
      </c>
      <c r="F1317" s="44" t="n"/>
      <c r="G1317" s="44" t="n"/>
      <c r="H1317" s="15" t="n"/>
      <c r="I1317" s="45" t="n">
        <v>1777465.43</v>
      </c>
      <c r="J1317" s="45" t="n">
        <v>1678618.84864</v>
      </c>
      <c r="K1317" s="45" t="n">
        <v>811050</v>
      </c>
      <c r="L1317" s="45" t="n">
        <v>767077.968</v>
      </c>
      <c r="M1317" s="45" t="n">
        <v>0</v>
      </c>
      <c r="N1317" s="45" t="n">
        <v>0</v>
      </c>
      <c r="O1317" s="45" t="n">
        <v>942462.8349087525</v>
      </c>
      <c r="P1317" s="45" t="n">
        <v>891362.5</v>
      </c>
      <c r="Q1317" s="45" t="n">
        <v>91231.875</v>
      </c>
      <c r="R1317" s="45" t="n">
        <v>86285.28273749999</v>
      </c>
      <c r="S1317" s="45" t="n">
        <v>1844744.709908752</v>
      </c>
      <c r="T1317" s="45" t="n">
        <v>1744725.7507375</v>
      </c>
      <c r="U1317" s="15" t="n">
        <v>4.4</v>
      </c>
      <c r="V1317" s="15" t="n">
        <v>8.99</v>
      </c>
      <c r="W1317" s="49" t="n">
        <v>94.578</v>
      </c>
    </row>
    <row r="1318">
      <c r="A1318" s="44" t="inlineStr">
        <is>
          <t>TL Cinsi Sabit Faizli Kuponlu Senetler</t>
        </is>
      </c>
      <c r="B1318" s="44" t="n">
        <v>2013</v>
      </c>
      <c r="C1318" s="44" t="inlineStr">
        <is>
          <t>TRT080323T10</t>
        </is>
      </c>
      <c r="D1318" s="44" t="inlineStr">
        <is>
          <t>nan</t>
        </is>
      </c>
      <c r="E1318" s="44" t="inlineStr">
        <is>
          <t>nan</t>
        </is>
      </c>
      <c r="F1318" s="44" t="n"/>
      <c r="G1318" s="44" t="n"/>
      <c r="H1318" s="15" t="n"/>
      <c r="I1318" s="45" t="n">
        <v>2987600</v>
      </c>
      <c r="J1318" s="45" t="n">
        <v>2714033.896</v>
      </c>
      <c r="K1318" s="45" t="n">
        <v>1567060</v>
      </c>
      <c r="L1318" s="45" t="n">
        <v>1428424.5682</v>
      </c>
      <c r="M1318" s="45" t="n">
        <v>578148.8266979693</v>
      </c>
      <c r="N1318" s="45" t="n">
        <v>527000</v>
      </c>
      <c r="O1318" s="45" t="n">
        <v>736810.6370607659</v>
      </c>
      <c r="P1318" s="45" t="n">
        <v>671625</v>
      </c>
      <c r="Q1318" s="45" t="n">
        <v>226441.73</v>
      </c>
      <c r="R1318" s="45" t="n">
        <v>206408.4301469</v>
      </c>
      <c r="S1318" s="45" t="n">
        <v>3108461.193758735</v>
      </c>
      <c r="T1318" s="45" t="n">
        <v>2833457.9983469</v>
      </c>
      <c r="U1318" s="15" t="n">
        <v>4.42</v>
      </c>
      <c r="V1318" s="15" t="n">
        <v>9.029999999999999</v>
      </c>
      <c r="W1318" s="49" t="n">
        <v>91.15300000000001</v>
      </c>
    </row>
    <row r="1319">
      <c r="A1319" s="44" t="inlineStr">
        <is>
          <t>TL Cinsi Sabit Faizli Kuponlu Senetler</t>
        </is>
      </c>
      <c r="B1319" s="44" t="n">
        <v>2013</v>
      </c>
      <c r="C1319" s="44" t="inlineStr">
        <is>
          <t>TRT200618T18</t>
        </is>
      </c>
      <c r="D1319" s="44" t="inlineStr">
        <is>
          <t>nan</t>
        </is>
      </c>
      <c r="E1319" s="44" t="inlineStr">
        <is>
          <t>nan</t>
        </is>
      </c>
      <c r="F1319" s="44" t="n"/>
      <c r="G1319" s="44" t="n"/>
      <c r="H1319" s="15" t="n"/>
      <c r="I1319" s="45" t="n">
        <v>1078554.75</v>
      </c>
      <c r="J1319" s="45" t="n">
        <v>1064871.25875</v>
      </c>
      <c r="K1319" s="45" t="n">
        <v>391000</v>
      </c>
      <c r="L1319" s="45" t="n">
        <v>386959.77</v>
      </c>
      <c r="M1319" s="45" t="n">
        <v>424383.8855376034</v>
      </c>
      <c r="N1319" s="45" t="n">
        <v>420000</v>
      </c>
      <c r="O1319" s="45" t="n">
        <v>728020.4512615316</v>
      </c>
      <c r="P1319" s="45" t="n">
        <v>720500</v>
      </c>
      <c r="Q1319" s="45" t="n">
        <v>0</v>
      </c>
      <c r="R1319" s="45" t="n">
        <v>0</v>
      </c>
      <c r="S1319" s="45" t="n">
        <v>1543404.336799135</v>
      </c>
      <c r="T1319" s="45" t="n">
        <v>1527459.77</v>
      </c>
      <c r="U1319" s="15" t="n">
        <v>4.42</v>
      </c>
      <c r="V1319" s="15" t="n">
        <v>9.039999999999999</v>
      </c>
      <c r="W1319" s="49" t="n">
        <v>98.967</v>
      </c>
    </row>
    <row r="1320">
      <c r="A1320" s="44" t="inlineStr">
        <is>
          <t>TL Cinsi Sabit Faizli Kuponlu Senetler</t>
        </is>
      </c>
      <c r="B1320" s="44" t="n">
        <v>2013</v>
      </c>
      <c r="C1320" s="44" t="inlineStr">
        <is>
          <t>TRT130515T11</t>
        </is>
      </c>
      <c r="D1320" s="44" t="inlineStr">
        <is>
          <t>nan</t>
        </is>
      </c>
      <c r="E1320" s="44" t="inlineStr">
        <is>
          <t>nan</t>
        </is>
      </c>
      <c r="F1320" s="44" t="n"/>
      <c r="G1320" s="44" t="n"/>
      <c r="H1320" s="15" t="n"/>
      <c r="I1320" s="45" t="n">
        <v>1076508.41</v>
      </c>
      <c r="J1320" s="45" t="n">
        <v>1023076.1495</v>
      </c>
      <c r="K1320" s="45" t="n">
        <v>556500</v>
      </c>
      <c r="L1320" s="45" t="n">
        <v>529539.77</v>
      </c>
      <c r="M1320" s="45" t="n">
        <v>140822.8679522884</v>
      </c>
      <c r="N1320" s="45" t="n">
        <v>134000</v>
      </c>
      <c r="O1320" s="45" t="n">
        <v>862172.2452840102</v>
      </c>
      <c r="P1320" s="45" t="n">
        <v>820400</v>
      </c>
      <c r="Q1320" s="45" t="n">
        <v>0</v>
      </c>
      <c r="R1320" s="45" t="n">
        <v>0</v>
      </c>
      <c r="S1320" s="45" t="n">
        <v>1559495.113236299</v>
      </c>
      <c r="T1320" s="45" t="n">
        <v>1483939.77</v>
      </c>
      <c r="U1320" s="15" t="n">
        <v>4.41</v>
      </c>
      <c r="V1320" s="15" t="n">
        <v>9.02</v>
      </c>
      <c r="W1320" s="49" t="n">
        <v>95.155</v>
      </c>
    </row>
    <row r="1321">
      <c r="A1321" s="44" t="inlineStr">
        <is>
          <t>TL Cinsi Sabit Faizli Kuponlu Senetler</t>
        </is>
      </c>
      <c r="B1321" s="44" t="n">
        <v>2013</v>
      </c>
      <c r="C1321" s="44" t="inlineStr">
        <is>
          <t>TRT080323T10</t>
        </is>
      </c>
      <c r="D1321" s="44" t="inlineStr">
        <is>
          <t>nan</t>
        </is>
      </c>
      <c r="E1321" s="44" t="inlineStr">
        <is>
          <t>nan</t>
        </is>
      </c>
      <c r="F1321" s="44" t="n"/>
      <c r="G1321" s="44" t="n"/>
      <c r="H1321" s="15" t="n"/>
      <c r="I1321" s="45" t="n">
        <v>1615803.29</v>
      </c>
      <c r="J1321" s="45" t="n">
        <v>1458459.8179</v>
      </c>
      <c r="K1321" s="45" t="n">
        <v>821703.29</v>
      </c>
      <c r="L1321" s="45" t="n">
        <v>744535.6509</v>
      </c>
      <c r="M1321" s="45" t="n">
        <v>331092.937787637</v>
      </c>
      <c r="N1321" s="45" t="n">
        <v>300000</v>
      </c>
      <c r="O1321" s="45" t="n">
        <v>688342.2176604973</v>
      </c>
      <c r="P1321" s="45" t="n">
        <v>623700</v>
      </c>
      <c r="Q1321" s="45" t="n">
        <v>0</v>
      </c>
      <c r="R1321" s="45" t="n">
        <v>0</v>
      </c>
      <c r="S1321" s="45" t="n">
        <v>1841138.445448135</v>
      </c>
      <c r="T1321" s="45" t="n">
        <v>1668235.6509</v>
      </c>
      <c r="U1321" s="15" t="n">
        <v>4.52</v>
      </c>
      <c r="V1321" s="15" t="n">
        <v>9.24</v>
      </c>
      <c r="W1321" s="49" t="n">
        <v>90.60899999999999</v>
      </c>
    </row>
    <row r="1322">
      <c r="A1322" s="44" t="inlineStr">
        <is>
          <t>TL Cinsi Sabit Faizli Kuponlu Senetler</t>
        </is>
      </c>
      <c r="B1322" s="44" t="n">
        <v>2013</v>
      </c>
      <c r="C1322" s="44" t="inlineStr">
        <is>
          <t>TRT200618T18</t>
        </is>
      </c>
      <c r="D1322" s="44" t="inlineStr">
        <is>
          <t>nan</t>
        </is>
      </c>
      <c r="E1322" s="44" t="inlineStr">
        <is>
          <t>nan</t>
        </is>
      </c>
      <c r="F1322" s="44" t="n"/>
      <c r="G1322" s="44" t="n"/>
      <c r="H1322" s="15" t="n"/>
      <c r="I1322" s="45" t="n">
        <v>1325350</v>
      </c>
      <c r="J1322" s="45" t="n">
        <v>1287337.0345</v>
      </c>
      <c r="K1322" s="45" t="n">
        <v>891650</v>
      </c>
      <c r="L1322" s="45" t="n">
        <v>867805.4295</v>
      </c>
      <c r="M1322" s="45" t="n">
        <v>0</v>
      </c>
      <c r="N1322" s="45" t="n">
        <v>0</v>
      </c>
      <c r="O1322" s="45" t="n">
        <v>1295131.825000514</v>
      </c>
      <c r="P1322" s="45" t="n">
        <v>1260500</v>
      </c>
      <c r="Q1322" s="45" t="n">
        <v>179188.12</v>
      </c>
      <c r="R1322" s="45" t="n">
        <v>174396.6296712</v>
      </c>
      <c r="S1322" s="45" t="n">
        <v>2365969.945000514</v>
      </c>
      <c r="T1322" s="45" t="n">
        <v>2302702.0591712</v>
      </c>
      <c r="U1322" s="15" t="n">
        <v>4.73</v>
      </c>
      <c r="V1322" s="15" t="n">
        <v>9.69</v>
      </c>
      <c r="W1322" s="49" t="n">
        <v>97.32599999999999</v>
      </c>
    </row>
    <row r="1323">
      <c r="A1323" s="44" t="inlineStr">
        <is>
          <t>TL Cinsi Sabit Faizli Kuponlu Senetler</t>
        </is>
      </c>
      <c r="B1323" s="44" t="n">
        <v>2013</v>
      </c>
      <c r="C1323" s="44" t="inlineStr">
        <is>
          <t>TRT130515T11</t>
        </is>
      </c>
      <c r="D1323" s="44" t="inlineStr">
        <is>
          <t>nan</t>
        </is>
      </c>
      <c r="E1323" s="44" t="inlineStr">
        <is>
          <t>nan</t>
        </is>
      </c>
      <c r="F1323" s="44" t="n"/>
      <c r="G1323" s="44" t="n"/>
      <c r="H1323" s="15" t="n"/>
      <c r="I1323" s="45" t="n">
        <v>1059900</v>
      </c>
      <c r="J1323" s="45" t="n">
        <v>1006571.68</v>
      </c>
      <c r="K1323" s="45" t="n">
        <v>474900</v>
      </c>
      <c r="L1323" s="45" t="n">
        <v>451610.99</v>
      </c>
      <c r="M1323" s="45" t="n">
        <v>0</v>
      </c>
      <c r="N1323" s="45" t="n">
        <v>0</v>
      </c>
      <c r="O1323" s="45" t="n">
        <v>939051.0641877681</v>
      </c>
      <c r="P1323" s="45" t="n">
        <v>893000</v>
      </c>
      <c r="Q1323" s="45" t="n">
        <v>89333.66099999999</v>
      </c>
      <c r="R1323" s="45" t="n">
        <v>84952.73826455999</v>
      </c>
      <c r="S1323" s="45" t="n">
        <v>1503284.725187768</v>
      </c>
      <c r="T1323" s="45" t="n">
        <v>1429563.72826456</v>
      </c>
      <c r="U1323" s="15" t="n">
        <v>4.65</v>
      </c>
      <c r="V1323" s="15" t="n">
        <v>9.52</v>
      </c>
      <c r="W1323" s="49" t="n">
        <v>95.096</v>
      </c>
    </row>
    <row r="1324">
      <c r="A1324" s="44" t="inlineStr">
        <is>
          <t>TL Cinsi Sabit Faizli Kuponlu Senetler</t>
        </is>
      </c>
      <c r="B1324" s="44" t="n">
        <v>2013</v>
      </c>
      <c r="C1324" s="44" t="inlineStr">
        <is>
          <t>TRT080323T10</t>
        </is>
      </c>
      <c r="D1324" s="44" t="inlineStr">
        <is>
          <t>nan</t>
        </is>
      </c>
      <c r="E1324" s="44" t="inlineStr">
        <is>
          <t>nan</t>
        </is>
      </c>
      <c r="F1324" s="44" t="n"/>
      <c r="G1324" s="44" t="n"/>
      <c r="H1324" s="15" t="n"/>
      <c r="I1324" s="45" t="n">
        <v>1781720.77</v>
      </c>
      <c r="J1324" s="45" t="n">
        <v>1543849.37305</v>
      </c>
      <c r="K1324" s="45" t="n">
        <v>1354500</v>
      </c>
      <c r="L1324" s="45" t="n">
        <v>1177034.262</v>
      </c>
      <c r="M1324" s="45" t="n">
        <v>0</v>
      </c>
      <c r="N1324" s="45" t="n">
        <v>0</v>
      </c>
      <c r="O1324" s="45" t="n">
        <v>1066353.656010495</v>
      </c>
      <c r="P1324" s="45" t="n">
        <v>926640</v>
      </c>
      <c r="Q1324" s="45" t="n">
        <v>250136.004</v>
      </c>
      <c r="R1324" s="45" t="n">
        <v>217363.18475592</v>
      </c>
      <c r="S1324" s="45" t="n">
        <v>2670989.660010495</v>
      </c>
      <c r="T1324" s="45" t="n">
        <v>2321037.44675592</v>
      </c>
      <c r="U1324" s="15" t="n">
        <v>4.9</v>
      </c>
      <c r="V1324" s="15" t="n">
        <v>10.05</v>
      </c>
      <c r="W1324" s="49" t="n">
        <v>86.898</v>
      </c>
    </row>
    <row r="1325">
      <c r="A1325" s="44" t="inlineStr">
        <is>
          <t>TL Cinsi Sabit Faizli Kuponlu Senetler</t>
        </is>
      </c>
      <c r="B1325" s="44" t="n">
        <v>2013</v>
      </c>
      <c r="C1325" s="44" t="inlineStr">
        <is>
          <t>TRT200618T18</t>
        </is>
      </c>
      <c r="D1325" s="44" t="inlineStr">
        <is>
          <t>nan</t>
        </is>
      </c>
      <c r="E1325" s="44" t="inlineStr">
        <is>
          <t>nan</t>
        </is>
      </c>
      <c r="F1325" s="44" t="n"/>
      <c r="G1325" s="44" t="n"/>
      <c r="H1325" s="15" t="n"/>
      <c r="I1325" s="45" t="n">
        <v>6218850</v>
      </c>
      <c r="J1325" s="45" t="n">
        <v>6245913.925</v>
      </c>
      <c r="K1325" s="45" t="n">
        <v>1359100</v>
      </c>
      <c r="L1325" s="45" t="n">
        <v>1368872.759</v>
      </c>
      <c r="M1325" s="45" t="n">
        <v>456716.2104468869</v>
      </c>
      <c r="N1325" s="45" t="n">
        <v>460000</v>
      </c>
      <c r="O1325" s="45" t="n">
        <v>874512.2568730825</v>
      </c>
      <c r="P1325" s="45" t="n">
        <v>880800</v>
      </c>
      <c r="Q1325" s="45" t="n">
        <v>290278.239</v>
      </c>
      <c r="R1325" s="45" t="n">
        <v>292365.33953841</v>
      </c>
      <c r="S1325" s="45" t="n">
        <v>2980606.70631997</v>
      </c>
      <c r="T1325" s="45" t="n">
        <v>3002038.09853841</v>
      </c>
      <c r="U1325" s="15" t="n">
        <v>4.37</v>
      </c>
      <c r="V1325" s="15" t="n">
        <v>8.93</v>
      </c>
      <c r="W1325" s="49" t="n">
        <v>100.719</v>
      </c>
    </row>
    <row r="1326">
      <c r="A1326" s="44" t="inlineStr">
        <is>
          <t>TL Cinsi Sabit Faizli Kuponlu Senetler</t>
        </is>
      </c>
      <c r="B1326" s="44" t="n">
        <v>2013</v>
      </c>
      <c r="C1326" s="44" t="inlineStr">
        <is>
          <t>TRT071015T12</t>
        </is>
      </c>
      <c r="D1326" s="44" t="inlineStr">
        <is>
          <t>nan</t>
        </is>
      </c>
      <c r="E1326" s="44" t="inlineStr">
        <is>
          <t>nan</t>
        </is>
      </c>
      <c r="F1326" s="44" t="n"/>
      <c r="G1326" s="44" t="n"/>
      <c r="H1326" s="15" t="n"/>
      <c r="I1326" s="45" t="n">
        <v>3873800</v>
      </c>
      <c r="J1326" s="45" t="n">
        <v>3899795.377</v>
      </c>
      <c r="K1326" s="45" t="n">
        <v>865000</v>
      </c>
      <c r="L1326" s="45" t="n">
        <v>873178.3</v>
      </c>
      <c r="M1326" s="45" t="n">
        <v>0</v>
      </c>
      <c r="N1326" s="45" t="n">
        <v>0</v>
      </c>
      <c r="O1326" s="45" t="n">
        <v>1091089.206993908</v>
      </c>
      <c r="P1326" s="45" t="n">
        <v>1101400</v>
      </c>
      <c r="Q1326" s="45" t="n">
        <v>260014.661</v>
      </c>
      <c r="R1326" s="45" t="n">
        <v>262471.79954645</v>
      </c>
      <c r="S1326" s="45" t="n">
        <v>2216103.867993908</v>
      </c>
      <c r="T1326" s="45" t="n">
        <v>2237050.09954645</v>
      </c>
      <c r="U1326" s="15" t="n">
        <v>3.89</v>
      </c>
      <c r="V1326" s="15" t="n">
        <v>7.93</v>
      </c>
      <c r="W1326" s="49" t="n">
        <v>100.945</v>
      </c>
    </row>
    <row r="1327">
      <c r="A1327" s="44" t="inlineStr">
        <is>
          <t>TL Cinsi Sabit Faizli Kuponlu Senetler</t>
        </is>
      </c>
      <c r="B1327" s="44" t="n">
        <v>2013</v>
      </c>
      <c r="C1327" s="44" t="inlineStr">
        <is>
          <t>TRT270923T11</t>
        </is>
      </c>
      <c r="D1327" s="44" t="inlineStr">
        <is>
          <t>nan</t>
        </is>
      </c>
      <c r="E1327" s="44" t="inlineStr">
        <is>
          <t>nan</t>
        </is>
      </c>
      <c r="F1327" s="44" t="n"/>
      <c r="G1327" s="44" t="n"/>
      <c r="H1327" s="15" t="n"/>
      <c r="I1327" s="45" t="n">
        <v>3949860</v>
      </c>
      <c r="J1327" s="45" t="n">
        <v>3957827.742</v>
      </c>
      <c r="K1327" s="45" t="n">
        <v>600000</v>
      </c>
      <c r="L1327" s="45" t="n">
        <v>606492.5</v>
      </c>
      <c r="M1327" s="45" t="n">
        <v>489701.4305217546</v>
      </c>
      <c r="N1327" s="45" t="n">
        <v>495000</v>
      </c>
      <c r="O1327" s="45" t="n">
        <v>509060.5940721395</v>
      </c>
      <c r="P1327" s="45" t="n">
        <v>514568.6297</v>
      </c>
      <c r="Q1327" s="45" t="n">
        <v>116012.742</v>
      </c>
      <c r="R1327" s="45" t="n">
        <v>117267.99986844</v>
      </c>
      <c r="S1327" s="45" t="n">
        <v>1714774.766593894</v>
      </c>
      <c r="T1327" s="45" t="n">
        <v>1733329.12956844</v>
      </c>
      <c r="U1327" s="15" t="n">
        <v>4.32</v>
      </c>
      <c r="V1327" s="15" t="n">
        <v>8.82</v>
      </c>
      <c r="W1327" s="49" t="n">
        <v>101.082</v>
      </c>
    </row>
    <row r="1328">
      <c r="A1328" s="44" t="inlineStr">
        <is>
          <t>TL Cinsi Sabit Faizli Kuponlu Senetler</t>
        </is>
      </c>
      <c r="B1328" s="44" t="n">
        <v>2013</v>
      </c>
      <c r="C1328" s="44" t="inlineStr">
        <is>
          <t>TRT141118T19</t>
        </is>
      </c>
      <c r="D1328" s="44" t="inlineStr">
        <is>
          <t>nan</t>
        </is>
      </c>
      <c r="E1328" s="44" t="inlineStr">
        <is>
          <t>nan</t>
        </is>
      </c>
      <c r="F1328" s="44" t="n"/>
      <c r="G1328" s="44" t="n"/>
      <c r="H1328" s="15" t="n"/>
      <c r="I1328" s="45" t="n">
        <v>2353700</v>
      </c>
      <c r="J1328" s="45" t="n">
        <v>2368607.364</v>
      </c>
      <c r="K1328" s="45" t="n">
        <v>1014800</v>
      </c>
      <c r="L1328" s="45" t="n">
        <v>1023979.74</v>
      </c>
      <c r="M1328" s="45" t="n">
        <v>49551.55839651157</v>
      </c>
      <c r="N1328" s="45" t="n">
        <v>50000</v>
      </c>
      <c r="O1328" s="45" t="n">
        <v>1044215.846588375</v>
      </c>
      <c r="P1328" s="45" t="n">
        <v>1053666</v>
      </c>
      <c r="Q1328" s="45" t="n">
        <v>0</v>
      </c>
      <c r="R1328" s="45" t="n">
        <v>0</v>
      </c>
      <c r="S1328" s="45" t="n">
        <v>2108567.404984887</v>
      </c>
      <c r="T1328" s="45" t="n">
        <v>2127645.74</v>
      </c>
      <c r="U1328" s="15" t="n">
        <v>4.29</v>
      </c>
      <c r="V1328" s="15" t="n">
        <v>8.76</v>
      </c>
      <c r="W1328" s="49" t="n">
        <v>100.905</v>
      </c>
    </row>
    <row r="1329">
      <c r="A1329" s="44" t="inlineStr">
        <is>
          <t>TL Cinsi Sabit Faizli Kuponlu Senetler</t>
        </is>
      </c>
      <c r="B1329" s="44" t="n">
        <v>2013</v>
      </c>
      <c r="C1329" s="44" t="inlineStr">
        <is>
          <t>TRT071015T12</t>
        </is>
      </c>
      <c r="D1329" s="44" t="inlineStr">
        <is>
          <t>nan</t>
        </is>
      </c>
      <c r="E1329" s="44" t="inlineStr">
        <is>
          <t>nan</t>
        </is>
      </c>
      <c r="F1329" s="44" t="n"/>
      <c r="G1329" s="44" t="n"/>
      <c r="H1329" s="15" t="n"/>
      <c r="I1329" s="45" t="n">
        <v>3247002.985</v>
      </c>
      <c r="J1329" s="45" t="n">
        <v>3260166.9293</v>
      </c>
      <c r="K1329" s="45" t="n">
        <v>856700</v>
      </c>
      <c r="L1329" s="45" t="n">
        <v>861503.996</v>
      </c>
      <c r="M1329" s="45" t="n">
        <v>0</v>
      </c>
      <c r="N1329" s="45" t="n">
        <v>0</v>
      </c>
      <c r="O1329" s="45" t="n">
        <v>741758.7335050367</v>
      </c>
      <c r="P1329" s="45" t="n">
        <v>745920</v>
      </c>
      <c r="Q1329" s="45" t="n">
        <v>0</v>
      </c>
      <c r="R1329" s="45" t="n">
        <v>0</v>
      </c>
      <c r="S1329" s="45" t="n">
        <v>1598458.733505037</v>
      </c>
      <c r="T1329" s="45" t="n">
        <v>1607423.996</v>
      </c>
      <c r="U1329" s="15" t="n">
        <v>4.26</v>
      </c>
      <c r="V1329" s="15" t="n">
        <v>8.710000000000001</v>
      </c>
      <c r="W1329" s="49" t="n">
        <v>100.561</v>
      </c>
    </row>
    <row r="1330">
      <c r="A1330" s="44" t="inlineStr">
        <is>
          <t>TL Cinsi Sabit Faizli Kuponlu Senetler</t>
        </is>
      </c>
      <c r="B1330" s="44" t="n">
        <v>2013</v>
      </c>
      <c r="C1330" s="44" t="inlineStr">
        <is>
          <t>TRT270923T11</t>
        </is>
      </c>
      <c r="D1330" s="44" t="inlineStr">
        <is>
          <t>nan</t>
        </is>
      </c>
      <c r="E1330" s="44" t="inlineStr">
        <is>
          <t>nan</t>
        </is>
      </c>
      <c r="F1330" s="44" t="n"/>
      <c r="G1330" s="44" t="n"/>
      <c r="H1330" s="15" t="n"/>
      <c r="I1330" s="45" t="n">
        <v>1313500</v>
      </c>
      <c r="J1330" s="45" t="n">
        <v>1315369.79</v>
      </c>
      <c r="K1330" s="45" t="n">
        <v>568000</v>
      </c>
      <c r="L1330" s="45" t="n">
        <v>570510.423</v>
      </c>
      <c r="M1330" s="45" t="n">
        <v>679994.4246430777</v>
      </c>
      <c r="N1330" s="45" t="n">
        <v>683000</v>
      </c>
      <c r="O1330" s="45" t="n">
        <v>566615.5592282114</v>
      </c>
      <c r="P1330" s="45" t="n">
        <v>569120</v>
      </c>
      <c r="Q1330" s="45" t="n">
        <v>52113.744</v>
      </c>
      <c r="R1330" s="45" t="n">
        <v>52344.08674848</v>
      </c>
      <c r="S1330" s="45" t="n">
        <v>1866723.727871289</v>
      </c>
      <c r="T1330" s="45" t="n">
        <v>1874974.50974848</v>
      </c>
      <c r="U1330" s="15" t="n">
        <v>4.44</v>
      </c>
      <c r="V1330" s="15" t="n">
        <v>9.08</v>
      </c>
      <c r="W1330" s="49" t="n">
        <v>100.442</v>
      </c>
    </row>
    <row r="1331">
      <c r="A1331" s="44" t="inlineStr">
        <is>
          <t>TL Cinsi Sabit Faizli Kuponlu Senetler</t>
        </is>
      </c>
      <c r="B1331" s="44" t="n">
        <v>2013</v>
      </c>
      <c r="C1331" s="44" t="inlineStr">
        <is>
          <t>TRT141118T19</t>
        </is>
      </c>
      <c r="D1331" s="44" t="inlineStr">
        <is>
          <t>nan</t>
        </is>
      </c>
      <c r="E1331" s="44" t="inlineStr">
        <is>
          <t>nan</t>
        </is>
      </c>
      <c r="F1331" s="44" t="n"/>
      <c r="G1331" s="44" t="n"/>
      <c r="H1331" s="15" t="n"/>
      <c r="I1331" s="45" t="n">
        <v>1986900</v>
      </c>
      <c r="J1331" s="45" t="n">
        <v>1971198.845</v>
      </c>
      <c r="K1331" s="45" t="n">
        <v>616600</v>
      </c>
      <c r="L1331" s="45" t="n">
        <v>614452.25</v>
      </c>
      <c r="M1331" s="45" t="n">
        <v>1185124.232328503</v>
      </c>
      <c r="N1331" s="45" t="n">
        <v>1181000</v>
      </c>
      <c r="O1331" s="45" t="n">
        <v>287003.7731304941</v>
      </c>
      <c r="P1331" s="45" t="n">
        <v>286005</v>
      </c>
      <c r="Q1331" s="45" t="n">
        <v>0</v>
      </c>
      <c r="R1331" s="45" t="n">
        <v>0</v>
      </c>
      <c r="S1331" s="45" t="n">
        <v>2088728.005458997</v>
      </c>
      <c r="T1331" s="45" t="n">
        <v>2081457.25</v>
      </c>
      <c r="U1331" s="15" t="n">
        <v>4.49</v>
      </c>
      <c r="V1331" s="15" t="n">
        <v>9.17</v>
      </c>
      <c r="W1331" s="49" t="n">
        <v>99.652</v>
      </c>
    </row>
    <row r="1332">
      <c r="A1332" s="44" t="inlineStr">
        <is>
          <t>TL Cinsi Sabit Faizli Kuponlu Senetler</t>
        </is>
      </c>
      <c r="B1332" s="44" t="n">
        <v>2013</v>
      </c>
      <c r="C1332" s="44" t="inlineStr">
        <is>
          <t>TRT071015T12</t>
        </is>
      </c>
      <c r="D1332" s="44" t="inlineStr">
        <is>
          <t>nan</t>
        </is>
      </c>
      <c r="E1332" s="44" t="inlineStr">
        <is>
          <t>nan</t>
        </is>
      </c>
      <c r="F1332" s="44" t="n"/>
      <c r="G1332" s="44" t="n"/>
      <c r="H1332" s="15" t="n"/>
      <c r="I1332" s="45" t="n">
        <v>1321000</v>
      </c>
      <c r="J1332" s="45" t="n">
        <v>1322813.445</v>
      </c>
      <c r="K1332" s="45" t="n">
        <v>501000</v>
      </c>
      <c r="L1332" s="45" t="n">
        <v>502097.53</v>
      </c>
      <c r="M1332" s="45" t="n">
        <v>848142.5677765694</v>
      </c>
      <c r="N1332" s="45" t="n">
        <v>850000</v>
      </c>
      <c r="O1332" s="45" t="n">
        <v>428445.7039084405</v>
      </c>
      <c r="P1332" s="45" t="n">
        <v>429384</v>
      </c>
      <c r="Q1332" s="45" t="n">
        <v>0</v>
      </c>
      <c r="R1332" s="45" t="n">
        <v>0</v>
      </c>
      <c r="S1332" s="45" t="n">
        <v>1777588.27168501</v>
      </c>
      <c r="T1332" s="45" t="n">
        <v>1781481.53</v>
      </c>
      <c r="U1332" s="15" t="n">
        <v>4.46</v>
      </c>
      <c r="V1332" s="15" t="n">
        <v>9.119999999999999</v>
      </c>
      <c r="W1332" s="49" t="n">
        <v>100.219</v>
      </c>
    </row>
    <row r="1333">
      <c r="A1333" s="44" t="inlineStr">
        <is>
          <t>TL Cinsi Sabit Faizli Kuponlu Senetler</t>
        </is>
      </c>
      <c r="B1333" s="44" t="n">
        <v>2013</v>
      </c>
      <c r="C1333" s="44" t="inlineStr">
        <is>
          <t>TRT270923T11</t>
        </is>
      </c>
      <c r="D1333" s="44" t="inlineStr">
        <is>
          <t>nan</t>
        </is>
      </c>
      <c r="E1333" s="44" t="inlineStr">
        <is>
          <t>nan</t>
        </is>
      </c>
      <c r="F1333" s="44" t="n"/>
      <c r="G1333" s="44" t="n"/>
      <c r="H1333" s="15" t="n"/>
      <c r="I1333" s="45" t="n">
        <v>1247300</v>
      </c>
      <c r="J1333" s="45" t="n">
        <v>1220749.512</v>
      </c>
      <c r="K1333" s="45" t="n">
        <v>650400</v>
      </c>
      <c r="L1333" s="45" t="n">
        <v>640078.904</v>
      </c>
      <c r="M1333" s="45" t="n">
        <v>304837.7754971397</v>
      </c>
      <c r="N1333" s="45" t="n">
        <v>300000</v>
      </c>
      <c r="O1333" s="45" t="n">
        <v>473108.2275715607</v>
      </c>
      <c r="P1333" s="45" t="n">
        <v>465600</v>
      </c>
      <c r="Q1333" s="45" t="n">
        <v>0</v>
      </c>
      <c r="R1333" s="45" t="n">
        <v>0</v>
      </c>
      <c r="S1333" s="45" t="n">
        <v>1428346.0030687</v>
      </c>
      <c r="T1333" s="45" t="n">
        <v>1405678.904</v>
      </c>
      <c r="U1333" s="15" t="n">
        <v>4.63</v>
      </c>
      <c r="V1333" s="15" t="n">
        <v>9.470000000000001</v>
      </c>
      <c r="W1333" s="49" t="n">
        <v>98.413</v>
      </c>
    </row>
    <row r="1334">
      <c r="A1334" s="44" t="inlineStr">
        <is>
          <t>TL Cinsi Sabit Faizli Kuponlu Senetler</t>
        </is>
      </c>
      <c r="B1334" s="44" t="n">
        <v>2012</v>
      </c>
      <c r="C1334" s="44" t="inlineStr">
        <is>
          <t>TRT270116T18</t>
        </is>
      </c>
      <c r="D1334" s="44" t="inlineStr">
        <is>
          <t>nan</t>
        </is>
      </c>
      <c r="E1334" s="44" t="inlineStr">
        <is>
          <t>nan</t>
        </is>
      </c>
      <c r="F1334" s="44" t="n"/>
      <c r="G1334" s="44" t="n"/>
      <c r="H1334" s="15" t="n"/>
      <c r="I1334" s="45" t="n">
        <v>2692990</v>
      </c>
      <c r="J1334" s="45" t="n">
        <v>2684747.98621</v>
      </c>
      <c r="K1334" s="45" t="n">
        <v>1444267</v>
      </c>
      <c r="L1334" s="45" t="n">
        <v>1445589.83756</v>
      </c>
      <c r="M1334" s="45" t="n">
        <v>1498621.268433042</v>
      </c>
      <c r="N1334" s="45" t="n">
        <v>1500000</v>
      </c>
      <c r="O1334" s="45" t="n">
        <v>572673.1407105463</v>
      </c>
      <c r="P1334" s="45" t="n">
        <v>573200</v>
      </c>
      <c r="Q1334" s="45" t="n">
        <v>153576.729</v>
      </c>
      <c r="R1334" s="45" t="n">
        <v>153718.01959068</v>
      </c>
      <c r="S1334" s="45" t="n">
        <v>3669138.138143588</v>
      </c>
      <c r="T1334" s="45" t="n">
        <v>3672507.85715068</v>
      </c>
      <c r="U1334" s="15" t="n">
        <v>5.16</v>
      </c>
      <c r="V1334" s="15" t="n">
        <v>10.57625600000003</v>
      </c>
      <c r="W1334" s="49" t="n">
        <v>100.092</v>
      </c>
    </row>
    <row r="1335">
      <c r="A1335" s="44" t="inlineStr">
        <is>
          <t>TL Cinsi Sabit Faizli Kuponlu Senetler</t>
        </is>
      </c>
      <c r="B1335" s="44" t="n">
        <v>2012</v>
      </c>
      <c r="C1335" s="44" t="inlineStr">
        <is>
          <t>TRT041213T23</t>
        </is>
      </c>
      <c r="D1335" s="44" t="inlineStr">
        <is>
          <t>nan</t>
        </is>
      </c>
      <c r="E1335" s="44" t="inlineStr">
        <is>
          <t>nan</t>
        </is>
      </c>
      <c r="F1335" s="44" t="n"/>
      <c r="G1335" s="44" t="n"/>
      <c r="H1335" s="15" t="n"/>
      <c r="I1335" s="45" t="n">
        <v>3136213</v>
      </c>
      <c r="J1335" s="45" t="n">
        <v>3171567.71504</v>
      </c>
      <c r="K1335" s="45" t="n">
        <v>1358900</v>
      </c>
      <c r="L1335" s="45" t="n">
        <v>1376202.613</v>
      </c>
      <c r="M1335" s="45" t="n">
        <v>2337246.847629674</v>
      </c>
      <c r="N1335" s="45" t="n">
        <v>2367000</v>
      </c>
      <c r="O1335" s="45" t="n">
        <v>909383.5474410751</v>
      </c>
      <c r="P1335" s="45" t="n">
        <v>920960</v>
      </c>
      <c r="Q1335" s="45" t="n">
        <v>246485.849</v>
      </c>
      <c r="R1335" s="45" t="n">
        <v>249623.61385777</v>
      </c>
      <c r="S1335" s="45" t="n">
        <v>4852016.24407075</v>
      </c>
      <c r="T1335" s="45" t="n">
        <v>4913786.22685777</v>
      </c>
      <c r="U1335" s="15" t="n">
        <v>5.01</v>
      </c>
      <c r="V1335" s="15" t="n">
        <v>10.28</v>
      </c>
      <c r="W1335" s="49" t="n">
        <v>101.273</v>
      </c>
    </row>
    <row r="1336">
      <c r="A1336" s="44" t="inlineStr">
        <is>
          <t>TL Cinsi Sabit Faizli Kuponlu Senetler</t>
        </is>
      </c>
      <c r="B1336" s="44" t="n">
        <v>2012</v>
      </c>
      <c r="C1336" s="44" t="inlineStr">
        <is>
          <t>TRT120122T17</t>
        </is>
      </c>
      <c r="D1336" s="44" t="inlineStr">
        <is>
          <t>nan</t>
        </is>
      </c>
      <c r="E1336" s="44" t="inlineStr">
        <is>
          <t>nan</t>
        </is>
      </c>
      <c r="F1336" s="44" t="n"/>
      <c r="G1336" s="44" t="n"/>
      <c r="H1336" s="15" t="n"/>
      <c r="I1336" s="45" t="n">
        <v>1140697.718</v>
      </c>
      <c r="J1336" s="45" t="n">
        <v>1135973.63121</v>
      </c>
      <c r="K1336" s="45" t="n">
        <v>742649.468</v>
      </c>
      <c r="L1336" s="45" t="n">
        <v>742052.37078</v>
      </c>
      <c r="M1336" s="45" t="n">
        <v>0</v>
      </c>
      <c r="N1336" s="45" t="n">
        <v>0</v>
      </c>
      <c r="O1336" s="45" t="n">
        <v>625750.6004803843</v>
      </c>
      <c r="P1336" s="45" t="n">
        <v>625250</v>
      </c>
      <c r="Q1336" s="45" t="n">
        <v>10000</v>
      </c>
      <c r="R1336" s="45" t="n">
        <v>9992</v>
      </c>
      <c r="S1336" s="45" t="n">
        <v>1378400.068480384</v>
      </c>
      <c r="T1336" s="45" t="n">
        <v>1377294.37078</v>
      </c>
      <c r="U1336" s="15" t="n">
        <v>4.76</v>
      </c>
      <c r="V1336" s="15" t="n">
        <v>9.736576000000019</v>
      </c>
      <c r="W1336" s="49" t="n">
        <v>99.92</v>
      </c>
    </row>
    <row r="1337">
      <c r="A1337" s="44" t="inlineStr">
        <is>
          <t>TL Cinsi Sabit Faizli Kuponlu Senetler</t>
        </is>
      </c>
      <c r="B1337" s="44" t="n">
        <v>2012</v>
      </c>
      <c r="C1337" s="44" t="inlineStr">
        <is>
          <t>TRT270116T18</t>
        </is>
      </c>
      <c r="D1337" s="44" t="inlineStr">
        <is>
          <t>nan</t>
        </is>
      </c>
      <c r="E1337" s="44" t="inlineStr">
        <is>
          <t>nan</t>
        </is>
      </c>
      <c r="F1337" s="44" t="n"/>
      <c r="G1337" s="44" t="n"/>
      <c r="H1337" s="15" t="n"/>
      <c r="I1337" s="45" t="n">
        <v>3295935.595</v>
      </c>
      <c r="J1337" s="45" t="n">
        <v>3263429.302382</v>
      </c>
      <c r="K1337" s="45" t="n">
        <v>1339120.595</v>
      </c>
      <c r="L1337" s="45" t="n">
        <v>1330556.65652</v>
      </c>
      <c r="M1337" s="45" t="n">
        <v>0</v>
      </c>
      <c r="N1337" s="45" t="n">
        <v>0</v>
      </c>
      <c r="O1337" s="45" t="n">
        <v>505374.3961352656</v>
      </c>
      <c r="P1337" s="45" t="n">
        <v>502140</v>
      </c>
      <c r="Q1337" s="45" t="n">
        <v>406171.317</v>
      </c>
      <c r="R1337" s="45" t="n">
        <v>403571.8205711999</v>
      </c>
      <c r="S1337" s="45" t="n">
        <v>2250666.308135265</v>
      </c>
      <c r="T1337" s="45" t="n">
        <v>2236268.4770912</v>
      </c>
      <c r="U1337" s="15" t="n">
        <v>4.65</v>
      </c>
      <c r="V1337" s="15" t="n">
        <v>9.516225</v>
      </c>
      <c r="W1337" s="49" t="n">
        <v>99.36</v>
      </c>
    </row>
    <row r="1338">
      <c r="A1338" s="44" t="inlineStr">
        <is>
          <t>TL Cinsi Sabit Faizli Kuponlu Senetler</t>
        </is>
      </c>
      <c r="B1338" s="44" t="n">
        <v>2012</v>
      </c>
      <c r="C1338" s="44" t="inlineStr">
        <is>
          <t>TRT041213T23</t>
        </is>
      </c>
      <c r="D1338" s="44" t="inlineStr">
        <is>
          <t>nan</t>
        </is>
      </c>
      <c r="E1338" s="44" t="inlineStr">
        <is>
          <t>nan</t>
        </is>
      </c>
      <c r="F1338" s="44" t="n"/>
      <c r="G1338" s="44" t="n"/>
      <c r="H1338" s="15" t="n"/>
      <c r="I1338" s="45" t="n">
        <v>1807205.67</v>
      </c>
      <c r="J1338" s="45" t="n">
        <v>1868459.54675</v>
      </c>
      <c r="K1338" s="45" t="n">
        <v>907800</v>
      </c>
      <c r="L1338" s="45" t="n">
        <v>939386.02</v>
      </c>
      <c r="M1338" s="45" t="n">
        <v>676465.7563370346</v>
      </c>
      <c r="N1338" s="45" t="n">
        <v>700000</v>
      </c>
      <c r="O1338" s="45" t="n">
        <v>1448583.770620126</v>
      </c>
      <c r="P1338" s="45" t="n">
        <v>1498980</v>
      </c>
      <c r="Q1338" s="45" t="n">
        <v>0</v>
      </c>
      <c r="R1338" s="45" t="n">
        <v>0</v>
      </c>
      <c r="S1338" s="45" t="n">
        <v>3032849.52695716</v>
      </c>
      <c r="T1338" s="45" t="n">
        <v>3138366.02</v>
      </c>
      <c r="U1338" s="15" t="n">
        <v>4.52</v>
      </c>
      <c r="V1338" s="15" t="n">
        <v>9.24</v>
      </c>
      <c r="W1338" s="49" t="n">
        <v>103.479</v>
      </c>
    </row>
    <row r="1339">
      <c r="A1339" s="44" t="inlineStr">
        <is>
          <t>TL Cinsi Sabit Faizli Kuponlu Senetler</t>
        </is>
      </c>
      <c r="B1339" s="44" t="n">
        <v>2012</v>
      </c>
      <c r="C1339" s="44" t="inlineStr">
        <is>
          <t>TRT120122T17</t>
        </is>
      </c>
      <c r="D1339" s="44" t="inlineStr">
        <is>
          <t>nan</t>
        </is>
      </c>
      <c r="E1339" s="44" t="inlineStr">
        <is>
          <t>nan</t>
        </is>
      </c>
      <c r="F1339" s="44" t="n"/>
      <c r="G1339" s="44" t="n"/>
      <c r="H1339" s="15" t="n"/>
      <c r="I1339" s="45" t="n">
        <v>2080100</v>
      </c>
      <c r="J1339" s="45" t="n">
        <v>2098226.738</v>
      </c>
      <c r="K1339" s="45" t="n">
        <v>915800</v>
      </c>
      <c r="L1339" s="45" t="n">
        <v>926289.986</v>
      </c>
      <c r="M1339" s="45" t="n">
        <v>0</v>
      </c>
      <c r="N1339" s="45" t="n">
        <v>0</v>
      </c>
      <c r="O1339" s="45" t="n">
        <v>429185.8223342726</v>
      </c>
      <c r="P1339" s="45" t="n">
        <v>434100</v>
      </c>
      <c r="Q1339" s="45" t="n">
        <v>230182.932</v>
      </c>
      <c r="R1339" s="45" t="n">
        <v>232818.5265714</v>
      </c>
      <c r="S1339" s="45" t="n">
        <v>1575168.754334273</v>
      </c>
      <c r="T1339" s="45" t="n">
        <v>1593208.5125714</v>
      </c>
      <c r="U1339" s="15" t="n">
        <v>4.7</v>
      </c>
      <c r="V1339" s="15" t="n">
        <v>9.630899999999977</v>
      </c>
      <c r="W1339" s="49" t="n">
        <v>101.145</v>
      </c>
    </row>
    <row r="1340">
      <c r="A1340" s="44" t="inlineStr">
        <is>
          <t>TL Cinsi Sabit Faizli Kuponlu Senetler</t>
        </is>
      </c>
      <c r="B1340" s="44" t="n">
        <v>2012</v>
      </c>
      <c r="C1340" s="44" t="inlineStr">
        <is>
          <t>TRT120122T17</t>
        </is>
      </c>
      <c r="D1340" s="44" t="inlineStr">
        <is>
          <t>nan</t>
        </is>
      </c>
      <c r="E1340" s="44" t="inlineStr">
        <is>
          <t>nan</t>
        </is>
      </c>
      <c r="F1340" s="44" t="n"/>
      <c r="G1340" s="44" t="n"/>
      <c r="H1340" s="15" t="n"/>
      <c r="I1340" s="45" t="n">
        <v>2357548</v>
      </c>
      <c r="J1340" s="45" t="n">
        <v>2383487.979</v>
      </c>
      <c r="K1340" s="45" t="n">
        <v>1560048</v>
      </c>
      <c r="L1340" s="45" t="n">
        <v>1578831.762</v>
      </c>
      <c r="M1340" s="45" t="n">
        <v>247025.8092565511</v>
      </c>
      <c r="N1340" s="45" t="n">
        <v>250000</v>
      </c>
      <c r="O1340" s="45" t="n">
        <v>406979.9612663531</v>
      </c>
      <c r="P1340" s="45" t="n">
        <v>411880</v>
      </c>
      <c r="Q1340" s="45" t="n">
        <v>243544.862</v>
      </c>
      <c r="R1340" s="45" t="n">
        <v>246477.14213848</v>
      </c>
      <c r="S1340" s="45" t="n">
        <v>2457598.632522904</v>
      </c>
      <c r="T1340" s="45" t="n">
        <v>2487188.90413848</v>
      </c>
      <c r="U1340" s="15" t="n">
        <v>4.74</v>
      </c>
      <c r="V1340" s="15" t="n">
        <v>9.704676000000024</v>
      </c>
      <c r="W1340" s="49" t="n">
        <v>101.204</v>
      </c>
    </row>
    <row r="1341">
      <c r="A1341" s="44" t="inlineStr">
        <is>
          <t>TL Cinsi Sabit Faizli Kuponlu Senetler</t>
        </is>
      </c>
      <c r="B1341" s="44" t="n">
        <v>2012</v>
      </c>
      <c r="C1341" s="44" t="inlineStr">
        <is>
          <t>TRT050314T14</t>
        </is>
      </c>
      <c r="D1341" s="44" t="inlineStr">
        <is>
          <t>nan</t>
        </is>
      </c>
      <c r="E1341" s="44" t="inlineStr">
        <is>
          <t>nan</t>
        </is>
      </c>
      <c r="F1341" s="44" t="n"/>
      <c r="G1341" s="44" t="n"/>
      <c r="H1341" s="15" t="n"/>
      <c r="I1341" s="45" t="n">
        <v>2508870</v>
      </c>
      <c r="J1341" s="45" t="n">
        <v>2498436.13886</v>
      </c>
      <c r="K1341" s="45" t="n">
        <v>1553370</v>
      </c>
      <c r="L1341" s="45" t="n">
        <v>1547962.57886</v>
      </c>
      <c r="M1341" s="45" t="n">
        <v>250873.0381728415</v>
      </c>
      <c r="N1341" s="45" t="n">
        <v>250000</v>
      </c>
      <c r="O1341" s="45" t="n">
        <v>714611.849235339</v>
      </c>
      <c r="P1341" s="45" t="n">
        <v>712125</v>
      </c>
      <c r="Q1341" s="45" t="n">
        <v>265686.783</v>
      </c>
      <c r="R1341" s="45" t="n">
        <v>264762.19299516</v>
      </c>
      <c r="S1341" s="45" t="n">
        <v>2784541.67040818</v>
      </c>
      <c r="T1341" s="45" t="n">
        <v>2774849.77185516</v>
      </c>
      <c r="U1341" s="15" t="n">
        <v>4.6</v>
      </c>
      <c r="V1341" s="15" t="n">
        <v>9.41</v>
      </c>
      <c r="W1341" s="49" t="n">
        <v>99.652</v>
      </c>
    </row>
    <row r="1342">
      <c r="A1342" s="44" t="inlineStr">
        <is>
          <t>TL Cinsi Sabit Faizli Kuponlu Senetler</t>
        </is>
      </c>
      <c r="B1342" s="44" t="n">
        <v>2012</v>
      </c>
      <c r="C1342" s="44" t="inlineStr">
        <is>
          <t>TRT080317T18</t>
        </is>
      </c>
      <c r="D1342" s="44" t="inlineStr">
        <is>
          <t>nan</t>
        </is>
      </c>
      <c r="E1342" s="44" t="inlineStr">
        <is>
          <t>nan</t>
        </is>
      </c>
      <c r="F1342" s="44" t="n"/>
      <c r="G1342" s="44" t="n"/>
      <c r="H1342" s="15" t="n"/>
      <c r="I1342" s="45" t="n">
        <v>3492459.04</v>
      </c>
      <c r="J1342" s="45" t="n">
        <v>3438820.8341</v>
      </c>
      <c r="K1342" s="45" t="n">
        <v>1206000</v>
      </c>
      <c r="L1342" s="45" t="n">
        <v>1189820.805</v>
      </c>
      <c r="M1342" s="45" t="n">
        <v>253400.636542399</v>
      </c>
      <c r="N1342" s="45" t="n">
        <v>250000</v>
      </c>
      <c r="O1342" s="45" t="n">
        <v>636410.6306635042</v>
      </c>
      <c r="P1342" s="45" t="n">
        <v>627870</v>
      </c>
      <c r="Q1342" s="45" t="n">
        <v>242800</v>
      </c>
      <c r="R1342" s="45" t="n">
        <v>239541.624</v>
      </c>
      <c r="S1342" s="45" t="n">
        <v>2338611.267205903</v>
      </c>
      <c r="T1342" s="45" t="n">
        <v>2307232.429</v>
      </c>
      <c r="U1342" s="15" t="n">
        <v>4.67</v>
      </c>
      <c r="V1342" s="15" t="n">
        <v>9.558088999999992</v>
      </c>
      <c r="W1342" s="49" t="n">
        <v>98.658</v>
      </c>
    </row>
    <row r="1343">
      <c r="A1343" s="44" t="inlineStr">
        <is>
          <t>TL Cinsi Sabit Faizli Kuponlu Senetler</t>
        </is>
      </c>
      <c r="B1343" s="44" t="n">
        <v>2012</v>
      </c>
      <c r="C1343" s="44" t="inlineStr">
        <is>
          <t>TRT080317T18</t>
        </is>
      </c>
      <c r="D1343" s="44" t="inlineStr">
        <is>
          <t>nan</t>
        </is>
      </c>
      <c r="E1343" s="44" t="inlineStr">
        <is>
          <t>nan</t>
        </is>
      </c>
      <c r="F1343" s="44" t="n"/>
      <c r="G1343" s="44" t="n"/>
      <c r="H1343" s="15" t="n"/>
      <c r="I1343" s="45" t="n">
        <v>2268100</v>
      </c>
      <c r="J1343" s="45" t="n">
        <v>2258706.253</v>
      </c>
      <c r="K1343" s="45" t="n">
        <v>1913500</v>
      </c>
      <c r="L1343" s="45" t="n">
        <v>1906921.016</v>
      </c>
      <c r="M1343" s="45" t="n">
        <v>0</v>
      </c>
      <c r="N1343" s="45" t="n">
        <v>0</v>
      </c>
      <c r="O1343" s="45" t="n">
        <v>633087.8221080516</v>
      </c>
      <c r="P1343" s="45" t="n">
        <v>630910</v>
      </c>
      <c r="Q1343" s="45" t="n">
        <v>309114.249</v>
      </c>
      <c r="R1343" s="45" t="n">
        <v>308050.89598344</v>
      </c>
      <c r="S1343" s="45" t="n">
        <v>2855702.071108052</v>
      </c>
      <c r="T1343" s="45" t="n">
        <v>2845881.91198344</v>
      </c>
      <c r="U1343" s="15" t="n">
        <v>4.65</v>
      </c>
      <c r="V1343" s="15" t="n">
        <v>9.526225</v>
      </c>
      <c r="W1343" s="49" t="n">
        <v>99.65600000000001</v>
      </c>
    </row>
    <row r="1344">
      <c r="A1344" s="44" t="inlineStr">
        <is>
          <t>TL Cinsi Sabit Faizli Kuponlu Senetler</t>
        </is>
      </c>
      <c r="B1344" s="44" t="n">
        <v>2012</v>
      </c>
      <c r="C1344" s="44" t="inlineStr">
        <is>
          <t>TRT050314T14</t>
        </is>
      </c>
      <c r="D1344" s="44" t="inlineStr">
        <is>
          <t>nan</t>
        </is>
      </c>
      <c r="E1344" s="44" t="inlineStr">
        <is>
          <t>nan</t>
        </is>
      </c>
      <c r="F1344" s="44" t="n"/>
      <c r="G1344" s="44" t="n"/>
      <c r="H1344" s="15" t="n"/>
      <c r="I1344" s="45" t="n">
        <v>1640353.99</v>
      </c>
      <c r="J1344" s="45" t="n">
        <v>1651008.63214</v>
      </c>
      <c r="K1344" s="45" t="n">
        <v>971752</v>
      </c>
      <c r="L1344" s="45" t="n">
        <v>978893.90914</v>
      </c>
      <c r="M1344" s="45" t="n">
        <v>238248.8707996228</v>
      </c>
      <c r="N1344" s="45" t="n">
        <v>240000</v>
      </c>
      <c r="O1344" s="45" t="n">
        <v>447113.7142006254</v>
      </c>
      <c r="P1344" s="45" t="n">
        <v>450400</v>
      </c>
      <c r="Q1344" s="45" t="n">
        <v>192110.92</v>
      </c>
      <c r="R1344" s="45" t="n">
        <v>193522.935262</v>
      </c>
      <c r="S1344" s="45" t="n">
        <v>1849225.505000248</v>
      </c>
      <c r="T1344" s="45" t="n">
        <v>1862816.844402</v>
      </c>
      <c r="U1344" s="15" t="n">
        <v>4.64</v>
      </c>
      <c r="V1344" s="15" t="n">
        <v>9.49</v>
      </c>
      <c r="W1344" s="49" t="n">
        <v>100.735</v>
      </c>
    </row>
    <row r="1345">
      <c r="A1345" s="44" t="inlineStr">
        <is>
          <t>TL Cinsi Sabit Faizli Kuponlu Senetler</t>
        </is>
      </c>
      <c r="B1345" s="44" t="n">
        <v>2012</v>
      </c>
      <c r="C1345" s="44" t="inlineStr">
        <is>
          <t>TRT120122T17</t>
        </is>
      </c>
      <c r="D1345" s="44" t="inlineStr">
        <is>
          <t>nan</t>
        </is>
      </c>
      <c r="E1345" s="44" t="inlineStr">
        <is>
          <t>nan</t>
        </is>
      </c>
      <c r="F1345" s="44" t="n"/>
      <c r="G1345" s="44" t="n"/>
      <c r="H1345" s="15" t="n"/>
      <c r="I1345" s="45" t="n">
        <v>2246400</v>
      </c>
      <c r="J1345" s="45" t="n">
        <v>2298361.489</v>
      </c>
      <c r="K1345" s="45" t="n">
        <v>1000900</v>
      </c>
      <c r="L1345" s="45" t="n">
        <v>1025867.185</v>
      </c>
      <c r="M1345" s="45" t="n">
        <v>2162077.780162741</v>
      </c>
      <c r="N1345" s="45" t="n">
        <v>2216000</v>
      </c>
      <c r="O1345" s="45" t="n">
        <v>331341.346810545</v>
      </c>
      <c r="P1345" s="45" t="n">
        <v>339605</v>
      </c>
      <c r="Q1345" s="45" t="n">
        <v>191765.58</v>
      </c>
      <c r="R1345" s="45" t="n">
        <v>196548.2135652</v>
      </c>
      <c r="S1345" s="45" t="n">
        <v>3686084.706973286</v>
      </c>
      <c r="T1345" s="45" t="n">
        <v>3778020.3985652</v>
      </c>
      <c r="U1345" s="15" t="n">
        <v>4.74</v>
      </c>
      <c r="V1345" s="15" t="n">
        <v>9.704676000000024</v>
      </c>
      <c r="W1345" s="49" t="n">
        <v>102.494</v>
      </c>
    </row>
    <row r="1346">
      <c r="A1346" s="44" t="inlineStr">
        <is>
          <t>TL Cinsi Sabit Faizli Kuponlu Senetler</t>
        </is>
      </c>
      <c r="B1346" s="44" t="n">
        <v>2012</v>
      </c>
      <c r="C1346" s="44" t="inlineStr">
        <is>
          <t>TRT050314T14</t>
        </is>
      </c>
      <c r="D1346" s="44" t="inlineStr">
        <is>
          <t>nan</t>
        </is>
      </c>
      <c r="E1346" s="44" t="inlineStr">
        <is>
          <t>nan</t>
        </is>
      </c>
      <c r="F1346" s="44" t="n"/>
      <c r="G1346" s="44" t="n"/>
      <c r="H1346" s="15" t="n"/>
      <c r="I1346" s="45" t="n">
        <v>1935716.09</v>
      </c>
      <c r="J1346" s="45" t="n">
        <v>1955613.69233</v>
      </c>
      <c r="K1346" s="45" t="n">
        <v>807900</v>
      </c>
      <c r="L1346" s="45" t="n">
        <v>817007.173</v>
      </c>
      <c r="M1346" s="45" t="n">
        <v>173049.7295479941</v>
      </c>
      <c r="N1346" s="45" t="n">
        <v>175000</v>
      </c>
      <c r="O1346" s="45" t="n">
        <v>176214.0674597289</v>
      </c>
      <c r="P1346" s="45" t="n">
        <v>178200</v>
      </c>
      <c r="Q1346" s="45" t="n">
        <v>0</v>
      </c>
      <c r="R1346" s="45" t="n">
        <v>0</v>
      </c>
      <c r="S1346" s="45" t="n">
        <v>1157163.797007723</v>
      </c>
      <c r="T1346" s="45" t="n">
        <v>1170207.173</v>
      </c>
      <c r="U1346" s="15" t="n">
        <v>4.62</v>
      </c>
      <c r="V1346" s="15" t="n">
        <v>9.460000000000001</v>
      </c>
      <c r="W1346" s="49" t="n">
        <v>101.127</v>
      </c>
    </row>
    <row r="1347">
      <c r="A1347" s="44" t="inlineStr">
        <is>
          <t>TL Cinsi Sabit Faizli Kuponlu Senetler</t>
        </is>
      </c>
      <c r="B1347" s="44" t="n">
        <v>2012</v>
      </c>
      <c r="C1347" s="44" t="inlineStr">
        <is>
          <t>TRT050314T14</t>
        </is>
      </c>
      <c r="D1347" s="44" t="inlineStr">
        <is>
          <t>nan</t>
        </is>
      </c>
      <c r="E1347" s="44" t="inlineStr">
        <is>
          <t>nan</t>
        </is>
      </c>
      <c r="F1347" s="44" t="n"/>
      <c r="G1347" s="44" t="n"/>
      <c r="H1347" s="15" t="n"/>
      <c r="I1347" s="45" t="n">
        <v>1504101</v>
      </c>
      <c r="J1347" s="45" t="n">
        <v>1544363.71221</v>
      </c>
      <c r="K1347" s="45" t="n">
        <v>896500</v>
      </c>
      <c r="L1347" s="45" t="n">
        <v>920917.755</v>
      </c>
      <c r="M1347" s="45" t="n">
        <v>380631.5953428604</v>
      </c>
      <c r="N1347" s="45" t="n">
        <v>391000</v>
      </c>
      <c r="O1347" s="45" t="n">
        <v>373087.1071998754</v>
      </c>
      <c r="P1347" s="45" t="n">
        <v>383250</v>
      </c>
      <c r="Q1347" s="45" t="n">
        <v>177610.947</v>
      </c>
      <c r="R1347" s="45" t="n">
        <v>182449.06919628</v>
      </c>
      <c r="S1347" s="45" t="n">
        <v>1827829.649542736</v>
      </c>
      <c r="T1347" s="45" t="n">
        <v>1877616.82419628</v>
      </c>
      <c r="U1347" s="15" t="n">
        <v>4.45</v>
      </c>
      <c r="V1347" s="15" t="n">
        <v>9.1</v>
      </c>
      <c r="W1347" s="49" t="n">
        <v>102.724</v>
      </c>
    </row>
    <row r="1348">
      <c r="A1348" s="44" t="inlineStr">
        <is>
          <t>TL Cinsi Sabit Faizli Kuponlu Senetler</t>
        </is>
      </c>
      <c r="B1348" s="44" t="n">
        <v>2012</v>
      </c>
      <c r="C1348" s="44" t="inlineStr">
        <is>
          <t>TRT050314T14</t>
        </is>
      </c>
      <c r="D1348" s="44" t="inlineStr">
        <is>
          <t>nan</t>
        </is>
      </c>
      <c r="E1348" s="44" t="inlineStr">
        <is>
          <t>nan</t>
        </is>
      </c>
      <c r="F1348" s="44" t="n"/>
      <c r="G1348" s="44" t="n"/>
      <c r="H1348" s="15" t="n"/>
      <c r="I1348" s="45" t="n">
        <v>3687288</v>
      </c>
      <c r="J1348" s="45" t="n">
        <v>3864358.10628</v>
      </c>
      <c r="K1348" s="45" t="n">
        <v>2098000</v>
      </c>
      <c r="L1348" s="45" t="n">
        <v>2199847.17</v>
      </c>
      <c r="M1348" s="45" t="n">
        <v>1198809.773589944</v>
      </c>
      <c r="N1348" s="45" t="n">
        <v>1257000</v>
      </c>
      <c r="O1348" s="45" t="n">
        <v>725046.2547923781</v>
      </c>
      <c r="P1348" s="45" t="n">
        <v>760240</v>
      </c>
      <c r="Q1348" s="45" t="n">
        <v>399000</v>
      </c>
      <c r="R1348" s="45" t="n">
        <v>418367.46</v>
      </c>
      <c r="S1348" s="45" t="n">
        <v>4420856.028382322</v>
      </c>
      <c r="T1348" s="45" t="n">
        <v>4635454.63</v>
      </c>
      <c r="U1348" s="15" t="n">
        <v>3.92</v>
      </c>
      <c r="V1348" s="15" t="n">
        <v>8</v>
      </c>
      <c r="W1348" s="49" t="n">
        <v>104.854</v>
      </c>
    </row>
    <row r="1349">
      <c r="A1349" s="44" t="inlineStr">
        <is>
          <t>TL Cinsi Sabit Faizli Kuponlu Senetler</t>
        </is>
      </c>
      <c r="B1349" s="44" t="n">
        <v>2012</v>
      </c>
      <c r="C1349" s="44" t="inlineStr">
        <is>
          <t>TRT080317T18</t>
        </is>
      </c>
      <c r="D1349" s="44" t="inlineStr">
        <is>
          <t>nan</t>
        </is>
      </c>
      <c r="E1349" s="44" t="inlineStr">
        <is>
          <t>nan</t>
        </is>
      </c>
      <c r="F1349" s="44" t="n"/>
      <c r="G1349" s="44" t="n"/>
      <c r="H1349" s="15" t="n"/>
      <c r="I1349" s="45" t="n">
        <v>1711996.06</v>
      </c>
      <c r="J1349" s="45" t="n">
        <v>1852276.45775</v>
      </c>
      <c r="K1349" s="45" t="n">
        <v>1365447</v>
      </c>
      <c r="L1349" s="45" t="n">
        <v>1478219.66991</v>
      </c>
      <c r="M1349" s="45" t="n">
        <v>554226.4384485355</v>
      </c>
      <c r="N1349" s="45" t="n">
        <v>600000</v>
      </c>
      <c r="O1349" s="45" t="n">
        <v>873322.3103852797</v>
      </c>
      <c r="P1349" s="45" t="n">
        <v>945450</v>
      </c>
      <c r="Q1349" s="45" t="n">
        <v>0</v>
      </c>
      <c r="R1349" s="45" t="n">
        <v>0</v>
      </c>
      <c r="S1349" s="45" t="n">
        <v>2792995.748833815</v>
      </c>
      <c r="T1349" s="45" t="n">
        <v>3023669.66991</v>
      </c>
      <c r="U1349" s="15" t="n">
        <v>3.89</v>
      </c>
      <c r="V1349" s="15" t="n">
        <v>7.93</v>
      </c>
      <c r="W1349" s="49" t="n">
        <v>108.259</v>
      </c>
    </row>
    <row r="1350">
      <c r="A1350" s="44" t="inlineStr">
        <is>
          <t>TL Cinsi Sabit Faizli Kuponlu Senetler</t>
        </is>
      </c>
      <c r="B1350" s="44" t="n">
        <v>2012</v>
      </c>
      <c r="C1350" s="44" t="inlineStr">
        <is>
          <t>TRT050314T14</t>
        </is>
      </c>
      <c r="D1350" s="44" t="inlineStr">
        <is>
          <t>nan</t>
        </is>
      </c>
      <c r="E1350" s="44" t="inlineStr">
        <is>
          <t>nan</t>
        </is>
      </c>
      <c r="F1350" s="44" t="n"/>
      <c r="G1350" s="44" t="n"/>
      <c r="H1350" s="15" t="n"/>
      <c r="I1350" s="45" t="n">
        <v>2080900</v>
      </c>
      <c r="J1350" s="45" t="n">
        <v>2204591.292</v>
      </c>
      <c r="K1350" s="45" t="n">
        <v>1958800</v>
      </c>
      <c r="L1350" s="45" t="n">
        <v>2075464.974</v>
      </c>
      <c r="M1350" s="45" t="n">
        <v>0</v>
      </c>
      <c r="N1350" s="45" t="n">
        <v>0</v>
      </c>
      <c r="O1350" s="45" t="n">
        <v>1547132.772094077</v>
      </c>
      <c r="P1350" s="45" t="n">
        <v>1639280</v>
      </c>
      <c r="Q1350" s="45" t="n">
        <v>0</v>
      </c>
      <c r="R1350" s="45" t="n">
        <v>0</v>
      </c>
      <c r="S1350" s="45" t="n">
        <v>3505932.772094076</v>
      </c>
      <c r="T1350" s="45" t="n">
        <v>3714744.974</v>
      </c>
      <c r="U1350" s="15" t="n">
        <v>3.76</v>
      </c>
      <c r="V1350" s="15" t="n">
        <v>7.66</v>
      </c>
      <c r="W1350" s="49" t="n">
        <v>105.956</v>
      </c>
    </row>
    <row r="1351">
      <c r="A1351" s="44" t="inlineStr">
        <is>
          <t>TL Cinsi Sabit Faizli Kuponlu Senetler</t>
        </is>
      </c>
      <c r="B1351" s="44" t="n">
        <v>2012</v>
      </c>
      <c r="C1351" s="44" t="inlineStr">
        <is>
          <t>TRT120122T17</t>
        </is>
      </c>
      <c r="D1351" s="44" t="inlineStr">
        <is>
          <t>nan</t>
        </is>
      </c>
      <c r="E1351" s="44" t="inlineStr">
        <is>
          <t>nan</t>
        </is>
      </c>
      <c r="F1351" s="44" t="n"/>
      <c r="G1351" s="44" t="n"/>
      <c r="H1351" s="15" t="n"/>
      <c r="I1351" s="45" t="n">
        <v>1021200</v>
      </c>
      <c r="J1351" s="45" t="n">
        <v>1116486.47</v>
      </c>
      <c r="K1351" s="45" t="n">
        <v>868700</v>
      </c>
      <c r="L1351" s="45" t="n">
        <v>950539.415</v>
      </c>
      <c r="M1351" s="45" t="n">
        <v>0</v>
      </c>
      <c r="N1351" s="45" t="n">
        <v>0</v>
      </c>
      <c r="O1351" s="45" t="n">
        <v>619579.4225971248</v>
      </c>
      <c r="P1351" s="45" t="n">
        <v>677600</v>
      </c>
      <c r="Q1351" s="45" t="n">
        <v>0</v>
      </c>
      <c r="R1351" s="45" t="n">
        <v>0</v>
      </c>
      <c r="S1351" s="45" t="n">
        <v>1488279.423</v>
      </c>
      <c r="T1351" s="45" t="n">
        <v>1628489.415</v>
      </c>
      <c r="U1351" s="15" t="n">
        <v>4.05</v>
      </c>
      <c r="V1351" s="15" t="n">
        <v>8.27</v>
      </c>
      <c r="W1351" s="49" t="n">
        <v>109.421</v>
      </c>
    </row>
    <row r="1352">
      <c r="A1352" s="44" t="inlineStr">
        <is>
          <t>TL Cinsi Sabit Faizli Kuponlu Senetler</t>
        </is>
      </c>
      <c r="B1352" s="44" t="n">
        <v>2012</v>
      </c>
      <c r="C1352" s="44" t="inlineStr">
        <is>
          <t>TRT140922T17</t>
        </is>
      </c>
      <c r="D1352" s="44" t="inlineStr">
        <is>
          <t>nan</t>
        </is>
      </c>
      <c r="E1352" s="44" t="inlineStr">
        <is>
          <t>nan</t>
        </is>
      </c>
      <c r="F1352" s="44" t="n"/>
      <c r="G1352" s="44" t="n"/>
      <c r="H1352" s="15" t="n"/>
      <c r="I1352" s="45" t="n">
        <v>3685493.515</v>
      </c>
      <c r="J1352" s="45" t="n">
        <v>3688254.7214</v>
      </c>
      <c r="K1352" s="45" t="n">
        <v>959729</v>
      </c>
      <c r="L1352" s="45" t="n">
        <v>963876.88294</v>
      </c>
      <c r="M1352" s="45" t="n">
        <v>1557272.582443843</v>
      </c>
      <c r="N1352" s="45" t="n">
        <v>1564000</v>
      </c>
      <c r="O1352" s="45" t="n">
        <v>401863.9477457384</v>
      </c>
      <c r="P1352" s="45" t="n">
        <v>403600</v>
      </c>
      <c r="Q1352" s="45" t="n">
        <v>194280.027</v>
      </c>
      <c r="R1352" s="45" t="n">
        <v>195119.31671664</v>
      </c>
      <c r="S1352" s="45" t="n">
        <v>3113145.557189581</v>
      </c>
      <c r="T1352" s="45" t="n">
        <v>3126596.19965664</v>
      </c>
      <c r="U1352" s="15" t="n">
        <v>4.22</v>
      </c>
      <c r="V1352" s="15" t="n">
        <v>8.609999999999999</v>
      </c>
      <c r="W1352" s="49" t="n">
        <v>100.432</v>
      </c>
    </row>
    <row r="1353">
      <c r="A1353" s="44" t="inlineStr">
        <is>
          <t>TL Cinsi Sabit Faizli Kuponlu Senetler</t>
        </is>
      </c>
      <c r="B1353" s="44" t="n">
        <v>2012</v>
      </c>
      <c r="C1353" s="44" t="inlineStr">
        <is>
          <t>TRT240914T15</t>
        </is>
      </c>
      <c r="D1353" s="44" t="inlineStr">
        <is>
          <t>nan</t>
        </is>
      </c>
      <c r="E1353" s="44" t="inlineStr">
        <is>
          <t>nan</t>
        </is>
      </c>
      <c r="F1353" s="44" t="n"/>
      <c r="G1353" s="44" t="n"/>
      <c r="H1353" s="15" t="n"/>
      <c r="I1353" s="45" t="n">
        <v>6144064</v>
      </c>
      <c r="J1353" s="45" t="n">
        <v>6145841.95755</v>
      </c>
      <c r="K1353" s="45" t="n">
        <v>2108891</v>
      </c>
      <c r="L1353" s="45" t="n">
        <v>2111822.90908</v>
      </c>
      <c r="M1353" s="45" t="n">
        <v>349514.1752963381</v>
      </c>
      <c r="N1353" s="45" t="n">
        <v>350000</v>
      </c>
      <c r="O1353" s="45" t="n">
        <v>1189446.669129909</v>
      </c>
      <c r="P1353" s="45" t="n">
        <v>1191100</v>
      </c>
      <c r="Q1353" s="45" t="n">
        <v>289782.699</v>
      </c>
      <c r="R1353" s="45" t="n">
        <v>290185.49695161</v>
      </c>
      <c r="S1353" s="45" t="n">
        <v>3937634.543426248</v>
      </c>
      <c r="T1353" s="45" t="n">
        <v>3943108.40603161</v>
      </c>
      <c r="U1353" s="15" t="n">
        <v>3.71</v>
      </c>
      <c r="V1353" s="15" t="n">
        <v>7.56</v>
      </c>
      <c r="W1353" s="49" t="n">
        <v>100.139</v>
      </c>
    </row>
    <row r="1354">
      <c r="A1354" s="44" t="inlineStr">
        <is>
          <t>TL Cinsi Sabit Faizli Kuponlu Senetler</t>
        </is>
      </c>
      <c r="B1354" s="44" t="n">
        <v>2012</v>
      </c>
      <c r="C1354" s="44" t="inlineStr">
        <is>
          <t>TRT240914T15</t>
        </is>
      </c>
      <c r="D1354" s="44" t="inlineStr">
        <is>
          <t>nan</t>
        </is>
      </c>
      <c r="E1354" s="44" t="inlineStr">
        <is>
          <t>nan</t>
        </is>
      </c>
      <c r="F1354" s="44" t="n"/>
      <c r="G1354" s="44" t="n"/>
      <c r="H1354" s="15" t="n"/>
      <c r="I1354" s="45" t="n">
        <v>7489033.053</v>
      </c>
      <c r="J1354" s="45" t="n">
        <v>7533940.23234</v>
      </c>
      <c r="K1354" s="45" t="n">
        <v>1586797</v>
      </c>
      <c r="L1354" s="45" t="n">
        <v>1597033.02148</v>
      </c>
      <c r="M1354" s="45" t="n">
        <v>457052.0145064335</v>
      </c>
      <c r="N1354" s="45" t="n">
        <v>460000</v>
      </c>
      <c r="O1354" s="45" t="n">
        <v>512047.2949475881</v>
      </c>
      <c r="P1354" s="45" t="n">
        <v>515350</v>
      </c>
      <c r="Q1354" s="45" t="n">
        <v>35907.153</v>
      </c>
      <c r="R1354" s="45" t="n">
        <v>36138.75413685</v>
      </c>
      <c r="S1354" s="45" t="n">
        <v>2591803.462454021</v>
      </c>
      <c r="T1354" s="45" t="n">
        <v>2608521.77561685</v>
      </c>
      <c r="U1354" s="15" t="n">
        <v>3.69</v>
      </c>
      <c r="V1354" s="15" t="n">
        <v>7.51</v>
      </c>
      <c r="W1354" s="49" t="n">
        <v>100.645</v>
      </c>
    </row>
    <row r="1355">
      <c r="A1355" s="44" t="inlineStr">
        <is>
          <t>TL Cinsi Sabit Faizli Kuponlu Senetler</t>
        </is>
      </c>
      <c r="B1355" s="44" t="n">
        <v>2012</v>
      </c>
      <c r="C1355" s="44" t="inlineStr">
        <is>
          <t>TRT080317T18</t>
        </is>
      </c>
      <c r="D1355" s="44" t="inlineStr">
        <is>
          <t>nan</t>
        </is>
      </c>
      <c r="E1355" s="44" t="inlineStr">
        <is>
          <t>nan</t>
        </is>
      </c>
      <c r="F1355" s="44" t="n"/>
      <c r="G1355" s="44" t="n"/>
      <c r="H1355" s="15" t="n"/>
      <c r="I1355" s="45" t="n">
        <v>3027716</v>
      </c>
      <c r="J1355" s="45" t="n">
        <v>3251590.02664</v>
      </c>
      <c r="K1355" s="45" t="n">
        <v>675368</v>
      </c>
      <c r="L1355" s="45" t="n">
        <v>728487.8223999999</v>
      </c>
      <c r="M1355" s="45" t="n">
        <v>1026282.853566959</v>
      </c>
      <c r="N1355" s="45" t="n">
        <v>1107000</v>
      </c>
      <c r="O1355" s="45" t="n">
        <v>194340.1474064803</v>
      </c>
      <c r="P1355" s="45" t="n">
        <v>209625</v>
      </c>
      <c r="Q1355" s="45" t="n">
        <v>149058.831</v>
      </c>
      <c r="R1355" s="45" t="n">
        <v>160782.30805815</v>
      </c>
      <c r="S1355" s="45" t="n">
        <v>2045049.831973439</v>
      </c>
      <c r="T1355" s="45" t="n">
        <v>2205895.13045815</v>
      </c>
      <c r="U1355" s="15" t="n">
        <v>3.62</v>
      </c>
      <c r="V1355" s="15" t="n">
        <v>7.36</v>
      </c>
      <c r="W1355" s="49" t="n">
        <v>107.865</v>
      </c>
    </row>
    <row r="1356">
      <c r="A1356" s="44" t="inlineStr">
        <is>
          <t>TL Cinsi Sabit Faizli Kuponlu Senetler</t>
        </is>
      </c>
      <c r="B1356" s="44" t="n">
        <v>2012</v>
      </c>
      <c r="C1356" s="44" t="inlineStr">
        <is>
          <t>TRT240914T15</t>
        </is>
      </c>
      <c r="D1356" s="44" t="inlineStr">
        <is>
          <t>nan</t>
        </is>
      </c>
      <c r="E1356" s="44" t="inlineStr">
        <is>
          <t>nan</t>
        </is>
      </c>
      <c r="F1356" s="44" t="n"/>
      <c r="G1356" s="44" t="n"/>
      <c r="H1356" s="15" t="n"/>
      <c r="I1356" s="45" t="n">
        <v>3827039.37</v>
      </c>
      <c r="J1356" s="45" t="n">
        <v>3904353.7664</v>
      </c>
      <c r="K1356" s="45" t="n">
        <v>1179400</v>
      </c>
      <c r="L1356" s="45" t="n">
        <v>1204256.399</v>
      </c>
      <c r="M1356" s="45" t="n">
        <v>195871.0385082462</v>
      </c>
      <c r="N1356" s="45" t="n">
        <v>200000</v>
      </c>
      <c r="O1356" s="45" t="n">
        <v>1117405.100481843</v>
      </c>
      <c r="P1356" s="45" t="n">
        <v>1140960</v>
      </c>
      <c r="Q1356" s="45" t="n">
        <v>4004.583</v>
      </c>
      <c r="R1356" s="45" t="n">
        <v>4088.99960964</v>
      </c>
      <c r="S1356" s="45" t="n">
        <v>2496680.721990089</v>
      </c>
      <c r="T1356" s="45" t="n">
        <v>2549305.39860964</v>
      </c>
      <c r="U1356" s="15" t="n">
        <v>3.39</v>
      </c>
      <c r="V1356" s="15" t="n">
        <v>6.9</v>
      </c>
      <c r="W1356" s="49" t="n">
        <v>102.108</v>
      </c>
    </row>
    <row r="1357">
      <c r="A1357" s="44" t="inlineStr">
        <is>
          <t>TL Cinsi Sabit Faizli Kuponlu Senetler</t>
        </is>
      </c>
      <c r="B1357" s="44" t="n">
        <v>2012</v>
      </c>
      <c r="C1357" s="44" t="inlineStr">
        <is>
          <t>TRT140922T17</t>
        </is>
      </c>
      <c r="D1357" s="44" t="inlineStr">
        <is>
          <t>nan</t>
        </is>
      </c>
      <c r="E1357" s="44" t="inlineStr">
        <is>
          <t>nan</t>
        </is>
      </c>
      <c r="F1357" s="44" t="n"/>
      <c r="G1357" s="44" t="n"/>
      <c r="H1357" s="15" t="n"/>
      <c r="I1357" s="45" t="n">
        <v>2875028.21</v>
      </c>
      <c r="J1357" s="45" t="n">
        <v>3070361.29602</v>
      </c>
      <c r="K1357" s="45" t="n">
        <v>1301700</v>
      </c>
      <c r="L1357" s="45" t="n">
        <v>1394757.967</v>
      </c>
      <c r="M1357" s="45" t="n">
        <v>933279.8252900167</v>
      </c>
      <c r="N1357" s="45" t="n">
        <v>1000000</v>
      </c>
      <c r="O1357" s="45" t="n">
        <v>638960.6995865571</v>
      </c>
      <c r="P1357" s="45" t="n">
        <v>684640</v>
      </c>
      <c r="Q1357" s="45" t="n">
        <v>264378.426</v>
      </c>
      <c r="R1357" s="45" t="n">
        <v>283278.83967474</v>
      </c>
      <c r="S1357" s="45" t="n">
        <v>3138318.950876574</v>
      </c>
      <c r="T1357" s="45" t="n">
        <v>3362676.80667474</v>
      </c>
      <c r="U1357" s="15" t="n">
        <v>3.8</v>
      </c>
      <c r="V1357" s="15" t="n">
        <v>7.74</v>
      </c>
      <c r="W1357" s="49" t="n">
        <v>107.149</v>
      </c>
    </row>
    <row r="1358">
      <c r="A1358" s="44" t="inlineStr">
        <is>
          <t>TL Cinsi Sabit Faizli Kuponlu Senetler</t>
        </is>
      </c>
      <c r="B1358" s="44" t="n">
        <v>2012</v>
      </c>
      <c r="C1358" s="44" t="inlineStr">
        <is>
          <t>TRT240914T15</t>
        </is>
      </c>
      <c r="D1358" s="44" t="inlineStr">
        <is>
          <t>nan</t>
        </is>
      </c>
      <c r="E1358" s="44" t="inlineStr">
        <is>
          <t>nan</t>
        </is>
      </c>
      <c r="F1358" s="44" t="n"/>
      <c r="G1358" s="44" t="n"/>
      <c r="H1358" s="15" t="n"/>
      <c r="I1358" s="45" t="n">
        <v>1506319.15</v>
      </c>
      <c r="J1358" s="45" t="n">
        <v>1574683.853</v>
      </c>
      <c r="K1358" s="45" t="n">
        <v>601300</v>
      </c>
      <c r="L1358" s="45" t="n">
        <v>629029.47</v>
      </c>
      <c r="M1358" s="45" t="n">
        <v>0</v>
      </c>
      <c r="N1358" s="45" t="n">
        <v>0</v>
      </c>
      <c r="O1358" s="45" t="n">
        <v>316263.9085382174</v>
      </c>
      <c r="P1358" s="45" t="n">
        <v>330850</v>
      </c>
      <c r="Q1358" s="45" t="n">
        <v>179200</v>
      </c>
      <c r="R1358" s="45" t="n">
        <v>187464.704</v>
      </c>
      <c r="S1358" s="45" t="n">
        <v>1096763.908538217</v>
      </c>
      <c r="T1358" s="45" t="n">
        <v>1147344.174</v>
      </c>
      <c r="U1358" s="15" t="n">
        <v>2.84</v>
      </c>
      <c r="V1358" s="15" t="n">
        <v>5.77</v>
      </c>
      <c r="W1358" s="49" t="n">
        <v>104.612</v>
      </c>
    </row>
    <row r="1359">
      <c r="A1359" s="44" t="inlineStr">
        <is>
          <t>TL Cinsi Sabit Faizli Kuponlu Senetler</t>
        </is>
      </c>
      <c r="B1359" s="44" t="n">
        <v>2011</v>
      </c>
      <c r="C1359" s="44" t="inlineStr">
        <is>
          <t>TRT150120T16</t>
        </is>
      </c>
      <c r="D1359" s="44" t="inlineStr">
        <is>
          <t>nan</t>
        </is>
      </c>
      <c r="E1359" s="44" t="inlineStr">
        <is>
          <t>nan</t>
        </is>
      </c>
      <c r="F1359" s="44" t="n"/>
      <c r="G1359" s="44" t="n"/>
      <c r="H1359" s="15" t="n"/>
      <c r="I1359" s="45" t="n">
        <v>3297727.87</v>
      </c>
      <c r="J1359" s="45" t="n">
        <v>3840709.28968</v>
      </c>
      <c r="K1359" s="45" t="n">
        <v>2080221.85</v>
      </c>
      <c r="L1359" s="45" t="n">
        <v>2430171.66863</v>
      </c>
      <c r="M1359" s="45" t="n">
        <v>0</v>
      </c>
      <c r="N1359" s="45" t="n">
        <v>0</v>
      </c>
      <c r="O1359" s="45" t="n">
        <v>748482.7474041927</v>
      </c>
      <c r="P1359" s="45" t="n">
        <v>874400</v>
      </c>
      <c r="Q1359" s="45" t="n">
        <v>108245.405</v>
      </c>
      <c r="R1359" s="45" t="n">
        <v>126455.52948315</v>
      </c>
      <c r="S1359" s="45" t="n">
        <v>2936950.002404193</v>
      </c>
      <c r="T1359" s="45" t="n">
        <v>3431027.19811315</v>
      </c>
      <c r="U1359" s="15" t="n">
        <v>4.28</v>
      </c>
      <c r="V1359" s="15" t="n">
        <v>8.753183999999981</v>
      </c>
      <c r="W1359" s="49" t="n">
        <v>116.823</v>
      </c>
    </row>
    <row r="1360">
      <c r="A1360" s="44" t="inlineStr">
        <is>
          <t>TL Cinsi Sabit Faizli Kuponlu Senetler</t>
        </is>
      </c>
      <c r="B1360" s="44" t="n">
        <v>2011</v>
      </c>
      <c r="C1360" s="44" t="inlineStr">
        <is>
          <t>TRT091013T12</t>
        </is>
      </c>
      <c r="D1360" s="44" t="inlineStr">
        <is>
          <t>nan</t>
        </is>
      </c>
      <c r="E1360" s="44" t="inlineStr">
        <is>
          <t>nan</t>
        </is>
      </c>
      <c r="F1360" s="44" t="n"/>
      <c r="G1360" s="44" t="n"/>
      <c r="H1360" s="15" t="n"/>
      <c r="I1360" s="45" t="n">
        <v>6170649.924</v>
      </c>
      <c r="J1360" s="45" t="n">
        <v>6182519.71235</v>
      </c>
      <c r="K1360" s="45" t="n">
        <v>4184848.924</v>
      </c>
      <c r="L1360" s="45" t="n">
        <v>4199563.50035</v>
      </c>
      <c r="M1360" s="45" t="n">
        <v>0</v>
      </c>
      <c r="N1360" s="45" t="n">
        <v>0</v>
      </c>
      <c r="O1360" s="45" t="n">
        <v>1017343.550701531</v>
      </c>
      <c r="P1360" s="45" t="n">
        <v>1020924.6</v>
      </c>
      <c r="Q1360" s="45" t="n">
        <v>132031.688</v>
      </c>
      <c r="R1360" s="45" t="n">
        <v>132496.43954176</v>
      </c>
      <c r="S1360" s="45" t="n">
        <v>5334224.16270153</v>
      </c>
      <c r="T1360" s="45" t="n">
        <v>5352984.539891761</v>
      </c>
      <c r="U1360" s="15" t="n">
        <v>1.98</v>
      </c>
      <c r="V1360" s="15" t="n">
        <v>8.158344326336152</v>
      </c>
      <c r="W1360" s="49" t="n">
        <v>100.352</v>
      </c>
    </row>
    <row r="1361">
      <c r="A1361" s="44" t="inlineStr">
        <is>
          <t>TL Cinsi Sabit Faizli Kuponlu Senetler</t>
        </is>
      </c>
      <c r="B1361" s="44" t="n">
        <v>2011</v>
      </c>
      <c r="C1361" s="44" t="inlineStr">
        <is>
          <t>TRT290114T18</t>
        </is>
      </c>
      <c r="D1361" s="44" t="inlineStr">
        <is>
          <t>nan</t>
        </is>
      </c>
      <c r="E1361" s="44" t="inlineStr">
        <is>
          <t>nan</t>
        </is>
      </c>
      <c r="F1361" s="44" t="n"/>
      <c r="G1361" s="44" t="n"/>
      <c r="H1361" s="15" t="n"/>
      <c r="I1361" s="45" t="n">
        <v>1931866.7</v>
      </c>
      <c r="J1361" s="45" t="n">
        <v>1887543.3192</v>
      </c>
      <c r="K1361" s="45" t="n">
        <v>1441000</v>
      </c>
      <c r="L1361" s="45" t="n">
        <v>1409275.07</v>
      </c>
      <c r="M1361" s="45" t="n">
        <v>0</v>
      </c>
      <c r="N1361" s="45" t="n">
        <v>0</v>
      </c>
      <c r="O1361" s="45" t="n">
        <v>307265.9972596577</v>
      </c>
      <c r="P1361" s="45" t="n">
        <v>300500</v>
      </c>
      <c r="Q1361" s="45" t="n">
        <v>106344.177</v>
      </c>
      <c r="R1361" s="45" t="n">
        <v>104002.47822246</v>
      </c>
      <c r="S1361" s="45" t="n">
        <v>1854610.174259658</v>
      </c>
      <c r="T1361" s="45" t="n">
        <v>1813777.54822246</v>
      </c>
      <c r="U1361" s="15" t="n">
        <v>2.21</v>
      </c>
      <c r="V1361" s="15" t="n">
        <v>9.137387398832807</v>
      </c>
      <c r="W1361" s="49" t="n">
        <v>97.798</v>
      </c>
    </row>
    <row r="1362">
      <c r="A1362" s="44" t="inlineStr">
        <is>
          <t>TL Cinsi Sabit Faizli Kuponlu Senetler</t>
        </is>
      </c>
      <c r="B1362" s="44" t="n">
        <v>2011</v>
      </c>
      <c r="C1362" s="44" t="inlineStr">
        <is>
          <t>TRT270116T18</t>
        </is>
      </c>
      <c r="D1362" s="44" t="inlineStr">
        <is>
          <t>nan</t>
        </is>
      </c>
      <c r="E1362" s="44" t="inlineStr">
        <is>
          <t>nan</t>
        </is>
      </c>
      <c r="F1362" s="44" t="n"/>
      <c r="G1362" s="44" t="n"/>
      <c r="H1362" s="15" t="n"/>
      <c r="I1362" s="45" t="n">
        <v>2360925.169</v>
      </c>
      <c r="J1362" s="45" t="n">
        <v>2322627.52475</v>
      </c>
      <c r="K1362" s="45" t="n">
        <v>1082953.204</v>
      </c>
      <c r="L1362" s="45" t="n">
        <v>1071293.15866</v>
      </c>
      <c r="M1362" s="45" t="n">
        <v>1213064.70689324</v>
      </c>
      <c r="N1362" s="45" t="n">
        <v>1200000</v>
      </c>
      <c r="O1362" s="45" t="n">
        <v>676283.5740929814</v>
      </c>
      <c r="P1362" s="45" t="n">
        <v>669000</v>
      </c>
      <c r="Q1362" s="45" t="n">
        <v>161369.59</v>
      </c>
      <c r="R1362" s="45" t="n">
        <v>159631.6395157</v>
      </c>
      <c r="S1362" s="45" t="n">
        <v>3133671.074986221</v>
      </c>
      <c r="T1362" s="45" t="n">
        <v>3099924.7981757</v>
      </c>
      <c r="U1362" s="15" t="n">
        <v>4.64</v>
      </c>
      <c r="V1362" s="15" t="n">
        <v>9.485296000000009</v>
      </c>
      <c r="W1362" s="49" t="n">
        <v>98.923</v>
      </c>
    </row>
    <row r="1363">
      <c r="A1363" s="44" t="inlineStr">
        <is>
          <t>TL Cinsi Sabit Faizli Kuponlu Senetler</t>
        </is>
      </c>
      <c r="B1363" s="44" t="n">
        <v>2011</v>
      </c>
      <c r="C1363" s="44" t="inlineStr">
        <is>
          <t>TRT290114T18</t>
        </is>
      </c>
      <c r="D1363" s="44" t="inlineStr">
        <is>
          <t>nan</t>
        </is>
      </c>
      <c r="E1363" s="44" t="inlineStr">
        <is>
          <t>nan</t>
        </is>
      </c>
      <c r="F1363" s="44" t="n"/>
      <c r="G1363" s="44" t="n"/>
      <c r="H1363" s="15" t="n"/>
      <c r="I1363" s="45" t="n">
        <v>698274.2</v>
      </c>
      <c r="J1363" s="45" t="n">
        <v>681991.8748399999</v>
      </c>
      <c r="K1363" s="45" t="n">
        <v>315320.2</v>
      </c>
      <c r="L1363" s="45" t="n">
        <v>308559.861</v>
      </c>
      <c r="M1363" s="45" t="n">
        <v>204381.9489862655</v>
      </c>
      <c r="N1363" s="45" t="n">
        <v>200000</v>
      </c>
      <c r="O1363" s="45" t="n">
        <v>107811.4780902551</v>
      </c>
      <c r="P1363" s="45" t="n">
        <v>105500</v>
      </c>
      <c r="Q1363" s="45" t="n">
        <v>28800</v>
      </c>
      <c r="R1363" s="45" t="n">
        <v>28182.528</v>
      </c>
      <c r="S1363" s="45" t="n">
        <v>656313.6270765206</v>
      </c>
      <c r="T1363" s="45" t="n">
        <v>642242.389</v>
      </c>
      <c r="U1363" s="15" t="n">
        <v>2.29</v>
      </c>
      <c r="V1363" s="15" t="n">
        <v>9.469477096184752</v>
      </c>
      <c r="W1363" s="49" t="n">
        <v>97.85599999999999</v>
      </c>
    </row>
    <row r="1364">
      <c r="A1364" s="44" t="inlineStr">
        <is>
          <t>TL Cinsi Sabit Faizli Kuponlu Senetler</t>
        </is>
      </c>
      <c r="B1364" s="44" t="n">
        <v>2011</v>
      </c>
      <c r="C1364" s="44" t="inlineStr">
        <is>
          <t>TRT290114T18</t>
        </is>
      </c>
      <c r="D1364" s="44" t="inlineStr">
        <is>
          <t>nan</t>
        </is>
      </c>
      <c r="E1364" s="44" t="inlineStr">
        <is>
          <t>nan</t>
        </is>
      </c>
      <c r="F1364" s="44" t="n"/>
      <c r="G1364" s="44" t="n"/>
      <c r="H1364" s="15" t="n"/>
      <c r="I1364" s="45" t="n">
        <v>2612671.705</v>
      </c>
      <c r="J1364" s="45" t="n">
        <v>2582906.22496</v>
      </c>
      <c r="K1364" s="45" t="n">
        <v>1254748.705</v>
      </c>
      <c r="L1364" s="45" t="n">
        <v>1241814.24147</v>
      </c>
      <c r="M1364" s="45" t="n">
        <v>262708.5248916328</v>
      </c>
      <c r="N1364" s="45" t="n">
        <v>260000</v>
      </c>
      <c r="O1364" s="45" t="n">
        <v>86895.89669492468</v>
      </c>
      <c r="P1364" s="45" t="n">
        <v>86000</v>
      </c>
      <c r="Q1364" s="45" t="n">
        <v>206585.854</v>
      </c>
      <c r="R1364" s="45" t="n">
        <v>204455.95384526</v>
      </c>
      <c r="S1364" s="45" t="n">
        <v>1810938.980586558</v>
      </c>
      <c r="T1364" s="45" t="n">
        <v>1792270.19531526</v>
      </c>
      <c r="U1364" s="15" t="n">
        <v>2.26</v>
      </c>
      <c r="V1364" s="15" t="n">
        <v>9.361099357977755</v>
      </c>
      <c r="W1364" s="49" t="n">
        <v>98.96899999999999</v>
      </c>
    </row>
    <row r="1365">
      <c r="A1365" s="44" t="inlineStr">
        <is>
          <t>TL Cinsi Sabit Faizli Kuponlu Senetler</t>
        </is>
      </c>
      <c r="B1365" s="44" t="n">
        <v>2011</v>
      </c>
      <c r="C1365" s="44" t="inlineStr">
        <is>
          <t>TRT290114T18</t>
        </is>
      </c>
      <c r="D1365" s="44" t="inlineStr">
        <is>
          <t>nan</t>
        </is>
      </c>
      <c r="E1365" s="44" t="inlineStr">
        <is>
          <t>nan</t>
        </is>
      </c>
      <c r="F1365" s="44" t="n"/>
      <c r="G1365" s="44" t="n"/>
      <c r="H1365" s="15" t="n"/>
      <c r="I1365" s="45" t="n">
        <v>3843626.02</v>
      </c>
      <c r="J1365" s="45" t="n">
        <v>3761129.57284</v>
      </c>
      <c r="K1365" s="45" t="n">
        <v>1983565</v>
      </c>
      <c r="L1365" s="45" t="n">
        <v>1943132.68565</v>
      </c>
      <c r="M1365" s="45" t="n">
        <v>1495477.838345481</v>
      </c>
      <c r="N1365" s="45" t="n">
        <v>1465000</v>
      </c>
      <c r="O1365" s="45" t="n">
        <v>343434.1887670729</v>
      </c>
      <c r="P1365" s="45" t="n">
        <v>336435</v>
      </c>
      <c r="Q1365" s="45" t="n">
        <v>302578.483</v>
      </c>
      <c r="R1365" s="45" t="n">
        <v>296411.93351646</v>
      </c>
      <c r="S1365" s="45" t="n">
        <v>4125055.510112554</v>
      </c>
      <c r="T1365" s="45" t="n">
        <v>4040979.61916646</v>
      </c>
      <c r="U1365" s="15" t="n">
        <v>2.23</v>
      </c>
      <c r="V1365" s="15" t="n">
        <v>9.212834556534409</v>
      </c>
      <c r="W1365" s="49" t="n">
        <v>97.962</v>
      </c>
    </row>
    <row r="1366">
      <c r="A1366" s="44" t="inlineStr">
        <is>
          <t>TL Cinsi Sabit Faizli Kuponlu Senetler</t>
        </is>
      </c>
      <c r="B1366" s="44" t="n">
        <v>2011</v>
      </c>
      <c r="C1366" s="44" t="inlineStr">
        <is>
          <t>TRT270116T18</t>
        </is>
      </c>
      <c r="D1366" s="44" t="inlineStr">
        <is>
          <t>nan</t>
        </is>
      </c>
      <c r="E1366" s="44" t="inlineStr">
        <is>
          <t>nan</t>
        </is>
      </c>
      <c r="F1366" s="44" t="n"/>
      <c r="G1366" s="44" t="n"/>
      <c r="H1366" s="15" t="n"/>
      <c r="I1366" s="45" t="n">
        <v>1535127</v>
      </c>
      <c r="J1366" s="45" t="n">
        <v>1562241.87221</v>
      </c>
      <c r="K1366" s="45" t="n">
        <v>361702</v>
      </c>
      <c r="L1366" s="45" t="n">
        <v>369236.93196</v>
      </c>
      <c r="M1366" s="45" t="n">
        <v>293878.5106237081</v>
      </c>
      <c r="N1366" s="45" t="n">
        <v>300000</v>
      </c>
      <c r="O1366" s="45" t="n">
        <v>363292.6148330281</v>
      </c>
      <c r="P1366" s="45" t="n">
        <v>370860</v>
      </c>
      <c r="Q1366" s="45" t="n">
        <v>13601.226</v>
      </c>
      <c r="R1366" s="45" t="n">
        <v>13884.53953758</v>
      </c>
      <c r="S1366" s="45" t="n">
        <v>1032474.351456736</v>
      </c>
      <c r="T1366" s="45" t="n">
        <v>1053981.47149758</v>
      </c>
      <c r="U1366" s="15" t="n">
        <v>4.54</v>
      </c>
      <c r="V1366" s="15" t="n">
        <v>9.286116000000021</v>
      </c>
      <c r="W1366" s="49" t="n">
        <v>102.083</v>
      </c>
    </row>
    <row r="1367">
      <c r="A1367" s="44" t="inlineStr">
        <is>
          <t>TL Cinsi Sabit Faizli Kuponlu Senetler</t>
        </is>
      </c>
      <c r="B1367" s="44" t="n">
        <v>2011</v>
      </c>
      <c r="C1367" s="44" t="inlineStr">
        <is>
          <t>TRT040614T12</t>
        </is>
      </c>
      <c r="D1367" s="44" t="inlineStr">
        <is>
          <t>nan</t>
        </is>
      </c>
      <c r="E1367" s="44" t="inlineStr">
        <is>
          <t>nan</t>
        </is>
      </c>
      <c r="F1367" s="44" t="n"/>
      <c r="G1367" s="44" t="n"/>
      <c r="H1367" s="15" t="n"/>
      <c r="I1367" s="45" t="n">
        <v>1351516.7</v>
      </c>
      <c r="J1367" s="45" t="n">
        <v>1310340.7894</v>
      </c>
      <c r="K1367" s="45" t="n">
        <v>625956.3</v>
      </c>
      <c r="L1367" s="45" t="n">
        <v>607676.4625</v>
      </c>
      <c r="M1367" s="45" t="n">
        <v>1102183.765966214</v>
      </c>
      <c r="N1367" s="45" t="n">
        <v>1070000</v>
      </c>
      <c r="O1367" s="45" t="n">
        <v>104346.9303667079</v>
      </c>
      <c r="P1367" s="45" t="n">
        <v>101300</v>
      </c>
      <c r="Q1367" s="45" t="n">
        <v>0</v>
      </c>
      <c r="R1367" s="45" t="n">
        <v>0</v>
      </c>
      <c r="S1367" s="45" t="n">
        <v>1832486.996332922</v>
      </c>
      <c r="T1367" s="45" t="n">
        <v>1778976.4625</v>
      </c>
      <c r="U1367" s="15" t="n">
        <v>2.28</v>
      </c>
      <c r="V1367" s="15" t="n">
        <v>9.436671964162514</v>
      </c>
      <c r="W1367" s="49" t="n">
        <v>97.08</v>
      </c>
    </row>
    <row r="1368">
      <c r="A1368" s="44" t="inlineStr">
        <is>
          <t>TL Cinsi Sabit Faizli Kuponlu Senetler</t>
        </is>
      </c>
      <c r="B1368" s="44" t="n">
        <v>2011</v>
      </c>
      <c r="C1368" s="44" t="inlineStr">
        <is>
          <t>TRT040614T12</t>
        </is>
      </c>
      <c r="D1368" s="44" t="inlineStr">
        <is>
          <t>nan</t>
        </is>
      </c>
      <c r="E1368" s="44" t="inlineStr">
        <is>
          <t>nan</t>
        </is>
      </c>
      <c r="F1368" s="44" t="n"/>
      <c r="G1368" s="44" t="n"/>
      <c r="H1368" s="15" t="n"/>
      <c r="I1368" s="45" t="n">
        <v>1628210.305</v>
      </c>
      <c r="J1368" s="45" t="n">
        <v>1598527.26685</v>
      </c>
      <c r="K1368" s="45" t="n">
        <v>746000</v>
      </c>
      <c r="L1368" s="45" t="n">
        <v>733117.2</v>
      </c>
      <c r="M1368" s="45" t="n">
        <v>630895.5664322856</v>
      </c>
      <c r="N1368" s="45" t="n">
        <v>620000</v>
      </c>
      <c r="O1368" s="45" t="n">
        <v>228526.6553376818</v>
      </c>
      <c r="P1368" s="45" t="n">
        <v>224580</v>
      </c>
      <c r="Q1368" s="45" t="n">
        <v>127648.782</v>
      </c>
      <c r="R1368" s="45" t="n">
        <v>125444.28753486</v>
      </c>
      <c r="S1368" s="45" t="n">
        <v>1733071.003769967</v>
      </c>
      <c r="T1368" s="45" t="n">
        <v>1703141.48753486</v>
      </c>
      <c r="U1368" s="15" t="n">
        <v>2.26</v>
      </c>
      <c r="V1368" s="15" t="n">
        <v>9.361099357977755</v>
      </c>
      <c r="W1368" s="49" t="n">
        <v>98.273</v>
      </c>
    </row>
    <row r="1369">
      <c r="A1369" s="44" t="inlineStr">
        <is>
          <t>TL Cinsi Sabit Faizli Kuponlu Senetler</t>
        </is>
      </c>
      <c r="B1369" s="44" t="n">
        <v>2011</v>
      </c>
      <c r="C1369" s="44" t="inlineStr">
        <is>
          <t>TRT150120T16</t>
        </is>
      </c>
      <c r="D1369" s="44" t="inlineStr">
        <is>
          <t>nan</t>
        </is>
      </c>
      <c r="E1369" s="44" t="inlineStr">
        <is>
          <t>nan</t>
        </is>
      </c>
      <c r="F1369" s="44" t="n"/>
      <c r="G1369" s="44" t="n"/>
      <c r="H1369" s="15" t="n"/>
      <c r="I1369" s="45" t="n">
        <v>567670</v>
      </c>
      <c r="J1369" s="45" t="n">
        <v>632240.9152</v>
      </c>
      <c r="K1369" s="45" t="n">
        <v>411000</v>
      </c>
      <c r="L1369" s="45" t="n">
        <v>458171.075</v>
      </c>
      <c r="M1369" s="45" t="n">
        <v>224261.5068579169</v>
      </c>
      <c r="N1369" s="45" t="n">
        <v>250000</v>
      </c>
      <c r="O1369" s="45" t="n">
        <v>380347.515631027</v>
      </c>
      <c r="P1369" s="45" t="n">
        <v>424000</v>
      </c>
      <c r="Q1369" s="45" t="n">
        <v>79204.592</v>
      </c>
      <c r="R1369" s="45" t="n">
        <v>88294.90302384</v>
      </c>
      <c r="S1369" s="45" t="n">
        <v>1094813.614488944</v>
      </c>
      <c r="T1369" s="45" t="n">
        <v>1220465.97802384</v>
      </c>
      <c r="U1369" s="15" t="n">
        <v>4.69</v>
      </c>
      <c r="V1369" s="15" t="n">
        <v>9.609960999999979</v>
      </c>
      <c r="W1369" s="49" t="n">
        <v>111.477</v>
      </c>
    </row>
    <row r="1370">
      <c r="A1370" s="44" t="inlineStr">
        <is>
          <t>TL Cinsi Sabit Faizli Kuponlu Senetler</t>
        </is>
      </c>
      <c r="B1370" s="44" t="n">
        <v>2011</v>
      </c>
      <c r="C1370" s="44" t="inlineStr">
        <is>
          <t>TRT040614T12</t>
        </is>
      </c>
      <c r="D1370" s="44" t="inlineStr">
        <is>
          <t>nan</t>
        </is>
      </c>
      <c r="E1370" s="44" t="inlineStr">
        <is>
          <t>nan</t>
        </is>
      </c>
      <c r="F1370" s="44" t="n"/>
      <c r="G1370" s="44" t="n"/>
      <c r="H1370" s="15" t="n"/>
      <c r="I1370" s="45" t="n">
        <v>2071465</v>
      </c>
      <c r="J1370" s="45" t="n">
        <v>2038930.47392</v>
      </c>
      <c r="K1370" s="45" t="n">
        <v>1167100</v>
      </c>
      <c r="L1370" s="45" t="n">
        <v>1150051.47</v>
      </c>
      <c r="M1370" s="45" t="n">
        <v>583525.3047016917</v>
      </c>
      <c r="N1370" s="45" t="n">
        <v>575000</v>
      </c>
      <c r="O1370" s="45" t="n">
        <v>882645.4500248632</v>
      </c>
      <c r="P1370" s="45" t="n">
        <v>869750</v>
      </c>
      <c r="Q1370" s="45" t="n">
        <v>281513.181</v>
      </c>
      <c r="R1370" s="45" t="n">
        <v>277400.27342559</v>
      </c>
      <c r="S1370" s="45" t="n">
        <v>2914783.935726555</v>
      </c>
      <c r="T1370" s="45" t="n">
        <v>2872201.74342559</v>
      </c>
      <c r="U1370" s="15" t="n">
        <v>2.27</v>
      </c>
      <c r="V1370" s="15" t="n">
        <v>9.403879385578408</v>
      </c>
      <c r="W1370" s="49" t="n">
        <v>98.539</v>
      </c>
    </row>
    <row r="1371">
      <c r="A1371" s="44" t="inlineStr">
        <is>
          <t>TL Cinsi Sabit Faizli Kuponlu Senetler</t>
        </is>
      </c>
      <c r="B1371" s="44" t="n">
        <v>2011</v>
      </c>
      <c r="C1371" s="44" t="inlineStr">
        <is>
          <t>TRT270116T18</t>
        </is>
      </c>
      <c r="D1371" s="44" t="inlineStr">
        <is>
          <t>nan</t>
        </is>
      </c>
      <c r="E1371" s="44" t="inlineStr">
        <is>
          <t>nan</t>
        </is>
      </c>
      <c r="F1371" s="44" t="n"/>
      <c r="G1371" s="44" t="n"/>
      <c r="H1371" s="15" t="n"/>
      <c r="I1371" s="45" t="n">
        <v>1580500</v>
      </c>
      <c r="J1371" s="45" t="n">
        <v>1596186.934</v>
      </c>
      <c r="K1371" s="45" t="n">
        <v>404500</v>
      </c>
      <c r="L1371" s="45" t="n">
        <v>409658.188</v>
      </c>
      <c r="M1371" s="45" t="n">
        <v>493705.2579609973</v>
      </c>
      <c r="N1371" s="45" t="n">
        <v>500000</v>
      </c>
      <c r="O1371" s="45" t="n">
        <v>249864.2310540607</v>
      </c>
      <c r="P1371" s="45" t="n">
        <v>253050</v>
      </c>
      <c r="Q1371" s="45" t="n">
        <v>60655.107</v>
      </c>
      <c r="R1371" s="45" t="n">
        <v>61428.45961425001</v>
      </c>
      <c r="S1371" s="45" t="n">
        <v>1208724.596015058</v>
      </c>
      <c r="T1371" s="45" t="n">
        <v>1224136.64761425</v>
      </c>
      <c r="U1371" s="15" t="n">
        <v>4.37</v>
      </c>
      <c r="V1371" s="15" t="n">
        <v>8.930969000000012</v>
      </c>
      <c r="W1371" s="49" t="n">
        <v>101.275</v>
      </c>
    </row>
    <row r="1372">
      <c r="A1372" s="44" t="inlineStr">
        <is>
          <t>TL Cinsi Sabit Faizli Kuponlu Senetler</t>
        </is>
      </c>
      <c r="B1372" s="44" t="n">
        <v>2011</v>
      </c>
      <c r="C1372" s="44" t="inlineStr">
        <is>
          <t>TRT040614T12</t>
        </is>
      </c>
      <c r="D1372" s="44" t="inlineStr">
        <is>
          <t>nan</t>
        </is>
      </c>
      <c r="E1372" s="44" t="inlineStr">
        <is>
          <t>nan</t>
        </is>
      </c>
      <c r="F1372" s="44" t="n"/>
      <c r="G1372" s="44" t="n"/>
      <c r="H1372" s="15" t="n"/>
      <c r="I1372" s="45" t="n">
        <v>1990700</v>
      </c>
      <c r="J1372" s="45" t="n">
        <v>1991436.62</v>
      </c>
      <c r="K1372" s="45" t="n">
        <v>1521400</v>
      </c>
      <c r="L1372" s="45" t="n">
        <v>1523369.92</v>
      </c>
      <c r="M1372" s="45" t="n">
        <v>399484.6647824306</v>
      </c>
      <c r="N1372" s="45" t="n">
        <v>400000</v>
      </c>
      <c r="O1372" s="45" t="n">
        <v>1012294.140558679</v>
      </c>
      <c r="P1372" s="45" t="n">
        <v>1013600</v>
      </c>
      <c r="Q1372" s="45" t="n">
        <v>348382.596</v>
      </c>
      <c r="R1372" s="45" t="n">
        <v>348832.00954884</v>
      </c>
      <c r="S1372" s="45" t="n">
        <v>3281561.40134111</v>
      </c>
      <c r="T1372" s="45" t="n">
        <v>3285801.92954884</v>
      </c>
      <c r="U1372" s="15" t="n">
        <v>1.99</v>
      </c>
      <c r="V1372" s="15" t="n">
        <v>8.190773921992033</v>
      </c>
      <c r="W1372" s="49" t="n">
        <v>100.129</v>
      </c>
    </row>
    <row r="1373">
      <c r="A1373" s="44" t="inlineStr">
        <is>
          <t>TL Cinsi Sabit Faizli Kuponlu Senetler</t>
        </is>
      </c>
      <c r="B1373" s="44" t="n">
        <v>2011</v>
      </c>
      <c r="C1373" s="44" t="inlineStr">
        <is>
          <t>TRT150120T16</t>
        </is>
      </c>
      <c r="D1373" s="44" t="inlineStr">
        <is>
          <t>nan</t>
        </is>
      </c>
      <c r="E1373" s="44" t="inlineStr">
        <is>
          <t>nan</t>
        </is>
      </c>
      <c r="F1373" s="44" t="n"/>
      <c r="G1373" s="44" t="n"/>
      <c r="H1373" s="15" t="n"/>
      <c r="I1373" s="45" t="n">
        <v>1041400</v>
      </c>
      <c r="J1373" s="45" t="n">
        <v>1165361.15</v>
      </c>
      <c r="K1373" s="45" t="n">
        <v>893200</v>
      </c>
      <c r="L1373" s="45" t="n">
        <v>1000099.81</v>
      </c>
      <c r="M1373" s="45" t="n">
        <v>156294.6556158903</v>
      </c>
      <c r="N1373" s="45" t="n">
        <v>175000</v>
      </c>
      <c r="O1373" s="45" t="n">
        <v>683632.823663904</v>
      </c>
      <c r="P1373" s="45" t="n">
        <v>765450</v>
      </c>
      <c r="Q1373" s="45" t="n">
        <v>0</v>
      </c>
      <c r="R1373" s="45" t="n">
        <v>0</v>
      </c>
      <c r="S1373" s="45" t="n">
        <v>1733127.479279794</v>
      </c>
      <c r="T1373" s="45" t="n">
        <v>1940549.81</v>
      </c>
      <c r="U1373" s="15" t="n">
        <v>4.33</v>
      </c>
      <c r="V1373" s="15" t="n">
        <v>8.847488999999985</v>
      </c>
      <c r="W1373" s="49" t="n">
        <v>111.968</v>
      </c>
    </row>
    <row r="1374">
      <c r="A1374" s="44" t="inlineStr">
        <is>
          <t>TL Cinsi Sabit Faizli Kuponlu Senetler</t>
        </is>
      </c>
      <c r="B1374" s="44" t="n">
        <v>2011</v>
      </c>
      <c r="C1374" s="44" t="inlineStr">
        <is>
          <t>TRT040614T12</t>
        </is>
      </c>
      <c r="D1374" s="44" t="inlineStr">
        <is>
          <t>nan</t>
        </is>
      </c>
      <c r="E1374" s="44" t="inlineStr">
        <is>
          <t>nan</t>
        </is>
      </c>
      <c r="F1374" s="44" t="n"/>
      <c r="G1374" s="44" t="n"/>
      <c r="H1374" s="15" t="n"/>
      <c r="I1374" s="45" t="n">
        <v>1208084</v>
      </c>
      <c r="J1374" s="45" t="n">
        <v>1205329.17368</v>
      </c>
      <c r="K1374" s="45" t="n">
        <v>690684</v>
      </c>
      <c r="L1374" s="45" t="n">
        <v>689631.1415800001</v>
      </c>
      <c r="M1374" s="45" t="n">
        <v>443674.3850652992</v>
      </c>
      <c r="N1374" s="45" t="n">
        <v>443000</v>
      </c>
      <c r="O1374" s="45" t="n">
        <v>350532.8098710039</v>
      </c>
      <c r="P1374" s="45" t="n">
        <v>350000</v>
      </c>
      <c r="Q1374" s="45" t="n">
        <v>13007.291</v>
      </c>
      <c r="R1374" s="45" t="n">
        <v>12987.51991768</v>
      </c>
      <c r="S1374" s="45" t="n">
        <v>1497898.485936303</v>
      </c>
      <c r="T1374" s="45" t="n">
        <v>1495618.66149768</v>
      </c>
      <c r="U1374" s="15" t="n">
        <v>2.1</v>
      </c>
      <c r="V1374" s="15" t="n">
        <v>8.658323848099945</v>
      </c>
      <c r="W1374" s="49" t="n">
        <v>99.848</v>
      </c>
    </row>
    <row r="1375">
      <c r="A1375" s="44" t="inlineStr">
        <is>
          <t>TL Cinsi Sabit Faizli Kuponlu Senetler</t>
        </is>
      </c>
      <c r="B1375" s="44" t="n">
        <v>2011</v>
      </c>
      <c r="C1375" s="44" t="inlineStr">
        <is>
          <t>TRT040614T12</t>
        </is>
      </c>
      <c r="D1375" s="44" t="inlineStr">
        <is>
          <t>nan</t>
        </is>
      </c>
      <c r="E1375" s="44" t="inlineStr">
        <is>
          <t>nan</t>
        </is>
      </c>
      <c r="F1375" s="44" t="n"/>
      <c r="G1375" s="44" t="n"/>
      <c r="H1375" s="15" t="n"/>
      <c r="I1375" s="45" t="n">
        <v>1095282</v>
      </c>
      <c r="J1375" s="45" t="n">
        <v>1066426.05338</v>
      </c>
      <c r="K1375" s="45" t="n">
        <v>437082</v>
      </c>
      <c r="L1375" s="45" t="n">
        <v>427530.29338</v>
      </c>
      <c r="M1375" s="45" t="n">
        <v>511169.0436027194</v>
      </c>
      <c r="N1375" s="45" t="n">
        <v>500000</v>
      </c>
      <c r="O1375" s="45" t="n">
        <v>256606.8598885652</v>
      </c>
      <c r="P1375" s="45" t="n">
        <v>251000</v>
      </c>
      <c r="Q1375" s="45" t="n">
        <v>0</v>
      </c>
      <c r="R1375" s="45" t="n">
        <v>0</v>
      </c>
      <c r="S1375" s="45" t="n">
        <v>1204857.903491285</v>
      </c>
      <c r="T1375" s="45" t="n">
        <v>1178530.29338</v>
      </c>
      <c r="U1375" s="15" t="n">
        <v>2.41</v>
      </c>
      <c r="V1375" s="15" t="n">
        <v>10.01411874242562</v>
      </c>
      <c r="W1375" s="49" t="n">
        <v>97.815</v>
      </c>
    </row>
    <row r="1376">
      <c r="A1376" s="44" t="inlineStr">
        <is>
          <t>TL Cinsi Sabit Faizli Kuponlu Senetler</t>
        </is>
      </c>
      <c r="B1376" s="44" t="n">
        <v>2011</v>
      </c>
      <c r="C1376" s="44" t="inlineStr">
        <is>
          <t>TRT270116T18</t>
        </is>
      </c>
      <c r="D1376" s="44" t="inlineStr">
        <is>
          <t>nan</t>
        </is>
      </c>
      <c r="E1376" s="44" t="inlineStr">
        <is>
          <t>nan</t>
        </is>
      </c>
      <c r="F1376" s="44" t="n"/>
      <c r="G1376" s="44" t="n"/>
      <c r="H1376" s="15" t="n"/>
      <c r="I1376" s="45" t="n">
        <v>377300</v>
      </c>
      <c r="J1376" s="45" t="n">
        <v>372442.1</v>
      </c>
      <c r="K1376" s="45" t="n">
        <v>327000</v>
      </c>
      <c r="L1376" s="45" t="n">
        <v>323352.8</v>
      </c>
      <c r="M1376" s="45" t="n">
        <v>303382.7172978712</v>
      </c>
      <c r="N1376" s="45" t="n">
        <v>300000</v>
      </c>
      <c r="O1376" s="45" t="n">
        <v>96071.19381099257</v>
      </c>
      <c r="P1376" s="45" t="n">
        <v>95000</v>
      </c>
      <c r="Q1376" s="45" t="n">
        <v>30802</v>
      </c>
      <c r="R1376" s="45" t="n">
        <v>30458.5577</v>
      </c>
      <c r="S1376" s="45" t="n">
        <v>757255.9111088638</v>
      </c>
      <c r="T1376" s="45" t="n">
        <v>748811.3577000001</v>
      </c>
      <c r="U1376" s="15" t="n">
        <v>5.05</v>
      </c>
      <c r="V1376" s="15" t="n">
        <v>10.34502500000001</v>
      </c>
      <c r="W1376" s="49" t="n">
        <v>98.88500000000001</v>
      </c>
    </row>
    <row r="1377">
      <c r="A1377" s="44" t="inlineStr">
        <is>
          <t>TL Cinsi Sabit Faizli Kuponlu Senetler</t>
        </is>
      </c>
      <c r="B1377" s="44" t="n">
        <v>2011</v>
      </c>
      <c r="C1377" s="44" t="inlineStr">
        <is>
          <t>TRT041213T23</t>
        </is>
      </c>
      <c r="D1377" s="44" t="inlineStr">
        <is>
          <t>nan</t>
        </is>
      </c>
      <c r="E1377" s="44" t="inlineStr">
        <is>
          <t>nan</t>
        </is>
      </c>
      <c r="F1377" s="44" t="n"/>
      <c r="G1377" s="44" t="n"/>
      <c r="H1377" s="15" t="n"/>
      <c r="I1377" s="45" t="n">
        <v>1547933.096</v>
      </c>
      <c r="J1377" s="45" t="n">
        <v>1543326.61238</v>
      </c>
      <c r="K1377" s="45" t="n">
        <v>808325.865</v>
      </c>
      <c r="L1377" s="45" t="n">
        <v>807041.6380799999</v>
      </c>
      <c r="M1377" s="45" t="n">
        <v>936489.0175378852</v>
      </c>
      <c r="N1377" s="45" t="n">
        <v>935000</v>
      </c>
      <c r="O1377" s="45" t="n">
        <v>405269.3783115154</v>
      </c>
      <c r="P1377" s="45" t="n">
        <v>404625</v>
      </c>
      <c r="Q1377" s="45" t="n">
        <v>145025.18</v>
      </c>
      <c r="R1377" s="45" t="n">
        <v>144794.5899638</v>
      </c>
      <c r="S1377" s="45" t="n">
        <v>2295109.440849401</v>
      </c>
      <c r="T1377" s="45" t="n">
        <v>2291461.2280438</v>
      </c>
      <c r="U1377" s="15" t="n">
        <v>5.04</v>
      </c>
      <c r="V1377" s="15" t="n">
        <v>10.34401599999999</v>
      </c>
      <c r="W1377" s="49" t="n">
        <v>99.84099999999999</v>
      </c>
    </row>
    <row r="1378">
      <c r="A1378" s="44" t="inlineStr">
        <is>
          <t>TL Cinsi Sabit Faizli Kuponlu Senetler</t>
        </is>
      </c>
      <c r="B1378" s="44" t="n">
        <v>2010</v>
      </c>
      <c r="C1378" s="44" t="inlineStr">
        <is>
          <t>TRT090113T13</t>
        </is>
      </c>
      <c r="D1378" s="44" t="inlineStr">
        <is>
          <t>nan</t>
        </is>
      </c>
      <c r="E1378" s="44" t="inlineStr">
        <is>
          <t>nan</t>
        </is>
      </c>
      <c r="F1378" s="44" t="n"/>
      <c r="G1378" s="44" t="n"/>
      <c r="H1378" s="15" t="n"/>
      <c r="I1378" s="45" t="n">
        <v>4919766.97</v>
      </c>
      <c r="J1378" s="45" t="n">
        <v>4989049.3406</v>
      </c>
      <c r="K1378" s="45" t="n">
        <v>2518000</v>
      </c>
      <c r="L1378" s="45" t="n">
        <v>2564344.57</v>
      </c>
      <c r="M1378" s="45" t="n">
        <v>687345.9608605572</v>
      </c>
      <c r="N1378" s="45" t="n">
        <v>700000</v>
      </c>
      <c r="O1378" s="45" t="n">
        <v>1395017.723706562</v>
      </c>
      <c r="P1378" s="45" t="n">
        <v>1420700</v>
      </c>
      <c r="Q1378" s="45" t="n">
        <v>371254.23</v>
      </c>
      <c r="R1378" s="45" t="n">
        <v>378089.0203743</v>
      </c>
      <c r="S1378" s="45" t="n">
        <v>4971617.914567119</v>
      </c>
      <c r="T1378" s="45" t="n">
        <v>5063133.5903743</v>
      </c>
      <c r="U1378" s="15" t="n">
        <v>2.32</v>
      </c>
      <c r="V1378" s="15" t="n">
        <v>9.617967837429809</v>
      </c>
      <c r="W1378" s="49" t="n">
        <v>101.841</v>
      </c>
    </row>
    <row r="1379">
      <c r="A1379" s="44" t="inlineStr">
        <is>
          <t>TL Cinsi Sabit Faizli Kuponlu Senetler</t>
        </is>
      </c>
      <c r="B1379" s="44" t="n">
        <v>2010</v>
      </c>
      <c r="C1379" s="44" t="inlineStr">
        <is>
          <t>TRT150120T16</t>
        </is>
      </c>
      <c r="D1379" s="44" t="inlineStr">
        <is>
          <t>nan</t>
        </is>
      </c>
      <c r="E1379" s="44" t="inlineStr">
        <is>
          <t>nan</t>
        </is>
      </c>
      <c r="F1379" s="44" t="n"/>
      <c r="G1379" s="44" t="n"/>
      <c r="H1379" s="15" t="n"/>
      <c r="I1379" s="45" t="n">
        <v>1242638.875</v>
      </c>
      <c r="J1379" s="45" t="n">
        <v>1191276.94691</v>
      </c>
      <c r="K1379" s="45" t="n">
        <v>643584.046</v>
      </c>
      <c r="L1379" s="45" t="n">
        <v>626564.0622</v>
      </c>
      <c r="M1379" s="45" t="n">
        <v>0</v>
      </c>
      <c r="N1379" s="45" t="n">
        <v>0</v>
      </c>
      <c r="O1379" s="45" t="n">
        <v>329027.7849108931</v>
      </c>
      <c r="P1379" s="45" t="n">
        <v>320325</v>
      </c>
      <c r="Q1379" s="45" t="n">
        <v>101368.804</v>
      </c>
      <c r="R1379" s="45" t="n">
        <v>98687.59913420001</v>
      </c>
      <c r="S1379" s="45" t="n">
        <v>1073980.634910893</v>
      </c>
      <c r="T1379" s="45" t="n">
        <v>1045576.6613342</v>
      </c>
      <c r="U1379" s="15" t="n">
        <v>5.47</v>
      </c>
      <c r="V1379" s="15" t="n">
        <v>11.239209</v>
      </c>
      <c r="W1379" s="49" t="n">
        <v>97.355</v>
      </c>
    </row>
    <row r="1380">
      <c r="A1380" s="44" t="inlineStr">
        <is>
          <t>TL Cinsi Sabit Faizli Kuponlu Senetler</t>
        </is>
      </c>
      <c r="B1380" s="44" t="n">
        <v>2010</v>
      </c>
      <c r="C1380" s="44" t="inlineStr">
        <is>
          <t>TRT090113T13</t>
        </is>
      </c>
      <c r="D1380" s="44" t="inlineStr">
        <is>
          <t>nan</t>
        </is>
      </c>
      <c r="E1380" s="44" t="inlineStr">
        <is>
          <t>nan</t>
        </is>
      </c>
      <c r="F1380" s="44" t="n"/>
      <c r="G1380" s="44" t="n"/>
      <c r="H1380" s="15" t="n"/>
      <c r="I1380" s="45" t="n">
        <v>2910800</v>
      </c>
      <c r="J1380" s="45" t="n">
        <v>2972557.1525</v>
      </c>
      <c r="K1380" s="45" t="n">
        <v>1981400</v>
      </c>
      <c r="L1380" s="45" t="n">
        <v>2025000.3475</v>
      </c>
      <c r="M1380" s="45" t="n">
        <v>489236.7906066536</v>
      </c>
      <c r="N1380" s="45" t="n">
        <v>500000</v>
      </c>
      <c r="O1380" s="45" t="n">
        <v>794814.0900195695</v>
      </c>
      <c r="P1380" s="45" t="n">
        <v>812300</v>
      </c>
      <c r="Q1380" s="45" t="n">
        <v>232185.831</v>
      </c>
      <c r="R1380" s="45" t="n">
        <v>237293.919282</v>
      </c>
      <c r="S1380" s="45" t="n">
        <v>3497636.711626223</v>
      </c>
      <c r="T1380" s="45" t="n">
        <v>3574594.266782</v>
      </c>
      <c r="U1380" s="15" t="n">
        <v>2.36</v>
      </c>
      <c r="V1380" s="15" t="n">
        <v>9.76946472284417</v>
      </c>
      <c r="W1380" s="49" t="n">
        <v>102.2</v>
      </c>
    </row>
    <row r="1381">
      <c r="A1381" s="44" t="inlineStr">
        <is>
          <t>TL Cinsi Sabit Faizli Kuponlu Senetler</t>
        </is>
      </c>
      <c r="B1381" s="44" t="n">
        <v>2010</v>
      </c>
      <c r="C1381" s="44" t="inlineStr">
        <is>
          <t>TRT060814T18</t>
        </is>
      </c>
      <c r="D1381" s="44" t="inlineStr">
        <is>
          <t>nan</t>
        </is>
      </c>
      <c r="E1381" s="44" t="inlineStr">
        <is>
          <t>nan</t>
        </is>
      </c>
      <c r="F1381" s="44" t="n"/>
      <c r="G1381" s="44" t="n"/>
      <c r="H1381" s="15" t="n"/>
      <c r="I1381" s="45" t="n">
        <v>976492.515</v>
      </c>
      <c r="J1381" s="45" t="n">
        <v>995968.81911</v>
      </c>
      <c r="K1381" s="45" t="n">
        <v>565935.275</v>
      </c>
      <c r="L1381" s="45" t="n">
        <v>579624.03431</v>
      </c>
      <c r="M1381" s="45" t="n">
        <v>97638.13354943907</v>
      </c>
      <c r="N1381" s="45" t="n">
        <v>100000</v>
      </c>
      <c r="O1381" s="45" t="n">
        <v>421796.7369335768</v>
      </c>
      <c r="P1381" s="45" t="n">
        <v>432000</v>
      </c>
      <c r="Q1381" s="45" t="n">
        <v>14011.072</v>
      </c>
      <c r="R1381" s="45" t="n">
        <v>14349.99983168</v>
      </c>
      <c r="S1381" s="45" t="n">
        <v>1099381.217483016</v>
      </c>
      <c r="T1381" s="45" t="n">
        <v>1125974.03414168</v>
      </c>
      <c r="U1381" s="15" t="n">
        <v>5.27</v>
      </c>
      <c r="V1381" s="15" t="n">
        <v>10.817729</v>
      </c>
      <c r="W1381" s="49" t="n">
        <v>102.419</v>
      </c>
    </row>
    <row r="1382">
      <c r="A1382" s="44" t="inlineStr">
        <is>
          <t>TL Cinsi Sabit Faizli Kuponlu Senetler</t>
        </is>
      </c>
      <c r="B1382" s="44" t="n">
        <v>2010</v>
      </c>
      <c r="C1382" s="44" t="inlineStr">
        <is>
          <t>TRT150120T16</t>
        </is>
      </c>
      <c r="D1382" s="44" t="inlineStr">
        <is>
          <t>nan</t>
        </is>
      </c>
      <c r="E1382" s="44" t="inlineStr">
        <is>
          <t>nan</t>
        </is>
      </c>
      <c r="F1382" s="44" t="n"/>
      <c r="G1382" s="44" t="n"/>
      <c r="H1382" s="15" t="n"/>
      <c r="I1382" s="45" t="n">
        <v>484904.555</v>
      </c>
      <c r="J1382" s="45" t="n">
        <v>488328.34211</v>
      </c>
      <c r="K1382" s="45" t="n">
        <v>305778.44</v>
      </c>
      <c r="L1382" s="45" t="n">
        <v>309088.3581</v>
      </c>
      <c r="M1382" s="45" t="n">
        <v>0</v>
      </c>
      <c r="N1382" s="45" t="n">
        <v>0</v>
      </c>
      <c r="O1382" s="45" t="n">
        <v>95170.2578104905</v>
      </c>
      <c r="P1382" s="45" t="n">
        <v>96200</v>
      </c>
      <c r="Q1382" s="45" t="n">
        <v>41223.396</v>
      </c>
      <c r="R1382" s="45" t="n">
        <v>41669.43314471999</v>
      </c>
      <c r="S1382" s="45" t="n">
        <v>442172.0938104905</v>
      </c>
      <c r="T1382" s="45" t="n">
        <v>446957.79124472</v>
      </c>
      <c r="U1382" s="15" t="n">
        <v>5.33</v>
      </c>
      <c r="V1382" s="15" t="n">
        <v>10.934089</v>
      </c>
      <c r="W1382" s="49" t="n">
        <v>101.082</v>
      </c>
    </row>
    <row r="1383">
      <c r="A1383" s="44" t="inlineStr">
        <is>
          <t>TL Cinsi Sabit Faizli Kuponlu Senetler</t>
        </is>
      </c>
      <c r="B1383" s="44" t="n">
        <v>2010</v>
      </c>
      <c r="C1383" s="44" t="inlineStr">
        <is>
          <t>TRT100413T17</t>
        </is>
      </c>
      <c r="D1383" s="44" t="inlineStr">
        <is>
          <t>nan</t>
        </is>
      </c>
      <c r="E1383" s="44" t="inlineStr">
        <is>
          <t>nan</t>
        </is>
      </c>
      <c r="F1383" s="44" t="n"/>
      <c r="G1383" s="44" t="n"/>
      <c r="H1383" s="15" t="n"/>
      <c r="I1383" s="45" t="n">
        <v>1076529.1</v>
      </c>
      <c r="J1383" s="45" t="n">
        <v>1091610.726</v>
      </c>
      <c r="K1383" s="45" t="n">
        <v>792729.4</v>
      </c>
      <c r="L1383" s="45" t="n">
        <v>804632.7066</v>
      </c>
      <c r="M1383" s="45" t="n">
        <v>738901.6965182953</v>
      </c>
      <c r="N1383" s="45" t="n">
        <v>750000</v>
      </c>
      <c r="O1383" s="45" t="n">
        <v>542058.2845658214</v>
      </c>
      <c r="P1383" s="45" t="n">
        <v>550200</v>
      </c>
      <c r="Q1383" s="45" t="n">
        <v>117733.014</v>
      </c>
      <c r="R1383" s="45" t="n">
        <v>119501.36387</v>
      </c>
      <c r="S1383" s="45" t="n">
        <v>2191422.395084117</v>
      </c>
      <c r="T1383" s="45" t="n">
        <v>2224334.07047</v>
      </c>
      <c r="U1383" s="15" t="n">
        <v>2.35</v>
      </c>
      <c r="V1383" s="15" t="n">
        <v>9.756571648006281</v>
      </c>
      <c r="W1383" s="49" t="n">
        <v>101.502</v>
      </c>
    </row>
    <row r="1384">
      <c r="A1384" s="44" t="inlineStr">
        <is>
          <t>TL Cinsi Sabit Faizli Kuponlu Senetler</t>
        </is>
      </c>
      <c r="B1384" s="44" t="n">
        <v>2010</v>
      </c>
      <c r="C1384" s="44" t="inlineStr">
        <is>
          <t>TRT100413T17</t>
        </is>
      </c>
      <c r="D1384" s="44" t="inlineStr">
        <is>
          <t>nan</t>
        </is>
      </c>
      <c r="E1384" s="44" t="inlineStr">
        <is>
          <t>nan</t>
        </is>
      </c>
      <c r="F1384" s="44" t="n"/>
      <c r="G1384" s="44" t="n"/>
      <c r="H1384" s="15" t="n"/>
      <c r="I1384" s="45" t="n">
        <v>1165228</v>
      </c>
      <c r="J1384" s="45" t="n">
        <v>1172992.674</v>
      </c>
      <c r="K1384" s="45" t="n">
        <v>777828</v>
      </c>
      <c r="L1384" s="45" t="n">
        <v>784553.8540000001</v>
      </c>
      <c r="M1384" s="45" t="n">
        <v>0</v>
      </c>
      <c r="N1384" s="45" t="n">
        <v>0</v>
      </c>
      <c r="O1384" s="45" t="n">
        <v>99142.41808357705</v>
      </c>
      <c r="P1384" s="45" t="n">
        <v>100000</v>
      </c>
      <c r="Q1384" s="45" t="n">
        <v>0</v>
      </c>
      <c r="R1384" s="45" t="n">
        <v>0</v>
      </c>
      <c r="S1384" s="45" t="n">
        <v>876970.4180835771</v>
      </c>
      <c r="T1384" s="45" t="n">
        <v>884553.8540000001</v>
      </c>
      <c r="U1384" s="15" t="n">
        <v>2.47</v>
      </c>
      <c r="V1384" s="15" t="n">
        <v>10.2621189101808</v>
      </c>
      <c r="W1384" s="49" t="n">
        <v>100.865</v>
      </c>
    </row>
    <row r="1385">
      <c r="A1385" s="44" t="inlineStr">
        <is>
          <t>TL Cinsi Sabit Faizli Kuponlu Senetler</t>
        </is>
      </c>
      <c r="B1385" s="44" t="n">
        <v>2010</v>
      </c>
      <c r="C1385" s="44" t="inlineStr">
        <is>
          <t>TRT170615T16</t>
        </is>
      </c>
      <c r="D1385" s="44" t="inlineStr">
        <is>
          <t>nan</t>
        </is>
      </c>
      <c r="E1385" s="44" t="inlineStr">
        <is>
          <t>nan</t>
        </is>
      </c>
      <c r="F1385" s="44" t="n"/>
      <c r="G1385" s="44" t="n"/>
      <c r="H1385" s="15" t="n"/>
      <c r="I1385" s="45" t="n">
        <v>2195405.215</v>
      </c>
      <c r="J1385" s="45" t="n">
        <v>2232849.14762</v>
      </c>
      <c r="K1385" s="45" t="n">
        <v>892405.215</v>
      </c>
      <c r="L1385" s="45" t="n">
        <v>910098.42262</v>
      </c>
      <c r="M1385" s="45" t="n">
        <v>1402194.483394291</v>
      </c>
      <c r="N1385" s="45" t="n">
        <v>1430000</v>
      </c>
      <c r="O1385" s="45" t="n">
        <v>509692.7919359108</v>
      </c>
      <c r="P1385" s="45" t="n">
        <v>519800</v>
      </c>
      <c r="Q1385" s="45" t="n">
        <v>132061.357</v>
      </c>
      <c r="R1385" s="45" t="n">
        <v>134680.13370931</v>
      </c>
      <c r="S1385" s="45" t="n">
        <v>2936353.847330202</v>
      </c>
      <c r="T1385" s="45" t="n">
        <v>2994578.55632931</v>
      </c>
      <c r="U1385" s="15" t="n">
        <v>4.75</v>
      </c>
      <c r="V1385" s="15" t="n">
        <v>9.715625000000029</v>
      </c>
      <c r="W1385" s="49" t="n">
        <v>101.983</v>
      </c>
    </row>
    <row r="1386">
      <c r="A1386" s="44" t="inlineStr">
        <is>
          <t>TL Cinsi Sabit Faizli Kuponlu Senetler</t>
        </is>
      </c>
      <c r="B1386" s="44" t="n">
        <v>2010</v>
      </c>
      <c r="C1386" s="44" t="inlineStr">
        <is>
          <t>TRT100413T17</t>
        </is>
      </c>
      <c r="D1386" s="44" t="inlineStr">
        <is>
          <t>nan</t>
        </is>
      </c>
      <c r="E1386" s="44" t="inlineStr">
        <is>
          <t>nan</t>
        </is>
      </c>
      <c r="F1386" s="44" t="n"/>
      <c r="G1386" s="44" t="n"/>
      <c r="H1386" s="15" t="n"/>
      <c r="I1386" s="45" t="n">
        <v>1884150</v>
      </c>
      <c r="J1386" s="45" t="n">
        <v>1962964.89325</v>
      </c>
      <c r="K1386" s="45" t="n">
        <v>620700</v>
      </c>
      <c r="L1386" s="45" t="n">
        <v>648318.379</v>
      </c>
      <c r="M1386" s="45" t="n">
        <v>0</v>
      </c>
      <c r="N1386" s="45" t="n">
        <v>0</v>
      </c>
      <c r="O1386" s="45" t="n">
        <v>528827.1900430828</v>
      </c>
      <c r="P1386" s="45" t="n">
        <v>552360</v>
      </c>
      <c r="Q1386" s="45" t="n">
        <v>116145.446</v>
      </c>
      <c r="R1386" s="45" t="n">
        <v>121313.91835</v>
      </c>
      <c r="S1386" s="45" t="n">
        <v>1265672.636043083</v>
      </c>
      <c r="T1386" s="45" t="n">
        <v>1321992.29735</v>
      </c>
      <c r="U1386" s="15" t="n">
        <v>2.08</v>
      </c>
      <c r="V1386" s="15" t="n">
        <v>8.57320228253695</v>
      </c>
      <c r="W1386" s="49" t="n">
        <v>104.45</v>
      </c>
    </row>
    <row r="1387">
      <c r="A1387" s="44" t="inlineStr">
        <is>
          <t>TL Cinsi Sabit Faizli Kuponlu Senetler</t>
        </is>
      </c>
      <c r="B1387" s="44" t="n">
        <v>2010</v>
      </c>
      <c r="C1387" s="44" t="inlineStr">
        <is>
          <t>TRT150120T16</t>
        </is>
      </c>
      <c r="D1387" s="44" t="inlineStr">
        <is>
          <t>nan</t>
        </is>
      </c>
      <c r="E1387" s="44" t="inlineStr">
        <is>
          <t>nan</t>
        </is>
      </c>
      <c r="F1387" s="44" t="n"/>
      <c r="G1387" s="44" t="n"/>
      <c r="H1387" s="15" t="n"/>
      <c r="I1387" s="45" t="n">
        <v>1207190.355</v>
      </c>
      <c r="J1387" s="45" t="n">
        <v>1335029.36867</v>
      </c>
      <c r="K1387" s="45" t="n">
        <v>765269.355</v>
      </c>
      <c r="L1387" s="45" t="n">
        <v>848729.00167</v>
      </c>
      <c r="M1387" s="45" t="n">
        <v>0</v>
      </c>
      <c r="N1387" s="45" t="n">
        <v>0</v>
      </c>
      <c r="O1387" s="45" t="n">
        <v>110769.4804609309</v>
      </c>
      <c r="P1387" s="45" t="n">
        <v>122850</v>
      </c>
      <c r="Q1387" s="45" t="n">
        <v>124020.235</v>
      </c>
      <c r="R1387" s="45" t="n">
        <v>137545.8818291</v>
      </c>
      <c r="S1387" s="45" t="n">
        <v>1000059.070460931</v>
      </c>
      <c r="T1387" s="45" t="n">
        <v>1109124.8834991</v>
      </c>
      <c r="U1387" s="15" t="n">
        <v>4.39</v>
      </c>
      <c r="V1387" s="15" t="n">
        <v>8.982721000000019</v>
      </c>
      <c r="W1387" s="49" t="n">
        <v>110.906</v>
      </c>
    </row>
    <row r="1388">
      <c r="A1388" s="44" t="inlineStr">
        <is>
          <t>TL Cinsi Sabit Faizli Kuponlu Senetler</t>
        </is>
      </c>
      <c r="B1388" s="44" t="n">
        <v>2010</v>
      </c>
      <c r="C1388" s="44" t="inlineStr">
        <is>
          <t>TRT100413T17</t>
        </is>
      </c>
      <c r="D1388" s="44" t="inlineStr">
        <is>
          <t>nan</t>
        </is>
      </c>
      <c r="E1388" s="44" t="inlineStr">
        <is>
          <t>nan</t>
        </is>
      </c>
      <c r="F1388" s="44" t="n"/>
      <c r="G1388" s="44" t="n"/>
      <c r="H1388" s="15" t="n"/>
      <c r="I1388" s="45" t="n">
        <v>3322600</v>
      </c>
      <c r="J1388" s="45" t="n">
        <v>3454147.553</v>
      </c>
      <c r="K1388" s="45" t="n">
        <v>1847000</v>
      </c>
      <c r="L1388" s="45" t="n">
        <v>1921737.26</v>
      </c>
      <c r="M1388" s="45" t="n">
        <v>480556.6768544681</v>
      </c>
      <c r="N1388" s="45" t="n">
        <v>500000</v>
      </c>
      <c r="O1388" s="45" t="n">
        <v>805489.8794763854</v>
      </c>
      <c r="P1388" s="45" t="n">
        <v>838080</v>
      </c>
      <c r="Q1388" s="45" t="n">
        <v>435933.947</v>
      </c>
      <c r="R1388" s="45" t="n">
        <v>453571.8345</v>
      </c>
      <c r="S1388" s="45" t="n">
        <v>3568980.503330853</v>
      </c>
      <c r="T1388" s="45" t="n">
        <v>3713389.0945</v>
      </c>
      <c r="U1388" s="15" t="n">
        <v>2.17</v>
      </c>
      <c r="V1388" s="15" t="n">
        <v>8.96664349893925</v>
      </c>
      <c r="W1388" s="49" t="n">
        <v>104.046</v>
      </c>
    </row>
    <row r="1389">
      <c r="A1389" s="44" t="inlineStr">
        <is>
          <t>TL Cinsi Sabit Faizli Kuponlu Senetler</t>
        </is>
      </c>
      <c r="B1389" s="44" t="n">
        <v>2010</v>
      </c>
      <c r="C1389" s="44" t="inlineStr">
        <is>
          <t>TRT150120T16</t>
        </is>
      </c>
      <c r="D1389" s="44" t="inlineStr">
        <is>
          <t>nan</t>
        </is>
      </c>
      <c r="E1389" s="44" t="inlineStr">
        <is>
          <t>nan</t>
        </is>
      </c>
      <c r="F1389" s="44" t="n"/>
      <c r="G1389" s="44" t="n"/>
      <c r="H1389" s="15" t="n"/>
      <c r="I1389" s="45" t="n">
        <v>1362137.281</v>
      </c>
      <c r="J1389" s="45" t="n">
        <v>1497629.63485</v>
      </c>
      <c r="K1389" s="45" t="n">
        <v>773232.681</v>
      </c>
      <c r="L1389" s="45" t="n">
        <v>851635.8309600001</v>
      </c>
      <c r="M1389" s="45" t="n">
        <v>0</v>
      </c>
      <c r="N1389" s="45" t="n">
        <v>0</v>
      </c>
      <c r="O1389" s="45" t="n">
        <v>317759.2155438533</v>
      </c>
      <c r="P1389" s="45" t="n">
        <v>349980</v>
      </c>
      <c r="Q1389" s="45" t="n">
        <v>144130.732</v>
      </c>
      <c r="R1389" s="45" t="n">
        <v>158745.5882248</v>
      </c>
      <c r="S1389" s="45" t="n">
        <v>1235122.628543853</v>
      </c>
      <c r="T1389" s="45" t="n">
        <v>1360361.4191848</v>
      </c>
      <c r="U1389" s="15" t="n">
        <v>4.49</v>
      </c>
      <c r="V1389" s="15" t="n">
        <v>9.181600999999979</v>
      </c>
      <c r="W1389" s="49" t="n">
        <v>110.14</v>
      </c>
    </row>
    <row r="1390">
      <c r="A1390" s="44" t="inlineStr">
        <is>
          <t>TL Cinsi Sabit Faizli Kuponlu Senetler</t>
        </is>
      </c>
      <c r="B1390" s="44" t="n">
        <v>2010</v>
      </c>
      <c r="C1390" s="44" t="inlineStr">
        <is>
          <t>TRT170615T16</t>
        </is>
      </c>
      <c r="D1390" s="44" t="inlineStr">
        <is>
          <t>nan</t>
        </is>
      </c>
      <c r="E1390" s="44" t="inlineStr">
        <is>
          <t>nan</t>
        </is>
      </c>
      <c r="F1390" s="44" t="n"/>
      <c r="G1390" s="44" t="n"/>
      <c r="H1390" s="15" t="n"/>
      <c r="I1390" s="45" t="n">
        <v>4141376.544</v>
      </c>
      <c r="J1390" s="45" t="n">
        <v>4443448.00302</v>
      </c>
      <c r="K1390" s="45" t="n">
        <v>1657186.108</v>
      </c>
      <c r="L1390" s="45" t="n">
        <v>1781283.73164</v>
      </c>
      <c r="M1390" s="45" t="n">
        <v>0</v>
      </c>
      <c r="N1390" s="45" t="n">
        <v>0</v>
      </c>
      <c r="O1390" s="45" t="n">
        <v>981616.5525454003</v>
      </c>
      <c r="P1390" s="45" t="n">
        <v>1055120</v>
      </c>
      <c r="Q1390" s="45" t="n">
        <v>247105.67</v>
      </c>
      <c r="R1390" s="45" t="n">
        <v>265608.9425696</v>
      </c>
      <c r="S1390" s="45" t="n">
        <v>2885908.3305454</v>
      </c>
      <c r="T1390" s="45" t="n">
        <v>3102012.6742096</v>
      </c>
      <c r="U1390" s="15" t="n">
        <v>4.37</v>
      </c>
      <c r="V1390" s="15" t="n">
        <v>8.92096900000001</v>
      </c>
      <c r="W1390" s="49" t="n">
        <v>107.488</v>
      </c>
    </row>
    <row r="1391">
      <c r="A1391" s="44" t="inlineStr">
        <is>
          <t>TL Cinsi Sabit Faizli Kuponlu Senetler</t>
        </is>
      </c>
      <c r="B1391" s="44" t="n">
        <v>2010</v>
      </c>
      <c r="C1391" s="44" t="inlineStr">
        <is>
          <t>TRT091013T12</t>
        </is>
      </c>
      <c r="D1391" s="44" t="inlineStr">
        <is>
          <t>nan</t>
        </is>
      </c>
      <c r="E1391" s="44" t="inlineStr">
        <is>
          <t>nan</t>
        </is>
      </c>
      <c r="F1391" s="44" t="n"/>
      <c r="G1391" s="44" t="n"/>
      <c r="H1391" s="15" t="n"/>
      <c r="I1391" s="45" t="n">
        <v>4151442.165</v>
      </c>
      <c r="J1391" s="45" t="n">
        <v>4177473.57492</v>
      </c>
      <c r="K1391" s="45" t="n">
        <v>1543400</v>
      </c>
      <c r="L1391" s="45" t="n">
        <v>1557153.994</v>
      </c>
      <c r="M1391" s="45" t="n">
        <v>511443.0424914016</v>
      </c>
      <c r="N1391" s="45" t="n">
        <v>516000</v>
      </c>
      <c r="O1391" s="45" t="n">
        <v>914070.6306806356</v>
      </c>
      <c r="P1391" s="45" t="n">
        <v>922215</v>
      </c>
      <c r="Q1391" s="45" t="n">
        <v>0</v>
      </c>
      <c r="R1391" s="45" t="n">
        <v>0</v>
      </c>
      <c r="S1391" s="45" t="n">
        <v>2968913.673172037</v>
      </c>
      <c r="T1391" s="45" t="n">
        <v>2995368.994</v>
      </c>
      <c r="U1391" s="15" t="n">
        <v>1.92</v>
      </c>
      <c r="V1391" s="15" t="n">
        <v>7.89402874474501</v>
      </c>
      <c r="W1391" s="49" t="n">
        <v>100.891</v>
      </c>
    </row>
    <row r="1392">
      <c r="A1392" s="44" t="inlineStr">
        <is>
          <t>TL Cinsi Sabit Faizli Kuponlu Senetler</t>
        </is>
      </c>
      <c r="B1392" s="44" t="n">
        <v>2010</v>
      </c>
      <c r="C1392" s="44" t="inlineStr">
        <is>
          <t>TRT091013T12</t>
        </is>
      </c>
      <c r="D1392" s="44" t="inlineStr">
        <is>
          <t>nan</t>
        </is>
      </c>
      <c r="E1392" s="44" t="inlineStr">
        <is>
          <t>nan</t>
        </is>
      </c>
      <c r="F1392" s="44" t="n"/>
      <c r="G1392" s="44" t="n"/>
      <c r="H1392" s="15" t="n"/>
      <c r="I1392" s="45" t="n">
        <v>2393500</v>
      </c>
      <c r="J1392" s="45" t="n">
        <v>2425205.86</v>
      </c>
      <c r="K1392" s="45" t="n">
        <v>1472700</v>
      </c>
      <c r="L1392" s="45" t="n">
        <v>1493693.18</v>
      </c>
      <c r="M1392" s="45" t="n">
        <v>345082.5733300468</v>
      </c>
      <c r="N1392" s="45" t="n">
        <v>350000</v>
      </c>
      <c r="O1392" s="45" t="n">
        <v>2056889.327088982</v>
      </c>
      <c r="P1392" s="45" t="n">
        <v>2086200</v>
      </c>
      <c r="Q1392" s="45" t="n">
        <v>0</v>
      </c>
      <c r="R1392" s="45" t="n">
        <v>0</v>
      </c>
      <c r="S1392" s="45" t="n">
        <v>3874671.900419029</v>
      </c>
      <c r="T1392" s="45" t="n">
        <v>3929893.18</v>
      </c>
      <c r="U1392" s="15" t="n">
        <v>1.91</v>
      </c>
      <c r="V1392" s="15" t="n">
        <v>7.85168645703356</v>
      </c>
      <c r="W1392" s="49" t="n">
        <v>101.425</v>
      </c>
    </row>
    <row r="1393">
      <c r="A1393" s="44" t="inlineStr">
        <is>
          <t>TL Cinsi Sabit Faizli Kuponlu Senetler</t>
        </is>
      </c>
      <c r="B1393" s="44" t="n">
        <v>2010</v>
      </c>
      <c r="C1393" s="44" t="inlineStr">
        <is>
          <t>TRT150120T16</t>
        </is>
      </c>
      <c r="D1393" s="44" t="inlineStr">
        <is>
          <t>nan</t>
        </is>
      </c>
      <c r="E1393" s="44" t="inlineStr">
        <is>
          <t>nan</t>
        </is>
      </c>
      <c r="F1393" s="44" t="n"/>
      <c r="G1393" s="44" t="n"/>
      <c r="H1393" s="15" t="n"/>
      <c r="I1393" s="45" t="n">
        <v>1961923.665</v>
      </c>
      <c r="J1393" s="45" t="n">
        <v>2286349.44214</v>
      </c>
      <c r="K1393" s="45" t="n">
        <v>1004336.115</v>
      </c>
      <c r="L1393" s="45" t="n">
        <v>1171867.22106</v>
      </c>
      <c r="M1393" s="45" t="n">
        <v>0</v>
      </c>
      <c r="N1393" s="45" t="n">
        <v>0</v>
      </c>
      <c r="O1393" s="45" t="n">
        <v>1020388.923646524</v>
      </c>
      <c r="P1393" s="45" t="n">
        <v>1190600</v>
      </c>
      <c r="Q1393" s="45" t="n">
        <v>85421.618</v>
      </c>
      <c r="R1393" s="45" t="n">
        <v>99670.79809857999</v>
      </c>
      <c r="S1393" s="45" t="n">
        <v>2110146.656646523</v>
      </c>
      <c r="T1393" s="45" t="n">
        <v>2462138.01915858</v>
      </c>
      <c r="U1393" s="15" t="n">
        <v>4.16</v>
      </c>
      <c r="V1393" s="15" t="n">
        <v>8.49305600000001</v>
      </c>
      <c r="W1393" s="49" t="n">
        <v>116.681</v>
      </c>
    </row>
    <row r="1394">
      <c r="A1394" s="44" t="inlineStr">
        <is>
          <t>TL Cinsi Sabit Faizli Kuponlu Senetler</t>
        </is>
      </c>
      <c r="B1394" s="44" t="n">
        <v>2010</v>
      </c>
      <c r="C1394" s="44" t="inlineStr">
        <is>
          <t>TRT170615T16</t>
        </is>
      </c>
      <c r="D1394" s="44" t="inlineStr">
        <is>
          <t>nan</t>
        </is>
      </c>
      <c r="E1394" s="44" t="inlineStr">
        <is>
          <t>nan</t>
        </is>
      </c>
      <c r="F1394" s="44" t="n"/>
      <c r="G1394" s="44" t="n"/>
      <c r="H1394" s="15" t="n"/>
      <c r="I1394" s="45" t="n">
        <v>1937100</v>
      </c>
      <c r="J1394" s="45" t="n">
        <v>2150427.719</v>
      </c>
      <c r="K1394" s="45" t="n">
        <v>1226700</v>
      </c>
      <c r="L1394" s="45" t="n">
        <v>1363610.986</v>
      </c>
      <c r="M1394" s="45" t="n">
        <v>0</v>
      </c>
      <c r="N1394" s="45" t="n">
        <v>0</v>
      </c>
      <c r="O1394" s="45" t="n">
        <v>1372027.959446209</v>
      </c>
      <c r="P1394" s="45" t="n">
        <v>1525160</v>
      </c>
      <c r="Q1394" s="45" t="n">
        <v>93480.423</v>
      </c>
      <c r="R1394" s="45" t="n">
        <v>103913.77301103</v>
      </c>
      <c r="S1394" s="45" t="n">
        <v>2692208.382446209</v>
      </c>
      <c r="T1394" s="45" t="n">
        <v>2992684.75901103</v>
      </c>
      <c r="U1394" s="15" t="n">
        <v>4.12</v>
      </c>
      <c r="V1394" s="15" t="n">
        <v>8.409743999999989</v>
      </c>
      <c r="W1394" s="49" t="n">
        <v>111.161</v>
      </c>
    </row>
    <row r="1395">
      <c r="A1395" s="44" t="inlineStr">
        <is>
          <t>TL Cinsi Sabit Faizli Kuponlu Senetler</t>
        </is>
      </c>
      <c r="B1395" s="44" t="n">
        <v>2009</v>
      </c>
      <c r="C1395" s="44" t="inlineStr">
        <is>
          <t>TRT280813T13</t>
        </is>
      </c>
      <c r="D1395" s="44" t="inlineStr">
        <is>
          <t>nan</t>
        </is>
      </c>
      <c r="E1395" s="44" t="inlineStr">
        <is>
          <t>nan</t>
        </is>
      </c>
      <c r="F1395" s="44" t="n"/>
      <c r="G1395" s="44" t="n"/>
      <c r="H1395" s="15" t="n"/>
      <c r="I1395" s="45" t="n">
        <v>856420.252</v>
      </c>
      <c r="J1395" s="45" t="n">
        <v>951199.9513899999</v>
      </c>
      <c r="K1395" s="45" t="n">
        <v>178299.252</v>
      </c>
      <c r="L1395" s="45" t="n">
        <v>198804.18139</v>
      </c>
      <c r="M1395" s="45" t="n">
        <v>0</v>
      </c>
      <c r="N1395" s="45" t="n">
        <v>0</v>
      </c>
      <c r="O1395" s="45" t="n">
        <v>431434.9775784754</v>
      </c>
      <c r="P1395" s="45" t="n">
        <v>481050</v>
      </c>
      <c r="Q1395" s="45" t="n">
        <v>0</v>
      </c>
      <c r="R1395" s="45" t="n">
        <v>0</v>
      </c>
      <c r="S1395" s="45" t="n">
        <v>609734.2295784754</v>
      </c>
      <c r="T1395" s="45" t="n">
        <v>679854.18139</v>
      </c>
      <c r="U1395" s="15" t="n">
        <v>6.93</v>
      </c>
      <c r="V1395" s="15" t="n">
        <v>14.340249</v>
      </c>
      <c r="W1395" s="49" t="n">
        <v>111.5</v>
      </c>
    </row>
    <row r="1396">
      <c r="A1396" s="44" t="inlineStr">
        <is>
          <t>TL Cinsi Sabit Faizli Kuponlu Senetler</t>
        </is>
      </c>
      <c r="B1396" s="44" t="n">
        <v>2009</v>
      </c>
      <c r="C1396" s="44" t="inlineStr">
        <is>
          <t>TRT060814T18</t>
        </is>
      </c>
      <c r="D1396" s="44" t="inlineStr">
        <is>
          <t>nan</t>
        </is>
      </c>
      <c r="E1396" s="44" t="inlineStr">
        <is>
          <t>nan</t>
        </is>
      </c>
      <c r="F1396" s="44" t="n"/>
      <c r="G1396" s="44" t="n"/>
      <c r="H1396" s="15" t="n"/>
      <c r="I1396" s="45" t="n">
        <v>1416997.175</v>
      </c>
      <c r="J1396" s="45" t="n">
        <v>1370013.33775</v>
      </c>
      <c r="K1396" s="45" t="n">
        <v>990097.175</v>
      </c>
      <c r="L1396" s="45" t="n">
        <v>959237.15775</v>
      </c>
      <c r="M1396" s="45" t="n">
        <v>0</v>
      </c>
      <c r="N1396" s="45" t="n">
        <v>0</v>
      </c>
      <c r="O1396" s="45" t="n">
        <v>1416399.161875664</v>
      </c>
      <c r="P1396" s="45" t="n">
        <v>1372250</v>
      </c>
      <c r="Q1396" s="45" t="n">
        <v>0</v>
      </c>
      <c r="R1396" s="45" t="n">
        <v>0</v>
      </c>
      <c r="S1396" s="45" t="n">
        <v>2586871.722875664</v>
      </c>
      <c r="T1396" s="45" t="n">
        <v>2506240.24296838</v>
      </c>
      <c r="U1396" s="15" t="n">
        <v>5.89</v>
      </c>
      <c r="V1396" s="15" t="n">
        <v>12.126921</v>
      </c>
      <c r="W1396" s="49" t="n">
        <v>96.883</v>
      </c>
    </row>
    <row r="1397">
      <c r="A1397" s="44" t="inlineStr">
        <is>
          <t>TL Cinsi Sabit Faizli Kuponlu Senetler</t>
        </is>
      </c>
      <c r="B1397" s="44" t="n">
        <v>2009</v>
      </c>
      <c r="C1397" s="44" t="inlineStr">
        <is>
          <t>TRT060814T18</t>
        </is>
      </c>
      <c r="D1397" s="44" t="inlineStr">
        <is>
          <t>nan</t>
        </is>
      </c>
      <c r="E1397" s="44" t="inlineStr">
        <is>
          <t>nan</t>
        </is>
      </c>
      <c r="F1397" s="44" t="n"/>
      <c r="G1397" s="44" t="n"/>
      <c r="H1397" s="15" t="n"/>
      <c r="I1397" s="45" t="n">
        <v>1927872.672</v>
      </c>
      <c r="J1397" s="45" t="n">
        <v>1939297.61155</v>
      </c>
      <c r="K1397" s="45" t="n">
        <v>509384</v>
      </c>
      <c r="L1397" s="45" t="n">
        <v>513681.79792</v>
      </c>
      <c r="M1397" s="45" t="n">
        <v>0</v>
      </c>
      <c r="N1397" s="45" t="n">
        <v>0</v>
      </c>
      <c r="O1397" s="45" t="n">
        <v>1073360.834556344</v>
      </c>
      <c r="P1397" s="45" t="n">
        <v>1082420</v>
      </c>
      <c r="Q1397" s="45" t="n">
        <v>0</v>
      </c>
      <c r="R1397" s="45" t="n">
        <v>0</v>
      </c>
      <c r="S1397" s="45" t="n">
        <v>1621727.840556344</v>
      </c>
      <c r="T1397" s="45" t="n">
        <v>1635413.82049064</v>
      </c>
      <c r="U1397" s="15" t="n">
        <v>5.5</v>
      </c>
      <c r="V1397" s="15" t="n">
        <v>11.3025</v>
      </c>
      <c r="W1397" s="49" t="n">
        <v>100.844</v>
      </c>
    </row>
    <row r="1398">
      <c r="A1398" s="44" t="inlineStr">
        <is>
          <t>TL Cinsi Sabit Faizli Kuponlu Senetler</t>
        </is>
      </c>
      <c r="B1398" s="44" t="n">
        <v>2009</v>
      </c>
      <c r="C1398" s="44" t="inlineStr">
        <is>
          <t>TRT060814T18</t>
        </is>
      </c>
      <c r="D1398" s="44" t="inlineStr">
        <is>
          <t>nan</t>
        </is>
      </c>
      <c r="E1398" s="44" t="inlineStr">
        <is>
          <t>nan</t>
        </is>
      </c>
      <c r="F1398" s="44" t="n"/>
      <c r="G1398" s="44" t="n"/>
      <c r="H1398" s="15" t="n"/>
      <c r="I1398" s="45" t="n">
        <v>893241.047</v>
      </c>
      <c r="J1398" s="45" t="n">
        <v>944574.94573</v>
      </c>
      <c r="K1398" s="45" t="n">
        <v>590958.5820000001</v>
      </c>
      <c r="L1398" s="45" t="n">
        <v>625788.45809</v>
      </c>
      <c r="M1398" s="45" t="n">
        <v>0</v>
      </c>
      <c r="N1398" s="45" t="n">
        <v>0</v>
      </c>
      <c r="O1398" s="45" t="n">
        <v>1252101.157761535</v>
      </c>
      <c r="P1398" s="45" t="n">
        <v>1325900</v>
      </c>
      <c r="Q1398" s="45" t="n">
        <v>0</v>
      </c>
      <c r="R1398" s="45" t="n">
        <v>0</v>
      </c>
      <c r="S1398" s="45" t="n">
        <v>1950125.436761535</v>
      </c>
      <c r="T1398" s="45" t="n">
        <v>2065064.60727118</v>
      </c>
      <c r="U1398" s="15" t="n">
        <v>4.94</v>
      </c>
      <c r="V1398" s="15" t="n">
        <v>10.124036</v>
      </c>
      <c r="W1398" s="49" t="n">
        <v>105.894</v>
      </c>
    </row>
    <row r="1399">
      <c r="A1399" s="44" t="inlineStr">
        <is>
          <t>TL Cinsi Sabit Faizli Kuponlu Senetler</t>
        </is>
      </c>
      <c r="B1399" s="44" t="n">
        <v>2008</v>
      </c>
      <c r="C1399" s="44" t="inlineStr">
        <is>
          <t>TRT260912T15</t>
        </is>
      </c>
      <c r="D1399" s="44" t="inlineStr">
        <is>
          <t>nan</t>
        </is>
      </c>
      <c r="E1399" s="44" t="inlineStr">
        <is>
          <t>nan</t>
        </is>
      </c>
      <c r="F1399" s="44" t="n"/>
      <c r="G1399" s="44" t="n"/>
      <c r="H1399" s="15" t="n"/>
      <c r="I1399" s="45" t="n">
        <v>1483910.45</v>
      </c>
      <c r="J1399" s="45" t="n">
        <v>1410878.74975</v>
      </c>
      <c r="K1399" s="45" t="n">
        <v>454510.45</v>
      </c>
      <c r="L1399" s="45" t="n">
        <v>432744.55975</v>
      </c>
      <c r="M1399" s="45" t="n">
        <v>0</v>
      </c>
      <c r="N1399" s="45" t="n">
        <v>0</v>
      </c>
      <c r="O1399" s="45" t="n">
        <v>234972.8497757612</v>
      </c>
      <c r="P1399" s="45" t="n">
        <v>223720</v>
      </c>
      <c r="Q1399" s="45" t="n">
        <v>26801.951</v>
      </c>
      <c r="R1399" s="45" t="n">
        <v>25518.40556661</v>
      </c>
      <c r="S1399" s="45" t="n">
        <v>763086.0697757612</v>
      </c>
      <c r="T1399" s="45" t="n">
        <v>726542.4930947</v>
      </c>
      <c r="U1399" s="15" t="n">
        <v>8.43</v>
      </c>
      <c r="V1399" s="15" t="n">
        <v>17.57</v>
      </c>
      <c r="W1399" s="49" t="n">
        <v>95.211</v>
      </c>
    </row>
    <row r="1400">
      <c r="A1400" s="44" t="inlineStr">
        <is>
          <t>TL Cinsi Sabit Faizli Kuponlu Senetler</t>
        </is>
      </c>
      <c r="B1400" s="44" t="n">
        <v>2008</v>
      </c>
      <c r="C1400" s="44" t="inlineStr">
        <is>
          <t>TRT260912T15</t>
        </is>
      </c>
      <c r="D1400" s="44" t="inlineStr">
        <is>
          <t>nan</t>
        </is>
      </c>
      <c r="E1400" s="44" t="inlineStr">
        <is>
          <t>nan</t>
        </is>
      </c>
      <c r="F1400" s="44" t="n"/>
      <c r="G1400" s="44" t="n"/>
      <c r="H1400" s="15" t="n"/>
      <c r="I1400" s="45" t="n">
        <v>1564009.41</v>
      </c>
      <c r="J1400" s="45" t="n">
        <v>1510294.84055</v>
      </c>
      <c r="K1400" s="45" t="n">
        <v>588600</v>
      </c>
      <c r="L1400" s="45" t="n">
        <v>569239.912</v>
      </c>
      <c r="M1400" s="45" t="n">
        <v>444623.6725915356</v>
      </c>
      <c r="N1400" s="45" t="n">
        <v>430000</v>
      </c>
      <c r="O1400" s="45" t="n">
        <v>147241.2652128506</v>
      </c>
      <c r="P1400" s="45" t="n">
        <v>142398.5</v>
      </c>
      <c r="Q1400" s="45" t="n">
        <v>36712.068</v>
      </c>
      <c r="R1400" s="45" t="n">
        <v>35504.60808348</v>
      </c>
      <c r="S1400" s="45" t="n">
        <v>1317262.992804386</v>
      </c>
      <c r="T1400" s="45" t="n">
        <v>1273937.17897105</v>
      </c>
      <c r="U1400" s="15" t="n">
        <v>8.33</v>
      </c>
      <c r="V1400" s="15" t="n">
        <v>17.35</v>
      </c>
      <c r="W1400" s="49" t="n">
        <v>96.711</v>
      </c>
    </row>
    <row r="1401">
      <c r="A1401" s="44" t="inlineStr">
        <is>
          <t>TL Cinsi Sabit Faizli Kuponlu Senetler</t>
        </is>
      </c>
      <c r="B1401" s="44" t="n">
        <v>2008</v>
      </c>
      <c r="C1401" s="44" t="inlineStr">
        <is>
          <t>TRT190111T13</t>
        </is>
      </c>
      <c r="D1401" s="44" t="inlineStr">
        <is>
          <t>nan</t>
        </is>
      </c>
      <c r="E1401" s="44" t="inlineStr">
        <is>
          <t>nan</t>
        </is>
      </c>
      <c r="F1401" s="44" t="n"/>
      <c r="G1401" s="44" t="n"/>
      <c r="H1401" s="15" t="n"/>
      <c r="I1401" s="45" t="n">
        <v>1416378.905</v>
      </c>
      <c r="J1401" s="45" t="n">
        <v>1337180.58562</v>
      </c>
      <c r="K1401" s="45" t="n">
        <v>536810.5</v>
      </c>
      <c r="L1401" s="45" t="n">
        <v>507439.2072</v>
      </c>
      <c r="M1401" s="45" t="n">
        <v>0</v>
      </c>
      <c r="N1401" s="45" t="n">
        <v>0</v>
      </c>
      <c r="O1401" s="45" t="n">
        <v>386220.1017677115</v>
      </c>
      <c r="P1401" s="45" t="n">
        <v>365090</v>
      </c>
      <c r="Q1401" s="45" t="n">
        <v>45883.815</v>
      </c>
      <c r="R1401" s="45" t="n">
        <v>43373.51148135</v>
      </c>
      <c r="S1401" s="45" t="n">
        <v>1023533.097767712</v>
      </c>
      <c r="T1401" s="45" t="n">
        <v>967533.21164384</v>
      </c>
      <c r="U1401" s="15" t="n">
        <v>8.6</v>
      </c>
      <c r="V1401" s="15" t="n">
        <v>17.93</v>
      </c>
      <c r="W1401" s="49" t="n">
        <v>94.529</v>
      </c>
    </row>
    <row r="1402">
      <c r="A1402" s="44" t="inlineStr">
        <is>
          <t>TL Cinsi Sabit Faizli Kuponlu Senetler</t>
        </is>
      </c>
      <c r="B1402" s="44" t="n">
        <v>2008</v>
      </c>
      <c r="C1402" s="44" t="inlineStr">
        <is>
          <t>TRT280813T13</t>
        </is>
      </c>
      <c r="D1402" s="44" t="inlineStr">
        <is>
          <t>nan</t>
        </is>
      </c>
      <c r="E1402" s="44" t="inlineStr">
        <is>
          <t>nan</t>
        </is>
      </c>
      <c r="F1402" s="44" t="n"/>
      <c r="G1402" s="44" t="n"/>
      <c r="H1402" s="15" t="n"/>
      <c r="I1402" s="45" t="n">
        <v>1586452.37</v>
      </c>
      <c r="J1402" s="45" t="n">
        <v>1488429.96556</v>
      </c>
      <c r="K1402" s="45" t="n">
        <v>780025.6</v>
      </c>
      <c r="L1402" s="45" t="n">
        <v>733182.74635</v>
      </c>
      <c r="M1402" s="45" t="n">
        <v>0</v>
      </c>
      <c r="N1402" s="45" t="n">
        <v>0</v>
      </c>
      <c r="O1402" s="45" t="n">
        <v>290185.6480025533</v>
      </c>
      <c r="P1402" s="45" t="n">
        <v>272759.99984</v>
      </c>
      <c r="Q1402" s="45" t="n">
        <v>52631.631</v>
      </c>
      <c r="R1402" s="45" t="n">
        <v>49471.10155845001</v>
      </c>
      <c r="S1402" s="45" t="n">
        <v>1122842.879002553</v>
      </c>
      <c r="T1402" s="45" t="n">
        <v>1055413.84774845</v>
      </c>
      <c r="U1402" s="15" t="n">
        <v>8.93</v>
      </c>
      <c r="V1402" s="15" t="n">
        <v>18.66</v>
      </c>
      <c r="W1402" s="49" t="n">
        <v>93.995</v>
      </c>
    </row>
    <row r="1403">
      <c r="A1403" s="44" t="inlineStr">
        <is>
          <t>TL Cinsi Sabit Faizli Kuponlu Senetler</t>
        </is>
      </c>
      <c r="B1403" s="44" t="n">
        <v>2008</v>
      </c>
      <c r="C1403" s="44" t="inlineStr">
        <is>
          <t>TRT280813T13</t>
        </is>
      </c>
      <c r="D1403" s="44" t="inlineStr">
        <is>
          <t>nan</t>
        </is>
      </c>
      <c r="E1403" s="44" t="inlineStr">
        <is>
          <t>nan</t>
        </is>
      </c>
      <c r="F1403" s="44" t="n"/>
      <c r="G1403" s="44" t="n"/>
      <c r="H1403" s="15" t="n"/>
      <c r="I1403" s="45" t="n">
        <v>391711.34</v>
      </c>
      <c r="J1403" s="45" t="n">
        <v>347788.3502</v>
      </c>
      <c r="K1403" s="45" t="n">
        <v>113500</v>
      </c>
      <c r="L1403" s="45" t="n">
        <v>101042.26</v>
      </c>
      <c r="M1403" s="45" t="n">
        <v>1207539.539000719</v>
      </c>
      <c r="N1403" s="45" t="n">
        <v>1074999.9992</v>
      </c>
      <c r="O1403" s="45" t="n">
        <v>11232.92599748383</v>
      </c>
      <c r="P1403" s="45" t="n">
        <v>10000.00004</v>
      </c>
      <c r="Q1403" s="45" t="n">
        <v>6176.593</v>
      </c>
      <c r="R1403" s="45" t="n">
        <v>5498.65015232</v>
      </c>
      <c r="S1403" s="45" t="n">
        <v>1338449.057998203</v>
      </c>
      <c r="T1403" s="45" t="n">
        <v>1191540.90939232</v>
      </c>
      <c r="U1403" s="15" t="inlineStr">
        <is>
          <t>10,,06</t>
        </is>
      </c>
      <c r="V1403" s="15" t="n">
        <v>21.12</v>
      </c>
      <c r="W1403" s="49" t="n">
        <v>89.024</v>
      </c>
    </row>
    <row r="1404">
      <c r="A1404" s="44" t="inlineStr">
        <is>
          <t>TL Cinsi Sabit Faizli Kuponlu Senetler</t>
        </is>
      </c>
      <c r="B1404" s="44" t="n">
        <v>2007</v>
      </c>
      <c r="C1404" s="44" t="inlineStr">
        <is>
          <t>TRT190111T13</t>
        </is>
      </c>
      <c r="D1404" s="44" t="inlineStr">
        <is>
          <t>nan</t>
        </is>
      </c>
      <c r="E1404" s="44" t="inlineStr">
        <is>
          <t>nan</t>
        </is>
      </c>
      <c r="F1404" s="44" t="n"/>
      <c r="G1404" s="44" t="n"/>
      <c r="H1404" s="15" t="n"/>
      <c r="I1404" s="45" t="n">
        <v>2299773.24</v>
      </c>
      <c r="J1404" s="45" t="n">
        <v>2141894.84074</v>
      </c>
      <c r="K1404" s="45" t="n">
        <v>1070800</v>
      </c>
      <c r="L1404" s="45" t="n">
        <v>999530.845</v>
      </c>
      <c r="M1404" s="45" t="n">
        <v>0</v>
      </c>
      <c r="N1404" s="45" t="n">
        <v>0</v>
      </c>
      <c r="O1404" s="45" t="n">
        <v>1112122.900239972</v>
      </c>
      <c r="P1404" s="45" t="n">
        <v>1038100</v>
      </c>
      <c r="Q1404" s="45" t="n">
        <v>109065.261</v>
      </c>
      <c r="R1404" s="45" t="n">
        <v>101805.87722784</v>
      </c>
      <c r="S1404" s="45" t="n">
        <v>2291988.161239972</v>
      </c>
      <c r="T1404" s="45" t="n">
        <v>2139436.72222784</v>
      </c>
      <c r="U1404" s="15" t="n">
        <v>9.449999999999999</v>
      </c>
      <c r="V1404" s="15" t="n">
        <v>19.793025</v>
      </c>
      <c r="W1404" s="49" t="n">
        <v>93.34399999999999</v>
      </c>
    </row>
    <row r="1405">
      <c r="A1405" s="44" t="inlineStr">
        <is>
          <t>TL Cinsi Sabit Faizli Kuponlu Senetler</t>
        </is>
      </c>
      <c r="B1405" s="44" t="n">
        <v>2007</v>
      </c>
      <c r="C1405" s="44" t="inlineStr">
        <is>
          <t>TRT190111T13</t>
        </is>
      </c>
      <c r="D1405" s="44" t="inlineStr">
        <is>
          <t>nan</t>
        </is>
      </c>
      <c r="E1405" s="44" t="inlineStr">
        <is>
          <t>nan</t>
        </is>
      </c>
      <c r="F1405" s="44" t="n"/>
      <c r="G1405" s="44" t="n"/>
      <c r="H1405" s="15" t="n"/>
      <c r="I1405" s="45" t="n">
        <v>2196851.3</v>
      </c>
      <c r="J1405" s="45" t="n">
        <v>1968456.85683</v>
      </c>
      <c r="K1405" s="45" t="n">
        <v>585300</v>
      </c>
      <c r="L1405" s="45" t="n">
        <v>526312.46</v>
      </c>
      <c r="M1405" s="45" t="n">
        <v>0</v>
      </c>
      <c r="N1405" s="45" t="n">
        <v>0</v>
      </c>
      <c r="O1405" s="45" t="n">
        <v>1255460.287994039</v>
      </c>
      <c r="P1405" s="45" t="n">
        <v>1128935.00017</v>
      </c>
      <c r="Q1405" s="45" t="n">
        <v>91995.223</v>
      </c>
      <c r="R1405" s="45" t="n">
        <v>82723.94442606</v>
      </c>
      <c r="S1405" s="45" t="n">
        <v>1978974.747994039</v>
      </c>
      <c r="T1405" s="45" t="n">
        <v>1779532.6668912</v>
      </c>
      <c r="U1405" s="15" t="n">
        <v>8.98</v>
      </c>
      <c r="V1405" s="15" t="n">
        <v>18.766404</v>
      </c>
      <c r="W1405" s="49" t="n">
        <v>89.922</v>
      </c>
    </row>
    <row r="1406">
      <c r="A1406" s="44" t="inlineStr">
        <is>
          <t>TL Cinsi Sabit Faizli Kuponlu Senetler</t>
        </is>
      </c>
      <c r="B1406" s="44" t="n">
        <v>2007</v>
      </c>
      <c r="C1406" s="44" t="inlineStr">
        <is>
          <t>TRT070312T14</t>
        </is>
      </c>
      <c r="D1406" s="44" t="inlineStr">
        <is>
          <t>nan</t>
        </is>
      </c>
      <c r="E1406" s="44" t="inlineStr">
        <is>
          <t>nan</t>
        </is>
      </c>
      <c r="F1406" s="44" t="n"/>
      <c r="G1406" s="44" t="n"/>
      <c r="H1406" s="15" t="n"/>
      <c r="I1406" s="45" t="n">
        <v>3130862.742</v>
      </c>
      <c r="J1406" s="45" t="n">
        <v>2899262.87549</v>
      </c>
      <c r="K1406" s="45" t="n">
        <v>1035831.137</v>
      </c>
      <c r="L1406" s="45" t="n">
        <v>965034.62996</v>
      </c>
      <c r="M1406" s="45" t="n">
        <v>0</v>
      </c>
      <c r="N1406" s="45" t="n">
        <v>0</v>
      </c>
      <c r="O1406" s="45" t="n">
        <v>1153543.71276767</v>
      </c>
      <c r="P1406" s="45" t="n">
        <v>1074699</v>
      </c>
      <c r="Q1406" s="45" t="n">
        <v>109456.015</v>
      </c>
      <c r="R1406" s="45" t="n">
        <v>101974.69637475</v>
      </c>
      <c r="S1406" s="45" t="n">
        <v>2298830.86476767</v>
      </c>
      <c r="T1406" s="45" t="n">
        <v>2141708.32633475</v>
      </c>
      <c r="U1406" s="15" t="n">
        <v>9.07</v>
      </c>
      <c r="V1406" s="15" t="n">
        <v>18.962649</v>
      </c>
      <c r="W1406" s="49" t="n">
        <v>93.16500000000001</v>
      </c>
    </row>
    <row r="1407">
      <c r="A1407" s="44" t="inlineStr">
        <is>
          <t>TL Cinsi Sabit Faizli Kuponlu Senetler</t>
        </is>
      </c>
      <c r="B1407" s="44" t="n">
        <v>2007</v>
      </c>
      <c r="C1407" s="44" t="inlineStr">
        <is>
          <t>TRT070312T14</t>
        </is>
      </c>
      <c r="D1407" s="44" t="inlineStr">
        <is>
          <t>nan</t>
        </is>
      </c>
      <c r="E1407" s="44" t="inlineStr">
        <is>
          <t>nan</t>
        </is>
      </c>
      <c r="F1407" s="44" t="n"/>
      <c r="G1407" s="44" t="n"/>
      <c r="H1407" s="15" t="n"/>
      <c r="I1407" s="45" t="n">
        <v>2691018.005</v>
      </c>
      <c r="J1407" s="45" t="n">
        <v>2607547.67395</v>
      </c>
      <c r="K1407" s="45" t="n">
        <v>752601.02</v>
      </c>
      <c r="L1407" s="45" t="n">
        <v>730724.7395</v>
      </c>
      <c r="M1407" s="45" t="n">
        <v>0</v>
      </c>
      <c r="N1407" s="45" t="n">
        <v>0</v>
      </c>
      <c r="O1407" s="45" t="n">
        <v>1103560.503846827</v>
      </c>
      <c r="P1407" s="45" t="n">
        <v>1071480</v>
      </c>
      <c r="Q1407" s="45" t="n">
        <v>92808.079</v>
      </c>
      <c r="R1407" s="45" t="n">
        <v>90110.14814347001</v>
      </c>
      <c r="S1407" s="45" t="n">
        <v>2158809.630846827</v>
      </c>
      <c r="T1407" s="45" t="n">
        <v>2096054.86602951</v>
      </c>
      <c r="U1407" s="15" t="n">
        <v>8.6837</v>
      </c>
      <c r="V1407" s="15" t="n">
        <v>18.1214664569</v>
      </c>
      <c r="W1407" s="49" t="n">
        <v>97.093</v>
      </c>
    </row>
    <row r="1408">
      <c r="A1408" s="44" t="inlineStr">
        <is>
          <t>TL Cinsi Sabit Faizli Kuponlu Senetler</t>
        </is>
      </c>
      <c r="B1408" s="44" t="n">
        <v>2007</v>
      </c>
      <c r="C1408" s="44" t="inlineStr">
        <is>
          <t>TRT070312T14</t>
        </is>
      </c>
      <c r="D1408" s="44" t="inlineStr">
        <is>
          <t>nan</t>
        </is>
      </c>
      <c r="E1408" s="44" t="inlineStr">
        <is>
          <t>nan</t>
        </is>
      </c>
      <c r="F1408" s="44" t="n"/>
      <c r="G1408" s="44" t="n"/>
      <c r="H1408" s="15" t="n"/>
      <c r="I1408" s="45" t="n">
        <v>2419828.115</v>
      </c>
      <c r="J1408" s="45" t="n">
        <v>2394773.31438</v>
      </c>
      <c r="K1408" s="45" t="n">
        <v>704700</v>
      </c>
      <c r="L1408" s="45" t="n">
        <v>699186.875</v>
      </c>
      <c r="M1408" s="45" t="n">
        <v>0</v>
      </c>
      <c r="N1408" s="45" t="n">
        <v>0</v>
      </c>
      <c r="O1408" s="45" t="n">
        <v>351629.7446027938</v>
      </c>
      <c r="P1408" s="45" t="n">
        <v>348880</v>
      </c>
      <c r="Q1408" s="45" t="n">
        <v>52792.983</v>
      </c>
      <c r="R1408" s="45" t="n">
        <v>52380.14187294</v>
      </c>
      <c r="S1408" s="45" t="n">
        <v>1235559.802602794</v>
      </c>
      <c r="T1408" s="45" t="n">
        <v>1225895.35394644</v>
      </c>
      <c r="U1408" s="15" t="n">
        <v>8.540000000000001</v>
      </c>
      <c r="V1408" s="15" t="n">
        <v>17.819316</v>
      </c>
      <c r="W1408" s="49" t="n">
        <v>99.218</v>
      </c>
    </row>
    <row r="1409">
      <c r="A1409" s="44" t="inlineStr">
        <is>
          <t>TL Cinsi Sabit Faizli Kuponlu Senetler</t>
        </is>
      </c>
      <c r="B1409" s="44" t="n">
        <v>2007</v>
      </c>
      <c r="C1409" s="44" t="inlineStr">
        <is>
          <t>TRT070312T14</t>
        </is>
      </c>
      <c r="D1409" s="44" t="inlineStr">
        <is>
          <t>nan</t>
        </is>
      </c>
      <c r="E1409" s="44" t="inlineStr">
        <is>
          <t>nan</t>
        </is>
      </c>
      <c r="F1409" s="44" t="n"/>
      <c r="G1409" s="44" t="n"/>
      <c r="H1409" s="15" t="n"/>
      <c r="I1409" s="45" t="n">
        <v>1454715</v>
      </c>
      <c r="J1409" s="45" t="n">
        <v>1475189.52755</v>
      </c>
      <c r="K1409" s="45" t="n">
        <v>466900</v>
      </c>
      <c r="L1409" s="45" t="n">
        <v>474415.053</v>
      </c>
      <c r="M1409" s="45" t="n">
        <v>0</v>
      </c>
      <c r="N1409" s="45" t="n">
        <v>0</v>
      </c>
      <c r="O1409" s="45" t="n">
        <v>263040.0550142702</v>
      </c>
      <c r="P1409" s="45" t="n">
        <v>267274.9999</v>
      </c>
      <c r="Q1409" s="45" t="n">
        <v>36239.85</v>
      </c>
      <c r="R1409" s="45" t="n">
        <v>36823.311585</v>
      </c>
      <c r="S1409" s="45" t="n">
        <v>766179.9050142702</v>
      </c>
      <c r="T1409" s="45" t="n">
        <v>778513.364485</v>
      </c>
      <c r="U1409" s="15" t="n">
        <v>8.359999999999999</v>
      </c>
      <c r="V1409" s="15" t="n">
        <v>17.418896</v>
      </c>
      <c r="W1409" s="49" t="n">
        <v>101.61</v>
      </c>
    </row>
    <row r="1410">
      <c r="A1410" s="44" t="inlineStr">
        <is>
          <t>TL Cinsi Sabit Faizli Kuponlu Senetler</t>
        </is>
      </c>
      <c r="B1410" s="44" t="n">
        <v>2007</v>
      </c>
      <c r="C1410" s="44" t="inlineStr">
        <is>
          <t>TRT070312T14</t>
        </is>
      </c>
      <c r="D1410" s="44" t="inlineStr">
        <is>
          <t>nan</t>
        </is>
      </c>
      <c r="E1410" s="44" t="inlineStr">
        <is>
          <t>nan</t>
        </is>
      </c>
      <c r="F1410" s="44" t="n"/>
      <c r="G1410" s="44" t="n"/>
      <c r="H1410" s="15" t="n"/>
      <c r="I1410" s="45" t="n">
        <v>831408.17</v>
      </c>
      <c r="J1410" s="45" t="n">
        <v>871405.1418</v>
      </c>
      <c r="K1410" s="45" t="n">
        <v>395500</v>
      </c>
      <c r="L1410" s="45" t="n">
        <v>414874.45</v>
      </c>
      <c r="M1410" s="45" t="n">
        <v>0</v>
      </c>
      <c r="N1410" s="45" t="n">
        <v>0</v>
      </c>
      <c r="O1410" s="45" t="n">
        <v>1272080.763400986</v>
      </c>
      <c r="P1410" s="45" t="n">
        <v>1334400</v>
      </c>
      <c r="Q1410" s="45" t="n">
        <v>79578.91800000001</v>
      </c>
      <c r="R1410" s="45" t="n">
        <v>83477.48919282001</v>
      </c>
      <c r="S1410" s="45" t="n">
        <v>1833159.719400986</v>
      </c>
      <c r="T1410" s="45" t="n">
        <v>1922965.11905444</v>
      </c>
      <c r="U1410" s="15" t="n">
        <v>7.99</v>
      </c>
      <c r="V1410" s="15" t="n">
        <v>16.618401</v>
      </c>
      <c r="W1410" s="49" t="n">
        <v>104.899</v>
      </c>
    </row>
    <row r="1411">
      <c r="A1411" s="44" t="inlineStr">
        <is>
          <t>TL Cinsi Sabit Faizli Kuponlu Senetler</t>
        </is>
      </c>
      <c r="B1411" s="44" t="n">
        <v>2007</v>
      </c>
      <c r="C1411" s="44" t="inlineStr">
        <is>
          <t>TRT070312T14</t>
        </is>
      </c>
      <c r="D1411" s="44" t="inlineStr">
        <is>
          <t>nan</t>
        </is>
      </c>
      <c r="E1411" s="44" t="inlineStr">
        <is>
          <t>nan</t>
        </is>
      </c>
      <c r="F1411" s="44" t="n"/>
      <c r="G1411" s="44" t="n"/>
      <c r="H1411" s="15" t="n"/>
      <c r="I1411" s="45" t="n">
        <v>1107849.84</v>
      </c>
      <c r="J1411" s="45" t="n">
        <v>1099557.73733</v>
      </c>
      <c r="K1411" s="45" t="n">
        <v>631945.9</v>
      </c>
      <c r="L1411" s="45" t="n">
        <v>629253.61633</v>
      </c>
      <c r="M1411" s="45" t="n">
        <v>0</v>
      </c>
      <c r="N1411" s="45" t="n">
        <v>0</v>
      </c>
      <c r="O1411" s="45" t="n">
        <v>467591.9416715207</v>
      </c>
      <c r="P1411" s="45" t="n">
        <v>465600</v>
      </c>
      <c r="Q1411" s="45" t="n">
        <v>50846.56</v>
      </c>
      <c r="R1411" s="45" t="n">
        <v>50629.9536544</v>
      </c>
      <c r="S1411" s="45" t="n">
        <v>1272352.440671521</v>
      </c>
      <c r="T1411" s="45" t="n">
        <v>1266932.02513826</v>
      </c>
      <c r="U1411" s="15" t="n">
        <v>9.2476</v>
      </c>
      <c r="V1411" s="15" t="n">
        <v>19.3503810576</v>
      </c>
      <c r="W1411" s="49" t="n">
        <v>99.574</v>
      </c>
    </row>
    <row r="1412">
      <c r="A1412" s="44" t="inlineStr">
        <is>
          <t>TL Cinsi Sabit Faizli Kuponlu Senetler</t>
        </is>
      </c>
      <c r="B1412" s="44" t="n">
        <v>2007</v>
      </c>
      <c r="C1412" s="44" t="inlineStr">
        <is>
          <t>TRT260912T15</t>
        </is>
      </c>
      <c r="D1412" s="44" t="inlineStr">
        <is>
          <t>nan</t>
        </is>
      </c>
      <c r="E1412" s="44" t="inlineStr">
        <is>
          <t>nan</t>
        </is>
      </c>
      <c r="F1412" s="44" t="n"/>
      <c r="G1412" s="44" t="n"/>
      <c r="H1412" s="15" t="n"/>
      <c r="I1412" s="45" t="n">
        <v>2360666.345</v>
      </c>
      <c r="J1412" s="45" t="n">
        <v>2232399.663</v>
      </c>
      <c r="K1412" s="45" t="n">
        <v>1035715.395</v>
      </c>
      <c r="L1412" s="45" t="n">
        <v>981528.38225</v>
      </c>
      <c r="M1412" s="45" t="n">
        <v>0</v>
      </c>
      <c r="N1412" s="45" t="n">
        <v>0</v>
      </c>
      <c r="O1412" s="45" t="n">
        <v>855668.5801114299</v>
      </c>
      <c r="P1412" s="45" t="n">
        <v>810900</v>
      </c>
      <c r="Q1412" s="45" t="n">
        <v>0</v>
      </c>
      <c r="R1412" s="45" t="n">
        <v>0</v>
      </c>
      <c r="S1412" s="45" t="n">
        <v>2060922.57411143</v>
      </c>
      <c r="T1412" s="45" t="n">
        <v>1953096.72175032</v>
      </c>
      <c r="U1412" s="15" t="n">
        <v>7.771699999999999</v>
      </c>
      <c r="V1412" s="15" t="n">
        <v>16.1473932089</v>
      </c>
      <c r="W1412" s="49" t="n">
        <v>94.768</v>
      </c>
    </row>
    <row r="1413">
      <c r="A1413" s="44" t="inlineStr">
        <is>
          <t>TL Cinsi Sabit Faizli Kuponlu Senetler</t>
        </is>
      </c>
      <c r="B1413" s="44" t="n">
        <v>2007</v>
      </c>
      <c r="C1413" s="44" t="inlineStr">
        <is>
          <t>TRT260912T15</t>
        </is>
      </c>
      <c r="D1413" s="44" t="inlineStr">
        <is>
          <t>nan</t>
        </is>
      </c>
      <c r="E1413" s="44" t="inlineStr">
        <is>
          <t>nan</t>
        </is>
      </c>
      <c r="F1413" s="44" t="n"/>
      <c r="G1413" s="44" t="n"/>
      <c r="H1413" s="15" t="n"/>
      <c r="I1413" s="45" t="n">
        <v>1154965</v>
      </c>
      <c r="J1413" s="45" t="n">
        <v>1099834.82</v>
      </c>
      <c r="K1413" s="45" t="n">
        <v>498965</v>
      </c>
      <c r="L1413" s="45" t="n">
        <v>477236.2</v>
      </c>
      <c r="M1413" s="45" t="n">
        <v>0</v>
      </c>
      <c r="N1413" s="45" t="n">
        <v>0</v>
      </c>
      <c r="O1413" s="45" t="n">
        <v>138925.1921166815</v>
      </c>
      <c r="P1413" s="45" t="n">
        <v>132875</v>
      </c>
      <c r="Q1413" s="45" t="n">
        <v>0</v>
      </c>
      <c r="R1413" s="45" t="n">
        <v>0</v>
      </c>
      <c r="S1413" s="45" t="n">
        <v>637890.1921166815</v>
      </c>
      <c r="T1413" s="45" t="n">
        <v>610111.2</v>
      </c>
      <c r="U1413" s="15" t="n">
        <v>8.039999999999999</v>
      </c>
      <c r="V1413" s="15" t="n">
        <v>16.7</v>
      </c>
      <c r="W1413" s="49" t="n">
        <v>95.645</v>
      </c>
    </row>
    <row r="1414">
      <c r="A1414" s="44" t="inlineStr">
        <is>
          <t>TL Cinsi Sabit Faizli Kuponlu Senetler</t>
        </is>
      </c>
      <c r="B1414" s="44" t="n">
        <v>2006</v>
      </c>
      <c r="C1414" s="44" t="inlineStr">
        <is>
          <t>TRT190111T13</t>
        </is>
      </c>
      <c r="D1414" s="44" t="inlineStr">
        <is>
          <t>nan</t>
        </is>
      </c>
      <c r="E1414" s="44" t="inlineStr">
        <is>
          <t>nan</t>
        </is>
      </c>
      <c r="F1414" s="44" t="n"/>
      <c r="G1414" s="44" t="n"/>
      <c r="H1414" s="15" t="n"/>
      <c r="I1414" s="45" t="n">
        <v>1524440.22</v>
      </c>
      <c r="J1414" s="45" t="n">
        <v>1625539.56873</v>
      </c>
      <c r="K1414" s="45" t="n">
        <v>536002.2</v>
      </c>
      <c r="L1414" s="45" t="n">
        <v>574459.81701</v>
      </c>
      <c r="M1414" s="45" t="n">
        <v>0</v>
      </c>
      <c r="N1414" s="45" t="n">
        <v>0</v>
      </c>
      <c r="O1414" s="45" t="n">
        <v>756892.9329974342</v>
      </c>
      <c r="P1414" s="45" t="n">
        <v>811200.0009400001</v>
      </c>
      <c r="Q1414" s="45" t="n">
        <v>64004.391</v>
      </c>
      <c r="R1414" s="45" t="n">
        <v>68596.70605425</v>
      </c>
      <c r="S1414" s="45" t="n">
        <v>1368899.616997434</v>
      </c>
      <c r="T1414" s="45" t="n">
        <v>1467117.623677</v>
      </c>
      <c r="U1414" s="15" t="n">
        <v>6.02</v>
      </c>
      <c r="V1414" s="15" t="n">
        <v>12.41</v>
      </c>
      <c r="W1414" s="49" t="n">
        <v>107.175</v>
      </c>
    </row>
    <row r="1415">
      <c r="A1415" s="44" t="inlineStr">
        <is>
          <t>TL Cinsi Sabit Faizli Kuponlu Senetler</t>
        </is>
      </c>
      <c r="B1415" s="44" t="n">
        <v>2006</v>
      </c>
      <c r="C1415" s="44" t="inlineStr">
        <is>
          <t>TRT190111T13</t>
        </is>
      </c>
      <c r="D1415" s="44" t="inlineStr">
        <is>
          <t>nan</t>
        </is>
      </c>
      <c r="E1415" s="44" t="inlineStr">
        <is>
          <t>nan</t>
        </is>
      </c>
      <c r="F1415" s="44" t="n"/>
      <c r="G1415" s="44" t="n"/>
      <c r="H1415" s="15" t="n"/>
      <c r="I1415" s="45" t="n">
        <v>1094442.3</v>
      </c>
      <c r="J1415" s="45" t="n">
        <v>1144160.99429</v>
      </c>
      <c r="K1415" s="45" t="n">
        <v>193629.3</v>
      </c>
      <c r="L1415" s="45" t="n">
        <v>203387.66529</v>
      </c>
      <c r="M1415" s="45" t="n">
        <v>0</v>
      </c>
      <c r="N1415" s="45" t="n">
        <v>0</v>
      </c>
      <c r="O1415" s="45" t="n">
        <v>123645.7539984768</v>
      </c>
      <c r="P1415" s="45" t="n">
        <v>129877.5</v>
      </c>
      <c r="Q1415" s="45" t="n">
        <v>15019.544</v>
      </c>
      <c r="R1415" s="45" t="n">
        <v>15776.5290176</v>
      </c>
      <c r="S1415" s="45" t="n">
        <v>368307.3279984767</v>
      </c>
      <c r="T1415" s="45" t="n">
        <v>386869.4658996001</v>
      </c>
      <c r="U1415" s="15" t="n">
        <v>6.41</v>
      </c>
      <c r="V1415" s="15" t="n">
        <v>13.22</v>
      </c>
      <c r="W1415" s="49" t="n">
        <v>105.04</v>
      </c>
    </row>
    <row r="1416">
      <c r="A1416" s="44" t="inlineStr">
        <is>
          <t>TL Cinsi Sabit Faizli Kuponlu Senetler</t>
        </is>
      </c>
      <c r="B1416" s="44" t="n">
        <v>2006</v>
      </c>
      <c r="C1416" s="44" t="inlineStr">
        <is>
          <t>TRT190111T13</t>
        </is>
      </c>
      <c r="D1416" s="44" t="inlineStr">
        <is>
          <t>nan</t>
        </is>
      </c>
      <c r="E1416" s="44" t="inlineStr">
        <is>
          <t>nan</t>
        </is>
      </c>
      <c r="F1416" s="44" t="n"/>
      <c r="G1416" s="44" t="n"/>
      <c r="H1416" s="15" t="n"/>
      <c r="I1416" s="45" t="n">
        <v>924026.905</v>
      </c>
      <c r="J1416" s="45" t="n">
        <v>968596.69723</v>
      </c>
      <c r="K1416" s="45" t="n">
        <v>322100</v>
      </c>
      <c r="L1416" s="45" t="n">
        <v>338448.212</v>
      </c>
      <c r="M1416" s="45" t="n">
        <v>116106.4369979824</v>
      </c>
      <c r="N1416" s="45" t="n">
        <v>121999.99974</v>
      </c>
      <c r="O1416" s="45" t="n">
        <v>70250.77199360463</v>
      </c>
      <c r="P1416" s="45" t="n">
        <v>73816.70118</v>
      </c>
      <c r="Q1416" s="45" t="n">
        <v>19590.756</v>
      </c>
      <c r="R1416" s="45" t="n">
        <v>20585.18277456</v>
      </c>
      <c r="S1416" s="45" t="n">
        <v>411941.5279936047</v>
      </c>
      <c r="T1416" s="45" t="n">
        <v>554850.09569456</v>
      </c>
      <c r="U1416" s="15" t="n">
        <v>6.61</v>
      </c>
      <c r="V1416" s="15" t="n">
        <v>13.66</v>
      </c>
      <c r="W1416" s="49" t="n">
        <v>105.076</v>
      </c>
    </row>
    <row r="1417">
      <c r="A1417" s="44" t="inlineStr">
        <is>
          <t>TL Cinsi Sabit Faizli Kuponlu Senetler</t>
        </is>
      </c>
      <c r="B1417" s="44" t="n">
        <v>2006</v>
      </c>
      <c r="C1417" s="44" t="inlineStr">
        <is>
          <t>TRT190111T13</t>
        </is>
      </c>
      <c r="D1417" s="44" t="inlineStr">
        <is>
          <t>nan</t>
        </is>
      </c>
      <c r="E1417" s="44" t="inlineStr">
        <is>
          <t>nan</t>
        </is>
      </c>
      <c r="F1417" s="44" t="n"/>
      <c r="G1417" s="44" t="n"/>
      <c r="H1417" s="15" t="n"/>
      <c r="I1417" s="45" t="n">
        <v>462347</v>
      </c>
      <c r="J1417" s="45" t="n">
        <v>486802.2425</v>
      </c>
      <c r="K1417" s="45" t="n">
        <v>188097</v>
      </c>
      <c r="L1417" s="45" t="n">
        <v>198242.8855</v>
      </c>
      <c r="M1417" s="45" t="n">
        <v>0</v>
      </c>
      <c r="N1417" s="45" t="n">
        <v>0</v>
      </c>
      <c r="O1417" s="45" t="n">
        <v>136730.7436855988</v>
      </c>
      <c r="P1417" s="45" t="n">
        <v>144106</v>
      </c>
      <c r="Q1417" s="45" t="n">
        <v>15483.97</v>
      </c>
      <c r="R1417" s="45" t="n">
        <v>16319.1753418</v>
      </c>
      <c r="S1417" s="45" t="n">
        <v>371718.9136855988</v>
      </c>
      <c r="T1417" s="45" t="n">
        <v>391769.3652098</v>
      </c>
      <c r="U1417" s="15" t="n">
        <v>6.68</v>
      </c>
      <c r="V1417" s="15" t="n">
        <v>13.8</v>
      </c>
      <c r="W1417" s="49" t="n">
        <v>105.394</v>
      </c>
    </row>
    <row r="1418">
      <c r="A1418" s="44" t="inlineStr">
        <is>
          <t>TL Cinsi Sabit Faizli Kuponlu Senetler</t>
        </is>
      </c>
      <c r="B1418" s="44" t="n">
        <v>2006</v>
      </c>
      <c r="C1418" s="44" t="inlineStr">
        <is>
          <t>TRT190111T13</t>
        </is>
      </c>
      <c r="D1418" s="44" t="inlineStr">
        <is>
          <t>nan</t>
        </is>
      </c>
      <c r="E1418" s="44" t="inlineStr">
        <is>
          <t>nan</t>
        </is>
      </c>
      <c r="F1418" s="44" t="n"/>
      <c r="G1418" s="44" t="n"/>
      <c r="H1418" s="15" t="n"/>
      <c r="I1418" s="45" t="n">
        <v>658019.25</v>
      </c>
      <c r="J1418" s="45" t="n">
        <v>683229.22057</v>
      </c>
      <c r="K1418" s="45" t="n">
        <v>325267.35</v>
      </c>
      <c r="L1418" s="45" t="n">
        <v>338080.48041</v>
      </c>
      <c r="M1418" s="45" t="n">
        <v>0</v>
      </c>
      <c r="N1418" s="45" t="n">
        <v>0</v>
      </c>
      <c r="O1418" s="45" t="n">
        <v>28863.08315454257</v>
      </c>
      <c r="P1418" s="45" t="n">
        <v>30000</v>
      </c>
      <c r="Q1418" s="45" t="n">
        <v>17702.803</v>
      </c>
      <c r="R1418" s="45" t="n">
        <v>18400.11641017</v>
      </c>
      <c r="S1418" s="45" t="n">
        <v>409877.2531545425</v>
      </c>
      <c r="T1418" s="45" t="n">
        <v>426023.1676498</v>
      </c>
      <c r="U1418" s="15" t="n">
        <v>7.01</v>
      </c>
      <c r="V1418" s="15" t="n">
        <v>14.5</v>
      </c>
      <c r="W1418" s="49" t="n">
        <v>103.939</v>
      </c>
    </row>
    <row r="1419">
      <c r="A1419" s="44" t="inlineStr">
        <is>
          <t>TL Cinsi Sabit Faizli Kuponlu Senetler</t>
        </is>
      </c>
      <c r="B1419" s="44" t="n">
        <v>2006</v>
      </c>
      <c r="C1419" s="44" t="inlineStr">
        <is>
          <t>TRT190111T13</t>
        </is>
      </c>
      <c r="D1419" s="44" t="inlineStr">
        <is>
          <t>nan</t>
        </is>
      </c>
      <c r="E1419" s="44" t="inlineStr">
        <is>
          <t>nan</t>
        </is>
      </c>
      <c r="F1419" s="44" t="n"/>
      <c r="G1419" s="44" t="n"/>
      <c r="H1419" s="15" t="n"/>
      <c r="I1419" s="45" t="n">
        <v>724515</v>
      </c>
      <c r="J1419" s="45" t="n">
        <v>619281.7131000001</v>
      </c>
      <c r="K1419" s="45" t="n">
        <v>272460</v>
      </c>
      <c r="L1419" s="45" t="n">
        <v>234181.6456</v>
      </c>
      <c r="M1419" s="45" t="n">
        <v>0</v>
      </c>
      <c r="N1419" s="45" t="n">
        <v>0</v>
      </c>
      <c r="O1419" s="45" t="n">
        <v>425445.8935905342</v>
      </c>
      <c r="P1419" s="45" t="n">
        <v>365675</v>
      </c>
      <c r="Q1419" s="45" t="n">
        <v>34823.837</v>
      </c>
      <c r="R1419" s="45" t="n">
        <v>29931.43613987</v>
      </c>
      <c r="S1419" s="45" t="n">
        <v>775652.7525905342</v>
      </c>
      <c r="T1419" s="45" t="n">
        <v>666680.8483790898</v>
      </c>
      <c r="U1419" s="15" t="n">
        <v>9.91</v>
      </c>
      <c r="V1419" s="15" t="n">
        <v>20.8</v>
      </c>
      <c r="W1419" s="49" t="n">
        <v>85.95099999999999</v>
      </c>
    </row>
    <row r="1420">
      <c r="A1420" s="44" t="inlineStr">
        <is>
          <t>TL Cinsi Sabit Faizli Kuponlu Senetler</t>
        </is>
      </c>
      <c r="B1420" s="44" t="n">
        <v>2006</v>
      </c>
      <c r="C1420" s="44" t="inlineStr">
        <is>
          <t>TRT190111T13</t>
        </is>
      </c>
      <c r="D1420" s="44" t="inlineStr">
        <is>
          <t>nan</t>
        </is>
      </c>
      <c r="E1420" s="44" t="inlineStr">
        <is>
          <t>nan</t>
        </is>
      </c>
      <c r="F1420" s="44" t="n"/>
      <c r="G1420" s="44" t="n"/>
      <c r="H1420" s="15" t="n"/>
      <c r="I1420" s="45" t="n">
        <v>2484156.965</v>
      </c>
      <c r="J1420" s="45" t="n">
        <v>2156369.84558</v>
      </c>
      <c r="K1420" s="45" t="n">
        <v>666000</v>
      </c>
      <c r="L1420" s="45" t="n">
        <v>582526.75</v>
      </c>
      <c r="M1420" s="45" t="n">
        <v>0</v>
      </c>
      <c r="N1420" s="45" t="n">
        <v>0</v>
      </c>
      <c r="O1420" s="45" t="n">
        <v>713591.5659799237</v>
      </c>
      <c r="P1420" s="45" t="n">
        <v>624149.9991</v>
      </c>
      <c r="Q1420" s="45" t="n">
        <v>68979.458</v>
      </c>
      <c r="R1420" s="45" t="n">
        <v>60333.57273427999</v>
      </c>
      <c r="S1420" s="45" t="n">
        <v>1448571.023979924</v>
      </c>
      <c r="T1420" s="45" t="n">
        <v>1267010.32183428</v>
      </c>
      <c r="U1420" s="15" t="n">
        <v>9.789999999999999</v>
      </c>
      <c r="V1420" s="15" t="n">
        <v>20.55</v>
      </c>
      <c r="W1420" s="49" t="n">
        <v>87.46599999999999</v>
      </c>
    </row>
    <row r="1421">
      <c r="A1421" s="44" t="inlineStr">
        <is>
          <t>TL Cinsi Sabit Faizli Kuponlu Senetler</t>
        </is>
      </c>
      <c r="B1421" s="44" t="n">
        <v>2005</v>
      </c>
      <c r="C1421" s="44" t="inlineStr">
        <is>
          <t>TRT171007T10</t>
        </is>
      </c>
      <c r="D1421" s="44" t="inlineStr">
        <is>
          <t>nan</t>
        </is>
      </c>
      <c r="E1421" s="44" t="inlineStr">
        <is>
          <t>nan</t>
        </is>
      </c>
      <c r="F1421" s="44" t="n"/>
      <c r="G1421" s="44" t="n"/>
      <c r="H1421" s="15" t="n"/>
      <c r="I1421" s="45" t="n">
        <v>1002249.693</v>
      </c>
      <c r="J1421" s="45" t="n">
        <v>1123135.35757</v>
      </c>
      <c r="K1421" s="45" t="n">
        <v>341038.432</v>
      </c>
      <c r="L1421" s="45" t="n">
        <v>383415.94145</v>
      </c>
      <c r="M1421" s="45" t="n">
        <v>220589.542</v>
      </c>
      <c r="N1421" s="45" t="n">
        <v>247999.99849</v>
      </c>
      <c r="O1421" s="45" t="n">
        <v>688717.203</v>
      </c>
      <c r="P1421" s="45" t="n">
        <v>774297.20264</v>
      </c>
      <c r="Q1421" s="45" t="n">
        <v>0</v>
      </c>
      <c r="R1421" s="45" t="n">
        <v>0</v>
      </c>
      <c r="S1421" s="45" t="n">
        <v>1250345.177</v>
      </c>
      <c r="T1421" s="45" t="n">
        <v>1405713.14258</v>
      </c>
      <c r="U1421" s="15" t="n">
        <v>8.24</v>
      </c>
      <c r="V1421" s="15" t="n">
        <v>17.17</v>
      </c>
      <c r="W1421" s="49" t="n">
        <v>112.426</v>
      </c>
    </row>
    <row r="1422">
      <c r="A1422" s="44" t="inlineStr">
        <is>
          <t>TL Cinsi Sabit Faizli Kuponlu Senetler</t>
        </is>
      </c>
      <c r="B1422" s="44" t="n">
        <v>2005</v>
      </c>
      <c r="C1422" s="44" t="inlineStr">
        <is>
          <t>TRT100210T12</t>
        </is>
      </c>
      <c r="D1422" s="44" t="inlineStr">
        <is>
          <t>nan</t>
        </is>
      </c>
      <c r="E1422" s="44" t="inlineStr">
        <is>
          <t>nan</t>
        </is>
      </c>
      <c r="F1422" s="44" t="n"/>
      <c r="G1422" s="44" t="n"/>
      <c r="H1422" s="15" t="n"/>
      <c r="I1422" s="45" t="n">
        <v>2273651.105</v>
      </c>
      <c r="J1422" s="45" t="n">
        <v>2281660.69841</v>
      </c>
      <c r="K1422" s="45" t="n">
        <v>764845.259</v>
      </c>
      <c r="L1422" s="45" t="n">
        <v>774914.90738</v>
      </c>
      <c r="M1422" s="45" t="n">
        <v>98695.24800142121</v>
      </c>
      <c r="N1422" s="45" t="n">
        <v>99999.99918</v>
      </c>
      <c r="O1422" s="45" t="n">
        <v>1745553.776988216</v>
      </c>
      <c r="P1422" s="45" t="n">
        <v>1768629.99792</v>
      </c>
      <c r="Q1422" s="45" t="n">
        <v>0</v>
      </c>
      <c r="R1422" s="45" t="n">
        <v>0</v>
      </c>
      <c r="S1422" s="45" t="n">
        <v>2728450.783989637</v>
      </c>
      <c r="T1422" s="45" t="n">
        <v>2764479.29741</v>
      </c>
      <c r="U1422" s="15" t="n">
        <v>7.31</v>
      </c>
      <c r="V1422" s="15" t="n">
        <v>15.15</v>
      </c>
      <c r="W1422" s="49" t="n">
        <v>101.322</v>
      </c>
    </row>
    <row r="1423">
      <c r="A1423" s="44" t="inlineStr">
        <is>
          <t>TL Cinsi Sabit Faizli Kuponlu Senetler</t>
        </is>
      </c>
      <c r="B1423" s="44" t="n">
        <v>2005</v>
      </c>
      <c r="C1423" s="44" t="inlineStr">
        <is>
          <t>TRT100210T12</t>
        </is>
      </c>
      <c r="D1423" s="44" t="inlineStr">
        <is>
          <t>nan</t>
        </is>
      </c>
      <c r="E1423" s="44" t="inlineStr">
        <is>
          <t>nan</t>
        </is>
      </c>
      <c r="F1423" s="44" t="n"/>
      <c r="G1423" s="44" t="n"/>
      <c r="H1423" s="15" t="n"/>
      <c r="I1423" s="45" t="n">
        <v>640826.725</v>
      </c>
      <c r="J1423" s="45" t="n">
        <v>725931.86667</v>
      </c>
      <c r="K1423" s="45" t="n">
        <v>514927.2</v>
      </c>
      <c r="L1423" s="45" t="n">
        <v>584115.06531</v>
      </c>
      <c r="M1423" s="45" t="n">
        <v>469604.0049984131</v>
      </c>
      <c r="N1423" s="45" t="n">
        <v>532699.99911</v>
      </c>
      <c r="O1423" s="45" t="n">
        <v>396659.7900049367</v>
      </c>
      <c r="P1423" s="45" t="n">
        <v>449954.99939</v>
      </c>
      <c r="Q1423" s="45" t="n">
        <v>0</v>
      </c>
      <c r="R1423" s="45" t="n">
        <v>0</v>
      </c>
      <c r="S1423" s="45" t="n">
        <v>1381190.99500335</v>
      </c>
      <c r="T1423" s="45" t="n">
        <v>1566770.06381</v>
      </c>
      <c r="U1423" s="15" t="n">
        <v>5.97</v>
      </c>
      <c r="V1423" s="15" t="n">
        <v>12.29</v>
      </c>
      <c r="W1423" s="49" t="n">
        <v>113.436</v>
      </c>
    </row>
    <row r="1424">
      <c r="A1424" s="44" t="inlineStr">
        <is>
          <t>TL Cinsi Sabit Faizli Kuponlu Senetler</t>
        </is>
      </c>
      <c r="B1424" s="44" t="n">
        <v>2005</v>
      </c>
      <c r="C1424" s="44" t="inlineStr">
        <is>
          <t>TRT100210T12</t>
        </is>
      </c>
      <c r="D1424" s="44" t="inlineStr">
        <is>
          <t>nan</t>
        </is>
      </c>
      <c r="E1424" s="44" t="inlineStr">
        <is>
          <t>nan</t>
        </is>
      </c>
      <c r="F1424" s="44" t="n"/>
      <c r="G1424" s="44" t="n"/>
      <c r="H1424" s="15" t="n"/>
      <c r="I1424" s="45" t="n">
        <v>1831779.117</v>
      </c>
      <c r="J1424" s="45" t="n">
        <v>2104560.67746</v>
      </c>
      <c r="K1424" s="45" t="n">
        <v>1547176.912</v>
      </c>
      <c r="L1424" s="45" t="n">
        <v>1778431.53345</v>
      </c>
      <c r="M1424" s="45" t="n">
        <v>810460.4720001392</v>
      </c>
      <c r="N1424" s="45" t="n">
        <v>931599.99875</v>
      </c>
      <c r="O1424" s="45" t="n">
        <v>864287.8920024009</v>
      </c>
      <c r="P1424" s="45" t="n">
        <v>993473.00322</v>
      </c>
      <c r="Q1424" s="45" t="n">
        <v>8694.976000000001</v>
      </c>
      <c r="R1424" s="45" t="n">
        <v>9994.61406272</v>
      </c>
      <c r="S1424" s="45" t="n">
        <v>3230620.25200254</v>
      </c>
      <c r="T1424" s="45" t="n">
        <v>3713499.14948272</v>
      </c>
      <c r="U1424" s="15" t="n">
        <v>5.9</v>
      </c>
      <c r="V1424" s="15" t="n">
        <v>12.14</v>
      </c>
      <c r="W1424" s="49" t="n">
        <v>114.947</v>
      </c>
    </row>
    <row r="1425">
      <c r="A1425" s="44" t="inlineStr">
        <is>
          <t>TL Cinsi Sabit Faizli Kuponlu Senetler</t>
        </is>
      </c>
      <c r="B1425" s="44" t="n">
        <v>2004</v>
      </c>
      <c r="C1425" s="44" t="inlineStr">
        <is>
          <t>TRT161105T12</t>
        </is>
      </c>
      <c r="D1425" s="44" t="inlineStr">
        <is>
          <t>nan</t>
        </is>
      </c>
      <c r="E1425" s="44" t="inlineStr">
        <is>
          <t>nan</t>
        </is>
      </c>
      <c r="F1425" s="44" t="n"/>
      <c r="G1425" s="44" t="n"/>
      <c r="H1425" s="15" t="n"/>
      <c r="I1425" s="45" t="n">
        <v>2359755.11</v>
      </c>
      <c r="J1425" s="45" t="n">
        <v>2577820.392</v>
      </c>
      <c r="K1425" s="45" t="n">
        <v>1442804.765</v>
      </c>
      <c r="L1425" s="45" t="n">
        <v>1579726.9371985</v>
      </c>
      <c r="M1425" s="45" t="n">
        <v>35619.69129600876</v>
      </c>
      <c r="N1425" s="45" t="n">
        <v>39000</v>
      </c>
      <c r="O1425" s="45" t="n">
        <v>130605.5347520322</v>
      </c>
      <c r="P1425" s="45" t="n">
        <v>143000</v>
      </c>
      <c r="Q1425" s="45" t="n">
        <v>18503.89</v>
      </c>
      <c r="R1425" s="45" t="n">
        <v>20259.909161</v>
      </c>
      <c r="S1425" s="45" t="n">
        <v>1627533.881048041</v>
      </c>
      <c r="T1425" s="45" t="n">
        <v>1781986.8463595</v>
      </c>
      <c r="U1425" s="15" t="n">
        <v>10.53</v>
      </c>
      <c r="V1425" s="15" t="n">
        <v>22.17</v>
      </c>
      <c r="W1425" s="49" t="n">
        <v>109.49</v>
      </c>
    </row>
    <row r="1426">
      <c r="A1426" s="44" t="inlineStr">
        <is>
          <t>TL Cinsi Sabit Faizli Kuponlu Senetler</t>
        </is>
      </c>
      <c r="B1426" s="44" t="n">
        <v>2004</v>
      </c>
      <c r="C1426" s="44" t="inlineStr">
        <is>
          <t>TRT171007T10</t>
        </is>
      </c>
      <c r="D1426" s="44" t="inlineStr">
        <is>
          <t>nan</t>
        </is>
      </c>
      <c r="E1426" s="44" t="inlineStr">
        <is>
          <t>nan</t>
        </is>
      </c>
      <c r="F1426" s="44" t="n"/>
      <c r="G1426" s="44" t="n"/>
      <c r="H1426" s="15" t="n"/>
      <c r="I1426" s="45" t="n">
        <v>2843242.81</v>
      </c>
      <c r="J1426" s="45" t="n">
        <v>2818140.4733</v>
      </c>
      <c r="K1426" s="45" t="n">
        <v>582403.24</v>
      </c>
      <c r="L1426" s="45" t="n">
        <v>581255.977</v>
      </c>
      <c r="M1426" s="45" t="n">
        <v>93584.35603138182</v>
      </c>
      <c r="N1426" s="45" t="n">
        <v>93399.99485</v>
      </c>
      <c r="O1426" s="45" t="n">
        <v>1420344.119990381</v>
      </c>
      <c r="P1426" s="45" t="n">
        <v>1417546.042074</v>
      </c>
      <c r="Q1426" s="45" t="n">
        <v>96952.36500000001</v>
      </c>
      <c r="R1426" s="45" t="n">
        <v>96761.36884095</v>
      </c>
      <c r="S1426" s="45" t="n">
        <v>2193284.081021762</v>
      </c>
      <c r="T1426" s="45" t="n">
        <v>2188963.38276495</v>
      </c>
      <c r="U1426" s="15" t="n">
        <v>10.05</v>
      </c>
      <c r="V1426" s="15" t="n">
        <v>21.1</v>
      </c>
      <c r="W1426" s="49" t="n">
        <v>99.803</v>
      </c>
    </row>
    <row r="1427">
      <c r="A1427" s="44" t="inlineStr">
        <is>
          <t>TL Cinsi Sabit Faizli Kuponlu Senetler</t>
        </is>
      </c>
      <c r="B1427" s="44" t="n">
        <v>2003</v>
      </c>
      <c r="C1427" s="44" t="inlineStr">
        <is>
          <t>TRT161105T12</t>
        </is>
      </c>
      <c r="D1427" s="44" t="inlineStr">
        <is>
          <t>nan</t>
        </is>
      </c>
      <c r="E1427" s="44" t="inlineStr">
        <is>
          <t>nan</t>
        </is>
      </c>
      <c r="F1427" s="44" t="n"/>
      <c r="G1427" s="44" t="n"/>
      <c r="H1427" s="15" t="n"/>
      <c r="I1427" s="45" t="n">
        <v>2121028.665</v>
      </c>
      <c r="J1427" s="45" t="n">
        <v>2108073.924</v>
      </c>
      <c r="K1427" s="45" t="n">
        <v>1346499.335</v>
      </c>
      <c r="L1427" s="45" t="n">
        <v>1336400.5899875</v>
      </c>
      <c r="M1427" s="45" t="n">
        <v>30226.70025188917</v>
      </c>
      <c r="N1427" s="45" t="n">
        <v>30000</v>
      </c>
      <c r="O1427" s="45" t="n">
        <v>60453.40050377834</v>
      </c>
      <c r="P1427" s="45" t="n">
        <v>60000</v>
      </c>
      <c r="Q1427" s="45" t="n">
        <v>21676.255</v>
      </c>
      <c r="R1427" s="45" t="n">
        <v>21513.6830875</v>
      </c>
      <c r="S1427" s="45" t="n">
        <v>1534397.815755667</v>
      </c>
      <c r="T1427" s="45" t="n">
        <v>1522889.8321375</v>
      </c>
      <c r="U1427" s="15" t="n">
        <v>12.75</v>
      </c>
      <c r="V1427" s="15" t="n">
        <v>27.13</v>
      </c>
      <c r="W1427" s="49" t="n">
        <v>99250</v>
      </c>
    </row>
    <row r="1428">
      <c r="A1428" s="44" t="inlineStr">
        <is>
          <t>TL Cinsi Sabit Faizli Kuponlu Senetler</t>
        </is>
      </c>
      <c r="B1428" s="44" t="n">
        <v>2003</v>
      </c>
      <c r="C1428" s="44" t="inlineStr">
        <is>
          <t>TRT161105T12</t>
        </is>
      </c>
      <c r="D1428" s="44" t="inlineStr">
        <is>
          <t>nan</t>
        </is>
      </c>
      <c r="E1428" s="44" t="inlineStr">
        <is>
          <t>nan</t>
        </is>
      </c>
      <c r="F1428" s="44" t="n"/>
      <c r="G1428" s="44" t="n"/>
      <c r="H1428" s="15" t="n"/>
      <c r="I1428" s="45" t="n">
        <v>1852260.99</v>
      </c>
      <c r="J1428" s="45" t="n">
        <v>1885822.808</v>
      </c>
      <c r="K1428" s="45" t="n">
        <v>1088167.255</v>
      </c>
      <c r="L1428" s="45" t="n">
        <v>1107776.0289351</v>
      </c>
      <c r="M1428" s="45" t="n">
        <v>122492.6818726548</v>
      </c>
      <c r="N1428" s="45" t="n">
        <v>124700</v>
      </c>
      <c r="O1428" s="45" t="n">
        <v>29468.96917545824</v>
      </c>
      <c r="P1428" s="45" t="n">
        <v>30000</v>
      </c>
      <c r="Q1428" s="45" t="n">
        <v>12037.495</v>
      </c>
      <c r="R1428" s="45" t="n">
        <v>12254.4106599</v>
      </c>
      <c r="S1428" s="45" t="n">
        <v>1467134.191048113</v>
      </c>
      <c r="T1428" s="45" t="n">
        <v>1493571.9491708</v>
      </c>
      <c r="U1428" s="15" t="n">
        <v>12.51</v>
      </c>
      <c r="V1428" s="15" t="n">
        <v>26.58</v>
      </c>
      <c r="W1428" s="49" t="n">
        <v>101802</v>
      </c>
    </row>
    <row r="1429">
      <c r="A1429" s="44" t="inlineStr">
        <is>
          <t>TL Cinsi Degisken Faizli Kuponlu Senetler</t>
        </is>
      </c>
      <c r="B1429" s="44" t="n">
        <v>2026</v>
      </c>
      <c r="C1429" s="44" t="inlineStr">
        <is>
          <t>TRT020130T19</t>
        </is>
      </c>
      <c r="D1429" s="44" t="inlineStr">
        <is>
          <t>07.01.2026</t>
        </is>
      </c>
      <c r="E1429" s="44" t="inlineStr">
        <is>
          <t>02.01.2030</t>
        </is>
      </c>
      <c r="F1429" s="44" t="n">
        <v>1456</v>
      </c>
      <c r="G1429" s="44" t="inlineStr">
        <is>
          <t>6 ay</t>
        </is>
      </c>
      <c r="H1429" s="15" t="n"/>
      <c r="I1429" s="45" t="n">
        <v>71905000</v>
      </c>
      <c r="J1429" s="45" t="n">
        <v>67651864.47</v>
      </c>
      <c r="K1429" s="45" t="n">
        <v>8915000</v>
      </c>
      <c r="L1429" s="45" t="n">
        <v>8505743</v>
      </c>
      <c r="M1429" s="45" t="n">
        <v>5240595.75</v>
      </c>
      <c r="N1429" s="45" t="n">
        <v>4999999.99912</v>
      </c>
      <c r="O1429" s="45" t="n">
        <v>18866144.698</v>
      </c>
      <c r="P1429" s="45" t="n">
        <v>17999999.99491</v>
      </c>
      <c r="Q1429" s="45" t="n">
        <v>3935454.956</v>
      </c>
      <c r="R1429" s="45" t="n">
        <v>3754778.21897</v>
      </c>
      <c r="S1429" s="45" t="n">
        <v>36957195.404</v>
      </c>
      <c r="T1429" s="45" t="n">
        <v>35260521.213</v>
      </c>
      <c r="U1429" s="15" t="n">
        <v>19.49</v>
      </c>
      <c r="V1429" s="15" t="n">
        <v>42.77</v>
      </c>
      <c r="W1429" s="49" t="n">
        <v>95.40900000000001</v>
      </c>
    </row>
    <row r="1430">
      <c r="A1430" s="44" t="inlineStr">
        <is>
          <t>TL Cinsi Degisken Faizli Kuponlu Senetler</t>
        </is>
      </c>
      <c r="B1430" s="44" t="n">
        <v>2026</v>
      </c>
      <c r="C1430" s="44" t="inlineStr">
        <is>
          <t>TRT050630T11</t>
        </is>
      </c>
      <c r="D1430" s="44" t="inlineStr">
        <is>
          <t>10.06.2026</t>
        </is>
      </c>
      <c r="E1430" s="44" t="inlineStr">
        <is>
          <t>05.06.2030</t>
        </is>
      </c>
      <c r="F1430" s="44" t="n">
        <v>1456</v>
      </c>
      <c r="G1430" s="44" t="inlineStr">
        <is>
          <t>6 ay</t>
        </is>
      </c>
      <c r="H1430" s="15" t="n"/>
      <c r="I1430" s="45" t="n">
        <v>24735000</v>
      </c>
      <c r="J1430" s="45" t="n">
        <v>22649056.75</v>
      </c>
      <c r="K1430" s="45" t="n">
        <v>12810000</v>
      </c>
      <c r="L1430" s="45" t="n">
        <v>11769679.1</v>
      </c>
      <c r="M1430" s="45" t="n">
        <v>2176775.977</v>
      </c>
      <c r="N1430" s="45" t="n">
        <v>1999999.99991</v>
      </c>
      <c r="O1430" s="45" t="n">
        <v>8707103.904999999</v>
      </c>
      <c r="P1430" s="45" t="n">
        <v>7999999.99688</v>
      </c>
      <c r="Q1430" s="45" t="n">
        <v>0</v>
      </c>
      <c r="R1430" s="45" t="n">
        <v>0</v>
      </c>
      <c r="S1430" s="45" t="n">
        <v>23693879.882</v>
      </c>
      <c r="T1430" s="45" t="n">
        <v>21769679.09679</v>
      </c>
      <c r="U1430" s="15" t="n">
        <v>20.95</v>
      </c>
      <c r="V1430" s="15" t="n">
        <v>46.28</v>
      </c>
      <c r="W1430" s="49" t="n">
        <v>91.879</v>
      </c>
    </row>
    <row r="1431">
      <c r="A1431" s="44" t="inlineStr">
        <is>
          <t>TL Cinsi Degisken Faizli Kuponlu Senetler</t>
        </is>
      </c>
      <c r="B1431" s="44" t="n">
        <v>2026</v>
      </c>
      <c r="C1431" s="44" t="inlineStr">
        <is>
          <t>TRT020130T19</t>
        </is>
      </c>
      <c r="D1431" s="44" t="inlineStr">
        <is>
          <t>19.08.2026</t>
        </is>
      </c>
      <c r="E1431" s="44" t="inlineStr">
        <is>
          <t>02.01.2030</t>
        </is>
      </c>
      <c r="F1431" s="44" t="n">
        <v>1232</v>
      </c>
      <c r="G1431" s="44" t="inlineStr">
        <is>
          <t>6 ay</t>
        </is>
      </c>
      <c r="H1431" s="15" t="n"/>
      <c r="I1431" s="45" t="n">
        <v>17253000</v>
      </c>
      <c r="J1431" s="45" t="n">
        <v>16813758</v>
      </c>
      <c r="K1431" s="45" t="n">
        <v>5003000</v>
      </c>
      <c r="L1431" s="45" t="n">
        <v>4911423.5</v>
      </c>
      <c r="M1431" s="45" t="n">
        <v>0</v>
      </c>
      <c r="N1431" s="45" t="n">
        <v>0</v>
      </c>
      <c r="O1431" s="45" t="n">
        <v>8658449.624</v>
      </c>
      <c r="P1431" s="45" t="n">
        <v>8499999.99588</v>
      </c>
      <c r="Q1431" s="45" t="n">
        <v>0</v>
      </c>
      <c r="R1431" s="45" t="n">
        <v>0</v>
      </c>
      <c r="S1431" s="45" t="n">
        <v>13661449.624</v>
      </c>
      <c r="T1431" s="45" t="n">
        <v>13411423.49588</v>
      </c>
      <c r="U1431" s="15" t="n">
        <v>20.87</v>
      </c>
      <c r="V1431" s="15" t="n">
        <v>46.1</v>
      </c>
      <c r="W1431" s="49" t="n">
        <v>98.17</v>
      </c>
    </row>
    <row r="1432">
      <c r="A1432" s="44" t="inlineStr">
        <is>
          <t>TL Cinsi Degisken Faizli Kuponlu Senetler</t>
        </is>
      </c>
      <c r="B1432" s="44" t="n">
        <v>2025</v>
      </c>
      <c r="C1432" s="44" t="inlineStr">
        <is>
          <t>TRT160431T19</t>
        </is>
      </c>
      <c r="D1432" s="44" t="inlineStr">
        <is>
          <t>22.01.2025</t>
        </is>
      </c>
      <c r="E1432" s="44" t="inlineStr">
        <is>
          <t>16.04.2031</t>
        </is>
      </c>
      <c r="F1432" s="44" t="n">
        <v>2275</v>
      </c>
      <c r="G1432" s="44" t="inlineStr">
        <is>
          <t>6 ay</t>
        </is>
      </c>
      <c r="H1432" s="15" t="n"/>
      <c r="I1432" s="45" t="n">
        <v>30290000</v>
      </c>
      <c r="J1432" s="45" t="n">
        <v>28287997.25</v>
      </c>
      <c r="K1432" s="45" t="n">
        <v>13650000</v>
      </c>
      <c r="L1432" s="45" t="n">
        <v>12895280.5</v>
      </c>
      <c r="M1432" s="45" t="n">
        <v>0</v>
      </c>
      <c r="N1432" s="45" t="n">
        <v>0</v>
      </c>
      <c r="O1432" s="45" t="n">
        <v>7938944.222</v>
      </c>
      <c r="P1432" s="45" t="n">
        <v>7499999.99598</v>
      </c>
      <c r="Q1432" s="45" t="n">
        <v>5408158.418</v>
      </c>
      <c r="R1432" s="45" t="n">
        <v>5109141.33907</v>
      </c>
      <c r="S1432" s="45" t="n">
        <v>26997102.64</v>
      </c>
      <c r="T1432" s="45" t="n">
        <v>25504421.83505</v>
      </c>
      <c r="U1432" s="15" t="n">
        <v>23.06</v>
      </c>
      <c r="V1432" s="15" t="n">
        <v>51.43</v>
      </c>
      <c r="W1432" s="49" t="n">
        <v>94.471</v>
      </c>
    </row>
    <row r="1433">
      <c r="A1433" s="44" t="inlineStr">
        <is>
          <t>TL Cinsi Degisken Faizli Kuponlu Senetler</t>
        </is>
      </c>
      <c r="B1433" s="44" t="n">
        <v>2025</v>
      </c>
      <c r="C1433" s="44" t="inlineStr">
        <is>
          <t>TRT100332T15</t>
        </is>
      </c>
      <c r="D1433" s="44" t="inlineStr">
        <is>
          <t>19.03.2025</t>
        </is>
      </c>
      <c r="E1433" s="44" t="inlineStr">
        <is>
          <t>10.03.2032</t>
        </is>
      </c>
      <c r="F1433" s="44" t="n">
        <v>2548</v>
      </c>
      <c r="G1433" s="44" t="inlineStr">
        <is>
          <t>6 ay</t>
        </is>
      </c>
      <c r="H1433" s="15" t="n"/>
      <c r="I1433" s="45" t="n">
        <v>36824000</v>
      </c>
      <c r="J1433" s="45" t="n">
        <v>30936301.8</v>
      </c>
      <c r="K1433" s="45" t="n">
        <v>15815000</v>
      </c>
      <c r="L1433" s="45" t="n">
        <v>13551299</v>
      </c>
      <c r="M1433" s="45" t="n">
        <v>0</v>
      </c>
      <c r="N1433" s="45" t="n">
        <v>0</v>
      </c>
      <c r="O1433" s="45" t="n">
        <v>8752888.448000001</v>
      </c>
      <c r="P1433" s="45" t="n">
        <v>7499999.99556</v>
      </c>
      <c r="Q1433" s="45" t="n">
        <v>1377005.579</v>
      </c>
      <c r="R1433" s="45" t="n">
        <v>1179901.00043</v>
      </c>
      <c r="S1433" s="45" t="n">
        <v>25944894.027</v>
      </c>
      <c r="T1433" s="45" t="n">
        <v>22231199.99599</v>
      </c>
      <c r="U1433" s="15" t="n">
        <v>21.64</v>
      </c>
      <c r="V1433" s="15" t="n">
        <v>47.96</v>
      </c>
      <c r="W1433" s="49" t="n">
        <v>85.68600000000001</v>
      </c>
    </row>
    <row r="1434">
      <c r="A1434" s="44" t="inlineStr">
        <is>
          <t>TL Cinsi Degisken Faizli Kuponlu Senetler</t>
        </is>
      </c>
      <c r="B1434" s="44" t="n">
        <v>2025</v>
      </c>
      <c r="C1434" s="44" t="inlineStr">
        <is>
          <t>TRT100332T15</t>
        </is>
      </c>
      <c r="D1434" s="44" t="inlineStr">
        <is>
          <t>07.05.2025</t>
        </is>
      </c>
      <c r="E1434" s="44" t="inlineStr">
        <is>
          <t>10.03.2032</t>
        </is>
      </c>
      <c r="F1434" s="44" t="n">
        <v>2499</v>
      </c>
      <c r="G1434" s="44" t="inlineStr">
        <is>
          <t>6 ay</t>
        </is>
      </c>
      <c r="H1434" s="15" t="n"/>
      <c r="I1434" s="45" t="n">
        <v>11780000</v>
      </c>
      <c r="J1434" s="45" t="n">
        <v>9949514.550000001</v>
      </c>
      <c r="K1434" s="45" t="n">
        <v>6400000</v>
      </c>
      <c r="L1434" s="45" t="n">
        <v>5518638.45</v>
      </c>
      <c r="M1434" s="45" t="n">
        <v>0</v>
      </c>
      <c r="N1434" s="45" t="n">
        <v>0</v>
      </c>
      <c r="O1434" s="45" t="n">
        <v>4638810.604</v>
      </c>
      <c r="P1434" s="45" t="n">
        <v>3999999.99571</v>
      </c>
      <c r="Q1434" s="45" t="n">
        <v>580000</v>
      </c>
      <c r="R1434" s="45" t="n">
        <v>500128.2</v>
      </c>
      <c r="S1434" s="45" t="n">
        <v>11618810.604</v>
      </c>
      <c r="T1434" s="45" t="n">
        <v>10018766.64571</v>
      </c>
      <c r="U1434" s="15" t="n">
        <v>22.77</v>
      </c>
      <c r="V1434" s="15" t="n">
        <v>50.73</v>
      </c>
      <c r="W1434" s="49" t="n">
        <v>86.229</v>
      </c>
    </row>
    <row r="1435">
      <c r="A1435" s="44" t="inlineStr">
        <is>
          <t>TL Cinsi Degisken Faizli Kuponlu Senetler</t>
        </is>
      </c>
      <c r="B1435" s="44" t="n">
        <v>2025</v>
      </c>
      <c r="C1435" s="44" t="inlineStr">
        <is>
          <t>TRT100332T15</t>
        </is>
      </c>
      <c r="D1435" s="44" t="inlineStr">
        <is>
          <t>11.06.2025</t>
        </is>
      </c>
      <c r="E1435" s="44" t="inlineStr">
        <is>
          <t>10.03.2032</t>
        </is>
      </c>
      <c r="F1435" s="44" t="n">
        <v>2464</v>
      </c>
      <c r="G1435" s="44" t="inlineStr">
        <is>
          <t>6 ay</t>
        </is>
      </c>
      <c r="H1435" s="15" t="n"/>
      <c r="I1435" s="45" t="n">
        <v>17350002.307</v>
      </c>
      <c r="J1435" s="45" t="n">
        <v>15503820.5988</v>
      </c>
      <c r="K1435" s="45" t="n">
        <v>8900000</v>
      </c>
      <c r="L1435" s="45" t="n">
        <v>8032357.8</v>
      </c>
      <c r="M1435" s="45" t="n">
        <v>3324062.891</v>
      </c>
      <c r="N1435" s="45" t="n">
        <v>2999999.99976</v>
      </c>
      <c r="O1435" s="45" t="n">
        <v>6094115.298</v>
      </c>
      <c r="P1435" s="45" t="n">
        <v>5499999.99761</v>
      </c>
      <c r="Q1435" s="45" t="n">
        <v>4523634.529</v>
      </c>
      <c r="R1435" s="45" t="n">
        <v>4082625.39877</v>
      </c>
      <c r="S1435" s="45" t="n">
        <v>22841812.718</v>
      </c>
      <c r="T1435" s="45" t="n">
        <v>20614983.19614</v>
      </c>
      <c r="U1435" s="15" t="n">
        <v>22.61</v>
      </c>
      <c r="V1435" s="15" t="n">
        <v>50.34</v>
      </c>
      <c r="W1435" s="49" t="n">
        <v>90.251</v>
      </c>
    </row>
    <row r="1436">
      <c r="A1436" s="44" t="inlineStr">
        <is>
          <t>TL Cinsi Degisken Faizli Kuponlu Senetler</t>
        </is>
      </c>
      <c r="B1436" s="44" t="n">
        <v>2025</v>
      </c>
      <c r="C1436" s="44" t="inlineStr">
        <is>
          <t>TRT100332T15</t>
        </is>
      </c>
      <c r="D1436" s="44" t="inlineStr">
        <is>
          <t>09.07.2025</t>
        </is>
      </c>
      <c r="E1436" s="44" t="inlineStr">
        <is>
          <t>10.03.2032</t>
        </is>
      </c>
      <c r="F1436" s="44" t="n">
        <v>2436</v>
      </c>
      <c r="G1436" s="44" t="inlineStr">
        <is>
          <t>6 ay</t>
        </is>
      </c>
      <c r="H1436" s="15" t="n"/>
      <c r="I1436" s="45" t="n">
        <v>32800000</v>
      </c>
      <c r="J1436" s="45" t="n">
        <v>30911775.2</v>
      </c>
      <c r="K1436" s="45" t="n">
        <v>7250000</v>
      </c>
      <c r="L1436" s="45" t="n">
        <v>6910030</v>
      </c>
      <c r="M1436" s="45" t="n">
        <v>3147590.519</v>
      </c>
      <c r="N1436" s="45" t="n">
        <v>2999999.99956</v>
      </c>
      <c r="O1436" s="45" t="n">
        <v>25180724.152</v>
      </c>
      <c r="P1436" s="45" t="n">
        <v>23999999.9965</v>
      </c>
      <c r="Q1436" s="45" t="n">
        <v>500718.699</v>
      </c>
      <c r="R1436" s="45" t="n">
        <v>477239.9992</v>
      </c>
      <c r="S1436" s="45" t="n">
        <v>36079033.37</v>
      </c>
      <c r="T1436" s="45" t="n">
        <v>34387269.99526</v>
      </c>
      <c r="U1436" s="15" t="n">
        <v>22</v>
      </c>
      <c r="V1436" s="15" t="n">
        <v>48.85</v>
      </c>
      <c r="W1436" s="49" t="n">
        <v>95.31100000000001</v>
      </c>
    </row>
    <row r="1437">
      <c r="A1437" s="44" t="inlineStr">
        <is>
          <t>TL Cinsi Degisken Faizli Kuponlu Senetler</t>
        </is>
      </c>
      <c r="B1437" s="44" t="n">
        <v>2025</v>
      </c>
      <c r="C1437" s="44" t="inlineStr">
        <is>
          <t>TRT110832T19</t>
        </is>
      </c>
      <c r="D1437" s="44" t="inlineStr">
        <is>
          <t>20.08.2025</t>
        </is>
      </c>
      <c r="E1437" s="44" t="inlineStr">
        <is>
          <t>11.08.2032</t>
        </is>
      </c>
      <c r="F1437" s="44" t="n">
        <v>2548</v>
      </c>
      <c r="G1437" s="44" t="inlineStr">
        <is>
          <t>6 ay</t>
        </is>
      </c>
      <c r="H1437" s="15" t="n"/>
      <c r="I1437" s="45" t="n">
        <v>77864000</v>
      </c>
      <c r="J1437" s="45" t="n">
        <v>66313084</v>
      </c>
      <c r="K1437" s="45" t="n">
        <v>8100000</v>
      </c>
      <c r="L1437" s="45" t="n">
        <v>7076335</v>
      </c>
      <c r="M1437" s="45" t="n">
        <v>0</v>
      </c>
      <c r="N1437" s="45" t="n">
        <v>0</v>
      </c>
      <c r="O1437" s="45" t="n">
        <v>24037911.217</v>
      </c>
      <c r="P1437" s="45" t="n">
        <v>20999999.9974</v>
      </c>
      <c r="Q1437" s="45" t="n">
        <v>3701104.232</v>
      </c>
      <c r="R1437" s="45" t="n">
        <v>3233358.67916</v>
      </c>
      <c r="S1437" s="45" t="n">
        <v>35839015.449</v>
      </c>
      <c r="T1437" s="45" t="n">
        <v>31309693.67656</v>
      </c>
      <c r="U1437" s="15" t="n">
        <v>22.14</v>
      </c>
      <c r="V1437" s="15" t="n">
        <v>49.18</v>
      </c>
      <c r="W1437" s="49" t="n">
        <v>87.36199999999999</v>
      </c>
    </row>
    <row r="1438">
      <c r="A1438" s="44" t="inlineStr">
        <is>
          <t>TL Cinsi Degisken Faizli Kuponlu Senetler</t>
        </is>
      </c>
      <c r="B1438" s="44" t="n">
        <v>2024</v>
      </c>
      <c r="C1438" s="44" t="inlineStr">
        <is>
          <t>TRT050630T11</t>
        </is>
      </c>
      <c r="D1438" s="44" t="inlineStr">
        <is>
          <t>24.01.2024</t>
        </is>
      </c>
      <c r="E1438" s="44" t="inlineStr">
        <is>
          <t>05.06.2030</t>
        </is>
      </c>
      <c r="F1438" s="44" t="n">
        <v>2324</v>
      </c>
      <c r="G1438" s="44" t="inlineStr">
        <is>
          <t>6 ay</t>
        </is>
      </c>
      <c r="H1438" s="15" t="n"/>
      <c r="I1438" s="45" t="n">
        <v>21232002.645</v>
      </c>
      <c r="J1438" s="45" t="n">
        <v>19630244.66953</v>
      </c>
      <c r="K1438" s="45" t="n">
        <v>6425002.645</v>
      </c>
      <c r="L1438" s="45" t="n">
        <v>6061378.49953</v>
      </c>
      <c r="M1438" s="45" t="n">
        <v>2119991.52</v>
      </c>
      <c r="N1438" s="45" t="n">
        <v>1999999.99997</v>
      </c>
      <c r="O1438" s="45" t="n">
        <v>8479966.075999999</v>
      </c>
      <c r="P1438" s="45" t="n">
        <v>7999999.99612</v>
      </c>
      <c r="Q1438" s="45" t="n">
        <v>0</v>
      </c>
      <c r="R1438" s="45" t="n">
        <v>0</v>
      </c>
      <c r="S1438" s="45" t="n">
        <v>17024960.241</v>
      </c>
      <c r="T1438" s="45" t="n">
        <v>16061378.49562</v>
      </c>
      <c r="U1438" s="15" t="n">
        <v>20.55</v>
      </c>
      <c r="V1438" s="15" t="n">
        <v>45.33</v>
      </c>
      <c r="W1438" s="49" t="n">
        <v>94.34</v>
      </c>
    </row>
    <row r="1439">
      <c r="A1439" s="44" t="inlineStr">
        <is>
          <t>TL Cinsi Degisken Faizli Kuponlu Senetler</t>
        </is>
      </c>
      <c r="B1439" s="44" t="n">
        <v>2024</v>
      </c>
      <c r="C1439" s="44" t="inlineStr">
        <is>
          <t>TRT050630T11</t>
        </is>
      </c>
      <c r="D1439" s="44" t="inlineStr">
        <is>
          <t>14.02.2024</t>
        </is>
      </c>
      <c r="E1439" s="44" t="inlineStr">
        <is>
          <t>05.06.2030</t>
        </is>
      </c>
      <c r="F1439" s="44" t="n">
        <v>2303</v>
      </c>
      <c r="G1439" s="44" t="inlineStr">
        <is>
          <t>6 ay</t>
        </is>
      </c>
      <c r="H1439" s="15" t="n"/>
      <c r="I1439" s="45" t="n">
        <v>15822006</v>
      </c>
      <c r="J1439" s="45" t="n">
        <v>14956327.35</v>
      </c>
      <c r="K1439" s="45" t="n">
        <v>6165001</v>
      </c>
      <c r="L1439" s="45" t="n">
        <v>5884013.75</v>
      </c>
      <c r="M1439" s="45" t="n">
        <v>1047756.752</v>
      </c>
      <c r="N1439" s="45" t="n">
        <v>999999.99924</v>
      </c>
      <c r="O1439" s="45" t="n">
        <v>5238783.761</v>
      </c>
      <c r="P1439" s="45" t="n">
        <v>4999999.99719</v>
      </c>
      <c r="Q1439" s="45" t="n">
        <v>845469.395</v>
      </c>
      <c r="R1439" s="45" t="n">
        <v>806932.89998</v>
      </c>
      <c r="S1439" s="45" t="n">
        <v>13297010.908</v>
      </c>
      <c r="T1439" s="45" t="n">
        <v>12690946.64641</v>
      </c>
      <c r="U1439" s="15" t="n">
        <v>20.79</v>
      </c>
      <c r="V1439" s="15" t="n">
        <v>45.9</v>
      </c>
      <c r="W1439" s="49" t="n">
        <v>95.44199999999999</v>
      </c>
    </row>
    <row r="1440">
      <c r="A1440" s="44" t="inlineStr">
        <is>
          <t>TL Cinsi Degisken Faizli Kuponlu Senetler</t>
        </is>
      </c>
      <c r="B1440" s="44" t="n">
        <v>2024</v>
      </c>
      <c r="C1440" s="44" t="inlineStr">
        <is>
          <t>TRT050630T11</t>
        </is>
      </c>
      <c r="D1440" s="44" t="inlineStr">
        <is>
          <t>13.03.2024</t>
        </is>
      </c>
      <c r="E1440" s="44" t="inlineStr">
        <is>
          <t>05.06.2030</t>
        </is>
      </c>
      <c r="F1440" s="44" t="n">
        <v>2275</v>
      </c>
      <c r="G1440" s="44" t="inlineStr">
        <is>
          <t>6 ay</t>
        </is>
      </c>
      <c r="H1440" s="15" t="n"/>
      <c r="I1440" s="45" t="n">
        <v>13973682.235</v>
      </c>
      <c r="J1440" s="45" t="n">
        <v>13661215.5503</v>
      </c>
      <c r="K1440" s="45" t="n">
        <v>4685000</v>
      </c>
      <c r="L1440" s="45" t="n">
        <v>4611698.75</v>
      </c>
      <c r="M1440" s="45" t="n">
        <v>2031797.632</v>
      </c>
      <c r="N1440" s="45" t="n">
        <v>1999999.99906</v>
      </c>
      <c r="O1440" s="45" t="n">
        <v>3555645.856</v>
      </c>
      <c r="P1440" s="45" t="n">
        <v>3499999.99832</v>
      </c>
      <c r="Q1440" s="45" t="n">
        <v>933839.64</v>
      </c>
      <c r="R1440" s="45" t="n">
        <v>919225.04964</v>
      </c>
      <c r="S1440" s="45" t="n">
        <v>11206283.128</v>
      </c>
      <c r="T1440" s="45" t="n">
        <v>11030923.79702</v>
      </c>
      <c r="U1440" s="15" t="n">
        <v>20.75</v>
      </c>
      <c r="V1440" s="15" t="n">
        <v>45.79</v>
      </c>
      <c r="W1440" s="49" t="n">
        <v>98.435</v>
      </c>
    </row>
    <row r="1441">
      <c r="A1441" s="44" t="inlineStr">
        <is>
          <t>TL Cinsi Degisken Faizli Kuponlu Senetler</t>
        </is>
      </c>
      <c r="B1441" s="44" t="n">
        <v>2024</v>
      </c>
      <c r="C1441" s="44" t="inlineStr">
        <is>
          <t>TRT160431T19</t>
        </is>
      </c>
      <c r="D1441" s="44" t="inlineStr">
        <is>
          <t>24.04.2024</t>
        </is>
      </c>
      <c r="E1441" s="44" t="inlineStr">
        <is>
          <t>16.04.2031</t>
        </is>
      </c>
      <c r="F1441" s="44" t="n">
        <v>2548</v>
      </c>
      <c r="G1441" s="44" t="inlineStr">
        <is>
          <t>6 ay</t>
        </is>
      </c>
      <c r="H1441" s="15" t="n"/>
      <c r="I1441" s="45" t="n">
        <v>13933000</v>
      </c>
      <c r="J1441" s="45" t="n">
        <v>11866493.61</v>
      </c>
      <c r="K1441" s="45" t="n">
        <v>5148000</v>
      </c>
      <c r="L1441" s="45" t="n">
        <v>4584078.61</v>
      </c>
      <c r="M1441" s="45" t="n">
        <v>3369045.212</v>
      </c>
      <c r="N1441" s="45" t="n">
        <v>2999999.99948</v>
      </c>
      <c r="O1441" s="45" t="n">
        <v>3369045.21</v>
      </c>
      <c r="P1441" s="45" t="n">
        <v>2999999.99769</v>
      </c>
      <c r="Q1441" s="45" t="n">
        <v>2273261.505</v>
      </c>
      <c r="R1441" s="45" t="n">
        <v>2024248.43974</v>
      </c>
      <c r="S1441" s="45" t="n">
        <v>14159351.927</v>
      </c>
      <c r="T1441" s="45" t="n">
        <v>12608327.04691</v>
      </c>
      <c r="U1441" s="15" t="n">
        <v>22.9</v>
      </c>
      <c r="V1441" s="15" t="n">
        <v>51.03</v>
      </c>
      <c r="W1441" s="49" t="n">
        <v>89.04600000000001</v>
      </c>
    </row>
    <row r="1442">
      <c r="A1442" s="44" t="inlineStr">
        <is>
          <t>TL Cinsi Degisken Faizli Kuponlu Senetler</t>
        </is>
      </c>
      <c r="B1442" s="44" t="n">
        <v>2024</v>
      </c>
      <c r="C1442" s="44" t="inlineStr">
        <is>
          <t>TRT160431T19</t>
        </is>
      </c>
      <c r="D1442" s="44" t="inlineStr">
        <is>
          <t>22.05.2024</t>
        </is>
      </c>
      <c r="E1442" s="44" t="inlineStr">
        <is>
          <t>16.04.2031</t>
        </is>
      </c>
      <c r="F1442" s="44" t="n">
        <v>2520</v>
      </c>
      <c r="G1442" s="44" t="inlineStr">
        <is>
          <t>6 ay</t>
        </is>
      </c>
      <c r="H1442" s="15" t="n"/>
      <c r="I1442" s="45" t="n">
        <v>7425003</v>
      </c>
      <c r="J1442" s="45" t="n">
        <v>6698043.87</v>
      </c>
      <c r="K1442" s="45" t="n">
        <v>4265000</v>
      </c>
      <c r="L1442" s="45" t="n">
        <v>3878914.6</v>
      </c>
      <c r="M1442" s="45" t="n">
        <v>2748823.503</v>
      </c>
      <c r="N1442" s="45" t="n">
        <v>2499999.99951</v>
      </c>
      <c r="O1442" s="45" t="n">
        <v>3848352.901</v>
      </c>
      <c r="P1442" s="45" t="n">
        <v>3499999.99642</v>
      </c>
      <c r="Q1442" s="45" t="n">
        <v>1057189.558</v>
      </c>
      <c r="R1442" s="45" t="n">
        <v>961492.75921</v>
      </c>
      <c r="S1442" s="45" t="n">
        <v>11919365.962</v>
      </c>
      <c r="T1442" s="45" t="n">
        <v>10840407.35514</v>
      </c>
      <c r="U1442" s="15" t="n">
        <v>23.16</v>
      </c>
      <c r="V1442" s="15" t="n">
        <v>51.68</v>
      </c>
      <c r="W1442" s="49" t="n">
        <v>90.94799999999999</v>
      </c>
    </row>
    <row r="1443">
      <c r="A1443" s="44" t="inlineStr">
        <is>
          <t>TL Cinsi Degisken Faizli Kuponlu Senetler</t>
        </is>
      </c>
      <c r="B1443" s="44" t="n">
        <v>2024</v>
      </c>
      <c r="C1443" s="44" t="inlineStr">
        <is>
          <t>TRT160431T19</t>
        </is>
      </c>
      <c r="D1443" s="44" t="inlineStr">
        <is>
          <t>05.06.2024</t>
        </is>
      </c>
      <c r="E1443" s="44" t="inlineStr">
        <is>
          <t>16.04.2031</t>
        </is>
      </c>
      <c r="F1443" s="44" t="n">
        <v>2506</v>
      </c>
      <c r="G1443" s="44" t="inlineStr">
        <is>
          <t>6 ay</t>
        </is>
      </c>
      <c r="H1443" s="15" t="n"/>
      <c r="I1443" s="45" t="n">
        <v>10995002</v>
      </c>
      <c r="J1443" s="45" t="n">
        <v>9916620.220000001</v>
      </c>
      <c r="K1443" s="45" t="n">
        <v>5460001</v>
      </c>
      <c r="L1443" s="45" t="n">
        <v>4999984.215</v>
      </c>
      <c r="M1443" s="45" t="n">
        <v>0</v>
      </c>
      <c r="N1443" s="45" t="n">
        <v>0</v>
      </c>
      <c r="O1443" s="45" t="n">
        <v>3822003.818</v>
      </c>
      <c r="P1443" s="45" t="n">
        <v>3499999.99633</v>
      </c>
      <c r="Q1443" s="45" t="n">
        <v>653000</v>
      </c>
      <c r="R1443" s="45" t="n">
        <v>597984.75</v>
      </c>
      <c r="S1443" s="45" t="n">
        <v>9935004.818</v>
      </c>
      <c r="T1443" s="45" t="n">
        <v>9097968.96133</v>
      </c>
      <c r="U1443" s="15" t="n">
        <v>23.39</v>
      </c>
      <c r="V1443" s="15" t="n">
        <v>52.25</v>
      </c>
      <c r="W1443" s="49" t="n">
        <v>91.575</v>
      </c>
    </row>
    <row r="1444">
      <c r="A1444" s="44" t="inlineStr">
        <is>
          <t>TL Cinsi Degisken Faizli Kuponlu Senetler</t>
        </is>
      </c>
      <c r="B1444" s="44" t="n">
        <v>2024</v>
      </c>
      <c r="C1444" s="44" t="inlineStr">
        <is>
          <t>TRT160431T19</t>
        </is>
      </c>
      <c r="D1444" s="44" t="inlineStr">
        <is>
          <t>10.07.2024</t>
        </is>
      </c>
      <c r="E1444" s="44" t="inlineStr">
        <is>
          <t>16.04.2031</t>
        </is>
      </c>
      <c r="F1444" s="44" t="n">
        <v>2471</v>
      </c>
      <c r="G1444" s="44" t="inlineStr">
        <is>
          <t>6 ay</t>
        </is>
      </c>
      <c r="H1444" s="15" t="n"/>
      <c r="I1444" s="45" t="n">
        <v>12945000</v>
      </c>
      <c r="J1444" s="45" t="n">
        <v>12139154.25</v>
      </c>
      <c r="K1444" s="45" t="n">
        <v>3870000</v>
      </c>
      <c r="L1444" s="45" t="n">
        <v>3692317.85</v>
      </c>
      <c r="M1444" s="45" t="n">
        <v>0</v>
      </c>
      <c r="N1444" s="45" t="n">
        <v>0</v>
      </c>
      <c r="O1444" s="45" t="n">
        <v>4192476.596</v>
      </c>
      <c r="P1444" s="45" t="n">
        <v>3999999.99548</v>
      </c>
      <c r="Q1444" s="45" t="n">
        <v>300825.393</v>
      </c>
      <c r="R1444" s="45" t="n">
        <v>287014.49921</v>
      </c>
      <c r="S1444" s="45" t="n">
        <v>8363301.989</v>
      </c>
      <c r="T1444" s="45" t="n">
        <v>7979332.344690001</v>
      </c>
      <c r="U1444" s="15" t="n">
        <v>23.38</v>
      </c>
      <c r="V1444" s="15" t="n">
        <v>52.21</v>
      </c>
      <c r="W1444" s="49" t="n">
        <v>95.40900000000001</v>
      </c>
    </row>
    <row r="1445">
      <c r="A1445" s="44" t="inlineStr">
        <is>
          <t>TL Cinsi Degisken Faizli Kuponlu Senetler</t>
        </is>
      </c>
      <c r="B1445" s="44" t="n">
        <v>2024</v>
      </c>
      <c r="C1445" s="44" t="inlineStr">
        <is>
          <t>TRT160431T19</t>
        </is>
      </c>
      <c r="D1445" s="44" t="inlineStr">
        <is>
          <t>21.08.2024</t>
        </is>
      </c>
      <c r="E1445" s="44" t="inlineStr">
        <is>
          <t>16.04.2031</t>
        </is>
      </c>
      <c r="F1445" s="44" t="n">
        <v>2429</v>
      </c>
      <c r="G1445" s="44" t="inlineStr">
        <is>
          <t>6 ay</t>
        </is>
      </c>
      <c r="H1445" s="15" t="n"/>
      <c r="I1445" s="45" t="n">
        <v>10650000</v>
      </c>
      <c r="J1445" s="45" t="n">
        <v>10513085.25</v>
      </c>
      <c r="K1445" s="45" t="n">
        <v>4275000</v>
      </c>
      <c r="L1445" s="45" t="n">
        <v>4257352.75</v>
      </c>
      <c r="M1445" s="45" t="n">
        <v>0</v>
      </c>
      <c r="N1445" s="45" t="n">
        <v>0</v>
      </c>
      <c r="O1445" s="45" t="n">
        <v>3514514.945</v>
      </c>
      <c r="P1445" s="45" t="n">
        <v>3499999.99828</v>
      </c>
      <c r="Q1445" s="45" t="n">
        <v>785977.1850000001</v>
      </c>
      <c r="R1445" s="45" t="n">
        <v>782731.0992300001</v>
      </c>
      <c r="S1445" s="45" t="n">
        <v>8575492.130000001</v>
      </c>
      <c r="T1445" s="45" t="n">
        <v>8540083.847510001</v>
      </c>
      <c r="U1445" s="15" t="n">
        <v>23.53</v>
      </c>
      <c r="V1445" s="15" t="n">
        <v>52.6</v>
      </c>
      <c r="W1445" s="49" t="n">
        <v>99.587</v>
      </c>
    </row>
    <row r="1446">
      <c r="A1446" s="44" t="inlineStr">
        <is>
          <t>TL Cinsi Degisken Faizli Kuponlu Senetler</t>
        </is>
      </c>
      <c r="B1446" s="44" t="n">
        <v>2024</v>
      </c>
      <c r="C1446" s="44" t="inlineStr">
        <is>
          <t>TRT160431T19</t>
        </is>
      </c>
      <c r="D1446" s="44" t="inlineStr">
        <is>
          <t>11.09.2024</t>
        </is>
      </c>
      <c r="E1446" s="44" t="inlineStr">
        <is>
          <t>16.04.2031</t>
        </is>
      </c>
      <c r="F1446" s="44" t="n">
        <v>2408</v>
      </c>
      <c r="G1446" s="44" t="inlineStr">
        <is>
          <t>6 ay</t>
        </is>
      </c>
      <c r="H1446" s="15" t="n"/>
      <c r="I1446" s="45" t="n">
        <v>8170000</v>
      </c>
      <c r="J1446" s="45" t="n">
        <v>8217623.5</v>
      </c>
      <c r="K1446" s="45" t="n">
        <v>6390000</v>
      </c>
      <c r="L1446" s="45" t="n">
        <v>6445799.5</v>
      </c>
      <c r="M1446" s="45" t="n">
        <v>0</v>
      </c>
      <c r="N1446" s="45" t="n">
        <v>0</v>
      </c>
      <c r="O1446" s="45" t="n">
        <v>2974036.658</v>
      </c>
      <c r="P1446" s="45" t="n">
        <v>2999999.99802</v>
      </c>
      <c r="Q1446" s="45" t="n">
        <v>495000</v>
      </c>
      <c r="R1446" s="45" t="n">
        <v>499321.35</v>
      </c>
      <c r="S1446" s="45" t="n">
        <v>9859036.658</v>
      </c>
      <c r="T1446" s="45" t="n">
        <v>9945120.84802</v>
      </c>
      <c r="U1446" s="15" t="n">
        <v>23.87</v>
      </c>
      <c r="V1446" s="15" t="n">
        <v>53.43</v>
      </c>
      <c r="W1446" s="49" t="n">
        <v>100.873</v>
      </c>
    </row>
    <row r="1447">
      <c r="A1447" s="44" t="inlineStr">
        <is>
          <t>TL Cinsi Degisken Faizli Kuponlu Senetler</t>
        </is>
      </c>
      <c r="B1447" s="44" t="n">
        <v>2024</v>
      </c>
      <c r="C1447" s="44" t="inlineStr">
        <is>
          <t>TRT160431T19</t>
        </is>
      </c>
      <c r="D1447" s="44" t="inlineStr">
        <is>
          <t>16.10.2024</t>
        </is>
      </c>
      <c r="E1447" s="44" t="inlineStr">
        <is>
          <t>16.04.2031</t>
        </is>
      </c>
      <c r="F1447" s="44" t="n">
        <v>2373</v>
      </c>
      <c r="G1447" s="44" t="inlineStr">
        <is>
          <t>6 ay</t>
        </is>
      </c>
      <c r="H1447" s="15" t="n"/>
      <c r="I1447" s="45" t="n">
        <v>8582000</v>
      </c>
      <c r="J1447" s="45" t="n">
        <v>8870460.539999999</v>
      </c>
      <c r="K1447" s="45" t="n">
        <v>4810000</v>
      </c>
      <c r="L1447" s="45" t="n">
        <v>5011121.35</v>
      </c>
      <c r="M1447" s="45" t="n">
        <v>0</v>
      </c>
      <c r="N1447" s="45" t="n">
        <v>0</v>
      </c>
      <c r="O1447" s="45" t="n">
        <v>3839471.685</v>
      </c>
      <c r="P1447" s="45" t="n">
        <v>3999999.99615</v>
      </c>
      <c r="Q1447" s="45" t="n">
        <v>1103165.279</v>
      </c>
      <c r="R1447" s="45" t="n">
        <v>1149288.61931</v>
      </c>
      <c r="S1447" s="45" t="n">
        <v>9752636.964000002</v>
      </c>
      <c r="T1447" s="45" t="n">
        <v>10160409.96546</v>
      </c>
      <c r="U1447" s="15" t="n">
        <v>24.14</v>
      </c>
      <c r="V1447" s="15" t="n">
        <v>54.11</v>
      </c>
      <c r="W1447" s="49" t="n">
        <v>104.181</v>
      </c>
    </row>
    <row r="1448">
      <c r="A1448" s="44" t="inlineStr">
        <is>
          <t>TL Cinsi Degisken Faizli Kuponlu Senetler</t>
        </is>
      </c>
      <c r="B1448" s="44" t="n">
        <v>2024</v>
      </c>
      <c r="C1448" s="44" t="inlineStr">
        <is>
          <t>TRT160431T19</t>
        </is>
      </c>
      <c r="D1448" s="44" t="inlineStr">
        <is>
          <t>13.11.2024</t>
        </is>
      </c>
      <c r="E1448" s="44" t="inlineStr">
        <is>
          <t>16.04.2031</t>
        </is>
      </c>
      <c r="F1448" s="44" t="n">
        <v>2345</v>
      </c>
      <c r="G1448" s="44" t="inlineStr">
        <is>
          <t>6 ay</t>
        </is>
      </c>
      <c r="H1448" s="15" t="n"/>
      <c r="I1448" s="45" t="n">
        <v>6875000</v>
      </c>
      <c r="J1448" s="45" t="n">
        <v>5889875.75</v>
      </c>
      <c r="K1448" s="45" t="n">
        <v>3340000</v>
      </c>
      <c r="L1448" s="45" t="n">
        <v>2883837.55</v>
      </c>
      <c r="M1448" s="45" t="n">
        <v>9844571.585999999</v>
      </c>
      <c r="N1448" s="45" t="n">
        <v>8499999.998779999</v>
      </c>
      <c r="O1448" s="45" t="n">
        <v>2026823.559</v>
      </c>
      <c r="P1448" s="45" t="n">
        <v>1749999.9973</v>
      </c>
      <c r="Q1448" s="45" t="n">
        <v>1701578.513</v>
      </c>
      <c r="R1448" s="45" t="n">
        <v>1469176.91969</v>
      </c>
      <c r="S1448" s="45" t="n">
        <v>16912973.658</v>
      </c>
      <c r="T1448" s="45" t="n">
        <v>14603014.46577</v>
      </c>
      <c r="U1448" s="15" t="n">
        <v>23.31</v>
      </c>
      <c r="V1448" s="15" t="n">
        <v>52.06</v>
      </c>
      <c r="W1448" s="49" t="n">
        <v>86.342</v>
      </c>
    </row>
    <row r="1449">
      <c r="A1449" s="44" t="inlineStr">
        <is>
          <t>TL Cinsi Degisken Faizli Kuponlu Senetler</t>
        </is>
      </c>
      <c r="B1449" s="44" t="n">
        <v>2024</v>
      </c>
      <c r="C1449" s="44" t="inlineStr">
        <is>
          <t>TRT160431T19</t>
        </is>
      </c>
      <c r="D1449" s="44" t="inlineStr">
        <is>
          <t>18.12.2024</t>
        </is>
      </c>
      <c r="E1449" s="44" t="inlineStr">
        <is>
          <t>16.04.2031</t>
        </is>
      </c>
      <c r="F1449" s="44" t="n">
        <v>2310</v>
      </c>
      <c r="G1449" s="44" t="inlineStr">
        <is>
          <t>6 ay</t>
        </is>
      </c>
      <c r="H1449" s="15" t="n"/>
      <c r="I1449" s="45" t="n">
        <v>16055000</v>
      </c>
      <c r="J1449" s="45" t="n">
        <v>14157049.85</v>
      </c>
      <c r="K1449" s="45" t="n">
        <v>7055000</v>
      </c>
      <c r="L1449" s="45" t="n">
        <v>6338054.85</v>
      </c>
      <c r="M1449" s="45" t="n">
        <v>0</v>
      </c>
      <c r="N1449" s="45" t="n">
        <v>0</v>
      </c>
      <c r="O1449" s="45" t="n">
        <v>1113114.714</v>
      </c>
      <c r="P1449" s="45" t="n">
        <v>999999.99678</v>
      </c>
      <c r="Q1449" s="45" t="n">
        <v>1512691.199</v>
      </c>
      <c r="R1449" s="45" t="n">
        <v>1358971.51935</v>
      </c>
      <c r="S1449" s="45" t="n">
        <v>9680805.912999999</v>
      </c>
      <c r="T1449" s="45" t="n">
        <v>8697026.36613</v>
      </c>
      <c r="U1449" s="15" t="n">
        <v>23.33</v>
      </c>
      <c r="V1449" s="15" t="n">
        <v>52.1</v>
      </c>
      <c r="W1449" s="49" t="n">
        <v>89.83799999999999</v>
      </c>
    </row>
    <row r="1450">
      <c r="A1450" s="44" t="inlineStr">
        <is>
          <t>TL Cinsi Degisken Faizli Kuponlu Senetler</t>
        </is>
      </c>
      <c r="B1450" s="44" t="n">
        <v>2023</v>
      </c>
      <c r="C1450" s="44" t="inlineStr">
        <is>
          <t>TRT031029T10</t>
        </is>
      </c>
      <c r="D1450" s="44" t="inlineStr">
        <is>
          <t>18.01.2023</t>
        </is>
      </c>
      <c r="E1450" s="44" t="inlineStr">
        <is>
          <t>03.10.2029</t>
        </is>
      </c>
      <c r="F1450" s="44" t="n">
        <v>2450</v>
      </c>
      <c r="G1450" s="44" t="inlineStr">
        <is>
          <t>6 ay</t>
        </is>
      </c>
      <c r="H1450" s="15" t="n"/>
      <c r="I1450" s="45" t="n">
        <v>2811011</v>
      </c>
      <c r="J1450" s="45" t="n">
        <v>2662992.31</v>
      </c>
      <c r="K1450" s="45" t="n">
        <v>1689004</v>
      </c>
      <c r="L1450" s="45" t="n">
        <v>1611214.82</v>
      </c>
      <c r="M1450" s="45" t="n">
        <v>1048283.959</v>
      </c>
      <c r="N1450" s="45" t="n">
        <v>999999.99985</v>
      </c>
      <c r="O1450" s="45" t="n">
        <v>419313.58</v>
      </c>
      <c r="P1450" s="45" t="n">
        <v>399999.9965</v>
      </c>
      <c r="Q1450" s="45" t="n">
        <v>409995.202</v>
      </c>
      <c r="R1450" s="45" t="n">
        <v>391110.823</v>
      </c>
      <c r="S1450" s="45" t="n">
        <v>3566596.741</v>
      </c>
      <c r="T1450" s="45" t="n">
        <v>3402325.63935</v>
      </c>
      <c r="U1450" s="15" t="n">
        <v>10.31</v>
      </c>
      <c r="V1450" s="15" t="n">
        <v>21.69</v>
      </c>
      <c r="W1450" s="49" t="n">
        <v>95.39400000000001</v>
      </c>
    </row>
    <row r="1451">
      <c r="A1451" s="44" t="inlineStr">
        <is>
          <t>TL Cinsi Degisken Faizli Kuponlu Senetler</t>
        </is>
      </c>
      <c r="B1451" s="44" t="n">
        <v>2023</v>
      </c>
      <c r="C1451" s="44" t="inlineStr">
        <is>
          <t>TRT031029T10</t>
        </is>
      </c>
      <c r="D1451" s="44" t="inlineStr">
        <is>
          <t>22.02.2023</t>
        </is>
      </c>
      <c r="E1451" s="44" t="inlineStr">
        <is>
          <t>03.10.2029</t>
        </is>
      </c>
      <c r="F1451" s="44" t="n">
        <v>2415</v>
      </c>
      <c r="G1451" s="44" t="inlineStr">
        <is>
          <t>6 ay</t>
        </is>
      </c>
      <c r="H1451" s="15" t="n"/>
      <c r="I1451" s="45" t="n">
        <v>2607006</v>
      </c>
      <c r="J1451" s="45" t="n">
        <v>2451306.585</v>
      </c>
      <c r="K1451" s="45" t="n">
        <v>1300001</v>
      </c>
      <c r="L1451" s="45" t="n">
        <v>1239718.7</v>
      </c>
      <c r="M1451" s="45" t="inlineStr">
        <is>
          <t>-</t>
        </is>
      </c>
      <c r="N1451" s="45" t="inlineStr">
        <is>
          <t>-</t>
        </is>
      </c>
      <c r="O1451" s="45" t="n">
        <v>524312.362</v>
      </c>
      <c r="P1451" s="45" t="n">
        <v>499999.99778</v>
      </c>
      <c r="Q1451" s="45" t="n">
        <v>351289.284</v>
      </c>
      <c r="R1451" s="45" t="n">
        <v>334999.9999</v>
      </c>
      <c r="S1451" s="45" t="n">
        <v>2175602.646</v>
      </c>
      <c r="T1451" s="45" t="n">
        <v>2074718.69768</v>
      </c>
      <c r="U1451" s="15" t="n">
        <v>10.6</v>
      </c>
      <c r="V1451" s="15" t="n">
        <v>22.32</v>
      </c>
      <c r="W1451" s="49" t="n">
        <v>95.363</v>
      </c>
    </row>
    <row r="1452">
      <c r="A1452" s="44" t="inlineStr">
        <is>
          <t>TL Cinsi Degisken Faizli Kuponlu Senetler</t>
        </is>
      </c>
      <c r="B1452" s="44" t="n">
        <v>2023</v>
      </c>
      <c r="C1452" s="44" t="inlineStr">
        <is>
          <t>TRT031029T10</t>
        </is>
      </c>
      <c r="D1452" s="44" t="inlineStr">
        <is>
          <t>22.03.2023</t>
        </is>
      </c>
      <c r="E1452" s="44" t="inlineStr">
        <is>
          <t>03.10.2029</t>
        </is>
      </c>
      <c r="F1452" s="44" t="n">
        <v>2387</v>
      </c>
      <c r="G1452" s="44" t="inlineStr">
        <is>
          <t>6 ay</t>
        </is>
      </c>
      <c r="H1452" s="15" t="n"/>
      <c r="I1452" s="45" t="n">
        <v>5318007</v>
      </c>
      <c r="J1452" s="45" t="n">
        <v>5066995.38</v>
      </c>
      <c r="K1452" s="45" t="n">
        <v>2775002</v>
      </c>
      <c r="L1452" s="45" t="n">
        <v>2678315.03</v>
      </c>
      <c r="M1452" s="45" t="inlineStr">
        <is>
          <t>-</t>
        </is>
      </c>
      <c r="N1452" s="45" t="inlineStr">
        <is>
          <t>-</t>
        </is>
      </c>
      <c r="O1452" s="45" t="n">
        <v>1761365.988</v>
      </c>
      <c r="P1452" s="45" t="n">
        <v>1699999.99698</v>
      </c>
      <c r="Q1452" s="45" t="n">
        <v>1489000</v>
      </c>
      <c r="R1452" s="45" t="n">
        <v>1437123.24</v>
      </c>
      <c r="S1452" s="45" t="n">
        <v>6025367.988</v>
      </c>
      <c r="T1452" s="45" t="n">
        <v>5815438.26698</v>
      </c>
      <c r="U1452" s="15" t="n">
        <v>10.65</v>
      </c>
      <c r="V1452" s="15" t="n">
        <v>22.44</v>
      </c>
      <c r="W1452" s="49" t="n">
        <v>96.51600000000001</v>
      </c>
    </row>
    <row r="1453">
      <c r="A1453" s="44" t="inlineStr">
        <is>
          <t>TL Cinsi Degisken Faizli Kuponlu Senetler</t>
        </is>
      </c>
      <c r="B1453" s="44" t="n">
        <v>2023</v>
      </c>
      <c r="C1453" s="44" t="inlineStr">
        <is>
          <t>TRT031029T10</t>
        </is>
      </c>
      <c r="D1453" s="44" t="inlineStr">
        <is>
          <t>19.04.2023</t>
        </is>
      </c>
      <c r="E1453" s="44" t="inlineStr">
        <is>
          <t>03.10.2029</t>
        </is>
      </c>
      <c r="F1453" s="44" t="n">
        <v>2359</v>
      </c>
      <c r="G1453" s="44" t="inlineStr">
        <is>
          <t>6 ay</t>
        </is>
      </c>
      <c r="H1453" s="15" t="n"/>
      <c r="I1453" s="45" t="n">
        <v>2165007</v>
      </c>
      <c r="J1453" s="45" t="n">
        <v>1826761.01</v>
      </c>
      <c r="K1453" s="45" t="n">
        <v>1030001</v>
      </c>
      <c r="L1453" s="45" t="n">
        <v>885623.96</v>
      </c>
      <c r="M1453" s="45" t="inlineStr">
        <is>
          <t>-</t>
        </is>
      </c>
      <c r="N1453" s="45" t="inlineStr">
        <is>
          <t>-</t>
        </is>
      </c>
      <c r="O1453" s="45" t="n">
        <v>872265.446</v>
      </c>
      <c r="P1453" s="45" t="n">
        <v>749999.99843</v>
      </c>
      <c r="Q1453" s="45" t="n">
        <v>75327.89599999999</v>
      </c>
      <c r="R1453" s="45" t="n">
        <v>64769.18482</v>
      </c>
      <c r="S1453" s="45" t="n">
        <v>1977594.342</v>
      </c>
      <c r="T1453" s="45" t="n">
        <v>1700393.14325</v>
      </c>
      <c r="U1453" s="15" t="n">
        <v>6.78</v>
      </c>
      <c r="V1453" s="15" t="n">
        <v>14.02</v>
      </c>
      <c r="W1453" s="49" t="n">
        <v>85.983</v>
      </c>
    </row>
    <row r="1454">
      <c r="A1454" s="44" t="inlineStr">
        <is>
          <t>TL Cinsi Degisken Faizli Kuponlu Senetler</t>
        </is>
      </c>
      <c r="B1454" s="44" t="n">
        <v>2023</v>
      </c>
      <c r="C1454" s="44" t="inlineStr">
        <is>
          <t>TRT031029T10</t>
        </is>
      </c>
      <c r="D1454" s="44" t="inlineStr">
        <is>
          <t>10.05.2023</t>
        </is>
      </c>
      <c r="E1454" s="44" t="inlineStr">
        <is>
          <t>03.10.2029</t>
        </is>
      </c>
      <c r="F1454" s="44" t="n">
        <v>2338</v>
      </c>
      <c r="G1454" s="44" t="inlineStr">
        <is>
          <t>6 ay</t>
        </is>
      </c>
      <c r="H1454" s="15" t="n"/>
      <c r="I1454" s="45" t="n">
        <v>2005755</v>
      </c>
      <c r="J1454" s="45" t="n">
        <v>1695013.93</v>
      </c>
      <c r="K1454" s="45" t="n">
        <v>1173750</v>
      </c>
      <c r="L1454" s="45" t="n">
        <v>1010185.82</v>
      </c>
      <c r="M1454" s="45" t="n">
        <v>3485737.523</v>
      </c>
      <c r="N1454" s="45" t="n">
        <v>2999999.99917</v>
      </c>
      <c r="O1454" s="45" t="n">
        <v>697147.503</v>
      </c>
      <c r="P1454" s="45" t="n">
        <v>599999.99846</v>
      </c>
      <c r="Q1454" s="45" t="n">
        <v>144560.762</v>
      </c>
      <c r="R1454" s="45" t="n">
        <v>124416.21982</v>
      </c>
      <c r="S1454" s="45" t="n">
        <v>5501195.788000001</v>
      </c>
      <c r="T1454" s="45" t="n">
        <v>4734602.037450001</v>
      </c>
      <c r="U1454" s="15" t="n">
        <v>6.86</v>
      </c>
      <c r="V1454" s="15" t="n">
        <v>14.19</v>
      </c>
      <c r="W1454" s="49" t="n">
        <v>86.065</v>
      </c>
    </row>
    <row r="1455">
      <c r="A1455" s="44" t="inlineStr">
        <is>
          <t>TL Cinsi Degisken Faizli Kuponlu Senetler</t>
        </is>
      </c>
      <c r="B1455" s="44" t="n">
        <v>2023</v>
      </c>
      <c r="C1455" s="44" t="inlineStr">
        <is>
          <t>TRT050630T11</t>
        </is>
      </c>
      <c r="D1455" s="44" t="inlineStr">
        <is>
          <t>14.06.2023</t>
        </is>
      </c>
      <c r="E1455" s="44" t="inlineStr">
        <is>
          <t>05.06.2030</t>
        </is>
      </c>
      <c r="F1455" s="44" t="n">
        <v>2548</v>
      </c>
      <c r="G1455" s="44" t="inlineStr">
        <is>
          <t>6 ay</t>
        </is>
      </c>
      <c r="H1455" s="15" t="n"/>
      <c r="I1455" s="45" t="n">
        <v>3885500</v>
      </c>
      <c r="J1455" s="45" t="n">
        <v>3367200.1</v>
      </c>
      <c r="K1455" s="45" t="n">
        <v>2745500</v>
      </c>
      <c r="L1455" s="45" t="n">
        <v>2418258.05</v>
      </c>
      <c r="M1455" s="45" t="n">
        <v>0</v>
      </c>
      <c r="N1455" s="45" t="n">
        <v>0</v>
      </c>
      <c r="O1455" s="45" t="n">
        <v>3405955.878</v>
      </c>
      <c r="P1455" s="45" t="n">
        <v>2999999.99691</v>
      </c>
      <c r="Q1455" s="45" t="n">
        <v>340595.588</v>
      </c>
      <c r="R1455" s="45" t="n">
        <v>299999.99987</v>
      </c>
      <c r="S1455" s="45" t="n">
        <v>6492051.466</v>
      </c>
      <c r="T1455" s="45" t="n">
        <v>5718258.04678</v>
      </c>
      <c r="U1455" s="15" t="n">
        <v>8.26</v>
      </c>
      <c r="V1455" s="15" t="n">
        <v>17.2</v>
      </c>
      <c r="W1455" s="49" t="n">
        <v>88.081</v>
      </c>
    </row>
    <row r="1456">
      <c r="A1456" s="44" t="inlineStr">
        <is>
          <t>TL Cinsi Degisken Faizli Kuponlu Senetler</t>
        </is>
      </c>
      <c r="B1456" s="44" t="n">
        <v>2023</v>
      </c>
      <c r="C1456" s="44" t="inlineStr">
        <is>
          <t>TRT050630T11</t>
        </is>
      </c>
      <c r="D1456" s="44" t="inlineStr">
        <is>
          <t>19.07.2023</t>
        </is>
      </c>
      <c r="E1456" s="44" t="inlineStr">
        <is>
          <t>05.06.2030</t>
        </is>
      </c>
      <c r="F1456" s="44" t="n">
        <v>2513</v>
      </c>
      <c r="G1456" s="44" t="inlineStr">
        <is>
          <t>6 ay</t>
        </is>
      </c>
      <c r="H1456" s="15" t="n"/>
      <c r="I1456" s="45" t="n">
        <v>3122001</v>
      </c>
      <c r="J1456" s="45" t="n">
        <v>2679989.6</v>
      </c>
      <c r="K1456" s="45" t="n">
        <v>2044000</v>
      </c>
      <c r="L1456" s="45" t="n">
        <v>1774198.2</v>
      </c>
      <c r="M1456" s="45" t="n">
        <v>0</v>
      </c>
      <c r="N1456" s="45" t="n">
        <v>0</v>
      </c>
      <c r="O1456" s="45" t="n">
        <v>2073732.717</v>
      </c>
      <c r="P1456" s="45" t="n">
        <v>1799999.99836</v>
      </c>
      <c r="Q1456" s="45" t="n">
        <v>90400.23</v>
      </c>
      <c r="R1456" s="45" t="n">
        <v>78467.39964</v>
      </c>
      <c r="S1456" s="45" t="n">
        <v>4208132.947000001</v>
      </c>
      <c r="T1456" s="45" t="n">
        <v>3652665.598</v>
      </c>
      <c r="U1456" s="15" t="n">
        <v>8.619999999999999</v>
      </c>
      <c r="V1456" s="15" t="n">
        <v>17.99</v>
      </c>
      <c r="W1456" s="49" t="n">
        <v>86.8</v>
      </c>
    </row>
    <row r="1457">
      <c r="A1457" s="44" t="inlineStr">
        <is>
          <t>TL Cinsi Degisken Faizli Kuponlu Senetler</t>
        </is>
      </c>
      <c r="B1457" s="44" t="n">
        <v>2023</v>
      </c>
      <c r="C1457" s="44" t="inlineStr">
        <is>
          <t>TRT050630T11</t>
        </is>
      </c>
      <c r="D1457" s="44" t="inlineStr">
        <is>
          <t>16.08.2023</t>
        </is>
      </c>
      <c r="E1457" s="44" t="inlineStr">
        <is>
          <t>05.06.2030</t>
        </is>
      </c>
      <c r="F1457" s="44" t="n">
        <v>2485</v>
      </c>
      <c r="G1457" s="44" t="inlineStr">
        <is>
          <t>6 ay</t>
        </is>
      </c>
      <c r="H1457" s="15" t="n"/>
      <c r="I1457" s="45" t="n">
        <v>2924007</v>
      </c>
      <c r="J1457" s="45" t="n">
        <v>2463434.21</v>
      </c>
      <c r="K1457" s="45" t="n">
        <v>1770002</v>
      </c>
      <c r="L1457" s="45" t="n">
        <v>1509037.66</v>
      </c>
      <c r="M1457" s="45" t="n">
        <v>0</v>
      </c>
      <c r="N1457" s="45" t="n">
        <v>0</v>
      </c>
      <c r="O1457" s="45" t="n">
        <v>1290231.771</v>
      </c>
      <c r="P1457" s="45" t="n">
        <v>1099999.99868</v>
      </c>
      <c r="Q1457" s="45" t="n">
        <v>570978.273</v>
      </c>
      <c r="R1457" s="45" t="n">
        <v>486793.23643</v>
      </c>
      <c r="S1457" s="45" t="n">
        <v>3631212.044</v>
      </c>
      <c r="T1457" s="45" t="n">
        <v>3095830.89511</v>
      </c>
      <c r="U1457" s="15" t="n">
        <v>9.01</v>
      </c>
      <c r="V1457" s="15" t="n">
        <v>18.82</v>
      </c>
      <c r="W1457" s="49" t="n">
        <v>85.256</v>
      </c>
    </row>
    <row r="1458">
      <c r="A1458" s="44" t="inlineStr">
        <is>
          <t>TL Cinsi Degisken Faizli Kuponlu Senetler</t>
        </is>
      </c>
      <c r="B1458" s="44" t="n">
        <v>2023</v>
      </c>
      <c r="C1458" s="44" t="inlineStr">
        <is>
          <t>TRT050630T11</t>
        </is>
      </c>
      <c r="D1458" s="44" t="inlineStr">
        <is>
          <t>20.09.2023</t>
        </is>
      </c>
      <c r="E1458" s="44" t="inlineStr">
        <is>
          <t>05.06.2030</t>
        </is>
      </c>
      <c r="F1458" s="44" t="n">
        <v>2450</v>
      </c>
      <c r="G1458" s="44" t="inlineStr">
        <is>
          <t>6 ay</t>
        </is>
      </c>
      <c r="H1458" s="15" t="n"/>
      <c r="I1458" s="45" t="n">
        <v>3841000</v>
      </c>
      <c r="J1458" s="45" t="n">
        <v>3306472.37</v>
      </c>
      <c r="K1458" s="45" t="n">
        <v>1775000</v>
      </c>
      <c r="L1458" s="45" t="n">
        <v>1551097.75</v>
      </c>
      <c r="M1458" s="45" t="n">
        <v>8010436.454</v>
      </c>
      <c r="N1458" s="45" t="n">
        <v>6999999.99969</v>
      </c>
      <c r="O1458" s="45" t="n">
        <v>2288696.127</v>
      </c>
      <c r="P1458" s="45" t="n">
        <v>1999999.99753</v>
      </c>
      <c r="Q1458" s="45" t="n">
        <v>10031.355</v>
      </c>
      <c r="R1458" s="45" t="n">
        <v>8765.999879999999</v>
      </c>
      <c r="S1458" s="45" t="n">
        <v>12084163.936</v>
      </c>
      <c r="T1458" s="45" t="n">
        <v>10559863.7471</v>
      </c>
      <c r="U1458" s="15" t="n">
        <v>8.9</v>
      </c>
      <c r="V1458" s="15" t="n">
        <v>18.6</v>
      </c>
      <c r="W1458" s="49" t="n">
        <v>87.386</v>
      </c>
    </row>
    <row r="1459">
      <c r="A1459" s="44" t="inlineStr">
        <is>
          <t>TL Cinsi Degisken Faizli Kuponlu Senetler</t>
        </is>
      </c>
      <c r="B1459" s="44" t="n">
        <v>2023</v>
      </c>
      <c r="C1459" s="44" t="inlineStr">
        <is>
          <t>TRT050630T11</t>
        </is>
      </c>
      <c r="D1459" s="44" t="inlineStr">
        <is>
          <t>25.10.2023</t>
        </is>
      </c>
      <c r="E1459" s="44" t="inlineStr">
        <is>
          <t>05.06.2030</t>
        </is>
      </c>
      <c r="F1459" s="44" t="n">
        <v>2415</v>
      </c>
      <c r="G1459" s="44" t="inlineStr">
        <is>
          <t>6 ay</t>
        </is>
      </c>
      <c r="H1459" s="15" t="n"/>
      <c r="I1459" s="45" t="n">
        <v>4468011.111</v>
      </c>
      <c r="J1459" s="45" t="n">
        <v>3655436.1299</v>
      </c>
      <c r="K1459" s="45" t="n">
        <v>1423011.111</v>
      </c>
      <c r="L1459" s="45" t="n">
        <v>1220164.1299</v>
      </c>
      <c r="M1459" s="45" t="n">
        <v>0</v>
      </c>
      <c r="N1459" s="45" t="n">
        <v>0</v>
      </c>
      <c r="O1459" s="45" t="n">
        <v>1749373.139</v>
      </c>
      <c r="P1459" s="45" t="n">
        <v>1499999.99804</v>
      </c>
      <c r="Q1459" s="45" t="n">
        <v>159934.018</v>
      </c>
      <c r="R1459" s="45" t="n">
        <v>137135.42373</v>
      </c>
      <c r="S1459" s="45" t="n">
        <v>3332318.268</v>
      </c>
      <c r="T1459" s="45" t="n">
        <v>2857299.55167</v>
      </c>
      <c r="U1459" s="15" t="n">
        <v>9.369999999999999</v>
      </c>
      <c r="V1459" s="15" t="n">
        <v>19.62</v>
      </c>
      <c r="W1459" s="49" t="n">
        <v>85.745</v>
      </c>
    </row>
    <row r="1460">
      <c r="A1460" s="44" t="inlineStr">
        <is>
          <t>TL Cinsi Degisken Faizli Kuponlu Senetler</t>
        </is>
      </c>
      <c r="B1460" s="44" t="n">
        <v>2023</v>
      </c>
      <c r="C1460" s="44" t="inlineStr">
        <is>
          <t>TRT050630T11</t>
        </is>
      </c>
      <c r="D1460" s="44" t="inlineStr">
        <is>
          <t>15.11.2023</t>
        </is>
      </c>
      <c r="E1460" s="44" t="inlineStr">
        <is>
          <t>05.06.2030</t>
        </is>
      </c>
      <c r="F1460" s="44" t="n">
        <v>2394</v>
      </c>
      <c r="G1460" s="44" t="inlineStr">
        <is>
          <t>6 ay</t>
        </is>
      </c>
      <c r="H1460" s="15" t="n"/>
      <c r="I1460" s="45" t="n">
        <v>16592014.752</v>
      </c>
      <c r="J1460" s="45" t="n">
        <v>14185939.9193</v>
      </c>
      <c r="K1460" s="45" t="n">
        <v>9310010.752</v>
      </c>
      <c r="L1460" s="45" t="n">
        <v>8029972.39936</v>
      </c>
      <c r="M1460" s="45" t="n">
        <v>3478220.542</v>
      </c>
      <c r="N1460" s="45" t="n">
        <v>2999999.99968</v>
      </c>
      <c r="O1460" s="45" t="n">
        <v>4637627.387</v>
      </c>
      <c r="P1460" s="45" t="n">
        <v>3999999.99757</v>
      </c>
      <c r="Q1460" s="45" t="n">
        <v>2498336.822</v>
      </c>
      <c r="R1460" s="45" t="n">
        <v>2154840.49235</v>
      </c>
      <c r="S1460" s="45" t="n">
        <v>19924195.503</v>
      </c>
      <c r="T1460" s="45" t="n">
        <v>17184812.88896</v>
      </c>
      <c r="U1460" s="15" t="n">
        <v>9.43</v>
      </c>
      <c r="V1460" s="15" t="n">
        <v>19.75</v>
      </c>
      <c r="W1460" s="49" t="n">
        <v>86.251</v>
      </c>
    </row>
    <row r="1461">
      <c r="A1461" s="44" t="inlineStr">
        <is>
          <t>TL Cinsi Degisken Faizli Kuponlu Senetler</t>
        </is>
      </c>
      <c r="B1461" s="44" t="n">
        <v>2023</v>
      </c>
      <c r="C1461" s="44" t="inlineStr">
        <is>
          <t>TRT050630T11</t>
        </is>
      </c>
      <c r="D1461" s="44" t="inlineStr">
        <is>
          <t>13.12.2023</t>
        </is>
      </c>
      <c r="E1461" s="44" t="inlineStr">
        <is>
          <t>05.06.2030</t>
        </is>
      </c>
      <c r="F1461" s="44" t="n">
        <v>2366</v>
      </c>
      <c r="G1461" s="44" t="inlineStr">
        <is>
          <t>6 ay</t>
        </is>
      </c>
      <c r="H1461" s="15" t="n"/>
      <c r="I1461" s="45" t="n">
        <v>26142510.81</v>
      </c>
      <c r="J1461" s="45" t="n">
        <v>22919376.14925</v>
      </c>
      <c r="K1461" s="45" t="n">
        <v>3800010.81</v>
      </c>
      <c r="L1461" s="45" t="n">
        <v>3423108.37925</v>
      </c>
      <c r="M1461" s="45" t="n">
        <v>2220199.373</v>
      </c>
      <c r="N1461" s="45" t="n">
        <v>1999999.99919</v>
      </c>
      <c r="O1461" s="45" t="n">
        <v>3330299.056</v>
      </c>
      <c r="P1461" s="45" t="n">
        <v>2999999.99562</v>
      </c>
      <c r="Q1461" s="45" t="n">
        <v>1817902.599</v>
      </c>
      <c r="R1461" s="45" t="n">
        <v>1637603.01923</v>
      </c>
      <c r="S1461" s="45" t="n">
        <v>11168411.838</v>
      </c>
      <c r="T1461" s="45" t="n">
        <v>10060711.39329</v>
      </c>
      <c r="U1461" s="15" t="n">
        <v>20.62</v>
      </c>
      <c r="V1461" s="15" t="n">
        <v>45.49</v>
      </c>
      <c r="W1461" s="49" t="n">
        <v>90.08199999999999</v>
      </c>
    </row>
    <row r="1462">
      <c r="A1462" s="44" t="inlineStr">
        <is>
          <t>TL Cinsi Degisken Faizli Kuponlu Senetler</t>
        </is>
      </c>
      <c r="B1462" s="44" t="n">
        <v>2022</v>
      </c>
      <c r="C1462" s="44" t="inlineStr">
        <is>
          <t>TRT130928T12</t>
        </is>
      </c>
      <c r="D1462" s="44" t="inlineStr">
        <is>
          <t>12.01.2022</t>
        </is>
      </c>
      <c r="E1462" s="44" t="inlineStr">
        <is>
          <t>13.09.2028</t>
        </is>
      </c>
      <c r="F1462" s="44" t="n">
        <v>2436</v>
      </c>
      <c r="G1462" s="44" t="inlineStr">
        <is>
          <t>6 ay</t>
        </is>
      </c>
      <c r="H1462" s="15" t="n"/>
      <c r="I1462" s="45" t="n">
        <v>5299005.088</v>
      </c>
      <c r="J1462" s="45" t="n">
        <v>5029073.0579</v>
      </c>
      <c r="K1462" s="45" t="n">
        <v>2484000</v>
      </c>
      <c r="L1462" s="45" t="n">
        <v>2398270.77</v>
      </c>
      <c r="M1462" s="45" t="n">
        <v>207148.701</v>
      </c>
      <c r="N1462" s="45" t="n">
        <v>199999.99933</v>
      </c>
      <c r="O1462" s="45" t="n">
        <v>1242892.206</v>
      </c>
      <c r="P1462" s="45" t="n">
        <v>1199999.99598</v>
      </c>
      <c r="Q1462" s="45" t="n">
        <v>795723.052</v>
      </c>
      <c r="R1462" s="45" t="n">
        <v>768262.64948</v>
      </c>
      <c r="S1462" s="45" t="n">
        <v>4729763.959</v>
      </c>
      <c r="T1462" s="45" t="n">
        <v>4566533.41479</v>
      </c>
      <c r="U1462" s="15" t="n">
        <v>10.26</v>
      </c>
      <c r="V1462" s="15" t="n">
        <v>21.57</v>
      </c>
      <c r="W1462" s="49" t="n">
        <v>96.54900000000001</v>
      </c>
    </row>
    <row r="1463">
      <c r="A1463" s="44" t="inlineStr">
        <is>
          <t>TL Cinsi Degisken Faizli Kuponlu Senetler</t>
        </is>
      </c>
      <c r="B1463" s="44" t="n">
        <v>2022</v>
      </c>
      <c r="C1463" s="44" t="inlineStr">
        <is>
          <t>TRT130928T12</t>
        </is>
      </c>
      <c r="D1463" s="44" t="inlineStr">
        <is>
          <t>23.02.2022</t>
        </is>
      </c>
      <c r="E1463" s="44" t="inlineStr">
        <is>
          <t>13.09.2028</t>
        </is>
      </c>
      <c r="F1463" s="44" t="n">
        <v>2394</v>
      </c>
      <c r="G1463" s="44" t="inlineStr">
        <is>
          <t>6 ay</t>
        </is>
      </c>
      <c r="H1463" s="15" t="n"/>
      <c r="I1463" s="45" t="n">
        <v>6454003.088</v>
      </c>
      <c r="J1463" s="45" t="n">
        <v>6299202.00433</v>
      </c>
      <c r="K1463" s="45" t="n">
        <v>3700002.088</v>
      </c>
      <c r="L1463" s="45" t="n">
        <v>3647411.15453</v>
      </c>
      <c r="M1463" s="45" t="n">
        <v>1572342.992</v>
      </c>
      <c r="N1463" s="45" t="n">
        <v>1549999.99808</v>
      </c>
      <c r="O1463" s="45" t="n">
        <v>1470901.506</v>
      </c>
      <c r="P1463" s="45" t="n">
        <v>1449999.9956</v>
      </c>
      <c r="Q1463" s="45" t="n">
        <v>740048.833</v>
      </c>
      <c r="R1463" s="45" t="n">
        <v>729532.73908</v>
      </c>
      <c r="S1463" s="45" t="n">
        <v>7483295.419</v>
      </c>
      <c r="T1463" s="45" t="n">
        <v>7376943.88729</v>
      </c>
      <c r="U1463" s="15" t="n">
        <v>10.29</v>
      </c>
      <c r="V1463" s="15" t="n">
        <v>21.63</v>
      </c>
      <c r="W1463" s="49" t="n">
        <v>98.57899999999999</v>
      </c>
    </row>
    <row r="1464">
      <c r="A1464" s="44" t="inlineStr">
        <is>
          <t>TL Cinsi Degisken Faizli Kuponlu Senetler</t>
        </is>
      </c>
      <c r="B1464" s="44" t="n">
        <v>2022</v>
      </c>
      <c r="C1464" s="44" t="inlineStr">
        <is>
          <t>TRT130928T12</t>
        </is>
      </c>
      <c r="D1464" s="44" t="inlineStr">
        <is>
          <t>23.03.2022</t>
        </is>
      </c>
      <c r="E1464" s="44" t="inlineStr">
        <is>
          <t>13.09.2028</t>
        </is>
      </c>
      <c r="F1464" s="44" t="n">
        <v>2366</v>
      </c>
      <c r="G1464" s="44" t="inlineStr">
        <is>
          <t>6 ay</t>
        </is>
      </c>
      <c r="H1464" s="15" t="n"/>
      <c r="I1464" s="45" t="n">
        <v>3475002</v>
      </c>
      <c r="J1464" s="45" t="n">
        <v>3124861.95463</v>
      </c>
      <c r="K1464" s="45" t="n">
        <v>1530000</v>
      </c>
      <c r="L1464" s="45" t="n">
        <v>1398075.25</v>
      </c>
      <c r="M1464" s="45" t="n">
        <v>2845354.957</v>
      </c>
      <c r="N1464" s="45" t="n">
        <v>2599999.99906</v>
      </c>
      <c r="O1464" s="45" t="n">
        <v>1641550.934</v>
      </c>
      <c r="P1464" s="45" t="n">
        <v>1499999.99697</v>
      </c>
      <c r="Q1464" s="45" t="n">
        <v>0</v>
      </c>
      <c r="R1464" s="45" t="n">
        <v>0</v>
      </c>
      <c r="S1464" s="45" t="n">
        <v>6016905.891000001</v>
      </c>
      <c r="T1464" s="45" t="n">
        <v>5498075.246029999</v>
      </c>
      <c r="U1464" s="15" t="n">
        <v>11.9</v>
      </c>
      <c r="V1464" s="15" t="n">
        <v>25.21</v>
      </c>
      <c r="W1464" s="49" t="n">
        <v>91.377</v>
      </c>
    </row>
    <row r="1465">
      <c r="A1465" s="44" t="inlineStr">
        <is>
          <t>TL Cinsi Degisken Faizli Kuponlu Senetler</t>
        </is>
      </c>
      <c r="B1465" s="44" t="n">
        <v>2022</v>
      </c>
      <c r="C1465" s="44" t="inlineStr">
        <is>
          <t>TRT130928T12</t>
        </is>
      </c>
      <c r="D1465" s="44" t="inlineStr">
        <is>
          <t>13.04.2022</t>
        </is>
      </c>
      <c r="E1465" s="44" t="inlineStr">
        <is>
          <t>13.09.2028</t>
        </is>
      </c>
      <c r="F1465" s="44" t="n">
        <v>2345</v>
      </c>
      <c r="G1465" s="44" t="inlineStr">
        <is>
          <t>6 ay</t>
        </is>
      </c>
      <c r="H1465" s="15" t="n"/>
      <c r="I1465" s="45" t="n">
        <v>4724002</v>
      </c>
      <c r="J1465" s="45" t="n">
        <v>4344571.64962</v>
      </c>
      <c r="K1465" s="45" t="n">
        <v>3249002</v>
      </c>
      <c r="L1465" s="45" t="n">
        <v>2998325.69962</v>
      </c>
      <c r="M1465" s="45" t="n">
        <v>1733759.548</v>
      </c>
      <c r="N1465" s="45" t="n">
        <v>1599999.99887</v>
      </c>
      <c r="O1465" s="45" t="n">
        <v>1733759.545</v>
      </c>
      <c r="P1465" s="45" t="n">
        <v>1599999.99609</v>
      </c>
      <c r="Q1465" s="45" t="n">
        <v>492812.465</v>
      </c>
      <c r="R1465" s="45" t="n">
        <v>454791.98333</v>
      </c>
      <c r="S1465" s="45" t="n">
        <v>7209333.558</v>
      </c>
      <c r="T1465" s="45" t="n">
        <v>6653117.67791</v>
      </c>
      <c r="U1465" s="15" t="n">
        <v>11.94</v>
      </c>
      <c r="V1465" s="15" t="n">
        <v>25.31</v>
      </c>
      <c r="W1465" s="49" t="n">
        <v>92.285</v>
      </c>
    </row>
    <row r="1466">
      <c r="A1466" s="44" t="inlineStr">
        <is>
          <t>TL Cinsi Degisken Faizli Kuponlu Senetler</t>
        </is>
      </c>
      <c r="B1466" s="44" t="n">
        <v>2022</v>
      </c>
      <c r="C1466" s="44" t="inlineStr">
        <is>
          <t>TRT130928T12</t>
        </is>
      </c>
      <c r="D1466" s="44" t="inlineStr">
        <is>
          <t>11.05.2022</t>
        </is>
      </c>
      <c r="E1466" s="44" t="inlineStr">
        <is>
          <t>13.09.2028</t>
        </is>
      </c>
      <c r="F1466" s="44" t="n">
        <v>2317</v>
      </c>
      <c r="G1466" s="44" t="inlineStr">
        <is>
          <t>6 ay</t>
        </is>
      </c>
      <c r="H1466" s="15" t="n"/>
      <c r="I1466" s="45" t="n">
        <v>7384304.9</v>
      </c>
      <c r="J1466" s="45" t="n">
        <v>6860428.396</v>
      </c>
      <c r="K1466" s="45" t="n">
        <v>5269301.9</v>
      </c>
      <c r="L1466" s="45" t="n">
        <v>4922600.066</v>
      </c>
      <c r="M1466" s="45" t="n">
        <v>80282.594</v>
      </c>
      <c r="N1466" s="45" t="n">
        <v>74999.99931</v>
      </c>
      <c r="O1466" s="45" t="n">
        <v>2943695.136</v>
      </c>
      <c r="P1466" s="45" t="n">
        <v>2749999.99605</v>
      </c>
      <c r="Q1466" s="45" t="n">
        <v>35037.679</v>
      </c>
      <c r="R1466" s="45" t="n">
        <v>32732.19972</v>
      </c>
      <c r="S1466" s="45" t="n">
        <v>8328317.308999999</v>
      </c>
      <c r="T1466" s="45" t="n">
        <v>7780332.26108</v>
      </c>
      <c r="U1466" s="15" t="n">
        <v>12.02</v>
      </c>
      <c r="V1466" s="15" t="n">
        <v>25.49</v>
      </c>
      <c r="W1466" s="49" t="n">
        <v>93.42</v>
      </c>
    </row>
    <row r="1467">
      <c r="A1467" s="44" t="inlineStr">
        <is>
          <t>TL Cinsi Degisken Faizli Kuponlu Senetler</t>
        </is>
      </c>
      <c r="B1467" s="44" t="n">
        <v>2022</v>
      </c>
      <c r="C1467" s="44" t="inlineStr">
        <is>
          <t>TRT130928T12</t>
        </is>
      </c>
      <c r="D1467" s="44" t="inlineStr">
        <is>
          <t>08.06.2022</t>
        </is>
      </c>
      <c r="E1467" s="44" t="inlineStr">
        <is>
          <t>13.09.2028</t>
        </is>
      </c>
      <c r="F1467" s="44" t="n">
        <v>2289</v>
      </c>
      <c r="G1467" s="44" t="inlineStr">
        <is>
          <t>6 ay</t>
        </is>
      </c>
      <c r="H1467" s="15" t="n"/>
      <c r="I1467" s="45" t="n">
        <v>4661008</v>
      </c>
      <c r="J1467" s="45" t="n">
        <v>4384566.01</v>
      </c>
      <c r="K1467" s="45" t="n">
        <v>3287002</v>
      </c>
      <c r="L1467" s="45" t="n">
        <v>3110730.5</v>
      </c>
      <c r="M1467" s="45" t="n">
        <v>1426503.375</v>
      </c>
      <c r="N1467" s="45" t="n">
        <v>1349999.99899</v>
      </c>
      <c r="O1467" s="45" t="n">
        <v>3698342.081</v>
      </c>
      <c r="P1467" s="45" t="n">
        <v>3499999.99517</v>
      </c>
      <c r="Q1467" s="45" t="n">
        <v>758000</v>
      </c>
      <c r="R1467" s="45" t="n">
        <v>717348.46</v>
      </c>
      <c r="S1467" s="45" t="n">
        <v>9169847.456</v>
      </c>
      <c r="T1467" s="45" t="n">
        <v>8678078.954159999</v>
      </c>
      <c r="U1467" s="15" t="n">
        <v>12.1</v>
      </c>
      <c r="V1467" s="15" t="n">
        <v>25.66</v>
      </c>
      <c r="W1467" s="49" t="n">
        <v>94.637</v>
      </c>
    </row>
    <row r="1468">
      <c r="A1468" s="44" t="inlineStr">
        <is>
          <t>TL Cinsi Degisken Faizli Kuponlu Senetler</t>
        </is>
      </c>
      <c r="B1468" s="44" t="n">
        <v>2022</v>
      </c>
      <c r="C1468" s="44" t="inlineStr">
        <is>
          <t>TRT130928T12</t>
        </is>
      </c>
      <c r="D1468" s="44" t="inlineStr">
        <is>
          <t>06.07.2022</t>
        </is>
      </c>
      <c r="E1468" s="44" t="inlineStr">
        <is>
          <t>13.09.2028</t>
        </is>
      </c>
      <c r="F1468" s="44" t="n">
        <v>2261</v>
      </c>
      <c r="G1468" s="44" t="inlineStr">
        <is>
          <t>6 ay</t>
        </is>
      </c>
      <c r="H1468" s="15" t="n"/>
      <c r="I1468" s="45" t="n">
        <v>3846205</v>
      </c>
      <c r="J1468" s="45" t="n">
        <v>3660308.72</v>
      </c>
      <c r="K1468" s="45" t="n">
        <v>2080201</v>
      </c>
      <c r="L1468" s="45" t="n">
        <v>1990270.61</v>
      </c>
      <c r="M1468" s="45" t="n">
        <v>0</v>
      </c>
      <c r="N1468" s="45" t="n">
        <v>0</v>
      </c>
      <c r="O1468" s="45" t="n">
        <v>1829070.723</v>
      </c>
      <c r="P1468" s="45" t="n">
        <v>1749999.99564</v>
      </c>
      <c r="Q1468" s="45" t="n">
        <v>1000</v>
      </c>
      <c r="R1468" s="45" t="n">
        <v>956.77</v>
      </c>
      <c r="S1468" s="45" t="n">
        <v>3910271.723</v>
      </c>
      <c r="T1468" s="45" t="n">
        <v>3741227.37564</v>
      </c>
      <c r="U1468" s="15" t="n">
        <v>12.21</v>
      </c>
      <c r="V1468" s="15" t="n">
        <v>25.9</v>
      </c>
      <c r="W1468" s="49" t="n">
        <v>95.67700000000001</v>
      </c>
    </row>
    <row r="1469">
      <c r="A1469" s="44" t="inlineStr">
        <is>
          <t>TL Cinsi Degisken Faizli Kuponlu Senetler</t>
        </is>
      </c>
      <c r="B1469" s="44" t="n">
        <v>2022</v>
      </c>
      <c r="C1469" s="44" t="inlineStr">
        <is>
          <t>TRT130928T12</t>
        </is>
      </c>
      <c r="D1469" s="44" t="inlineStr">
        <is>
          <t>10.08.2022</t>
        </is>
      </c>
      <c r="E1469" s="44" t="inlineStr">
        <is>
          <t>13.09.2028</t>
        </is>
      </c>
      <c r="F1469" s="44" t="n">
        <v>2226</v>
      </c>
      <c r="G1469" s="44" t="inlineStr">
        <is>
          <t>6 ay</t>
        </is>
      </c>
      <c r="H1469" s="15" t="n"/>
      <c r="I1469" s="45" t="n">
        <v>3868657</v>
      </c>
      <c r="J1469" s="45" t="n">
        <v>3760555.3295</v>
      </c>
      <c r="K1469" s="45" t="n">
        <v>2212501</v>
      </c>
      <c r="L1469" s="45" t="n">
        <v>2160227.67</v>
      </c>
      <c r="M1469" s="45" t="n">
        <v>256050.472</v>
      </c>
      <c r="N1469" s="45" t="n">
        <v>249999.99935</v>
      </c>
      <c r="O1469" s="45" t="n">
        <v>1024201.888</v>
      </c>
      <c r="P1469" s="45" t="n">
        <v>999999.99738</v>
      </c>
      <c r="Q1469" s="45" t="n">
        <v>75200.999</v>
      </c>
      <c r="R1469" s="45" t="n">
        <v>73423.99939</v>
      </c>
      <c r="S1469" s="45" t="n">
        <v>3567954.359</v>
      </c>
      <c r="T1469" s="45" t="n">
        <v>3483651.66612</v>
      </c>
      <c r="U1469" s="15" t="n">
        <v>12.24</v>
      </c>
      <c r="V1469" s="15" t="n">
        <v>25.98</v>
      </c>
      <c r="W1469" s="49" t="n">
        <v>97.637</v>
      </c>
    </row>
    <row r="1470">
      <c r="A1470" s="44" t="inlineStr">
        <is>
          <t>TL Cinsi Degisken Faizli Kuponlu Senetler</t>
        </is>
      </c>
      <c r="B1470" s="44" t="n">
        <v>2022</v>
      </c>
      <c r="C1470" s="44" t="inlineStr">
        <is>
          <t>TRT130928T12</t>
        </is>
      </c>
      <c r="D1470" s="44" t="inlineStr">
        <is>
          <t>21.09.2022</t>
        </is>
      </c>
      <c r="E1470" s="44" t="inlineStr">
        <is>
          <t>13.09.2028</t>
        </is>
      </c>
      <c r="F1470" s="44" t="n">
        <v>2184</v>
      </c>
      <c r="G1470" s="44" t="inlineStr">
        <is>
          <t>6 ay</t>
        </is>
      </c>
      <c r="H1470" s="15" t="n"/>
      <c r="I1470" s="45" t="n">
        <v>3849009</v>
      </c>
      <c r="J1470" s="45" t="n">
        <v>3610999.95</v>
      </c>
      <c r="K1470" s="45" t="n">
        <v>1896504</v>
      </c>
      <c r="L1470" s="45" t="n">
        <v>1823183.66</v>
      </c>
      <c r="M1470" s="45" t="n">
        <v>2392493.81</v>
      </c>
      <c r="N1470" s="45" t="n">
        <v>2299999.99931</v>
      </c>
      <c r="O1470" s="45" t="n">
        <v>1248257.638</v>
      </c>
      <c r="P1470" s="45" t="n">
        <v>1199999.99771</v>
      </c>
      <c r="Q1470" s="45" t="n">
        <v>173546.403</v>
      </c>
      <c r="R1470" s="45" t="n">
        <v>166837.09905</v>
      </c>
      <c r="S1470" s="45" t="n">
        <v>5710801.851000001</v>
      </c>
      <c r="T1470" s="45" t="n">
        <v>5490020.756069999</v>
      </c>
      <c r="U1470" s="15" t="n">
        <v>9.779999999999999</v>
      </c>
      <c r="V1470" s="15" t="n">
        <v>20.52</v>
      </c>
      <c r="W1470" s="49" t="n">
        <v>96.134</v>
      </c>
    </row>
    <row r="1471">
      <c r="A1471" s="44" t="inlineStr">
        <is>
          <t>TL Cinsi Degisken Faizli Kuponlu Senetler</t>
        </is>
      </c>
      <c r="B1471" s="44" t="n">
        <v>2022</v>
      </c>
      <c r="C1471" s="44" t="inlineStr">
        <is>
          <t>TRT031029T10</t>
        </is>
      </c>
      <c r="D1471" s="44" t="inlineStr">
        <is>
          <t>12.10.2022</t>
        </is>
      </c>
      <c r="E1471" s="44" t="inlineStr">
        <is>
          <t>03.10.2029</t>
        </is>
      </c>
      <c r="F1471" s="44" t="n">
        <v>2548</v>
      </c>
      <c r="G1471" s="44" t="inlineStr">
        <is>
          <t>6 ay</t>
        </is>
      </c>
      <c r="H1471" s="15" t="n"/>
      <c r="I1471" s="45" t="n">
        <v>4703010</v>
      </c>
      <c r="J1471" s="45" t="n">
        <v>4325432.715</v>
      </c>
      <c r="K1471" s="45" t="n">
        <v>2495506</v>
      </c>
      <c r="L1471" s="45" t="n">
        <v>2328355.673</v>
      </c>
      <c r="M1471" s="45" t="n">
        <v>1232556.643</v>
      </c>
      <c r="N1471" s="45" t="n">
        <v>1149999.99906</v>
      </c>
      <c r="O1471" s="45" t="n">
        <v>1446914.319</v>
      </c>
      <c r="P1471" s="45" t="n">
        <v>1349999.99792</v>
      </c>
      <c r="Q1471" s="45" t="n">
        <v>349247.37</v>
      </c>
      <c r="R1471" s="45" t="n">
        <v>325854.78116</v>
      </c>
      <c r="S1471" s="45" t="n">
        <v>5524224.332</v>
      </c>
      <c r="T1471" s="45" t="n">
        <v>5154210.45114</v>
      </c>
      <c r="U1471" s="15" t="n">
        <v>9.9</v>
      </c>
      <c r="V1471" s="15" t="n">
        <v>20.79</v>
      </c>
      <c r="W1471" s="49" t="n">
        <v>93.30200000000001</v>
      </c>
    </row>
    <row r="1472">
      <c r="A1472" s="44" t="inlineStr">
        <is>
          <t>TL Cinsi Degisken Faizli Kuponlu Senetler</t>
        </is>
      </c>
      <c r="B1472" s="44" t="n">
        <v>2022</v>
      </c>
      <c r="C1472" s="44" t="inlineStr">
        <is>
          <t>TRT031029T10</t>
        </is>
      </c>
      <c r="D1472" s="44" t="inlineStr">
        <is>
          <t>09.11.2022</t>
        </is>
      </c>
      <c r="E1472" s="44" t="inlineStr">
        <is>
          <t>03.10.2029</t>
        </is>
      </c>
      <c r="F1472" s="44" t="n">
        <v>2520</v>
      </c>
      <c r="G1472" s="44" t="inlineStr">
        <is>
          <t>6 ay</t>
        </is>
      </c>
      <c r="H1472" s="15" t="n"/>
      <c r="I1472" s="45" t="n">
        <v>8372308</v>
      </c>
      <c r="J1472" s="45" t="n">
        <v>7788432.505</v>
      </c>
      <c r="K1472" s="45" t="n">
        <v>5757302</v>
      </c>
      <c r="L1472" s="45" t="n">
        <v>5421896.685</v>
      </c>
      <c r="M1472" s="45" t="n">
        <v>0</v>
      </c>
      <c r="N1472" s="45" t="n">
        <v>0</v>
      </c>
      <c r="O1472" s="45" t="n">
        <v>1698982.729</v>
      </c>
      <c r="P1472" s="45" t="n">
        <v>1599999.99521</v>
      </c>
      <c r="Q1472" s="45" t="n">
        <v>50000</v>
      </c>
      <c r="R1472" s="45" t="n">
        <v>47087</v>
      </c>
      <c r="S1472" s="45" t="n">
        <v>7506284.729</v>
      </c>
      <c r="T1472" s="45" t="n">
        <v>7068983.68021</v>
      </c>
      <c r="U1472" s="15" t="n">
        <v>9.98</v>
      </c>
      <c r="V1472" s="15" t="n">
        <v>20.95</v>
      </c>
      <c r="W1472" s="49" t="n">
        <v>94.17400000000001</v>
      </c>
    </row>
    <row r="1473">
      <c r="A1473" s="44" t="inlineStr">
        <is>
          <t>TL Cinsi Degisken Faizli Kuponlu Senetler</t>
        </is>
      </c>
      <c r="B1473" s="44" t="n">
        <v>2022</v>
      </c>
      <c r="C1473" s="44" t="inlineStr">
        <is>
          <t>TRT031029T10</t>
        </is>
      </c>
      <c r="D1473" s="44" t="inlineStr">
        <is>
          <t>07.12.2022</t>
        </is>
      </c>
      <c r="E1473" s="44" t="inlineStr">
        <is>
          <t>03.10.2029</t>
        </is>
      </c>
      <c r="F1473" s="44" t="n">
        <v>2492</v>
      </c>
      <c r="G1473" s="44" t="inlineStr">
        <is>
          <t>6 ay</t>
        </is>
      </c>
      <c r="H1473" s="15" t="n"/>
      <c r="I1473" s="45" t="n">
        <v>5350809</v>
      </c>
      <c r="J1473" s="45" t="n">
        <v>5016232.412</v>
      </c>
      <c r="K1473" s="45" t="n">
        <v>3218000</v>
      </c>
      <c r="L1473" s="45" t="n">
        <v>3044899.22</v>
      </c>
      <c r="M1473" s="45" t="n">
        <v>1162532.629</v>
      </c>
      <c r="N1473" s="45" t="n">
        <v>1099999.99889</v>
      </c>
      <c r="O1473" s="45" t="n">
        <v>1056847.844</v>
      </c>
      <c r="P1473" s="45" t="n">
        <v>999999.99848</v>
      </c>
      <c r="Q1473" s="45" t="n">
        <v>1271268.858</v>
      </c>
      <c r="R1473" s="45" t="n">
        <v>1202887.30612</v>
      </c>
      <c r="S1473" s="45" t="n">
        <v>6708649.330999999</v>
      </c>
      <c r="T1473" s="45" t="n">
        <v>6347786.523490001</v>
      </c>
      <c r="U1473" s="15" t="n">
        <v>10.11</v>
      </c>
      <c r="V1473" s="15" t="n">
        <v>21.25</v>
      </c>
      <c r="W1473" s="49" t="n">
        <v>94.621</v>
      </c>
    </row>
    <row r="1474">
      <c r="A1474" s="44" t="inlineStr">
        <is>
          <t>TL Cinsi Degisken Faizli Kuponlu Senetler</t>
        </is>
      </c>
      <c r="B1474" s="44" t="n">
        <v>2021</v>
      </c>
      <c r="C1474" s="44" t="inlineStr">
        <is>
          <t>TRT171127T15</t>
        </is>
      </c>
      <c r="D1474" s="44" t="inlineStr">
        <is>
          <t>06.01.2021</t>
        </is>
      </c>
      <c r="E1474" s="44" t="inlineStr">
        <is>
          <t>17.11.2027</t>
        </is>
      </c>
      <c r="F1474" s="44" t="n">
        <v>2506</v>
      </c>
      <c r="G1474" s="44" t="inlineStr">
        <is>
          <t>6 ay</t>
        </is>
      </c>
      <c r="H1474" s="15" t="n"/>
      <c r="I1474" s="45" t="n">
        <v>2000000</v>
      </c>
      <c r="J1474" s="45" t="n">
        <v>1984605.45</v>
      </c>
      <c r="K1474" s="45" t="n">
        <v>1059000</v>
      </c>
      <c r="L1474" s="45" t="n">
        <v>1058164.39</v>
      </c>
      <c r="M1474" s="45" t="n">
        <v>0</v>
      </c>
      <c r="N1474" s="45" t="n">
        <v>0</v>
      </c>
      <c r="O1474" s="45" t="n">
        <v>1301027.807</v>
      </c>
      <c r="P1474" s="45" t="n">
        <v>1299999.99505</v>
      </c>
      <c r="Q1474" s="45" t="n">
        <v>0</v>
      </c>
      <c r="R1474" s="45" t="n">
        <v>0</v>
      </c>
      <c r="S1474" s="45" t="n">
        <v>2360027.807</v>
      </c>
      <c r="T1474" s="45" t="n">
        <v>2358164.38505</v>
      </c>
      <c r="U1474" s="15" t="n">
        <v>6.95</v>
      </c>
      <c r="V1474" s="15" t="n">
        <v>14.39</v>
      </c>
      <c r="W1474" s="49" t="n">
        <v>99.92100000000001</v>
      </c>
    </row>
    <row r="1475">
      <c r="A1475" s="44" t="inlineStr">
        <is>
          <t>TL Cinsi Degisken Faizli Kuponlu Senetler</t>
        </is>
      </c>
      <c r="B1475" s="44" t="n">
        <v>2021</v>
      </c>
      <c r="C1475" s="44" t="inlineStr">
        <is>
          <t>TRT171127T15</t>
        </is>
      </c>
      <c r="D1475" s="44" t="inlineStr">
        <is>
          <t>17.02.2021</t>
        </is>
      </c>
      <c r="E1475" s="44" t="inlineStr">
        <is>
          <t>17.11.2027</t>
        </is>
      </c>
      <c r="F1475" s="44" t="n">
        <v>2464</v>
      </c>
      <c r="G1475" s="44" t="inlineStr">
        <is>
          <t>6 ay</t>
        </is>
      </c>
      <c r="H1475" s="15" t="n"/>
      <c r="I1475" s="45" t="n">
        <v>1348000</v>
      </c>
      <c r="J1475" s="45" t="n">
        <v>1358120.92</v>
      </c>
      <c r="K1475" s="45" t="n">
        <v>811000</v>
      </c>
      <c r="L1475" s="45" t="n">
        <v>820123.0600000001</v>
      </c>
      <c r="M1475" s="45" t="n">
        <v>0</v>
      </c>
      <c r="N1475" s="45" t="n">
        <v>0</v>
      </c>
      <c r="O1475" s="45" t="n">
        <v>791100.121</v>
      </c>
      <c r="P1475" s="45" t="n">
        <v>799999.99737</v>
      </c>
      <c r="Q1475" s="45" t="n">
        <v>100171.322</v>
      </c>
      <c r="R1475" s="45" t="n">
        <v>101298.24937</v>
      </c>
      <c r="S1475" s="45" t="n">
        <v>1702271.443</v>
      </c>
      <c r="T1475" s="45" t="n">
        <v>1721421.30674</v>
      </c>
      <c r="U1475" s="15" t="n">
        <v>7</v>
      </c>
      <c r="V1475" s="15" t="n">
        <v>14.48</v>
      </c>
      <c r="W1475" s="49" t="n">
        <v>101.125</v>
      </c>
    </row>
    <row r="1476">
      <c r="A1476" s="44" t="inlineStr">
        <is>
          <t>TL Cinsi Degisken Faizli Kuponlu Senetler</t>
        </is>
      </c>
      <c r="B1476" s="44" t="n">
        <v>2021</v>
      </c>
      <c r="C1476" s="44" t="inlineStr">
        <is>
          <t>TRT171127T15</t>
        </is>
      </c>
      <c r="D1476" s="44" t="inlineStr">
        <is>
          <t>17.03.2021</t>
        </is>
      </c>
      <c r="E1476" s="44" t="inlineStr">
        <is>
          <t>17.11.2027</t>
        </is>
      </c>
      <c r="F1476" s="44" t="n">
        <v>2436</v>
      </c>
      <c r="G1476" s="44" t="inlineStr">
        <is>
          <t>6 ay</t>
        </is>
      </c>
      <c r="H1476" s="15" t="n"/>
      <c r="I1476" s="45" t="n">
        <v>1401000</v>
      </c>
      <c r="J1476" s="45" t="n">
        <v>1410181.57</v>
      </c>
      <c r="K1476" s="45" t="n">
        <v>861000</v>
      </c>
      <c r="L1476" s="45" t="n">
        <v>872924.42</v>
      </c>
      <c r="M1476" s="45" t="n">
        <v>0</v>
      </c>
      <c r="N1476" s="45" t="n">
        <v>0</v>
      </c>
      <c r="O1476" s="45" t="n">
        <v>394535.679</v>
      </c>
      <c r="P1476" s="45" t="n">
        <v>399999.99816</v>
      </c>
      <c r="Q1476" s="45" t="n">
        <v>73975.44</v>
      </c>
      <c r="R1476" s="45" t="n">
        <v>74999.99984</v>
      </c>
      <c r="S1476" s="45" t="n">
        <v>1329511.119</v>
      </c>
      <c r="T1476" s="45" t="n">
        <v>1347924.418</v>
      </c>
      <c r="U1476" s="15" t="n">
        <v>7.09</v>
      </c>
      <c r="V1476" s="15" t="n">
        <v>14.69</v>
      </c>
      <c r="W1476" s="49" t="n">
        <v>101.385</v>
      </c>
    </row>
    <row r="1477">
      <c r="A1477" s="44" t="inlineStr">
        <is>
          <t>TL Cinsi Degisken Faizli Kuponlu Senetler</t>
        </is>
      </c>
      <c r="B1477" s="44" t="n">
        <v>2021</v>
      </c>
      <c r="C1477" s="44" t="inlineStr">
        <is>
          <t>TRT171127T15</t>
        </is>
      </c>
      <c r="D1477" s="44" t="inlineStr">
        <is>
          <t>21.04.2021</t>
        </is>
      </c>
      <c r="E1477" s="44" t="inlineStr">
        <is>
          <t>17.11.2027</t>
        </is>
      </c>
      <c r="F1477" s="44" t="n">
        <v>2401</v>
      </c>
      <c r="G1477" s="44" t="inlineStr">
        <is>
          <t>6 ay</t>
        </is>
      </c>
      <c r="H1477" s="15" t="n"/>
      <c r="I1477" s="45" t="n">
        <v>1216000.001</v>
      </c>
      <c r="J1477" s="45" t="n">
        <v>1210740.43101</v>
      </c>
      <c r="K1477" s="45" t="n">
        <v>596000.001</v>
      </c>
      <c r="L1477" s="45" t="n">
        <v>603010.13101</v>
      </c>
      <c r="M1477" s="45" t="n">
        <v>691863.683</v>
      </c>
      <c r="N1477" s="45" t="n">
        <v>699999.99991</v>
      </c>
      <c r="O1477" s="45" t="n">
        <v>494188.343</v>
      </c>
      <c r="P1477" s="45" t="n">
        <v>499999.99792</v>
      </c>
      <c r="Q1477" s="45" t="n">
        <v>0</v>
      </c>
      <c r="R1477" s="45" t="n">
        <v>0</v>
      </c>
      <c r="S1477" s="45" t="n">
        <v>1782052.027</v>
      </c>
      <c r="T1477" s="45" t="n">
        <v>1803010.12884</v>
      </c>
      <c r="U1477" s="15" t="n">
        <v>7.28</v>
      </c>
      <c r="V1477" s="15" t="n">
        <v>15.1</v>
      </c>
      <c r="W1477" s="49" t="n">
        <v>101.176</v>
      </c>
    </row>
    <row r="1478">
      <c r="A1478" s="44" t="inlineStr">
        <is>
          <t>TL Cinsi Degisken Faizli Kuponlu Senetler</t>
        </is>
      </c>
      <c r="B1478" s="44" t="n">
        <v>2021</v>
      </c>
      <c r="C1478" s="44" t="inlineStr">
        <is>
          <t>TRT171127T15</t>
        </is>
      </c>
      <c r="D1478" s="44" t="inlineStr">
        <is>
          <t>26.05.2021</t>
        </is>
      </c>
      <c r="E1478" s="44" t="inlineStr">
        <is>
          <t>17.11.2027</t>
        </is>
      </c>
      <c r="F1478" s="44" t="n">
        <v>2366</v>
      </c>
      <c r="G1478" s="44" t="inlineStr">
        <is>
          <t>6 ay</t>
        </is>
      </c>
      <c r="H1478" s="15" t="n"/>
      <c r="I1478" s="45" t="n">
        <v>1584000</v>
      </c>
      <c r="J1478" s="45" t="n">
        <v>1501530.3</v>
      </c>
      <c r="K1478" s="45" t="n">
        <v>574000</v>
      </c>
      <c r="L1478" s="45" t="n">
        <v>547863.3</v>
      </c>
      <c r="M1478" s="45" t="n">
        <v>471465.839</v>
      </c>
      <c r="N1478" s="45" t="n">
        <v>449999.99935</v>
      </c>
      <c r="O1478" s="45" t="n">
        <v>261925.464</v>
      </c>
      <c r="P1478" s="45" t="n">
        <v>249999.99761</v>
      </c>
      <c r="Q1478" s="45" t="n">
        <v>0</v>
      </c>
      <c r="R1478" s="45" t="n">
        <v>0</v>
      </c>
      <c r="S1478" s="45" t="n">
        <v>1307391.303</v>
      </c>
      <c r="T1478" s="45" t="n">
        <v>1247863.29696</v>
      </c>
      <c r="U1478" s="15" t="n">
        <v>8.98</v>
      </c>
      <c r="V1478" s="15" t="n">
        <v>18.76</v>
      </c>
      <c r="W1478" s="49" t="n">
        <v>95.447</v>
      </c>
    </row>
    <row r="1479">
      <c r="A1479" s="44" t="inlineStr">
        <is>
          <t>TL Cinsi Degisken Faizli Kuponlu Senetler</t>
        </is>
      </c>
      <c r="B1479" s="44" t="n">
        <v>2021</v>
      </c>
      <c r="C1479" s="44" t="inlineStr">
        <is>
          <t>TRT171127T15</t>
        </is>
      </c>
      <c r="D1479" s="44" t="inlineStr">
        <is>
          <t>09.06.2021</t>
        </is>
      </c>
      <c r="E1479" s="44" t="inlineStr">
        <is>
          <t>17.11.2027</t>
        </is>
      </c>
      <c r="F1479" s="44" t="n">
        <v>2352</v>
      </c>
      <c r="G1479" s="44" t="inlineStr">
        <is>
          <t>6 ay</t>
        </is>
      </c>
      <c r="H1479" s="15" t="n"/>
      <c r="I1479" s="45" t="n">
        <v>1596000</v>
      </c>
      <c r="J1479" s="45" t="n">
        <v>1511757.95</v>
      </c>
      <c r="K1479" s="45" t="n">
        <v>896000</v>
      </c>
      <c r="L1479" s="45" t="n">
        <v>852860.2</v>
      </c>
      <c r="M1479" s="45" t="n">
        <v>0</v>
      </c>
      <c r="N1479" s="45" t="n">
        <v>0</v>
      </c>
      <c r="O1479" s="45" t="n">
        <v>210117.139</v>
      </c>
      <c r="P1479" s="45" t="n">
        <v>199999.99876</v>
      </c>
      <c r="Q1479" s="45" t="n">
        <v>0</v>
      </c>
      <c r="R1479" s="45" t="n">
        <v>0</v>
      </c>
      <c r="S1479" s="45" t="n">
        <v>1106117.139</v>
      </c>
      <c r="T1479" s="45" t="n">
        <v>1052860.19876</v>
      </c>
      <c r="U1479" s="15" t="n">
        <v>9.1</v>
      </c>
      <c r="V1479" s="15" t="n">
        <v>19.03</v>
      </c>
      <c r="W1479" s="49" t="n">
        <v>95.185</v>
      </c>
    </row>
    <row r="1480">
      <c r="A1480" s="44" t="inlineStr">
        <is>
          <t>TL Cinsi Degisken Faizli Kuponlu Senetler</t>
        </is>
      </c>
      <c r="B1480" s="44" t="n">
        <v>2021</v>
      </c>
      <c r="C1480" s="44" t="inlineStr">
        <is>
          <t>TRT171127T15</t>
        </is>
      </c>
      <c r="D1480" s="44" t="inlineStr">
        <is>
          <t>28.07.2021</t>
        </is>
      </c>
      <c r="E1480" s="44" t="inlineStr">
        <is>
          <t>17.11.2027</t>
        </is>
      </c>
      <c r="F1480" s="44" t="n">
        <v>2303</v>
      </c>
      <c r="G1480" s="44" t="inlineStr">
        <is>
          <t>6 ay</t>
        </is>
      </c>
      <c r="H1480" s="15" t="n"/>
      <c r="I1480" s="45" t="n">
        <v>2056000</v>
      </c>
      <c r="J1480" s="45" t="n">
        <v>1978485.44</v>
      </c>
      <c r="K1480" s="45" t="n">
        <v>1106000</v>
      </c>
      <c r="L1480" s="45" t="n">
        <v>1074328.44</v>
      </c>
      <c r="M1480" s="45" t="n">
        <v>1750123.537</v>
      </c>
      <c r="N1480" s="45" t="n">
        <v>1699999.9989</v>
      </c>
      <c r="O1480" s="45" t="n">
        <v>720639.101</v>
      </c>
      <c r="P1480" s="45" t="n">
        <v>699999.99715</v>
      </c>
      <c r="Q1480" s="45" t="n">
        <v>315000</v>
      </c>
      <c r="R1480" s="45" t="n">
        <v>305978.4</v>
      </c>
      <c r="S1480" s="45" t="n">
        <v>3891762.638</v>
      </c>
      <c r="T1480" s="45" t="n">
        <v>3780306.83605</v>
      </c>
      <c r="U1480" s="15" t="n">
        <v>9.15</v>
      </c>
      <c r="V1480" s="15" t="n">
        <v>19.13</v>
      </c>
      <c r="W1480" s="49" t="n">
        <v>97.136</v>
      </c>
    </row>
    <row r="1481">
      <c r="A1481" s="44" t="inlineStr">
        <is>
          <t>TL Cinsi Degisken Faizli Kuponlu Senetler</t>
        </is>
      </c>
      <c r="B1481" s="44" t="n">
        <v>2021</v>
      </c>
      <c r="C1481" s="44" t="inlineStr">
        <is>
          <t>TRT130928T12</t>
        </is>
      </c>
      <c r="D1481" s="44" t="inlineStr">
        <is>
          <t>22.09.2021</t>
        </is>
      </c>
      <c r="E1481" s="44" t="inlineStr">
        <is>
          <t>13.09.2028</t>
        </is>
      </c>
      <c r="F1481" s="44" t="n">
        <v>2548</v>
      </c>
      <c r="G1481" s="44" t="inlineStr">
        <is>
          <t>6 ay</t>
        </is>
      </c>
      <c r="H1481" s="15" t="n"/>
      <c r="I1481" s="45" t="n">
        <v>1926000</v>
      </c>
      <c r="J1481" s="45" t="n">
        <v>1846649.02</v>
      </c>
      <c r="K1481" s="45" t="n">
        <v>955000</v>
      </c>
      <c r="L1481" s="45" t="n">
        <v>926355.9</v>
      </c>
      <c r="M1481" s="45" t="n">
        <v>2577293.017</v>
      </c>
      <c r="N1481" s="45" t="n">
        <v>2499999.99942</v>
      </c>
      <c r="O1481" s="45" t="n">
        <v>1030917.204</v>
      </c>
      <c r="P1481" s="45" t="n">
        <v>999999.99705</v>
      </c>
      <c r="Q1481" s="45" t="n">
        <v>256908.28</v>
      </c>
      <c r="R1481" s="45" t="n">
        <v>249203.60068</v>
      </c>
      <c r="S1481" s="45" t="n">
        <v>4820118.501</v>
      </c>
      <c r="T1481" s="45" t="n">
        <v>4675559.49715</v>
      </c>
      <c r="U1481" s="15" t="n">
        <v>9.4</v>
      </c>
      <c r="V1481" s="15" t="n">
        <v>19.69</v>
      </c>
      <c r="W1481" s="49" t="n">
        <v>97.001</v>
      </c>
    </row>
    <row r="1482">
      <c r="A1482" s="44" t="inlineStr">
        <is>
          <t>TL Cinsi Degisken Faizli Kuponlu Senetler</t>
        </is>
      </c>
      <c r="B1482" s="44" t="n">
        <v>2021</v>
      </c>
      <c r="C1482" s="44" t="inlineStr">
        <is>
          <t>TRT130928T12</t>
        </is>
      </c>
      <c r="D1482" s="44" t="inlineStr">
        <is>
          <t>20.10.2021</t>
        </is>
      </c>
      <c r="E1482" s="44" t="inlineStr">
        <is>
          <t>13.09.2028</t>
        </is>
      </c>
      <c r="F1482" s="44" t="n">
        <v>2520</v>
      </c>
      <c r="G1482" s="44" t="inlineStr">
        <is>
          <t>6 ay</t>
        </is>
      </c>
      <c r="H1482" s="15" t="n"/>
      <c r="I1482" s="45" t="n">
        <v>1252000</v>
      </c>
      <c r="J1482" s="45" t="n">
        <v>1181932.85</v>
      </c>
      <c r="K1482" s="45" t="n">
        <v>662000</v>
      </c>
      <c r="L1482" s="45" t="n">
        <v>638363.65</v>
      </c>
      <c r="M1482" s="45" t="n">
        <v>1037021.673</v>
      </c>
      <c r="N1482" s="45" t="n">
        <v>999999.99927</v>
      </c>
      <c r="O1482" s="45" t="n">
        <v>622213.001</v>
      </c>
      <c r="P1482" s="45" t="n">
        <v>599999.99686</v>
      </c>
      <c r="Q1482" s="45" t="inlineStr">
        <is>
          <t>-</t>
        </is>
      </c>
      <c r="R1482" s="45" t="inlineStr">
        <is>
          <t>-</t>
        </is>
      </c>
      <c r="S1482" s="45" t="n">
        <v>2321234.674</v>
      </c>
      <c r="T1482" s="45" t="n">
        <v>2238363.64613</v>
      </c>
      <c r="U1482" s="15" t="n">
        <v>9.67</v>
      </c>
      <c r="V1482" s="15" t="n">
        <v>20.27</v>
      </c>
      <c r="W1482" s="49" t="n">
        <v>96.43000000000001</v>
      </c>
    </row>
    <row r="1483">
      <c r="A1483" s="44" t="inlineStr">
        <is>
          <t>TL Cinsi Degisken Faizli Kuponlu Senetler</t>
        </is>
      </c>
      <c r="B1483" s="44" t="n">
        <v>2021</v>
      </c>
      <c r="C1483" s="44" t="inlineStr">
        <is>
          <t>TRT130928T12</t>
        </is>
      </c>
      <c r="D1483" s="44" t="inlineStr">
        <is>
          <t>24.11.2021</t>
        </is>
      </c>
      <c r="E1483" s="44" t="inlineStr">
        <is>
          <t>13.09.2028</t>
        </is>
      </c>
      <c r="F1483" s="44" t="n">
        <v>2485</v>
      </c>
      <c r="G1483" s="44" t="inlineStr">
        <is>
          <t>6 ay</t>
        </is>
      </c>
      <c r="H1483" s="15" t="n"/>
      <c r="I1483" s="45" t="n">
        <v>1886005.012</v>
      </c>
      <c r="J1483" s="45" t="n">
        <v>1792146.32947</v>
      </c>
      <c r="K1483" s="45" t="n">
        <v>527005.012</v>
      </c>
      <c r="L1483" s="45" t="n">
        <v>510151.30947</v>
      </c>
      <c r="M1483" s="45" t="n">
        <v>2066073.015</v>
      </c>
      <c r="N1483" s="45" t="n">
        <v>1999999.99998</v>
      </c>
      <c r="O1483" s="45" t="n">
        <v>413214.6</v>
      </c>
      <c r="P1483" s="45" t="n">
        <v>399999.9971</v>
      </c>
      <c r="Q1483" s="45" t="inlineStr">
        <is>
          <t>-</t>
        </is>
      </c>
      <c r="R1483" s="45" t="inlineStr">
        <is>
          <t>-</t>
        </is>
      </c>
      <c r="S1483" s="45" t="n">
        <v>3006292.627</v>
      </c>
      <c r="T1483" s="45" t="n">
        <v>2910151.30655</v>
      </c>
      <c r="U1483" s="15" t="n">
        <v>9.859999999999999</v>
      </c>
      <c r="V1483" s="15" t="n">
        <v>20.69</v>
      </c>
      <c r="W1483" s="49" t="n">
        <v>96.80200000000001</v>
      </c>
    </row>
    <row r="1484">
      <c r="A1484" s="44" t="inlineStr">
        <is>
          <t>TL Cinsi Degisken Faizli Kuponlu Senetler</t>
        </is>
      </c>
      <c r="B1484" s="44" t="n">
        <v>2021</v>
      </c>
      <c r="C1484" s="44" t="inlineStr">
        <is>
          <t>TRT130928T12</t>
        </is>
      </c>
      <c r="D1484" s="44" t="inlineStr">
        <is>
          <t>08.12.2021</t>
        </is>
      </c>
      <c r="E1484" s="44" t="inlineStr">
        <is>
          <t>13.09.2028</t>
        </is>
      </c>
      <c r="F1484" s="44" t="n">
        <v>2471</v>
      </c>
      <c r="G1484" s="44" t="inlineStr">
        <is>
          <t>6 ay</t>
        </is>
      </c>
      <c r="H1484" s="15" t="n"/>
      <c r="I1484" s="45" t="n">
        <v>1132003</v>
      </c>
      <c r="J1484" s="45" t="n">
        <v>1082302.87</v>
      </c>
      <c r="K1484" s="45" t="n">
        <v>462001</v>
      </c>
      <c r="L1484" s="45" t="n">
        <v>445794.3</v>
      </c>
      <c r="M1484" s="45" t="n">
        <v>1139990.879</v>
      </c>
      <c r="N1484" s="45" t="n">
        <v>1099999.99897</v>
      </c>
      <c r="O1484" s="45" t="n">
        <v>518177.669</v>
      </c>
      <c r="P1484" s="45" t="n">
        <v>499999.99637</v>
      </c>
      <c r="Q1484" s="45" t="n">
        <v>37500</v>
      </c>
      <c r="R1484" s="45" t="n">
        <v>36184.5</v>
      </c>
      <c r="S1484" s="45" t="n">
        <v>2157669.548</v>
      </c>
      <c r="T1484" s="45" t="n">
        <v>2081978.79534</v>
      </c>
      <c r="U1484" s="15" t="n">
        <v>10</v>
      </c>
      <c r="V1484" s="15" t="n">
        <v>21.01</v>
      </c>
      <c r="W1484" s="49" t="n">
        <v>96.492</v>
      </c>
    </row>
    <row r="1485">
      <c r="A1485" s="44" t="inlineStr">
        <is>
          <t>TL Cinsi Degisken Faizli Kuponlu Senetler</t>
        </is>
      </c>
      <c r="B1485" s="44" t="n">
        <v>2020</v>
      </c>
      <c r="C1485" s="44" t="inlineStr">
        <is>
          <t>TRT041126T11</t>
        </is>
      </c>
      <c r="D1485" s="44" t="inlineStr">
        <is>
          <t>15.01.2020</t>
        </is>
      </c>
      <c r="E1485" s="44" t="inlineStr">
        <is>
          <t>04.11.2026</t>
        </is>
      </c>
      <c r="F1485" s="44" t="n">
        <v>2485</v>
      </c>
      <c r="G1485" s="44" t="inlineStr">
        <is>
          <t>6 ay</t>
        </is>
      </c>
      <c r="H1485" s="15" t="n"/>
      <c r="I1485" s="45" t="n">
        <v>3397000</v>
      </c>
      <c r="J1485" s="45" t="n">
        <v>3443690.45</v>
      </c>
      <c r="K1485" s="45" t="n">
        <v>1780000</v>
      </c>
      <c r="L1485" s="45" t="n">
        <v>1819938.95</v>
      </c>
      <c r="M1485" s="45" t="n">
        <v>440123.625</v>
      </c>
      <c r="N1485" s="45" t="n">
        <v>449999.99915</v>
      </c>
      <c r="O1485" s="45" t="n">
        <v>1158992.209</v>
      </c>
      <c r="P1485" s="45" t="n">
        <v>1184999.99419</v>
      </c>
      <c r="Q1485" s="45" t="n">
        <v>144630</v>
      </c>
      <c r="R1485" s="45" t="n">
        <v>147875.4972</v>
      </c>
      <c r="S1485" s="45" t="n">
        <v>3523745.834</v>
      </c>
      <c r="T1485" s="45" t="n">
        <v>3602814.44054</v>
      </c>
      <c r="U1485" s="15" t="n">
        <v>7.17</v>
      </c>
      <c r="V1485" s="15" t="n">
        <v>14.86</v>
      </c>
      <c r="W1485" s="49" t="n">
        <v>102.244</v>
      </c>
    </row>
    <row r="1486">
      <c r="A1486" s="44" t="inlineStr">
        <is>
          <t>TL Cinsi Degisken Faizli Kuponlu Senetler</t>
        </is>
      </c>
      <c r="B1486" s="44" t="n">
        <v>2020</v>
      </c>
      <c r="C1486" s="44" t="inlineStr">
        <is>
          <t>TRT041126T11</t>
        </is>
      </c>
      <c r="D1486" s="44" t="inlineStr">
        <is>
          <t>12.02.2020</t>
        </is>
      </c>
      <c r="E1486" s="44" t="inlineStr">
        <is>
          <t>04.11.2026</t>
        </is>
      </c>
      <c r="F1486" s="44" t="n">
        <v>2457</v>
      </c>
      <c r="G1486" s="44" t="inlineStr">
        <is>
          <t>6 ay</t>
        </is>
      </c>
      <c r="H1486" s="15" t="n"/>
      <c r="I1486" s="45" t="n">
        <v>2498000</v>
      </c>
      <c r="J1486" s="45" t="n">
        <v>2557553.23</v>
      </c>
      <c r="K1486" s="45" t="n">
        <v>891000</v>
      </c>
      <c r="L1486" s="45" t="n">
        <v>919521.03</v>
      </c>
      <c r="M1486" s="45" t="n">
        <v>0</v>
      </c>
      <c r="N1486" s="45" t="n">
        <v>0</v>
      </c>
      <c r="O1486" s="45" t="n">
        <v>581389.71</v>
      </c>
      <c r="P1486" s="45" t="n">
        <v>599999.99462</v>
      </c>
      <c r="Q1486" s="45" t="n">
        <v>0</v>
      </c>
      <c r="R1486" s="45" t="n">
        <v>0</v>
      </c>
      <c r="S1486" s="45" t="n">
        <v>1472389.71</v>
      </c>
      <c r="T1486" s="45" t="n">
        <v>1519521.02462</v>
      </c>
      <c r="U1486" s="15" t="n">
        <v>7.19</v>
      </c>
      <c r="V1486" s="15" t="n">
        <v>14.89</v>
      </c>
      <c r="W1486" s="49" t="n">
        <v>103.201</v>
      </c>
    </row>
    <row r="1487">
      <c r="A1487" s="44" t="inlineStr">
        <is>
          <t>TL Cinsi Degisken Faizli Kuponlu Senetler</t>
        </is>
      </c>
      <c r="B1487" s="44" t="n">
        <v>2020</v>
      </c>
      <c r="C1487" s="44" t="inlineStr">
        <is>
          <t>TRT041126T11</t>
        </is>
      </c>
      <c r="D1487" s="44" t="inlineStr">
        <is>
          <t>11.03.2020</t>
        </is>
      </c>
      <c r="E1487" s="44" t="inlineStr">
        <is>
          <t>04.11.2026</t>
        </is>
      </c>
      <c r="F1487" s="44" t="n">
        <v>2429</v>
      </c>
      <c r="G1487" s="44" t="inlineStr">
        <is>
          <t>6 ay</t>
        </is>
      </c>
      <c r="H1487" s="15" t="n"/>
      <c r="I1487" s="45" t="n">
        <v>2630000</v>
      </c>
      <c r="J1487" s="45" t="n">
        <v>2730325.1</v>
      </c>
      <c r="K1487" s="45" t="n">
        <v>1140000</v>
      </c>
      <c r="L1487" s="45" t="n">
        <v>1187163.65</v>
      </c>
      <c r="M1487" s="45" t="n">
        <v>720205.1139999999</v>
      </c>
      <c r="N1487" s="45" t="n">
        <v>749999.99957</v>
      </c>
      <c r="O1487" s="45" t="n">
        <v>864246.135</v>
      </c>
      <c r="P1487" s="45" t="n">
        <v>899999.99759</v>
      </c>
      <c r="Q1487" s="45" t="n">
        <v>42037.786</v>
      </c>
      <c r="R1487" s="45" t="n">
        <v>43776.88921</v>
      </c>
      <c r="S1487" s="45" t="n">
        <v>2766489.035</v>
      </c>
      <c r="T1487" s="45" t="n">
        <v>2880940.53637</v>
      </c>
      <c r="U1487" s="15" t="n">
        <v>7.21</v>
      </c>
      <c r="V1487" s="15" t="n">
        <v>14.93</v>
      </c>
      <c r="W1487" s="49" t="n">
        <v>104.137</v>
      </c>
    </row>
    <row r="1488">
      <c r="A1488" s="44" t="inlineStr">
        <is>
          <t>TL Cinsi Degisken Faizli Kuponlu Senetler</t>
        </is>
      </c>
      <c r="B1488" s="44" t="n">
        <v>2020</v>
      </c>
      <c r="C1488" s="44" t="inlineStr">
        <is>
          <t>TRT041126T11</t>
        </is>
      </c>
      <c r="D1488" s="44" t="inlineStr">
        <is>
          <t>29.04.2020</t>
        </is>
      </c>
      <c r="E1488" s="44" t="inlineStr">
        <is>
          <t>04.11.2026</t>
        </is>
      </c>
      <c r="F1488" s="44" t="n">
        <v>2380</v>
      </c>
      <c r="G1488" s="44" t="inlineStr">
        <is>
          <t>6 ay</t>
        </is>
      </c>
      <c r="H1488" s="15" t="n"/>
      <c r="I1488" s="45" t="n">
        <v>3495000</v>
      </c>
      <c r="J1488" s="45" t="n">
        <v>3686332.8</v>
      </c>
      <c r="K1488" s="45" t="n">
        <v>2080000</v>
      </c>
      <c r="L1488" s="45" t="n">
        <v>2199423.15</v>
      </c>
      <c r="M1488" s="45" t="n">
        <v>0</v>
      </c>
      <c r="N1488" s="45" t="n">
        <v>0</v>
      </c>
      <c r="O1488" s="45" t="n">
        <v>2600694.146</v>
      </c>
      <c r="P1488" s="45" t="n">
        <v>2749999.99694</v>
      </c>
      <c r="Q1488" s="45" t="n">
        <v>75314.92</v>
      </c>
      <c r="R1488" s="45" t="n">
        <v>79638.74956</v>
      </c>
      <c r="S1488" s="45" t="n">
        <v>4756009.066</v>
      </c>
      <c r="T1488" s="45" t="n">
        <v>5029061.896500001</v>
      </c>
      <c r="U1488" s="15" t="n">
        <v>7.25</v>
      </c>
      <c r="V1488" s="15" t="n">
        <v>15.03</v>
      </c>
      <c r="W1488" s="49" t="n">
        <v>105.741</v>
      </c>
    </row>
    <row r="1489">
      <c r="A1489" s="44" t="inlineStr">
        <is>
          <t>TL Cinsi Degisken Faizli Kuponlu Senetler</t>
        </is>
      </c>
      <c r="B1489" s="44" t="n">
        <v>2020</v>
      </c>
      <c r="C1489" s="44" t="inlineStr">
        <is>
          <t>TRT050527T17</t>
        </is>
      </c>
      <c r="D1489" s="44" t="inlineStr">
        <is>
          <t>13.05.2020</t>
        </is>
      </c>
      <c r="E1489" s="44" t="inlineStr">
        <is>
          <t>05.05.2027</t>
        </is>
      </c>
      <c r="F1489" s="44" t="n">
        <v>2548</v>
      </c>
      <c r="G1489" s="44" t="inlineStr">
        <is>
          <t>6 ay</t>
        </is>
      </c>
      <c r="H1489" s="15" t="n"/>
      <c r="I1489" s="45" t="n">
        <v>5010250</v>
      </c>
      <c r="J1489" s="45" t="n">
        <v>4597424.72125</v>
      </c>
      <c r="K1489" s="45" t="n">
        <v>1385000</v>
      </c>
      <c r="L1489" s="45" t="n">
        <v>1363702.1</v>
      </c>
      <c r="M1489" s="45" t="n">
        <v>0</v>
      </c>
      <c r="N1489" s="45" t="n">
        <v>0</v>
      </c>
      <c r="O1489" s="45" t="n">
        <v>2234364.523</v>
      </c>
      <c r="P1489" s="45" t="n">
        <v>2199999.99663</v>
      </c>
      <c r="Q1489" s="45" t="n">
        <v>64164.916</v>
      </c>
      <c r="R1489" s="45" t="n">
        <v>63178.05959</v>
      </c>
      <c r="S1489" s="45" t="n">
        <v>3683529.439</v>
      </c>
      <c r="T1489" s="45" t="n">
        <v>3626880.15622</v>
      </c>
      <c r="U1489" s="15" t="n">
        <v>4.9</v>
      </c>
      <c r="V1489" s="15" t="n">
        <v>10.05</v>
      </c>
      <c r="W1489" s="49" t="n">
        <v>98.462</v>
      </c>
    </row>
    <row r="1490">
      <c r="A1490" s="44" t="inlineStr">
        <is>
          <t>TL Cinsi Degisken Faizli Kuponlu Senetler</t>
        </is>
      </c>
      <c r="B1490" s="44" t="n">
        <v>2020</v>
      </c>
      <c r="C1490" s="44" t="inlineStr">
        <is>
          <t>TRT050527T17</t>
        </is>
      </c>
      <c r="D1490" s="44" t="inlineStr">
        <is>
          <t>10.06.2020</t>
        </is>
      </c>
      <c r="E1490" s="44" t="inlineStr">
        <is>
          <t>05.05.2027</t>
        </is>
      </c>
      <c r="F1490" s="44" t="n">
        <v>2520</v>
      </c>
      <c r="G1490" s="44" t="inlineStr">
        <is>
          <t>6 ay</t>
        </is>
      </c>
      <c r="H1490" s="15" t="n"/>
      <c r="I1490" s="45" t="n">
        <v>3573100</v>
      </c>
      <c r="J1490" s="45" t="n">
        <v>3494502.9</v>
      </c>
      <c r="K1490" s="45" t="n">
        <v>1399100</v>
      </c>
      <c r="L1490" s="45" t="n">
        <v>1381641.32</v>
      </c>
      <c r="M1490" s="45" t="n">
        <v>1670852.235</v>
      </c>
      <c r="N1490" s="45" t="n">
        <v>1649999.9991</v>
      </c>
      <c r="O1490" s="45" t="n">
        <v>1367060.917</v>
      </c>
      <c r="P1490" s="45" t="n">
        <v>1349999.99675</v>
      </c>
      <c r="Q1490" s="45" t="n">
        <v>231179.114</v>
      </c>
      <c r="R1490" s="45" t="n">
        <v>228293.99865</v>
      </c>
      <c r="S1490" s="45" t="n">
        <v>4668192.266000001</v>
      </c>
      <c r="T1490" s="45" t="n">
        <v>4609935.3145</v>
      </c>
      <c r="U1490" s="15" t="n">
        <v>4.95</v>
      </c>
      <c r="V1490" s="15" t="n">
        <v>10.14</v>
      </c>
      <c r="W1490" s="49" t="n">
        <v>98.752</v>
      </c>
    </row>
    <row r="1491">
      <c r="A1491" s="44" t="inlineStr">
        <is>
          <t>TL Cinsi Degisken Faizli Kuponlu Senetler</t>
        </is>
      </c>
      <c r="B1491" s="44" t="n">
        <v>2020</v>
      </c>
      <c r="C1491" s="44" t="inlineStr">
        <is>
          <t>TRT050527T17</t>
        </is>
      </c>
      <c r="D1491" s="44" t="inlineStr">
        <is>
          <t>08.07.2020</t>
        </is>
      </c>
      <c r="E1491" s="44" t="inlineStr">
        <is>
          <t>05.05.2027</t>
        </is>
      </c>
      <c r="F1491" s="44" t="n">
        <v>2492</v>
      </c>
      <c r="G1491" s="44" t="inlineStr">
        <is>
          <t>6 ay</t>
        </is>
      </c>
      <c r="H1491" s="15" t="n"/>
      <c r="I1491" s="45" t="n">
        <v>3566000</v>
      </c>
      <c r="J1491" s="45" t="n">
        <v>3526126.46</v>
      </c>
      <c r="K1491" s="45" t="n">
        <v>1692000</v>
      </c>
      <c r="L1491" s="45" t="n">
        <v>1681071.53</v>
      </c>
      <c r="M1491" s="45" t="n">
        <v>1081989.652</v>
      </c>
      <c r="N1491" s="45" t="n">
        <v>1074999.99885</v>
      </c>
      <c r="O1491" s="45" t="n">
        <v>2013004.002</v>
      </c>
      <c r="P1491" s="45" t="n">
        <v>1999999.99617</v>
      </c>
      <c r="Q1491" s="45" t="n">
        <v>15029.742</v>
      </c>
      <c r="R1491" s="45" t="n">
        <v>14932.64987</v>
      </c>
      <c r="S1491" s="45" t="n">
        <v>4802023.396</v>
      </c>
      <c r="T1491" s="45" t="n">
        <v>4771004.17489</v>
      </c>
      <c r="U1491" s="15" t="n">
        <v>4.96</v>
      </c>
      <c r="V1491" s="15" t="n">
        <v>10.17</v>
      </c>
      <c r="W1491" s="49" t="n">
        <v>99.354</v>
      </c>
    </row>
    <row r="1492">
      <c r="A1492" s="44" t="inlineStr">
        <is>
          <t>TL Cinsi Degisken Faizli Kuponlu Senetler</t>
        </is>
      </c>
      <c r="B1492" s="44" t="n">
        <v>2020</v>
      </c>
      <c r="C1492" s="44" t="inlineStr">
        <is>
          <t>TRT050527T17</t>
        </is>
      </c>
      <c r="D1492" s="44" t="inlineStr">
        <is>
          <t>26.08.2020</t>
        </is>
      </c>
      <c r="E1492" s="44" t="inlineStr">
        <is>
          <t>05.05.2027</t>
        </is>
      </c>
      <c r="F1492" s="44" t="n">
        <v>2443</v>
      </c>
      <c r="G1492" s="44" t="inlineStr">
        <is>
          <t>6 ay</t>
        </is>
      </c>
      <c r="H1492" s="15" t="n"/>
      <c r="I1492" s="45" t="n">
        <v>2508000</v>
      </c>
      <c r="J1492" s="45" t="n">
        <v>2502064.98</v>
      </c>
      <c r="K1492" s="45" t="n">
        <v>852000</v>
      </c>
      <c r="L1492" s="45" t="n">
        <v>856656.91</v>
      </c>
      <c r="M1492" s="45" t="n">
        <v>497279.879</v>
      </c>
      <c r="N1492" s="45" t="n">
        <v>499999.99994</v>
      </c>
      <c r="O1492" s="45" t="n">
        <v>994559.753</v>
      </c>
      <c r="P1492" s="45" t="n">
        <v>999999.9948400001</v>
      </c>
      <c r="Q1492" s="45" t="n">
        <v>0</v>
      </c>
      <c r="R1492" s="45" t="n">
        <v>0</v>
      </c>
      <c r="S1492" s="45" t="n">
        <v>2343839.632</v>
      </c>
      <c r="T1492" s="45" t="n">
        <v>2356656.90478</v>
      </c>
      <c r="U1492" s="15" t="n">
        <v>4.97</v>
      </c>
      <c r="V1492" s="15" t="n">
        <v>10.2</v>
      </c>
      <c r="W1492" s="49" t="n">
        <v>100.547</v>
      </c>
    </row>
    <row r="1493">
      <c r="A1493" s="44" t="inlineStr">
        <is>
          <t>TL Cinsi Degisken Faizli Kuponlu Senetler</t>
        </is>
      </c>
      <c r="B1493" s="44" t="n">
        <v>2020</v>
      </c>
      <c r="C1493" s="44" t="inlineStr">
        <is>
          <t>TRT050527T17</t>
        </is>
      </c>
      <c r="D1493" s="44" t="inlineStr">
        <is>
          <t>16.09.2020</t>
        </is>
      </c>
      <c r="E1493" s="44" t="inlineStr">
        <is>
          <t>05.05.2027</t>
        </is>
      </c>
      <c r="F1493" s="44" t="n">
        <v>2422</v>
      </c>
      <c r="G1493" s="44" t="inlineStr">
        <is>
          <t>6 ay</t>
        </is>
      </c>
      <c r="H1493" s="15" t="n"/>
      <c r="I1493" s="45" t="n">
        <v>3282000</v>
      </c>
      <c r="J1493" s="45" t="n">
        <v>3306710.11</v>
      </c>
      <c r="K1493" s="45" t="n">
        <v>849000</v>
      </c>
      <c r="L1493" s="45" t="n">
        <v>864814.6800000001</v>
      </c>
      <c r="M1493" s="45" t="n">
        <v>490855.364</v>
      </c>
      <c r="N1493" s="45" t="n">
        <v>499999.99943</v>
      </c>
      <c r="O1493" s="45" t="n">
        <v>736283.044</v>
      </c>
      <c r="P1493" s="45" t="n">
        <v>749999.99712</v>
      </c>
      <c r="Q1493" s="45" t="n">
        <v>0</v>
      </c>
      <c r="R1493" s="45" t="n">
        <v>0</v>
      </c>
      <c r="S1493" s="45" t="n">
        <v>2076138.408</v>
      </c>
      <c r="T1493" s="45" t="n">
        <v>2114814.67655</v>
      </c>
      <c r="U1493" s="15" t="n">
        <v>4.9</v>
      </c>
      <c r="V1493" s="15" t="n">
        <v>10.03</v>
      </c>
      <c r="W1493" s="49" t="n">
        <v>101.863</v>
      </c>
    </row>
    <row r="1494">
      <c r="A1494" s="44" t="inlineStr">
        <is>
          <t>TL Cinsi Degisken Faizli Kuponlu Senetler</t>
        </is>
      </c>
      <c r="B1494" s="44" t="n">
        <v>2020</v>
      </c>
      <c r="C1494" s="44" t="inlineStr">
        <is>
          <t>TRT050527T17</t>
        </is>
      </c>
      <c r="D1494" s="44" t="inlineStr">
        <is>
          <t>21.10.2020</t>
        </is>
      </c>
      <c r="E1494" s="44" t="inlineStr">
        <is>
          <t>05.05.2027</t>
        </is>
      </c>
      <c r="F1494" s="44" t="n">
        <v>2387</v>
      </c>
      <c r="G1494" s="44" t="inlineStr">
        <is>
          <t>6 ay</t>
        </is>
      </c>
      <c r="H1494" s="15" t="n"/>
      <c r="I1494" s="45" t="n">
        <v>2585000</v>
      </c>
      <c r="J1494" s="45" t="n">
        <v>2640820.99</v>
      </c>
      <c r="K1494" s="45" t="n">
        <v>948000</v>
      </c>
      <c r="L1494" s="45" t="n">
        <v>975661.11</v>
      </c>
      <c r="M1494" s="45" t="n">
        <v>485823.665</v>
      </c>
      <c r="N1494" s="45" t="n">
        <v>499999.99954</v>
      </c>
      <c r="O1494" s="45" t="n">
        <v>971647.327</v>
      </c>
      <c r="P1494" s="45" t="n">
        <v>999999.99602</v>
      </c>
      <c r="Q1494" s="45" t="n">
        <v>30007.578</v>
      </c>
      <c r="R1494" s="45" t="n">
        <v>30883.19913</v>
      </c>
      <c r="S1494" s="45" t="n">
        <v>2435478.57</v>
      </c>
      <c r="T1494" s="45" t="n">
        <v>2506544.30469</v>
      </c>
      <c r="U1494" s="15" t="n">
        <v>4.88</v>
      </c>
      <c r="V1494" s="15" t="n">
        <v>10.01</v>
      </c>
      <c r="W1494" s="49" t="n">
        <v>102.918</v>
      </c>
    </row>
    <row r="1495">
      <c r="A1495" s="44" t="inlineStr">
        <is>
          <t>TL Cinsi Degisken Faizli Kuponlu Senetler</t>
        </is>
      </c>
      <c r="B1495" s="44" t="n">
        <v>2020</v>
      </c>
      <c r="C1495" s="44" t="inlineStr">
        <is>
          <t>TRT171127T15</t>
        </is>
      </c>
      <c r="D1495" s="44" t="inlineStr">
        <is>
          <t>25.11.2020</t>
        </is>
      </c>
      <c r="E1495" s="44" t="inlineStr">
        <is>
          <t>17.11.2027</t>
        </is>
      </c>
      <c r="F1495" s="44" t="n">
        <v>2548</v>
      </c>
      <c r="G1495" s="44" t="inlineStr">
        <is>
          <t>6 ay</t>
        </is>
      </c>
      <c r="H1495" s="15" t="n"/>
      <c r="I1495" s="45" t="n">
        <v>2714000</v>
      </c>
      <c r="J1495" s="45" t="n">
        <v>2669258.6</v>
      </c>
      <c r="K1495" s="45" t="n">
        <v>1047000</v>
      </c>
      <c r="L1495" s="45" t="n">
        <v>1038570.55</v>
      </c>
      <c r="M1495" s="45" t="n">
        <v>25202.883</v>
      </c>
      <c r="N1495" s="45" t="n">
        <v>24999.99979</v>
      </c>
      <c r="O1495" s="45" t="n">
        <v>1008115.326</v>
      </c>
      <c r="P1495" s="45" t="n">
        <v>999999.99761</v>
      </c>
      <c r="Q1495" s="45" t="n">
        <v>0</v>
      </c>
      <c r="R1495" s="45" t="n">
        <v>0</v>
      </c>
      <c r="S1495" s="45" t="n">
        <v>2080318.209</v>
      </c>
      <c r="T1495" s="45" t="n">
        <v>2063570.5474</v>
      </c>
      <c r="U1495" s="15" t="n">
        <v>6.86</v>
      </c>
      <c r="V1495" s="15" t="n">
        <v>14.19</v>
      </c>
      <c r="W1495" s="49" t="n">
        <v>99.19499999999999</v>
      </c>
    </row>
    <row r="1496">
      <c r="A1496" s="44" t="inlineStr">
        <is>
          <t>TL Cinsi Degisken Faizli Kuponlu Senetler</t>
        </is>
      </c>
      <c r="B1496" s="44" t="n">
        <v>2019</v>
      </c>
      <c r="C1496" s="44" t="inlineStr">
        <is>
          <t>TRT060825T15</t>
        </is>
      </c>
      <c r="D1496" s="44" t="inlineStr">
        <is>
          <t>20.02.2019</t>
        </is>
      </c>
      <c r="E1496" s="44" t="inlineStr">
        <is>
          <t>06.08.2025</t>
        </is>
      </c>
      <c r="F1496" s="44" t="n">
        <v>2359</v>
      </c>
      <c r="G1496" s="44" t="inlineStr">
        <is>
          <t>6 ay</t>
        </is>
      </c>
      <c r="H1496" s="15" t="n"/>
      <c r="I1496" s="45" t="n">
        <v>1132000</v>
      </c>
      <c r="J1496" s="45" t="n">
        <v>1097270.42</v>
      </c>
      <c r="K1496" s="45" t="n">
        <v>749000</v>
      </c>
      <c r="L1496" s="45" t="n">
        <v>739717.26</v>
      </c>
      <c r="M1496" s="45" t="n">
        <v>987231.801</v>
      </c>
      <c r="N1496" s="45" t="n">
        <v>974999.99898</v>
      </c>
      <c r="O1496" s="45" t="n">
        <v>860663.6189999999</v>
      </c>
      <c r="P1496" s="45" t="n">
        <v>849999.99675</v>
      </c>
      <c r="Q1496" s="45" t="n">
        <v>0</v>
      </c>
      <c r="R1496" s="45" t="n">
        <v>0</v>
      </c>
      <c r="S1496" s="45" t="n">
        <v>2596895.42</v>
      </c>
      <c r="T1496" s="45" t="n">
        <v>2564717.25573</v>
      </c>
      <c r="U1496" s="15" t="n">
        <v>9.119999999999999</v>
      </c>
      <c r="V1496" s="15" t="n">
        <v>19.07</v>
      </c>
      <c r="W1496" s="49" t="n">
        <v>98.761</v>
      </c>
    </row>
    <row r="1497">
      <c r="A1497" s="44" t="inlineStr">
        <is>
          <t>TL Cinsi Degisken Faizli Kuponlu Senetler</t>
        </is>
      </c>
      <c r="B1497" s="44" t="n">
        <v>2019</v>
      </c>
      <c r="C1497" s="44" t="inlineStr">
        <is>
          <t>TRT060825T15</t>
        </is>
      </c>
      <c r="D1497" s="44" t="inlineStr">
        <is>
          <t>27.03.2019</t>
        </is>
      </c>
      <c r="E1497" s="44" t="inlineStr">
        <is>
          <t>06.08.2025</t>
        </is>
      </c>
      <c r="F1497" s="44" t="n">
        <v>2324</v>
      </c>
      <c r="G1497" s="44" t="inlineStr">
        <is>
          <t>6 ay</t>
        </is>
      </c>
      <c r="H1497" s="15" t="n"/>
      <c r="I1497" s="45" t="n">
        <v>703001.115</v>
      </c>
      <c r="J1497" s="45" t="n">
        <v>681421.308</v>
      </c>
      <c r="K1497" s="45" t="n">
        <v>528000</v>
      </c>
      <c r="L1497" s="45" t="n">
        <v>518066.56</v>
      </c>
      <c r="M1497" s="45" t="n">
        <v>509585.299</v>
      </c>
      <c r="N1497" s="45" t="n">
        <v>499999.99953</v>
      </c>
      <c r="O1497" s="45" t="n">
        <v>448435.061</v>
      </c>
      <c r="P1497" s="45" t="n">
        <v>439999.9975</v>
      </c>
      <c r="Q1497" s="45" t="n">
        <v>0</v>
      </c>
      <c r="R1497" s="45" t="n">
        <v>0</v>
      </c>
      <c r="S1497" s="45" t="n">
        <v>1486020.36</v>
      </c>
      <c r="T1497" s="45" t="n">
        <v>1458066.55703</v>
      </c>
      <c r="U1497" s="15" t="n">
        <v>9.44</v>
      </c>
      <c r="V1497" s="15" t="n">
        <v>19.78</v>
      </c>
      <c r="W1497" s="49" t="n">
        <v>98.119</v>
      </c>
    </row>
    <row r="1498">
      <c r="A1498" s="44" t="inlineStr">
        <is>
          <t>TL Cinsi Degisken Faizli Kuponlu Senetler</t>
        </is>
      </c>
      <c r="B1498" s="44" t="n">
        <v>2019</v>
      </c>
      <c r="C1498" s="44" t="inlineStr">
        <is>
          <t>TRT060825T15</t>
        </is>
      </c>
      <c r="D1498" s="44" t="inlineStr">
        <is>
          <t>15.05.2019</t>
        </is>
      </c>
      <c r="E1498" s="44" t="inlineStr">
        <is>
          <t>06.08.2025</t>
        </is>
      </c>
      <c r="F1498" s="44" t="n">
        <v>2275</v>
      </c>
      <c r="G1498" s="44" t="inlineStr">
        <is>
          <t>6 ay</t>
        </is>
      </c>
      <c r="H1498" s="15" t="n"/>
      <c r="I1498" s="45" t="n">
        <v>1726001.08</v>
      </c>
      <c r="J1498" s="45" t="n">
        <v>1638317.43693</v>
      </c>
      <c r="K1498" s="45" t="n">
        <v>1216000</v>
      </c>
      <c r="L1498" s="45" t="n">
        <v>1162926.54</v>
      </c>
      <c r="M1498" s="45" t="n">
        <v>522821.142</v>
      </c>
      <c r="N1498" s="45" t="n">
        <v>499999.99915</v>
      </c>
      <c r="O1498" s="45" t="n">
        <v>1463899.197</v>
      </c>
      <c r="P1498" s="45" t="n">
        <v>1399999.99705</v>
      </c>
      <c r="Q1498" s="45" t="n">
        <v>0</v>
      </c>
      <c r="R1498" s="45" t="n">
        <v>0</v>
      </c>
      <c r="S1498" s="45" t="n">
        <v>3202720.339</v>
      </c>
      <c r="T1498" s="45" t="n">
        <v>3062926.5362</v>
      </c>
      <c r="U1498" s="15" t="n">
        <v>10.17</v>
      </c>
      <c r="V1498" s="15" t="n">
        <v>21.38</v>
      </c>
      <c r="W1498" s="49" t="n">
        <v>95.63500000000001</v>
      </c>
    </row>
    <row r="1499">
      <c r="A1499" s="44" t="inlineStr">
        <is>
          <t>TL Cinsi Degisken Faizli Kuponlu Senetler</t>
        </is>
      </c>
      <c r="B1499" s="44" t="n">
        <v>2019</v>
      </c>
      <c r="C1499" s="44" t="inlineStr">
        <is>
          <t>TRT060825T15</t>
        </is>
      </c>
      <c r="D1499" s="44" t="inlineStr">
        <is>
          <t>12.06.2019</t>
        </is>
      </c>
      <c r="E1499" s="44" t="inlineStr">
        <is>
          <t>06.08.2025</t>
        </is>
      </c>
      <c r="F1499" s="44" t="n">
        <v>2247</v>
      </c>
      <c r="G1499" s="44" t="inlineStr">
        <is>
          <t>6 ay</t>
        </is>
      </c>
      <c r="H1499" s="15" t="n"/>
      <c r="I1499" s="45" t="n">
        <v>1040000</v>
      </c>
      <c r="J1499" s="45" t="n">
        <v>1020009.78</v>
      </c>
      <c r="K1499" s="45" t="n">
        <v>748000</v>
      </c>
      <c r="L1499" s="45" t="n">
        <v>736831.91</v>
      </c>
      <c r="M1499" s="45" t="n">
        <v>406062.513</v>
      </c>
      <c r="N1499" s="45" t="n">
        <v>399999.99968</v>
      </c>
      <c r="O1499" s="45" t="n">
        <v>964398.465</v>
      </c>
      <c r="P1499" s="45" t="n">
        <v>949999.9959100001</v>
      </c>
      <c r="Q1499" s="45" t="n">
        <v>0</v>
      </c>
      <c r="R1499" s="45" t="n">
        <v>0</v>
      </c>
      <c r="S1499" s="45" t="n">
        <v>2118460.978</v>
      </c>
      <c r="T1499" s="45" t="n">
        <v>2086831.90559</v>
      </c>
      <c r="U1499" s="15" t="n">
        <v>9.949999999999999</v>
      </c>
      <c r="V1499" s="15" t="n">
        <v>20.89</v>
      </c>
      <c r="W1499" s="49" t="n">
        <v>98.50700000000001</v>
      </c>
    </row>
    <row r="1500">
      <c r="A1500" s="44" t="inlineStr">
        <is>
          <t>TL Cinsi Degisken Faizli Kuponlu Senetler</t>
        </is>
      </c>
      <c r="B1500" s="44" t="n">
        <v>2019</v>
      </c>
      <c r="C1500" s="44" t="inlineStr">
        <is>
          <t>TRT060825T15</t>
        </is>
      </c>
      <c r="D1500" s="44" t="inlineStr">
        <is>
          <t>10.07.2019</t>
        </is>
      </c>
      <c r="E1500" s="44" t="inlineStr">
        <is>
          <t>06.08.2025</t>
        </is>
      </c>
      <c r="F1500" s="44" t="n">
        <v>2219</v>
      </c>
      <c r="G1500" s="44" t="inlineStr">
        <is>
          <t>6 ay</t>
        </is>
      </c>
      <c r="H1500" s="15" t="n"/>
      <c r="I1500" s="45" t="n">
        <v>2312000</v>
      </c>
      <c r="J1500" s="45" t="n">
        <v>2325948.15</v>
      </c>
      <c r="K1500" s="45" t="n">
        <v>1256000</v>
      </c>
      <c r="L1500" s="45" t="n">
        <v>1277858.78</v>
      </c>
      <c r="M1500" s="45" t="n">
        <v>791232.553</v>
      </c>
      <c r="N1500" s="45" t="n">
        <v>804999.99942</v>
      </c>
      <c r="O1500" s="45" t="n">
        <v>766660.112</v>
      </c>
      <c r="P1500" s="45" t="n">
        <v>779999.9979599999</v>
      </c>
      <c r="Q1500" s="45" t="n">
        <v>159824.1</v>
      </c>
      <c r="R1500" s="45" t="n">
        <v>162605.03934</v>
      </c>
      <c r="S1500" s="45" t="n">
        <v>2973716.765</v>
      </c>
      <c r="T1500" s="45" t="n">
        <v>3025463.81672</v>
      </c>
      <c r="U1500" s="15" t="n">
        <v>9.68</v>
      </c>
      <c r="V1500" s="15" t="n">
        <v>20.3</v>
      </c>
      <c r="W1500" s="49" t="n">
        <v>101.74</v>
      </c>
    </row>
    <row r="1501">
      <c r="A1501" s="44" t="inlineStr">
        <is>
          <t>TL Cinsi Degisken Faizli Kuponlu Senetler</t>
        </is>
      </c>
      <c r="B1501" s="44" t="n">
        <v>2019</v>
      </c>
      <c r="C1501" s="44" t="inlineStr">
        <is>
          <t>TRT060825T15</t>
        </is>
      </c>
      <c r="D1501" s="44" t="inlineStr">
        <is>
          <t>21.08.2019</t>
        </is>
      </c>
      <c r="E1501" s="44" t="inlineStr">
        <is>
          <t>06.08.2025</t>
        </is>
      </c>
      <c r="F1501" s="44" t="n">
        <v>2177</v>
      </c>
      <c r="G1501" s="44" t="inlineStr">
        <is>
          <t>6 ay</t>
        </is>
      </c>
      <c r="H1501" s="15" t="n"/>
      <c r="I1501" s="45" t="n">
        <v>1838000</v>
      </c>
      <c r="J1501" s="45" t="n">
        <v>1766621.5</v>
      </c>
      <c r="K1501" s="45" t="n">
        <v>285000</v>
      </c>
      <c r="L1501" s="45" t="n">
        <v>284930.2</v>
      </c>
      <c r="M1501" s="45" t="n">
        <v>200048.011</v>
      </c>
      <c r="N1501" s="45" t="n">
        <v>199999.99948</v>
      </c>
      <c r="O1501" s="45" t="n">
        <v>750180.04</v>
      </c>
      <c r="P1501" s="45" t="n">
        <v>749999.99678</v>
      </c>
      <c r="Q1501" s="45" t="n">
        <v>0</v>
      </c>
      <c r="R1501" s="45" t="n">
        <v>0</v>
      </c>
      <c r="S1501" s="45" t="n">
        <v>1235228.051</v>
      </c>
      <c r="T1501" s="45" t="n">
        <v>1234930.19626</v>
      </c>
      <c r="U1501" s="15" t="n">
        <v>10.88</v>
      </c>
      <c r="V1501" s="15" t="n">
        <v>22.95</v>
      </c>
      <c r="W1501" s="49" t="n">
        <v>99.976</v>
      </c>
    </row>
    <row r="1502">
      <c r="A1502" s="44" t="inlineStr">
        <is>
          <t>TL Cinsi Degisken Faizli Kuponlu Senetler</t>
        </is>
      </c>
      <c r="B1502" s="44" t="n">
        <v>2019</v>
      </c>
      <c r="C1502" s="44" t="inlineStr">
        <is>
          <t>TRT060825T15</t>
        </is>
      </c>
      <c r="D1502" s="44" t="inlineStr">
        <is>
          <t>18.09.2019</t>
        </is>
      </c>
      <c r="E1502" s="44" t="inlineStr">
        <is>
          <t>06.08.2025</t>
        </is>
      </c>
      <c r="F1502" s="44" t="n">
        <v>2149</v>
      </c>
      <c r="G1502" s="44" t="inlineStr">
        <is>
          <t>6 ay</t>
        </is>
      </c>
      <c r="H1502" s="15" t="n"/>
      <c r="I1502" s="45" t="n">
        <v>565000</v>
      </c>
      <c r="J1502" s="45" t="n">
        <v>574717.75</v>
      </c>
      <c r="K1502" s="45" t="n">
        <v>380000</v>
      </c>
      <c r="L1502" s="45" t="n">
        <v>389638.5</v>
      </c>
      <c r="M1502" s="45" t="n">
        <v>292580.166</v>
      </c>
      <c r="N1502" s="45" t="n">
        <v>299999.99901</v>
      </c>
      <c r="O1502" s="45" t="n">
        <v>321838.183</v>
      </c>
      <c r="P1502" s="45" t="n">
        <v>329999.99931</v>
      </c>
      <c r="Q1502" s="45" t="n">
        <v>0</v>
      </c>
      <c r="R1502" s="45" t="n">
        <v>0</v>
      </c>
      <c r="S1502" s="45" t="n">
        <v>994418.3489999999</v>
      </c>
      <c r="T1502" s="45" t="n">
        <v>1019638.49832</v>
      </c>
      <c r="U1502" s="15" t="n">
        <v>10.74</v>
      </c>
      <c r="V1502" s="15" t="n">
        <v>22.63</v>
      </c>
      <c r="W1502" s="49" t="n">
        <v>102.536</v>
      </c>
    </row>
    <row r="1503">
      <c r="A1503" s="44" t="inlineStr">
        <is>
          <t>TL Cinsi Degisken Faizli Kuponlu Senetler</t>
        </is>
      </c>
      <c r="B1503" s="44" t="n">
        <v>2019</v>
      </c>
      <c r="C1503" s="44" t="inlineStr">
        <is>
          <t>TRT041126T11</t>
        </is>
      </c>
      <c r="D1503" s="44" t="inlineStr">
        <is>
          <t>13.11.2019</t>
        </is>
      </c>
      <c r="E1503" s="44" t="inlineStr">
        <is>
          <t>04.11.2026</t>
        </is>
      </c>
      <c r="F1503" s="44" t="n">
        <v>2548</v>
      </c>
      <c r="G1503" s="44" t="inlineStr">
        <is>
          <t>6 ay</t>
        </is>
      </c>
      <c r="H1503" s="15" t="n"/>
      <c r="I1503" s="45" t="n">
        <v>2105000</v>
      </c>
      <c r="J1503" s="45" t="n">
        <v>2057011.75</v>
      </c>
      <c r="K1503" s="45" t="n">
        <v>1500000</v>
      </c>
      <c r="L1503" s="45" t="n">
        <v>1490910</v>
      </c>
      <c r="M1503" s="45" t="n">
        <v>538261.865</v>
      </c>
      <c r="N1503" s="45" t="n">
        <v>534999.9981</v>
      </c>
      <c r="O1503" s="45" t="n">
        <v>970883.551</v>
      </c>
      <c r="P1503" s="45" t="n">
        <v>964999.99668</v>
      </c>
      <c r="Q1503" s="45" t="n">
        <v>0</v>
      </c>
      <c r="R1503" s="45" t="n">
        <v>0</v>
      </c>
      <c r="S1503" s="45" t="n">
        <v>3009145.416</v>
      </c>
      <c r="T1503" s="45" t="n">
        <v>2990909.99478</v>
      </c>
      <c r="U1503" s="15" t="n">
        <v>7.22</v>
      </c>
      <c r="V1503" s="15" t="n">
        <v>14.96</v>
      </c>
      <c r="W1503" s="49" t="n">
        <v>99.39400000000001</v>
      </c>
    </row>
    <row r="1504">
      <c r="A1504" s="44" t="inlineStr">
        <is>
          <t>TL Cinsi Degisken Faizli Kuponlu Senetler</t>
        </is>
      </c>
      <c r="B1504" s="44" t="n">
        <v>2019</v>
      </c>
      <c r="C1504" s="44" t="inlineStr">
        <is>
          <t>TRT041126T11</t>
        </is>
      </c>
      <c r="D1504" s="44" t="inlineStr">
        <is>
          <t>11.12.2019</t>
        </is>
      </c>
      <c r="E1504" s="44" t="inlineStr">
        <is>
          <t>04.11.2026</t>
        </is>
      </c>
      <c r="F1504" s="44" t="n">
        <v>2520</v>
      </c>
      <c r="G1504" s="44" t="inlineStr">
        <is>
          <t>6 ay</t>
        </is>
      </c>
      <c r="H1504" s="15" t="n"/>
      <c r="I1504" s="45" t="n">
        <v>1513000</v>
      </c>
      <c r="J1504" s="45" t="n">
        <v>1508978.23</v>
      </c>
      <c r="K1504" s="45" t="n">
        <v>1048000</v>
      </c>
      <c r="L1504" s="45" t="n">
        <v>1050035.08</v>
      </c>
      <c r="M1504" s="45" t="n">
        <v>199612.751</v>
      </c>
      <c r="N1504" s="45" t="n">
        <v>199999.99974</v>
      </c>
      <c r="O1504" s="45" t="n">
        <v>723596.221</v>
      </c>
      <c r="P1504" s="45" t="n">
        <v>724999.99767</v>
      </c>
      <c r="Q1504" s="45" t="n">
        <v>0</v>
      </c>
      <c r="R1504" s="45" t="n">
        <v>0</v>
      </c>
      <c r="S1504" s="45" t="n">
        <v>1971208.972</v>
      </c>
      <c r="T1504" s="45" t="n">
        <v>1975035.07741</v>
      </c>
      <c r="U1504" s="15" t="n">
        <v>7.25</v>
      </c>
      <c r="V1504" s="15" t="n">
        <v>15.03</v>
      </c>
      <c r="W1504" s="49" t="n">
        <v>100.194</v>
      </c>
    </row>
    <row r="1505">
      <c r="A1505" s="44" t="inlineStr">
        <is>
          <t>TL Cinsi Degisken Faizli Kuponlu Senetler</t>
        </is>
      </c>
      <c r="B1505" s="44" t="n">
        <v>2018</v>
      </c>
      <c r="C1505" s="44" t="inlineStr">
        <is>
          <t>TRT050624T19</t>
        </is>
      </c>
      <c r="D1505" s="44" t="inlineStr">
        <is>
          <t>24.01.2018</t>
        </is>
      </c>
      <c r="E1505" s="44" t="inlineStr">
        <is>
          <t>05.06.2024</t>
        </is>
      </c>
      <c r="F1505" s="44" t="n">
        <v>2324</v>
      </c>
      <c r="G1505" s="44" t="inlineStr">
        <is>
          <t>6 ay</t>
        </is>
      </c>
      <c r="H1505" s="15" t="n"/>
      <c r="I1505" s="45" t="n">
        <v>1645000</v>
      </c>
      <c r="J1505" s="45" t="n">
        <v>1595400.72</v>
      </c>
      <c r="K1505" s="45" t="n">
        <v>598000</v>
      </c>
      <c r="L1505" s="45" t="n">
        <v>584523.3100000001</v>
      </c>
      <c r="M1505" s="45" t="n">
        <v>204611.953</v>
      </c>
      <c r="N1505" s="45" t="n">
        <v>199999.99958</v>
      </c>
      <c r="O1505" s="45" t="n">
        <v>675679.824</v>
      </c>
      <c r="P1505" s="45" t="n">
        <v>660450.00078</v>
      </c>
      <c r="Q1505" s="45" t="n">
        <v>0</v>
      </c>
      <c r="R1505" s="45" t="n">
        <v>0</v>
      </c>
      <c r="S1505" s="45" t="n">
        <v>1478291.777</v>
      </c>
      <c r="T1505" s="45" t="n">
        <v>1444973.31036</v>
      </c>
      <c r="U1505" s="15" t="n">
        <v>6.18</v>
      </c>
      <c r="V1505" s="15" t="n">
        <v>12.74</v>
      </c>
      <c r="W1505" s="49" t="n">
        <v>97.746</v>
      </c>
    </row>
    <row r="1506">
      <c r="A1506" s="44" t="inlineStr">
        <is>
          <t>TL Cinsi Degisken Faizli Kuponlu Senetler</t>
        </is>
      </c>
      <c r="B1506" s="44" t="n">
        <v>2018</v>
      </c>
      <c r="C1506" s="44" t="inlineStr">
        <is>
          <t>TRT050624T19</t>
        </is>
      </c>
      <c r="D1506" s="44" t="inlineStr">
        <is>
          <t>21.02.2018</t>
        </is>
      </c>
      <c r="E1506" s="44" t="inlineStr">
        <is>
          <t>05.06.2024</t>
        </is>
      </c>
      <c r="F1506" s="44" t="n">
        <v>2296</v>
      </c>
      <c r="G1506" s="44" t="inlineStr">
        <is>
          <t>6 ay</t>
        </is>
      </c>
      <c r="H1506" s="15" t="n"/>
      <c r="I1506" s="45" t="n">
        <v>1622000</v>
      </c>
      <c r="J1506" s="45" t="n">
        <v>1582798.87</v>
      </c>
      <c r="K1506" s="45" t="n">
        <v>682000</v>
      </c>
      <c r="L1506" s="45" t="n">
        <v>670389.95</v>
      </c>
      <c r="M1506" s="45" t="n">
        <v>630735.11</v>
      </c>
      <c r="N1506" s="45" t="n">
        <v>619999.99843</v>
      </c>
      <c r="O1506" s="45" t="n">
        <v>953732.527</v>
      </c>
      <c r="P1506" s="45" t="n">
        <v>937499.9993800001</v>
      </c>
      <c r="Q1506" s="45" t="n">
        <v>110000</v>
      </c>
      <c r="R1506" s="45" t="n">
        <v>108127.8</v>
      </c>
      <c r="S1506" s="45" t="n">
        <v>2376467.637</v>
      </c>
      <c r="T1506" s="45" t="n">
        <v>2336017.74781</v>
      </c>
      <c r="U1506" s="15" t="n">
        <v>6.22</v>
      </c>
      <c r="V1506" s="15" t="n">
        <v>12.83</v>
      </c>
      <c r="W1506" s="49" t="n">
        <v>98.298</v>
      </c>
    </row>
    <row r="1507">
      <c r="A1507" s="44" t="inlineStr">
        <is>
          <t>TL Cinsi Degisken Faizli Kuponlu Senetler</t>
        </is>
      </c>
      <c r="B1507" s="44" t="n">
        <v>2018</v>
      </c>
      <c r="C1507" s="44" t="inlineStr">
        <is>
          <t>TRT050624T19</t>
        </is>
      </c>
      <c r="D1507" s="44" t="inlineStr">
        <is>
          <t>20.06.2018</t>
        </is>
      </c>
      <c r="E1507" s="44" t="inlineStr">
        <is>
          <t>05.06.2024</t>
        </is>
      </c>
      <c r="F1507" s="44" t="n">
        <v>2177</v>
      </c>
      <c r="G1507" s="44" t="inlineStr">
        <is>
          <t>6 ay</t>
        </is>
      </c>
      <c r="H1507" s="15" t="n"/>
      <c r="I1507" s="45" t="n">
        <v>1038000</v>
      </c>
      <c r="J1507" s="45" t="n">
        <v>934259.45</v>
      </c>
      <c r="K1507" s="45" t="n">
        <v>327000</v>
      </c>
      <c r="L1507" s="45" t="n">
        <v>302915.57</v>
      </c>
      <c r="M1507" s="45" t="n">
        <v>550547.848</v>
      </c>
      <c r="N1507" s="45" t="n">
        <v>509999.99899</v>
      </c>
      <c r="O1507" s="45" t="n">
        <v>1522102.876</v>
      </c>
      <c r="P1507" s="45" t="n">
        <v>1409999.99918</v>
      </c>
      <c r="Q1507" s="45" t="n">
        <v>0</v>
      </c>
      <c r="R1507" s="45" t="n">
        <v>0</v>
      </c>
      <c r="S1507" s="45" t="n">
        <v>2399650.724</v>
      </c>
      <c r="T1507" s="45" t="n">
        <v>2222915.56817</v>
      </c>
      <c r="U1507" s="15" t="n">
        <v>7.86</v>
      </c>
      <c r="V1507" s="15" t="n">
        <v>16.33</v>
      </c>
      <c r="W1507" s="49" t="n">
        <v>92.63500000000001</v>
      </c>
    </row>
    <row r="1508">
      <c r="A1508" s="44" t="inlineStr">
        <is>
          <t>TL Cinsi Degisken Faizli Kuponlu Senetler</t>
        </is>
      </c>
      <c r="B1508" s="44" t="n">
        <v>2018</v>
      </c>
      <c r="C1508" s="44" t="inlineStr">
        <is>
          <t>TRT020725T10</t>
        </is>
      </c>
      <c r="D1508" s="44" t="inlineStr">
        <is>
          <t>11.07.2018</t>
        </is>
      </c>
      <c r="E1508" s="44" t="inlineStr">
        <is>
          <t>02.07.2025</t>
        </is>
      </c>
      <c r="F1508" s="44" t="n">
        <v>2548</v>
      </c>
      <c r="G1508" s="44" t="inlineStr">
        <is>
          <t>6 ay</t>
        </is>
      </c>
      <c r="H1508" s="15" t="n"/>
      <c r="I1508" s="45" t="n">
        <v>1749000</v>
      </c>
      <c r="J1508" s="45" t="n">
        <v>1585487.01</v>
      </c>
      <c r="K1508" s="45" t="n">
        <v>685000</v>
      </c>
      <c r="L1508" s="45" t="n">
        <v>631553.38</v>
      </c>
      <c r="M1508" s="45" t="n">
        <v>195232</v>
      </c>
      <c r="N1508" s="45" t="n">
        <v>179999.99936</v>
      </c>
      <c r="O1508" s="45" t="n">
        <v>1952591.164</v>
      </c>
      <c r="P1508" s="45" t="n">
        <v>1800250.00138</v>
      </c>
      <c r="Q1508" s="45" t="n">
        <v>0</v>
      </c>
      <c r="R1508" s="45" t="n">
        <v>0</v>
      </c>
      <c r="S1508" s="45" t="n">
        <v>2832823.164</v>
      </c>
      <c r="T1508" s="45" t="n">
        <v>2611803.38074</v>
      </c>
      <c r="U1508" s="15" t="n">
        <v>8.710000000000001</v>
      </c>
      <c r="V1508" s="15" t="n">
        <v>18.17</v>
      </c>
      <c r="W1508" s="49" t="n">
        <v>92.19799999999999</v>
      </c>
    </row>
    <row r="1509">
      <c r="A1509" s="44" t="inlineStr">
        <is>
          <t>TL Cinsi Degisken Faizli Kuponlu Senetler</t>
        </is>
      </c>
      <c r="B1509" s="44" t="n">
        <v>2018</v>
      </c>
      <c r="C1509" s="44" t="inlineStr">
        <is>
          <t>TRT060825T15</t>
        </is>
      </c>
      <c r="D1509" s="44" t="inlineStr">
        <is>
          <t>15.08.2018</t>
        </is>
      </c>
      <c r="E1509" s="44" t="inlineStr">
        <is>
          <t>06.08.2025</t>
        </is>
      </c>
      <c r="F1509" s="44" t="n">
        <v>2548</v>
      </c>
      <c r="G1509" s="44" t="inlineStr">
        <is>
          <t>6 ay</t>
        </is>
      </c>
      <c r="H1509" s="15" t="n"/>
      <c r="I1509" s="45" t="n">
        <v>1474000</v>
      </c>
      <c r="J1509" s="45" t="n">
        <v>1346385.87</v>
      </c>
      <c r="K1509" s="45" t="n">
        <v>553000</v>
      </c>
      <c r="L1509" s="45" t="n">
        <v>513182.26</v>
      </c>
      <c r="M1509" s="45" t="n">
        <v>1007543.103</v>
      </c>
      <c r="N1509" s="45" t="n">
        <v>934999.9995799999</v>
      </c>
      <c r="O1509" s="45" t="n">
        <v>437500</v>
      </c>
      <c r="P1509" s="45" t="n">
        <v>406000.00001</v>
      </c>
      <c r="Q1509" s="45" t="n">
        <v>0</v>
      </c>
      <c r="R1509" s="45" t="n">
        <v>0</v>
      </c>
      <c r="S1509" s="45" t="n">
        <v>1998043.103</v>
      </c>
      <c r="T1509" s="45" t="n">
        <v>1854182.25959</v>
      </c>
      <c r="U1509" s="15" t="n">
        <v>10.13</v>
      </c>
      <c r="V1509" s="15" t="n">
        <v>21.3</v>
      </c>
      <c r="W1509" s="49" t="n">
        <v>92.8</v>
      </c>
    </row>
    <row r="1510">
      <c r="A1510" s="44" t="inlineStr">
        <is>
          <t>TL Cinsi Degisken Faizli Kuponlu Senetler</t>
        </is>
      </c>
      <c r="B1510" s="44" t="n">
        <v>2018</v>
      </c>
      <c r="C1510" s="44" t="inlineStr">
        <is>
          <t>TRT060825T15</t>
        </is>
      </c>
      <c r="D1510" s="44" t="inlineStr">
        <is>
          <t>19.12.2018</t>
        </is>
      </c>
      <c r="E1510" s="44" t="inlineStr">
        <is>
          <t>06.08.2025</t>
        </is>
      </c>
      <c r="F1510" s="44" t="n">
        <v>2422</v>
      </c>
      <c r="G1510" s="44" t="inlineStr">
        <is>
          <t>6 ay</t>
        </is>
      </c>
      <c r="H1510" s="15" t="n"/>
      <c r="I1510" s="45" t="n">
        <v>1298000</v>
      </c>
      <c r="J1510" s="45" t="n">
        <v>1288530.19</v>
      </c>
      <c r="K1510" s="45" t="n">
        <v>466000</v>
      </c>
      <c r="L1510" s="45" t="n">
        <v>474921.62</v>
      </c>
      <c r="M1510" s="45" t="n">
        <v>343423.441</v>
      </c>
      <c r="N1510" s="45" t="n">
        <v>349999.9999</v>
      </c>
      <c r="O1510" s="45" t="n">
        <v>669675.711</v>
      </c>
      <c r="P1510" s="45" t="n">
        <v>682500.00086</v>
      </c>
      <c r="Q1510" s="45" t="n">
        <v>0</v>
      </c>
      <c r="R1510" s="45" t="n">
        <v>0</v>
      </c>
      <c r="S1510" s="45" t="n">
        <v>1479099.152</v>
      </c>
      <c r="T1510" s="45" t="n">
        <v>1507421.62076</v>
      </c>
      <c r="U1510" s="15" t="n">
        <v>9.74</v>
      </c>
      <c r="V1510" s="15" t="n">
        <v>20.44</v>
      </c>
      <c r="W1510" s="49" t="n">
        <v>101.915</v>
      </c>
    </row>
    <row r="1511">
      <c r="A1511" s="44" t="inlineStr">
        <is>
          <t>TL Cinsi Degisken Faizli Kuponlu Senetler</t>
        </is>
      </c>
      <c r="B1511" s="44" t="n">
        <v>2017</v>
      </c>
      <c r="C1511" s="44" t="inlineStr">
        <is>
          <t>TRT200422T14</t>
        </is>
      </c>
      <c r="D1511" s="44" t="inlineStr">
        <is>
          <t>04.01.2017</t>
        </is>
      </c>
      <c r="E1511" s="44" t="inlineStr">
        <is>
          <t>20.04.2022</t>
        </is>
      </c>
      <c r="F1511" s="44" t="n">
        <v>1932</v>
      </c>
      <c r="G1511" s="44" t="inlineStr">
        <is>
          <t>6 ay</t>
        </is>
      </c>
      <c r="H1511" s="15" t="n"/>
      <c r="I1511" s="45" t="n">
        <v>2268005</v>
      </c>
      <c r="J1511" s="45" t="n">
        <v>2195187.8689</v>
      </c>
      <c r="K1511" s="45" t="n">
        <v>525000</v>
      </c>
      <c r="L1511" s="45" t="n">
        <v>511936.05</v>
      </c>
      <c r="M1511" s="45" t="n">
        <v>487119.533</v>
      </c>
      <c r="N1511" s="45" t="n">
        <v>474999.99901</v>
      </c>
      <c r="O1511" s="45" t="n">
        <v>583517.925</v>
      </c>
      <c r="P1511" s="45" t="n">
        <v>568999.99902</v>
      </c>
      <c r="Q1511" s="45" t="n">
        <v>60005.66</v>
      </c>
      <c r="R1511" s="45" t="n">
        <v>58512.71918</v>
      </c>
      <c r="S1511" s="45" t="n">
        <v>1655643.118</v>
      </c>
      <c r="T1511" s="45" t="n">
        <v>1614448.76721</v>
      </c>
      <c r="U1511" s="15" t="n">
        <v>4.87</v>
      </c>
      <c r="V1511" s="15" t="n">
        <v>9.970000000000001</v>
      </c>
      <c r="W1511" s="49" t="n">
        <v>97.512</v>
      </c>
    </row>
    <row r="1512">
      <c r="A1512" s="44" t="inlineStr">
        <is>
          <t>TL Cinsi Degisken Faizli Kuponlu Senetler</t>
        </is>
      </c>
      <c r="B1512" s="44" t="n">
        <v>2017</v>
      </c>
      <c r="C1512" s="44" t="inlineStr">
        <is>
          <t>TRT200422T14</t>
        </is>
      </c>
      <c r="D1512" s="44" t="inlineStr">
        <is>
          <t>15.03.2017</t>
        </is>
      </c>
      <c r="E1512" s="44" t="inlineStr">
        <is>
          <t>20.04.2022</t>
        </is>
      </c>
      <c r="F1512" s="44" t="n">
        <v>1862</v>
      </c>
      <c r="G1512" s="44" t="inlineStr">
        <is>
          <t>6 ay</t>
        </is>
      </c>
      <c r="H1512" s="15" t="n"/>
      <c r="I1512" s="45" t="n">
        <v>1560455</v>
      </c>
      <c r="J1512" s="45" t="n">
        <v>1523531.14</v>
      </c>
      <c r="K1512" s="45" t="n">
        <v>520455</v>
      </c>
      <c r="L1512" s="45" t="n">
        <v>513808.14</v>
      </c>
      <c r="M1512" s="45" t="n">
        <v>324139.258</v>
      </c>
      <c r="N1512" s="45" t="n">
        <v>319999.99968</v>
      </c>
      <c r="O1512" s="45" t="n">
        <v>810348.145</v>
      </c>
      <c r="P1512" s="45" t="n">
        <v>799999.99919</v>
      </c>
      <c r="Q1512" s="45" t="n">
        <v>60000</v>
      </c>
      <c r="R1512" s="45" t="n">
        <v>59233.8</v>
      </c>
      <c r="S1512" s="45" t="n">
        <v>1714942.403</v>
      </c>
      <c r="T1512" s="45" t="n">
        <v>1693041.93887</v>
      </c>
      <c r="U1512" s="15" t="n">
        <v>4.95</v>
      </c>
      <c r="V1512" s="15" t="n">
        <v>10.14</v>
      </c>
      <c r="W1512" s="49" t="n">
        <v>98.723</v>
      </c>
    </row>
    <row r="1513">
      <c r="A1513" s="44" t="inlineStr">
        <is>
          <t>TL Cinsi Degisken Faizli Kuponlu Senetler</t>
        </is>
      </c>
      <c r="B1513" s="44" t="n">
        <v>2017</v>
      </c>
      <c r="C1513" s="44" t="inlineStr">
        <is>
          <t>TRT050624T19</t>
        </is>
      </c>
      <c r="D1513" s="44" t="inlineStr">
        <is>
          <t>14.06.2017</t>
        </is>
      </c>
      <c r="E1513" s="44" t="inlineStr">
        <is>
          <t>05.06.2024</t>
        </is>
      </c>
      <c r="F1513" s="44" t="n">
        <v>2548</v>
      </c>
      <c r="G1513" s="44" t="inlineStr">
        <is>
          <t>6 ay</t>
        </is>
      </c>
      <c r="H1513" s="15" t="n"/>
      <c r="I1513" s="45" t="n">
        <v>2270000</v>
      </c>
      <c r="J1513" s="45" t="n">
        <v>2156995.61</v>
      </c>
      <c r="K1513" s="45" t="n">
        <v>725000</v>
      </c>
      <c r="L1513" s="45" t="n">
        <v>708797</v>
      </c>
      <c r="M1513" s="45" t="n">
        <v>511430.471</v>
      </c>
      <c r="N1513" s="45" t="n">
        <v>499999.99997</v>
      </c>
      <c r="O1513" s="45" t="n">
        <v>306858.282</v>
      </c>
      <c r="P1513" s="45" t="n">
        <v>299999.99939</v>
      </c>
      <c r="Q1513" s="45" t="n">
        <v>80000</v>
      </c>
      <c r="R1513" s="45" t="n">
        <v>78212</v>
      </c>
      <c r="S1513" s="45" t="n">
        <v>1623288.753</v>
      </c>
      <c r="T1513" s="45" t="n">
        <v>1587008.99936</v>
      </c>
      <c r="U1513" s="15" t="n">
        <v>5.73</v>
      </c>
      <c r="V1513" s="15" t="n">
        <v>11.78</v>
      </c>
      <c r="W1513" s="49" t="n">
        <v>97.765</v>
      </c>
    </row>
    <row r="1514">
      <c r="A1514" s="44" t="inlineStr">
        <is>
          <t>TL Cinsi Degisken Faizli Kuponlu Senetler</t>
        </is>
      </c>
      <c r="B1514" s="44" t="n">
        <v>2017</v>
      </c>
      <c r="C1514" s="44" t="inlineStr">
        <is>
          <t>TRT050624T19</t>
        </is>
      </c>
      <c r="D1514" s="44" t="inlineStr">
        <is>
          <t>19.07.2017</t>
        </is>
      </c>
      <c r="E1514" s="44" t="inlineStr">
        <is>
          <t>05.06.2024</t>
        </is>
      </c>
      <c r="F1514" s="44" t="n">
        <v>2513</v>
      </c>
      <c r="G1514" s="44" t="inlineStr">
        <is>
          <t>6 ay</t>
        </is>
      </c>
      <c r="H1514" s="15" t="n"/>
      <c r="I1514" s="45" t="n">
        <v>1980000</v>
      </c>
      <c r="J1514" s="45" t="n">
        <v>1898870.05</v>
      </c>
      <c r="K1514" s="45" t="n">
        <v>115000</v>
      </c>
      <c r="L1514" s="45" t="n">
        <v>112604.7</v>
      </c>
      <c r="M1514" s="45" t="n">
        <v>347232.86</v>
      </c>
      <c r="N1514" s="45" t="n">
        <v>339999.99953</v>
      </c>
      <c r="O1514" s="45" t="n">
        <v>899537.3639999999</v>
      </c>
      <c r="P1514" s="45" t="n">
        <v>880800.0007</v>
      </c>
      <c r="Q1514" s="45" t="n">
        <v>0</v>
      </c>
      <c r="R1514" s="45" t="n">
        <v>0</v>
      </c>
      <c r="S1514" s="45" t="n">
        <v>1361770.224</v>
      </c>
      <c r="T1514" s="45" t="n">
        <v>1333404.70023</v>
      </c>
      <c r="U1514" s="15" t="n">
        <v>5.82</v>
      </c>
      <c r="V1514" s="15" t="n">
        <v>11.99</v>
      </c>
      <c r="W1514" s="49" t="n">
        <v>97.917</v>
      </c>
    </row>
    <row r="1515">
      <c r="A1515" s="44" t="inlineStr">
        <is>
          <t>TL Cinsi Degisken Faizli Kuponlu Senetler</t>
        </is>
      </c>
      <c r="B1515" s="44" t="n">
        <v>2017</v>
      </c>
      <c r="C1515" s="44" t="inlineStr">
        <is>
          <t>TRT050624T19</t>
        </is>
      </c>
      <c r="D1515" s="44" t="inlineStr">
        <is>
          <t>16.08.2017</t>
        </is>
      </c>
      <c r="E1515" s="44" t="inlineStr">
        <is>
          <t>05.06.2024</t>
        </is>
      </c>
      <c r="F1515" s="44" t="n">
        <v>2485</v>
      </c>
      <c r="G1515" s="44" t="inlineStr">
        <is>
          <t>6 ay</t>
        </is>
      </c>
      <c r="H1515" s="15" t="n"/>
      <c r="I1515" s="45" t="n">
        <v>1880000</v>
      </c>
      <c r="J1515" s="45" t="n">
        <v>1820556.42</v>
      </c>
      <c r="K1515" s="45" t="n">
        <v>126000</v>
      </c>
      <c r="L1515" s="45" t="n">
        <v>124045.4</v>
      </c>
      <c r="M1515" s="45" t="n">
        <v>339261.952</v>
      </c>
      <c r="N1515" s="45" t="n">
        <v>333999.99912</v>
      </c>
      <c r="O1515" s="45" t="n">
        <v>715091.062</v>
      </c>
      <c r="P1515" s="45" t="n">
        <v>703999.9996400001</v>
      </c>
      <c r="Q1515" s="45" t="n">
        <v>8000</v>
      </c>
      <c r="R1515" s="45" t="n">
        <v>7875.92</v>
      </c>
      <c r="S1515" s="45" t="n">
        <v>1188353.014</v>
      </c>
      <c r="T1515" s="45" t="n">
        <v>1169921.31876</v>
      </c>
      <c r="U1515" s="15" t="n">
        <v>5.86</v>
      </c>
      <c r="V1515" s="15" t="n">
        <v>12.06</v>
      </c>
      <c r="W1515" s="49" t="n">
        <v>98.449</v>
      </c>
    </row>
    <row r="1516">
      <c r="A1516" s="44" t="inlineStr">
        <is>
          <t>TL Cinsi Degisken Faizli Kuponlu Senetler</t>
        </is>
      </c>
      <c r="B1516" s="44" t="n">
        <v>2017</v>
      </c>
      <c r="C1516" s="44" t="inlineStr">
        <is>
          <t>TRT050624T19</t>
        </is>
      </c>
      <c r="D1516" s="44" t="inlineStr">
        <is>
          <t>25.10.2017</t>
        </is>
      </c>
      <c r="E1516" s="44" t="inlineStr">
        <is>
          <t>05.06.2024</t>
        </is>
      </c>
      <c r="F1516" s="44" t="n">
        <v>2415</v>
      </c>
      <c r="G1516" s="44" t="inlineStr">
        <is>
          <t>6 ay</t>
        </is>
      </c>
      <c r="H1516" s="15" t="n"/>
      <c r="I1516" s="45" t="n">
        <v>2485000</v>
      </c>
      <c r="J1516" s="45" t="n">
        <v>2453051.31</v>
      </c>
      <c r="K1516" s="45" t="n">
        <v>781000</v>
      </c>
      <c r="L1516" s="45" t="n">
        <v>778406.5</v>
      </c>
      <c r="M1516" s="45" t="n">
        <v>300999.317</v>
      </c>
      <c r="N1516" s="45" t="n">
        <v>299999.99927</v>
      </c>
      <c r="O1516" s="45" t="n">
        <v>1229080.548</v>
      </c>
      <c r="P1516" s="45" t="n">
        <v>1225000.00056</v>
      </c>
      <c r="Q1516" s="45" t="n">
        <v>0</v>
      </c>
      <c r="R1516" s="45" t="n">
        <v>0</v>
      </c>
      <c r="S1516" s="45" t="n">
        <v>2311079.865</v>
      </c>
      <c r="T1516" s="45" t="n">
        <v>2303406.49983</v>
      </c>
      <c r="U1516" s="15" t="n">
        <v>5.97</v>
      </c>
      <c r="V1516" s="15" t="n">
        <v>12.3</v>
      </c>
      <c r="W1516" s="49" t="n">
        <v>99.66800000000001</v>
      </c>
    </row>
    <row r="1517">
      <c r="A1517" s="44" t="inlineStr">
        <is>
          <t>TL Cinsi Degisken Faizli Kuponlu Senetler</t>
        </is>
      </c>
      <c r="B1517" s="44" t="n">
        <v>2016</v>
      </c>
      <c r="C1517" s="44" t="inlineStr">
        <is>
          <t>TRT200422T14</t>
        </is>
      </c>
      <c r="D1517" s="44" t="inlineStr">
        <is>
          <t>27.01.2016</t>
        </is>
      </c>
      <c r="E1517" s="44" t="inlineStr">
        <is>
          <t>20.04.2022</t>
        </is>
      </c>
      <c r="F1517" s="44" t="n">
        <v>2275</v>
      </c>
      <c r="G1517" s="44" t="inlineStr">
        <is>
          <t>6 ay</t>
        </is>
      </c>
      <c r="H1517" s="15" t="n"/>
      <c r="I1517" s="45" t="n">
        <v>1329400</v>
      </c>
      <c r="J1517" s="45" t="n">
        <v>1283839.76</v>
      </c>
      <c r="K1517" s="45" t="n">
        <v>490000</v>
      </c>
      <c r="L1517" s="45" t="n">
        <v>482150</v>
      </c>
      <c r="M1517" s="45" t="n">
        <v>508140.409</v>
      </c>
      <c r="N1517" s="45" t="n">
        <v>499999.99965</v>
      </c>
      <c r="O1517" s="45" t="n">
        <v>652147.402</v>
      </c>
      <c r="P1517" s="45" t="n">
        <v>641700.00064</v>
      </c>
      <c r="Q1517" s="45" t="n">
        <v>0</v>
      </c>
      <c r="R1517" s="45" t="n">
        <v>0</v>
      </c>
      <c r="S1517" s="45" t="n">
        <v>1650287.811</v>
      </c>
      <c r="T1517" s="45" t="n">
        <v>1623850.00029</v>
      </c>
      <c r="U1517" s="15" t="n">
        <v>5.45</v>
      </c>
      <c r="V1517" s="15" t="n">
        <v>11.19</v>
      </c>
      <c r="W1517" s="49" t="n">
        <v>98.398</v>
      </c>
    </row>
    <row r="1518">
      <c r="A1518" s="44" t="inlineStr">
        <is>
          <t>TL Cinsi Degisken Faizli Kuponlu Senetler</t>
        </is>
      </c>
      <c r="B1518" s="44" t="n">
        <v>2016</v>
      </c>
      <c r="C1518" s="44" t="inlineStr">
        <is>
          <t>TRT200422T14</t>
        </is>
      </c>
      <c r="D1518" s="44" t="inlineStr">
        <is>
          <t>24.02.2016</t>
        </is>
      </c>
      <c r="E1518" s="44" t="inlineStr">
        <is>
          <t>20.04.2022</t>
        </is>
      </c>
      <c r="F1518" s="44" t="n">
        <v>2247</v>
      </c>
      <c r="G1518" s="44" t="inlineStr">
        <is>
          <t>6 ay</t>
        </is>
      </c>
      <c r="H1518" s="15" t="n"/>
      <c r="I1518" s="45" t="n">
        <v>1285000</v>
      </c>
      <c r="J1518" s="45" t="n">
        <v>1251944.3</v>
      </c>
      <c r="K1518" s="45" t="n">
        <v>283000</v>
      </c>
      <c r="L1518" s="45" t="n">
        <v>279068.38</v>
      </c>
      <c r="M1518" s="45" t="n">
        <v>441127.256</v>
      </c>
      <c r="N1518" s="45" t="n">
        <v>434999.99841</v>
      </c>
      <c r="O1518" s="45" t="n">
        <v>148157.914</v>
      </c>
      <c r="P1518" s="45" t="n">
        <v>146100.00057</v>
      </c>
      <c r="Q1518" s="45" t="n">
        <v>40061.859</v>
      </c>
      <c r="R1518" s="45" t="n">
        <v>39505.39978</v>
      </c>
      <c r="S1518" s="45" t="n">
        <v>912347.0290000001</v>
      </c>
      <c r="T1518" s="45" t="n">
        <v>899673.77876</v>
      </c>
      <c r="U1518" s="15" t="n">
        <v>5.52</v>
      </c>
      <c r="V1518" s="15" t="n">
        <v>11.34</v>
      </c>
      <c r="W1518" s="49" t="n">
        <v>98.611</v>
      </c>
    </row>
    <row r="1519">
      <c r="A1519" s="44" t="inlineStr">
        <is>
          <t>TL Cinsi Degisken Faizli Kuponlu Senetler</t>
        </is>
      </c>
      <c r="B1519" s="44" t="n">
        <v>2016</v>
      </c>
      <c r="C1519" s="44" t="inlineStr">
        <is>
          <t>TRT200422T14</t>
        </is>
      </c>
      <c r="D1519" s="44" t="inlineStr">
        <is>
          <t>28.09.2016</t>
        </is>
      </c>
      <c r="E1519" s="44" t="inlineStr">
        <is>
          <t>20.04.2022</t>
        </is>
      </c>
      <c r="F1519" s="44" t="n">
        <v>2030</v>
      </c>
      <c r="G1519" s="44" t="inlineStr">
        <is>
          <t>6 ay</t>
        </is>
      </c>
      <c r="H1519" s="15" t="n"/>
      <c r="I1519" s="45" t="n">
        <v>2267801.125</v>
      </c>
      <c r="J1519" s="45" t="n">
        <v>2308554.051</v>
      </c>
      <c r="K1519" s="45" t="n">
        <v>420000</v>
      </c>
      <c r="L1519" s="45" t="n">
        <v>432299.9</v>
      </c>
      <c r="M1519" s="45" t="n">
        <v>158361.589</v>
      </c>
      <c r="N1519" s="45" t="n">
        <v>162999.99994</v>
      </c>
      <c r="O1519" s="45" t="n">
        <v>510303.219</v>
      </c>
      <c r="P1519" s="45" t="n">
        <v>525250.00031</v>
      </c>
      <c r="Q1519" s="45" t="n">
        <v>0</v>
      </c>
      <c r="R1519" s="45" t="n">
        <v>0</v>
      </c>
      <c r="S1519" s="45" t="n">
        <v>1088664.808</v>
      </c>
      <c r="T1519" s="45" t="n">
        <v>1120549.90025</v>
      </c>
      <c r="U1519" s="15" t="n">
        <v>5.54</v>
      </c>
      <c r="V1519" s="15" t="n">
        <v>11.39</v>
      </c>
      <c r="W1519" s="49" t="n">
        <v>102.929</v>
      </c>
    </row>
    <row r="1520">
      <c r="A1520" s="44" t="inlineStr">
        <is>
          <t>TL Cinsi Degisken Faizli Kuponlu Senetler</t>
        </is>
      </c>
      <c r="B1520" s="44" t="n">
        <v>2016</v>
      </c>
      <c r="C1520" s="44" t="inlineStr">
        <is>
          <t>TRT200422T14</t>
        </is>
      </c>
      <c r="D1520" s="44" t="inlineStr">
        <is>
          <t>16.11.2016</t>
        </is>
      </c>
      <c r="E1520" s="44" t="inlineStr">
        <is>
          <t>20.04.2022</t>
        </is>
      </c>
      <c r="F1520" s="44" t="n">
        <v>1981</v>
      </c>
      <c r="G1520" s="44" t="inlineStr">
        <is>
          <t>6 ay</t>
        </is>
      </c>
      <c r="H1520" s="15" t="n"/>
      <c r="I1520" s="45" t="n">
        <v>1450200</v>
      </c>
      <c r="J1520" s="45" t="n">
        <v>1382090.56</v>
      </c>
      <c r="K1520" s="45" t="n">
        <v>649200</v>
      </c>
      <c r="L1520" s="45" t="n">
        <v>624746.51</v>
      </c>
      <c r="M1520" s="45" t="n">
        <v>467615.059</v>
      </c>
      <c r="N1520" s="45" t="n">
        <v>449999.99973</v>
      </c>
      <c r="O1520" s="45" t="n">
        <v>755977.679</v>
      </c>
      <c r="P1520" s="45" t="n">
        <v>727499.99983</v>
      </c>
      <c r="Q1520" s="45" t="n">
        <v>6800.394</v>
      </c>
      <c r="R1520" s="45" t="n">
        <v>6544.22316</v>
      </c>
      <c r="S1520" s="45" t="n">
        <v>1879593.132</v>
      </c>
      <c r="T1520" s="45" t="n">
        <v>1808790.73272</v>
      </c>
      <c r="U1520" s="15" t="n">
        <v>4.87</v>
      </c>
      <c r="V1520" s="15" t="n">
        <v>9.98</v>
      </c>
      <c r="W1520" s="49" t="n">
        <v>96.233</v>
      </c>
    </row>
    <row r="1521">
      <c r="A1521" s="44" t="inlineStr">
        <is>
          <t>TL Cinsi Degisken Faizli Kuponlu Senetler</t>
        </is>
      </c>
      <c r="B1521" s="44" t="n">
        <v>2015</v>
      </c>
      <c r="C1521" s="44" t="inlineStr">
        <is>
          <t>TRT190521T17</t>
        </is>
      </c>
      <c r="D1521" s="44" t="inlineStr">
        <is>
          <t>07.01.2015</t>
        </is>
      </c>
      <c r="E1521" s="44" t="inlineStr">
        <is>
          <t>19.05.2021</t>
        </is>
      </c>
      <c r="F1521" s="44" t="n">
        <v>2324</v>
      </c>
      <c r="G1521" s="44" t="inlineStr">
        <is>
          <t>6 ay</t>
        </is>
      </c>
      <c r="H1521" s="15" t="n"/>
      <c r="I1521" s="45" t="n">
        <v>3272300</v>
      </c>
      <c r="J1521" s="45" t="n">
        <v>3249145.706</v>
      </c>
      <c r="K1521" s="45" t="n">
        <v>315000</v>
      </c>
      <c r="L1521" s="45" t="n">
        <v>315907</v>
      </c>
      <c r="M1521" s="45" t="n">
        <v>498564.135</v>
      </c>
      <c r="N1521" s="45" t="n">
        <v>500000</v>
      </c>
      <c r="O1521" s="45" t="n">
        <v>228467.015</v>
      </c>
      <c r="P1521" s="45" t="n">
        <v>229125</v>
      </c>
      <c r="Q1521" s="45" t="n">
        <v>2010.011</v>
      </c>
      <c r="R1521" s="45" t="n">
        <v>2015.79983</v>
      </c>
      <c r="S1521" s="45" t="n">
        <v>1044041.161</v>
      </c>
      <c r="T1521" s="45" t="n">
        <v>1047047.79954</v>
      </c>
      <c r="U1521" s="15" t="n">
        <v>4.4</v>
      </c>
      <c r="V1521" s="15" t="n">
        <v>9</v>
      </c>
      <c r="W1521" s="49" t="n">
        <v>100.288</v>
      </c>
    </row>
    <row r="1522">
      <c r="A1522" s="44" t="inlineStr">
        <is>
          <t>TL Cinsi Degisken Faizli Kuponlu Senetler</t>
        </is>
      </c>
      <c r="B1522" s="44" t="n">
        <v>2015</v>
      </c>
      <c r="C1522" s="44" t="inlineStr">
        <is>
          <t>TRT190521T17</t>
        </is>
      </c>
      <c r="D1522" s="44" t="inlineStr">
        <is>
          <t>11.02.2015</t>
        </is>
      </c>
      <c r="E1522" s="44" t="inlineStr">
        <is>
          <t>19.05.2021</t>
        </is>
      </c>
      <c r="F1522" s="44" t="n">
        <v>2289</v>
      </c>
      <c r="G1522" s="44" t="inlineStr">
        <is>
          <t>6 ay</t>
        </is>
      </c>
      <c r="H1522" s="15" t="n"/>
      <c r="I1522" s="45" t="n">
        <v>1180300</v>
      </c>
      <c r="J1522" s="45" t="n">
        <v>1173457.38</v>
      </c>
      <c r="K1522" s="45" t="n">
        <v>394000</v>
      </c>
      <c r="L1522" s="45" t="n">
        <v>393865</v>
      </c>
      <c r="M1522" s="45" t="n">
        <v>500170.057</v>
      </c>
      <c r="N1522" s="45" t="n">
        <v>499999.99918</v>
      </c>
      <c r="O1522" s="45" t="n">
        <v>360322.51</v>
      </c>
      <c r="P1522" s="45" t="n">
        <v>360200.00035</v>
      </c>
      <c r="Q1522" s="45" t="n">
        <v>0</v>
      </c>
      <c r="R1522" s="45" t="n">
        <v>0</v>
      </c>
      <c r="S1522" s="45" t="n">
        <v>1254492.567</v>
      </c>
      <c r="T1522" s="45" t="n">
        <v>1254064.99953</v>
      </c>
      <c r="U1522" s="15" t="n">
        <v>4.53</v>
      </c>
      <c r="V1522" s="15" t="n">
        <v>9.26</v>
      </c>
      <c r="W1522" s="49" t="n">
        <v>99.96599999999999</v>
      </c>
    </row>
    <row r="1523">
      <c r="A1523" s="44" t="inlineStr">
        <is>
          <t>TL Cinsi Degisken Faizli Kuponlu Senetler</t>
        </is>
      </c>
      <c r="B1523" s="44" t="n">
        <v>2015</v>
      </c>
      <c r="C1523" s="44" t="inlineStr">
        <is>
          <t>TRT200422T14</t>
        </is>
      </c>
      <c r="D1523" s="44" t="inlineStr">
        <is>
          <t>29.04.2015</t>
        </is>
      </c>
      <c r="E1523" s="44" t="inlineStr">
        <is>
          <t>20.04.2022</t>
        </is>
      </c>
      <c r="F1523" s="44" t="n">
        <v>2548</v>
      </c>
      <c r="G1523" s="44" t="inlineStr">
        <is>
          <t>6 ay</t>
        </is>
      </c>
      <c r="H1523" s="15" t="n"/>
      <c r="I1523" s="45" t="n">
        <v>860000</v>
      </c>
      <c r="J1523" s="45" t="n">
        <v>805509.15</v>
      </c>
      <c r="K1523" s="45" t="n">
        <v>572000</v>
      </c>
      <c r="L1523" s="45" t="n">
        <v>541521.0600000001</v>
      </c>
      <c r="M1523" s="45" t="n">
        <v>597853.642</v>
      </c>
      <c r="N1523" s="45" t="n">
        <v>565999.9999500001</v>
      </c>
      <c r="O1523" s="45" t="n">
        <v>136259.929</v>
      </c>
      <c r="P1523" s="45" t="n">
        <v>128999.99998</v>
      </c>
      <c r="Q1523" s="45" t="n">
        <v>100240.831</v>
      </c>
      <c r="R1523" s="45" t="n">
        <v>94899.99952</v>
      </c>
      <c r="S1523" s="45" t="n">
        <v>1406354.402</v>
      </c>
      <c r="T1523" s="45" t="n">
        <v>1331421.05945</v>
      </c>
      <c r="U1523" s="15" t="n">
        <v>4.55</v>
      </c>
      <c r="V1523" s="15" t="n">
        <v>9.31</v>
      </c>
      <c r="W1523" s="49" t="n">
        <v>94.672</v>
      </c>
    </row>
    <row r="1524">
      <c r="A1524" s="44" t="inlineStr">
        <is>
          <t>TL Cinsi Degisken Faizli Kuponlu Senetler</t>
        </is>
      </c>
      <c r="B1524" s="44" t="n">
        <v>2015</v>
      </c>
      <c r="C1524" s="44" t="inlineStr">
        <is>
          <t>TRT200422T14</t>
        </is>
      </c>
      <c r="D1524" s="44" t="inlineStr">
        <is>
          <t>13.05.2015</t>
        </is>
      </c>
      <c r="E1524" s="44" t="inlineStr">
        <is>
          <t>20.04.2022</t>
        </is>
      </c>
      <c r="F1524" s="44" t="n">
        <v>2534</v>
      </c>
      <c r="G1524" s="44" t="inlineStr">
        <is>
          <t>6 ay</t>
        </is>
      </c>
      <c r="H1524" s="15" t="n"/>
      <c r="I1524" s="45" t="n">
        <v>2523300</v>
      </c>
      <c r="J1524" s="45" t="n">
        <v>2383906.79</v>
      </c>
      <c r="K1524" s="45" t="n">
        <v>1150000</v>
      </c>
      <c r="L1524" s="45" t="n">
        <v>1098663.5</v>
      </c>
      <c r="M1524" s="45" t="n">
        <v>0</v>
      </c>
      <c r="N1524" s="45" t="n">
        <v>0</v>
      </c>
      <c r="O1524" s="45" t="n">
        <v>76410.986</v>
      </c>
      <c r="P1524" s="45" t="n">
        <v>72999.99958</v>
      </c>
      <c r="Q1524" s="45" t="n">
        <v>132344.162</v>
      </c>
      <c r="R1524" s="45" t="n">
        <v>126436.31861</v>
      </c>
      <c r="S1524" s="45" t="n">
        <v>1358755.148</v>
      </c>
      <c r="T1524" s="45" t="n">
        <v>1298099.81819</v>
      </c>
      <c r="U1524" s="15" t="n">
        <v>4.5</v>
      </c>
      <c r="V1524" s="15" t="n">
        <v>9.199999999999999</v>
      </c>
      <c r="W1524" s="49" t="n">
        <v>95.536</v>
      </c>
    </row>
    <row r="1525">
      <c r="A1525" s="44" t="inlineStr">
        <is>
          <t>TL Cinsi Degisken Faizli Kuponlu Senetler</t>
        </is>
      </c>
      <c r="B1525" s="44" t="n">
        <v>2015</v>
      </c>
      <c r="C1525" s="44" t="inlineStr">
        <is>
          <t>TRT200422T14</t>
        </is>
      </c>
      <c r="D1525" s="44" t="inlineStr">
        <is>
          <t>16.09.2015</t>
        </is>
      </c>
      <c r="E1525" s="44" t="inlineStr">
        <is>
          <t>20.04.2022</t>
        </is>
      </c>
      <c r="F1525" s="44" t="n">
        <v>2408</v>
      </c>
      <c r="G1525" s="44" t="inlineStr">
        <is>
          <t>6 ay</t>
        </is>
      </c>
      <c r="H1525" s="15" t="n"/>
      <c r="I1525" s="45" t="n">
        <v>781004.02</v>
      </c>
      <c r="J1525" s="45" t="n">
        <v>735605.24027</v>
      </c>
      <c r="K1525" s="45" t="n">
        <v>587004.02</v>
      </c>
      <c r="L1525" s="45" t="n">
        <v>559050.14027</v>
      </c>
      <c r="M1525" s="45" t="n">
        <v>210000.21</v>
      </c>
      <c r="N1525" s="45" t="n">
        <v>200000</v>
      </c>
      <c r="O1525" s="45" t="n">
        <v>91350.091</v>
      </c>
      <c r="P1525" s="45" t="n">
        <v>86999.99967</v>
      </c>
      <c r="Q1525" s="45" t="n">
        <v>49146.993</v>
      </c>
      <c r="R1525" s="45" t="n">
        <v>46806.61319</v>
      </c>
      <c r="S1525" s="45" t="n">
        <v>937501.314</v>
      </c>
      <c r="T1525" s="45" t="n">
        <v>892856.75313</v>
      </c>
      <c r="U1525" s="15" t="n">
        <v>4.85</v>
      </c>
      <c r="V1525" s="15" t="n">
        <v>9.93</v>
      </c>
      <c r="W1525" s="49" t="n">
        <v>95.238</v>
      </c>
    </row>
    <row r="1526">
      <c r="A1526" s="44" t="inlineStr">
        <is>
          <t>TL Cinsi Degisken Faizli Kuponlu Senetler</t>
        </is>
      </c>
      <c r="B1526" s="44" t="n">
        <v>2014</v>
      </c>
      <c r="C1526" s="44" t="inlineStr">
        <is>
          <t>TRT111120T18</t>
        </is>
      </c>
      <c r="D1526" s="44" t="inlineStr">
        <is>
          <t>26.02.2014</t>
        </is>
      </c>
      <c r="E1526" s="44" t="inlineStr">
        <is>
          <t>11.11.2020</t>
        </is>
      </c>
      <c r="F1526" s="44" t="n">
        <v>2450</v>
      </c>
      <c r="G1526" s="44" t="inlineStr">
        <is>
          <t>6 Ay</t>
        </is>
      </c>
      <c r="H1526" s="15" t="n"/>
      <c r="I1526" s="45" t="n">
        <v>2875900</v>
      </c>
      <c r="J1526" s="45" t="n">
        <v>2818061.55</v>
      </c>
      <c r="K1526" s="45" t="n">
        <v>800000</v>
      </c>
      <c r="L1526" s="45" t="n">
        <v>800435.2</v>
      </c>
      <c r="M1526" s="45" t="n">
        <v>1349271.393447538</v>
      </c>
      <c r="N1526" s="45" t="n">
        <v>1350000</v>
      </c>
      <c r="O1526" s="45" t="n">
        <v>962210.4063805545</v>
      </c>
      <c r="P1526" s="45" t="n">
        <v>962730</v>
      </c>
      <c r="Q1526" s="45" t="n">
        <v>16026.225</v>
      </c>
      <c r="R1526" s="45" t="n">
        <v>16034.8791615</v>
      </c>
      <c r="S1526" s="45" t="n">
        <v>3127508.024828093</v>
      </c>
      <c r="T1526" s="45" t="n">
        <v>3129200.0791615</v>
      </c>
      <c r="U1526" s="15" t="n">
        <v>4.29</v>
      </c>
      <c r="V1526" s="15" t="n">
        <v>8.77</v>
      </c>
      <c r="W1526" s="49" t="n">
        <v>100.054</v>
      </c>
    </row>
    <row r="1527">
      <c r="A1527" s="44" t="inlineStr">
        <is>
          <t>TL Cinsi Degisken Faizli Kuponlu Senetler</t>
        </is>
      </c>
      <c r="B1527" s="44" t="n">
        <v>2014</v>
      </c>
      <c r="C1527" s="44" t="inlineStr">
        <is>
          <t>TRT111120T18</t>
        </is>
      </c>
      <c r="D1527" s="44" t="inlineStr">
        <is>
          <t>05.03.2014</t>
        </is>
      </c>
      <c r="E1527" s="44" t="inlineStr">
        <is>
          <t>11.11.2020</t>
        </is>
      </c>
      <c r="F1527" s="44" t="n">
        <v>2443</v>
      </c>
      <c r="G1527" s="44" t="inlineStr">
        <is>
          <t>6 Ay</t>
        </is>
      </c>
      <c r="H1527" s="15" t="n"/>
      <c r="I1527" s="45" t="n">
        <v>916300</v>
      </c>
      <c r="J1527" s="45" t="n">
        <v>897662.04</v>
      </c>
      <c r="K1527" s="45" t="n">
        <v>401000</v>
      </c>
      <c r="L1527" s="45" t="n">
        <v>395416.94</v>
      </c>
      <c r="M1527" s="45" t="n">
        <v>771742.6577965276</v>
      </c>
      <c r="N1527" s="45" t="n">
        <v>761000</v>
      </c>
      <c r="O1527" s="45" t="n">
        <v>1561942.235924063</v>
      </c>
      <c r="P1527" s="45" t="n">
        <v>1540200</v>
      </c>
      <c r="Q1527" s="45" t="n">
        <v>48600</v>
      </c>
      <c r="R1527" s="45" t="n">
        <v>47923.488</v>
      </c>
      <c r="S1527" s="45" t="n">
        <v>2783284.893720591</v>
      </c>
      <c r="T1527" s="45" t="n">
        <v>2744540.428</v>
      </c>
      <c r="U1527" s="15" t="n">
        <v>4.45</v>
      </c>
      <c r="V1527" s="15" t="n">
        <v>9.109999999999999</v>
      </c>
      <c r="W1527" s="49" t="n">
        <v>98.608</v>
      </c>
    </row>
    <row r="1528">
      <c r="A1528" s="44" t="inlineStr">
        <is>
          <t>TL Cinsi Degisken Faizli Kuponlu Senetler</t>
        </is>
      </c>
      <c r="B1528" s="44" t="n">
        <v>2014</v>
      </c>
      <c r="C1528" s="44" t="inlineStr">
        <is>
          <t>TRT111120T18</t>
        </is>
      </c>
      <c r="D1528" s="44" t="inlineStr">
        <is>
          <t>02.04.2014</t>
        </is>
      </c>
      <c r="E1528" s="44" t="inlineStr">
        <is>
          <t>11.11.2020</t>
        </is>
      </c>
      <c r="F1528" s="44" t="n">
        <v>2415</v>
      </c>
      <c r="G1528" s="44" t="inlineStr">
        <is>
          <t>6 Ay</t>
        </is>
      </c>
      <c r="H1528" s="15" t="n"/>
      <c r="I1528" s="45" t="n">
        <v>2876200</v>
      </c>
      <c r="J1528" s="45" t="n">
        <v>2842018.2</v>
      </c>
      <c r="K1528" s="45" t="n">
        <v>1180000</v>
      </c>
      <c r="L1528" s="45" t="n">
        <v>1170926.78</v>
      </c>
      <c r="M1528" s="45" t="n">
        <v>1511624.391571183</v>
      </c>
      <c r="N1528" s="45" t="n">
        <v>1500000</v>
      </c>
      <c r="O1528" s="45" t="n">
        <v>783122.2097933106</v>
      </c>
      <c r="P1528" s="45" t="n">
        <v>777100</v>
      </c>
      <c r="Q1528" s="45" t="n">
        <v>210007.82</v>
      </c>
      <c r="R1528" s="45" t="n">
        <v>208392.8598642</v>
      </c>
      <c r="S1528" s="45" t="n">
        <v>3684754.421364493</v>
      </c>
      <c r="T1528" s="45" t="n">
        <v>3656419.6398642</v>
      </c>
      <c r="U1528" s="15" t="n">
        <v>4.46</v>
      </c>
      <c r="V1528" s="15" t="n">
        <v>9.119999999999999</v>
      </c>
      <c r="W1528" s="49" t="n">
        <v>99.23099999999999</v>
      </c>
    </row>
    <row r="1529">
      <c r="A1529" s="44" t="inlineStr">
        <is>
          <t>TL Cinsi Degisken Faizli Kuponlu Senetler</t>
        </is>
      </c>
      <c r="B1529" s="44" t="n">
        <v>2014</v>
      </c>
      <c r="C1529" s="44" t="inlineStr">
        <is>
          <t>TRT190521T17</t>
        </is>
      </c>
      <c r="D1529" s="44" t="inlineStr">
        <is>
          <t>28.05.2014</t>
        </is>
      </c>
      <c r="E1529" s="44" t="inlineStr">
        <is>
          <t>19.05.2021</t>
        </is>
      </c>
      <c r="F1529" s="44" t="n">
        <v>2548</v>
      </c>
      <c r="G1529" s="44" t="inlineStr">
        <is>
          <t>6 Ay</t>
        </is>
      </c>
      <c r="H1529" s="15" t="n"/>
      <c r="I1529" s="45" t="n">
        <v>2795110.41</v>
      </c>
      <c r="J1529" s="45" t="n">
        <v>2743684.62371</v>
      </c>
      <c r="K1529" s="45" t="n">
        <v>625279.99</v>
      </c>
      <c r="L1529" s="45" t="n">
        <v>622267.72001</v>
      </c>
      <c r="M1529" s="45" t="n">
        <v>0</v>
      </c>
      <c r="N1529" s="45" t="n">
        <v>0</v>
      </c>
      <c r="O1529" s="45" t="n">
        <v>920597.278884222</v>
      </c>
      <c r="P1529" s="45" t="n">
        <v>916160</v>
      </c>
      <c r="Q1529" s="45" t="n">
        <v>0</v>
      </c>
      <c r="R1529" s="45" t="n">
        <v>0</v>
      </c>
      <c r="S1529" s="45" t="n">
        <v>1545877.268884222</v>
      </c>
      <c r="T1529" s="45" t="n">
        <v>1538427.72001</v>
      </c>
      <c r="U1529" s="15" t="n">
        <v>5.22</v>
      </c>
      <c r="V1529" s="15" t="n">
        <v>10.71</v>
      </c>
      <c r="W1529" s="49" t="n">
        <v>99.518</v>
      </c>
    </row>
    <row r="1530">
      <c r="A1530" s="44" t="inlineStr">
        <is>
          <t>TL Cinsi Degisken Faizli Kuponlu Senetler</t>
        </is>
      </c>
      <c r="B1530" s="44" t="n">
        <v>2014</v>
      </c>
      <c r="C1530" s="44" t="inlineStr">
        <is>
          <t>TRT190521T17</t>
        </is>
      </c>
      <c r="D1530" s="44" t="inlineStr">
        <is>
          <t>04.06.2014</t>
        </is>
      </c>
      <c r="E1530" s="44" t="inlineStr">
        <is>
          <t>19.05.2021</t>
        </is>
      </c>
      <c r="F1530" s="44" t="n">
        <v>2541</v>
      </c>
      <c r="G1530" s="44" t="inlineStr">
        <is>
          <t>6 Ay</t>
        </is>
      </c>
      <c r="H1530" s="15" t="n"/>
      <c r="I1530" s="45" t="n">
        <v>1861077.019</v>
      </c>
      <c r="J1530" s="45" t="n">
        <v>1834706.15514</v>
      </c>
      <c r="K1530" s="45" t="n">
        <v>652070.879</v>
      </c>
      <c r="L1530" s="45" t="n">
        <v>647389.51864</v>
      </c>
      <c r="M1530" s="45" t="n">
        <v>1430269.333816805</v>
      </c>
      <c r="N1530" s="45" t="n">
        <v>1420000</v>
      </c>
      <c r="O1530" s="45" t="n">
        <v>372756.3908865656</v>
      </c>
      <c r="P1530" s="45" t="n">
        <v>370080</v>
      </c>
      <c r="Q1530" s="45" t="n">
        <v>80560.34299999999</v>
      </c>
      <c r="R1530" s="45" t="n">
        <v>79981.91973725999</v>
      </c>
      <c r="S1530" s="45" t="n">
        <v>2535656.94670337</v>
      </c>
      <c r="T1530" s="45" t="n">
        <v>2517451.43837726</v>
      </c>
      <c r="U1530" s="15" t="n">
        <v>5.26</v>
      </c>
      <c r="V1530" s="15" t="n">
        <v>10.8</v>
      </c>
      <c r="W1530" s="49" t="n">
        <v>99.282</v>
      </c>
    </row>
    <row r="1531">
      <c r="A1531" s="44" t="inlineStr">
        <is>
          <t>TL Cinsi Degisken Faizli Kuponlu Senetler</t>
        </is>
      </c>
      <c r="B1531" s="44" t="n">
        <v>2014</v>
      </c>
      <c r="C1531" s="44" t="inlineStr">
        <is>
          <t>TRT190521T17</t>
        </is>
      </c>
      <c r="D1531" s="44" t="inlineStr">
        <is>
          <t>16.07.2014</t>
        </is>
      </c>
      <c r="E1531" s="44" t="inlineStr">
        <is>
          <t>19.05.2021</t>
        </is>
      </c>
      <c r="F1531" s="44" t="n">
        <v>2499</v>
      </c>
      <c r="G1531" s="44" t="inlineStr">
        <is>
          <t>6 Ay</t>
        </is>
      </c>
      <c r="H1531" s="15" t="n"/>
      <c r="I1531" s="45" t="n">
        <v>2853200</v>
      </c>
      <c r="J1531" s="45" t="n">
        <v>2826036.39</v>
      </c>
      <c r="K1531" s="45" t="n">
        <v>520500</v>
      </c>
      <c r="L1531" s="45" t="n">
        <v>519667.43</v>
      </c>
      <c r="M1531" s="45" t="n">
        <v>1001602.564102564</v>
      </c>
      <c r="N1531" s="45" t="n">
        <v>1000000</v>
      </c>
      <c r="O1531" s="45" t="n">
        <v>509150.641025641</v>
      </c>
      <c r="P1531" s="45" t="n">
        <v>508336</v>
      </c>
      <c r="Q1531" s="45" t="n">
        <v>18043.87</v>
      </c>
      <c r="R1531" s="45" t="n">
        <v>18014.999808</v>
      </c>
      <c r="S1531" s="45" t="n">
        <v>2049297.075128205</v>
      </c>
      <c r="T1531" s="45" t="n">
        <v>2046018.429808</v>
      </c>
      <c r="U1531" s="15" t="n">
        <v>5.33</v>
      </c>
      <c r="V1531" s="15" t="n">
        <v>10.94</v>
      </c>
      <c r="W1531" s="49" t="n">
        <v>99.84</v>
      </c>
    </row>
    <row r="1532">
      <c r="A1532" s="44" t="inlineStr">
        <is>
          <t>TL Cinsi Degisken Faizli Kuponlu Senetler</t>
        </is>
      </c>
      <c r="B1532" s="44" t="n">
        <v>2014</v>
      </c>
      <c r="C1532" s="44" t="inlineStr">
        <is>
          <t>TRT190521T17</t>
        </is>
      </c>
      <c r="D1532" s="44" t="inlineStr">
        <is>
          <t>06.08.2014</t>
        </is>
      </c>
      <c r="E1532" s="44" t="inlineStr">
        <is>
          <t>19.05.2021</t>
        </is>
      </c>
      <c r="F1532" s="44" t="n">
        <v>2478</v>
      </c>
      <c r="G1532" s="44" t="inlineStr">
        <is>
          <t>6 Ay</t>
        </is>
      </c>
      <c r="H1532" s="15" t="n"/>
      <c r="I1532" s="45" t="n">
        <v>2889300</v>
      </c>
      <c r="J1532" s="45" t="n">
        <v>2864738.5385</v>
      </c>
      <c r="K1532" s="45" t="n">
        <v>1140600</v>
      </c>
      <c r="L1532" s="45" t="n">
        <v>1135899.8215</v>
      </c>
      <c r="M1532" s="45" t="n">
        <v>102421.9785516327</v>
      </c>
      <c r="N1532" s="45" t="n">
        <v>102000</v>
      </c>
      <c r="O1532" s="45" t="n">
        <v>760473.1493754268</v>
      </c>
      <c r="P1532" s="45" t="n">
        <v>757340</v>
      </c>
      <c r="Q1532" s="45" t="n">
        <v>64062.637</v>
      </c>
      <c r="R1532" s="45" t="n">
        <v>63798.69893555999</v>
      </c>
      <c r="S1532" s="45" t="n">
        <v>2067557.76492706</v>
      </c>
      <c r="T1532" s="45" t="n">
        <v>2059038.52043556</v>
      </c>
      <c r="U1532" s="15" t="n">
        <v>5.42</v>
      </c>
      <c r="V1532" s="15" t="n">
        <v>11.13</v>
      </c>
      <c r="W1532" s="49" t="n">
        <v>99.58799999999999</v>
      </c>
    </row>
    <row r="1533">
      <c r="A1533" s="44" t="inlineStr">
        <is>
          <t>TL Cinsi Degisken Faizli Kuponlu Senetler</t>
        </is>
      </c>
      <c r="B1533" s="44" t="n">
        <v>2014</v>
      </c>
      <c r="C1533" s="44" t="inlineStr">
        <is>
          <t>TRT190521T17</t>
        </is>
      </c>
      <c r="D1533" s="44" t="inlineStr">
        <is>
          <t>23.09.2014</t>
        </is>
      </c>
      <c r="E1533" s="44" t="inlineStr">
        <is>
          <t>19.05.2021</t>
        </is>
      </c>
      <c r="F1533" s="44" t="n">
        <v>2430</v>
      </c>
      <c r="G1533" s="44" t="inlineStr">
        <is>
          <t>6 Ay</t>
        </is>
      </c>
      <c r="H1533" s="15" t="n"/>
      <c r="I1533" s="45" t="n">
        <v>4194700</v>
      </c>
      <c r="J1533" s="45" t="n">
        <v>4221274.179</v>
      </c>
      <c r="K1533" s="45" t="n">
        <v>674000</v>
      </c>
      <c r="L1533" s="45" t="n">
        <v>681577.12</v>
      </c>
      <c r="M1533" s="45" t="n">
        <v>1040306.949883312</v>
      </c>
      <c r="N1533" s="45" t="n">
        <v>1052000</v>
      </c>
      <c r="O1533" s="45" t="n">
        <v>597365.6105375579</v>
      </c>
      <c r="P1533" s="45" t="n">
        <v>604080</v>
      </c>
      <c r="Q1533" s="45" t="n">
        <v>60023.733</v>
      </c>
      <c r="R1533" s="45" t="n">
        <v>60698.39975892</v>
      </c>
      <c r="S1533" s="45" t="n">
        <v>2371696.293420869</v>
      </c>
      <c r="T1533" s="45" t="n">
        <v>2398355.51975892</v>
      </c>
      <c r="U1533" s="15" t="n">
        <v>5.41</v>
      </c>
      <c r="V1533" s="15" t="n">
        <v>11.11</v>
      </c>
      <c r="W1533" s="49" t="n">
        <v>101.124</v>
      </c>
    </row>
    <row r="1534">
      <c r="A1534" s="44" t="inlineStr">
        <is>
          <t>TL Cinsi Degisken Faizli Kuponlu Senetler</t>
        </is>
      </c>
      <c r="B1534" s="44" t="n">
        <v>2013</v>
      </c>
      <c r="C1534" s="44" t="inlineStr">
        <is>
          <t>TRT110320T18</t>
        </is>
      </c>
      <c r="D1534" s="44" t="inlineStr">
        <is>
          <t>20.03.2013</t>
        </is>
      </c>
      <c r="E1534" s="44" t="inlineStr">
        <is>
          <t>11.03.2020</t>
        </is>
      </c>
      <c r="F1534" s="44" t="n">
        <v>2548</v>
      </c>
      <c r="G1534" s="44" t="inlineStr">
        <is>
          <t>6 AY</t>
        </is>
      </c>
      <c r="H1534" s="15" t="n"/>
      <c r="I1534" s="45" t="n">
        <v>4278710</v>
      </c>
      <c r="J1534" s="45" t="n">
        <v>4141703.515</v>
      </c>
      <c r="K1534" s="45" t="n">
        <v>990000</v>
      </c>
      <c r="L1534" s="45" t="n">
        <v>972274.15</v>
      </c>
      <c r="M1534" s="45" t="n">
        <v>1522248.243559719</v>
      </c>
      <c r="N1534" s="45" t="n">
        <v>1495000</v>
      </c>
      <c r="O1534" s="45" t="n">
        <v>382040.433970237</v>
      </c>
      <c r="P1534" s="45" t="n">
        <v>375200</v>
      </c>
      <c r="Q1534" s="45" t="n">
        <v>0</v>
      </c>
      <c r="R1534" s="45" t="n">
        <v>0</v>
      </c>
      <c r="S1534" s="45" t="n">
        <v>2894296.427535014</v>
      </c>
      <c r="T1534" s="45" t="n">
        <v>2842474.15</v>
      </c>
      <c r="U1534" s="15" t="n">
        <v>3.4</v>
      </c>
      <c r="V1534" s="15" t="n">
        <v>6.925599999999999</v>
      </c>
      <c r="W1534" s="49" t="n">
        <v>98.20950000000001</v>
      </c>
    </row>
    <row r="1535">
      <c r="A1535" s="44" t="inlineStr">
        <is>
          <t>TL Cinsi Degisken Faizli Kuponlu Senetler</t>
        </is>
      </c>
      <c r="B1535" s="44" t="n">
        <v>2013</v>
      </c>
      <c r="C1535" s="44" t="inlineStr">
        <is>
          <t>TRT110320T18</t>
        </is>
      </c>
      <c r="D1535" s="44" t="inlineStr">
        <is>
          <t>03.04.2013</t>
        </is>
      </c>
      <c r="E1535" s="44" t="inlineStr">
        <is>
          <t>11.03.2020</t>
        </is>
      </c>
      <c r="F1535" s="44" t="n">
        <v>2534</v>
      </c>
      <c r="G1535" s="44" t="inlineStr">
        <is>
          <t>6 AY</t>
        </is>
      </c>
      <c r="H1535" s="15" t="n"/>
      <c r="I1535" s="45" t="n">
        <v>3223300</v>
      </c>
      <c r="J1535" s="45" t="n">
        <v>3137542.39</v>
      </c>
      <c r="K1535" s="45" t="n">
        <v>1170900</v>
      </c>
      <c r="L1535" s="45" t="n">
        <v>1148012.89</v>
      </c>
      <c r="M1535" s="45" t="n">
        <v>700698.6587791319</v>
      </c>
      <c r="N1535" s="45" t="n">
        <v>687000</v>
      </c>
      <c r="O1535" s="45" t="n">
        <v>901945.8352414649</v>
      </c>
      <c r="P1535" s="45" t="n">
        <v>884315.5</v>
      </c>
      <c r="Q1535" s="45" t="n">
        <v>18000</v>
      </c>
      <c r="R1535" s="45" t="n">
        <v>17648.154</v>
      </c>
      <c r="S1535" s="45" t="n">
        <v>2791542.350015758</v>
      </c>
      <c r="T1535" s="45" t="n">
        <v>2736976.544</v>
      </c>
      <c r="U1535" s="15" t="n">
        <v>3.44</v>
      </c>
      <c r="V1535" s="15" t="n">
        <v>7</v>
      </c>
      <c r="W1535" s="49" t="n">
        <v>98.0453</v>
      </c>
    </row>
    <row r="1536">
      <c r="A1536" s="44" t="inlineStr">
        <is>
          <t>TL Cinsi Degisken Faizli Kuponlu Senetler</t>
        </is>
      </c>
      <c r="B1536" s="44" t="n">
        <v>2013</v>
      </c>
      <c r="C1536" s="44" t="inlineStr">
        <is>
          <t>TRT110320T18</t>
        </is>
      </c>
      <c r="D1536" s="44" t="inlineStr">
        <is>
          <t>15.05.2013</t>
        </is>
      </c>
      <c r="E1536" s="44" t="inlineStr">
        <is>
          <t>11.03.2020</t>
        </is>
      </c>
      <c r="F1536" s="44" t="n">
        <v>2492</v>
      </c>
      <c r="G1536" s="44" t="inlineStr">
        <is>
          <t>6 AY</t>
        </is>
      </c>
      <c r="H1536" s="15" t="n"/>
      <c r="I1536" s="45" t="n">
        <v>1118500</v>
      </c>
      <c r="J1536" s="45" t="n">
        <v>1099864.875</v>
      </c>
      <c r="K1536" s="45" t="n">
        <v>784500</v>
      </c>
      <c r="L1536" s="45" t="n">
        <v>773391.875</v>
      </c>
      <c r="M1536" s="45" t="n">
        <v>608618.0313235413</v>
      </c>
      <c r="N1536" s="45" t="n">
        <v>600000</v>
      </c>
      <c r="O1536" s="45" t="n">
        <v>653503.6111336525</v>
      </c>
      <c r="P1536" s="45" t="n">
        <v>644250</v>
      </c>
      <c r="Q1536" s="45" t="n">
        <v>3600</v>
      </c>
      <c r="R1536" s="45" t="n">
        <v>3549.024</v>
      </c>
      <c r="S1536" s="45" t="n">
        <v>2050221.642457194</v>
      </c>
      <c r="T1536" s="45" t="n">
        <v>2021190.899</v>
      </c>
      <c r="U1536" s="15" t="n">
        <v>3.46</v>
      </c>
      <c r="V1536" s="15" t="n">
        <v>7.05</v>
      </c>
      <c r="W1536" s="49" t="n">
        <v>98.584</v>
      </c>
    </row>
    <row r="1537">
      <c r="A1537" s="44" t="inlineStr">
        <is>
          <t>TL Cinsi Degisken Faizli Kuponlu Senetler</t>
        </is>
      </c>
      <c r="B1537" s="44" t="n">
        <v>2013</v>
      </c>
      <c r="C1537" s="44" t="inlineStr">
        <is>
          <t>TRT110320T18</t>
        </is>
      </c>
      <c r="D1537" s="44" t="inlineStr">
        <is>
          <t>26.06.2013</t>
        </is>
      </c>
      <c r="E1537" s="44" t="inlineStr">
        <is>
          <t>11.03.2020</t>
        </is>
      </c>
      <c r="F1537" s="44" t="n">
        <v>2450</v>
      </c>
      <c r="G1537" s="44" t="inlineStr">
        <is>
          <t>6 AY</t>
        </is>
      </c>
      <c r="H1537" s="15" t="n"/>
      <c r="I1537" s="45" t="n">
        <v>1655740.615</v>
      </c>
      <c r="J1537" s="45" t="n">
        <v>1553861.37258</v>
      </c>
      <c r="K1537" s="45" t="n">
        <v>741700</v>
      </c>
      <c r="L1537" s="45" t="n">
        <v>714110.405</v>
      </c>
      <c r="M1537" s="45" t="n">
        <v>1682592.438720399</v>
      </c>
      <c r="N1537" s="45" t="n">
        <v>1620000</v>
      </c>
      <c r="O1537" s="45" t="n">
        <v>532363.9385126714</v>
      </c>
      <c r="P1537" s="45" t="n">
        <v>512560</v>
      </c>
      <c r="Q1537" s="45" t="n">
        <v>0</v>
      </c>
      <c r="R1537" s="45" t="n">
        <v>0</v>
      </c>
      <c r="S1537" s="45" t="n">
        <v>2956656.37723307</v>
      </c>
      <c r="T1537" s="45" t="n">
        <v>2846670.405</v>
      </c>
      <c r="U1537" s="15" t="n">
        <v>3.76</v>
      </c>
      <c r="V1537" s="15" t="n">
        <v>7.67</v>
      </c>
      <c r="W1537" s="49" t="n">
        <v>96.28</v>
      </c>
    </row>
    <row r="1538">
      <c r="A1538" s="44" t="inlineStr">
        <is>
          <t>TL Cinsi Degisken Faizli Kuponlu Senetler</t>
        </is>
      </c>
      <c r="B1538" s="44" t="n">
        <v>2013</v>
      </c>
      <c r="C1538" s="44" t="inlineStr">
        <is>
          <t>TRT110320T18</t>
        </is>
      </c>
      <c r="D1538" s="44" t="inlineStr">
        <is>
          <t>28.08.2013</t>
        </is>
      </c>
      <c r="E1538" s="44" t="inlineStr">
        <is>
          <t>11.03.2020</t>
        </is>
      </c>
      <c r="F1538" s="44" t="n">
        <v>2387</v>
      </c>
      <c r="G1538" s="44" t="inlineStr">
        <is>
          <t>6 AY</t>
        </is>
      </c>
      <c r="H1538" s="15" t="n"/>
      <c r="I1538" s="45" t="n">
        <v>2052200</v>
      </c>
      <c r="J1538" s="45" t="n">
        <v>1886839.788</v>
      </c>
      <c r="K1538" s="45" t="n">
        <v>517800</v>
      </c>
      <c r="L1538" s="45" t="n">
        <v>495346.378</v>
      </c>
      <c r="M1538" s="45" t="n">
        <v>1100727.546412444</v>
      </c>
      <c r="N1538" s="45" t="n">
        <v>1053000</v>
      </c>
      <c r="O1538" s="45" t="n">
        <v>684426.743602609</v>
      </c>
      <c r="P1538" s="45" t="n">
        <v>654750</v>
      </c>
      <c r="Q1538" s="45" t="n">
        <v>20000</v>
      </c>
      <c r="R1538" s="45" t="n">
        <v>19132.8</v>
      </c>
      <c r="S1538" s="45" t="n">
        <v>2322954.290015053</v>
      </c>
      <c r="T1538" s="45" t="n">
        <v>2222229.178</v>
      </c>
      <c r="U1538" s="15" t="n">
        <v>3.95</v>
      </c>
      <c r="V1538" s="15" t="n">
        <v>8.06</v>
      </c>
      <c r="W1538" s="49" t="n">
        <v>95.664</v>
      </c>
    </row>
    <row r="1539">
      <c r="A1539" s="44" t="inlineStr">
        <is>
          <t>TL Cinsi Degisken Faizli Kuponlu Senetler</t>
        </is>
      </c>
      <c r="B1539" s="44" t="n">
        <v>2013</v>
      </c>
      <c r="C1539" s="44" t="inlineStr">
        <is>
          <t>TRT110320T18</t>
        </is>
      </c>
      <c r="D1539" s="44" t="inlineStr">
        <is>
          <t>09.10.2013</t>
        </is>
      </c>
      <c r="E1539" s="44" t="inlineStr">
        <is>
          <t>11.03.2020</t>
        </is>
      </c>
      <c r="F1539" s="44" t="n">
        <v>2345</v>
      </c>
      <c r="G1539" s="44" t="inlineStr">
        <is>
          <t>6 AY</t>
        </is>
      </c>
      <c r="H1539" s="15" t="n"/>
      <c r="I1539" s="45" t="n">
        <v>3720200</v>
      </c>
      <c r="J1539" s="45" t="n">
        <v>3537338.12</v>
      </c>
      <c r="K1539" s="45" t="n">
        <v>1204100</v>
      </c>
      <c r="L1539" s="45" t="n">
        <v>1150416.55</v>
      </c>
      <c r="M1539" s="45" t="n">
        <v>627996.0645579954</v>
      </c>
      <c r="N1539" s="45" t="n">
        <v>600000</v>
      </c>
      <c r="O1539" s="45" t="n">
        <v>259100.709635553</v>
      </c>
      <c r="P1539" s="45" t="n">
        <v>247550</v>
      </c>
      <c r="Q1539" s="45" t="n">
        <v>92163.111</v>
      </c>
      <c r="R1539" s="45" t="n">
        <v>88054.47951162001</v>
      </c>
      <c r="S1539" s="45" t="n">
        <v>2183359.885193548</v>
      </c>
      <c r="T1539" s="45" t="n">
        <v>2086021.02951162</v>
      </c>
      <c r="U1539" s="15" t="n">
        <v>4.03</v>
      </c>
      <c r="V1539" s="15" t="n">
        <v>8.220000000000001</v>
      </c>
      <c r="W1539" s="49" t="n">
        <v>95.542</v>
      </c>
    </row>
    <row r="1540">
      <c r="A1540" s="44" t="inlineStr">
        <is>
          <t>TL Cinsi Degisken Faizli Kuponlu Senetler</t>
        </is>
      </c>
      <c r="B1540" s="44" t="n">
        <v>2013</v>
      </c>
      <c r="C1540" s="44" t="inlineStr">
        <is>
          <t>TRT111120T18</t>
        </is>
      </c>
      <c r="D1540" s="44" t="inlineStr">
        <is>
          <t>20.11.2013</t>
        </is>
      </c>
      <c r="E1540" s="44" t="inlineStr">
        <is>
          <t>11.11.2020</t>
        </is>
      </c>
      <c r="F1540" s="44" t="n">
        <v>2548</v>
      </c>
      <c r="G1540" s="44" t="inlineStr">
        <is>
          <t>6 AY</t>
        </is>
      </c>
      <c r="H1540" s="15" t="n"/>
      <c r="I1540" s="45" t="n">
        <v>5017617.96</v>
      </c>
      <c r="J1540" s="45" t="n">
        <v>4861321.88129</v>
      </c>
      <c r="K1540" s="45" t="n">
        <v>588802.96</v>
      </c>
      <c r="L1540" s="45" t="n">
        <v>578101.5366399999</v>
      </c>
      <c r="M1540" s="45" t="n">
        <v>1196744.853997128</v>
      </c>
      <c r="N1540" s="45" t="n">
        <v>1175000</v>
      </c>
      <c r="O1540" s="45" t="n">
        <v>594068.2195492091</v>
      </c>
      <c r="P1540" s="45" t="n">
        <v>583274</v>
      </c>
      <c r="Q1540" s="45" t="n">
        <v>122192.293</v>
      </c>
      <c r="R1540" s="45" t="n">
        <v>119972.05903619</v>
      </c>
      <c r="S1540" s="45" t="n">
        <v>2501808.326546337</v>
      </c>
      <c r="T1540" s="45" t="n">
        <v>2456347.59567619</v>
      </c>
      <c r="U1540" s="15" t="n">
        <v>4.25</v>
      </c>
      <c r="V1540" s="15" t="n">
        <v>8.69</v>
      </c>
      <c r="W1540" s="49" t="n">
        <v>98.18300000000001</v>
      </c>
    </row>
    <row r="1541">
      <c r="A1541" s="44" t="inlineStr">
        <is>
          <t>TL Cinsi Degisken Faizli Kuponlu Senetler</t>
        </is>
      </c>
      <c r="B1541" s="44" t="n">
        <v>2013</v>
      </c>
      <c r="C1541" s="44" t="inlineStr">
        <is>
          <t>TRT111120T18</t>
        </is>
      </c>
      <c r="D1541" s="44" t="inlineStr">
        <is>
          <t>04.12.2013</t>
        </is>
      </c>
      <c r="E1541" s="44" t="inlineStr">
        <is>
          <t>11.11.2020</t>
        </is>
      </c>
      <c r="F1541" s="44" t="n">
        <v>2534</v>
      </c>
      <c r="G1541" s="44" t="inlineStr">
        <is>
          <t>6 AY</t>
        </is>
      </c>
      <c r="H1541" s="15" t="n"/>
      <c r="I1541" s="45" t="n">
        <v>3189400</v>
      </c>
      <c r="J1541" s="45" t="n">
        <v>3107579.31</v>
      </c>
      <c r="K1541" s="45" t="n">
        <v>929300</v>
      </c>
      <c r="L1541" s="45" t="n">
        <v>911893.33</v>
      </c>
      <c r="M1541" s="45" t="n">
        <v>1228000.448398504</v>
      </c>
      <c r="N1541" s="45" t="n">
        <v>1205000</v>
      </c>
      <c r="O1541" s="45" t="n">
        <v>357822.0061756703</v>
      </c>
      <c r="P1541" s="45" t="n">
        <v>351120</v>
      </c>
      <c r="Q1541" s="45" t="n">
        <v>0</v>
      </c>
      <c r="R1541" s="45" t="n">
        <v>0</v>
      </c>
      <c r="S1541" s="45" t="n">
        <v>2515122.454574174</v>
      </c>
      <c r="T1541" s="45" t="n">
        <v>2468013.33</v>
      </c>
      <c r="U1541" s="15" t="n">
        <v>4.29</v>
      </c>
      <c r="V1541" s="15" t="n">
        <v>8.77</v>
      </c>
      <c r="W1541" s="49" t="n">
        <v>98.127</v>
      </c>
    </row>
    <row r="1542">
      <c r="A1542" s="44" t="inlineStr">
        <is>
          <t>TL Cinsi Degisken Faizli Kuponlu Senetler</t>
        </is>
      </c>
      <c r="B1542" s="44" t="n">
        <v>2012</v>
      </c>
      <c r="C1542" s="44" t="inlineStr">
        <is>
          <t>TRT240118T19</t>
        </is>
      </c>
      <c r="D1542" s="44" t="inlineStr">
        <is>
          <t>nan</t>
        </is>
      </c>
      <c r="E1542" s="44" t="inlineStr">
        <is>
          <t>nan</t>
        </is>
      </c>
      <c r="F1542" s="44" t="n"/>
      <c r="G1542" s="44" t="n"/>
      <c r="H1542" s="15" t="n"/>
      <c r="I1542" s="45" t="n">
        <v>4042410.003</v>
      </c>
      <c r="J1542" s="45" t="n">
        <v>3773576.27602</v>
      </c>
      <c r="K1542" s="45" t="n">
        <v>642720</v>
      </c>
      <c r="L1542" s="45" t="n">
        <v>617780.16</v>
      </c>
      <c r="M1542" s="45" t="n">
        <v>0</v>
      </c>
      <c r="N1542" s="45" t="n">
        <v>0</v>
      </c>
      <c r="O1542" s="45" t="n">
        <v>260091.5522263837</v>
      </c>
      <c r="P1542" s="45" t="n">
        <v>250000</v>
      </c>
      <c r="Q1542" s="45" t="n">
        <v>20224.338</v>
      </c>
      <c r="R1542" s="45" t="n">
        <v>19439.6336856</v>
      </c>
      <c r="S1542" s="45" t="n">
        <v>923035.8902263837</v>
      </c>
      <c r="T1542" s="45" t="n">
        <v>887219.7936856</v>
      </c>
      <c r="U1542" s="15" t="n">
        <v>5.07</v>
      </c>
      <c r="V1542" s="15" t="n">
        <v>10.407049</v>
      </c>
      <c r="W1542" s="49" t="n">
        <v>96.12</v>
      </c>
    </row>
    <row r="1543">
      <c r="A1543" s="44" t="inlineStr">
        <is>
          <t>TL Cinsi Degisken Faizli Kuponlu Senetler</t>
        </is>
      </c>
      <c r="B1543" s="44" t="n">
        <v>2011</v>
      </c>
      <c r="C1543" s="44" t="inlineStr">
        <is>
          <t>TRT251017T18</t>
        </is>
      </c>
      <c r="D1543" s="44" t="inlineStr">
        <is>
          <t>nan</t>
        </is>
      </c>
      <c r="E1543" s="44" t="inlineStr">
        <is>
          <t>nan</t>
        </is>
      </c>
      <c r="F1543" s="44" t="n"/>
      <c r="G1543" s="44" t="n"/>
      <c r="H1543" s="15" t="n"/>
      <c r="I1543" s="45" t="n">
        <v>2314544.36</v>
      </c>
      <c r="J1543" s="45" t="n">
        <v>2382669.93163</v>
      </c>
      <c r="K1543" s="45" t="n">
        <v>1050326.165</v>
      </c>
      <c r="L1543" s="45" t="n">
        <v>1091538.16501</v>
      </c>
      <c r="M1543" s="45" t="n">
        <v>1443362.457180247</v>
      </c>
      <c r="N1543" s="45" t="n">
        <v>1500000</v>
      </c>
      <c r="O1543" s="45" t="n">
        <v>2070888.341480312</v>
      </c>
      <c r="P1543" s="45" t="n">
        <v>2152150</v>
      </c>
      <c r="Q1543" s="45" t="n">
        <v>190730.86</v>
      </c>
      <c r="R1543" s="45" t="n">
        <v>198215.1389464</v>
      </c>
      <c r="S1543" s="45" t="n">
        <v>4755307.823660559</v>
      </c>
      <c r="T1543" s="45" t="n">
        <v>4941903.3039564</v>
      </c>
      <c r="U1543" s="15" t="n">
        <v>3.77</v>
      </c>
      <c r="V1543" s="15" t="n">
        <v>7.682129000000004</v>
      </c>
      <c r="W1543" s="49" t="n">
        <v>103.924</v>
      </c>
    </row>
    <row r="1544">
      <c r="A1544" s="44" t="inlineStr">
        <is>
          <t>TL Cinsi Degisken Faizli Kuponlu Senetler</t>
        </is>
      </c>
      <c r="B1544" s="44" t="n">
        <v>2011</v>
      </c>
      <c r="C1544" s="44" t="inlineStr">
        <is>
          <t>TRT240118T19</t>
        </is>
      </c>
      <c r="D1544" s="44" t="inlineStr">
        <is>
          <t>nan</t>
        </is>
      </c>
      <c r="E1544" s="44" t="inlineStr">
        <is>
          <t>nan</t>
        </is>
      </c>
      <c r="F1544" s="44" t="n"/>
      <c r="G1544" s="44" t="n"/>
      <c r="H1544" s="15" t="n"/>
      <c r="I1544" s="45" t="n">
        <v>1632300</v>
      </c>
      <c r="J1544" s="45" t="n">
        <v>1621497.77</v>
      </c>
      <c r="K1544" s="45" t="n">
        <v>1177300</v>
      </c>
      <c r="L1544" s="45" t="n">
        <v>1173198.59</v>
      </c>
      <c r="M1544" s="45" t="n">
        <v>200698.4305382732</v>
      </c>
      <c r="N1544" s="45" t="n">
        <v>200000</v>
      </c>
      <c r="O1544" s="45" t="n">
        <v>1214225.504756553</v>
      </c>
      <c r="P1544" s="45" t="n">
        <v>1210000</v>
      </c>
      <c r="Q1544" s="45" t="n">
        <v>403.805</v>
      </c>
      <c r="R1544" s="45" t="n">
        <v>402.3997586</v>
      </c>
      <c r="S1544" s="45" t="n">
        <v>2592627.740294826</v>
      </c>
      <c r="T1544" s="45" t="n">
        <v>2583600.9897586</v>
      </c>
      <c r="U1544" s="15" t="n">
        <v>3.76</v>
      </c>
      <c r="V1544" s="15" t="n">
        <v>7.671376000000008</v>
      </c>
      <c r="W1544" s="49" t="n">
        <v>99.652</v>
      </c>
    </row>
    <row r="1545">
      <c r="A1545" s="44" t="inlineStr">
        <is>
          <t>TL Cinsi Degisken Faizli Kuponlu Senetler</t>
        </is>
      </c>
      <c r="B1545" s="44" t="n">
        <v>2011</v>
      </c>
      <c r="C1545" s="44" t="inlineStr">
        <is>
          <t>TRT240118T19</t>
        </is>
      </c>
      <c r="D1545" s="44" t="inlineStr">
        <is>
          <t>nan</t>
        </is>
      </c>
      <c r="E1545" s="44" t="inlineStr">
        <is>
          <t>nan</t>
        </is>
      </c>
      <c r="F1545" s="44" t="n"/>
      <c r="G1545" s="44" t="n"/>
      <c r="H1545" s="15" t="n"/>
      <c r="I1545" s="45" t="n">
        <v>566109.995</v>
      </c>
      <c r="J1545" s="45" t="n">
        <v>563089.0375</v>
      </c>
      <c r="K1545" s="45" t="n">
        <v>330009.995</v>
      </c>
      <c r="L1545" s="45" t="n">
        <v>330612.4375</v>
      </c>
      <c r="M1545" s="45" t="n">
        <v>948264.6756435722</v>
      </c>
      <c r="N1545" s="45" t="n">
        <v>950000</v>
      </c>
      <c r="O1545" s="45" t="n">
        <v>119780.8011339249</v>
      </c>
      <c r="P1545" s="45" t="n">
        <v>120000</v>
      </c>
      <c r="Q1545" s="45" t="n">
        <v>800</v>
      </c>
      <c r="R1545" s="45" t="n">
        <v>801.4640000000001</v>
      </c>
      <c r="S1545" s="45" t="n">
        <v>1398855.471777497</v>
      </c>
      <c r="T1545" s="45" t="n">
        <v>1401413.9015</v>
      </c>
      <c r="U1545" s="15" t="n">
        <v>3.93</v>
      </c>
      <c r="V1545" s="15" t="n">
        <v>8.024448999999967</v>
      </c>
      <c r="W1545" s="49" t="n">
        <v>100.183</v>
      </c>
    </row>
    <row r="1546">
      <c r="A1546" s="44" t="inlineStr">
        <is>
          <t>TL Cinsi Degisken Faizli Kuponlu Senetler</t>
        </is>
      </c>
      <c r="B1546" s="44" t="n">
        <v>2011</v>
      </c>
      <c r="C1546" s="44" t="inlineStr">
        <is>
          <t>TRT240118T19</t>
        </is>
      </c>
      <c r="D1546" s="44" t="inlineStr">
        <is>
          <t>nan</t>
        </is>
      </c>
      <c r="E1546" s="44" t="inlineStr">
        <is>
          <t>nan</t>
        </is>
      </c>
      <c r="F1546" s="44" t="n"/>
      <c r="G1546" s="44" t="n"/>
      <c r="H1546" s="15" t="n"/>
      <c r="I1546" s="45" t="n">
        <v>417500</v>
      </c>
      <c r="J1546" s="45" t="n">
        <v>395931.22</v>
      </c>
      <c r="K1546" s="45" t="n">
        <v>337500</v>
      </c>
      <c r="L1546" s="45" t="n">
        <v>321468.42</v>
      </c>
      <c r="M1546" s="45" t="n">
        <v>0</v>
      </c>
      <c r="N1546" s="45" t="n">
        <v>0</v>
      </c>
      <c r="O1546" s="45" t="n">
        <v>49343.83202099738</v>
      </c>
      <c r="P1546" s="45" t="n">
        <v>47000</v>
      </c>
      <c r="Q1546" s="45" t="n">
        <v>24000</v>
      </c>
      <c r="R1546" s="45" t="n">
        <v>22860</v>
      </c>
      <c r="S1546" s="45" t="n">
        <v>410843.8320209974</v>
      </c>
      <c r="T1546" s="45" t="n">
        <v>391328.42</v>
      </c>
      <c r="U1546" s="15" t="n">
        <v>5.01</v>
      </c>
      <c r="V1546" s="15" t="n">
        <v>10.261001</v>
      </c>
      <c r="W1546" s="49" t="n">
        <v>95.25</v>
      </c>
    </row>
    <row r="1547">
      <c r="A1547" s="44" t="inlineStr">
        <is>
          <t>TL Cinsi Degisken Faizli Kuponlu Senetler</t>
        </is>
      </c>
      <c r="B1547" s="44" t="n">
        <v>2010</v>
      </c>
      <c r="C1547" s="44" t="inlineStr">
        <is>
          <t>TRT040117T14</t>
        </is>
      </c>
      <c r="D1547" s="44" t="inlineStr">
        <is>
          <t>nan</t>
        </is>
      </c>
      <c r="E1547" s="44" t="inlineStr">
        <is>
          <t>nan</t>
        </is>
      </c>
      <c r="F1547" s="44" t="n"/>
      <c r="G1547" s="44" t="n"/>
      <c r="H1547" s="15" t="n"/>
      <c r="I1547" s="45" t="n">
        <v>3452427.41</v>
      </c>
      <c r="J1547" s="45" t="n">
        <v>3468032.26142</v>
      </c>
      <c r="K1547" s="45" t="n">
        <v>1113850</v>
      </c>
      <c r="L1547" s="45" t="n">
        <v>1123405.65</v>
      </c>
      <c r="M1547" s="45" t="n">
        <v>396597.1960578238</v>
      </c>
      <c r="N1547" s="45" t="n">
        <v>400000</v>
      </c>
      <c r="O1547" s="45" t="n">
        <v>1267430.446766741</v>
      </c>
      <c r="P1547" s="45" t="n">
        <v>1278305</v>
      </c>
      <c r="Q1547" s="45" t="n">
        <v>42204.882</v>
      </c>
      <c r="R1547" s="45" t="n">
        <v>42566.99988756</v>
      </c>
      <c r="S1547" s="45" t="n">
        <v>2820082.524824565</v>
      </c>
      <c r="T1547" s="45" t="n">
        <v>2844277.64988756</v>
      </c>
      <c r="U1547" s="15" t="n">
        <v>2.04</v>
      </c>
      <c r="V1547" s="15" t="n">
        <v>8.413109184514568</v>
      </c>
      <c r="W1547" s="49" t="n">
        <v>100.858</v>
      </c>
    </row>
    <row r="1548">
      <c r="A1548" s="44" t="inlineStr">
        <is>
          <t>TL Cinsi Degisken Faizli Kuponlu Senetler</t>
        </is>
      </c>
      <c r="B1548" s="44" t="n">
        <v>2010</v>
      </c>
      <c r="C1548" s="44" t="inlineStr">
        <is>
          <t>TRT040117T14</t>
        </is>
      </c>
      <c r="D1548" s="44" t="inlineStr">
        <is>
          <t>nan</t>
        </is>
      </c>
      <c r="E1548" s="44" t="inlineStr">
        <is>
          <t>nan</t>
        </is>
      </c>
      <c r="F1548" s="44" t="n"/>
      <c r="G1548" s="44" t="n"/>
      <c r="H1548" s="15" t="n"/>
      <c r="I1548" s="45" t="n">
        <v>2157794.046</v>
      </c>
      <c r="J1548" s="45" t="n">
        <v>2181632.24275</v>
      </c>
      <c r="K1548" s="45" t="n">
        <v>846511.931</v>
      </c>
      <c r="L1548" s="45" t="n">
        <v>863386.41778</v>
      </c>
      <c r="M1548" s="45" t="n">
        <v>833390.526800859</v>
      </c>
      <c r="N1548" s="45" t="n">
        <v>850000</v>
      </c>
      <c r="O1548" s="45" t="n">
        <v>808981.9889600266</v>
      </c>
      <c r="P1548" s="45" t="n">
        <v>825105</v>
      </c>
      <c r="Q1548" s="45" t="n">
        <v>78087.946</v>
      </c>
      <c r="R1548" s="45" t="n">
        <v>79644.23876377998</v>
      </c>
      <c r="S1548" s="45" t="n">
        <v>2566972.392760885</v>
      </c>
      <c r="T1548" s="45" t="n">
        <v>2618135.65654378</v>
      </c>
      <c r="U1548" s="15" t="n">
        <v>2.02</v>
      </c>
      <c r="V1548" s="15" t="n">
        <v>8.33813761286415</v>
      </c>
      <c r="W1548" s="49" t="n">
        <v>101.993</v>
      </c>
    </row>
    <row r="1549">
      <c r="A1549" s="44" t="inlineStr">
        <is>
          <t>TL Cinsi Degisken Faizli Kuponlu Senetler</t>
        </is>
      </c>
      <c r="B1549" s="44" t="n">
        <v>2010</v>
      </c>
      <c r="C1549" s="44" t="inlineStr">
        <is>
          <t>TRT040117T14</t>
        </is>
      </c>
      <c r="D1549" s="44" t="inlineStr">
        <is>
          <t>nan</t>
        </is>
      </c>
      <c r="E1549" s="44" t="inlineStr">
        <is>
          <t>nan</t>
        </is>
      </c>
      <c r="F1549" s="44" t="n"/>
      <c r="G1549" s="44" t="n"/>
      <c r="H1549" s="15" t="n"/>
      <c r="I1549" s="45" t="n">
        <v>761665.01</v>
      </c>
      <c r="J1549" s="45" t="n">
        <v>756282.6914</v>
      </c>
      <c r="K1549" s="45" t="n">
        <v>458649</v>
      </c>
      <c r="L1549" s="45" t="n">
        <v>457049.8915</v>
      </c>
      <c r="M1549" s="45" t="n">
        <v>301050.666827227</v>
      </c>
      <c r="N1549" s="45" t="n">
        <v>300000</v>
      </c>
      <c r="O1549" s="45" t="n">
        <v>761156.4359615056</v>
      </c>
      <c r="P1549" s="45" t="n">
        <v>758500</v>
      </c>
      <c r="Q1549" s="45" t="n">
        <v>6031.606</v>
      </c>
      <c r="R1549" s="45" t="n">
        <v>6010.555695059999</v>
      </c>
      <c r="S1549" s="45" t="n">
        <v>1526887.708788733</v>
      </c>
      <c r="T1549" s="45" t="n">
        <v>1521560.44719506</v>
      </c>
      <c r="U1549" s="15" t="n">
        <v>1.97</v>
      </c>
      <c r="V1549" s="15" t="n">
        <v>8.125927210584829</v>
      </c>
      <c r="W1549" s="49" t="n">
        <v>99.651</v>
      </c>
    </row>
    <row r="1550">
      <c r="A1550" s="44" t="inlineStr">
        <is>
          <t>TL Cinsi Degisken Faizli Kuponlu Senetler</t>
        </is>
      </c>
      <c r="B1550" s="44" t="n">
        <v>2010</v>
      </c>
      <c r="C1550" s="44" t="inlineStr">
        <is>
          <t>TRT190717T11</t>
        </is>
      </c>
      <c r="D1550" s="44" t="inlineStr">
        <is>
          <t>nan</t>
        </is>
      </c>
      <c r="E1550" s="44" t="inlineStr">
        <is>
          <t>nan</t>
        </is>
      </c>
      <c r="F1550" s="44" t="n"/>
      <c r="G1550" s="44" t="n"/>
      <c r="H1550" s="15" t="n"/>
      <c r="I1550" s="45" t="n">
        <v>2518020</v>
      </c>
      <c r="J1550" s="45" t="n">
        <v>2502611.14555</v>
      </c>
      <c r="K1550" s="45" t="n">
        <v>507100</v>
      </c>
      <c r="L1550" s="45" t="n">
        <v>507255.7</v>
      </c>
      <c r="M1550" s="45" t="n">
        <v>757765.0928212253</v>
      </c>
      <c r="N1550" s="45" t="n">
        <v>758000</v>
      </c>
      <c r="O1550" s="45" t="n">
        <v>340594.4157311234</v>
      </c>
      <c r="P1550" s="45" t="n">
        <v>340700</v>
      </c>
      <c r="Q1550" s="45" t="n">
        <v>56035.388</v>
      </c>
      <c r="R1550" s="45" t="n">
        <v>56052.75897028</v>
      </c>
      <c r="S1550" s="45" t="n">
        <v>1661494.896552349</v>
      </c>
      <c r="T1550" s="45" t="n">
        <v>1662008.45897028</v>
      </c>
      <c r="U1550" s="15" t="n">
        <v>4.13</v>
      </c>
      <c r="V1550" s="15" t="n">
        <v>8.420569000000032</v>
      </c>
      <c r="W1550" s="49" t="n">
        <v>100.031</v>
      </c>
    </row>
    <row r="1551">
      <c r="A1551" s="44" t="inlineStr">
        <is>
          <t>TL Cinsi Degisken Faizli Kuponlu Senetler</t>
        </is>
      </c>
      <c r="B1551" s="44" t="n">
        <v>2010</v>
      </c>
      <c r="C1551" s="44" t="inlineStr">
        <is>
          <t>TRT190717T11</t>
        </is>
      </c>
      <c r="D1551" s="44" t="inlineStr">
        <is>
          <t>nan</t>
        </is>
      </c>
      <c r="E1551" s="44" t="inlineStr">
        <is>
          <t>nan</t>
        </is>
      </c>
      <c r="F1551" s="44" t="n"/>
      <c r="G1551" s="44" t="n"/>
      <c r="H1551" s="15" t="n"/>
      <c r="I1551" s="45" t="n">
        <v>4480500</v>
      </c>
      <c r="J1551" s="45" t="n">
        <v>4493048.87</v>
      </c>
      <c r="K1551" s="45" t="n">
        <v>1834000</v>
      </c>
      <c r="L1551" s="45" t="n">
        <v>1847193.45</v>
      </c>
      <c r="M1551" s="45" t="n">
        <v>297858.3981175349</v>
      </c>
      <c r="N1551" s="45" t="n">
        <v>300000</v>
      </c>
      <c r="O1551" s="45" t="n">
        <v>1505376.344086021</v>
      </c>
      <c r="P1551" s="45" t="n">
        <v>1516200</v>
      </c>
      <c r="Q1551" s="45" t="n">
        <v>340396.945</v>
      </c>
      <c r="R1551" s="45" t="n">
        <v>342844.3990345499</v>
      </c>
      <c r="S1551" s="45" t="n">
        <v>3977631.687203556</v>
      </c>
      <c r="T1551" s="45" t="n">
        <v>4006237.84903455</v>
      </c>
      <c r="U1551" s="15" t="n">
        <v>4.11</v>
      </c>
      <c r="V1551" s="15" t="n">
        <v>8.378920999999972</v>
      </c>
      <c r="W1551" s="49" t="n">
        <v>100.719</v>
      </c>
    </row>
    <row r="1552">
      <c r="A1552" s="44" t="inlineStr">
        <is>
          <t>TL Cinsi Degisken Faizli Kuponlu Senetler</t>
        </is>
      </c>
      <c r="B1552" s="44" t="n">
        <v>2010</v>
      </c>
      <c r="C1552" s="44" t="inlineStr">
        <is>
          <t>TRT190717T11</t>
        </is>
      </c>
      <c r="D1552" s="44" t="inlineStr">
        <is>
          <t>nan</t>
        </is>
      </c>
      <c r="E1552" s="44" t="inlineStr">
        <is>
          <t>nan</t>
        </is>
      </c>
      <c r="F1552" s="44" t="n"/>
      <c r="G1552" s="44" t="n"/>
      <c r="H1552" s="15" t="n"/>
      <c r="I1552" s="45" t="n">
        <v>3097525</v>
      </c>
      <c r="J1552" s="45" t="n">
        <v>3157721.63</v>
      </c>
      <c r="K1552" s="45" t="n">
        <v>450000</v>
      </c>
      <c r="L1552" s="45" t="n">
        <v>460967.5</v>
      </c>
      <c r="M1552" s="45" t="n">
        <v>244052.4419887346</v>
      </c>
      <c r="N1552" s="45" t="n">
        <v>250000</v>
      </c>
      <c r="O1552" s="45" t="n">
        <v>574046.48710915</v>
      </c>
      <c r="P1552" s="45" t="n">
        <v>588036</v>
      </c>
      <c r="Q1552" s="45" t="n">
        <v>50010.25</v>
      </c>
      <c r="R1552" s="45" t="n">
        <v>51228.9997925</v>
      </c>
      <c r="S1552" s="45" t="n">
        <v>1318109.179097885</v>
      </c>
      <c r="T1552" s="45" t="n">
        <v>1350232.4997925</v>
      </c>
      <c r="U1552" s="15" t="n">
        <v>4.03</v>
      </c>
      <c r="V1552" s="15" t="n">
        <v>8.222408999999997</v>
      </c>
      <c r="W1552" s="49" t="n">
        <v>102.437</v>
      </c>
    </row>
    <row r="1553">
      <c r="A1553" s="44" t="inlineStr">
        <is>
          <t>TL Cinsi Degisken Faizli Kuponlu Senetler</t>
        </is>
      </c>
      <c r="B1553" s="44" t="n">
        <v>2010</v>
      </c>
      <c r="C1553" s="44" t="inlineStr">
        <is>
          <t>TRT251017T18</t>
        </is>
      </c>
      <c r="D1553" s="44" t="inlineStr">
        <is>
          <t>nan</t>
        </is>
      </c>
      <c r="E1553" s="44" t="inlineStr">
        <is>
          <t>nan</t>
        </is>
      </c>
      <c r="F1553" s="44" t="n"/>
      <c r="G1553" s="44" t="n"/>
      <c r="H1553" s="15" t="n"/>
      <c r="I1553" s="45" t="n">
        <v>2809535</v>
      </c>
      <c r="J1553" s="45" t="n">
        <v>2832473.889</v>
      </c>
      <c r="K1553" s="45" t="n">
        <v>1035000</v>
      </c>
      <c r="L1553" s="45" t="n">
        <v>1048437.5</v>
      </c>
      <c r="M1553" s="45" t="n">
        <v>493593.1607731644</v>
      </c>
      <c r="N1553" s="45" t="n">
        <v>500000</v>
      </c>
      <c r="O1553" s="45" t="n">
        <v>969959.9202353453</v>
      </c>
      <c r="P1553" s="45" t="n">
        <v>982550</v>
      </c>
      <c r="Q1553" s="45" t="n">
        <v>200322.809</v>
      </c>
      <c r="R1553" s="45" t="n">
        <v>202922.99906082</v>
      </c>
      <c r="S1553" s="45" t="n">
        <v>2698875.89000851</v>
      </c>
      <c r="T1553" s="45" t="n">
        <v>2733910.49906082</v>
      </c>
      <c r="U1553" s="15" t="n">
        <v>3.88</v>
      </c>
      <c r="V1553" s="15" t="n">
        <v>7.910543999999997</v>
      </c>
      <c r="W1553" s="49" t="n">
        <v>101.298</v>
      </c>
    </row>
    <row r="1554">
      <c r="A1554" s="44" t="inlineStr">
        <is>
          <t>TL Cinsi Degisken Faizli Kuponlu Senetler</t>
        </is>
      </c>
      <c r="B1554" s="44" t="n">
        <v>2010</v>
      </c>
      <c r="C1554" s="44" t="inlineStr">
        <is>
          <t>TRT251017T18</t>
        </is>
      </c>
      <c r="D1554" s="44" t="inlineStr">
        <is>
          <t>nan</t>
        </is>
      </c>
      <c r="E1554" s="44" t="inlineStr">
        <is>
          <t>nan</t>
        </is>
      </c>
      <c r="F1554" s="44" t="n"/>
      <c r="G1554" s="44" t="n"/>
      <c r="H1554" s="15" t="n"/>
      <c r="I1554" s="45" t="n">
        <v>3539409.8</v>
      </c>
      <c r="J1554" s="45" t="n">
        <v>3599861.786</v>
      </c>
      <c r="K1554" s="45" t="n">
        <v>2300100</v>
      </c>
      <c r="L1554" s="45" t="n">
        <v>2363196.09</v>
      </c>
      <c r="M1554" s="45" t="n">
        <v>389320.9269731271</v>
      </c>
      <c r="N1554" s="45" t="n">
        <v>400000</v>
      </c>
      <c r="O1554" s="45" t="n">
        <v>1181043.964065678</v>
      </c>
      <c r="P1554" s="45" t="n">
        <v>1213440</v>
      </c>
      <c r="Q1554" s="45" t="n">
        <v>0</v>
      </c>
      <c r="R1554" s="45" t="n">
        <v>0</v>
      </c>
      <c r="S1554" s="45" t="n">
        <v>3870464.891038805</v>
      </c>
      <c r="T1554" s="45" t="n">
        <v>3976636.09</v>
      </c>
      <c r="U1554" s="15" t="n">
        <v>3.81</v>
      </c>
      <c r="V1554" s="15" t="n">
        <v>7.765160999999998</v>
      </c>
      <c r="W1554" s="49" t="n">
        <v>102.743</v>
      </c>
    </row>
    <row r="1555">
      <c r="A1555" s="44" t="inlineStr">
        <is>
          <t>TL Cinsi Degisken Faizli Kuponlu Senetler</t>
        </is>
      </c>
      <c r="B1555" s="44" t="n">
        <v>2009</v>
      </c>
      <c r="C1555" s="44" t="inlineStr">
        <is>
          <t>TRT201113T16</t>
        </is>
      </c>
      <c r="D1555" s="44" t="inlineStr">
        <is>
          <t>nan</t>
        </is>
      </c>
      <c r="E1555" s="44" t="inlineStr">
        <is>
          <t>nan</t>
        </is>
      </c>
      <c r="F1555" s="44" t="n"/>
      <c r="G1555" s="44" t="n"/>
      <c r="H1555" s="15" t="n"/>
      <c r="I1555" s="45" t="n">
        <v>727239.4</v>
      </c>
      <c r="J1555" s="45" t="n"/>
      <c r="K1555" s="45" t="n">
        <v>515200</v>
      </c>
      <c r="L1555" s="45" t="n">
        <v>547149.5</v>
      </c>
      <c r="M1555" s="45" t="n">
        <v>0</v>
      </c>
      <c r="N1555" s="45" t="n">
        <v>0</v>
      </c>
      <c r="O1555" s="45" t="n">
        <v>1121829.361305449</v>
      </c>
      <c r="P1555" s="45" t="n">
        <v>1191394</v>
      </c>
      <c r="Q1555" s="45" t="n">
        <v>0</v>
      </c>
      <c r="R1555" s="45" t="n">
        <v>0</v>
      </c>
      <c r="S1555" s="45" t="n">
        <v>1747174.274305449</v>
      </c>
      <c r="T1555" s="45" t="n">
        <v>1855518.49905513</v>
      </c>
      <c r="U1555" s="15" t="n">
        <v>4.92</v>
      </c>
      <c r="V1555" s="15" t="n">
        <v>21.19060814500091</v>
      </c>
      <c r="W1555" s="49" t="n">
        <v>106.201</v>
      </c>
    </row>
    <row r="1556">
      <c r="A1556" s="44" t="inlineStr">
        <is>
          <t>TL Cinsi Degisken Faizli Kuponlu Senetler</t>
        </is>
      </c>
      <c r="B1556" s="44" t="n">
        <v>2009</v>
      </c>
      <c r="C1556" s="44" t="inlineStr">
        <is>
          <t>TRT201113T16</t>
        </is>
      </c>
      <c r="D1556" s="44" t="inlineStr">
        <is>
          <t>nan</t>
        </is>
      </c>
      <c r="E1556" s="44" t="inlineStr">
        <is>
          <t>nan</t>
        </is>
      </c>
      <c r="F1556" s="44" t="n"/>
      <c r="G1556" s="44" t="n"/>
      <c r="H1556" s="15" t="n"/>
      <c r="I1556" s="45" t="n">
        <v>3588487.28</v>
      </c>
      <c r="J1556" s="45" t="n"/>
      <c r="K1556" s="45" t="n">
        <v>3460056.25</v>
      </c>
      <c r="L1556" s="45" t="n">
        <v>3715501.19027</v>
      </c>
      <c r="M1556" s="45" t="n">
        <v>348286.041552201</v>
      </c>
      <c r="N1556" s="45" t="n">
        <v>374000</v>
      </c>
      <c r="O1556" s="45" t="n">
        <v>989379.1382248588</v>
      </c>
      <c r="P1556" s="45" t="n">
        <v>1062425</v>
      </c>
      <c r="Q1556" s="45" t="n">
        <v>0</v>
      </c>
      <c r="R1556" s="45" t="n">
        <v>0</v>
      </c>
      <c r="S1556" s="45" t="n">
        <v>4921267.21377706</v>
      </c>
      <c r="T1556" s="45" t="n">
        <v>5284593.35950272</v>
      </c>
      <c r="U1556" s="15" t="n">
        <v>4.92</v>
      </c>
      <c r="V1556" s="15" t="n">
        <v>21.19060814500091</v>
      </c>
      <c r="W1556" s="49" t="n">
        <v>107.383</v>
      </c>
    </row>
    <row r="1557">
      <c r="A1557" s="44" t="inlineStr">
        <is>
          <t>TL Cinsi Degisken Faizli Kuponlu Senetler</t>
        </is>
      </c>
      <c r="B1557" s="44" t="n">
        <v>2009</v>
      </c>
      <c r="C1557" s="44" t="inlineStr">
        <is>
          <t>TRT020414T16</t>
        </is>
      </c>
      <c r="D1557" s="44" t="inlineStr">
        <is>
          <t>nan</t>
        </is>
      </c>
      <c r="E1557" s="44" t="inlineStr">
        <is>
          <t>nan</t>
        </is>
      </c>
      <c r="F1557" s="44" t="n"/>
      <c r="G1557" s="44" t="n"/>
      <c r="H1557" s="15" t="n"/>
      <c r="I1557" s="45" t="n">
        <v>2679368.75</v>
      </c>
      <c r="J1557" s="45" t="n"/>
      <c r="K1557" s="45" t="n">
        <v>2055000</v>
      </c>
      <c r="L1557" s="45" t="n">
        <v>2177885</v>
      </c>
      <c r="M1557" s="45" t="n">
        <v>1122853.368560106</v>
      </c>
      <c r="N1557" s="45" t="n">
        <v>1190000</v>
      </c>
      <c r="O1557" s="45" t="n">
        <v>727495.7539158331</v>
      </c>
      <c r="P1557" s="45" t="n">
        <v>771000</v>
      </c>
      <c r="Q1557" s="45" t="n">
        <v>0</v>
      </c>
      <c r="R1557" s="45" t="n">
        <v>0</v>
      </c>
      <c r="S1557" s="45" t="n">
        <v>3999706.548475939</v>
      </c>
      <c r="T1557" s="45" t="n">
        <v>4238885.0000748</v>
      </c>
      <c r="U1557" s="15" t="n">
        <v>3.64</v>
      </c>
      <c r="V1557" s="15" t="n">
        <v>15.39444296950017</v>
      </c>
      <c r="W1557" s="49" t="n">
        <v>105.98</v>
      </c>
    </row>
    <row r="1558">
      <c r="A1558" s="44" t="inlineStr">
        <is>
          <t>TL Cinsi Degisken Faizli Kuponlu Senetler</t>
        </is>
      </c>
      <c r="B1558" s="44" t="n">
        <v>2009</v>
      </c>
      <c r="C1558" s="44" t="inlineStr">
        <is>
          <t>TRT020414T16</t>
        </is>
      </c>
      <c r="D1558" s="44" t="inlineStr">
        <is>
          <t>nan</t>
        </is>
      </c>
      <c r="E1558" s="44" t="inlineStr">
        <is>
          <t>nan</t>
        </is>
      </c>
      <c r="F1558" s="44" t="n"/>
      <c r="G1558" s="44" t="n"/>
      <c r="H1558" s="15" t="n"/>
      <c r="I1558" s="45" t="n">
        <v>3303443.285</v>
      </c>
      <c r="J1558" s="45" t="n"/>
      <c r="K1558" s="45" t="n">
        <v>2865800</v>
      </c>
      <c r="L1558" s="45" t="n">
        <v>3075508.08</v>
      </c>
      <c r="M1558" s="45" t="n">
        <v>1863620.268734043</v>
      </c>
      <c r="N1558" s="45" t="n">
        <v>2000000</v>
      </c>
      <c r="O1558" s="45" t="n">
        <v>342271.56674556</v>
      </c>
      <c r="P1558" s="45" t="n">
        <v>367319</v>
      </c>
      <c r="Q1558" s="45" t="n">
        <v>0</v>
      </c>
      <c r="R1558" s="45" t="n">
        <v>0</v>
      </c>
      <c r="S1558" s="45" t="n">
        <v>5091700.034479602</v>
      </c>
      <c r="T1558" s="45" t="n">
        <v>5464299.47900282</v>
      </c>
      <c r="U1558" s="15" t="n">
        <v>3.63</v>
      </c>
      <c r="V1558" s="15" t="n">
        <v>15.33992048949362</v>
      </c>
      <c r="W1558" s="49" t="n">
        <v>107.318</v>
      </c>
    </row>
    <row r="1559">
      <c r="A1559" s="44" t="inlineStr">
        <is>
          <t>TL Cinsi Degisken Faizli Kuponlu Senetler</t>
        </is>
      </c>
      <c r="B1559" s="44" t="n">
        <v>2009</v>
      </c>
      <c r="C1559" s="44" t="inlineStr">
        <is>
          <t>TRT160714T17</t>
        </is>
      </c>
      <c r="D1559" s="44" t="inlineStr">
        <is>
          <t>nan</t>
        </is>
      </c>
      <c r="E1559" s="44" t="inlineStr">
        <is>
          <t>nan</t>
        </is>
      </c>
      <c r="F1559" s="44" t="n"/>
      <c r="G1559" s="44" t="n"/>
      <c r="H1559" s="15" t="n"/>
      <c r="I1559" s="45" t="n">
        <v>3857795.315</v>
      </c>
      <c r="J1559" s="45" t="n"/>
      <c r="K1559" s="45" t="n">
        <v>1000003</v>
      </c>
      <c r="L1559" s="45" t="n">
        <v>1024548.10497</v>
      </c>
      <c r="M1559" s="45" t="n">
        <v>224488.7999609585</v>
      </c>
      <c r="N1559" s="45" t="n">
        <v>230000</v>
      </c>
      <c r="O1559" s="45" t="n">
        <v>806402.8109901908</v>
      </c>
      <c r="P1559" s="45" t="n">
        <v>826200</v>
      </c>
      <c r="Q1559" s="45" t="n">
        <v>0</v>
      </c>
      <c r="R1559" s="45" t="n">
        <v>0</v>
      </c>
      <c r="S1559" s="45" t="n">
        <v>2030894.610951149</v>
      </c>
      <c r="T1559" s="45" t="n">
        <v>2080748.10497</v>
      </c>
      <c r="U1559" s="15" t="n">
        <v>2.84</v>
      </c>
      <c r="V1559" s="15" t="n">
        <v>11.84316357550335</v>
      </c>
      <c r="W1559" s="49" t="n">
        <v>102.455</v>
      </c>
    </row>
    <row r="1560">
      <c r="A1560" s="44" t="inlineStr">
        <is>
          <t>TL Cinsi Degisken Faizli Kuponlu Senetler</t>
        </is>
      </c>
      <c r="B1560" s="44" t="n">
        <v>2009</v>
      </c>
      <c r="C1560" s="44" t="inlineStr">
        <is>
          <t>TRT160714T17</t>
        </is>
      </c>
      <c r="D1560" s="44" t="inlineStr">
        <is>
          <t>nan</t>
        </is>
      </c>
      <c r="E1560" s="44" t="inlineStr">
        <is>
          <t>nan</t>
        </is>
      </c>
      <c r="F1560" s="44" t="n"/>
      <c r="G1560" s="44" t="n"/>
      <c r="H1560" s="15" t="n"/>
      <c r="I1560" s="45" t="n">
        <v>4251522</v>
      </c>
      <c r="J1560" s="45" t="n"/>
      <c r="K1560" s="45" t="n">
        <v>896000</v>
      </c>
      <c r="L1560" s="45" t="n">
        <v>928054</v>
      </c>
      <c r="M1560" s="45" t="n">
        <v>1930930.612008458</v>
      </c>
      <c r="N1560" s="45" t="n">
        <v>2000000</v>
      </c>
      <c r="O1560" s="45" t="n">
        <v>1086389.835581258</v>
      </c>
      <c r="P1560" s="45" t="n">
        <v>1125250</v>
      </c>
      <c r="Q1560" s="45" t="n">
        <v>0</v>
      </c>
      <c r="R1560" s="45" t="n">
        <v>0</v>
      </c>
      <c r="S1560" s="45" t="n">
        <v>4013525.704589717</v>
      </c>
      <c r="T1560" s="45" t="n">
        <v>4157093.59904289</v>
      </c>
      <c r="U1560" s="15" t="n">
        <v>2.79</v>
      </c>
      <c r="V1560" s="15" t="n">
        <v>11.6457936478128</v>
      </c>
      <c r="W1560" s="49" t="n">
        <v>103.577</v>
      </c>
    </row>
    <row r="1561">
      <c r="A1561" s="44" t="inlineStr">
        <is>
          <t>TL Cinsi Degisken Faizli Kuponlu Senetler</t>
        </is>
      </c>
      <c r="B1561" s="44" t="n">
        <v>2009</v>
      </c>
      <c r="C1561" s="44" t="inlineStr">
        <is>
          <t>TRT160714T17</t>
        </is>
      </c>
      <c r="D1561" s="44" t="inlineStr">
        <is>
          <t>nan</t>
        </is>
      </c>
      <c r="E1561" s="44" t="inlineStr">
        <is>
          <t>nan</t>
        </is>
      </c>
      <c r="F1561" s="44" t="n"/>
      <c r="G1561" s="44" t="n"/>
      <c r="H1561" s="15" t="n"/>
      <c r="I1561" s="45" t="n">
        <v>6855683.7</v>
      </c>
      <c r="J1561" s="45" t="n"/>
      <c r="K1561" s="45" t="n">
        <v>1505000</v>
      </c>
      <c r="L1561" s="45" t="n">
        <v>1606085</v>
      </c>
      <c r="M1561" s="45" t="n">
        <v>0</v>
      </c>
      <c r="N1561" s="45" t="n">
        <v>0</v>
      </c>
      <c r="O1561" s="45" t="n">
        <v>585947.8808437268</v>
      </c>
      <c r="P1561" s="45" t="n">
        <v>625306</v>
      </c>
      <c r="Q1561" s="45" t="n">
        <v>0</v>
      </c>
      <c r="R1561" s="45" t="n">
        <v>0</v>
      </c>
      <c r="S1561" s="45" t="n">
        <v>2491352.688843727</v>
      </c>
      <c r="T1561" s="45" t="n">
        <v>2658690.99895336</v>
      </c>
      <c r="U1561" s="15" t="n">
        <v>2.7</v>
      </c>
      <c r="V1561" s="15" t="n">
        <v>11.25532634409996</v>
      </c>
      <c r="W1561" s="49" t="n">
        <v>106.717</v>
      </c>
    </row>
    <row r="1562">
      <c r="A1562" s="44" t="inlineStr">
        <is>
          <t>TL Cinsi Degisken Faizli Kuponlu Senetler</t>
        </is>
      </c>
      <c r="B1562" s="44" t="n">
        <v>2009</v>
      </c>
      <c r="C1562" s="44" t="inlineStr">
        <is>
          <t>TRT280916T19</t>
        </is>
      </c>
      <c r="D1562" s="44" t="inlineStr">
        <is>
          <t>nan</t>
        </is>
      </c>
      <c r="E1562" s="44" t="inlineStr">
        <is>
          <t>nan</t>
        </is>
      </c>
      <c r="F1562" s="44" t="n"/>
      <c r="G1562" s="44" t="n"/>
      <c r="H1562" s="15" t="n"/>
      <c r="I1562" s="45" t="n">
        <v>2772635.74</v>
      </c>
      <c r="J1562" s="45" t="n"/>
      <c r="K1562" s="45" t="n">
        <v>2116634.74</v>
      </c>
      <c r="L1562" s="45" t="n">
        <v>2128085.22977</v>
      </c>
      <c r="M1562" s="45" t="n">
        <v>0</v>
      </c>
      <c r="N1562" s="45" t="n">
        <v>0</v>
      </c>
      <c r="O1562" s="45" t="n">
        <v>1946234.073661492</v>
      </c>
      <c r="P1562" s="45" t="n">
        <v>1956763.2</v>
      </c>
      <c r="Q1562" s="45" t="n">
        <v>0</v>
      </c>
      <c r="R1562" s="45" t="n">
        <v>0</v>
      </c>
      <c r="S1562" s="45" t="n">
        <v>4262142.054661492</v>
      </c>
      <c r="T1562" s="45" t="n">
        <v>4285199.73900381</v>
      </c>
      <c r="U1562" s="15" t="n">
        <v>2.33</v>
      </c>
      <c r="V1562" s="15" t="n">
        <v>9.670823207755234</v>
      </c>
      <c r="W1562" s="49" t="n">
        <v>100.541</v>
      </c>
    </row>
    <row r="1563">
      <c r="A1563" s="44" t="inlineStr">
        <is>
          <t>TL Cinsi Degisken Faizli Kuponlu Senetler</t>
        </is>
      </c>
      <c r="B1563" s="44" t="n">
        <v>2009</v>
      </c>
      <c r="C1563" s="44" t="inlineStr">
        <is>
          <t>TRT280916T19</t>
        </is>
      </c>
      <c r="D1563" s="44" t="inlineStr">
        <is>
          <t>nan</t>
        </is>
      </c>
      <c r="E1563" s="44" t="inlineStr">
        <is>
          <t>nan</t>
        </is>
      </c>
      <c r="F1563" s="44" t="n"/>
      <c r="G1563" s="44" t="n"/>
      <c r="H1563" s="15" t="n"/>
      <c r="I1563" s="45" t="n">
        <v>5165259.776</v>
      </c>
      <c r="J1563" s="45" t="n"/>
      <c r="K1563" s="45" t="n">
        <v>735250</v>
      </c>
      <c r="L1563" s="45" t="n">
        <v>752412.9275</v>
      </c>
      <c r="M1563" s="45" t="n">
        <v>0</v>
      </c>
      <c r="N1563" s="45" t="n">
        <v>0</v>
      </c>
      <c r="O1563" s="45" t="n">
        <v>473049.5241073348</v>
      </c>
      <c r="P1563" s="45" t="n">
        <v>484090.5</v>
      </c>
      <c r="Q1563" s="45" t="n">
        <v>0</v>
      </c>
      <c r="R1563" s="45" t="n">
        <v>0</v>
      </c>
      <c r="S1563" s="45" t="n">
        <v>1208299.524107335</v>
      </c>
      <c r="T1563" s="45" t="n">
        <v>1236503.4275</v>
      </c>
      <c r="U1563" s="15" t="n">
        <v>2.31</v>
      </c>
      <c r="V1563" s="15" t="n">
        <v>9.545125030363153</v>
      </c>
      <c r="W1563" s="49" t="n">
        <v>102.334</v>
      </c>
    </row>
    <row r="1564">
      <c r="A1564" s="44" t="inlineStr">
        <is>
          <t>TL Cinsi Degisken Faizli Kuponlu Senetler</t>
        </is>
      </c>
      <c r="B1564" s="44" t="n">
        <v>2008</v>
      </c>
      <c r="C1564" s="44" t="inlineStr">
        <is>
          <t>TRT030413T16</t>
        </is>
      </c>
      <c r="D1564" s="44" t="inlineStr">
        <is>
          <t>nan</t>
        </is>
      </c>
      <c r="E1564" s="44" t="inlineStr">
        <is>
          <t>nan</t>
        </is>
      </c>
      <c r="F1564" s="44" t="n"/>
      <c r="G1564" s="44" t="n"/>
      <c r="H1564" s="15" t="n"/>
      <c r="I1564" s="45" t="n">
        <v>3430023.825</v>
      </c>
      <c r="J1564" s="45" t="n"/>
      <c r="K1564" s="45" t="n">
        <v>1708171.635</v>
      </c>
      <c r="L1564" s="45" t="n">
        <v>1719432.81925</v>
      </c>
      <c r="M1564" s="45" t="n">
        <v>610973.6834262211</v>
      </c>
      <c r="N1564" s="45" t="n">
        <v>615000</v>
      </c>
      <c r="O1564" s="45" t="n">
        <v>1369549.667689923</v>
      </c>
      <c r="P1564" s="45" t="n">
        <v>1378575</v>
      </c>
      <c r="Q1564" s="45" t="n">
        <v>0</v>
      </c>
      <c r="R1564" s="45" t="n">
        <v>0</v>
      </c>
      <c r="S1564" s="45" t="n">
        <v>3825233.914116144</v>
      </c>
      <c r="T1564" s="45" t="n">
        <v>3850446.53878552</v>
      </c>
      <c r="U1564" s="15" t="n">
        <v>8.76</v>
      </c>
      <c r="V1564" s="15" t="n">
        <v>18.27737599999999</v>
      </c>
      <c r="W1564" s="49" t="n">
        <v>100.659</v>
      </c>
    </row>
    <row r="1565">
      <c r="A1565" s="44" t="inlineStr">
        <is>
          <t>TL Cinsi Degisken Faizli Kuponlu Senetler</t>
        </is>
      </c>
      <c r="B1565" s="44" t="n">
        <v>2008</v>
      </c>
      <c r="C1565" s="44" t="inlineStr">
        <is>
          <t>TRT030413T16</t>
        </is>
      </c>
      <c r="D1565" s="44" t="inlineStr">
        <is>
          <t>nan</t>
        </is>
      </c>
      <c r="E1565" s="44" t="inlineStr">
        <is>
          <t>nan</t>
        </is>
      </c>
      <c r="F1565" s="44" t="n"/>
      <c r="G1565" s="44" t="n"/>
      <c r="H1565" s="15" t="n"/>
      <c r="I1565" s="45" t="n">
        <v>1943526.97</v>
      </c>
      <c r="J1565" s="45" t="n"/>
      <c r="K1565" s="45" t="n">
        <v>1124200</v>
      </c>
      <c r="L1565" s="45" t="n">
        <v>1151537.72</v>
      </c>
      <c r="M1565" s="45" t="n">
        <v>0</v>
      </c>
      <c r="N1565" s="45" t="n">
        <v>0</v>
      </c>
      <c r="O1565" s="45" t="n">
        <v>871309.7469540768</v>
      </c>
      <c r="P1565" s="45" t="n">
        <v>892500</v>
      </c>
      <c r="Q1565" s="45" t="n">
        <v>0</v>
      </c>
      <c r="R1565" s="45" t="n">
        <v>0</v>
      </c>
      <c r="S1565" s="45" t="n">
        <v>2001517.829954077</v>
      </c>
      <c r="T1565" s="45" t="n">
        <v>2050191.91957856</v>
      </c>
      <c r="U1565" s="15" t="n">
        <v>8.949999999999999</v>
      </c>
      <c r="V1565" s="15" t="n">
        <v>18.70102499999997</v>
      </c>
      <c r="W1565" s="49" t="n">
        <v>102.432</v>
      </c>
    </row>
    <row r="1566">
      <c r="A1566" s="44" t="inlineStr">
        <is>
          <t>TL Cinsi Degisken Faizli Kuponlu Senetler</t>
        </is>
      </c>
      <c r="B1566" s="44" t="n">
        <v>2008</v>
      </c>
      <c r="C1566" s="44" t="inlineStr">
        <is>
          <t>TRT260613T17</t>
        </is>
      </c>
      <c r="D1566" s="44" t="inlineStr">
        <is>
          <t>nan</t>
        </is>
      </c>
      <c r="E1566" s="44" t="inlineStr">
        <is>
          <t>nan</t>
        </is>
      </c>
      <c r="F1566" s="44" t="n"/>
      <c r="G1566" s="44" t="n"/>
      <c r="H1566" s="15" t="n"/>
      <c r="I1566" s="45" t="n">
        <v>4390168.905</v>
      </c>
      <c r="J1566" s="45" t="n"/>
      <c r="K1566" s="45" t="n">
        <v>2269050</v>
      </c>
      <c r="L1566" s="45" t="n">
        <v>2284847.09</v>
      </c>
      <c r="M1566" s="45" t="n">
        <v>1987169.301660443</v>
      </c>
      <c r="N1566" s="45" t="n">
        <v>2001000</v>
      </c>
      <c r="O1566" s="45" t="n">
        <v>1591634.225788512</v>
      </c>
      <c r="P1566" s="45" t="n">
        <v>1602712</v>
      </c>
      <c r="Q1566" s="45" t="n">
        <v>0</v>
      </c>
      <c r="R1566" s="45" t="n">
        <v>0</v>
      </c>
      <c r="S1566" s="45" t="n">
        <v>6286949.952448955</v>
      </c>
      <c r="T1566" s="45" t="n">
        <v>6330711.626118</v>
      </c>
      <c r="U1566" s="15" t="n">
        <v>4.88</v>
      </c>
      <c r="V1566" s="15" t="n">
        <v>21.01591683444733</v>
      </c>
      <c r="W1566" s="49" t="n">
        <v>100.696</v>
      </c>
    </row>
    <row r="1567">
      <c r="A1567" s="44" t="inlineStr">
        <is>
          <t>TL Cinsi Degisken Faizli Kuponlu Senetler</t>
        </is>
      </c>
      <c r="B1567" s="44" t="n">
        <v>2008</v>
      </c>
      <c r="C1567" s="44" t="inlineStr">
        <is>
          <t>TRT260613T17</t>
        </is>
      </c>
      <c r="D1567" s="44" t="inlineStr">
        <is>
          <t>nan</t>
        </is>
      </c>
      <c r="E1567" s="44" t="inlineStr">
        <is>
          <t>nan</t>
        </is>
      </c>
      <c r="F1567" s="44" t="n"/>
      <c r="G1567" s="44" t="n"/>
      <c r="H1567" s="15" t="n"/>
      <c r="I1567" s="45" t="n">
        <v>3869216.244</v>
      </c>
      <c r="J1567" s="45" t="n"/>
      <c r="K1567" s="45" t="n">
        <v>1145000</v>
      </c>
      <c r="L1567" s="45" t="n">
        <v>1206190.5</v>
      </c>
      <c r="M1567" s="45" t="n">
        <v>1044198.055893074</v>
      </c>
      <c r="N1567" s="45" t="n">
        <v>1100000</v>
      </c>
      <c r="O1567" s="45" t="n">
        <v>1239257.10054678</v>
      </c>
      <c r="P1567" s="45" t="n">
        <v>1305483</v>
      </c>
      <c r="Q1567" s="45" t="n">
        <v>0</v>
      </c>
      <c r="R1567" s="45" t="n">
        <v>0</v>
      </c>
      <c r="S1567" s="45" t="n">
        <v>3828172.273439855</v>
      </c>
      <c r="T1567" s="45" t="n">
        <v>4032751.49973248</v>
      </c>
      <c r="U1567" s="15" t="n">
        <v>4.69</v>
      </c>
      <c r="V1567" s="15" t="n">
        <v>20.14151451201516</v>
      </c>
      <c r="W1567" s="49" t="n">
        <v>105.344</v>
      </c>
    </row>
    <row r="1568">
      <c r="A1568" s="44" t="inlineStr">
        <is>
          <t>TL Cinsi Degisken Faizli Kuponlu Senetler</t>
        </is>
      </c>
      <c r="B1568" s="44" t="n">
        <v>2008</v>
      </c>
      <c r="C1568" s="44" t="inlineStr">
        <is>
          <t>TRT260613T17</t>
        </is>
      </c>
      <c r="D1568" s="44" t="inlineStr">
        <is>
          <t>nan</t>
        </is>
      </c>
      <c r="E1568" s="44" t="inlineStr">
        <is>
          <t>nan</t>
        </is>
      </c>
      <c r="F1568" s="44" t="n"/>
      <c r="G1568" s="44" t="n"/>
      <c r="H1568" s="15" t="n"/>
      <c r="I1568" s="45" t="n">
        <v>2658396.95</v>
      </c>
      <c r="J1568" s="45" t="n"/>
      <c r="K1568" s="45" t="n">
        <v>2400000</v>
      </c>
      <c r="L1568" s="45" t="n">
        <v>2509200</v>
      </c>
      <c r="M1568" s="45" t="n">
        <v>114108.0822572932</v>
      </c>
      <c r="N1568" s="45" t="n">
        <v>119300</v>
      </c>
      <c r="O1568" s="45" t="n">
        <v>747967.4796747968</v>
      </c>
      <c r="P1568" s="45" t="n">
        <v>782000</v>
      </c>
      <c r="Q1568" s="45" t="n">
        <v>0</v>
      </c>
      <c r="R1568" s="45" t="n">
        <v>0</v>
      </c>
      <c r="S1568" s="45" t="n">
        <v>3262075.56193209</v>
      </c>
      <c r="T1568" s="45" t="n">
        <v>3410500</v>
      </c>
      <c r="U1568" s="15" t="n">
        <v>4.75</v>
      </c>
      <c r="V1568" s="15" t="n">
        <v>20.3971278164063</v>
      </c>
      <c r="W1568" s="49" t="n">
        <v>104.55</v>
      </c>
    </row>
    <row r="1569">
      <c r="A1569" s="44" t="inlineStr">
        <is>
          <t>TL Cinsi Degisken Faizli Kuponlu Senetler</t>
        </is>
      </c>
      <c r="B1569" s="44" t="n">
        <v>2008</v>
      </c>
      <c r="C1569" s="44" t="inlineStr">
        <is>
          <t>TRT201113T16</t>
        </is>
      </c>
      <c r="D1569" s="44" t="inlineStr">
        <is>
          <t>nan</t>
        </is>
      </c>
      <c r="E1569" s="44" t="inlineStr">
        <is>
          <t>nan</t>
        </is>
      </c>
      <c r="F1569" s="44" t="n"/>
      <c r="G1569" s="44" t="n"/>
      <c r="H1569" s="15" t="n"/>
      <c r="I1569" s="45" t="n">
        <v>2390551.25</v>
      </c>
      <c r="J1569" s="45" t="n"/>
      <c r="K1569" s="45" t="n">
        <v>2056668.43</v>
      </c>
      <c r="L1569" s="45" t="n">
        <v>2121249.2749</v>
      </c>
      <c r="M1569" s="45" t="n">
        <v>2084545.278262556</v>
      </c>
      <c r="N1569" s="45" t="n">
        <v>2150000</v>
      </c>
      <c r="O1569" s="45" t="n">
        <v>2354712.041884817</v>
      </c>
      <c r="P1569" s="45" t="n">
        <v>2428650</v>
      </c>
      <c r="Q1569" s="45" t="n">
        <v>0</v>
      </c>
      <c r="R1569" s="45" t="n">
        <v>0</v>
      </c>
      <c r="S1569" s="45" t="n">
        <v>6495925.750147372</v>
      </c>
      <c r="T1569" s="45" t="n">
        <v>6699899.274900001</v>
      </c>
      <c r="U1569" s="15" t="n">
        <v>4.95</v>
      </c>
      <c r="V1569" s="15" t="n">
        <v>21.31926532250632</v>
      </c>
      <c r="W1569" s="49" t="n">
        <v>103.14</v>
      </c>
    </row>
    <row r="1570">
      <c r="A1570" s="44" t="inlineStr">
        <is>
          <t>TL Cinsi Degisken Faizli Kuponlu Senetler</t>
        </is>
      </c>
      <c r="B1570" s="44" t="n">
        <v>2007</v>
      </c>
      <c r="C1570" s="44" t="inlineStr">
        <is>
          <t>TRT260214T10</t>
        </is>
      </c>
      <c r="D1570" s="44" t="inlineStr">
        <is>
          <t>nan</t>
        </is>
      </c>
      <c r="E1570" s="44" t="inlineStr">
        <is>
          <t>nan</t>
        </is>
      </c>
      <c r="F1570" s="44" t="n"/>
      <c r="G1570" s="44" t="n"/>
      <c r="H1570" s="15" t="n"/>
      <c r="I1570" s="45" t="n">
        <v>2333889.757</v>
      </c>
      <c r="J1570" s="45" t="n"/>
      <c r="K1570" s="45" t="n">
        <v>1375361.88</v>
      </c>
      <c r="L1570" s="45" t="n">
        <v>1392558.6593</v>
      </c>
      <c r="M1570" s="45" t="n">
        <v>98765.43209876542</v>
      </c>
      <c r="N1570" s="45" t="n">
        <v>100000</v>
      </c>
      <c r="O1570" s="45" t="n">
        <v>1369299.654320988</v>
      </c>
      <c r="P1570" s="45" t="n">
        <v>1386415.9</v>
      </c>
      <c r="Q1570" s="45" t="n">
        <v>0</v>
      </c>
      <c r="R1570" s="45" t="n">
        <v>0</v>
      </c>
      <c r="S1570" s="45" t="n">
        <v>3067945.801419753</v>
      </c>
      <c r="T1570" s="45" t="n">
        <v>3106299.8797375</v>
      </c>
      <c r="U1570" s="15" t="n">
        <v>10.6</v>
      </c>
      <c r="V1570" s="15" t="n">
        <v>22.33360000000002</v>
      </c>
      <c r="W1570" s="49" t="n">
        <v>101.25</v>
      </c>
    </row>
    <row r="1571">
      <c r="A1571" s="44" t="inlineStr">
        <is>
          <t>TL Cinsi Degisken Faizli Kuponlu Senetler</t>
        </is>
      </c>
      <c r="B1571" s="44" t="n">
        <v>2007</v>
      </c>
      <c r="C1571" s="44" t="inlineStr">
        <is>
          <t>TRT260214T10</t>
        </is>
      </c>
      <c r="D1571" s="44" t="inlineStr">
        <is>
          <t>nan</t>
        </is>
      </c>
      <c r="E1571" s="44" t="inlineStr">
        <is>
          <t>nan</t>
        </is>
      </c>
      <c r="F1571" s="44" t="n"/>
      <c r="G1571" s="44" t="n"/>
      <c r="H1571" s="15" t="n"/>
      <c r="I1571" s="45" t="n">
        <v>2655853.579</v>
      </c>
      <c r="J1571" s="45" t="n"/>
      <c r="K1571" s="45" t="n">
        <v>1180886.85</v>
      </c>
      <c r="L1571" s="45" t="n">
        <v>1258493.25412</v>
      </c>
      <c r="M1571" s="45" t="n">
        <v>1360582.516983823</v>
      </c>
      <c r="N1571" s="45" t="n">
        <v>1450000</v>
      </c>
      <c r="O1571" s="45" t="n">
        <v>1091249.390083699</v>
      </c>
      <c r="P1571" s="45" t="n">
        <v>1162966.3</v>
      </c>
      <c r="Q1571" s="45" t="n">
        <v>0</v>
      </c>
      <c r="R1571" s="45" t="n">
        <v>0</v>
      </c>
      <c r="S1571" s="45" t="n">
        <v>3767838.676067523</v>
      </c>
      <c r="T1571" s="45" t="n">
        <v>4015459.55419668</v>
      </c>
      <c r="U1571" s="15" t="n">
        <v>10.37</v>
      </c>
      <c r="V1571" s="15" t="n">
        <v>21.80536899999998</v>
      </c>
      <c r="W1571" s="49" t="n">
        <v>106.572</v>
      </c>
    </row>
    <row r="1572">
      <c r="A1572" s="44" t="inlineStr">
        <is>
          <t>TL Cinsi Degisken Faizli Kuponlu Senetler</t>
        </is>
      </c>
      <c r="B1572" s="44" t="n">
        <v>2007</v>
      </c>
      <c r="C1572" s="44" t="inlineStr">
        <is>
          <t>TRT260214T10</t>
        </is>
      </c>
      <c r="D1572" s="44" t="inlineStr">
        <is>
          <t>nan</t>
        </is>
      </c>
      <c r="E1572" s="44" t="inlineStr">
        <is>
          <t>nan</t>
        </is>
      </c>
      <c r="F1572" s="44" t="n"/>
      <c r="G1572" s="44" t="n"/>
      <c r="H1572" s="15" t="n"/>
      <c r="I1572" s="45" t="n">
        <v>1222663.4</v>
      </c>
      <c r="J1572" s="45" t="n"/>
      <c r="K1572" s="45" t="n">
        <v>841630.96</v>
      </c>
      <c r="L1572" s="45" t="n">
        <v>916914.18718</v>
      </c>
      <c r="M1572" s="45" t="n">
        <v>298315.6630042682</v>
      </c>
      <c r="N1572" s="45" t="n">
        <v>324999.99906</v>
      </c>
      <c r="O1572" s="45" t="n">
        <v>1138785.624985084</v>
      </c>
      <c r="P1572" s="45" t="n">
        <v>1240649.99914</v>
      </c>
      <c r="Q1572" s="45" t="n">
        <v>0</v>
      </c>
      <c r="R1572" s="45" t="n">
        <v>0</v>
      </c>
      <c r="S1572" s="45" t="n">
        <v>2278732.247989352</v>
      </c>
      <c r="T1572" s="45" t="n">
        <v>2482564.18538</v>
      </c>
      <c r="U1572" s="15" t="n">
        <v>10.43</v>
      </c>
      <c r="V1572" s="15" t="n">
        <v>21.95784900000002</v>
      </c>
      <c r="W1572" s="49" t="n">
        <v>108.945</v>
      </c>
    </row>
    <row r="1573">
      <c r="A1573" s="44" t="inlineStr">
        <is>
          <t>TL Cinsi Degisken Faizli Kuponlu Senetler</t>
        </is>
      </c>
      <c r="B1573" s="44" t="n">
        <v>2007</v>
      </c>
      <c r="C1573" s="44" t="inlineStr">
        <is>
          <t>TRT260214T10</t>
        </is>
      </c>
      <c r="D1573" s="44" t="inlineStr">
        <is>
          <t>nan</t>
        </is>
      </c>
      <c r="E1573" s="44" t="inlineStr">
        <is>
          <t>nan</t>
        </is>
      </c>
      <c r="F1573" s="44" t="n"/>
      <c r="G1573" s="44" t="n"/>
      <c r="H1573" s="15" t="n"/>
      <c r="I1573" s="45" t="n">
        <v>829942.33</v>
      </c>
      <c r="J1573" s="45" t="n"/>
      <c r="K1573" s="45" t="n">
        <v>231500</v>
      </c>
      <c r="L1573" s="45" t="n">
        <v>254443.19</v>
      </c>
      <c r="M1573" s="45" t="n">
        <v>244288.5599985443</v>
      </c>
      <c r="N1573" s="45" t="n">
        <v>268499.99918</v>
      </c>
      <c r="O1573" s="45" t="n">
        <v>906187.7337118214</v>
      </c>
      <c r="P1573" s="45" t="n">
        <v>996000</v>
      </c>
      <c r="Q1573" s="45" t="n">
        <v>10724.641</v>
      </c>
      <c r="R1573" s="45" t="n">
        <v>11787.56016951</v>
      </c>
      <c r="S1573" s="45" t="n">
        <v>1392700.934710366</v>
      </c>
      <c r="T1573" s="45" t="n">
        <v>1530730.74934951</v>
      </c>
      <c r="U1573" s="15" t="n">
        <v>10.47</v>
      </c>
      <c r="V1573" s="15" t="n">
        <v>22.046209</v>
      </c>
      <c r="W1573" s="49" t="n">
        <v>109.911</v>
      </c>
    </row>
    <row r="1574">
      <c r="A1574" s="44" t="inlineStr">
        <is>
          <t>TL Cinsi Degisken Faizli Kuponlu Senetler</t>
        </is>
      </c>
      <c r="B1574" s="44" t="n">
        <v>2007</v>
      </c>
      <c r="C1574" s="44" t="inlineStr">
        <is>
          <t>TRT260214T10</t>
        </is>
      </c>
      <c r="D1574" s="44" t="inlineStr">
        <is>
          <t>nan</t>
        </is>
      </c>
      <c r="E1574" s="44" t="inlineStr">
        <is>
          <t>nan</t>
        </is>
      </c>
      <c r="F1574" s="44" t="n"/>
      <c r="G1574" s="44" t="n"/>
      <c r="H1574" s="15" t="n"/>
      <c r="I1574" s="45" t="n">
        <v>5135692.93</v>
      </c>
      <c r="J1574" s="45" t="n"/>
      <c r="K1574" s="45" t="n">
        <v>1500040.57</v>
      </c>
      <c r="L1574" s="45" t="n">
        <v>1510953.8627</v>
      </c>
      <c r="M1574" s="45" t="n">
        <v>64530.21999841157</v>
      </c>
      <c r="N1574" s="45" t="n">
        <v>65000</v>
      </c>
      <c r="O1574" s="45" t="n">
        <v>1205543.642284171</v>
      </c>
      <c r="P1574" s="45" t="n">
        <v>1214320</v>
      </c>
      <c r="Q1574" s="45" t="n">
        <v>2405.693</v>
      </c>
      <c r="R1574" s="45" t="n">
        <v>2423.20644504</v>
      </c>
      <c r="S1574" s="45" t="n">
        <v>2994520.125282583</v>
      </c>
      <c r="T1574" s="45" t="n">
        <v>3016313.22914504</v>
      </c>
      <c r="U1574" s="15" t="n">
        <v>9.539999999999999</v>
      </c>
      <c r="V1574" s="15" t="n">
        <v>19.99011599999998</v>
      </c>
      <c r="W1574" s="49" t="n">
        <v>100.728</v>
      </c>
    </row>
    <row r="1575">
      <c r="A1575" s="44" t="inlineStr">
        <is>
          <t>TL Cinsi Degisken Faizli Kuponlu Senetler</t>
        </is>
      </c>
      <c r="B1575" s="44" t="n">
        <v>2006</v>
      </c>
      <c r="C1575" s="44" t="inlineStr">
        <is>
          <t>TRT120111T10</t>
        </is>
      </c>
      <c r="D1575" s="44" t="inlineStr">
        <is>
          <t>nan</t>
        </is>
      </c>
      <c r="E1575" s="44" t="inlineStr">
        <is>
          <t>nan</t>
        </is>
      </c>
      <c r="F1575" s="44" t="n"/>
      <c r="G1575" s="44" t="n"/>
      <c r="H1575" s="15" t="n"/>
      <c r="I1575" s="45" t="n">
        <v>8210033.34</v>
      </c>
      <c r="J1575" s="45" t="n"/>
      <c r="K1575" s="45" t="n">
        <v>2308005.715</v>
      </c>
      <c r="L1575" s="45" t="n">
        <v>2423998.26504</v>
      </c>
      <c r="M1575" s="45" t="n">
        <v>361815.1689962486</v>
      </c>
      <c r="N1575" s="45" t="n">
        <v>379999.99939</v>
      </c>
      <c r="O1575" s="45" t="n">
        <v>1321277.780016377</v>
      </c>
      <c r="P1575" s="45" t="n">
        <v>1387685.20124</v>
      </c>
      <c r="Q1575" s="45" t="n">
        <v>87902.386</v>
      </c>
      <c r="R1575" s="45" t="n">
        <v>92320.35992036</v>
      </c>
      <c r="S1575" s="45" t="n">
        <v>4079001.050012625</v>
      </c>
      <c r="T1575" s="45" t="n">
        <v>4284003.82559036</v>
      </c>
      <c r="U1575" s="15" t="n">
        <v>7.38</v>
      </c>
      <c r="V1575" s="15" t="n">
        <v>15.31464400000002</v>
      </c>
      <c r="W1575" s="49" t="n">
        <v>105.026</v>
      </c>
    </row>
    <row r="1576">
      <c r="A1576" s="44" t="inlineStr">
        <is>
          <t>TL Cinsi Degisken Faizli Kuponlu Senetler</t>
        </is>
      </c>
      <c r="B1576" s="44" t="n">
        <v>2006</v>
      </c>
      <c r="C1576" s="44" t="inlineStr">
        <is>
          <t>TRT120111T10</t>
        </is>
      </c>
      <c r="D1576" s="44" t="inlineStr">
        <is>
          <t>nan</t>
        </is>
      </c>
      <c r="E1576" s="44" t="inlineStr">
        <is>
          <t>nan</t>
        </is>
      </c>
      <c r="F1576" s="44" t="n"/>
      <c r="G1576" s="44" t="n"/>
      <c r="H1576" s="15" t="n"/>
      <c r="I1576" s="45" t="n">
        <v>4144754.23</v>
      </c>
      <c r="J1576" s="45" t="n"/>
      <c r="K1576" s="45" t="n">
        <v>2337685.115</v>
      </c>
      <c r="L1576" s="45" t="n">
        <v>2498614.84578</v>
      </c>
      <c r="M1576" s="45" t="n">
        <v>951031.0242880132</v>
      </c>
      <c r="N1576" s="45" t="n">
        <v>1016500</v>
      </c>
      <c r="O1576" s="45" t="n">
        <v>861514.0713296658</v>
      </c>
      <c r="P1576" s="45" t="n">
        <v>920820.7</v>
      </c>
      <c r="Q1576" s="45" t="n">
        <v>64961.517</v>
      </c>
      <c r="R1576" s="45" t="n">
        <v>69433.46783028</v>
      </c>
      <c r="S1576" s="45" t="n">
        <v>4215191.727617679</v>
      </c>
      <c r="T1576" s="45" t="n">
        <v>4505369.01361028</v>
      </c>
      <c r="U1576" s="15" t="n">
        <v>7.32</v>
      </c>
      <c r="V1576" s="15" t="n">
        <v>15.17582399999999</v>
      </c>
      <c r="W1576" s="49" t="n">
        <v>106.884</v>
      </c>
    </row>
    <row r="1577">
      <c r="A1577" s="44" t="inlineStr">
        <is>
          <t>TL Cinsi Degisken Faizli Kuponlu Senetler</t>
        </is>
      </c>
      <c r="B1577" s="44" t="n">
        <v>2006</v>
      </c>
      <c r="C1577" s="44" t="inlineStr">
        <is>
          <t>TRT120111T10</t>
        </is>
      </c>
      <c r="D1577" s="44" t="inlineStr">
        <is>
          <t>nan</t>
        </is>
      </c>
      <c r="E1577" s="44" t="inlineStr">
        <is>
          <t>nan</t>
        </is>
      </c>
      <c r="F1577" s="44" t="n"/>
      <c r="G1577" s="44" t="n"/>
      <c r="H1577" s="15" t="n"/>
      <c r="I1577" s="45" t="n">
        <v>2169350</v>
      </c>
      <c r="J1577" s="45" t="n"/>
      <c r="K1577" s="45" t="n">
        <v>952894.838</v>
      </c>
      <c r="L1577" s="45" t="n">
        <v>1028449.64002</v>
      </c>
      <c r="M1577" s="45" t="n">
        <v>0</v>
      </c>
      <c r="N1577" s="45" t="n">
        <v>0</v>
      </c>
      <c r="O1577" s="45" t="n">
        <v>416940.7669857036</v>
      </c>
      <c r="P1577" s="45" t="n">
        <v>450000.0004</v>
      </c>
      <c r="Q1577" s="45" t="n">
        <v>59345.133</v>
      </c>
      <c r="R1577" s="45" t="n">
        <v>64050.60859557</v>
      </c>
      <c r="S1577" s="45" t="n">
        <v>1489180.737985704</v>
      </c>
      <c r="T1577" s="45" t="n">
        <v>1607257.64901557</v>
      </c>
      <c r="U1577" s="15" t="n">
        <v>7.3</v>
      </c>
      <c r="V1577" s="15" t="n">
        <v>15.13289999999998</v>
      </c>
      <c r="W1577" s="49" t="n">
        <v>107.929</v>
      </c>
    </row>
    <row r="1578">
      <c r="A1578" s="44" t="inlineStr">
        <is>
          <t>TL Cinsi Degisken Faizli Kuponlu Senetler</t>
        </is>
      </c>
      <c r="B1578" s="44" t="n">
        <v>2006</v>
      </c>
      <c r="C1578" s="44" t="inlineStr">
        <is>
          <t>TRT120111T10</t>
        </is>
      </c>
      <c r="D1578" s="44" t="inlineStr">
        <is>
          <t>nan</t>
        </is>
      </c>
      <c r="E1578" s="44" t="inlineStr">
        <is>
          <t>nan</t>
        </is>
      </c>
      <c r="F1578" s="44" t="n"/>
      <c r="G1578" s="44" t="n"/>
      <c r="H1578" s="15" t="n"/>
      <c r="I1578" s="45" t="n">
        <v>2526667.2271</v>
      </c>
      <c r="J1578" s="45" t="n"/>
      <c r="K1578" s="45" t="n">
        <v>930300</v>
      </c>
      <c r="L1578" s="45" t="n">
        <v>1014241.823</v>
      </c>
      <c r="M1578" s="45" t="n">
        <v>0</v>
      </c>
      <c r="N1578" s="45" t="n">
        <v>0</v>
      </c>
      <c r="O1578" s="45" t="n">
        <v>687928.235308146</v>
      </c>
      <c r="P1578" s="45" t="n">
        <v>749999.99998</v>
      </c>
      <c r="Q1578" s="45" t="n">
        <v>80351.236</v>
      </c>
      <c r="R1578" s="45" t="n">
        <v>87601.32802428</v>
      </c>
      <c r="S1578" s="45" t="n">
        <v>1698579.471308146</v>
      </c>
      <c r="T1578" s="45" t="n">
        <v>1851843.15100428</v>
      </c>
      <c r="U1578" s="15" t="n">
        <v>7.31</v>
      </c>
      <c r="V1578" s="15" t="n">
        <v>15.16436099999998</v>
      </c>
      <c r="W1578" s="49" t="n">
        <v>109.023</v>
      </c>
    </row>
    <row r="1579">
      <c r="A1579" s="44" t="inlineStr">
        <is>
          <t>TL Cinsi Degisken Faizli Kuponlu Senetler</t>
        </is>
      </c>
      <c r="B1579" s="44" t="n">
        <v>2006</v>
      </c>
      <c r="C1579" s="44" t="inlineStr">
        <is>
          <t>TRT120111T10</t>
        </is>
      </c>
      <c r="D1579" s="44" t="inlineStr">
        <is>
          <t>nan</t>
        </is>
      </c>
      <c r="E1579" s="44" t="inlineStr">
        <is>
          <t>nan</t>
        </is>
      </c>
      <c r="F1579" s="44" t="n"/>
      <c r="G1579" s="44" t="n"/>
      <c r="H1579" s="15" t="n"/>
      <c r="I1579" s="45" t="n">
        <v>1855206.05</v>
      </c>
      <c r="J1579" s="45" t="n"/>
      <c r="K1579" s="45" t="n">
        <v>855206.05</v>
      </c>
      <c r="L1579" s="45" t="n">
        <v>934308.91182</v>
      </c>
      <c r="M1579" s="45" t="n">
        <v>908009.1533180778</v>
      </c>
      <c r="N1579" s="45" t="n">
        <v>992000</v>
      </c>
      <c r="O1579" s="45" t="n">
        <v>411899.3135011442</v>
      </c>
      <c r="P1579" s="45" t="n">
        <v>450000</v>
      </c>
      <c r="Q1579" s="45" t="n">
        <v>63268.831</v>
      </c>
      <c r="R1579" s="45" t="n">
        <v>69121.1978675</v>
      </c>
      <c r="S1579" s="45" t="n">
        <v>2238383.347819222</v>
      </c>
      <c r="T1579" s="45" t="n">
        <v>2445430.1096875</v>
      </c>
      <c r="U1579" s="15" t="n">
        <v>7.54</v>
      </c>
      <c r="V1579" s="15" t="n">
        <v>15.64851599999999</v>
      </c>
      <c r="W1579" s="49" t="n">
        <v>109.25</v>
      </c>
    </row>
    <row r="1580">
      <c r="A1580" s="44" t="inlineStr">
        <is>
          <t>TL Cinsi Degisken Faizli Kuponlu Senetler</t>
        </is>
      </c>
      <c r="B1580" s="44" t="n">
        <v>2006</v>
      </c>
      <c r="C1580" s="44" t="inlineStr">
        <is>
          <t>TRT120111T10</t>
        </is>
      </c>
      <c r="D1580" s="44" t="inlineStr">
        <is>
          <t>nan</t>
        </is>
      </c>
      <c r="E1580" s="44" t="inlineStr">
        <is>
          <t>nan</t>
        </is>
      </c>
      <c r="F1580" s="44" t="n"/>
      <c r="G1580" s="44" t="n"/>
      <c r="H1580" s="15" t="n"/>
      <c r="I1580" s="45" t="n">
        <v>1139002.5</v>
      </c>
      <c r="J1580" s="45" t="n"/>
      <c r="K1580" s="45" t="n">
        <v>488792</v>
      </c>
      <c r="L1580" s="45" t="n">
        <v>523046.33464</v>
      </c>
      <c r="M1580" s="45" t="n">
        <v>535473.9832535886</v>
      </c>
      <c r="N1580" s="45" t="n">
        <v>573000</v>
      </c>
      <c r="O1580" s="45" t="n">
        <v>675837.3205741628</v>
      </c>
      <c r="P1580" s="45" t="n">
        <v>723200</v>
      </c>
      <c r="Q1580" s="45" t="n">
        <v>57920.454</v>
      </c>
      <c r="R1580" s="45" t="n">
        <v>61979.51941632</v>
      </c>
      <c r="S1580" s="45" t="n">
        <v>1758023.757827751</v>
      </c>
      <c r="T1580" s="45" t="n">
        <v>1881225.85405632</v>
      </c>
      <c r="U1580" s="15" t="n">
        <v>8.029999999999999</v>
      </c>
      <c r="V1580" s="15" t="n">
        <v>16.704809</v>
      </c>
      <c r="W1580" s="49" t="n">
        <v>107.008</v>
      </c>
    </row>
    <row r="1581">
      <c r="A1581" s="44" t="inlineStr">
        <is>
          <t>TL Cinsi Degisken Faizli Kuponlu Senetler</t>
        </is>
      </c>
      <c r="B1581" s="44" t="n">
        <v>2006</v>
      </c>
      <c r="C1581" s="44" t="inlineStr">
        <is>
          <t>TRT070911T19</t>
        </is>
      </c>
      <c r="D1581" s="44" t="inlineStr">
        <is>
          <t>nan</t>
        </is>
      </c>
      <c r="E1581" s="44" t="inlineStr">
        <is>
          <t>nan</t>
        </is>
      </c>
      <c r="F1581" s="44" t="n"/>
      <c r="G1581" s="44" t="n"/>
      <c r="H1581" s="15" t="n"/>
      <c r="I1581" s="45" t="n">
        <v>1927405.355</v>
      </c>
      <c r="J1581" s="45" t="n"/>
      <c r="K1581" s="45" t="n">
        <v>831107.925</v>
      </c>
      <c r="L1581" s="45" t="n">
        <v>837945.0533199999</v>
      </c>
      <c r="M1581" s="45" t="n">
        <v>269779.7129623201</v>
      </c>
      <c r="N1581" s="45" t="n">
        <v>272000</v>
      </c>
      <c r="O1581" s="45" t="n">
        <v>2016048.917409718</v>
      </c>
      <c r="P1581" s="45" t="n">
        <v>2032641</v>
      </c>
      <c r="Q1581" s="45" t="n">
        <v>0</v>
      </c>
      <c r="R1581" s="45" t="n">
        <v>0</v>
      </c>
      <c r="S1581" s="45" t="n">
        <v>3181174.000372038</v>
      </c>
      <c r="T1581" s="45" t="n">
        <v>3207352.17249235</v>
      </c>
      <c r="U1581" s="15" t="n">
        <v>11.23</v>
      </c>
      <c r="V1581" s="15" t="n">
        <v>23.72112900000001</v>
      </c>
      <c r="W1581" s="49" t="n">
        <v>100.823</v>
      </c>
    </row>
    <row r="1582">
      <c r="A1582" s="44" t="inlineStr">
        <is>
          <t>TL Cinsi Degisken Faizli Kuponlu Senetler</t>
        </is>
      </c>
      <c r="B1582" s="44" t="n">
        <v>2006</v>
      </c>
      <c r="C1582" s="44" t="inlineStr">
        <is>
          <t>TRT070911T19</t>
        </is>
      </c>
      <c r="D1582" s="44" t="inlineStr">
        <is>
          <t>nan</t>
        </is>
      </c>
      <c r="E1582" s="44" t="inlineStr">
        <is>
          <t>nan</t>
        </is>
      </c>
      <c r="F1582" s="44" t="n"/>
      <c r="G1582" s="44" t="n"/>
      <c r="H1582" s="15" t="n"/>
      <c r="I1582" s="45" t="n">
        <v>1479728</v>
      </c>
      <c r="J1582" s="45" t="n"/>
      <c r="K1582" s="45" t="n">
        <v>1034900</v>
      </c>
      <c r="L1582" s="45" t="n">
        <v>1055482.432</v>
      </c>
      <c r="M1582" s="45" t="n">
        <v>0</v>
      </c>
      <c r="N1582" s="45" t="n">
        <v>0</v>
      </c>
      <c r="O1582" s="45" t="n">
        <v>874064.8501308964</v>
      </c>
      <c r="P1582" s="45" t="n">
        <v>891450</v>
      </c>
      <c r="Q1582" s="45" t="n">
        <v>0</v>
      </c>
      <c r="R1582" s="45" t="n">
        <v>0</v>
      </c>
      <c r="S1582" s="45" t="n">
        <v>1948289.090130896</v>
      </c>
      <c r="T1582" s="45" t="n">
        <v>1987038.8311336</v>
      </c>
      <c r="U1582" s="15" t="n">
        <v>11.24</v>
      </c>
      <c r="V1582" s="15" t="n">
        <v>23.753376</v>
      </c>
      <c r="W1582" s="49" t="n">
        <v>101.989</v>
      </c>
    </row>
    <row r="1583">
      <c r="A1583" s="44" t="inlineStr">
        <is>
          <t>TL Cinsi Degisken Faizli Kuponlu Senetler</t>
        </is>
      </c>
      <c r="B1583" s="44" t="n">
        <v>2006</v>
      </c>
      <c r="C1583" s="44" t="inlineStr">
        <is>
          <t>TRT070911T19</t>
        </is>
      </c>
      <c r="D1583" s="44" t="inlineStr">
        <is>
          <t>nan</t>
        </is>
      </c>
      <c r="E1583" s="44" t="inlineStr">
        <is>
          <t>nan</t>
        </is>
      </c>
      <c r="F1583" s="44" t="n"/>
      <c r="G1583" s="44" t="n"/>
      <c r="H1583" s="15" t="n"/>
      <c r="I1583" s="45" t="n">
        <v>3204325.565</v>
      </c>
      <c r="J1583" s="45" t="n"/>
      <c r="K1583" s="45" t="n">
        <v>1460000</v>
      </c>
      <c r="L1583" s="45" t="n">
        <v>1564761.25</v>
      </c>
      <c r="M1583" s="45" t="n">
        <v>198740.377886634</v>
      </c>
      <c r="N1583" s="45" t="n">
        <v>213000</v>
      </c>
      <c r="O1583" s="45" t="n">
        <v>1057871.005365057</v>
      </c>
      <c r="P1583" s="45" t="n">
        <v>1133773.25</v>
      </c>
      <c r="Q1583" s="45" t="n">
        <v>0</v>
      </c>
      <c r="R1583" s="45" t="n">
        <v>0</v>
      </c>
      <c r="S1583" s="45" t="n">
        <v>2796765.244251691</v>
      </c>
      <c r="T1583" s="45" t="n">
        <v>2997439.40052675</v>
      </c>
      <c r="U1583" s="15" t="n">
        <v>10.86</v>
      </c>
      <c r="V1583" s="15" t="n">
        <v>22.89939600000002</v>
      </c>
      <c r="W1583" s="49" t="n">
        <v>107.175</v>
      </c>
    </row>
    <row r="1584">
      <c r="A1584" s="44" t="inlineStr">
        <is>
          <t>TL Cinsi Degisken Faizli Kuponlu Senetler</t>
        </is>
      </c>
      <c r="B1584" s="44" t="n">
        <v>2006</v>
      </c>
      <c r="C1584" s="44" t="inlineStr">
        <is>
          <t>TRT020708T11</t>
        </is>
      </c>
      <c r="D1584" s="44" t="inlineStr">
        <is>
          <t>nan</t>
        </is>
      </c>
      <c r="E1584" s="44" t="inlineStr">
        <is>
          <t>nan</t>
        </is>
      </c>
      <c r="F1584" s="44" t="n"/>
      <c r="G1584" s="44" t="n"/>
      <c r="H1584" s="15" t="n"/>
      <c r="I1584" s="45" t="n">
        <v>2728548.79</v>
      </c>
      <c r="J1584" s="45" t="n"/>
      <c r="K1584" s="45" t="n">
        <v>2134589.22</v>
      </c>
      <c r="L1584" s="45" t="n">
        <v>2132167.77255</v>
      </c>
      <c r="M1584" s="45" t="n">
        <v>962587.7241282649</v>
      </c>
      <c r="N1584" s="45" t="n">
        <v>961500</v>
      </c>
      <c r="O1584" s="45" t="n">
        <v>1459899.68664591</v>
      </c>
      <c r="P1584" s="45" t="n">
        <v>1458250</v>
      </c>
      <c r="Q1584" s="45" t="n">
        <v>0</v>
      </c>
      <c r="R1584" s="45" t="n">
        <v>0</v>
      </c>
      <c r="S1584" s="45" t="n">
        <v>4557076.630774175</v>
      </c>
      <c r="T1584" s="45" t="n">
        <v>4551917.77255</v>
      </c>
      <c r="U1584" s="15" t="n">
        <v>5.73</v>
      </c>
      <c r="V1584" s="15" t="n">
        <v>24.96630500612236</v>
      </c>
      <c r="W1584" s="49" t="n">
        <v>99.887</v>
      </c>
    </row>
    <row r="1585">
      <c r="A1585" s="44" t="inlineStr">
        <is>
          <t>TL Cinsi Degisken Faizli Kuponlu Senetler</t>
        </is>
      </c>
      <c r="B1585" s="44" t="n">
        <v>2006</v>
      </c>
      <c r="C1585" s="44" t="inlineStr">
        <is>
          <t>TRT020708T11</t>
        </is>
      </c>
      <c r="D1585" s="44" t="inlineStr">
        <is>
          <t>nan</t>
        </is>
      </c>
      <c r="E1585" s="44" t="inlineStr">
        <is>
          <t>nan</t>
        </is>
      </c>
      <c r="F1585" s="44" t="n"/>
      <c r="G1585" s="44" t="n"/>
      <c r="H1585" s="15" t="n"/>
      <c r="I1585" s="45" t="n">
        <v>2820251.515</v>
      </c>
      <c r="J1585" s="45" t="n"/>
      <c r="K1585" s="45" t="n">
        <v>733980</v>
      </c>
      <c r="L1585" s="45" t="n">
        <v>758276.564</v>
      </c>
      <c r="M1585" s="45" t="n">
        <v>450101.6358532571</v>
      </c>
      <c r="N1585" s="45" t="n">
        <v>465000</v>
      </c>
      <c r="O1585" s="45" t="n">
        <v>1191404.508992353</v>
      </c>
      <c r="P1585" s="45" t="n">
        <v>1230839.99824</v>
      </c>
      <c r="Q1585" s="45" t="n">
        <v>4843.432</v>
      </c>
      <c r="R1585" s="45" t="n">
        <v>5003.7495992</v>
      </c>
      <c r="S1585" s="45" t="n">
        <v>2444345.52784561</v>
      </c>
      <c r="T1585" s="45" t="n">
        <v>2525255.1908173</v>
      </c>
      <c r="U1585" s="15" t="n">
        <v>5.66</v>
      </c>
      <c r="V1585" s="15" t="n">
        <v>24.64569087806736</v>
      </c>
      <c r="W1585" s="49" t="n">
        <v>103.31</v>
      </c>
    </row>
    <row r="1586">
      <c r="A1586" s="44" t="inlineStr">
        <is>
          <t>TL Cinsi Degisken Faizli Kuponlu Senetler</t>
        </is>
      </c>
      <c r="B1586" s="44" t="n">
        <v>2005</v>
      </c>
      <c r="C1586" s="44" t="inlineStr">
        <is>
          <t>TRT130906T18</t>
        </is>
      </c>
      <c r="D1586" s="44" t="inlineStr">
        <is>
          <t>nan</t>
        </is>
      </c>
      <c r="E1586" s="44" t="inlineStr">
        <is>
          <t>nan</t>
        </is>
      </c>
      <c r="F1586" s="44" t="n"/>
      <c r="G1586" s="44" t="n"/>
      <c r="H1586" s="15" t="n"/>
      <c r="I1586" s="45" t="n">
        <v>3593548.356</v>
      </c>
      <c r="J1586" s="45" t="n"/>
      <c r="K1586" s="45" t="n">
        <v>1759991.168</v>
      </c>
      <c r="L1586" s="45" t="n">
        <v>1825722.53786</v>
      </c>
      <c r="M1586" s="45" t="n">
        <v>0</v>
      </c>
      <c r="N1586" s="45" t="n">
        <v>0</v>
      </c>
      <c r="O1586" s="45" t="n">
        <v>1474937.099339664</v>
      </c>
      <c r="P1586" s="45" t="n">
        <v>1530026</v>
      </c>
      <c r="Q1586" s="45" t="n">
        <v>0</v>
      </c>
      <c r="R1586" s="45" t="n">
        <v>0</v>
      </c>
      <c r="S1586" s="45" t="n">
        <v>3446332.022339663</v>
      </c>
      <c r="T1586" s="45" t="n">
        <v>3575048.22310925</v>
      </c>
      <c r="U1586" s="15" t="n">
        <v>6.14</v>
      </c>
      <c r="V1586" s="15" t="n">
        <v>26.89598747744013</v>
      </c>
      <c r="W1586" s="49" t="n">
        <v>103.735</v>
      </c>
    </row>
    <row r="1587">
      <c r="A1587" s="44" t="inlineStr">
        <is>
          <t>TL Cinsi Degisken Faizli Kuponlu Senetler</t>
        </is>
      </c>
      <c r="B1587" s="44" t="n">
        <v>2005</v>
      </c>
      <c r="C1587" s="44" t="inlineStr">
        <is>
          <t>TRT130906T18</t>
        </is>
      </c>
      <c r="D1587" s="44" t="inlineStr">
        <is>
          <t>nan</t>
        </is>
      </c>
      <c r="E1587" s="44" t="inlineStr">
        <is>
          <t>nan</t>
        </is>
      </c>
      <c r="F1587" s="44" t="n"/>
      <c r="G1587" s="44" t="n"/>
      <c r="H1587" s="15" t="n"/>
      <c r="I1587" s="45" t="n">
        <v>2475346.267</v>
      </c>
      <c r="J1587" s="45" t="n"/>
      <c r="K1587" s="45" t="n">
        <v>422537.7</v>
      </c>
      <c r="L1587" s="45" t="n">
        <v>448457.3297</v>
      </c>
      <c r="M1587" s="45" t="n">
        <v>43906.75900277009</v>
      </c>
      <c r="N1587" s="45" t="n">
        <v>46599.9996</v>
      </c>
      <c r="O1587" s="45" t="n">
        <v>1547950.232724669</v>
      </c>
      <c r="P1587" s="45" t="n">
        <v>1642901.5</v>
      </c>
      <c r="Q1587" s="45" t="n">
        <v>10599.808</v>
      </c>
      <c r="R1587" s="45" t="n">
        <v>11250.00022272</v>
      </c>
      <c r="S1587" s="45" t="n">
        <v>2073024.499727439</v>
      </c>
      <c r="T1587" s="45" t="n">
        <v>2200184.98972272</v>
      </c>
      <c r="U1587" s="15" t="n">
        <v>4.25</v>
      </c>
      <c r="V1587" s="15" t="n">
        <v>18.11478250390623</v>
      </c>
      <c r="W1587" s="49" t="n">
        <v>106.134</v>
      </c>
    </row>
    <row r="1588">
      <c r="A1588" s="44" t="inlineStr">
        <is>
          <t>TL Cinsi Degisken Faizli Kuponlu Senetler</t>
        </is>
      </c>
      <c r="B1588" s="44" t="n">
        <v>2005</v>
      </c>
      <c r="C1588" s="44" t="inlineStr">
        <is>
          <t>TRT170210T15</t>
        </is>
      </c>
      <c r="D1588" s="44" t="inlineStr">
        <is>
          <t>nan</t>
        </is>
      </c>
      <c r="E1588" s="44" t="inlineStr">
        <is>
          <t>nan</t>
        </is>
      </c>
      <c r="F1588" s="44" t="n"/>
      <c r="G1588" s="44" t="n"/>
      <c r="H1588" s="15" t="n"/>
      <c r="I1588" s="45" t="n">
        <v>3460088.052</v>
      </c>
      <c r="J1588" s="45" t="n"/>
      <c r="K1588" s="45" t="n">
        <v>922905.635</v>
      </c>
      <c r="L1588" s="45" t="n">
        <v>923364.02256</v>
      </c>
      <c r="M1588" s="45" t="n">
        <v>548225.8860969516</v>
      </c>
      <c r="N1588" s="45" t="n">
        <v>548499.99904</v>
      </c>
      <c r="O1588" s="45" t="n">
        <v>786692.1540129936</v>
      </c>
      <c r="P1588" s="45" t="n">
        <v>787085.50009</v>
      </c>
      <c r="Q1588" s="45" t="n">
        <v>84616.489</v>
      </c>
      <c r="R1588" s="45" t="n">
        <v>84658.79724449999</v>
      </c>
      <c r="S1588" s="45" t="n">
        <v>2492456.858109945</v>
      </c>
      <c r="T1588" s="45" t="n">
        <v>2493700.0212815</v>
      </c>
      <c r="U1588" s="15" t="n">
        <v>10.01</v>
      </c>
      <c r="V1588" s="15" t="n">
        <v>21.02200100000002</v>
      </c>
      <c r="W1588" s="49" t="n">
        <v>100.05</v>
      </c>
    </row>
    <row r="1589">
      <c r="A1589" s="44" t="inlineStr">
        <is>
          <t>TL Cinsi Degisken Faizli Kuponlu Senetler</t>
        </is>
      </c>
      <c r="B1589" s="44" t="n">
        <v>2005</v>
      </c>
      <c r="C1589" s="44" t="inlineStr">
        <is>
          <t>TRT170210T15</t>
        </is>
      </c>
      <c r="D1589" s="44" t="inlineStr">
        <is>
          <t>nan</t>
        </is>
      </c>
      <c r="E1589" s="44" t="inlineStr">
        <is>
          <t>nan</t>
        </is>
      </c>
      <c r="F1589" s="44" t="n"/>
      <c r="G1589" s="44" t="n"/>
      <c r="H1589" s="15" t="n"/>
      <c r="I1589" s="45" t="n">
        <v>1808918.032</v>
      </c>
      <c r="J1589" s="45" t="n"/>
      <c r="K1589" s="45" t="n">
        <v>889870.031</v>
      </c>
      <c r="L1589" s="45" t="n">
        <v>915078.10711</v>
      </c>
      <c r="M1589" s="45" t="n">
        <v>1024962.801999358</v>
      </c>
      <c r="N1589" s="45" t="n">
        <v>1053999.99818</v>
      </c>
      <c r="O1589" s="45" t="n">
        <v>956379.7620024701</v>
      </c>
      <c r="P1589" s="45" t="n">
        <v>983474.00066</v>
      </c>
      <c r="Q1589" s="45" t="n">
        <v>72326.845</v>
      </c>
      <c r="R1589" s="45" t="n">
        <v>74375.86451884999</v>
      </c>
      <c r="S1589" s="45" t="n">
        <v>2953539.440001828</v>
      </c>
      <c r="T1589" s="45" t="n">
        <v>3037211.27046885</v>
      </c>
      <c r="U1589" s="15" t="n">
        <v>9.800000000000001</v>
      </c>
      <c r="V1589" s="15" t="n">
        <v>20.56040000000001</v>
      </c>
      <c r="W1589" s="49" t="n">
        <v>102.833</v>
      </c>
    </row>
    <row r="1590">
      <c r="A1590" s="44" t="inlineStr">
        <is>
          <t>TL Cinsi Degisken Faizli Kuponlu Senetler</t>
        </is>
      </c>
      <c r="B1590" s="44" t="n">
        <v>2005</v>
      </c>
      <c r="C1590" s="44" t="inlineStr">
        <is>
          <t>TRT170210T15</t>
        </is>
      </c>
      <c r="D1590" s="44" t="inlineStr">
        <is>
          <t>nan</t>
        </is>
      </c>
      <c r="E1590" s="44" t="inlineStr">
        <is>
          <t>nan</t>
        </is>
      </c>
      <c r="F1590" s="44" t="n"/>
      <c r="G1590" s="44" t="n"/>
      <c r="H1590" s="15" t="n"/>
      <c r="I1590" s="45" t="n">
        <v>2144911.355</v>
      </c>
      <c r="J1590" s="45" t="n"/>
      <c r="K1590" s="45" t="n">
        <v>1372918.935</v>
      </c>
      <c r="L1590" s="45" t="n">
        <v>1426695.52195</v>
      </c>
      <c r="M1590" s="45" t="n">
        <v>24057.66099868164</v>
      </c>
      <c r="N1590" s="45" t="n">
        <v>24999.99958</v>
      </c>
      <c r="O1590" s="45" t="n">
        <v>1653165.025934159</v>
      </c>
      <c r="P1590" s="45" t="n">
        <v>1717919.5</v>
      </c>
      <c r="Q1590" s="45" t="n">
        <v>150932.551</v>
      </c>
      <c r="R1590" s="45" t="n">
        <v>156844.57902267</v>
      </c>
      <c r="S1590" s="45" t="n">
        <v>3201074.172932841</v>
      </c>
      <c r="T1590" s="45" t="n">
        <v>3326459.60055267</v>
      </c>
      <c r="U1590" s="15" t="n">
        <v>9.93</v>
      </c>
      <c r="V1590" s="15" t="n">
        <v>20.83604899999998</v>
      </c>
      <c r="W1590" s="49" t="n">
        <v>103.917</v>
      </c>
    </row>
    <row r="1591">
      <c r="A1591" s="44" t="inlineStr">
        <is>
          <t>TL Cinsi Degisken Faizli Kuponlu Senetler</t>
        </is>
      </c>
      <c r="B1591" s="44" t="n">
        <v>2005</v>
      </c>
      <c r="C1591" s="44" t="inlineStr">
        <is>
          <t>TRT170210T15</t>
        </is>
      </c>
      <c r="D1591" s="44" t="inlineStr">
        <is>
          <t>nan</t>
        </is>
      </c>
      <c r="E1591" s="44" t="inlineStr">
        <is>
          <t>nan</t>
        </is>
      </c>
      <c r="F1591" s="44" t="n"/>
      <c r="G1591" s="44" t="n"/>
      <c r="H1591" s="15" t="n"/>
      <c r="I1591" s="45" t="n">
        <v>872604.845</v>
      </c>
      <c r="J1591" s="45" t="n"/>
      <c r="K1591" s="45" t="n">
        <v>657327.2</v>
      </c>
      <c r="L1591" s="45" t="n">
        <v>684797.85328</v>
      </c>
      <c r="M1591" s="45" t="n">
        <v>0</v>
      </c>
      <c r="N1591" s="45" t="n">
        <v>0</v>
      </c>
      <c r="O1591" s="45" t="n">
        <v>1057640.215993627</v>
      </c>
      <c r="P1591" s="45" t="n">
        <v>1101839.00062</v>
      </c>
      <c r="Q1591" s="45" t="n">
        <v>79402.21799999999</v>
      </c>
      <c r="R1591" s="45" t="n">
        <v>82720.43669022</v>
      </c>
      <c r="S1591" s="45" t="n">
        <v>1794369.633993627</v>
      </c>
      <c r="T1591" s="45" t="n">
        <v>1869357.29059022</v>
      </c>
      <c r="U1591" s="15" t="n">
        <v>10.01</v>
      </c>
      <c r="V1591" s="15" t="n">
        <v>21.01200100000003</v>
      </c>
      <c r="W1591" s="49" t="n">
        <v>104.179</v>
      </c>
    </row>
    <row r="1592">
      <c r="A1592" s="44" t="inlineStr">
        <is>
          <t>TL Cinsi Degisken Faizli Kuponlu Senetler</t>
        </is>
      </c>
      <c r="B1592" s="44" t="n">
        <v>2005</v>
      </c>
      <c r="C1592" s="44" t="inlineStr">
        <is>
          <t>TRT170210T15</t>
        </is>
      </c>
      <c r="D1592" s="44" t="inlineStr">
        <is>
          <t>nan</t>
        </is>
      </c>
      <c r="E1592" s="44" t="inlineStr">
        <is>
          <t>nan</t>
        </is>
      </c>
      <c r="F1592" s="44" t="n"/>
      <c r="G1592" s="44" t="n"/>
      <c r="H1592" s="15" t="n"/>
      <c r="I1592" s="45" t="n">
        <v>1547458.273</v>
      </c>
      <c r="J1592" s="45" t="n"/>
      <c r="K1592" s="45" t="n">
        <v>808786.138</v>
      </c>
      <c r="L1592" s="45" t="n">
        <v>866665.35338</v>
      </c>
      <c r="M1592" s="45" t="n">
        <v>149315.0159953712</v>
      </c>
      <c r="N1592" s="45" t="n">
        <v>159999.99854</v>
      </c>
      <c r="O1592" s="45" t="n">
        <v>1090764.3062451</v>
      </c>
      <c r="P1592" s="45" t="n">
        <v>1168819.4</v>
      </c>
      <c r="Q1592" s="45" t="n">
        <v>23565.082</v>
      </c>
      <c r="R1592" s="45" t="n">
        <v>25251.39926792</v>
      </c>
      <c r="S1592" s="45" t="n">
        <v>2178677.176240472</v>
      </c>
      <c r="T1592" s="45" t="n">
        <v>2334585.79431696</v>
      </c>
      <c r="U1592" s="15" t="n">
        <v>9.970000000000001</v>
      </c>
      <c r="V1592" s="15" t="n">
        <v>20.92400899999998</v>
      </c>
      <c r="W1592" s="49" t="n">
        <v>107.156</v>
      </c>
    </row>
    <row r="1593">
      <c r="A1593" s="44" t="inlineStr">
        <is>
          <t>TL Cinsi Degisken Faizli Kuponlu Senetler</t>
        </is>
      </c>
      <c r="B1593" s="44" t="n">
        <v>2005</v>
      </c>
      <c r="C1593" s="44" t="inlineStr">
        <is>
          <t>TRT180810T18</t>
        </is>
      </c>
      <c r="D1593" s="44" t="inlineStr">
        <is>
          <t>nan</t>
        </is>
      </c>
      <c r="E1593" s="44" t="inlineStr">
        <is>
          <t>nan</t>
        </is>
      </c>
      <c r="F1593" s="44" t="n"/>
      <c r="G1593" s="44" t="n"/>
      <c r="H1593" s="15" t="n"/>
      <c r="I1593" s="45" t="n">
        <v>3865465.499</v>
      </c>
      <c r="J1593" s="45" t="n"/>
      <c r="K1593" s="45" t="n">
        <v>1249544.025</v>
      </c>
      <c r="L1593" s="45" t="n">
        <v>1256107.723</v>
      </c>
      <c r="M1593" s="45" t="n">
        <v>1053469.284993782</v>
      </c>
      <c r="N1593" s="45" t="n">
        <v>1058999.99874</v>
      </c>
      <c r="O1593" s="45" t="n">
        <v>2813635.662770455</v>
      </c>
      <c r="P1593" s="45" t="n">
        <v>2828407.25</v>
      </c>
      <c r="Q1593" s="45" t="n">
        <v>203153.653</v>
      </c>
      <c r="R1593" s="45" t="n">
        <v>204220.20967825</v>
      </c>
      <c r="S1593" s="45" t="n">
        <v>5442430.518764237</v>
      </c>
      <c r="T1593" s="45" t="n">
        <v>5471006.870856499</v>
      </c>
      <c r="U1593" s="15" t="n">
        <v>9.050000000000001</v>
      </c>
      <c r="V1593" s="15" t="n">
        <v>18.909025</v>
      </c>
      <c r="W1593" s="49" t="n">
        <v>100.525</v>
      </c>
    </row>
    <row r="1594">
      <c r="A1594" s="44" t="inlineStr">
        <is>
          <t>TL Cinsi Degisken Faizli Kuponlu Senetler</t>
        </is>
      </c>
      <c r="B1594" s="44" t="n">
        <v>2005</v>
      </c>
      <c r="C1594" s="44" t="inlineStr">
        <is>
          <t>TRT180810T18</t>
        </is>
      </c>
      <c r="D1594" s="44" t="inlineStr">
        <is>
          <t>nan</t>
        </is>
      </c>
      <c r="E1594" s="44" t="inlineStr">
        <is>
          <t>nan</t>
        </is>
      </c>
      <c r="F1594" s="44" t="n"/>
      <c r="G1594" s="44" t="n"/>
      <c r="H1594" s="15" t="n"/>
      <c r="I1594" s="45" t="n">
        <v>2007292.935</v>
      </c>
      <c r="J1594" s="45" t="n"/>
      <c r="K1594" s="45" t="n">
        <v>559803.4</v>
      </c>
      <c r="L1594" s="45" t="n">
        <v>579551.3335299999</v>
      </c>
      <c r="M1594" s="45" t="n">
        <v>7244.416003400046</v>
      </c>
      <c r="N1594" s="45" t="n">
        <v>7499.999</v>
      </c>
      <c r="O1594" s="45" t="n">
        <v>2446594.158102156</v>
      </c>
      <c r="P1594" s="45" t="n">
        <v>2532910</v>
      </c>
      <c r="Q1594" s="45" t="n">
        <v>0</v>
      </c>
      <c r="R1594" s="45" t="n">
        <v>0</v>
      </c>
      <c r="S1594" s="45" t="n">
        <v>3013641.974105556</v>
      </c>
      <c r="T1594" s="45" t="n">
        <v>3119961.33253</v>
      </c>
      <c r="U1594" s="15" t="n">
        <v>8.74</v>
      </c>
      <c r="V1594" s="15" t="n">
        <v>18.24387599999999</v>
      </c>
      <c r="W1594" s="49" t="n">
        <v>103.528</v>
      </c>
    </row>
    <row r="1595">
      <c r="A1595" s="44" t="inlineStr">
        <is>
          <t>TL Cinsi Degisken Faizli Kuponlu Senetler</t>
        </is>
      </c>
      <c r="B1595" s="44" t="n">
        <v>2005</v>
      </c>
      <c r="C1595" s="44" t="inlineStr">
        <is>
          <t>TRT180810T18</t>
        </is>
      </c>
      <c r="D1595" s="44" t="inlineStr">
        <is>
          <t>nan</t>
        </is>
      </c>
      <c r="E1595" s="44" t="inlineStr">
        <is>
          <t>nan</t>
        </is>
      </c>
      <c r="F1595" s="44" t="n"/>
      <c r="G1595" s="44" t="n"/>
      <c r="H1595" s="15" t="n"/>
      <c r="I1595" s="45" t="n">
        <v>5170035.489</v>
      </c>
      <c r="J1595" s="45" t="n"/>
      <c r="K1595" s="45" t="n">
        <v>720219.495</v>
      </c>
      <c r="L1595" s="45" t="n">
        <v>771220.20688</v>
      </c>
      <c r="M1595" s="45" t="n">
        <v>278760.9370009619</v>
      </c>
      <c r="N1595" s="45" t="n">
        <v>298499.99895</v>
      </c>
      <c r="O1595" s="45" t="n">
        <v>2176500.033003054</v>
      </c>
      <c r="P1595" s="45" t="n">
        <v>2330618.00034</v>
      </c>
      <c r="Q1595" s="45" t="n">
        <v>139218.395</v>
      </c>
      <c r="R1595" s="45" t="n">
        <v>149076.44954995</v>
      </c>
      <c r="S1595" s="45" t="n">
        <v>3440768.059004015</v>
      </c>
      <c r="T1595" s="45" t="n">
        <v>3684410.81470114</v>
      </c>
      <c r="U1595" s="15" t="n">
        <v>8.449999999999999</v>
      </c>
      <c r="V1595" s="15" t="n">
        <v>17.624025</v>
      </c>
      <c r="W1595" s="49" t="n">
        <v>107.081</v>
      </c>
    </row>
    <row r="1596">
      <c r="A1596" s="44" t="inlineStr">
        <is>
          <t>TL Cinsi Degisken Faizli Kuponlu Senetler</t>
        </is>
      </c>
      <c r="B1596" s="44" t="n">
        <v>2005</v>
      </c>
      <c r="C1596" s="44" t="inlineStr">
        <is>
          <t>TRT180810T18</t>
        </is>
      </c>
      <c r="D1596" s="44" t="inlineStr">
        <is>
          <t>nan</t>
        </is>
      </c>
      <c r="E1596" s="44" t="inlineStr">
        <is>
          <t>nan</t>
        </is>
      </c>
      <c r="F1596" s="44" t="n"/>
      <c r="G1596" s="44" t="n"/>
      <c r="H1596" s="15" t="n"/>
      <c r="I1596" s="45" t="n">
        <v>4851098.785</v>
      </c>
      <c r="J1596" s="45" t="n"/>
      <c r="K1596" s="45" t="n">
        <v>875514.5</v>
      </c>
      <c r="L1596" s="45" t="n">
        <v>991676.425</v>
      </c>
      <c r="M1596" s="45" t="n">
        <v>0</v>
      </c>
      <c r="N1596" s="45" t="n">
        <v>0</v>
      </c>
      <c r="O1596" s="45" t="n">
        <v>879774.685003708</v>
      </c>
      <c r="P1596" s="45" t="n">
        <v>996503.19021</v>
      </c>
      <c r="Q1596" s="45" t="n">
        <v>87642.567</v>
      </c>
      <c r="R1596" s="45" t="n">
        <v>99270.98278956</v>
      </c>
      <c r="S1596" s="45" t="n">
        <v>2058365.074003708</v>
      </c>
      <c r="T1596" s="45" t="n">
        <v>2331467.61316252</v>
      </c>
      <c r="U1596" s="15" t="n">
        <v>7.93</v>
      </c>
      <c r="V1596" s="15" t="n">
        <v>16.48884899999998</v>
      </c>
      <c r="W1596" s="49" t="n">
        <v>113.268</v>
      </c>
    </row>
    <row r="1597">
      <c r="A1597" s="44" t="inlineStr">
        <is>
          <t>TL Cinsi Degisken Faizli Kuponlu Senetler</t>
        </is>
      </c>
      <c r="B1597" s="44" t="n">
        <v>2004</v>
      </c>
      <c r="C1597" s="44" t="inlineStr">
        <is>
          <t>TRT180106T11</t>
        </is>
      </c>
      <c r="D1597" s="44" t="inlineStr">
        <is>
          <t>nan</t>
        </is>
      </c>
      <c r="E1597" s="44" t="inlineStr">
        <is>
          <t>nan</t>
        </is>
      </c>
      <c r="F1597" s="44" t="n"/>
      <c r="G1597" s="44" t="n"/>
      <c r="H1597" s="15" t="n"/>
      <c r="I1597" s="45" t="n">
        <v>2812110.115</v>
      </c>
      <c r="J1597" s="45" t="n"/>
      <c r="K1597" s="45" t="n">
        <v>2625015.935</v>
      </c>
      <c r="L1597" s="45" t="n">
        <v>2685785.05389525</v>
      </c>
      <c r="M1597" s="45" t="n">
        <v>246298.1967453453</v>
      </c>
      <c r="N1597" s="45" t="n">
        <v>252000</v>
      </c>
      <c r="O1597" s="45" t="n">
        <v>234569.7111860431</v>
      </c>
      <c r="P1597" s="45" t="n">
        <v>240000</v>
      </c>
      <c r="Q1597" s="45" t="n">
        <v>101780.145</v>
      </c>
      <c r="R1597" s="45" t="n">
        <v>104136.35535675</v>
      </c>
      <c r="S1597" s="45" t="n">
        <v>3389327.752931389</v>
      </c>
      <c r="T1597" s="45" t="n">
        <v>3467790.69041175</v>
      </c>
      <c r="U1597" s="15" t="n">
        <v>7.416038501843972</v>
      </c>
      <c r="V1597" s="15" t="n">
        <v>33.13018217792547</v>
      </c>
      <c r="W1597" s="49" t="n">
        <v>102.315</v>
      </c>
    </row>
    <row r="1598">
      <c r="A1598" s="44" t="inlineStr">
        <is>
          <t>TL Cinsi Degisken Faizli Kuponlu Senetler</t>
        </is>
      </c>
      <c r="B1598" s="44" t="n">
        <v>2004</v>
      </c>
      <c r="C1598" s="44" t="inlineStr">
        <is>
          <t>TRT180106T11</t>
        </is>
      </c>
      <c r="D1598" s="44" t="inlineStr">
        <is>
          <t>nan</t>
        </is>
      </c>
      <c r="E1598" s="44" t="inlineStr">
        <is>
          <t>nan</t>
        </is>
      </c>
      <c r="F1598" s="44" t="n"/>
      <c r="G1598" s="44" t="n"/>
      <c r="H1598" s="15" t="n"/>
      <c r="I1598" s="45" t="n">
        <v>1968857.76</v>
      </c>
      <c r="J1598" s="45" t="n"/>
      <c r="K1598" s="45" t="n">
        <v>1715906.56</v>
      </c>
      <c r="L1598" s="45" t="n">
        <v>1801928.7528</v>
      </c>
      <c r="M1598" s="45" t="n">
        <v>105701.1988991839</v>
      </c>
      <c r="N1598" s="45" t="n">
        <v>111000</v>
      </c>
      <c r="O1598" s="45" t="n">
        <v>255206.4982430747</v>
      </c>
      <c r="P1598" s="45" t="n">
        <v>268000</v>
      </c>
      <c r="Q1598" s="45" t="n">
        <v>81055.69500000001</v>
      </c>
      <c r="R1598" s="45" t="n">
        <v>85119.01699035001</v>
      </c>
      <c r="S1598" s="45" t="n">
        <v>2255266.897142259</v>
      </c>
      <c r="T1598" s="45" t="n">
        <v>2368327.2236432</v>
      </c>
      <c r="U1598" s="15" t="n">
        <v>7.34</v>
      </c>
      <c r="V1598" s="15" t="n">
        <v>32.77361734187532</v>
      </c>
      <c r="W1598" s="49" t="n">
        <v>105.013</v>
      </c>
    </row>
    <row r="1599">
      <c r="A1599" s="44" t="inlineStr">
        <is>
          <t>TL Cinsi Degisken Faizli Kuponlu Senetler</t>
        </is>
      </c>
      <c r="B1599" s="44" t="n">
        <v>2004</v>
      </c>
      <c r="C1599" s="44" t="inlineStr">
        <is>
          <t>TRT150306T12</t>
        </is>
      </c>
      <c r="D1599" s="44" t="inlineStr">
        <is>
          <t>nan</t>
        </is>
      </c>
      <c r="E1599" s="44" t="inlineStr">
        <is>
          <t>nan</t>
        </is>
      </c>
      <c r="F1599" s="44" t="n"/>
      <c r="G1599" s="44" t="n"/>
      <c r="H1599" s="15" t="n"/>
      <c r="I1599" s="45" t="n">
        <v>2548675.69</v>
      </c>
      <c r="J1599" s="45" t="n"/>
      <c r="K1599" s="45" t="n">
        <v>1978117</v>
      </c>
      <c r="L1599" s="45" t="n">
        <v>2018412.4858</v>
      </c>
      <c r="M1599" s="45" t="n">
        <v>168076.280025873</v>
      </c>
      <c r="N1599" s="45" t="n">
        <v>171499.99385</v>
      </c>
      <c r="O1599" s="45" t="n">
        <v>103579.1049972069</v>
      </c>
      <c r="P1599" s="45" t="n">
        <v>105689.011366</v>
      </c>
      <c r="Q1599" s="45" t="n">
        <v>93071.785</v>
      </c>
      <c r="R1599" s="45" t="n">
        <v>94967.6402444</v>
      </c>
      <c r="S1599" s="45" t="n">
        <v>2342844.17002308</v>
      </c>
      <c r="T1599" s="45" t="n">
        <v>2390569.1312604</v>
      </c>
      <c r="U1599" s="15" t="n">
        <v>6.68</v>
      </c>
      <c r="V1599" s="15" t="n">
        <v>29.52856621138176</v>
      </c>
      <c r="W1599" s="49" t="n">
        <v>102.037</v>
      </c>
    </row>
    <row r="1600">
      <c r="A1600" s="44" t="inlineStr">
        <is>
          <t>TL Cinsi Degisken Faizli Kuponlu Senetler</t>
        </is>
      </c>
      <c r="B1600" s="44" t="n">
        <v>2004</v>
      </c>
      <c r="C1600" s="44" t="inlineStr">
        <is>
          <t>TRT150306T12</t>
        </is>
      </c>
      <c r="D1600" s="44" t="inlineStr">
        <is>
          <t>nan</t>
        </is>
      </c>
      <c r="E1600" s="44" t="inlineStr">
        <is>
          <t>nan</t>
        </is>
      </c>
      <c r="F1600" s="44" t="n"/>
      <c r="G1600" s="44" t="n"/>
      <c r="H1600" s="15" t="n"/>
      <c r="I1600" s="45" t="n">
        <v>2216788.52</v>
      </c>
      <c r="J1600" s="45" t="n"/>
      <c r="K1600" s="45" t="n">
        <v>1244816.68</v>
      </c>
      <c r="L1600" s="45" t="n">
        <v>1307983.6095</v>
      </c>
      <c r="M1600" s="45" t="n">
        <v>265527.1522926699</v>
      </c>
      <c r="N1600" s="45" t="n">
        <v>279000</v>
      </c>
      <c r="O1600" s="45" t="n">
        <v>261720.311399585</v>
      </c>
      <c r="P1600" s="45" t="n">
        <v>275000</v>
      </c>
      <c r="Q1600" s="45" t="n">
        <v>58464.335</v>
      </c>
      <c r="R1600" s="45" t="n">
        <v>61430.8353579</v>
      </c>
      <c r="S1600" s="45" t="n">
        <v>1830528.478692255</v>
      </c>
      <c r="T1600" s="45" t="n">
        <v>1923414.4448579</v>
      </c>
      <c r="U1600" s="15" t="n">
        <v>6.69</v>
      </c>
      <c r="V1600" s="15" t="n">
        <v>29.57713643208722</v>
      </c>
      <c r="W1600" s="49" t="n">
        <v>105.074</v>
      </c>
    </row>
    <row r="1601">
      <c r="A1601" s="44" t="inlineStr">
        <is>
          <t>TL Cinsi Degisken Faizli Kuponlu Senetler</t>
        </is>
      </c>
      <c r="B1601" s="44" t="n">
        <v>2004</v>
      </c>
      <c r="C1601" s="44" t="inlineStr">
        <is>
          <t>TRT150306T12</t>
        </is>
      </c>
      <c r="D1601" s="44" t="inlineStr">
        <is>
          <t>nan</t>
        </is>
      </c>
      <c r="E1601" s="44" t="inlineStr">
        <is>
          <t>nan</t>
        </is>
      </c>
      <c r="F1601" s="44" t="n"/>
      <c r="G1601" s="44" t="n"/>
      <c r="H1601" s="15" t="n"/>
      <c r="I1601" s="45" t="n">
        <v>838815.88</v>
      </c>
      <c r="J1601" s="45" t="n"/>
      <c r="K1601" s="45" t="n">
        <v>495830.95</v>
      </c>
      <c r="L1601" s="45" t="n">
        <v>509289.6938</v>
      </c>
      <c r="M1601" s="45" t="n">
        <v>27260.15927721635</v>
      </c>
      <c r="N1601" s="45" t="n">
        <v>28000</v>
      </c>
      <c r="O1601" s="45" t="n">
        <v>3894.308468173764</v>
      </c>
      <c r="P1601" s="45" t="n">
        <v>4000</v>
      </c>
      <c r="Q1601" s="45" t="n">
        <v>19040.075</v>
      </c>
      <c r="R1601" s="45" t="n">
        <v>19556.8226355</v>
      </c>
      <c r="S1601" s="45" t="n">
        <v>580238.73774539</v>
      </c>
      <c r="T1601" s="45" t="n">
        <v>595988.3089048</v>
      </c>
      <c r="U1601" s="15" t="n">
        <v>7.2</v>
      </c>
      <c r="V1601" s="15" t="n">
        <v>32.06238658560005</v>
      </c>
      <c r="W1601" s="49" t="n">
        <v>102.714</v>
      </c>
    </row>
    <row r="1602">
      <c r="A1602" s="44" t="inlineStr">
        <is>
          <t>TL Cinsi Degisken Faizli Kuponlu Senetler</t>
        </is>
      </c>
      <c r="B1602" s="44" t="n">
        <v>2004</v>
      </c>
      <c r="C1602" s="44" t="inlineStr">
        <is>
          <t>TRT140606T10</t>
        </is>
      </c>
      <c r="D1602" s="44" t="inlineStr">
        <is>
          <t>nan</t>
        </is>
      </c>
      <c r="E1602" s="44" t="inlineStr">
        <is>
          <t>nan</t>
        </is>
      </c>
      <c r="F1602" s="44" t="n"/>
      <c r="G1602" s="44" t="n"/>
      <c r="H1602" s="15" t="n"/>
      <c r="I1602" s="45" t="n">
        <v>951390.02</v>
      </c>
      <c r="J1602" s="45" t="n"/>
      <c r="K1602" s="45" t="n">
        <v>817365.02</v>
      </c>
      <c r="L1602" s="45" t="n">
        <v>786002.3115</v>
      </c>
      <c r="M1602" s="45" t="n">
        <v>67073.61459189084</v>
      </c>
      <c r="N1602" s="45" t="n">
        <v>64500</v>
      </c>
      <c r="O1602" s="45" t="n">
        <v>218381.2901011824</v>
      </c>
      <c r="P1602" s="45" t="n">
        <v>210002</v>
      </c>
      <c r="Q1602" s="45" t="n">
        <v>36469.92</v>
      </c>
      <c r="R1602" s="45" t="n">
        <v>35070.56935</v>
      </c>
      <c r="S1602" s="45" t="n">
        <v>1139289.844693073</v>
      </c>
      <c r="T1602" s="45" t="n">
        <v>1095574.88085</v>
      </c>
      <c r="U1602" s="15" t="n">
        <v>7.88</v>
      </c>
      <c r="V1602" s="15" t="n">
        <v>35.46524126331132</v>
      </c>
      <c r="W1602" s="49" t="n">
        <v>96.163</v>
      </c>
    </row>
    <row r="1603">
      <c r="A1603" s="44" t="inlineStr">
        <is>
          <t>TL Cinsi Degisken Faizli Kuponlu Senetler</t>
        </is>
      </c>
      <c r="B1603" s="44" t="n">
        <v>2004</v>
      </c>
      <c r="C1603" s="44" t="inlineStr">
        <is>
          <t>TRT140606T10</t>
        </is>
      </c>
      <c r="D1603" s="44" t="inlineStr">
        <is>
          <t>nan</t>
        </is>
      </c>
      <c r="E1603" s="44" t="inlineStr">
        <is>
          <t>nan</t>
        </is>
      </c>
      <c r="F1603" s="44" t="n"/>
      <c r="G1603" s="44" t="n"/>
      <c r="H1603" s="15" t="n"/>
      <c r="I1603" s="45" t="n">
        <v>2020467.28</v>
      </c>
      <c r="J1603" s="45" t="n"/>
      <c r="K1603" s="45" t="n">
        <v>1714255.425</v>
      </c>
      <c r="L1603" s="45" t="n">
        <v>1671137.2583</v>
      </c>
      <c r="M1603" s="45" t="n">
        <v>297173.9241934657</v>
      </c>
      <c r="N1603" s="45" t="n">
        <v>289700</v>
      </c>
      <c r="O1603" s="45" t="n">
        <v>240549.8281786942</v>
      </c>
      <c r="P1603" s="45" t="n">
        <v>234500</v>
      </c>
      <c r="Q1603" s="45" t="n">
        <v>85619.12</v>
      </c>
      <c r="R1603" s="45" t="n">
        <v>83465.7993</v>
      </c>
      <c r="S1603" s="45" t="n">
        <v>2516579.89737216</v>
      </c>
      <c r="T1603" s="45" t="n">
        <v>2453283.27036</v>
      </c>
      <c r="U1603" s="15" t="n">
        <v>7.95</v>
      </c>
      <c r="V1603" s="15" t="n">
        <v>35.81712850600618</v>
      </c>
      <c r="W1603" s="49" t="n">
        <v>97.485</v>
      </c>
    </row>
    <row r="1604">
      <c r="A1604" s="44" t="inlineStr">
        <is>
          <t>TL Cinsi Degisken Faizli Kuponlu Senetler</t>
        </is>
      </c>
      <c r="B1604" s="44" t="n">
        <v>2004</v>
      </c>
      <c r="C1604" s="44" t="inlineStr">
        <is>
          <t>TRT130906T18</t>
        </is>
      </c>
      <c r="D1604" s="44" t="inlineStr">
        <is>
          <t>nan</t>
        </is>
      </c>
      <c r="E1604" s="44" t="inlineStr">
        <is>
          <t>nan</t>
        </is>
      </c>
      <c r="F1604" s="44" t="n"/>
      <c r="G1604" s="44" t="n"/>
      <c r="H1604" s="15" t="n"/>
      <c r="I1604" s="45" t="n">
        <v>2257790.11</v>
      </c>
      <c r="J1604" s="45" t="n"/>
      <c r="K1604" s="45" t="n">
        <v>1827013.18</v>
      </c>
      <c r="L1604" s="45" t="n">
        <v>1794362.6175</v>
      </c>
      <c r="M1604" s="45" t="n">
        <v>269821.7140297109</v>
      </c>
      <c r="N1604" s="45" t="n">
        <v>265000</v>
      </c>
      <c r="O1604" s="45" t="n">
        <v>578691.2399936873</v>
      </c>
      <c r="P1604" s="45" t="n">
        <v>568350.027535</v>
      </c>
      <c r="Q1604" s="45" t="n">
        <v>108670.805</v>
      </c>
      <c r="R1604" s="45" t="n">
        <v>106728.85805</v>
      </c>
      <c r="S1604" s="45" t="n">
        <v>3119048.504023398</v>
      </c>
      <c r="T1604" s="45" t="n">
        <v>3063309.27061845</v>
      </c>
      <c r="U1604" s="15" t="n">
        <v>6.68</v>
      </c>
      <c r="V1604" s="15" t="n">
        <v>29.49856621138176</v>
      </c>
      <c r="W1604" s="49" t="n">
        <v>98.21299999999999</v>
      </c>
    </row>
    <row r="1605">
      <c r="A1605" s="44" t="inlineStr">
        <is>
          <t>TL Cinsi Degisken Faizli Kuponlu Senetler</t>
        </is>
      </c>
      <c r="B1605" s="44" t="n">
        <v>2003</v>
      </c>
      <c r="C1605" s="44" t="inlineStr">
        <is>
          <t>TRT190105T11</t>
        </is>
      </c>
      <c r="D1605" s="44" t="inlineStr">
        <is>
          <t>nan</t>
        </is>
      </c>
      <c r="E1605" s="44" t="inlineStr">
        <is>
          <t>nan</t>
        </is>
      </c>
      <c r="F1605" s="44" t="n"/>
      <c r="G1605" s="44" t="n"/>
      <c r="H1605" s="15" t="n"/>
      <c r="I1605" s="45" t="n">
        <v>393690.02</v>
      </c>
      <c r="J1605" s="45" t="n"/>
      <c r="K1605" s="45" t="n">
        <v>279582.255</v>
      </c>
      <c r="L1605" s="45" t="n">
        <v>275528.3123025</v>
      </c>
      <c r="M1605" s="45" t="n">
        <v>74419.07661085743</v>
      </c>
      <c r="N1605" s="45" t="n">
        <v>73340</v>
      </c>
      <c r="O1605" s="45" t="n">
        <v>0</v>
      </c>
      <c r="P1605" s="45" t="n">
        <v>0</v>
      </c>
      <c r="Q1605" s="45" t="n">
        <v>10095.23</v>
      </c>
      <c r="R1605" s="45" t="n">
        <v>9948.849166</v>
      </c>
      <c r="S1605" s="45" t="n">
        <v>378096.5616108574</v>
      </c>
      <c r="T1605" s="45" t="n">
        <v>372614.1614685</v>
      </c>
      <c r="U1605" s="15" t="n">
        <v>13.17</v>
      </c>
      <c r="V1605" s="15" t="n">
        <v>63.15076683439269</v>
      </c>
      <c r="W1605" s="49" t="n">
        <v>98.55</v>
      </c>
    </row>
    <row r="1606">
      <c r="A1606" s="44" t="inlineStr">
        <is>
          <t>TL Cinsi Degisken Faizli Kuponlu Senetler</t>
        </is>
      </c>
      <c r="B1606" s="44" t="n">
        <v>2003</v>
      </c>
      <c r="C1606" s="44" t="inlineStr">
        <is>
          <t>TRT110505T23</t>
        </is>
      </c>
      <c r="D1606" s="44" t="inlineStr">
        <is>
          <t>nan</t>
        </is>
      </c>
      <c r="E1606" s="44" t="inlineStr">
        <is>
          <t>nan</t>
        </is>
      </c>
      <c r="F1606" s="44" t="n"/>
      <c r="G1606" s="44" t="n"/>
      <c r="H1606" s="15" t="n"/>
      <c r="I1606" s="45" t="n">
        <v>1127550.97</v>
      </c>
      <c r="J1606" s="45" t="n"/>
      <c r="K1606" s="45" t="n">
        <v>738017.355</v>
      </c>
      <c r="L1606" s="45" t="n">
        <v>726947.0946749999</v>
      </c>
      <c r="M1606" s="45" t="n">
        <v>14416.24365482234</v>
      </c>
      <c r="N1606" s="45" t="n">
        <v>14200</v>
      </c>
      <c r="O1606" s="45" t="n">
        <v>0</v>
      </c>
      <c r="P1606" s="45" t="n">
        <v>0</v>
      </c>
      <c r="Q1606" s="45" t="n">
        <v>21856.615</v>
      </c>
      <c r="R1606" s="45" t="n">
        <v>21528.765775</v>
      </c>
      <c r="S1606" s="45" t="n">
        <v>775090.2136548223</v>
      </c>
      <c r="T1606" s="45" t="n">
        <v>763463.8604499999</v>
      </c>
      <c r="U1606" s="15" t="n">
        <v>11.45</v>
      </c>
      <c r="V1606" s="15" t="n">
        <v>54.26378731550627</v>
      </c>
      <c r="W1606" s="49" t="n">
        <v>98.5</v>
      </c>
    </row>
    <row r="1607">
      <c r="A1607" s="44" t="inlineStr">
        <is>
          <t>TL Cinsi Degisken Faizli Kuponlu Senetler</t>
        </is>
      </c>
      <c r="B1607" s="44" t="n">
        <v>2003</v>
      </c>
      <c r="C1607" s="44" t="inlineStr">
        <is>
          <t>TRT110505T23</t>
        </is>
      </c>
      <c r="D1607" s="44" t="inlineStr">
        <is>
          <t>nan</t>
        </is>
      </c>
      <c r="E1607" s="44" t="inlineStr">
        <is>
          <t>nan</t>
        </is>
      </c>
      <c r="F1607" s="44" t="n"/>
      <c r="G1607" s="44" t="n"/>
      <c r="H1607" s="15" t="n"/>
      <c r="I1607" s="45" t="n">
        <v>396790.975</v>
      </c>
      <c r="J1607" s="45" t="n"/>
      <c r="K1607" s="45" t="n">
        <v>298298.07</v>
      </c>
      <c r="L1607" s="45" t="n">
        <v>306277.5433725</v>
      </c>
      <c r="M1607" s="45" t="n">
        <v>362600.4382761139</v>
      </c>
      <c r="N1607" s="45" t="n">
        <v>372300</v>
      </c>
      <c r="O1607" s="45" t="n">
        <v>0</v>
      </c>
      <c r="P1607" s="45" t="n">
        <v>0</v>
      </c>
      <c r="Q1607" s="45" t="n">
        <v>7668.09</v>
      </c>
      <c r="R1607" s="45" t="n">
        <v>7873.2114075</v>
      </c>
      <c r="S1607" s="45" t="n">
        <v>680066.598276114</v>
      </c>
      <c r="T1607" s="45" t="n">
        <v>698258.37978</v>
      </c>
      <c r="U1607" s="15" t="n">
        <v>11.45</v>
      </c>
      <c r="V1607" s="15" t="n">
        <v>54.28378731550627</v>
      </c>
      <c r="W1607" s="49" t="n">
        <v>102.675</v>
      </c>
    </row>
    <row r="1608">
      <c r="A1608" s="44" t="inlineStr">
        <is>
          <t>TL Cinsi Degisken Faizli Kuponlu Senetler</t>
        </is>
      </c>
      <c r="B1608" s="44" t="n">
        <v>2003</v>
      </c>
      <c r="C1608" s="44" t="inlineStr">
        <is>
          <t>TRT110505T23</t>
        </is>
      </c>
      <c r="D1608" s="44" t="inlineStr">
        <is>
          <t>nan</t>
        </is>
      </c>
      <c r="E1608" s="44" t="inlineStr">
        <is>
          <t>nan</t>
        </is>
      </c>
      <c r="F1608" s="44" t="n"/>
      <c r="G1608" s="44" t="n"/>
      <c r="H1608" s="15" t="n"/>
      <c r="I1608" s="45" t="n">
        <v>1415384.9</v>
      </c>
      <c r="J1608" s="45" t="n"/>
      <c r="K1608" s="45" t="n">
        <v>1257751.79</v>
      </c>
      <c r="L1608" s="45" t="n">
        <v>1323783.758975</v>
      </c>
      <c r="M1608" s="45" t="n">
        <v>95961.99524940617</v>
      </c>
      <c r="N1608" s="45" t="n">
        <v>101000</v>
      </c>
      <c r="O1608" s="45" t="n">
        <v>123515.4394299287</v>
      </c>
      <c r="P1608" s="45" t="n">
        <v>130000</v>
      </c>
      <c r="Q1608" s="45" t="n">
        <v>26357.74</v>
      </c>
      <c r="R1608" s="45" t="n">
        <v>27741.52135</v>
      </c>
      <c r="S1608" s="45" t="n">
        <v>1519786.964679335</v>
      </c>
      <c r="T1608" s="45" t="n">
        <v>1599575.780325</v>
      </c>
      <c r="U1608" s="15" t="n">
        <v>9.31</v>
      </c>
      <c r="V1608" s="15" t="n">
        <v>42.7608605427112</v>
      </c>
      <c r="W1608" s="49" t="n">
        <v>105.25</v>
      </c>
    </row>
    <row r="1609">
      <c r="A1609" s="44" t="inlineStr">
        <is>
          <t>TL Cinsi Degisken Faizli Kuponlu Senetler</t>
        </is>
      </c>
      <c r="B1609" s="44" t="n">
        <v>2003</v>
      </c>
      <c r="C1609" s="44" t="inlineStr">
        <is>
          <t>TRT191005T10</t>
        </is>
      </c>
      <c r="D1609" s="44" t="inlineStr">
        <is>
          <t>nan</t>
        </is>
      </c>
      <c r="E1609" s="44" t="inlineStr">
        <is>
          <t>nan</t>
        </is>
      </c>
      <c r="F1609" s="44" t="n"/>
      <c r="G1609" s="44" t="n"/>
      <c r="H1609" s="15" t="n"/>
      <c r="I1609" s="45" t="n">
        <v>1585584.675</v>
      </c>
      <c r="J1609" s="45" t="n"/>
      <c r="K1609" s="45" t="n">
        <v>1313719.69</v>
      </c>
      <c r="L1609" s="45" t="n">
        <v>1353131.2807</v>
      </c>
      <c r="M1609" s="45" t="n">
        <v>64077.66990291262</v>
      </c>
      <c r="N1609" s="45" t="n">
        <v>66000</v>
      </c>
      <c r="O1609" s="45" t="n">
        <v>412135.9349999999</v>
      </c>
      <c r="P1609" s="45" t="n">
        <v>424500.01305</v>
      </c>
      <c r="Q1609" s="45" t="n">
        <v>0</v>
      </c>
      <c r="R1609" s="45" t="n">
        <v>0</v>
      </c>
      <c r="S1609" s="45" t="n">
        <v>1894417.019902912</v>
      </c>
      <c r="T1609" s="45" t="n">
        <v>1951249.5305</v>
      </c>
      <c r="U1609" s="15" t="n">
        <v>7.44</v>
      </c>
      <c r="V1609" s="15" t="n">
        <v>33.239012334633</v>
      </c>
      <c r="W1609" s="49" t="n">
        <v>103</v>
      </c>
    </row>
    <row r="1610">
      <c r="A1610" s="44" t="inlineStr">
        <is>
          <t>TL Cinsi Degisken Faizli Kuponlu Senetler</t>
        </is>
      </c>
      <c r="B1610" s="44" t="n">
        <v>2003</v>
      </c>
      <c r="C1610" s="44" t="inlineStr">
        <is>
          <t>TRT191005T10</t>
        </is>
      </c>
      <c r="D1610" s="44" t="inlineStr">
        <is>
          <t>nan</t>
        </is>
      </c>
      <c r="E1610" s="44" t="inlineStr">
        <is>
          <t>nan</t>
        </is>
      </c>
      <c r="F1610" s="44" t="n"/>
      <c r="G1610" s="44" t="n"/>
      <c r="H1610" s="15" t="n"/>
      <c r="I1610" s="45" t="n">
        <v>1148904.505</v>
      </c>
      <c r="J1610" s="45" t="n"/>
      <c r="K1610" s="45" t="n">
        <v>571148.4</v>
      </c>
      <c r="L1610" s="45" t="n">
        <v>597655.3972440001</v>
      </c>
      <c r="M1610" s="45" t="n">
        <v>16246.02211370304</v>
      </c>
      <c r="N1610" s="45" t="n">
        <v>17000</v>
      </c>
      <c r="O1610" s="45" t="n">
        <v>70722.26469548265</v>
      </c>
      <c r="P1610" s="45" t="n">
        <v>74004.485</v>
      </c>
      <c r="Q1610" s="45" t="n">
        <v>1247.475</v>
      </c>
      <c r="R1610" s="45" t="n">
        <v>1305.37031475</v>
      </c>
      <c r="S1610" s="45" t="n">
        <v>688764.1618091858</v>
      </c>
      <c r="T1610" s="45" t="n">
        <v>720729.7065587501</v>
      </c>
      <c r="U1610" s="15" t="n">
        <v>7.45</v>
      </c>
      <c r="V1610" s="15" t="n">
        <v>33.30862797750625</v>
      </c>
      <c r="W1610" s="49" t="n">
        <v>104.641</v>
      </c>
    </row>
    <row r="1611">
      <c r="A1611" s="44" t="inlineStr">
        <is>
          <t>TL Cinsi Degisken Faizli Kuponlu Senetler</t>
        </is>
      </c>
      <c r="B1611" s="44" t="n">
        <v>2003</v>
      </c>
      <c r="C1611" s="44" t="inlineStr">
        <is>
          <t>TRT191005T10</t>
        </is>
      </c>
      <c r="D1611" s="44" t="inlineStr">
        <is>
          <t>nan</t>
        </is>
      </c>
      <c r="E1611" s="44" t="inlineStr">
        <is>
          <t>nan</t>
        </is>
      </c>
      <c r="F1611" s="44" t="n"/>
      <c r="G1611" s="44" t="n"/>
      <c r="H1611" s="15" t="n"/>
      <c r="I1611" s="45" t="n">
        <v>925285.425</v>
      </c>
      <c r="J1611" s="45" t="n"/>
      <c r="K1611" s="45" t="n">
        <v>822979.265</v>
      </c>
      <c r="L1611" s="45" t="n">
        <v>874826.9586949999</v>
      </c>
      <c r="M1611" s="45" t="n">
        <v>62088.42897460018</v>
      </c>
      <c r="N1611" s="45" t="n">
        <v>66000</v>
      </c>
      <c r="O1611" s="45" t="n">
        <v>70555.03292568204</v>
      </c>
      <c r="P1611" s="45" t="n">
        <v>75000</v>
      </c>
      <c r="Q1611" s="45" t="n">
        <v>26010</v>
      </c>
      <c r="R1611" s="45" t="n">
        <v>27648.63</v>
      </c>
      <c r="S1611" s="45" t="n">
        <v>1024632.726900282</v>
      </c>
      <c r="T1611" s="45" t="n">
        <v>1089184.588695</v>
      </c>
      <c r="U1611" s="15" t="n">
        <v>7.468390491499627</v>
      </c>
      <c r="V1611" s="15" t="n">
        <v>33.38990975372691</v>
      </c>
      <c r="W1611" s="49" t="n">
        <v>106.3</v>
      </c>
    </row>
    <row r="1612">
      <c r="A1612" s="44" t="inlineStr">
        <is>
          <t>TL Cinsi Degisken Faizli Kuponlu Senetler</t>
        </is>
      </c>
      <c r="B1612" s="44" t="n">
        <v>2002</v>
      </c>
      <c r="C1612" s="44" t="inlineStr">
        <is>
          <t>TRT210104T18</t>
        </is>
      </c>
      <c r="D1612" s="44" t="inlineStr">
        <is>
          <t>nan</t>
        </is>
      </c>
      <c r="E1612" s="44" t="inlineStr">
        <is>
          <t>nan</t>
        </is>
      </c>
      <c r="F1612" s="44" t="n"/>
      <c r="G1612" s="44" t="n"/>
      <c r="H1612" s="15" t="n"/>
      <c r="I1612" s="45" t="n">
        <v>2383819.86</v>
      </c>
      <c r="J1612" s="45" t="n"/>
      <c r="K1612" s="45" t="n">
        <v>1185721.85</v>
      </c>
      <c r="L1612" s="45" t="n">
        <v>1176236.0752</v>
      </c>
      <c r="M1612" s="45" t="n">
        <v>33941.53</v>
      </c>
      <c r="N1612" s="45" t="n">
        <v>33669.99776</v>
      </c>
      <c r="O1612" s="45" t="n">
        <v>0</v>
      </c>
      <c r="P1612" s="45" t="n">
        <v>0</v>
      </c>
      <c r="Q1612" s="45" t="n">
        <v>0</v>
      </c>
      <c r="R1612" s="45" t="n">
        <v>0</v>
      </c>
      <c r="S1612" s="45" t="n">
        <v>1219663.38</v>
      </c>
      <c r="T1612" s="45" t="n">
        <v>1209906.07296</v>
      </c>
      <c r="U1612" s="15" t="n">
        <v>16.748</v>
      </c>
      <c r="V1612" s="15" t="n">
        <v>85.77950344816105</v>
      </c>
      <c r="W1612" s="49" t="n">
        <v>99.2</v>
      </c>
    </row>
    <row r="1613">
      <c r="A1613" s="44" t="inlineStr">
        <is>
          <t>TL Cinsi Degisken Faizli Kuponlu Senetler</t>
        </is>
      </c>
      <c r="B1613" s="44" t="n">
        <v>2002</v>
      </c>
      <c r="C1613" s="44" t="inlineStr">
        <is>
          <t>TRT210104T18</t>
        </is>
      </c>
      <c r="D1613" s="44" t="inlineStr">
        <is>
          <t>nan</t>
        </is>
      </c>
      <c r="E1613" s="44" t="inlineStr">
        <is>
          <t>nan</t>
        </is>
      </c>
      <c r="F1613" s="44" t="n"/>
      <c r="G1613" s="44" t="n"/>
      <c r="H1613" s="15" t="n"/>
      <c r="I1613" s="45" t="n">
        <v>1504545.855</v>
      </c>
      <c r="J1613" s="45" t="n"/>
      <c r="K1613" s="45" t="n">
        <v>915494.33</v>
      </c>
      <c r="L1613" s="45" t="n">
        <v>952114.1032</v>
      </c>
      <c r="M1613" s="45" t="n">
        <v>141399.035</v>
      </c>
      <c r="N1613" s="45" t="n">
        <v>147054.9964</v>
      </c>
      <c r="O1613" s="45" t="n">
        <v>0</v>
      </c>
      <c r="P1613" s="45" t="n">
        <v>0</v>
      </c>
      <c r="Q1613" s="45" t="n">
        <v>0</v>
      </c>
      <c r="R1613" s="45" t="n">
        <v>0</v>
      </c>
      <c r="S1613" s="45" t="n">
        <v>1056893.365</v>
      </c>
      <c r="T1613" s="45" t="n">
        <v>1099169.0996</v>
      </c>
      <c r="U1613" s="15" t="n">
        <v>16.7585</v>
      </c>
      <c r="V1613" s="15" t="n">
        <v>85.8463464933857</v>
      </c>
      <c r="W1613" s="49" t="n">
        <v>104</v>
      </c>
    </row>
    <row r="1614">
      <c r="A1614" s="44" t="inlineStr">
        <is>
          <t>TL Cinsi Degisken Faizli Kuponlu Senetler</t>
        </is>
      </c>
      <c r="B1614" s="44" t="n">
        <v>2002</v>
      </c>
      <c r="C1614" s="44" t="inlineStr">
        <is>
          <t>TRT170304T12</t>
        </is>
      </c>
      <c r="D1614" s="44" t="inlineStr">
        <is>
          <t>nan</t>
        </is>
      </c>
      <c r="E1614" s="44" t="inlineStr">
        <is>
          <t>nan</t>
        </is>
      </c>
      <c r="F1614" s="44" t="n"/>
      <c r="G1614" s="44" t="n"/>
      <c r="H1614" s="15" t="n"/>
      <c r="I1614" s="45" t="n">
        <v>1478847.235</v>
      </c>
      <c r="J1614" s="45" t="n"/>
      <c r="K1614" s="45" t="n">
        <v>1349728.975</v>
      </c>
      <c r="L1614" s="45" t="n">
        <v>1343655.1946125</v>
      </c>
      <c r="M1614" s="45" t="n">
        <v>0</v>
      </c>
      <c r="N1614" s="45" t="n">
        <v>0</v>
      </c>
      <c r="O1614" s="45" t="n">
        <v>0</v>
      </c>
      <c r="P1614" s="45" t="n">
        <v>0</v>
      </c>
      <c r="Q1614" s="45" t="n">
        <v>0</v>
      </c>
      <c r="R1614" s="45" t="n">
        <v>0</v>
      </c>
      <c r="S1614" s="45" t="n">
        <v>1349728.975</v>
      </c>
      <c r="T1614" s="45" t="n">
        <v>1343655.1946125</v>
      </c>
      <c r="U1614" s="15" t="n">
        <v>15.592</v>
      </c>
      <c r="V1614" s="15" t="n">
        <v>78.52996187958155</v>
      </c>
      <c r="W1614" s="49" t="n">
        <v>99.55</v>
      </c>
    </row>
    <row r="1615">
      <c r="A1615" s="44" t="inlineStr">
        <is>
          <t>TL Cinsi Degisken Faizli Kuponlu Senetler</t>
        </is>
      </c>
      <c r="B1615" s="44" t="n">
        <v>2002</v>
      </c>
      <c r="C1615" s="44" t="inlineStr">
        <is>
          <t>TRT170304T12</t>
        </is>
      </c>
      <c r="D1615" s="44" t="inlineStr">
        <is>
          <t>nan</t>
        </is>
      </c>
      <c r="E1615" s="44" t="inlineStr">
        <is>
          <t>nan</t>
        </is>
      </c>
      <c r="F1615" s="44" t="n"/>
      <c r="G1615" s="44" t="n"/>
      <c r="H1615" s="15" t="n"/>
      <c r="I1615" s="45" t="n">
        <v>1089258.78</v>
      </c>
      <c r="J1615" s="45" t="n"/>
      <c r="K1615" s="45" t="n">
        <v>789798.015</v>
      </c>
      <c r="L1615" s="45" t="n">
        <v>805593.9753</v>
      </c>
      <c r="M1615" s="45" t="n">
        <v>58823.52941176471</v>
      </c>
      <c r="N1615" s="45" t="n">
        <v>60000</v>
      </c>
      <c r="O1615" s="45" t="n">
        <v>0</v>
      </c>
      <c r="P1615" s="45" t="n">
        <v>0</v>
      </c>
      <c r="Q1615" s="45" t="n">
        <v>0</v>
      </c>
      <c r="R1615" s="45" t="n">
        <v>0</v>
      </c>
      <c r="S1615" s="45" t="n">
        <v>848621.5444117647</v>
      </c>
      <c r="T1615" s="45" t="n">
        <v>865593.9753</v>
      </c>
      <c r="U1615" s="15" t="n">
        <v>15.5449</v>
      </c>
      <c r="V1615" s="15" t="n">
        <v>78.23915894673814</v>
      </c>
      <c r="W1615" s="49" t="n">
        <v>102</v>
      </c>
    </row>
    <row r="1616">
      <c r="A1616" s="44" t="inlineStr">
        <is>
          <t>TL Cinsi Degisken Faizli Kuponlu Senetler</t>
        </is>
      </c>
      <c r="B1616" s="44" t="n">
        <v>2002</v>
      </c>
      <c r="C1616" s="44" t="inlineStr">
        <is>
          <t>TRT120504T15</t>
        </is>
      </c>
      <c r="D1616" s="44" t="inlineStr">
        <is>
          <t>nan</t>
        </is>
      </c>
      <c r="E1616" s="44" t="inlineStr">
        <is>
          <t>nan</t>
        </is>
      </c>
      <c r="F1616" s="44" t="n"/>
      <c r="G1616" s="44" t="n"/>
      <c r="H1616" s="15" t="n"/>
      <c r="I1616" s="45" t="n">
        <v>1055708.295</v>
      </c>
      <c r="J1616" s="45" t="n"/>
      <c r="K1616" s="45" t="n">
        <v>595001.63</v>
      </c>
      <c r="L1616" s="45" t="n">
        <v>590836.61859</v>
      </c>
      <c r="M1616" s="45" t="n">
        <v>90147.02920443102</v>
      </c>
      <c r="N1616" s="45" t="n">
        <v>89516</v>
      </c>
      <c r="O1616" s="45" t="n">
        <v>0</v>
      </c>
      <c r="P1616" s="45" t="n">
        <v>0</v>
      </c>
      <c r="Q1616" s="45" t="n">
        <v>0</v>
      </c>
      <c r="R1616" s="45" t="n">
        <v>0</v>
      </c>
      <c r="S1616" s="45" t="n">
        <v>685148.659204431</v>
      </c>
      <c r="T1616" s="45" t="n">
        <v>680352.61859</v>
      </c>
      <c r="U1616" s="15" t="n">
        <v>13.74</v>
      </c>
      <c r="V1616" s="15" t="n">
        <v>67.36047340751374</v>
      </c>
      <c r="W1616" s="49" t="n">
        <v>99.3</v>
      </c>
    </row>
    <row r="1617">
      <c r="A1617" s="44" t="inlineStr">
        <is>
          <t>TL Cinsi Degisken Faizli Kuponlu Senetler</t>
        </is>
      </c>
      <c r="B1617" s="44" t="n">
        <v>2002</v>
      </c>
      <c r="C1617" s="44" t="inlineStr">
        <is>
          <t>TRT110804T13</t>
        </is>
      </c>
      <c r="D1617" s="44" t="inlineStr">
        <is>
          <t>nan</t>
        </is>
      </c>
      <c r="E1617" s="44" t="inlineStr">
        <is>
          <t>nan</t>
        </is>
      </c>
      <c r="F1617" s="44" t="n"/>
      <c r="G1617" s="44" t="n"/>
      <c r="H1617" s="15" t="n"/>
      <c r="I1617" s="45" t="n">
        <v>668303.4300000001</v>
      </c>
      <c r="J1617" s="45" t="n"/>
      <c r="K1617" s="45" t="n">
        <v>483078.185</v>
      </c>
      <c r="L1617" s="45" t="n">
        <v>479455.0986125</v>
      </c>
      <c r="M1617" s="45" t="n">
        <v>201511.3350125945</v>
      </c>
      <c r="N1617" s="45" t="n">
        <v>200000</v>
      </c>
      <c r="O1617" s="45" t="n">
        <v>0</v>
      </c>
      <c r="P1617" s="45" t="n">
        <v>0</v>
      </c>
      <c r="Q1617" s="45" t="n">
        <v>0</v>
      </c>
      <c r="R1617" s="45" t="n">
        <v>0</v>
      </c>
      <c r="S1617" s="45" t="n">
        <v>684589.5200125945</v>
      </c>
      <c r="T1617" s="45" t="n">
        <v>679455.0986125</v>
      </c>
      <c r="U1617" s="15" t="n">
        <v>14.882</v>
      </c>
      <c r="V1617" s="15" t="n">
        <v>74.18387611379913</v>
      </c>
      <c r="W1617" s="49" t="n">
        <v>99.25</v>
      </c>
    </row>
    <row r="1618">
      <c r="A1618" s="44" t="inlineStr">
        <is>
          <t>TL Cinsi Degisken Faizli Kuponlu Senetler</t>
        </is>
      </c>
      <c r="B1618" s="44" t="n">
        <v>2002</v>
      </c>
      <c r="C1618" s="44" t="inlineStr">
        <is>
          <t>TRT110804T13</t>
        </is>
      </c>
      <c r="D1618" s="44" t="inlineStr">
        <is>
          <t>nan</t>
        </is>
      </c>
      <c r="E1618" s="44" t="inlineStr">
        <is>
          <t>nan</t>
        </is>
      </c>
      <c r="F1618" s="44" t="n"/>
      <c r="G1618" s="44" t="n"/>
      <c r="H1618" s="15" t="n"/>
      <c r="I1618" s="45" t="n">
        <v>578870.155</v>
      </c>
      <c r="J1618" s="45" t="n"/>
      <c r="K1618" s="45" t="n">
        <v>374700.975</v>
      </c>
      <c r="L1618" s="45" t="n">
        <v>382153.77739275</v>
      </c>
      <c r="M1618" s="45" t="n">
        <v>447675.7297355597</v>
      </c>
      <c r="N1618" s="45" t="n">
        <v>456580</v>
      </c>
      <c r="O1618" s="45" t="n">
        <v>0</v>
      </c>
      <c r="P1618" s="45" t="n">
        <v>0</v>
      </c>
      <c r="Q1618" s="45" t="n">
        <v>17390.78430026768</v>
      </c>
      <c r="R1618" s="45" t="n">
        <v>17736.687</v>
      </c>
      <c r="S1618" s="45" t="n">
        <v>840267.4890358273</v>
      </c>
      <c r="T1618" s="45" t="n">
        <v>856980.4093927499</v>
      </c>
      <c r="U1618" s="15" t="n">
        <v>14.996</v>
      </c>
      <c r="V1618" s="15" t="n">
        <v>74.8762922695706</v>
      </c>
      <c r="W1618" s="49" t="n">
        <v>101.989</v>
      </c>
    </row>
    <row r="1619">
      <c r="A1619" s="44" t="inlineStr">
        <is>
          <t>TL Cinsi Degisken Faizli Kuponlu Senetler</t>
        </is>
      </c>
      <c r="B1619" s="44" t="n">
        <v>2002</v>
      </c>
      <c r="C1619" s="44" t="inlineStr">
        <is>
          <t>TRT110804T13</t>
        </is>
      </c>
      <c r="D1619" s="44" t="inlineStr">
        <is>
          <t>nan</t>
        </is>
      </c>
      <c r="E1619" s="44" t="inlineStr">
        <is>
          <t>nan</t>
        </is>
      </c>
      <c r="F1619" s="44" t="n"/>
      <c r="G1619" s="44" t="n"/>
      <c r="H1619" s="15" t="n"/>
      <c r="I1619" s="45" t="n">
        <v>644108.15</v>
      </c>
      <c r="J1619" s="45" t="n"/>
      <c r="K1619" s="45" t="n">
        <v>480585.97</v>
      </c>
      <c r="L1619" s="45" t="n">
        <v>518182.2104331</v>
      </c>
      <c r="M1619" s="45" t="n">
        <v>248255.9379724178</v>
      </c>
      <c r="N1619" s="45" t="n">
        <v>267677</v>
      </c>
      <c r="O1619" s="45" t="n">
        <v>0</v>
      </c>
      <c r="P1619" s="45" t="n">
        <v>0</v>
      </c>
      <c r="Q1619" s="45" t="n">
        <v>21752.02499930442</v>
      </c>
      <c r="R1619" s="45" t="n">
        <v>23453.685915</v>
      </c>
      <c r="S1619" s="45" t="n">
        <v>795235.9329717222</v>
      </c>
      <c r="T1619" s="45" t="n">
        <v>857447.2400081001</v>
      </c>
      <c r="U1619" s="15" t="n">
        <v>14.948</v>
      </c>
      <c r="V1619" s="15" t="n">
        <v>74.58449749772768</v>
      </c>
      <c r="W1619" s="49" t="n">
        <v>107.823</v>
      </c>
    </row>
    <row r="1620">
      <c r="A1620" s="44" t="inlineStr">
        <is>
          <t>TL Cinsi Degisken Faizli Kuponlu Senetler</t>
        </is>
      </c>
      <c r="B1620" s="44" t="n">
        <v>2002</v>
      </c>
      <c r="C1620" s="44" t="inlineStr">
        <is>
          <t>TRT110804T13</t>
        </is>
      </c>
      <c r="D1620" s="44" t="inlineStr">
        <is>
          <t>nan</t>
        </is>
      </c>
      <c r="E1620" s="44" t="inlineStr">
        <is>
          <t>nan</t>
        </is>
      </c>
      <c r="F1620" s="44" t="n"/>
      <c r="G1620" s="44" t="n"/>
      <c r="H1620" s="15" t="n"/>
      <c r="I1620" s="45" t="n">
        <v>676783.985</v>
      </c>
      <c r="J1620" s="45" t="n"/>
      <c r="K1620" s="45" t="n">
        <v>621767.673</v>
      </c>
      <c r="L1620" s="45" t="n">
        <v>652856.0566499999</v>
      </c>
      <c r="M1620" s="45" t="n">
        <v>149047.6190476191</v>
      </c>
      <c r="N1620" s="45" t="n">
        <v>156500</v>
      </c>
      <c r="O1620" s="45" t="n">
        <v>30142.85714285714</v>
      </c>
      <c r="P1620" s="45" t="n">
        <v>31650</v>
      </c>
      <c r="Q1620" s="45" t="n">
        <v>0</v>
      </c>
      <c r="R1620" s="45" t="n">
        <v>0</v>
      </c>
      <c r="S1620" s="45" t="n">
        <v>800958.1491904762</v>
      </c>
      <c r="T1620" s="45" t="n">
        <v>841006.0566499999</v>
      </c>
      <c r="U1620" s="15" t="n">
        <v>12.243</v>
      </c>
      <c r="V1620" s="15" t="n">
        <v>58.72197671173311</v>
      </c>
      <c r="W1620" s="49" t="n">
        <v>105</v>
      </c>
    </row>
    <row r="1621">
      <c r="A1621" s="44" t="inlineStr">
        <is>
          <t>TL Cinsi Degisken Faizli Kuponlu Senetler</t>
        </is>
      </c>
      <c r="B1621" s="44" t="n">
        <v>2000</v>
      </c>
      <c r="C1621" s="44" t="inlineStr">
        <is>
          <t>TRT230102T18</t>
        </is>
      </c>
      <c r="D1621" s="44" t="inlineStr">
        <is>
          <t>nan</t>
        </is>
      </c>
      <c r="E1621" s="44" t="inlineStr">
        <is>
          <t>nan</t>
        </is>
      </c>
      <c r="F1621" s="44" t="n"/>
      <c r="G1621" s="44" t="n"/>
      <c r="H1621" s="15" t="n"/>
      <c r="I1621" s="45" t="n">
        <v>1678645</v>
      </c>
      <c r="J1621" s="45" t="n"/>
      <c r="K1621" s="45" t="n">
        <v>617665</v>
      </c>
      <c r="L1621" s="45" t="n">
        <v>614411.0244999999</v>
      </c>
      <c r="M1621" s="45" t="n">
        <v>10294.23094659168</v>
      </c>
      <c r="N1621" s="45" t="n">
        <v>10239.999</v>
      </c>
      <c r="O1621" s="45" t="n">
        <v>0</v>
      </c>
      <c r="P1621" s="45" t="n">
        <v>0</v>
      </c>
      <c r="Q1621" s="45" t="n"/>
      <c r="R1621" s="45" t="n"/>
      <c r="S1621" s="45" t="n">
        <v>627959.2309465917</v>
      </c>
      <c r="T1621" s="45" t="n">
        <v>624651.0234999999</v>
      </c>
      <c r="U1621" s="15" t="n">
        <v>9.818</v>
      </c>
      <c r="V1621" s="15" t="n">
        <v>45.44343415092727</v>
      </c>
      <c r="W1621" s="49" t="n">
        <v>99.47318117426113</v>
      </c>
    </row>
    <row r="1622">
      <c r="A1622" s="44" t="inlineStr">
        <is>
          <t>TL Cinsi Degisken Faizli Kuponlu Senetler</t>
        </is>
      </c>
      <c r="B1622" s="44" t="n">
        <v>2000</v>
      </c>
      <c r="C1622" s="44" t="inlineStr">
        <is>
          <t>TRT230102T18</t>
        </is>
      </c>
      <c r="D1622" s="44" t="inlineStr">
        <is>
          <t>nan</t>
        </is>
      </c>
      <c r="E1622" s="44" t="inlineStr">
        <is>
          <t>nan</t>
        </is>
      </c>
      <c r="F1622" s="44" t="n"/>
      <c r="G1622" s="44" t="n"/>
      <c r="H1622" s="15" t="n"/>
      <c r="I1622" s="45" t="n">
        <v>1046530.25</v>
      </c>
      <c r="J1622" s="45" t="n"/>
      <c r="K1622" s="45" t="n">
        <v>698100</v>
      </c>
      <c r="L1622" s="45" t="n">
        <v>692490.5530000001</v>
      </c>
      <c r="M1622" s="45" t="n">
        <v>25202.60483402624</v>
      </c>
      <c r="N1622" s="45" t="n">
        <v>24999.995</v>
      </c>
      <c r="O1622" s="45" t="n">
        <v>0</v>
      </c>
      <c r="P1622" s="45" t="n">
        <v>0</v>
      </c>
      <c r="Q1622" s="45" t="n"/>
      <c r="R1622" s="45" t="n"/>
      <c r="S1622" s="45" t="n">
        <v>723302.6048340262</v>
      </c>
      <c r="T1622" s="45" t="n">
        <v>717490.5480000001</v>
      </c>
      <c r="U1622" s="15" t="n">
        <v>10.292</v>
      </c>
      <c r="V1622" s="15" t="n">
        <v>47.9708091283886</v>
      </c>
      <c r="W1622" s="49" t="n">
        <v>99.19646941698898</v>
      </c>
    </row>
    <row r="1623">
      <c r="A1623" s="44" t="inlineStr">
        <is>
          <t>TL Cinsi Degisken Faizli Kuponlu Senetler</t>
        </is>
      </c>
      <c r="B1623" s="44" t="n">
        <v>2000</v>
      </c>
      <c r="C1623" s="44" t="inlineStr">
        <is>
          <t>TRT230102T18</t>
        </is>
      </c>
      <c r="D1623" s="44" t="inlineStr">
        <is>
          <t>nan</t>
        </is>
      </c>
      <c r="E1623" s="44" t="inlineStr">
        <is>
          <t>nan</t>
        </is>
      </c>
      <c r="F1623" s="44" t="n"/>
      <c r="G1623" s="44" t="n"/>
      <c r="H1623" s="15" t="n"/>
      <c r="I1623" s="45" t="n">
        <v>1102720</v>
      </c>
      <c r="J1623" s="45" t="n"/>
      <c r="K1623" s="45" t="n">
        <v>824870</v>
      </c>
      <c r="L1623" s="45" t="n">
        <v>849872.2825</v>
      </c>
      <c r="M1623" s="45" t="n">
        <v>21352.79194037349</v>
      </c>
      <c r="N1623" s="45" t="n">
        <v>21999.997</v>
      </c>
      <c r="O1623" s="45" t="n">
        <v>0</v>
      </c>
      <c r="P1623" s="45" t="n">
        <v>0</v>
      </c>
      <c r="Q1623" s="45" t="n"/>
      <c r="R1623" s="45" t="n"/>
      <c r="S1623" s="45" t="n">
        <v>846222.7919403735</v>
      </c>
      <c r="T1623" s="45" t="n">
        <v>871872.2794999999</v>
      </c>
      <c r="U1623" s="15" t="n">
        <v>10.132</v>
      </c>
      <c r="V1623" s="15" t="n">
        <v>47.11403399468958</v>
      </c>
      <c r="W1623" s="49" t="n">
        <v>103.0310573181228</v>
      </c>
    </row>
    <row r="1624">
      <c r="A1624" s="44" t="inlineStr">
        <is>
          <t>TL Cinsi Degisken Faizli Kuponlu Senetler</t>
        </is>
      </c>
      <c r="B1624" s="44" t="n">
        <v>2000</v>
      </c>
      <c r="C1624" s="44" t="inlineStr">
        <is>
          <t>TRT230102T18</t>
        </is>
      </c>
      <c r="D1624" s="44" t="inlineStr">
        <is>
          <t>nan</t>
        </is>
      </c>
      <c r="E1624" s="44" t="inlineStr">
        <is>
          <t>nan</t>
        </is>
      </c>
      <c r="F1624" s="44" t="n"/>
      <c r="G1624" s="44" t="n"/>
      <c r="H1624" s="15" t="n"/>
      <c r="I1624" s="45" t="n">
        <v>1546100</v>
      </c>
      <c r="J1624" s="45" t="n"/>
      <c r="K1624" s="45" t="n">
        <v>304500</v>
      </c>
      <c r="L1624" s="45" t="n">
        <v>306137.02</v>
      </c>
      <c r="M1624" s="45" t="n">
        <v>30382.53502589298</v>
      </c>
      <c r="N1624" s="45" t="n">
        <v>30546</v>
      </c>
      <c r="O1624" s="45" t="n">
        <v>0</v>
      </c>
      <c r="P1624" s="45" t="n">
        <v>0</v>
      </c>
      <c r="Q1624" s="45" t="n"/>
      <c r="R1624" s="45" t="n"/>
      <c r="S1624" s="45" t="n">
        <v>334882.535025893</v>
      </c>
      <c r="T1624" s="45" t="n">
        <v>336683.02</v>
      </c>
      <c r="U1624" s="15" t="n">
        <v>9.411999999999999</v>
      </c>
      <c r="V1624" s="15" t="n">
        <v>43.30449968305123</v>
      </c>
      <c r="W1624" s="49" t="n">
        <v>100.5376091954023</v>
      </c>
    </row>
    <row r="1625">
      <c r="A1625" s="44" t="inlineStr">
        <is>
          <t>TL Cinsi Degisken Faizli Kuponlu Senetler</t>
        </is>
      </c>
      <c r="B1625" s="44" t="n">
        <v>2000</v>
      </c>
      <c r="C1625" s="44" t="inlineStr">
        <is>
          <t>TRT150502T14</t>
        </is>
      </c>
      <c r="D1625" s="44" t="inlineStr">
        <is>
          <t>nan</t>
        </is>
      </c>
      <c r="E1625" s="44" t="inlineStr">
        <is>
          <t>nan</t>
        </is>
      </c>
      <c r="F1625" s="44" t="n"/>
      <c r="G1625" s="44" t="n"/>
      <c r="H1625" s="15" t="n"/>
      <c r="I1625" s="45" t="n">
        <v>1772787.3</v>
      </c>
      <c r="J1625" s="45" t="n"/>
      <c r="K1625" s="45" t="n">
        <v>767235</v>
      </c>
      <c r="L1625" s="45" t="n">
        <v>759533.063</v>
      </c>
      <c r="M1625" s="45" t="n">
        <v>538717.9440640927</v>
      </c>
      <c r="N1625" s="45" t="n">
        <v>533309</v>
      </c>
      <c r="O1625" s="45" t="n">
        <v>250195.1750652427</v>
      </c>
      <c r="P1625" s="45" t="n">
        <v>247683.575</v>
      </c>
      <c r="Q1625" s="45" t="n"/>
      <c r="R1625" s="45" t="n"/>
      <c r="S1625" s="45" t="n">
        <v>1556148.119129336</v>
      </c>
      <c r="T1625" s="45" t="n">
        <v>1540525.638</v>
      </c>
      <c r="U1625" s="15" t="n">
        <v>9.948</v>
      </c>
      <c r="V1625" s="15" t="n">
        <v>46.1333482485398</v>
      </c>
      <c r="W1625" s="49" t="n">
        <v>98.99614368479018</v>
      </c>
    </row>
    <row r="1626">
      <c r="A1626" s="44" t="inlineStr">
        <is>
          <t>TL Cinsi Degisken Faizli Kuponlu Senetler</t>
        </is>
      </c>
      <c r="B1626" s="44" t="n">
        <v>2000</v>
      </c>
      <c r="C1626" s="44" t="inlineStr">
        <is>
          <t>TRT150502T14</t>
        </is>
      </c>
      <c r="D1626" s="44" t="inlineStr">
        <is>
          <t>nan</t>
        </is>
      </c>
      <c r="E1626" s="44" t="inlineStr">
        <is>
          <t>nan</t>
        </is>
      </c>
      <c r="F1626" s="44" t="n"/>
      <c r="G1626" s="44" t="n"/>
      <c r="H1626" s="15" t="n"/>
      <c r="I1626" s="45" t="n">
        <v>469900</v>
      </c>
      <c r="J1626" s="45" t="n"/>
      <c r="K1626" s="45" t="n">
        <v>252200</v>
      </c>
      <c r="L1626" s="45" t="n">
        <v>248158.029</v>
      </c>
      <c r="M1626" s="45" t="n">
        <v>25407.2972823414</v>
      </c>
      <c r="N1626" s="45" t="n">
        <v>25000</v>
      </c>
      <c r="O1626" s="45" t="n">
        <v>27942.93557111908</v>
      </c>
      <c r="P1626" s="45" t="n">
        <v>27495</v>
      </c>
      <c r="Q1626" s="45" t="n"/>
      <c r="R1626" s="45" t="n"/>
      <c r="S1626" s="45" t="n">
        <v>305550.2328534605</v>
      </c>
      <c r="T1626" s="45" t="n">
        <v>300653.029</v>
      </c>
      <c r="U1626" s="15" t="n">
        <v>10.492</v>
      </c>
      <c r="V1626" s="15" t="n">
        <v>49.04703430700963</v>
      </c>
      <c r="W1626" s="49" t="n">
        <v>98.3973152260111</v>
      </c>
    </row>
    <row r="1627">
      <c r="A1627" s="44" t="inlineStr">
        <is>
          <t>TL Cinsi Degisken Faizli Kuponlu Senetler</t>
        </is>
      </c>
      <c r="B1627" s="44" t="n">
        <v>2000</v>
      </c>
      <c r="C1627" s="44" t="inlineStr">
        <is>
          <t>TRT150502T14</t>
        </is>
      </c>
      <c r="D1627" s="44" t="inlineStr">
        <is>
          <t>nan</t>
        </is>
      </c>
      <c r="E1627" s="44" t="inlineStr">
        <is>
          <t>nan</t>
        </is>
      </c>
      <c r="F1627" s="44" t="n"/>
      <c r="G1627" s="44" t="n"/>
      <c r="H1627" s="15" t="n"/>
      <c r="I1627" s="45" t="n">
        <v>997000</v>
      </c>
      <c r="J1627" s="45" t="n"/>
      <c r="K1627" s="45" t="n">
        <v>177000</v>
      </c>
      <c r="L1627" s="45" t="n">
        <v>183305.17</v>
      </c>
      <c r="M1627" s="45" t="n">
        <v>166205.8853714983</v>
      </c>
      <c r="N1627" s="45" t="n">
        <v>172166</v>
      </c>
      <c r="O1627" s="45" t="n">
        <v>43452.12861699428</v>
      </c>
      <c r="P1627" s="45" t="n">
        <v>44999.999</v>
      </c>
      <c r="Q1627" s="45" t="n"/>
      <c r="R1627" s="45" t="n"/>
      <c r="S1627" s="45" t="n">
        <v>386658.0139884925</v>
      </c>
      <c r="T1627" s="45" t="n">
        <v>400471.1690000001</v>
      </c>
      <c r="U1627" s="15" t="n">
        <v>10.071</v>
      </c>
      <c r="V1627" s="15" t="n">
        <v>46.7883701341063</v>
      </c>
      <c r="W1627" s="49" t="n">
        <v>103.5622429378531</v>
      </c>
    </row>
    <row r="1628">
      <c r="A1628" s="44" t="inlineStr">
        <is>
          <t>TL Cinsi Degisken Faizli Kuponlu Senetler</t>
        </is>
      </c>
      <c r="B1628" s="44" t="n">
        <v>2000</v>
      </c>
      <c r="C1628" s="44" t="inlineStr">
        <is>
          <t>TRT150502T14</t>
        </is>
      </c>
      <c r="D1628" s="44" t="inlineStr">
        <is>
          <t>nan</t>
        </is>
      </c>
      <c r="E1628" s="44" t="inlineStr">
        <is>
          <t>nan</t>
        </is>
      </c>
      <c r="F1628" s="44" t="n"/>
      <c r="G1628" s="44" t="n"/>
      <c r="H1628" s="15" t="n"/>
      <c r="I1628" s="45" t="n">
        <v>722400</v>
      </c>
      <c r="J1628" s="45" t="n"/>
      <c r="K1628" s="45" t="n">
        <v>81500</v>
      </c>
      <c r="L1628" s="45" t="n">
        <v>81683.89</v>
      </c>
      <c r="M1628" s="45" t="n">
        <v>137688.8199968072</v>
      </c>
      <c r="N1628" s="45" t="n">
        <v>137999.99673</v>
      </c>
      <c r="O1628" s="45" t="n">
        <v>24943.62740207132</v>
      </c>
      <c r="P1628" s="45" t="n">
        <v>25000</v>
      </c>
      <c r="Q1628" s="45" t="n"/>
      <c r="R1628" s="45" t="n"/>
      <c r="S1628" s="45" t="n">
        <v>244132.4473988785</v>
      </c>
      <c r="T1628" s="45" t="n">
        <v>244683.88673</v>
      </c>
      <c r="U1628" s="15" t="n">
        <v>8.017000000000001</v>
      </c>
      <c r="V1628" s="15" t="n">
        <v>36.13457664349855</v>
      </c>
      <c r="W1628" s="49" t="n">
        <v>100.226</v>
      </c>
    </row>
    <row r="1629">
      <c r="A1629" s="44" t="inlineStr">
        <is>
          <t>TL Cinsi Degisken Faizli Kuponlu Senetler</t>
        </is>
      </c>
      <c r="B1629" s="44" t="n">
        <v>2000</v>
      </c>
      <c r="C1629" s="44" t="inlineStr">
        <is>
          <t>TRT150502T14</t>
        </is>
      </c>
      <c r="D1629" s="44" t="inlineStr">
        <is>
          <t>nan</t>
        </is>
      </c>
      <c r="E1629" s="44" t="inlineStr">
        <is>
          <t>nan</t>
        </is>
      </c>
      <c r="F1629" s="44" t="n"/>
      <c r="G1629" s="44" t="n"/>
      <c r="H1629" s="15" t="n"/>
      <c r="I1629" s="45" t="n">
        <v>246143</v>
      </c>
      <c r="J1629" s="45" t="n"/>
      <c r="K1629" s="45" t="n">
        <v>161143</v>
      </c>
      <c r="L1629" s="45" t="n">
        <v>151396.211</v>
      </c>
      <c r="M1629" s="45" t="n">
        <v>79508.39999999999</v>
      </c>
      <c r="N1629" s="45" t="n">
        <v>81000</v>
      </c>
      <c r="O1629" s="45" t="n">
        <v>0</v>
      </c>
      <c r="P1629" s="45" t="n">
        <v>0</v>
      </c>
      <c r="Q1629" s="45" t="n"/>
      <c r="R1629" s="45" t="n"/>
      <c r="S1629" s="45" t="n">
        <v>240651.4</v>
      </c>
      <c r="T1629" s="45" t="n">
        <v>232396.211</v>
      </c>
      <c r="U1629" s="15" t="n">
        <v>11.434</v>
      </c>
      <c r="V1629" s="15" t="n">
        <v>54.19520915258171</v>
      </c>
      <c r="W1629" s="49" t="n">
        <v>93.95146608912582</v>
      </c>
    </row>
    <row r="1630">
      <c r="A1630" s="44" t="inlineStr">
        <is>
          <t>TL Cinsi Degisken Faizli Kuponlu Senetler</t>
        </is>
      </c>
      <c r="B1630" s="44" t="n">
        <v>1999</v>
      </c>
      <c r="C1630" s="44" t="inlineStr">
        <is>
          <t>TRT060101T10</t>
        </is>
      </c>
      <c r="D1630" s="44" t="inlineStr">
        <is>
          <t>nan</t>
        </is>
      </c>
      <c r="E1630" s="44" t="inlineStr">
        <is>
          <t>nan</t>
        </is>
      </c>
      <c r="F1630" s="44" t="n"/>
      <c r="G1630" s="44" t="n"/>
      <c r="H1630" s="15" t="n"/>
      <c r="I1630" s="45" t="n">
        <v>750415</v>
      </c>
      <c r="J1630" s="45" t="n"/>
      <c r="K1630" s="45" t="n">
        <v>417753</v>
      </c>
      <c r="L1630" s="45" t="n">
        <v>400980.21705</v>
      </c>
      <c r="M1630" s="45" t="n"/>
      <c r="N1630" s="45" t="n"/>
      <c r="O1630" s="45" t="n"/>
      <c r="P1630" s="45" t="n"/>
      <c r="Q1630" s="45" t="n"/>
      <c r="R1630" s="45" t="n"/>
      <c r="S1630" s="45" t="n">
        <v>491722.8911288222</v>
      </c>
      <c r="T1630" s="45" t="n">
        <v>471980.21705</v>
      </c>
      <c r="U1630" s="15" t="n">
        <v>23.146</v>
      </c>
      <c r="V1630" s="15" t="n">
        <v>129.9753237982093</v>
      </c>
      <c r="W1630" s="49" t="n">
        <v>95.985</v>
      </c>
    </row>
    <row r="1631">
      <c r="A1631" s="44" t="inlineStr">
        <is>
          <t>TL Cinsi Degisken Faizli Kuponlu Senetler</t>
        </is>
      </c>
      <c r="B1631" s="44" t="n">
        <v>1999</v>
      </c>
      <c r="C1631" s="44" t="inlineStr">
        <is>
          <t>TRT210201T10</t>
        </is>
      </c>
      <c r="D1631" s="44" t="inlineStr">
        <is>
          <t>nan</t>
        </is>
      </c>
      <c r="E1631" s="44" t="inlineStr">
        <is>
          <t>nan</t>
        </is>
      </c>
      <c r="F1631" s="44" t="n"/>
      <c r="G1631" s="44" t="n"/>
      <c r="H1631" s="15" t="n"/>
      <c r="I1631" s="45" t="n">
        <v>284096</v>
      </c>
      <c r="J1631" s="45" t="n"/>
      <c r="K1631" s="45" t="n">
        <v>78026</v>
      </c>
      <c r="L1631" s="45" t="n">
        <v>76459.59843899999</v>
      </c>
      <c r="M1631" s="45" t="n"/>
      <c r="N1631" s="45" t="n"/>
      <c r="O1631" s="45" t="n"/>
      <c r="P1631" s="45" t="n"/>
      <c r="Q1631" s="45" t="n"/>
      <c r="R1631" s="45" t="n"/>
      <c r="S1631" s="45" t="n">
        <v>79046.48665691397</v>
      </c>
      <c r="T1631" s="45" t="n">
        <v>77459.59843899999</v>
      </c>
      <c r="U1631" s="15" t="n">
        <v>22.563</v>
      </c>
      <c r="V1631" s="15" t="n">
        <v>125.6511394813763</v>
      </c>
      <c r="W1631" s="49" t="n">
        <v>97.992</v>
      </c>
    </row>
    <row r="1632">
      <c r="A1632" s="44" t="inlineStr">
        <is>
          <t>TL Cinsi Degisken Faizli Kuponlu Senetler</t>
        </is>
      </c>
      <c r="B1632" s="44" t="n">
        <v>1999</v>
      </c>
      <c r="C1632" s="44" t="inlineStr">
        <is>
          <t>TRT210301T19</t>
        </is>
      </c>
      <c r="D1632" s="44" t="inlineStr">
        <is>
          <t>nan</t>
        </is>
      </c>
      <c r="E1632" s="44" t="inlineStr">
        <is>
          <t>nan</t>
        </is>
      </c>
      <c r="F1632" s="44" t="n"/>
      <c r="G1632" s="44" t="n"/>
      <c r="H1632" s="15" t="n"/>
      <c r="I1632" s="45" t="n">
        <v>310752</v>
      </c>
      <c r="J1632" s="45" t="n"/>
      <c r="K1632" s="45" t="n">
        <v>70420</v>
      </c>
      <c r="L1632" s="45" t="n">
        <v>70538.83975170454</v>
      </c>
      <c r="M1632" s="45" t="n"/>
      <c r="N1632" s="45" t="n"/>
      <c r="O1632" s="45" t="n"/>
      <c r="P1632" s="45" t="n"/>
      <c r="Q1632" s="45" t="n"/>
      <c r="R1632" s="45" t="n"/>
      <c r="S1632" s="45" t="n">
        <v>70420</v>
      </c>
      <c r="T1632" s="45" t="n">
        <v>70538.83975170454</v>
      </c>
      <c r="U1632" s="15" t="n">
        <v>19.956</v>
      </c>
      <c r="V1632" s="15" t="n">
        <v>107.0560392295154</v>
      </c>
      <c r="W1632" s="49" t="n">
        <v>100.1687585227273</v>
      </c>
    </row>
    <row r="1633">
      <c r="A1633" s="44" t="inlineStr">
        <is>
          <t>TL Cinsi Degisken Faizli Kuponlu Senetler</t>
        </is>
      </c>
      <c r="B1633" s="44" t="n">
        <v>1999</v>
      </c>
      <c r="C1633" s="44" t="inlineStr">
        <is>
          <t>TRT060101T10</t>
        </is>
      </c>
      <c r="D1633" s="44" t="inlineStr">
        <is>
          <t>nan</t>
        </is>
      </c>
      <c r="E1633" s="44" t="inlineStr">
        <is>
          <t>nan</t>
        </is>
      </c>
      <c r="F1633" s="44" t="n"/>
      <c r="G1633" s="44" t="n"/>
      <c r="H1633" s="15" t="n"/>
      <c r="I1633" s="45" t="n">
        <v>522056.655</v>
      </c>
      <c r="J1633" s="45" t="n"/>
      <c r="K1633" s="45" t="n">
        <v>315179.155</v>
      </c>
      <c r="L1633" s="45" t="n">
        <v>339037.491075</v>
      </c>
      <c r="M1633" s="45" t="n"/>
      <c r="N1633" s="45" t="n"/>
      <c r="O1633" s="45" t="n"/>
      <c r="P1633" s="45" t="n"/>
      <c r="Q1633" s="45" t="n"/>
      <c r="R1633" s="45" t="n"/>
      <c r="S1633" s="45" t="n">
        <v>413156.4959623354</v>
      </c>
      <c r="T1633" s="45" t="n">
        <v>444431.491075</v>
      </c>
      <c r="U1633" s="15" t="n">
        <v>19.906</v>
      </c>
      <c r="V1633" s="15" t="n">
        <v>106.7110350317977</v>
      </c>
      <c r="W1633" s="49" t="n">
        <v>107.5697696679846</v>
      </c>
    </row>
    <row r="1634">
      <c r="A1634" s="44" t="inlineStr">
        <is>
          <t>TL Cinsi Degisken Faizli Kuponlu Senetler</t>
        </is>
      </c>
      <c r="B1634" s="44" t="n">
        <v>1999</v>
      </c>
      <c r="C1634" s="44" t="inlineStr">
        <is>
          <t>TRT210201T10</t>
        </is>
      </c>
      <c r="D1634" s="44" t="inlineStr">
        <is>
          <t>nan</t>
        </is>
      </c>
      <c r="E1634" s="44" t="inlineStr">
        <is>
          <t>nan</t>
        </is>
      </c>
      <c r="F1634" s="44" t="n"/>
      <c r="G1634" s="44" t="n"/>
      <c r="H1634" s="15" t="n"/>
      <c r="I1634" s="45" t="n">
        <v>267445.7</v>
      </c>
      <c r="J1634" s="45" t="n"/>
      <c r="K1634" s="45" t="n">
        <v>201695.7</v>
      </c>
      <c r="L1634" s="45" t="n">
        <v>205975.247</v>
      </c>
      <c r="M1634" s="45" t="n"/>
      <c r="N1634" s="45" t="n"/>
      <c r="O1634" s="45" t="n"/>
      <c r="P1634" s="45" t="n"/>
      <c r="Q1634" s="45" t="n"/>
      <c r="R1634" s="45" t="n"/>
      <c r="S1634" s="45" t="n">
        <v>219321.68</v>
      </c>
      <c r="T1634" s="45" t="n">
        <v>223975.2122155056</v>
      </c>
      <c r="U1634" s="15" t="n">
        <v>21.3886</v>
      </c>
      <c r="V1634" s="15" t="n">
        <v>117.1258894644659</v>
      </c>
      <c r="W1634" s="49" t="n">
        <v>102.1217839547397</v>
      </c>
    </row>
    <row r="1635">
      <c r="A1635" s="44" t="inlineStr">
        <is>
          <t>TL Cinsi Degisken Faizli Kuponlu Senetler</t>
        </is>
      </c>
      <c r="B1635" s="44" t="n">
        <v>1999</v>
      </c>
      <c r="C1635" s="44" t="inlineStr">
        <is>
          <t>TRT210301T19</t>
        </is>
      </c>
      <c r="D1635" s="44" t="inlineStr">
        <is>
          <t>nan</t>
        </is>
      </c>
      <c r="E1635" s="44" t="inlineStr">
        <is>
          <t>nan</t>
        </is>
      </c>
      <c r="F1635" s="44" t="n"/>
      <c r="G1635" s="44" t="n"/>
      <c r="H1635" s="15" t="n"/>
      <c r="I1635" s="45" t="n">
        <v>240330</v>
      </c>
      <c r="J1635" s="45" t="n"/>
      <c r="K1635" s="45" t="n">
        <v>169490</v>
      </c>
      <c r="L1635" s="45" t="n">
        <v>154252.534399</v>
      </c>
      <c r="M1635" s="45" t="n"/>
      <c r="N1635" s="45" t="n"/>
      <c r="O1635" s="45" t="n"/>
      <c r="P1635" s="45" t="n"/>
      <c r="Q1635" s="45" t="n"/>
      <c r="R1635" s="45" t="n"/>
      <c r="S1635" s="45" t="n">
        <v>169490</v>
      </c>
      <c r="T1635" s="45" t="n">
        <v>154252.534399</v>
      </c>
      <c r="U1635" s="15" t="n">
        <v>22.68</v>
      </c>
      <c r="V1635" s="15" t="n">
        <v>126.5140103862297</v>
      </c>
      <c r="W1635" s="49" t="n">
        <v>91.00981438373944</v>
      </c>
    </row>
    <row r="1636">
      <c r="A1636" s="44" t="inlineStr">
        <is>
          <t>TL Cinsi Degisken Faizli Kuponlu Senetler</t>
        </is>
      </c>
      <c r="B1636" s="44" t="n">
        <v>1999</v>
      </c>
      <c r="C1636" s="44" t="inlineStr">
        <is>
          <t>TRT060101T10</t>
        </is>
      </c>
      <c r="D1636" s="44" t="inlineStr">
        <is>
          <t>nan</t>
        </is>
      </c>
      <c r="E1636" s="44" t="inlineStr">
        <is>
          <t>nan</t>
        </is>
      </c>
      <c r="F1636" s="44" t="n"/>
      <c r="G1636" s="44" t="n"/>
      <c r="H1636" s="15" t="n"/>
      <c r="I1636" s="45" t="n">
        <v>404161.8</v>
      </c>
      <c r="J1636" s="45" t="n"/>
      <c r="K1636" s="45" t="n">
        <v>202300</v>
      </c>
      <c r="L1636" s="45" t="n">
        <v>205739.4775</v>
      </c>
      <c r="M1636" s="45" t="n"/>
      <c r="N1636" s="45" t="n"/>
      <c r="O1636" s="45" t="n"/>
      <c r="P1636" s="45" t="n"/>
      <c r="Q1636" s="45" t="n"/>
      <c r="R1636" s="45" t="n"/>
      <c r="S1636" s="45" t="n">
        <v>279065.975</v>
      </c>
      <c r="T1636" s="45" t="n">
        <v>283810.6173234209</v>
      </c>
      <c r="U1636" s="15" t="n">
        <v>21.47</v>
      </c>
      <c r="V1636" s="15" t="n">
        <v>117.7088711605289</v>
      </c>
      <c r="W1636" s="49" t="n">
        <v>101.7001866040534</v>
      </c>
    </row>
    <row r="1637">
      <c r="A1637" s="44" t="inlineStr">
        <is>
          <t>TL Cinsi Degisken Faizli Kuponlu Senetler</t>
        </is>
      </c>
      <c r="B1637" s="44" t="n">
        <v>1999</v>
      </c>
      <c r="C1637" s="44" t="inlineStr">
        <is>
          <t>TRT240702T11</t>
        </is>
      </c>
      <c r="D1637" s="44" t="inlineStr">
        <is>
          <t>nan</t>
        </is>
      </c>
      <c r="E1637" s="44" t="inlineStr">
        <is>
          <t>nan</t>
        </is>
      </c>
      <c r="F1637" s="44" t="n"/>
      <c r="G1637" s="44" t="n"/>
      <c r="H1637" s="15" t="n"/>
      <c r="I1637" s="45" t="n">
        <v>862945.5625</v>
      </c>
      <c r="J1637" s="45" t="n"/>
      <c r="K1637" s="45" t="n">
        <v>462930</v>
      </c>
      <c r="L1637" s="45" t="n">
        <v>444519.145879</v>
      </c>
      <c r="M1637" s="45" t="n"/>
      <c r="N1637" s="45" t="n"/>
      <c r="O1637" s="45" t="n"/>
      <c r="P1637" s="45" t="n"/>
      <c r="Q1637" s="45" t="n"/>
      <c r="R1637" s="45" t="n"/>
      <c r="S1637" s="45" t="n">
        <v>634763.8809658198</v>
      </c>
      <c r="T1637" s="45" t="n">
        <v>609519.145879</v>
      </c>
      <c r="U1637" s="15" t="n">
        <v>21.72</v>
      </c>
      <c r="V1637" s="15" t="n">
        <v>119.5066969671706</v>
      </c>
      <c r="W1637" s="49" t="n">
        <v>96.02297234549501</v>
      </c>
    </row>
    <row r="1638">
      <c r="A1638" s="44" t="inlineStr">
        <is>
          <t>TL Cinsi Degisken Faizli Kuponlu Senetler</t>
        </is>
      </c>
      <c r="B1638" s="44" t="n">
        <v>1999</v>
      </c>
      <c r="C1638" s="44" t="inlineStr">
        <is>
          <t>TRT140802T12</t>
        </is>
      </c>
      <c r="D1638" s="44" t="inlineStr">
        <is>
          <t>nan</t>
        </is>
      </c>
      <c r="E1638" s="44" t="inlineStr">
        <is>
          <t>nan</t>
        </is>
      </c>
      <c r="F1638" s="44" t="n"/>
      <c r="G1638" s="44" t="n"/>
      <c r="H1638" s="15" t="n"/>
      <c r="I1638" s="45" t="n">
        <v>876724.3</v>
      </c>
      <c r="J1638" s="45" t="n"/>
      <c r="K1638" s="45" t="n">
        <v>715884.3</v>
      </c>
      <c r="L1638" s="45" t="n">
        <v>660233.3050000001</v>
      </c>
      <c r="M1638" s="45" t="n"/>
      <c r="N1638" s="45" t="n"/>
      <c r="O1638" s="45" t="n"/>
      <c r="P1638" s="45" t="n"/>
      <c r="Q1638" s="45" t="n"/>
      <c r="R1638" s="45" t="n"/>
      <c r="S1638" s="45" t="n">
        <v>715884.3</v>
      </c>
      <c r="T1638" s="45" t="n">
        <v>660233.3050000001</v>
      </c>
      <c r="U1638" s="15" t="n">
        <v>22.83</v>
      </c>
      <c r="V1638" s="15" t="n">
        <v>127.6238723922392</v>
      </c>
      <c r="W1638" s="49" t="n">
        <v>92.2262584889765</v>
      </c>
    </row>
    <row r="1639">
      <c r="A1639" s="44" t="inlineStr">
        <is>
          <t>TL Cinsi Degisken Faizli Kuponlu Senetler</t>
        </is>
      </c>
      <c r="B1639" s="44" t="n">
        <v>1999</v>
      </c>
      <c r="C1639" s="44" t="inlineStr">
        <is>
          <t>TRT210201T10</t>
        </is>
      </c>
      <c r="D1639" s="44" t="inlineStr">
        <is>
          <t>nan</t>
        </is>
      </c>
      <c r="E1639" s="44" t="inlineStr">
        <is>
          <t>nan</t>
        </is>
      </c>
      <c r="F1639" s="44" t="n"/>
      <c r="G1639" s="44" t="n"/>
      <c r="H1639" s="15" t="n"/>
      <c r="I1639" s="45" t="n">
        <v>332007</v>
      </c>
      <c r="J1639" s="45" t="n"/>
      <c r="K1639" s="45" t="n">
        <v>136677</v>
      </c>
      <c r="L1639" s="45" t="n">
        <v>135341.733</v>
      </c>
      <c r="M1639" s="45" t="n"/>
      <c r="N1639" s="45" t="n"/>
      <c r="O1639" s="45" t="n"/>
      <c r="P1639" s="45" t="n"/>
      <c r="Q1639" s="45" t="n"/>
      <c r="R1639" s="45" t="n"/>
      <c r="S1639" s="45" t="n">
        <v>166506.375</v>
      </c>
      <c r="T1639" s="45" t="n">
        <v>165341.732025</v>
      </c>
      <c r="U1639" s="15" t="n">
        <v>22.311</v>
      </c>
      <c r="V1639" s="15" t="n">
        <v>123.8010231726916</v>
      </c>
      <c r="W1639" s="49" t="n">
        <v>99.023</v>
      </c>
    </row>
    <row r="1640">
      <c r="A1640" s="44" t="inlineStr">
        <is>
          <t>TL Cinsi Degisken Faizli Kuponlu Senetler</t>
        </is>
      </c>
      <c r="B1640" s="44" t="n">
        <v>1999</v>
      </c>
      <c r="C1640" s="44" t="inlineStr">
        <is>
          <t>TRT140802T12</t>
        </is>
      </c>
      <c r="D1640" s="44" t="inlineStr">
        <is>
          <t>nan</t>
        </is>
      </c>
      <c r="E1640" s="44" t="inlineStr">
        <is>
          <t>nan</t>
        </is>
      </c>
      <c r="F1640" s="44" t="n"/>
      <c r="G1640" s="44" t="n"/>
      <c r="H1640" s="15" t="n"/>
      <c r="I1640" s="45" t="n">
        <v>1207115</v>
      </c>
      <c r="J1640" s="45" t="n"/>
      <c r="K1640" s="45" t="n">
        <v>858645</v>
      </c>
      <c r="L1640" s="45" t="n">
        <v>853065.133899</v>
      </c>
      <c r="M1640" s="45" t="n"/>
      <c r="N1640" s="45" t="n"/>
      <c r="O1640" s="45" t="n"/>
      <c r="P1640" s="45" t="n"/>
      <c r="Q1640" s="45" t="n"/>
      <c r="R1640" s="45" t="n"/>
      <c r="S1640" s="45" t="n">
        <v>858645</v>
      </c>
      <c r="T1640" s="45" t="n">
        <v>853065.133899</v>
      </c>
      <c r="U1640" s="15" t="n">
        <v>22.537</v>
      </c>
      <c r="V1640" s="15" t="n">
        <v>125.4597256611594</v>
      </c>
      <c r="W1640" s="49" t="n">
        <v>99.3501544758311</v>
      </c>
    </row>
    <row r="1641">
      <c r="A1641" s="44" t="inlineStr">
        <is>
          <t>TL Cinsi Degisken Faizli Kuponlu Senetler</t>
        </is>
      </c>
      <c r="B1641" s="44" t="n">
        <v>1999</v>
      </c>
      <c r="C1641" s="44" t="inlineStr">
        <is>
          <t>TRT210301T19</t>
        </is>
      </c>
      <c r="D1641" s="44" t="inlineStr">
        <is>
          <t>nan</t>
        </is>
      </c>
      <c r="E1641" s="44" t="inlineStr">
        <is>
          <t>nan</t>
        </is>
      </c>
      <c r="F1641" s="44" t="n"/>
      <c r="G1641" s="44" t="n"/>
      <c r="H1641" s="15" t="n"/>
      <c r="I1641" s="45" t="n">
        <v>672068</v>
      </c>
      <c r="J1641" s="45" t="n"/>
      <c r="K1641" s="45" t="n">
        <v>159340</v>
      </c>
      <c r="L1641" s="45" t="n">
        <v>164085.203599</v>
      </c>
      <c r="M1641" s="45" t="n"/>
      <c r="N1641" s="45" t="n"/>
      <c r="O1641" s="45" t="n"/>
      <c r="P1641" s="45" t="n"/>
      <c r="Q1641" s="45" t="n"/>
      <c r="R1641" s="45" t="n"/>
      <c r="S1641" s="45" t="n">
        <v>268549</v>
      </c>
      <c r="T1641" s="45" t="n">
        <v>278085.202429</v>
      </c>
      <c r="U1641" s="15" t="n">
        <v>19.124</v>
      </c>
      <c r="V1641" s="15" t="n">
        <v>101.3710672090055</v>
      </c>
      <c r="W1641" s="49" t="n">
        <v>102.9780366505586</v>
      </c>
    </row>
    <row r="1642">
      <c r="A1642" s="44" t="inlineStr">
        <is>
          <t>TL Cinsi Degisken Faizli Kuponlu Senetler</t>
        </is>
      </c>
      <c r="B1642" s="44" t="n">
        <v>1999</v>
      </c>
      <c r="C1642" s="44" t="inlineStr">
        <is>
          <t>TRT031001T12</t>
        </is>
      </c>
      <c r="D1642" s="44" t="inlineStr">
        <is>
          <t>nan</t>
        </is>
      </c>
      <c r="E1642" s="44" t="inlineStr">
        <is>
          <t>nan</t>
        </is>
      </c>
      <c r="F1642" s="44" t="n"/>
      <c r="G1642" s="44" t="n"/>
      <c r="H1642" s="15" t="n"/>
      <c r="I1642" s="45" t="n">
        <v>1427540</v>
      </c>
      <c r="J1642" s="45" t="n"/>
      <c r="K1642" s="45" t="n">
        <v>879475</v>
      </c>
      <c r="L1642" s="45" t="n">
        <v>812527.432549</v>
      </c>
      <c r="M1642" s="45" t="n"/>
      <c r="N1642" s="45" t="n"/>
      <c r="O1642" s="45" t="n"/>
      <c r="P1642" s="45" t="n"/>
      <c r="Q1642" s="45" t="n"/>
      <c r="R1642" s="45" t="n"/>
      <c r="S1642" s="45" t="n">
        <v>971478.502563148</v>
      </c>
      <c r="T1642" s="45" t="n">
        <v>897527.426549</v>
      </c>
      <c r="U1642" s="15" t="n">
        <v>19.982</v>
      </c>
      <c r="V1642" s="15" t="n">
        <v>107.2356119908007</v>
      </c>
      <c r="W1642" s="49" t="n">
        <v>92.38778049961626</v>
      </c>
    </row>
    <row r="1643">
      <c r="A1643" s="44" t="inlineStr">
        <is>
          <t>TL Cinsi Degisken Faizli Kuponlu Senetler</t>
        </is>
      </c>
      <c r="B1643" s="44" t="n">
        <v>1999</v>
      </c>
      <c r="C1643" s="44" t="inlineStr">
        <is>
          <t>TRT140802T12</t>
        </is>
      </c>
      <c r="D1643" s="44" t="inlineStr">
        <is>
          <t>nan</t>
        </is>
      </c>
      <c r="E1643" s="44" t="inlineStr">
        <is>
          <t>nan</t>
        </is>
      </c>
      <c r="F1643" s="44" t="n"/>
      <c r="G1643" s="44" t="n"/>
      <c r="H1643" s="15" t="n"/>
      <c r="I1643" s="45" t="n">
        <v>958070.5</v>
      </c>
      <c r="J1643" s="45" t="n"/>
      <c r="K1643" s="45" t="n">
        <v>397645.5</v>
      </c>
      <c r="L1643" s="45" t="n">
        <v>413743.858564</v>
      </c>
      <c r="M1643" s="45" t="n"/>
      <c r="N1643" s="45" t="n"/>
      <c r="O1643" s="45" t="n"/>
      <c r="P1643" s="45" t="n"/>
      <c r="Q1643" s="45" t="n"/>
      <c r="R1643" s="45" t="n"/>
      <c r="S1643" s="45" t="n">
        <v>402450.9550148506</v>
      </c>
      <c r="T1643" s="45" t="n">
        <v>418743.858564</v>
      </c>
      <c r="U1643" s="15" t="n">
        <v>22.558</v>
      </c>
      <c r="V1643" s="15" t="n">
        <v>125.6143196692661</v>
      </c>
      <c r="W1643" s="49" t="n">
        <v>104.0484196511717</v>
      </c>
    </row>
    <row r="1644">
      <c r="A1644" s="44" t="inlineStr">
        <is>
          <t>TL Cinsi Degisken Faizli Kuponlu Senetler</t>
        </is>
      </c>
      <c r="B1644" s="44" t="n">
        <v>1999</v>
      </c>
      <c r="C1644" s="44" t="inlineStr">
        <is>
          <t>TRT240702T11</t>
        </is>
      </c>
      <c r="D1644" s="44" t="inlineStr">
        <is>
          <t>nan</t>
        </is>
      </c>
      <c r="E1644" s="44" t="inlineStr">
        <is>
          <t>nan</t>
        </is>
      </c>
      <c r="F1644" s="44" t="n"/>
      <c r="G1644" s="44" t="n"/>
      <c r="H1644" s="15" t="n"/>
      <c r="I1644" s="45" t="n">
        <v>1333998</v>
      </c>
      <c r="J1644" s="45" t="n"/>
      <c r="K1644" s="45" t="n">
        <v>301170</v>
      </c>
      <c r="L1644" s="45" t="n">
        <v>290124.945</v>
      </c>
      <c r="M1644" s="45" t="n"/>
      <c r="N1644" s="45" t="n"/>
      <c r="O1644" s="45" t="n"/>
      <c r="P1644" s="45" t="n"/>
      <c r="Q1644" s="45" t="n"/>
      <c r="R1644" s="45" t="n"/>
      <c r="S1644" s="45" t="n">
        <v>362878.070810664</v>
      </c>
      <c r="T1644" s="45" t="n">
        <v>349569.945</v>
      </c>
      <c r="U1644" s="15" t="n">
        <v>21.152</v>
      </c>
      <c r="V1644" s="15" t="n">
        <v>115.4380213822328</v>
      </c>
      <c r="W1644" s="49" t="n">
        <v>96.3326177906166</v>
      </c>
    </row>
    <row r="1645">
      <c r="A1645" s="44" t="inlineStr">
        <is>
          <t>TL Cinsi Degisken Faizli Kuponlu Senetler</t>
        </is>
      </c>
      <c r="B1645" s="44" t="n">
        <v>1999</v>
      </c>
      <c r="C1645" s="44" t="inlineStr">
        <is>
          <t>TRT031001T12</t>
        </is>
      </c>
      <c r="D1645" s="44" t="inlineStr">
        <is>
          <t>nan</t>
        </is>
      </c>
      <c r="E1645" s="44" t="inlineStr">
        <is>
          <t>nan</t>
        </is>
      </c>
      <c r="F1645" s="44" t="n"/>
      <c r="G1645" s="44" t="n"/>
      <c r="H1645" s="15" t="n"/>
      <c r="I1645" s="45" t="n">
        <v>2109885.35</v>
      </c>
      <c r="J1645" s="45" t="n"/>
      <c r="K1645" s="45" t="n">
        <v>613211.6</v>
      </c>
      <c r="L1645" s="45" t="n">
        <v>687625.6311689999</v>
      </c>
      <c r="M1645" s="45" t="n"/>
      <c r="N1645" s="45" t="n"/>
      <c r="O1645" s="45" t="n"/>
      <c r="P1645" s="45" t="n"/>
      <c r="Q1645" s="45" t="n"/>
      <c r="R1645" s="45" t="n"/>
      <c r="S1645" s="45" t="n">
        <v>961452.2563886803</v>
      </c>
      <c r="T1645" s="45" t="n">
        <v>1078124.626169</v>
      </c>
      <c r="U1645" s="15" t="n">
        <v>16.363</v>
      </c>
      <c r="V1645" s="15" t="n">
        <v>83.34101770546323</v>
      </c>
      <c r="W1645" s="49" t="n">
        <v>112.1351310329094</v>
      </c>
    </row>
    <row r="1646">
      <c r="A1646" s="44" t="inlineStr">
        <is>
          <t>TL Cinsi Degisken Faizli Kuponlu Senetler</t>
        </is>
      </c>
      <c r="B1646" s="44" t="n">
        <v>1999</v>
      </c>
      <c r="C1646" s="44" t="inlineStr">
        <is>
          <t>TRT240702T11</t>
        </is>
      </c>
      <c r="D1646" s="44" t="inlineStr">
        <is>
          <t>nan</t>
        </is>
      </c>
      <c r="E1646" s="44" t="inlineStr">
        <is>
          <t>nan</t>
        </is>
      </c>
      <c r="F1646" s="44" t="n"/>
      <c r="G1646" s="44" t="n"/>
      <c r="H1646" s="15" t="n"/>
      <c r="I1646" s="45" t="n">
        <v>2416843</v>
      </c>
      <c r="J1646" s="45" t="n"/>
      <c r="K1646" s="45" t="n">
        <v>761320</v>
      </c>
      <c r="L1646" s="45" t="n">
        <v>794433.208</v>
      </c>
      <c r="M1646" s="45" t="n"/>
      <c r="N1646" s="45" t="n"/>
      <c r="O1646" s="45" t="n"/>
      <c r="P1646" s="45" t="n"/>
      <c r="Q1646" s="45" t="n"/>
      <c r="R1646" s="45" t="n"/>
      <c r="S1646" s="45" t="n">
        <v>831372.0649999999</v>
      </c>
      <c r="T1646" s="45" t="n">
        <v>869049.203</v>
      </c>
      <c r="U1646" s="15" t="n">
        <v>20.27</v>
      </c>
      <c r="V1646" s="15" t="n">
        <v>109.2325480131545</v>
      </c>
      <c r="W1646" s="49" t="n">
        <v>104.3494467503809</v>
      </c>
    </row>
  </sheetData>
  <mergeCells count="8">
    <mergeCell ref="Q1:R1"/>
    <mergeCell ref="K1:L1"/>
    <mergeCell ref="S1:T1"/>
    <mergeCell ref="U1:V1"/>
    <mergeCell ref="O1:P1"/>
    <mergeCell ref="A1:H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8" customHeight="1">
      <c r="A1" s="26" t="inlineStr">
        <is>
          <t>Genel Bilgiler</t>
        </is>
      </c>
      <c r="B1" s="2" t="n"/>
      <c r="C1" s="2" t="n"/>
      <c r="D1" s="2" t="n"/>
      <c r="E1" s="2" t="n"/>
      <c r="F1" s="2" t="n"/>
      <c r="G1" s="2" t="n"/>
      <c r="H1" s="3" t="n"/>
      <c r="I1" s="27" t="inlineStr">
        <is>
          <t>Teklif Edilen Tutar</t>
        </is>
      </c>
      <c r="J1" s="3" t="n"/>
      <c r="K1" s="28" t="inlineStr">
        <is>
          <t>İhale Kabul Edilen Tutar</t>
        </is>
      </c>
      <c r="L1" s="3" t="n"/>
      <c r="M1" s="29" t="inlineStr">
        <is>
          <t>Rek. Olmayan Teklif - Kamu</t>
        </is>
      </c>
      <c r="N1" s="3" t="n"/>
      <c r="O1" s="30" t="inlineStr">
        <is>
          <t>Rek. Olmayan Teklif - Piyasa Yapıcı</t>
        </is>
      </c>
      <c r="P1" s="3" t="n"/>
      <c r="Q1" s="31" t="inlineStr">
        <is>
          <t>İhale Sonrası Satış</t>
        </is>
      </c>
      <c r="R1" s="3" t="n"/>
      <c r="S1" s="32" t="inlineStr">
        <is>
          <t>Toplam Satış</t>
        </is>
      </c>
      <c r="T1" s="3" t="n"/>
      <c r="U1" s="33" t="inlineStr">
        <is>
          <t>Kabul Edilen Faiz (%)</t>
        </is>
      </c>
      <c r="V1" s="3" t="n"/>
      <c r="W1" s="34" t="inlineStr">
        <is>
          <t>Fiyat</t>
        </is>
      </c>
    </row>
    <row r="2" ht="36" customHeight="1">
      <c r="A2" s="35" t="inlineStr">
        <is>
          <t>Senet Türü</t>
        </is>
      </c>
      <c r="B2" s="35" t="inlineStr">
        <is>
          <t>Yıl</t>
        </is>
      </c>
      <c r="C2" s="35" t="inlineStr">
        <is>
          <t>ISIN Kodu</t>
        </is>
      </c>
      <c r="D2" s="35" t="inlineStr">
        <is>
          <t>Valör Tarihi</t>
        </is>
      </c>
      <c r="E2" s="35" t="inlineStr">
        <is>
          <t>İtfa Tarihi</t>
        </is>
      </c>
      <c r="F2" s="35" t="inlineStr">
        <is>
          <t>Vade (Gün)</t>
        </is>
      </c>
      <c r="G2" s="35" t="inlineStr">
        <is>
          <t>Kupon Dönemi</t>
        </is>
      </c>
      <c r="H2" s="35" t="inlineStr">
        <is>
          <t>Kupon Oranı (%)</t>
        </is>
      </c>
      <c r="I2" s="36" t="inlineStr">
        <is>
          <t>Nominal (Bin TL)</t>
        </is>
      </c>
      <c r="J2" s="36" t="inlineStr">
        <is>
          <t>Net (Bin TL)</t>
        </is>
      </c>
      <c r="K2" s="37" t="inlineStr">
        <is>
          <t>Nominal (Bin TL)</t>
        </is>
      </c>
      <c r="L2" s="37" t="inlineStr">
        <is>
          <t>Net (Bin TL)</t>
        </is>
      </c>
      <c r="M2" s="38" t="inlineStr">
        <is>
          <t>Nominal (Bin TL)</t>
        </is>
      </c>
      <c r="N2" s="38" t="inlineStr">
        <is>
          <t>Net (Bin TL)</t>
        </is>
      </c>
      <c r="O2" s="39" t="inlineStr">
        <is>
          <t>Nominal (Bin TL)</t>
        </is>
      </c>
      <c r="P2" s="39" t="inlineStr">
        <is>
          <t>Net (Bin TL)</t>
        </is>
      </c>
      <c r="Q2" s="40" t="inlineStr">
        <is>
          <t>Nominal (Bin TL)</t>
        </is>
      </c>
      <c r="R2" s="40" t="inlineStr">
        <is>
          <t>Net (Bin TL)</t>
        </is>
      </c>
      <c r="S2" s="41" t="inlineStr">
        <is>
          <t>Nominal (Bin TL)</t>
        </is>
      </c>
      <c r="T2" s="41" t="inlineStr">
        <is>
          <t>Net (Bin TL)</t>
        </is>
      </c>
      <c r="U2" s="42" t="inlineStr">
        <is>
          <t>Ort. Dönem (Basit)</t>
        </is>
      </c>
      <c r="V2" s="42" t="inlineStr">
        <is>
          <t>Ort. Yıllık Bileşik</t>
        </is>
      </c>
      <c r="W2" s="43" t="inlineStr">
        <is>
          <t>İhraç Birim Fiyatı (Ort.)</t>
        </is>
      </c>
    </row>
    <row r="3">
      <c r="A3" s="44" t="inlineStr">
        <is>
          <t>TLREF Endeksli Senetler</t>
        </is>
      </c>
      <c r="B3" s="44" t="n">
        <v>2026</v>
      </c>
      <c r="C3" s="44" t="inlineStr">
        <is>
          <t>TRT090130T12</t>
        </is>
      </c>
      <c r="D3" s="44" t="inlineStr">
        <is>
          <t>14.01.2026</t>
        </is>
      </c>
      <c r="E3" s="44" t="inlineStr">
        <is>
          <t>09.01.2030</t>
        </is>
      </c>
      <c r="F3" s="44" t="n">
        <v>1456</v>
      </c>
      <c r="G3" s="44" t="inlineStr">
        <is>
          <t>6 ay</t>
        </is>
      </c>
      <c r="H3" s="15" t="n"/>
      <c r="I3" s="45" t="n">
        <v>79609005.127</v>
      </c>
      <c r="J3" s="45" t="n">
        <v>78023609.79854</v>
      </c>
      <c r="K3" s="45" t="n">
        <v>29589001.003</v>
      </c>
      <c r="L3" s="45" t="n">
        <v>29392787.89905</v>
      </c>
      <c r="M3" s="45" t="n">
        <v>22247500.93</v>
      </c>
      <c r="N3" s="45" t="n">
        <v>22099999.99883</v>
      </c>
      <c r="O3" s="45" t="n">
        <v>23153507.751</v>
      </c>
      <c r="P3" s="45" t="n">
        <v>22999999.99462</v>
      </c>
      <c r="Q3" s="45" t="n">
        <v>2098463.573</v>
      </c>
      <c r="R3" s="45" t="n">
        <v>2084550.75951</v>
      </c>
      <c r="S3" s="45" t="n">
        <v>77088473.257</v>
      </c>
      <c r="T3" s="45" t="n">
        <v>76577338.65201001</v>
      </c>
      <c r="U3" s="15" t="n">
        <v>18.77</v>
      </c>
      <c r="V3" s="15" t="n">
        <v>41.05</v>
      </c>
      <c r="W3" s="49" t="n">
        <v>99.337</v>
      </c>
    </row>
    <row r="4">
      <c r="A4" s="44" t="inlineStr">
        <is>
          <t>TLREF Endeksli Senetler</t>
        </is>
      </c>
      <c r="B4" s="44" t="n">
        <v>2026</v>
      </c>
      <c r="C4" s="44" t="inlineStr">
        <is>
          <t>TRT090130T12</t>
        </is>
      </c>
      <c r="D4" s="44" t="inlineStr">
        <is>
          <t>11.02.2026</t>
        </is>
      </c>
      <c r="E4" s="44" t="inlineStr">
        <is>
          <t>09.01.2030</t>
        </is>
      </c>
      <c r="F4" s="44" t="n">
        <v>1428</v>
      </c>
      <c r="G4" s="44" t="inlineStr">
        <is>
          <t>6 ay</t>
        </is>
      </c>
      <c r="H4" s="15" t="n"/>
      <c r="I4" s="45" t="n">
        <v>56562000</v>
      </c>
      <c r="J4" s="45" t="n">
        <v>58027618.99</v>
      </c>
      <c r="K4" s="45" t="n">
        <v>31595000</v>
      </c>
      <c r="L4" s="45" t="n">
        <v>32495974.68</v>
      </c>
      <c r="M4" s="45" t="n">
        <v>14972970.868</v>
      </c>
      <c r="N4" s="45" t="n">
        <v>15399999.99716</v>
      </c>
      <c r="O4" s="45" t="n">
        <v>13611791.695</v>
      </c>
      <c r="P4" s="45" t="n">
        <v>13999999.99413</v>
      </c>
      <c r="Q4" s="45" t="n">
        <v>8396266.965</v>
      </c>
      <c r="R4" s="45" t="n">
        <v>8635728.49884</v>
      </c>
      <c r="S4" s="45" t="n">
        <v>68576029.528</v>
      </c>
      <c r="T4" s="45" t="n">
        <v>70531703.17013</v>
      </c>
      <c r="U4" s="15" t="n">
        <v>18.55</v>
      </c>
      <c r="V4" s="15" t="n">
        <v>40.54</v>
      </c>
      <c r="W4" s="49" t="n">
        <v>102.852</v>
      </c>
    </row>
    <row r="5">
      <c r="A5" s="44" t="inlineStr">
        <is>
          <t>TLREF Endeksli Senetler</t>
        </is>
      </c>
      <c r="B5" s="44" t="n">
        <v>2026</v>
      </c>
      <c r="C5" s="44" t="inlineStr">
        <is>
          <t>TRT090130T12</t>
        </is>
      </c>
      <c r="D5" s="44" t="inlineStr">
        <is>
          <t>18.03.2026</t>
        </is>
      </c>
      <c r="E5" s="44" t="inlineStr">
        <is>
          <t>09.01.2030</t>
        </is>
      </c>
      <c r="F5" s="44" t="n">
        <v>1393</v>
      </c>
      <c r="G5" s="44" t="inlineStr">
        <is>
          <t>6 ay</t>
        </is>
      </c>
      <c r="H5" s="15" t="n"/>
      <c r="I5" s="45" t="n">
        <v>81525000</v>
      </c>
      <c r="J5" s="45" t="n">
        <v>83978060.88</v>
      </c>
      <c r="K5" s="45" t="n">
        <v>16613000</v>
      </c>
      <c r="L5" s="45" t="n">
        <v>17209377.11</v>
      </c>
      <c r="M5" s="45" t="n">
        <v>9682401.774</v>
      </c>
      <c r="N5" s="45" t="n">
        <v>10029999.99769</v>
      </c>
      <c r="O5" s="45" t="n">
        <v>19789554.971</v>
      </c>
      <c r="P5" s="45" t="n">
        <v>20499999.99448</v>
      </c>
      <c r="Q5" s="45" t="n">
        <v>2606759.821</v>
      </c>
      <c r="R5" s="45" t="n">
        <v>2700342.49857</v>
      </c>
      <c r="S5" s="45" t="n">
        <v>48691716.56600001</v>
      </c>
      <c r="T5" s="45" t="n">
        <v>50439719.60074</v>
      </c>
      <c r="U5" s="15" t="n">
        <v>19.25</v>
      </c>
      <c r="V5" s="15" t="n">
        <v>42.19</v>
      </c>
      <c r="W5" s="49" t="n">
        <v>103.59</v>
      </c>
    </row>
    <row r="6">
      <c r="A6" s="44" t="inlineStr">
        <is>
          <t>TLREF Endeksli Senetler</t>
        </is>
      </c>
      <c r="B6" s="44" t="n">
        <v>2026</v>
      </c>
      <c r="C6" s="44" t="inlineStr">
        <is>
          <t>TRT090130T12</t>
        </is>
      </c>
      <c r="D6" s="44" t="inlineStr">
        <is>
          <t>08.04.2026</t>
        </is>
      </c>
      <c r="E6" s="44" t="inlineStr">
        <is>
          <t>09.01.2030</t>
        </is>
      </c>
      <c r="F6" s="44" t="n">
        <v>1372</v>
      </c>
      <c r="G6" s="44" t="inlineStr">
        <is>
          <t>6 ay</t>
        </is>
      </c>
      <c r="H6" s="15" t="n"/>
      <c r="I6" s="45" t="n">
        <v>101723858</v>
      </c>
      <c r="J6" s="45" t="n">
        <v>106711208.3</v>
      </c>
      <c r="K6" s="45" t="n">
        <v>62860858</v>
      </c>
      <c r="L6" s="45" t="n">
        <v>66117447.93</v>
      </c>
      <c r="M6" s="45" t="n">
        <v>190148.41</v>
      </c>
      <c r="N6" s="45" t="n">
        <v>199999.99912</v>
      </c>
      <c r="O6" s="45" t="n">
        <v>31849858.808</v>
      </c>
      <c r="P6" s="45" t="n">
        <v>33499999.99285</v>
      </c>
      <c r="Q6" s="45" t="n">
        <v>23923510.897</v>
      </c>
      <c r="R6" s="45" t="n">
        <v>25162987.99657</v>
      </c>
      <c r="S6" s="45" t="n">
        <v>118824376.115</v>
      </c>
      <c r="T6" s="45" t="n">
        <v>124980435.91854</v>
      </c>
      <c r="U6" s="15" t="n">
        <v>19.39</v>
      </c>
      <c r="V6" s="15" t="n">
        <v>42.53</v>
      </c>
      <c r="W6" s="49" t="n">
        <v>105.181</v>
      </c>
    </row>
    <row r="7">
      <c r="A7" s="44" t="inlineStr">
        <is>
          <t>TLREF Endeksli Senetler</t>
        </is>
      </c>
      <c r="B7" s="44" t="n">
        <v>2026</v>
      </c>
      <c r="C7" s="44" t="inlineStr">
        <is>
          <t>TRT090130T12</t>
        </is>
      </c>
      <c r="D7" s="44" t="inlineStr">
        <is>
          <t>13.05.2026</t>
        </is>
      </c>
      <c r="E7" s="44" t="inlineStr">
        <is>
          <t>09.01.2030</t>
        </is>
      </c>
      <c r="F7" s="44" t="n">
        <v>1337</v>
      </c>
      <c r="G7" s="44" t="inlineStr">
        <is>
          <t>6 ay</t>
        </is>
      </c>
      <c r="H7" s="15" t="n"/>
      <c r="I7" s="45" t="n">
        <v>122200001</v>
      </c>
      <c r="J7" s="45" t="n">
        <v>133373838.4747</v>
      </c>
      <c r="K7" s="45" t="n">
        <v>40607001</v>
      </c>
      <c r="L7" s="45" t="n">
        <v>44450411.2647</v>
      </c>
      <c r="M7" s="45" t="n">
        <v>1863609.372</v>
      </c>
      <c r="N7" s="45" t="n">
        <v>2039999.99906</v>
      </c>
      <c r="O7" s="45" t="n">
        <v>36541360.251</v>
      </c>
      <c r="P7" s="45" t="n">
        <v>39999999.99875</v>
      </c>
      <c r="Q7" s="45" t="n">
        <v>18248574.407</v>
      </c>
      <c r="R7" s="45" t="n">
        <v>19975801.97462</v>
      </c>
      <c r="S7" s="45" t="n">
        <v>97260545.03</v>
      </c>
      <c r="T7" s="45" t="n">
        <v>106466213.23713</v>
      </c>
      <c r="U7" s="15" t="n">
        <v>19.22</v>
      </c>
      <c r="V7" s="15" t="n">
        <v>42.12</v>
      </c>
      <c r="W7" s="49" t="n">
        <v>109.465</v>
      </c>
    </row>
    <row r="8">
      <c r="A8" s="44" t="inlineStr">
        <is>
          <t>TLREF Endeksli Senetler</t>
        </is>
      </c>
      <c r="B8" s="44" t="n">
        <v>2026</v>
      </c>
      <c r="C8" s="44" t="inlineStr">
        <is>
          <t>TRT090130T12</t>
        </is>
      </c>
      <c r="D8" s="44" t="inlineStr">
        <is>
          <t>10.06.2026</t>
        </is>
      </c>
      <c r="E8" s="44" t="inlineStr">
        <is>
          <t>09.01.2030</t>
        </is>
      </c>
      <c r="F8" s="44" t="n">
        <v>1309</v>
      </c>
      <c r="G8" s="44" t="inlineStr">
        <is>
          <t>6 ay</t>
        </is>
      </c>
      <c r="H8" s="15" t="n"/>
      <c r="I8" s="45" t="n">
        <v>104246000</v>
      </c>
      <c r="J8" s="45" t="n">
        <v>117004543.56</v>
      </c>
      <c r="K8" s="45" t="n">
        <v>60642000</v>
      </c>
      <c r="L8" s="45" t="n">
        <v>68135035.15000001</v>
      </c>
      <c r="M8" s="45" t="n">
        <v>3586813.342</v>
      </c>
      <c r="N8" s="45" t="n">
        <v>4029999.99854</v>
      </c>
      <c r="O8" s="45" t="n">
        <v>50731603.113</v>
      </c>
      <c r="P8" s="45" t="n">
        <v>56999999.99363</v>
      </c>
      <c r="Q8" s="45" t="n">
        <v>25428457.295</v>
      </c>
      <c r="R8" s="45" t="n">
        <v>28570397.47837</v>
      </c>
      <c r="S8" s="45" t="n">
        <v>140388873.75</v>
      </c>
      <c r="T8" s="45" t="n">
        <v>157735432.62054</v>
      </c>
      <c r="U8" s="15" t="n">
        <v>19.25</v>
      </c>
      <c r="V8" s="15" t="n">
        <v>42.19</v>
      </c>
      <c r="W8" s="49" t="n">
        <v>112.356</v>
      </c>
    </row>
    <row r="9">
      <c r="A9" s="44" t="inlineStr">
        <is>
          <t>TLREF Endeksli Senetler</t>
        </is>
      </c>
      <c r="B9" s="44" t="n">
        <v>2026</v>
      </c>
      <c r="C9" s="44" t="inlineStr">
        <is>
          <t>TRT030730T12*</t>
        </is>
      </c>
      <c r="D9" s="44" t="inlineStr">
        <is>
          <t>08.07.2026</t>
        </is>
      </c>
      <c r="E9" s="44" t="inlineStr">
        <is>
          <t>03.07.2030</t>
        </is>
      </c>
      <c r="F9" s="44" t="n">
        <v>1456</v>
      </c>
      <c r="G9" s="44" t="inlineStr">
        <is>
          <t>6 ay</t>
        </is>
      </c>
      <c r="H9" s="15" t="n"/>
      <c r="I9" s="45" t="n">
        <v>146238863.25</v>
      </c>
      <c r="J9" s="45" t="n">
        <v>142874760.20144</v>
      </c>
      <c r="K9" s="45" t="n">
        <v>75869822.22499999</v>
      </c>
      <c r="L9" s="45" t="n">
        <v>74576048.50206</v>
      </c>
      <c r="M9" s="45" t="n">
        <v>3764179.254</v>
      </c>
      <c r="N9" s="45" t="n">
        <v>3699999.99772</v>
      </c>
      <c r="O9" s="45" t="n">
        <v>80370313.846</v>
      </c>
      <c r="P9" s="45" t="n">
        <v>78999999.99492</v>
      </c>
      <c r="Q9" s="45" t="n">
        <v>508672.872</v>
      </c>
      <c r="R9" s="45" t="n">
        <v>499999.99953</v>
      </c>
      <c r="S9" s="45" t="n">
        <v>160512988.197</v>
      </c>
      <c r="T9" s="45" t="n">
        <v>157776048.49423</v>
      </c>
      <c r="U9" s="15" t="n">
        <v>20.45</v>
      </c>
      <c r="V9" s="15" t="n">
        <v>45.08</v>
      </c>
      <c r="W9" s="49" t="n">
        <v>98.295</v>
      </c>
    </row>
    <row r="10">
      <c r="A10" s="44" t="inlineStr">
        <is>
          <t>TLREF Endeksli Senetler</t>
        </is>
      </c>
      <c r="B10" s="44" t="n">
        <v>2026</v>
      </c>
      <c r="C10" s="44" t="inlineStr">
        <is>
          <t>TRT030730T12</t>
        </is>
      </c>
      <c r="D10" s="44" t="inlineStr">
        <is>
          <t>19.08.2026</t>
        </is>
      </c>
      <c r="E10" s="44" t="inlineStr">
        <is>
          <t>03.07.2030</t>
        </is>
      </c>
      <c r="F10" s="44" t="n">
        <v>1414</v>
      </c>
      <c r="G10" s="44" t="inlineStr">
        <is>
          <t>6 ay</t>
        </is>
      </c>
      <c r="H10" s="15" t="n"/>
      <c r="I10" s="45" t="n">
        <v>128932100</v>
      </c>
      <c r="J10" s="45" t="n">
        <v>131940763.893</v>
      </c>
      <c r="K10" s="45" t="n">
        <v>32323100</v>
      </c>
      <c r="L10" s="45" t="n">
        <v>33159965.693</v>
      </c>
      <c r="M10" s="45" t="n">
        <v>97476.337</v>
      </c>
      <c r="N10" s="45" t="n">
        <v>99999.99936</v>
      </c>
      <c r="O10" s="45" t="n">
        <v>53611985.685</v>
      </c>
      <c r="P10" s="45" t="n">
        <v>54999999.99439</v>
      </c>
      <c r="Q10" s="45" t="n">
        <v>14802106.581</v>
      </c>
      <c r="R10" s="45" t="n">
        <v>15185333.1204</v>
      </c>
      <c r="S10" s="45" t="n">
        <v>100834668.603</v>
      </c>
      <c r="T10" s="45" t="n">
        <v>103445298.80715</v>
      </c>
      <c r="U10" s="15" t="n">
        <v>20.46</v>
      </c>
      <c r="V10" s="15" t="n">
        <v>45.09</v>
      </c>
      <c r="W10" s="49" t="n">
        <v>102.589</v>
      </c>
    </row>
    <row r="11">
      <c r="A11" s="44" t="inlineStr">
        <is>
          <t>TLREF Endeksli Senetler</t>
        </is>
      </c>
      <c r="B11" s="44" t="n">
        <v>2026</v>
      </c>
      <c r="C11" s="44" t="inlineStr">
        <is>
          <t>TRT110930T36</t>
        </is>
      </c>
      <c r="D11" s="44" t="inlineStr">
        <is>
          <t>16.09.2026</t>
        </is>
      </c>
      <c r="E11" s="44" t="inlineStr">
        <is>
          <t>11.09.2030</t>
        </is>
      </c>
      <c r="F11" s="44" t="n">
        <v>1456</v>
      </c>
      <c r="G11" s="44" t="inlineStr">
        <is>
          <t>6 ay</t>
        </is>
      </c>
      <c r="H11" s="15" t="n"/>
      <c r="I11" s="45" t="n">
        <v>113114000</v>
      </c>
      <c r="J11" s="45" t="n">
        <v>110468966.72</v>
      </c>
      <c r="K11" s="45" t="n">
        <v>49631000</v>
      </c>
      <c r="L11" s="45" t="n">
        <v>48851314.97</v>
      </c>
      <c r="M11" s="45" t="n">
        <v>5486188.012</v>
      </c>
      <c r="N11" s="45" t="n">
        <v>5399999.99833</v>
      </c>
      <c r="O11" s="45" t="n">
        <v>30478822.292</v>
      </c>
      <c r="P11" s="45" t="n">
        <v>29999999.99381</v>
      </c>
      <c r="Q11" s="45" t="n">
        <v>0</v>
      </c>
      <c r="R11" s="45" t="n">
        <v>0</v>
      </c>
      <c r="S11" s="45" t="n">
        <v>85596010.30400001</v>
      </c>
      <c r="T11" s="45" t="n">
        <v>84251314.96213999</v>
      </c>
      <c r="U11" s="15" t="n">
        <v>18.64</v>
      </c>
      <c r="V11" s="15" t="n">
        <v>40.76</v>
      </c>
      <c r="W11" s="49" t="n">
        <v>98.429</v>
      </c>
    </row>
    <row r="12">
      <c r="A12" s="44" t="inlineStr">
        <is>
          <t>TLREF Endeksli Senetler</t>
        </is>
      </c>
      <c r="B12" s="44" t="n">
        <v>2026</v>
      </c>
      <c r="C12" s="44" t="inlineStr">
        <is>
          <t>TRT110930T36</t>
        </is>
      </c>
      <c r="D12" s="44" t="inlineStr">
        <is>
          <t>07.10.2026</t>
        </is>
      </c>
      <c r="E12" s="44" t="inlineStr">
        <is>
          <t>11.09.2030</t>
        </is>
      </c>
      <c r="F12" s="44" t="n">
        <v>1435</v>
      </c>
      <c r="G12" s="44" t="inlineStr">
        <is>
          <t>6 ay</t>
        </is>
      </c>
      <c r="H12" s="15" t="n"/>
      <c r="I12" s="45" t="n">
        <v>58939000</v>
      </c>
      <c r="J12" s="45" t="n">
        <v>58617039.08</v>
      </c>
      <c r="K12" s="45" t="n">
        <v>26298000</v>
      </c>
      <c r="L12" s="45" t="n">
        <v>26217249.42</v>
      </c>
      <c r="M12" s="45" t="n">
        <v>0</v>
      </c>
      <c r="N12" s="45" t="n">
        <v>0</v>
      </c>
      <c r="O12" s="45" t="n">
        <v>25076986.341</v>
      </c>
      <c r="P12" s="45" t="n">
        <v>24999999.99294</v>
      </c>
      <c r="Q12" s="45" t="n">
        <v>5300499.531</v>
      </c>
      <c r="R12" s="45" t="n">
        <v>5284226.99744</v>
      </c>
      <c r="S12" s="45" t="n">
        <v>56675485.872</v>
      </c>
      <c r="T12" s="45" t="n">
        <v>56501476.41038001</v>
      </c>
      <c r="U12" s="15" t="n">
        <v>18.82</v>
      </c>
      <c r="V12" s="15" t="n">
        <v>41.18</v>
      </c>
      <c r="W12" s="49" t="n">
        <v>99.693</v>
      </c>
    </row>
    <row r="13">
      <c r="A13" s="44" t="inlineStr">
        <is>
          <t>TLREF Endeksli Senetler</t>
        </is>
      </c>
      <c r="B13" s="44" t="n">
        <v>2026</v>
      </c>
      <c r="C13" s="44" t="inlineStr">
        <is>
          <t>(*) İlgili ihalede yükümlülüğün yerine getirilmemesi sebebiyle, ihalede kabul edilen tutar ve toplam satış tutarlarında yukarıda belirtilen istatistiklerden nominal satış tutarı 175.000.000,00 TL; net satış tutarı ise 203.234.500,00 TL eksik gerçekleşmiştir.</t>
        </is>
      </c>
      <c r="D13" s="44" t="inlineStr">
        <is>
          <t>nan</t>
        </is>
      </c>
      <c r="E13" s="44" t="inlineStr">
        <is>
          <t>nan</t>
        </is>
      </c>
      <c r="F13" s="44" t="n"/>
      <c r="G13" s="44" t="n"/>
      <c r="H13" s="1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15" t="n"/>
      <c r="V13" s="15" t="n"/>
      <c r="W13" s="49" t="n"/>
    </row>
    <row r="14">
      <c r="A14" s="44" t="inlineStr">
        <is>
          <t>TLREF Endeksli Senetler</t>
        </is>
      </c>
      <c r="B14" s="44" t="n">
        <v>2025</v>
      </c>
      <c r="C14" s="44" t="inlineStr">
        <is>
          <t>TRT061228T16</t>
        </is>
      </c>
      <c r="D14" s="44" t="inlineStr">
        <is>
          <t>15.01.2025</t>
        </is>
      </c>
      <c r="E14" s="44" t="inlineStr">
        <is>
          <t>06.12.2028</t>
        </is>
      </c>
      <c r="F14" s="44" t="n">
        <v>1421</v>
      </c>
      <c r="G14" s="44" t="inlineStr">
        <is>
          <t>3 ay</t>
        </is>
      </c>
      <c r="H14" s="15" t="n"/>
      <c r="I14" s="45" t="n">
        <v>49270032</v>
      </c>
      <c r="J14" s="45" t="n">
        <v>51262428.56</v>
      </c>
      <c r="K14" s="45" t="n">
        <v>16874000</v>
      </c>
      <c r="L14" s="45" t="n">
        <v>17661324.12</v>
      </c>
      <c r="M14" s="45" t="n">
        <v>2866260.294</v>
      </c>
      <c r="N14" s="45" t="n">
        <v>2999999.99932</v>
      </c>
      <c r="O14" s="45" t="n">
        <v>33439703.431</v>
      </c>
      <c r="P14" s="45" t="n">
        <v>34999999.99311</v>
      </c>
      <c r="Q14" s="45" t="n">
        <v>4284423.307</v>
      </c>
      <c r="R14" s="45" t="n">
        <v>4484334.4985</v>
      </c>
      <c r="S14" s="45" t="n">
        <v>57464387.03200001</v>
      </c>
      <c r="T14" s="45" t="n">
        <v>60145658.61093</v>
      </c>
      <c r="U14" s="15" t="n">
        <v>12.5</v>
      </c>
      <c r="V14" s="15" t="n">
        <v>60.15</v>
      </c>
      <c r="W14" s="49" t="n">
        <v>104.666</v>
      </c>
    </row>
    <row r="15">
      <c r="A15" s="44" t="inlineStr">
        <is>
          <t>TLREF Endeksli Senetler</t>
        </is>
      </c>
      <c r="B15" s="44" t="n">
        <v>2025</v>
      </c>
      <c r="C15" s="44" t="inlineStr">
        <is>
          <t>TRT061228T16</t>
        </is>
      </c>
      <c r="D15" s="44" t="inlineStr">
        <is>
          <t>19.02.2025</t>
        </is>
      </c>
      <c r="E15" s="44" t="inlineStr">
        <is>
          <t>06.12.2028</t>
        </is>
      </c>
      <c r="F15" s="44" t="n">
        <v>1386</v>
      </c>
      <c r="G15" s="44" t="inlineStr">
        <is>
          <t>3 ay</t>
        </is>
      </c>
      <c r="H15" s="15" t="n"/>
      <c r="I15" s="45" t="n">
        <v>75514318</v>
      </c>
      <c r="J15" s="45" t="n">
        <v>82300766.84838</v>
      </c>
      <c r="K15" s="45" t="n">
        <v>20501318</v>
      </c>
      <c r="L15" s="45" t="n">
        <v>22438293.33838</v>
      </c>
      <c r="M15" s="45" t="n">
        <v>2741027.702</v>
      </c>
      <c r="N15" s="45" t="n">
        <v>2999999.99928</v>
      </c>
      <c r="O15" s="45" t="n">
        <v>13705138.507</v>
      </c>
      <c r="P15" s="45" t="n">
        <v>14999999.99314</v>
      </c>
      <c r="Q15" s="45" t="n">
        <v>7709161.008</v>
      </c>
      <c r="R15" s="45" t="n">
        <v>8437522.540030001</v>
      </c>
      <c r="S15" s="45" t="n">
        <v>44656645.217</v>
      </c>
      <c r="T15" s="45" t="n">
        <v>48875815.87083001</v>
      </c>
      <c r="U15" s="15" t="n">
        <v>12.51</v>
      </c>
      <c r="V15" s="15" t="n">
        <v>60.21</v>
      </c>
      <c r="W15" s="49" t="n">
        <v>109.448</v>
      </c>
    </row>
    <row r="16">
      <c r="A16" s="44" t="inlineStr">
        <is>
          <t>TLREF Endeksli Senetler</t>
        </is>
      </c>
      <c r="B16" s="44" t="n">
        <v>2025</v>
      </c>
      <c r="C16" s="44" t="inlineStr">
        <is>
          <t>TRT070329T15</t>
        </is>
      </c>
      <c r="D16" s="44" t="inlineStr">
        <is>
          <t>12.03.2025</t>
        </is>
      </c>
      <c r="E16" s="44" t="inlineStr">
        <is>
          <t>07.03.2029</t>
        </is>
      </c>
      <c r="F16" s="44" t="n">
        <v>1456</v>
      </c>
      <c r="G16" s="44" t="inlineStr">
        <is>
          <t>3 ay</t>
        </is>
      </c>
      <c r="H16" s="15" t="n"/>
      <c r="I16" s="45" t="n">
        <v>52389000</v>
      </c>
      <c r="J16" s="45" t="n">
        <v>51236840.3</v>
      </c>
      <c r="K16" s="45" t="n">
        <v>30269000</v>
      </c>
      <c r="L16" s="45" t="n">
        <v>29794012.55</v>
      </c>
      <c r="M16" s="45" t="n">
        <v>6603610.65</v>
      </c>
      <c r="N16" s="45" t="n">
        <v>6499999.9989</v>
      </c>
      <c r="O16" s="45" t="n">
        <v>7619550.747</v>
      </c>
      <c r="P16" s="45" t="n">
        <v>7499999.99579</v>
      </c>
      <c r="Q16" s="45" t="n">
        <v>6652834.087</v>
      </c>
      <c r="R16" s="45" t="n">
        <v>6548451.12018</v>
      </c>
      <c r="S16" s="45" t="n">
        <v>51144995.484</v>
      </c>
      <c r="T16" s="45" t="n">
        <v>50342463.66486999</v>
      </c>
      <c r="U16" s="15" t="n">
        <v>10.83</v>
      </c>
      <c r="V16" s="15" t="n">
        <v>50.88</v>
      </c>
      <c r="W16" s="49" t="n">
        <v>98.431</v>
      </c>
    </row>
    <row r="17">
      <c r="A17" s="44" t="inlineStr">
        <is>
          <t>TLREF Endeksli Senetler</t>
        </is>
      </c>
      <c r="B17" s="44" t="n">
        <v>2025</v>
      </c>
      <c r="C17" s="44" t="inlineStr">
        <is>
          <t>TRT080426T16</t>
        </is>
      </c>
      <c r="D17" s="44" t="inlineStr">
        <is>
          <t>09.04.2025</t>
        </is>
      </c>
      <c r="E17" s="44" t="inlineStr">
        <is>
          <t>08.04.2026</t>
        </is>
      </c>
      <c r="F17" s="44" t="n">
        <v>364</v>
      </c>
      <c r="G17" s="44" t="inlineStr">
        <is>
          <t>3 ay</t>
        </is>
      </c>
      <c r="H17" s="15" t="n"/>
      <c r="I17" s="45" t="n">
        <v>100155019.954</v>
      </c>
      <c r="J17" s="45" t="n">
        <v>97925950.61947</v>
      </c>
      <c r="K17" s="45" t="n">
        <v>48823019.954</v>
      </c>
      <c r="L17" s="45" t="n">
        <v>48195551.33947</v>
      </c>
      <c r="M17" s="45" t="n">
        <v>0</v>
      </c>
      <c r="N17" s="45" t="n">
        <v>0</v>
      </c>
      <c r="O17" s="45" t="n">
        <v>30390518.153</v>
      </c>
      <c r="P17" s="45" t="n">
        <v>29999999.99474</v>
      </c>
      <c r="Q17" s="45" t="n">
        <v>110418.882</v>
      </c>
      <c r="R17" s="45" t="n">
        <v>108999.99937</v>
      </c>
      <c r="S17" s="45" t="n">
        <v>79323956.98900001</v>
      </c>
      <c r="T17" s="45" t="n">
        <v>78304551.33358</v>
      </c>
      <c r="U17" s="15" t="n">
        <v>12.05</v>
      </c>
      <c r="V17" s="15" t="n">
        <v>57.65</v>
      </c>
      <c r="W17" s="49" t="n">
        <v>98.715</v>
      </c>
    </row>
    <row r="18">
      <c r="A18" s="44" t="inlineStr">
        <is>
          <t>TLREF Endeksli Senetler</t>
        </is>
      </c>
      <c r="B18" s="44" t="n">
        <v>2025</v>
      </c>
      <c r="C18" s="44" t="inlineStr">
        <is>
          <t>TRT070329T15</t>
        </is>
      </c>
      <c r="D18" s="44" t="inlineStr">
        <is>
          <t>14.05.2025</t>
        </is>
      </c>
      <c r="E18" s="44" t="inlineStr">
        <is>
          <t>07.03.2029</t>
        </is>
      </c>
      <c r="F18" s="44" t="n">
        <v>1393</v>
      </c>
      <c r="G18" s="44" t="inlineStr">
        <is>
          <t>3 ay</t>
        </is>
      </c>
      <c r="H18" s="15" t="n"/>
      <c r="I18" s="45" t="n">
        <v>74609000</v>
      </c>
      <c r="J18" s="45" t="n">
        <v>74840592.59999999</v>
      </c>
      <c r="K18" s="45" t="n">
        <v>39461000</v>
      </c>
      <c r="L18" s="45" t="n">
        <v>39857748.71</v>
      </c>
      <c r="M18" s="45" t="n">
        <v>2970149.992</v>
      </c>
      <c r="N18" s="45" t="n">
        <v>2999999.99942</v>
      </c>
      <c r="O18" s="45" t="n">
        <v>14850749.957</v>
      </c>
      <c r="P18" s="45" t="n">
        <v>14999999.99406</v>
      </c>
      <c r="Q18" s="45" t="n">
        <v>16764389.383</v>
      </c>
      <c r="R18" s="45" t="n">
        <v>16932871.49629</v>
      </c>
      <c r="S18" s="45" t="n">
        <v>74046289.332</v>
      </c>
      <c r="T18" s="45" t="n">
        <v>74790620.19977</v>
      </c>
      <c r="U18" s="15" t="n">
        <v>11.5</v>
      </c>
      <c r="V18" s="15" t="n">
        <v>54.57</v>
      </c>
      <c r="W18" s="49" t="n">
        <v>101.005</v>
      </c>
    </row>
    <row r="19">
      <c r="A19" s="44" t="inlineStr">
        <is>
          <t>TLREF Endeksli Senetler</t>
        </is>
      </c>
      <c r="B19" s="44" t="n">
        <v>2025</v>
      </c>
      <c r="C19" s="44" t="inlineStr">
        <is>
          <t>TRT130629T30</t>
        </is>
      </c>
      <c r="D19" s="44" t="inlineStr">
        <is>
          <t>18.06.2025</t>
        </is>
      </c>
      <c r="E19" s="44" t="inlineStr">
        <is>
          <t>13.06.2029</t>
        </is>
      </c>
      <c r="F19" s="44" t="n">
        <v>1456</v>
      </c>
      <c r="G19" s="44" t="inlineStr">
        <is>
          <t>3 ay</t>
        </is>
      </c>
      <c r="H19" s="15" t="n"/>
      <c r="I19" s="45" t="n">
        <v>81751004.207</v>
      </c>
      <c r="J19" s="45" t="n">
        <v>75981893.4193</v>
      </c>
      <c r="K19" s="45" t="n">
        <v>50419004.207</v>
      </c>
      <c r="L19" s="45" t="n">
        <v>47098581.4193</v>
      </c>
      <c r="M19" s="45" t="n">
        <v>2676258.376</v>
      </c>
      <c r="N19" s="45" t="n">
        <v>2499999.99936</v>
      </c>
      <c r="O19" s="45" t="n">
        <v>18198556.957</v>
      </c>
      <c r="P19" s="45" t="n">
        <v>16999999.99583</v>
      </c>
      <c r="Q19" s="45" t="n">
        <v>20501646.613</v>
      </c>
      <c r="R19" s="45" t="n">
        <v>19151408.16707</v>
      </c>
      <c r="S19" s="45" t="n">
        <v>91795466.15300001</v>
      </c>
      <c r="T19" s="45" t="n">
        <v>85749989.58155999</v>
      </c>
      <c r="U19" s="15" t="n">
        <v>12.47</v>
      </c>
      <c r="V19" s="15" t="n">
        <v>60</v>
      </c>
      <c r="W19" s="49" t="n">
        <v>93.414</v>
      </c>
    </row>
    <row r="20">
      <c r="A20" s="44" t="inlineStr">
        <is>
          <t>TLREF Endeksli Senetler</t>
        </is>
      </c>
      <c r="B20" s="44" t="n">
        <v>2025</v>
      </c>
      <c r="C20" s="44" t="inlineStr">
        <is>
          <t>TRT040729T14</t>
        </is>
      </c>
      <c r="D20" s="44" t="inlineStr">
        <is>
          <t>09.07.2025</t>
        </is>
      </c>
      <c r="E20" s="44" t="inlineStr">
        <is>
          <t>04.07.2029</t>
        </is>
      </c>
      <c r="F20" s="44" t="n">
        <v>1456</v>
      </c>
      <c r="G20" s="44" t="inlineStr">
        <is>
          <t>6 ay</t>
        </is>
      </c>
      <c r="H20" s="15" t="n"/>
      <c r="I20" s="45" t="n">
        <v>101867278</v>
      </c>
      <c r="J20" s="45" t="n">
        <v>95052769.15000001</v>
      </c>
      <c r="K20" s="45" t="n">
        <v>32615000</v>
      </c>
      <c r="L20" s="45" t="n">
        <v>30774209.9</v>
      </c>
      <c r="M20" s="45" t="n">
        <v>9538344.142000001</v>
      </c>
      <c r="N20" s="45" t="n">
        <v>8999999.99862</v>
      </c>
      <c r="O20" s="45" t="n">
        <v>40273008.6</v>
      </c>
      <c r="P20" s="45" t="n">
        <v>37999999.99463</v>
      </c>
      <c r="Q20" s="45" t="n">
        <v>12202728.601</v>
      </c>
      <c r="R20" s="45" t="n">
        <v>11514006.59876</v>
      </c>
      <c r="S20" s="45" t="n">
        <v>94629081.34300001</v>
      </c>
      <c r="T20" s="45" t="n">
        <v>89288216.49201</v>
      </c>
      <c r="U20" s="15" t="n">
        <v>24.68</v>
      </c>
      <c r="V20" s="15" t="n">
        <v>55.45</v>
      </c>
      <c r="W20" s="49" t="n">
        <v>94.35599999999999</v>
      </c>
    </row>
    <row r="21">
      <c r="A21" s="44" t="inlineStr">
        <is>
          <t>TLREF Endeksli Senetler</t>
        </is>
      </c>
      <c r="B21" s="44" t="n">
        <v>2025</v>
      </c>
      <c r="C21" s="44" t="inlineStr">
        <is>
          <t>TRT040729T14</t>
        </is>
      </c>
      <c r="D21" s="44" t="inlineStr">
        <is>
          <t>20.08.2025</t>
        </is>
      </c>
      <c r="E21" s="44" t="inlineStr">
        <is>
          <t>04.07.2029</t>
        </is>
      </c>
      <c r="F21" s="44" t="n">
        <v>1414</v>
      </c>
      <c r="G21" s="44" t="inlineStr">
        <is>
          <t>6 ay</t>
        </is>
      </c>
      <c r="H21" s="15" t="n"/>
      <c r="I21" s="45" t="n">
        <v>179552851</v>
      </c>
      <c r="J21" s="45" t="n">
        <v>181045310.22788</v>
      </c>
      <c r="K21" s="45" t="n">
        <v>27285000</v>
      </c>
      <c r="L21" s="45" t="n">
        <v>27707455</v>
      </c>
      <c r="M21" s="45" t="n">
        <v>7917438.058</v>
      </c>
      <c r="N21" s="45" t="n">
        <v>8039999.99914</v>
      </c>
      <c r="O21" s="45" t="n">
        <v>31512191.271</v>
      </c>
      <c r="P21" s="45" t="n">
        <v>31999999.99185</v>
      </c>
      <c r="Q21" s="45" t="n">
        <v>9419403.630000001</v>
      </c>
      <c r="R21" s="45" t="n">
        <v>9565215.998190001</v>
      </c>
      <c r="S21" s="45" t="n">
        <v>76134032.95899999</v>
      </c>
      <c r="T21" s="45" t="n">
        <v>77312670.98918</v>
      </c>
      <c r="U21" s="15" t="n">
        <v>23.98</v>
      </c>
      <c r="V21" s="15" t="n">
        <v>53.72</v>
      </c>
      <c r="W21" s="49" t="n">
        <v>101.548</v>
      </c>
    </row>
    <row r="22">
      <c r="A22" s="44" t="inlineStr">
        <is>
          <t>TLREF Endeksli Senetler</t>
        </is>
      </c>
      <c r="B22" s="44" t="n">
        <v>2024</v>
      </c>
      <c r="C22" s="44" t="inlineStr">
        <is>
          <t>TRT190128T14</t>
        </is>
      </c>
      <c r="D22" s="44" t="inlineStr">
        <is>
          <t>24.01.2024</t>
        </is>
      </c>
      <c r="E22" s="44" t="inlineStr">
        <is>
          <t>19.01.2028</t>
        </is>
      </c>
      <c r="F22" s="44" t="n">
        <v>1456</v>
      </c>
      <c r="G22" s="44" t="inlineStr">
        <is>
          <t>3 ay</t>
        </is>
      </c>
      <c r="H22" s="15" t="n"/>
      <c r="I22" s="45" t="n">
        <v>38392210.984</v>
      </c>
      <c r="J22" s="45" t="n">
        <v>37023568.96606</v>
      </c>
      <c r="K22" s="45" t="n">
        <v>5910000</v>
      </c>
      <c r="L22" s="45" t="n">
        <v>5864075</v>
      </c>
      <c r="M22" s="45" t="n">
        <v>0</v>
      </c>
      <c r="N22" s="45" t="n">
        <v>0</v>
      </c>
      <c r="O22" s="45" t="n">
        <v>10078308.453</v>
      </c>
      <c r="P22" s="45" t="n">
        <v>9999999.996309999</v>
      </c>
      <c r="Q22" s="45" t="n">
        <v>3010000</v>
      </c>
      <c r="R22" s="45" t="n">
        <v>2986612.3</v>
      </c>
      <c r="S22" s="45" t="n">
        <v>18998308.453</v>
      </c>
      <c r="T22" s="45" t="n">
        <v>18850687.29631</v>
      </c>
      <c r="U22" s="15" t="n">
        <v>10.72</v>
      </c>
      <c r="V22" s="15" t="n">
        <v>50.3</v>
      </c>
      <c r="W22" s="49" t="n">
        <v>99.223</v>
      </c>
    </row>
    <row r="23">
      <c r="A23" s="44" t="inlineStr">
        <is>
          <t>TLREF Endeksli Senetler</t>
        </is>
      </c>
      <c r="B23" s="44" t="n">
        <v>2024</v>
      </c>
      <c r="C23" s="44" t="inlineStr">
        <is>
          <t>TRT190128T14</t>
        </is>
      </c>
      <c r="D23" s="44" t="inlineStr">
        <is>
          <t>14.02.2024</t>
        </is>
      </c>
      <c r="E23" s="44" t="inlineStr">
        <is>
          <t>19.01.2028</t>
        </is>
      </c>
      <c r="F23" s="44" t="n">
        <v>1435</v>
      </c>
      <c r="G23" s="44" t="inlineStr">
        <is>
          <t>3 ay</t>
        </is>
      </c>
      <c r="H23" s="15" t="n"/>
      <c r="I23" s="45" t="n">
        <v>29462003</v>
      </c>
      <c r="J23" s="45" t="n">
        <v>29493318.045</v>
      </c>
      <c r="K23" s="45" t="n">
        <v>7170000</v>
      </c>
      <c r="L23" s="45" t="n">
        <v>7319549.7</v>
      </c>
      <c r="M23" s="45" t="n">
        <v>0</v>
      </c>
      <c r="N23" s="45" t="n">
        <v>0</v>
      </c>
      <c r="O23" s="45" t="n">
        <v>5877397.484</v>
      </c>
      <c r="P23" s="45" t="n">
        <v>5999999.99552</v>
      </c>
      <c r="Q23" s="45" t="n">
        <v>1961823.952</v>
      </c>
      <c r="R23" s="45" t="n">
        <v>2002747.59964</v>
      </c>
      <c r="S23" s="45" t="n">
        <v>15009221.436</v>
      </c>
      <c r="T23" s="45" t="n">
        <v>15322297.29516</v>
      </c>
      <c r="U23" s="15" t="n">
        <v>10.66</v>
      </c>
      <c r="V23" s="15" t="n">
        <v>49.93</v>
      </c>
      <c r="W23" s="49" t="n">
        <v>102.086</v>
      </c>
    </row>
    <row r="24">
      <c r="A24" s="44" t="inlineStr">
        <is>
          <t>TLREF Endeksli Senetler</t>
        </is>
      </c>
      <c r="B24" s="44" t="n">
        <v>2024</v>
      </c>
      <c r="C24" s="44" t="inlineStr">
        <is>
          <t>TRT190128T14</t>
        </is>
      </c>
      <c r="D24" s="44" t="inlineStr">
        <is>
          <t>13.03.2024</t>
        </is>
      </c>
      <c r="E24" s="44" t="inlineStr">
        <is>
          <t>19.01.2028</t>
        </is>
      </c>
      <c r="F24" s="44" t="n">
        <v>1407</v>
      </c>
      <c r="G24" s="44" t="inlineStr">
        <is>
          <t>3 ay</t>
        </is>
      </c>
      <c r="H24" s="15" t="n"/>
      <c r="I24" s="45" t="n">
        <v>19044000</v>
      </c>
      <c r="J24" s="45" t="n">
        <v>19695209.72</v>
      </c>
      <c r="K24" s="45" t="n">
        <v>6310000</v>
      </c>
      <c r="L24" s="45" t="n">
        <v>6633671.55</v>
      </c>
      <c r="M24" s="45" t="n">
        <v>0</v>
      </c>
      <c r="N24" s="45" t="n">
        <v>0</v>
      </c>
      <c r="O24" s="45" t="n">
        <v>4280414.722</v>
      </c>
      <c r="P24" s="45" t="n">
        <v>4499999.99725</v>
      </c>
      <c r="Q24" s="45" t="n">
        <v>3245940.929</v>
      </c>
      <c r="R24" s="45" t="n">
        <v>3412457.69866</v>
      </c>
      <c r="S24" s="45" t="n">
        <v>13836355.651</v>
      </c>
      <c r="T24" s="45" t="n">
        <v>14546129.24591</v>
      </c>
      <c r="U24" s="15" t="n">
        <v>10.68</v>
      </c>
      <c r="V24" s="15" t="n">
        <v>50.07</v>
      </c>
      <c r="W24" s="49" t="n">
        <v>105.13</v>
      </c>
    </row>
    <row r="25">
      <c r="A25" s="44" t="inlineStr">
        <is>
          <t>TLREF Endeksli Senetler</t>
        </is>
      </c>
      <c r="B25" s="44" t="n">
        <v>2024</v>
      </c>
      <c r="C25" s="44" t="inlineStr">
        <is>
          <t>TRT190128T14</t>
        </is>
      </c>
      <c r="D25" s="44" t="inlineStr">
        <is>
          <t>17.04.2024</t>
        </is>
      </c>
      <c r="E25" s="44" t="inlineStr">
        <is>
          <t>19.01.2028</t>
        </is>
      </c>
      <c r="F25" s="44" t="n">
        <v>1372</v>
      </c>
      <c r="G25" s="44" t="inlineStr">
        <is>
          <t>3 ay</t>
        </is>
      </c>
      <c r="H25" s="15" t="n"/>
      <c r="I25" s="45" t="n">
        <v>25895005</v>
      </c>
      <c r="J25" s="45" t="n">
        <v>28269890</v>
      </c>
      <c r="K25" s="45" t="n">
        <v>12800000</v>
      </c>
      <c r="L25" s="45" t="n">
        <v>14045439.1</v>
      </c>
      <c r="M25" s="45" t="n">
        <v>0</v>
      </c>
      <c r="N25" s="45" t="n">
        <v>0</v>
      </c>
      <c r="O25" s="45" t="n">
        <v>8201950.238</v>
      </c>
      <c r="P25" s="45" t="n">
        <v>8999999.996160001</v>
      </c>
      <c r="Q25" s="45" t="n">
        <v>5125110.087</v>
      </c>
      <c r="R25" s="45" t="n">
        <v>5623783.29847</v>
      </c>
      <c r="S25" s="45" t="n">
        <v>26127060.325</v>
      </c>
      <c r="T25" s="45" t="n">
        <v>28669222.39463</v>
      </c>
      <c r="U25" s="15" t="n">
        <v>10.62</v>
      </c>
      <c r="V25" s="15" t="n">
        <v>49.76</v>
      </c>
      <c r="W25" s="49" t="n">
        <v>109.73</v>
      </c>
    </row>
    <row r="26">
      <c r="A26" s="44" t="inlineStr">
        <is>
          <t>TLREF Endeksli Senetler</t>
        </is>
      </c>
      <c r="B26" s="44" t="n">
        <v>2024</v>
      </c>
      <c r="C26" s="44" t="inlineStr">
        <is>
          <t>TRT170528T12</t>
        </is>
      </c>
      <c r="D26" s="44" t="inlineStr">
        <is>
          <t>22.05.2024</t>
        </is>
      </c>
      <c r="E26" s="44" t="inlineStr">
        <is>
          <t>17.05.2028</t>
        </is>
      </c>
      <c r="F26" s="44" t="n">
        <v>1456</v>
      </c>
      <c r="G26" s="44" t="inlineStr">
        <is>
          <t>3 ay</t>
        </is>
      </c>
      <c r="H26" s="15" t="n"/>
      <c r="I26" s="45" t="n">
        <v>23009008</v>
      </c>
      <c r="J26" s="45" t="n">
        <v>22742235.88</v>
      </c>
      <c r="K26" s="45" t="n">
        <v>11205000</v>
      </c>
      <c r="L26" s="45" t="n">
        <v>11155486</v>
      </c>
      <c r="M26" s="45" t="n">
        <v>2511099.057</v>
      </c>
      <c r="N26" s="45" t="n">
        <v>2499999.99917</v>
      </c>
      <c r="O26" s="45" t="n">
        <v>10044396.227</v>
      </c>
      <c r="P26" s="45" t="n">
        <v>9999999.995680001</v>
      </c>
      <c r="Q26" s="45" t="n">
        <v>5643619.658</v>
      </c>
      <c r="R26" s="45" t="n">
        <v>5618674.85911</v>
      </c>
      <c r="S26" s="45" t="n">
        <v>29404114.942</v>
      </c>
      <c r="T26" s="45" t="n">
        <v>29274160.85396</v>
      </c>
      <c r="U26" s="15" t="n">
        <v>12.57</v>
      </c>
      <c r="V26" s="15" t="n">
        <v>60.55</v>
      </c>
      <c r="W26" s="49" t="n">
        <v>99.55800000000001</v>
      </c>
    </row>
    <row r="27">
      <c r="A27" s="44" t="inlineStr">
        <is>
          <t>TLREF Endeksli Senetler</t>
        </is>
      </c>
      <c r="B27" s="44" t="n">
        <v>2024</v>
      </c>
      <c r="C27" s="44" t="inlineStr">
        <is>
          <t>TRT170528T12</t>
        </is>
      </c>
      <c r="D27" s="44" t="inlineStr">
        <is>
          <t>12.06.2024</t>
        </is>
      </c>
      <c r="E27" s="44" t="inlineStr">
        <is>
          <t>17.05.2028</t>
        </is>
      </c>
      <c r="F27" s="44" t="n">
        <v>1435</v>
      </c>
      <c r="G27" s="44" t="inlineStr">
        <is>
          <t>3 ay</t>
        </is>
      </c>
      <c r="H27" s="15" t="n"/>
      <c r="I27" s="45" t="n">
        <v>19250345.187</v>
      </c>
      <c r="J27" s="45" t="n">
        <v>19609952.20886</v>
      </c>
      <c r="K27" s="45" t="n">
        <v>13940245.187</v>
      </c>
      <c r="L27" s="45" t="n">
        <v>14226888.70886</v>
      </c>
      <c r="M27" s="45" t="n">
        <v>1469781.296</v>
      </c>
      <c r="N27" s="45" t="n">
        <v>1499999.99945</v>
      </c>
      <c r="O27" s="45" t="n">
        <v>13717958.762</v>
      </c>
      <c r="P27" s="45" t="n">
        <v>13999999.99414</v>
      </c>
      <c r="Q27" s="45" t="n">
        <v>2512598.473</v>
      </c>
      <c r="R27" s="45" t="n">
        <v>2564257.49761</v>
      </c>
      <c r="S27" s="45" t="n">
        <v>31640583.718</v>
      </c>
      <c r="T27" s="45" t="n">
        <v>32291146.20006</v>
      </c>
      <c r="U27" s="15" t="n">
        <v>12.6</v>
      </c>
      <c r="V27" s="15" t="n">
        <v>60.77</v>
      </c>
      <c r="W27" s="49" t="n">
        <v>102.056</v>
      </c>
    </row>
    <row r="28">
      <c r="A28" s="44" t="inlineStr">
        <is>
          <t>TLREF Endeksli Senetler</t>
        </is>
      </c>
      <c r="B28" s="44" t="n">
        <v>2024</v>
      </c>
      <c r="C28" s="44" t="inlineStr">
        <is>
          <t>TRT170528T12</t>
        </is>
      </c>
      <c r="D28" s="44" t="inlineStr">
        <is>
          <t>10.07.2024</t>
        </is>
      </c>
      <c r="E28" s="44" t="inlineStr">
        <is>
          <t>17.05.2028</t>
        </is>
      </c>
      <c r="F28" s="44" t="n">
        <v>1407</v>
      </c>
      <c r="G28" s="44" t="inlineStr">
        <is>
          <t>3 ay</t>
        </is>
      </c>
      <c r="H28" s="15" t="n"/>
      <c r="I28" s="45" t="n">
        <v>57303002.311</v>
      </c>
      <c r="J28" s="45" t="n">
        <v>60402676.05966</v>
      </c>
      <c r="K28" s="45" t="n">
        <v>18292002.311</v>
      </c>
      <c r="L28" s="45" t="n">
        <v>19316017.40966</v>
      </c>
      <c r="M28" s="45" t="n">
        <v>0</v>
      </c>
      <c r="N28" s="45" t="n">
        <v>0</v>
      </c>
      <c r="O28" s="45" t="n">
        <v>13257826.849</v>
      </c>
      <c r="P28" s="45" t="n">
        <v>13999999.99602</v>
      </c>
      <c r="Q28" s="45" t="n">
        <v>3355091.628</v>
      </c>
      <c r="R28" s="45" t="n">
        <v>3542909.65735</v>
      </c>
      <c r="S28" s="45" t="n">
        <v>34904920.788</v>
      </c>
      <c r="T28" s="45" t="n">
        <v>36858927.06303</v>
      </c>
      <c r="U28" s="15" t="n">
        <v>12.64</v>
      </c>
      <c r="V28" s="15" t="n">
        <v>60.99</v>
      </c>
      <c r="W28" s="49" t="n">
        <v>105.598</v>
      </c>
    </row>
    <row r="29">
      <c r="A29" s="44" t="inlineStr">
        <is>
          <t>TLREF Endeksli Senetler</t>
        </is>
      </c>
      <c r="B29" s="44" t="n">
        <v>2024</v>
      </c>
      <c r="C29" s="44" t="inlineStr">
        <is>
          <t>TRT170528T12</t>
        </is>
      </c>
      <c r="D29" s="44" t="inlineStr">
        <is>
          <t>14.08.2024</t>
        </is>
      </c>
      <c r="E29" s="44" t="inlineStr">
        <is>
          <t>17.05.2028</t>
        </is>
      </c>
      <c r="F29" s="44" t="n">
        <v>1372</v>
      </c>
      <c r="G29" s="44" t="inlineStr">
        <is>
          <t>3 ay</t>
        </is>
      </c>
      <c r="H29" s="15" t="n"/>
      <c r="I29" s="45" t="n">
        <v>40663917.458</v>
      </c>
      <c r="J29" s="45" t="n">
        <v>44708372.88757</v>
      </c>
      <c r="K29" s="45" t="n">
        <v>14962002.262</v>
      </c>
      <c r="L29" s="45" t="n">
        <v>16526158.55951</v>
      </c>
      <c r="M29" s="45" t="n">
        <v>0</v>
      </c>
      <c r="N29" s="45" t="n">
        <v>0</v>
      </c>
      <c r="O29" s="45" t="n">
        <v>14485668.237</v>
      </c>
      <c r="P29" s="45" t="n">
        <v>15999999.99449</v>
      </c>
      <c r="Q29" s="45" t="n">
        <v>4501595.685</v>
      </c>
      <c r="R29" s="45" t="n">
        <v>4972192.4979</v>
      </c>
      <c r="S29" s="45" t="n">
        <v>33949266.184</v>
      </c>
      <c r="T29" s="45" t="n">
        <v>37498351.0519</v>
      </c>
      <c r="U29" s="15" t="n">
        <v>12.66</v>
      </c>
      <c r="V29" s="15" t="n">
        <v>61.07</v>
      </c>
      <c r="W29" s="49" t="n">
        <v>110.454</v>
      </c>
    </row>
    <row r="30">
      <c r="A30" s="44" t="inlineStr">
        <is>
          <t>TLREF Endeksli Senetler</t>
        </is>
      </c>
      <c r="B30" s="44" t="n">
        <v>2024</v>
      </c>
      <c r="C30" s="44" t="inlineStr">
        <is>
          <t>TRT060928T11</t>
        </is>
      </c>
      <c r="D30" s="44" t="inlineStr">
        <is>
          <t>11.09.2024</t>
        </is>
      </c>
      <c r="E30" s="44" t="inlineStr">
        <is>
          <t>06.09.2028</t>
        </is>
      </c>
      <c r="F30" s="44" t="n">
        <v>1456</v>
      </c>
      <c r="G30" s="44" t="inlineStr">
        <is>
          <t>3 ay</t>
        </is>
      </c>
      <c r="H30" s="15" t="n"/>
      <c r="I30" s="45" t="n">
        <v>29510001</v>
      </c>
      <c r="J30" s="45" t="n">
        <v>28993722.475</v>
      </c>
      <c r="K30" s="45" t="n">
        <v>21760000</v>
      </c>
      <c r="L30" s="45" t="n">
        <v>21480376</v>
      </c>
      <c r="M30" s="45" t="n">
        <v>0</v>
      </c>
      <c r="N30" s="45" t="n">
        <v>0</v>
      </c>
      <c r="O30" s="45" t="n">
        <v>20260345.433</v>
      </c>
      <c r="P30" s="45" t="n">
        <v>19999999.99419</v>
      </c>
      <c r="Q30" s="45" t="n">
        <v>1261755</v>
      </c>
      <c r="R30" s="45" t="n">
        <v>1245541.44825</v>
      </c>
      <c r="S30" s="45" t="n">
        <v>43282100.433</v>
      </c>
      <c r="T30" s="45" t="n">
        <v>42725917.44244</v>
      </c>
      <c r="U30" s="15" t="n">
        <v>12.69</v>
      </c>
      <c r="V30" s="15" t="n">
        <v>61.27</v>
      </c>
      <c r="W30" s="49" t="n">
        <v>98.715</v>
      </c>
    </row>
    <row r="31">
      <c r="A31" s="44" t="inlineStr">
        <is>
          <t>TLREF Endeksli Senetler</t>
        </is>
      </c>
      <c r="B31" s="44" t="n">
        <v>2024</v>
      </c>
      <c r="C31" s="44" t="inlineStr">
        <is>
          <t>TRT060928T11</t>
        </is>
      </c>
      <c r="D31" s="44" t="inlineStr">
        <is>
          <t>09.10.2024</t>
        </is>
      </c>
      <c r="E31" s="44" t="inlineStr">
        <is>
          <t>06.09.2028</t>
        </is>
      </c>
      <c r="F31" s="44" t="n">
        <v>1428</v>
      </c>
      <c r="G31" s="44" t="inlineStr">
        <is>
          <t>3 ay</t>
        </is>
      </c>
      <c r="H31" s="15" t="n"/>
      <c r="I31" s="45" t="n">
        <v>31726135.677</v>
      </c>
      <c r="J31" s="45" t="n">
        <v>32077183.53844</v>
      </c>
      <c r="K31" s="45" t="n">
        <v>22001094.285</v>
      </c>
      <c r="L31" s="45" t="n">
        <v>22328169.28925</v>
      </c>
      <c r="M31" s="45" t="n">
        <v>0</v>
      </c>
      <c r="N31" s="45" t="n">
        <v>0</v>
      </c>
      <c r="O31" s="45" t="n">
        <v>10838826.644</v>
      </c>
      <c r="P31" s="45" t="n">
        <v>10999999.9962</v>
      </c>
      <c r="Q31" s="45" t="n">
        <v>9843697.091</v>
      </c>
      <c r="R31" s="45" t="n">
        <v>9990072.86675</v>
      </c>
      <c r="S31" s="45" t="n">
        <v>42683618.02</v>
      </c>
      <c r="T31" s="45" t="n">
        <v>43318242.15220001</v>
      </c>
      <c r="U31" s="15" t="n">
        <v>12.83</v>
      </c>
      <c r="V31" s="15" t="n">
        <v>62.08</v>
      </c>
      <c r="W31" s="49" t="n">
        <v>101.487</v>
      </c>
    </row>
    <row r="32">
      <c r="A32" s="44" t="inlineStr">
        <is>
          <t>TLREF Endeksli Senetler</t>
        </is>
      </c>
      <c r="B32" s="44" t="n">
        <v>2024</v>
      </c>
      <c r="C32" s="44" t="inlineStr">
        <is>
          <t>TRT060928T11</t>
        </is>
      </c>
      <c r="D32" s="44" t="inlineStr">
        <is>
          <t>06.11.2024</t>
        </is>
      </c>
      <c r="E32" s="44" t="inlineStr">
        <is>
          <t>06.09.2028</t>
        </is>
      </c>
      <c r="F32" s="44" t="n">
        <v>1400</v>
      </c>
      <c r="G32" s="44" t="inlineStr">
        <is>
          <t>3 ay</t>
        </is>
      </c>
      <c r="H32" s="15" t="n"/>
      <c r="I32" s="45" t="n">
        <v>26945128.266</v>
      </c>
      <c r="J32" s="45" t="n">
        <v>28008081.04997</v>
      </c>
      <c r="K32" s="45" t="n">
        <v>17245128.266</v>
      </c>
      <c r="L32" s="45" t="n">
        <v>17982829.54997</v>
      </c>
      <c r="M32" s="45" t="n">
        <v>0</v>
      </c>
      <c r="N32" s="45" t="n">
        <v>0</v>
      </c>
      <c r="O32" s="45" t="n">
        <v>7192312.853</v>
      </c>
      <c r="P32" s="45" t="n">
        <v>7499999.99686</v>
      </c>
      <c r="Q32" s="45" t="n">
        <v>4885605.277</v>
      </c>
      <c r="R32" s="45" t="n">
        <v>5094611.47075</v>
      </c>
      <c r="S32" s="45" t="n">
        <v>29323046.396</v>
      </c>
      <c r="T32" s="45" t="n">
        <v>30577441.01758</v>
      </c>
      <c r="U32" s="15" t="n">
        <v>13</v>
      </c>
      <c r="V32" s="15" t="n">
        <v>63.02</v>
      </c>
      <c r="W32" s="49" t="n">
        <v>104.278</v>
      </c>
    </row>
    <row r="33">
      <c r="A33" s="44" t="inlineStr">
        <is>
          <t>TLREF Endeksli Senetler</t>
        </is>
      </c>
      <c r="B33" s="44" t="n">
        <v>2024</v>
      </c>
      <c r="C33" s="44" t="inlineStr">
        <is>
          <t>TRT061228T16</t>
        </is>
      </c>
      <c r="D33" s="44" t="inlineStr">
        <is>
          <t>11.12.2024</t>
        </is>
      </c>
      <c r="E33" s="44" t="inlineStr">
        <is>
          <t>06.12.2028</t>
        </is>
      </c>
      <c r="F33" s="44" t="n">
        <v>1456</v>
      </c>
      <c r="G33" s="44" t="inlineStr">
        <is>
          <t>3 ay</t>
        </is>
      </c>
      <c r="H33" s="15" t="n"/>
      <c r="I33" s="45" t="n">
        <v>53208000</v>
      </c>
      <c r="J33" s="45" t="n">
        <v>51714865.35</v>
      </c>
      <c r="K33" s="45" t="n">
        <v>21604000</v>
      </c>
      <c r="L33" s="45" t="n">
        <v>21161924.7</v>
      </c>
      <c r="M33" s="45" t="n">
        <v>0</v>
      </c>
      <c r="N33" s="45" t="n">
        <v>0</v>
      </c>
      <c r="O33" s="45" t="n">
        <v>25522183.877</v>
      </c>
      <c r="P33" s="45" t="n">
        <v>24999999.99488</v>
      </c>
      <c r="Q33" s="45" t="n">
        <v>6915827.273</v>
      </c>
      <c r="R33" s="45" t="n">
        <v>6774329.447</v>
      </c>
      <c r="S33" s="45" t="n">
        <v>54042011.15000001</v>
      </c>
      <c r="T33" s="45" t="n">
        <v>52936254.14187999</v>
      </c>
      <c r="U33" s="15" t="n">
        <v>12.81</v>
      </c>
      <c r="V33" s="15" t="n">
        <v>61.93</v>
      </c>
      <c r="W33" s="49" t="n">
        <v>97.95399999999999</v>
      </c>
    </row>
    <row r="34">
      <c r="A34" s="44" t="inlineStr">
        <is>
          <t>TLREF Endeksli Senetler</t>
        </is>
      </c>
      <c r="B34" s="44" t="n">
        <v>2023</v>
      </c>
      <c r="C34" s="44" t="inlineStr">
        <is>
          <t>TRT200526T19</t>
        </is>
      </c>
      <c r="D34" s="44" t="inlineStr">
        <is>
          <t>25.01.2023</t>
        </is>
      </c>
      <c r="E34" s="44" t="inlineStr">
        <is>
          <t>20.05.2026</t>
        </is>
      </c>
      <c r="F34" s="44" t="n">
        <v>1211</v>
      </c>
      <c r="G34" s="44" t="inlineStr">
        <is>
          <t>3 ay</t>
        </is>
      </c>
      <c r="H34" s="15" t="n"/>
      <c r="I34" s="45" t="n">
        <v>7010508</v>
      </c>
      <c r="J34" s="45" t="n">
        <v>6524629.155</v>
      </c>
      <c r="K34" s="45" t="n">
        <v>3480505</v>
      </c>
      <c r="L34" s="45" t="n">
        <v>3274152.125</v>
      </c>
      <c r="M34" s="45" t="n">
        <v>0</v>
      </c>
      <c r="N34" s="45" t="n">
        <v>0</v>
      </c>
      <c r="O34" s="45" t="n">
        <v>265756.714</v>
      </c>
      <c r="P34" s="45" t="n">
        <v>249999.99843</v>
      </c>
      <c r="Q34" s="45" t="n">
        <v>972325.356</v>
      </c>
      <c r="R34" s="45" t="n">
        <v>914676.18564</v>
      </c>
      <c r="S34" s="45" t="n">
        <v>4718587.07</v>
      </c>
      <c r="T34" s="45" t="n">
        <v>4438828.30907</v>
      </c>
      <c r="U34" s="15" t="n">
        <v>4.11</v>
      </c>
      <c r="V34" s="15" t="n">
        <v>17.49</v>
      </c>
      <c r="W34" s="49" t="n">
        <v>94.071</v>
      </c>
    </row>
    <row r="35">
      <c r="A35" s="44" t="inlineStr">
        <is>
          <t>TLREF Endeksli Senetler</t>
        </is>
      </c>
      <c r="B35" s="44" t="n">
        <v>2023</v>
      </c>
      <c r="C35" s="44" t="inlineStr">
        <is>
          <t>TRT200526T19</t>
        </is>
      </c>
      <c r="D35" s="44" t="inlineStr">
        <is>
          <t>08.02.2023</t>
        </is>
      </c>
      <c r="E35" s="44" t="inlineStr">
        <is>
          <t>20.05.2026</t>
        </is>
      </c>
      <c r="F35" s="44" t="n">
        <v>1197</v>
      </c>
      <c r="G35" s="44" t="inlineStr">
        <is>
          <t>3 ay</t>
        </is>
      </c>
      <c r="H35" s="15" t="n"/>
      <c r="I35" s="45" t="n">
        <v>10510005</v>
      </c>
      <c r="J35" s="45" t="n">
        <v>9801689.385</v>
      </c>
      <c r="K35" s="45" t="n">
        <v>5455002</v>
      </c>
      <c r="L35" s="45" t="n">
        <v>5123372.38</v>
      </c>
      <c r="M35" s="45" t="n">
        <v>0</v>
      </c>
      <c r="N35" s="45" t="n">
        <v>0</v>
      </c>
      <c r="O35" s="45" t="n">
        <v>1597086.909</v>
      </c>
      <c r="P35" s="45" t="n">
        <v>1499999.99582</v>
      </c>
      <c r="Q35" s="45" t="n">
        <v>1924132.786</v>
      </c>
      <c r="R35" s="45" t="n">
        <v>1807164.75394</v>
      </c>
      <c r="S35" s="45" t="n">
        <v>8976221.695</v>
      </c>
      <c r="T35" s="45" t="n">
        <v>8430537.129759999</v>
      </c>
      <c r="U35" s="15" t="n">
        <v>4.19</v>
      </c>
      <c r="V35" s="15" t="n">
        <v>17.84</v>
      </c>
      <c r="W35" s="49" t="n">
        <v>93.92100000000001</v>
      </c>
    </row>
    <row r="36">
      <c r="A36" s="44" t="inlineStr">
        <is>
          <t>TLREF Endeksli Senetler</t>
        </is>
      </c>
      <c r="B36" s="44" t="n">
        <v>2023</v>
      </c>
      <c r="C36" s="44" t="inlineStr">
        <is>
          <t>TRT010328T12</t>
        </is>
      </c>
      <c r="D36" s="44" t="inlineStr">
        <is>
          <t>08.03.2023</t>
        </is>
      </c>
      <c r="E36" s="44" t="inlineStr">
        <is>
          <t>01.03.2028</t>
        </is>
      </c>
      <c r="F36" s="44" t="n">
        <v>1820</v>
      </c>
      <c r="G36" s="44" t="inlineStr">
        <is>
          <t>3 ay</t>
        </is>
      </c>
      <c r="H36" s="15" t="n"/>
      <c r="I36" s="45" t="n">
        <v>16547009</v>
      </c>
      <c r="J36" s="45" t="n">
        <v>14477789.46</v>
      </c>
      <c r="K36" s="45" t="n">
        <v>9898004</v>
      </c>
      <c r="L36" s="45" t="n">
        <v>8759539.1</v>
      </c>
      <c r="M36" s="45" t="n">
        <v>0</v>
      </c>
      <c r="N36" s="45" t="n">
        <v>0</v>
      </c>
      <c r="O36" s="45" t="n">
        <v>3954891.633</v>
      </c>
      <c r="P36" s="45" t="n">
        <v>3499999.99738</v>
      </c>
      <c r="Q36" s="45" t="n">
        <v>1813637.306</v>
      </c>
      <c r="R36" s="45" t="n">
        <v>1605032.74306</v>
      </c>
      <c r="S36" s="45" t="n">
        <v>15666532.939</v>
      </c>
      <c r="T36" s="45" t="n">
        <v>13864571.84044</v>
      </c>
      <c r="U36" s="15" t="n">
        <v>3.56</v>
      </c>
      <c r="V36" s="15" t="n">
        <v>15.04</v>
      </c>
      <c r="W36" s="49" t="n">
        <v>88.498</v>
      </c>
    </row>
    <row r="37">
      <c r="A37" s="44" t="inlineStr">
        <is>
          <t>TLREF Endeksli Senetler</t>
        </is>
      </c>
      <c r="B37" s="44" t="n">
        <v>2023</v>
      </c>
      <c r="C37" s="44" t="inlineStr">
        <is>
          <t>TRT010328T12</t>
        </is>
      </c>
      <c r="D37" s="44" t="inlineStr">
        <is>
          <t>12.04.2023</t>
        </is>
      </c>
      <c r="E37" s="44" t="inlineStr">
        <is>
          <t>01.03.2028</t>
        </is>
      </c>
      <c r="F37" s="44" t="n">
        <v>1785</v>
      </c>
      <c r="G37" s="44" t="inlineStr">
        <is>
          <t>3 ay</t>
        </is>
      </c>
      <c r="H37" s="15" t="n"/>
      <c r="I37" s="45" t="n">
        <v>16253510</v>
      </c>
      <c r="J37" s="45" t="n">
        <v>14753838.89</v>
      </c>
      <c r="K37" s="45" t="n">
        <v>10259003</v>
      </c>
      <c r="L37" s="45" t="n">
        <v>9415917.4</v>
      </c>
      <c r="M37" s="45" t="n">
        <v>0</v>
      </c>
      <c r="N37" s="45" t="n">
        <v>0</v>
      </c>
      <c r="O37" s="45" t="n">
        <v>5883506.564</v>
      </c>
      <c r="P37" s="45" t="n">
        <v>5399999.99457</v>
      </c>
      <c r="Q37" s="45" t="n">
        <v>0</v>
      </c>
      <c r="R37" s="45" t="n">
        <v>0</v>
      </c>
      <c r="S37" s="45" t="n">
        <v>16142509.564</v>
      </c>
      <c r="T37" s="45" t="n">
        <v>14815917.39457</v>
      </c>
      <c r="U37" s="15" t="n">
        <v>3.41</v>
      </c>
      <c r="V37" s="15" t="n">
        <v>14.33</v>
      </c>
      <c r="W37" s="49" t="n">
        <v>91.782</v>
      </c>
    </row>
    <row r="38">
      <c r="A38" s="44" t="inlineStr">
        <is>
          <t>TLREF Endeksli Senetler</t>
        </is>
      </c>
      <c r="B38" s="44" t="n">
        <v>2023</v>
      </c>
      <c r="C38" s="44" t="inlineStr">
        <is>
          <t>TRT010328T12</t>
        </is>
      </c>
      <c r="D38" s="44" t="inlineStr">
        <is>
          <t>03.05.2023</t>
        </is>
      </c>
      <c r="E38" s="44" t="inlineStr">
        <is>
          <t>01.03.2028</t>
        </is>
      </c>
      <c r="F38" s="44" t="n">
        <v>1764</v>
      </c>
      <c r="G38" s="44" t="inlineStr">
        <is>
          <t>3 ay</t>
        </is>
      </c>
      <c r="H38" s="15" t="n"/>
      <c r="I38" s="45" t="n">
        <v>15483750</v>
      </c>
      <c r="J38" s="45" t="n">
        <v>14060326.28</v>
      </c>
      <c r="K38" s="45" t="n">
        <v>8862500</v>
      </c>
      <c r="L38" s="45" t="n">
        <v>8101587.38</v>
      </c>
      <c r="M38" s="45" t="n">
        <v>0</v>
      </c>
      <c r="N38" s="45" t="n">
        <v>0</v>
      </c>
      <c r="O38" s="45" t="n">
        <v>9407749.356000001</v>
      </c>
      <c r="P38" s="45" t="n">
        <v>8599999.99628</v>
      </c>
      <c r="Q38" s="45" t="n">
        <v>1365123.284</v>
      </c>
      <c r="R38" s="45" t="n">
        <v>1247913.79884</v>
      </c>
      <c r="S38" s="45" t="n">
        <v>19635372.64</v>
      </c>
      <c r="T38" s="45" t="n">
        <v>17949501.17512</v>
      </c>
      <c r="U38" s="15" t="n">
        <v>3.49</v>
      </c>
      <c r="V38" s="15" t="n">
        <v>14.7</v>
      </c>
      <c r="W38" s="49" t="n">
        <v>91.414</v>
      </c>
    </row>
    <row r="39">
      <c r="A39" s="44" t="inlineStr">
        <is>
          <t>TLREF Endeksli Senetler</t>
        </is>
      </c>
      <c r="B39" s="44" t="n">
        <v>2023</v>
      </c>
      <c r="C39" s="44" t="inlineStr">
        <is>
          <t>TRT160627T13</t>
        </is>
      </c>
      <c r="D39" s="44" t="inlineStr">
        <is>
          <t>21.06.2023</t>
        </is>
      </c>
      <c r="E39" s="44" t="inlineStr">
        <is>
          <t>16.06.2027</t>
        </is>
      </c>
      <c r="F39" s="44" t="n">
        <v>1456</v>
      </c>
      <c r="G39" s="44" t="inlineStr">
        <is>
          <t>3 ay</t>
        </is>
      </c>
      <c r="H39" s="15" t="n"/>
      <c r="I39" s="45" t="n">
        <v>7936000</v>
      </c>
      <c r="J39" s="45" t="n">
        <v>7246802.13</v>
      </c>
      <c r="K39" s="45" t="n">
        <v>4195000</v>
      </c>
      <c r="L39" s="45" t="n">
        <v>3910149.03</v>
      </c>
      <c r="M39" s="45" t="n">
        <v>0</v>
      </c>
      <c r="N39" s="45" t="n">
        <v>0</v>
      </c>
      <c r="O39" s="45" t="n">
        <v>3754961.91</v>
      </c>
      <c r="P39" s="45" t="n">
        <v>3499999.99632</v>
      </c>
      <c r="Q39" s="45" t="n">
        <v>1097661.918</v>
      </c>
      <c r="R39" s="45" t="n">
        <v>1023130.67376</v>
      </c>
      <c r="S39" s="45" t="n">
        <v>9047623.828</v>
      </c>
      <c r="T39" s="45" t="n">
        <v>8433279.70008</v>
      </c>
      <c r="U39" s="15" t="n">
        <v>3.46</v>
      </c>
      <c r="V39" s="15" t="n">
        <v>14.57</v>
      </c>
      <c r="W39" s="49" t="n">
        <v>93.20999999999999</v>
      </c>
    </row>
    <row r="40">
      <c r="A40" s="44" t="inlineStr">
        <is>
          <t>TLREF Endeksli Senetler</t>
        </is>
      </c>
      <c r="B40" s="44" t="n">
        <v>2023</v>
      </c>
      <c r="C40" s="44" t="inlineStr">
        <is>
          <t>TRT160627T13</t>
        </is>
      </c>
      <c r="D40" s="44" t="inlineStr">
        <is>
          <t>19.07.2023</t>
        </is>
      </c>
      <c r="E40" s="44" t="inlineStr">
        <is>
          <t>16.06.2027</t>
        </is>
      </c>
      <c r="F40" s="44" t="n">
        <v>1428</v>
      </c>
      <c r="G40" s="44" t="inlineStr">
        <is>
          <t>3 ay</t>
        </is>
      </c>
      <c r="H40" s="15" t="n"/>
      <c r="I40" s="45" t="n">
        <v>15675002</v>
      </c>
      <c r="J40" s="45" t="n">
        <v>14402684.09</v>
      </c>
      <c r="K40" s="45" t="n">
        <v>10643000</v>
      </c>
      <c r="L40" s="45" t="n">
        <v>9865604.140000001</v>
      </c>
      <c r="M40" s="45" t="n">
        <v>0</v>
      </c>
      <c r="N40" s="45" t="n">
        <v>0</v>
      </c>
      <c r="O40" s="45" t="n">
        <v>3344265.121</v>
      </c>
      <c r="P40" s="45" t="n">
        <v>3099999.99658</v>
      </c>
      <c r="Q40" s="45" t="n">
        <v>2491873.977</v>
      </c>
      <c r="R40" s="45" t="n">
        <v>2309867.50171</v>
      </c>
      <c r="S40" s="45" t="n">
        <v>16479139.098</v>
      </c>
      <c r="T40" s="45" t="n">
        <v>15275471.63829</v>
      </c>
      <c r="U40" s="15" t="n">
        <v>3.59</v>
      </c>
      <c r="V40" s="15" t="n">
        <v>15.16</v>
      </c>
      <c r="W40" s="49" t="n">
        <v>92.696</v>
      </c>
    </row>
    <row r="41">
      <c r="A41" s="44" t="inlineStr">
        <is>
          <t>TLREF Endeksli Senetler</t>
        </is>
      </c>
      <c r="B41" s="44" t="n">
        <v>2023</v>
      </c>
      <c r="C41" s="44" t="inlineStr">
        <is>
          <t>TRT160627T13</t>
        </is>
      </c>
      <c r="D41" s="44" t="inlineStr">
        <is>
          <t>09.08.2023</t>
        </is>
      </c>
      <c r="E41" s="44" t="inlineStr">
        <is>
          <t>16.06.2027</t>
        </is>
      </c>
      <c r="F41" s="44" t="n">
        <v>1407</v>
      </c>
      <c r="G41" s="44" t="inlineStr">
        <is>
          <t>3 ay</t>
        </is>
      </c>
      <c r="H41" s="15" t="n"/>
      <c r="I41" s="45" t="n">
        <v>19181006</v>
      </c>
      <c r="J41" s="45" t="n">
        <v>17105583.06</v>
      </c>
      <c r="K41" s="45" t="n">
        <v>12937002</v>
      </c>
      <c r="L41" s="45" t="n">
        <v>11592472.46</v>
      </c>
      <c r="M41" s="45" t="n">
        <v>0</v>
      </c>
      <c r="N41" s="45" t="n">
        <v>0</v>
      </c>
      <c r="O41" s="45" t="n">
        <v>3626948.785</v>
      </c>
      <c r="P41" s="45" t="n">
        <v>3249999.99778</v>
      </c>
      <c r="Q41" s="45" t="n">
        <v>4036241.025</v>
      </c>
      <c r="R41" s="45" t="n">
        <v>3616754.49528</v>
      </c>
      <c r="S41" s="45" t="n">
        <v>20600191.81</v>
      </c>
      <c r="T41" s="45" t="n">
        <v>18459226.95306</v>
      </c>
      <c r="U41" s="15" t="n">
        <v>3.95</v>
      </c>
      <c r="V41" s="15" t="n">
        <v>16.74</v>
      </c>
      <c r="W41" s="49" t="n">
        <v>89.607</v>
      </c>
    </row>
    <row r="42">
      <c r="A42" s="44" t="inlineStr">
        <is>
          <t>TLREF Endeksli Senetler</t>
        </is>
      </c>
      <c r="B42" s="44" t="n">
        <v>2023</v>
      </c>
      <c r="C42" s="44" t="inlineStr">
        <is>
          <t>TRT160627T13</t>
        </is>
      </c>
      <c r="D42" s="44" t="inlineStr">
        <is>
          <t>13.09.2023</t>
        </is>
      </c>
      <c r="E42" s="44" t="inlineStr">
        <is>
          <t>16.06.2027</t>
        </is>
      </c>
      <c r="F42" s="44" t="n">
        <v>1372</v>
      </c>
      <c r="G42" s="44" t="inlineStr">
        <is>
          <t>3 ay</t>
        </is>
      </c>
      <c r="H42" s="15" t="n"/>
      <c r="I42" s="45" t="n">
        <v>33075500</v>
      </c>
      <c r="J42" s="45" t="n">
        <v>30368309.715</v>
      </c>
      <c r="K42" s="45" t="n">
        <v>8360000</v>
      </c>
      <c r="L42" s="45" t="n">
        <v>7775996.38</v>
      </c>
      <c r="M42" s="45" t="n">
        <v>2150213.946</v>
      </c>
      <c r="N42" s="45" t="n">
        <v>1999999.99973</v>
      </c>
      <c r="O42" s="45" t="n">
        <v>10751069.726</v>
      </c>
      <c r="P42" s="45" t="n">
        <v>9999999.99495</v>
      </c>
      <c r="Q42" s="45" t="n">
        <v>2347480.851</v>
      </c>
      <c r="R42" s="45" t="n">
        <v>2183485.83875</v>
      </c>
      <c r="S42" s="45" t="n">
        <v>23608764.523</v>
      </c>
      <c r="T42" s="45" t="n">
        <v>21959482.21343</v>
      </c>
      <c r="U42" s="15" t="n">
        <v>3.75</v>
      </c>
      <c r="V42" s="15" t="n">
        <v>15.87</v>
      </c>
      <c r="W42" s="49" t="n">
        <v>93.014</v>
      </c>
    </row>
    <row r="43">
      <c r="A43" s="44" t="inlineStr">
        <is>
          <t>TLREF Endeksli Senetler</t>
        </is>
      </c>
      <c r="B43" s="44" t="n">
        <v>2023</v>
      </c>
      <c r="C43" s="44" t="inlineStr">
        <is>
          <t>TRT131027T10</t>
        </is>
      </c>
      <c r="D43" s="44" t="inlineStr">
        <is>
          <t>18.10.2023</t>
        </is>
      </c>
      <c r="E43" s="44" t="inlineStr">
        <is>
          <t>13.10.2027</t>
        </is>
      </c>
      <c r="F43" s="44" t="n">
        <v>1456</v>
      </c>
      <c r="G43" s="44" t="inlineStr">
        <is>
          <t>3 ay</t>
        </is>
      </c>
      <c r="H43" s="15" t="n"/>
      <c r="I43" s="45" t="n">
        <v>35948008.525</v>
      </c>
      <c r="J43" s="45" t="n">
        <v>33826890.74975</v>
      </c>
      <c r="K43" s="45" t="n">
        <v>4375002.525</v>
      </c>
      <c r="L43" s="45" t="n">
        <v>4219417.04975</v>
      </c>
      <c r="M43" s="45" t="n">
        <v>0</v>
      </c>
      <c r="N43" s="45" t="n">
        <v>0</v>
      </c>
      <c r="O43" s="45" t="n">
        <v>7258097.957</v>
      </c>
      <c r="P43" s="45" t="n">
        <v>6999999.99363</v>
      </c>
      <c r="Q43" s="45" t="n">
        <v>1555128.634</v>
      </c>
      <c r="R43" s="45" t="n">
        <v>1499828.25977</v>
      </c>
      <c r="S43" s="45" t="n">
        <v>13188229.116</v>
      </c>
      <c r="T43" s="45" t="n">
        <v>12719245.30315</v>
      </c>
      <c r="U43" s="15" t="n">
        <v>7.9</v>
      </c>
      <c r="V43" s="15" t="n">
        <v>35.54</v>
      </c>
      <c r="W43" s="49" t="n">
        <v>96.444</v>
      </c>
    </row>
    <row r="44">
      <c r="A44" s="44" t="inlineStr">
        <is>
          <t>TLREF Endeksli Senetler</t>
        </is>
      </c>
      <c r="B44" s="44" t="n">
        <v>2023</v>
      </c>
      <c r="C44" s="44" t="inlineStr">
        <is>
          <t>TRT131027T10</t>
        </is>
      </c>
      <c r="D44" s="44" t="inlineStr">
        <is>
          <t>08.11.2023</t>
        </is>
      </c>
      <c r="E44" s="44" t="inlineStr">
        <is>
          <t>13.10.2027</t>
        </is>
      </c>
      <c r="F44" s="44" t="n">
        <v>1435</v>
      </c>
      <c r="G44" s="44" t="inlineStr">
        <is>
          <t>3 ay</t>
        </is>
      </c>
      <c r="H44" s="15" t="n"/>
      <c r="I44" s="45" t="n">
        <v>22963020.961</v>
      </c>
      <c r="J44" s="45" t="n">
        <v>22156508.43912</v>
      </c>
      <c r="K44" s="45" t="n">
        <v>9550012.82</v>
      </c>
      <c r="L44" s="45" t="n">
        <v>9335972.1295</v>
      </c>
      <c r="M44" s="45" t="n">
        <v>0</v>
      </c>
      <c r="N44" s="45" t="n">
        <v>0</v>
      </c>
      <c r="O44" s="45" t="n">
        <v>8183389.759</v>
      </c>
      <c r="P44" s="45" t="n">
        <v>7999999.99451</v>
      </c>
      <c r="Q44" s="45" t="n">
        <v>2621159.323</v>
      </c>
      <c r="R44" s="45" t="n">
        <v>2562419.14257</v>
      </c>
      <c r="S44" s="45" t="n">
        <v>20354561.902</v>
      </c>
      <c r="T44" s="45" t="n">
        <v>19898391.26658</v>
      </c>
      <c r="U44" s="15" t="n">
        <v>7.94</v>
      </c>
      <c r="V44" s="15" t="n">
        <v>35.77</v>
      </c>
      <c r="W44" s="49" t="n">
        <v>97.759</v>
      </c>
    </row>
    <row r="45">
      <c r="A45" s="44" t="inlineStr">
        <is>
          <t>TLREF Endeksli Senetler</t>
        </is>
      </c>
      <c r="B45" s="44" t="n">
        <v>2023</v>
      </c>
      <c r="C45" s="44" t="inlineStr">
        <is>
          <t>TRT131027T10</t>
        </is>
      </c>
      <c r="D45" s="44" t="inlineStr">
        <is>
          <t>06.12.2023</t>
        </is>
      </c>
      <c r="E45" s="44" t="inlineStr">
        <is>
          <t>13.10.2027</t>
        </is>
      </c>
      <c r="F45" s="44" t="n">
        <v>1407</v>
      </c>
      <c r="G45" s="44" t="inlineStr">
        <is>
          <t>3 ay</t>
        </is>
      </c>
      <c r="H45" s="15" t="n"/>
      <c r="I45" s="45" t="n">
        <v>25504012.101</v>
      </c>
      <c r="J45" s="45" t="n">
        <v>25302560.83999</v>
      </c>
      <c r="K45" s="45" t="n">
        <v>8405000</v>
      </c>
      <c r="L45" s="45" t="n">
        <v>8434744.15</v>
      </c>
      <c r="M45" s="45" t="n">
        <v>0</v>
      </c>
      <c r="N45" s="45" t="n">
        <v>0</v>
      </c>
      <c r="O45" s="45" t="n">
        <v>4982362.431</v>
      </c>
      <c r="P45" s="45" t="n">
        <v>4999999.994</v>
      </c>
      <c r="Q45" s="45" t="n">
        <v>2843532.344</v>
      </c>
      <c r="R45" s="45" t="n">
        <v>2853598.4485</v>
      </c>
      <c r="S45" s="45" t="n">
        <v>16230894.775</v>
      </c>
      <c r="T45" s="45" t="n">
        <v>16288342.5925</v>
      </c>
      <c r="U45" s="15" t="n">
        <v>7.91</v>
      </c>
      <c r="V45" s="15" t="n">
        <v>35.61</v>
      </c>
      <c r="W45" s="49" t="n">
        <v>100.354</v>
      </c>
    </row>
    <row r="46">
      <c r="A46" s="44" t="inlineStr">
        <is>
          <t>TLREF Endeksli Senetler</t>
        </is>
      </c>
      <c r="B46" s="44" t="n">
        <v>2022</v>
      </c>
      <c r="C46" s="44" t="inlineStr">
        <is>
          <t>TRT080726T13</t>
        </is>
      </c>
      <c r="D46" s="44" t="inlineStr">
        <is>
          <t>12.01.2022</t>
        </is>
      </c>
      <c r="E46" s="44" t="inlineStr">
        <is>
          <t>08.07.2026</t>
        </is>
      </c>
      <c r="F46" s="44" t="n">
        <v>1638</v>
      </c>
      <c r="G46" s="44" t="inlineStr">
        <is>
          <t>3 ay</t>
        </is>
      </c>
      <c r="H46" s="15" t="n"/>
      <c r="I46" s="45" t="n">
        <v>3952005</v>
      </c>
      <c r="J46" s="45" t="n">
        <v>3601168.53806</v>
      </c>
      <c r="K46" s="45" t="n">
        <v>1143000</v>
      </c>
      <c r="L46" s="45" t="n">
        <v>1082249.15</v>
      </c>
      <c r="M46" s="45" t="n">
        <v>0</v>
      </c>
      <c r="N46" s="45" t="n">
        <v>0</v>
      </c>
      <c r="O46" s="45" t="n">
        <v>633680.094</v>
      </c>
      <c r="P46" s="45" t="n">
        <v>599999.9970100001</v>
      </c>
      <c r="Q46" s="45" t="n">
        <v>180613.349</v>
      </c>
      <c r="R46" s="45" t="n">
        <v>171013.7495</v>
      </c>
      <c r="S46" s="45" t="n">
        <v>1957293.443</v>
      </c>
      <c r="T46" s="45" t="n">
        <v>1853262.89651</v>
      </c>
      <c r="U46" s="15" t="n">
        <v>5.47</v>
      </c>
      <c r="V46" s="15" t="n">
        <v>23.75</v>
      </c>
      <c r="W46" s="49" t="n">
        <v>94.685</v>
      </c>
    </row>
    <row r="47">
      <c r="A47" s="44" t="inlineStr">
        <is>
          <t>TLREF Endeksli Senetler</t>
        </is>
      </c>
      <c r="B47" s="44" t="n">
        <v>2022</v>
      </c>
      <c r="C47" s="44" t="inlineStr">
        <is>
          <t>TRT080726T13</t>
        </is>
      </c>
      <c r="D47" s="44" t="inlineStr">
        <is>
          <t>23.02.2022</t>
        </is>
      </c>
      <c r="E47" s="44" t="inlineStr">
        <is>
          <t>08.07.2026</t>
        </is>
      </c>
      <c r="F47" s="44" t="n">
        <v>1596</v>
      </c>
      <c r="G47" s="44" t="inlineStr">
        <is>
          <t>3 ay</t>
        </is>
      </c>
      <c r="H47" s="15" t="n"/>
      <c r="I47" s="45" t="n">
        <v>3665004</v>
      </c>
      <c r="J47" s="45" t="n">
        <v>3433996.1492</v>
      </c>
      <c r="K47" s="45" t="n">
        <v>1520004</v>
      </c>
      <c r="L47" s="45" t="n">
        <v>1451961.1492</v>
      </c>
      <c r="M47" s="45" t="n">
        <v>73280.01300000001</v>
      </c>
      <c r="N47" s="45" t="n">
        <v>69999.99962</v>
      </c>
      <c r="O47" s="45" t="n">
        <v>523428.664</v>
      </c>
      <c r="P47" s="45" t="n">
        <v>499999.99699</v>
      </c>
      <c r="Q47" s="45" t="n">
        <v>102822.352</v>
      </c>
      <c r="R47" s="45" t="n">
        <v>98220.02352</v>
      </c>
      <c r="S47" s="45" t="n">
        <v>2219535.029</v>
      </c>
      <c r="T47" s="45" t="n">
        <v>2120181.16933</v>
      </c>
      <c r="U47" s="15" t="n">
        <v>5.61</v>
      </c>
      <c r="V47" s="15" t="n">
        <v>24.42</v>
      </c>
      <c r="W47" s="49" t="n">
        <v>95.524</v>
      </c>
    </row>
    <row r="48">
      <c r="A48" s="44" t="inlineStr">
        <is>
          <t>TLREF Endeksli Senetler</t>
        </is>
      </c>
      <c r="B48" s="44" t="n">
        <v>2022</v>
      </c>
      <c r="C48" s="44" t="inlineStr">
        <is>
          <t>TRT080726T13</t>
        </is>
      </c>
      <c r="D48" s="44" t="inlineStr">
        <is>
          <t>23.03.2022</t>
        </is>
      </c>
      <c r="E48" s="44" t="inlineStr">
        <is>
          <t>08.07.2026</t>
        </is>
      </c>
      <c r="F48" s="44" t="n">
        <v>1568</v>
      </c>
      <c r="G48" s="44" t="inlineStr">
        <is>
          <t>3 ay</t>
        </is>
      </c>
      <c r="H48" s="15" t="n"/>
      <c r="I48" s="45" t="n">
        <v>2571002</v>
      </c>
      <c r="J48" s="45" t="n">
        <v>2452356.8376</v>
      </c>
      <c r="K48" s="45" t="n">
        <v>929001</v>
      </c>
      <c r="L48" s="45" t="n">
        <v>899116.0378</v>
      </c>
      <c r="M48" s="45" t="n">
        <v>0</v>
      </c>
      <c r="N48" s="45" t="n">
        <v>0</v>
      </c>
      <c r="O48" s="45" t="n">
        <v>516619.651</v>
      </c>
      <c r="P48" s="45" t="n">
        <v>499999.99683</v>
      </c>
      <c r="Q48" s="45" t="n">
        <v>0</v>
      </c>
      <c r="R48" s="45" t="n">
        <v>0</v>
      </c>
      <c r="S48" s="45" t="n">
        <v>1445620.651</v>
      </c>
      <c r="T48" s="45" t="n">
        <v>1399116.03463</v>
      </c>
      <c r="U48" s="15" t="n">
        <v>5.65</v>
      </c>
      <c r="V48" s="15" t="n">
        <v>24.59</v>
      </c>
      <c r="W48" s="49" t="n">
        <v>96.783</v>
      </c>
    </row>
    <row r="49">
      <c r="A49" s="44" t="inlineStr">
        <is>
          <t>TLREF Endeksli Senetler</t>
        </is>
      </c>
      <c r="B49" s="44" t="n">
        <v>2022</v>
      </c>
      <c r="C49" s="44" t="inlineStr">
        <is>
          <t>TRT200526T19</t>
        </is>
      </c>
      <c r="D49" s="44" t="inlineStr">
        <is>
          <t>23.11.2022</t>
        </is>
      </c>
      <c r="E49" s="44" t="inlineStr">
        <is>
          <t>20.05.2026</t>
        </is>
      </c>
      <c r="F49" s="44" t="n">
        <v>1274</v>
      </c>
      <c r="G49" s="44" t="inlineStr">
        <is>
          <t>3 ay</t>
        </is>
      </c>
      <c r="H49" s="15" t="n"/>
      <c r="I49" s="45" t="n">
        <v>2920006</v>
      </c>
      <c r="J49" s="45" t="n">
        <v>2594311.82</v>
      </c>
      <c r="K49" s="45" t="n">
        <v>1425003</v>
      </c>
      <c r="L49" s="45" t="n">
        <v>1319527.63</v>
      </c>
      <c r="M49" s="45" t="n">
        <v>0</v>
      </c>
      <c r="N49" s="45" t="n">
        <v>0</v>
      </c>
      <c r="O49" s="45" t="n">
        <v>647962.156</v>
      </c>
      <c r="P49" s="45" t="n">
        <v>599999.9972099999</v>
      </c>
      <c r="Q49" s="45" t="n">
        <v>512970.042</v>
      </c>
      <c r="R49" s="45" t="n">
        <v>474999.99949</v>
      </c>
      <c r="S49" s="45" t="n">
        <v>2585935.198</v>
      </c>
      <c r="T49" s="45" t="n">
        <v>2394527.6267</v>
      </c>
      <c r="U49" s="15" t="n">
        <v>4</v>
      </c>
      <c r="V49" s="15" t="n">
        <v>16.99</v>
      </c>
      <c r="W49" s="49" t="n">
        <v>92.598</v>
      </c>
    </row>
    <row r="50">
      <c r="A50" s="44" t="inlineStr">
        <is>
          <t>TLREF Endeksli Senetler</t>
        </is>
      </c>
      <c r="B50" s="44" t="n">
        <v>2022</v>
      </c>
      <c r="C50" s="44" t="inlineStr">
        <is>
          <t>TRT200526T19</t>
        </is>
      </c>
      <c r="D50" s="44" t="inlineStr">
        <is>
          <t>14.12.2022</t>
        </is>
      </c>
      <c r="E50" s="44" t="inlineStr">
        <is>
          <t>20.05.2026</t>
        </is>
      </c>
      <c r="F50" s="44" t="n">
        <v>1253</v>
      </c>
      <c r="G50" s="44" t="inlineStr">
        <is>
          <t>3 ay</t>
        </is>
      </c>
      <c r="H50" s="15" t="n"/>
      <c r="I50" s="45" t="n">
        <v>2769006</v>
      </c>
      <c r="J50" s="45" t="n">
        <v>2522625.09</v>
      </c>
      <c r="K50" s="45" t="n">
        <v>1045002</v>
      </c>
      <c r="L50" s="45" t="n">
        <v>969140.35</v>
      </c>
      <c r="M50" s="45" t="n">
        <v>269567.936</v>
      </c>
      <c r="N50" s="45" t="n">
        <v>249999.99953</v>
      </c>
      <c r="O50" s="45" t="n">
        <v>754790.22</v>
      </c>
      <c r="P50" s="45" t="n">
        <v>699999.99793</v>
      </c>
      <c r="Q50" s="45" t="n">
        <v>7542.456</v>
      </c>
      <c r="R50" s="45" t="n">
        <v>6994.94912</v>
      </c>
      <c r="S50" s="45" t="n">
        <v>2076902.612</v>
      </c>
      <c r="T50" s="45" t="n">
        <v>1926135.29658</v>
      </c>
      <c r="U50" s="15" t="n">
        <v>4.07</v>
      </c>
      <c r="V50" s="15" t="n">
        <v>17.31</v>
      </c>
      <c r="W50" s="49" t="n">
        <v>92.741</v>
      </c>
    </row>
    <row r="51">
      <c r="A51" s="44" t="inlineStr">
        <is>
          <t>TLREF Endeksli Senetler</t>
        </is>
      </c>
      <c r="B51" s="44" t="n">
        <v>2021</v>
      </c>
      <c r="C51" s="44" t="inlineStr">
        <is>
          <t>TRT140126T37</t>
        </is>
      </c>
      <c r="D51" s="44" t="inlineStr">
        <is>
          <t>20.01.2021</t>
        </is>
      </c>
      <c r="E51" s="44" t="inlineStr">
        <is>
          <t>14.01.2026</t>
        </is>
      </c>
      <c r="F51" s="44" t="n">
        <v>1820</v>
      </c>
      <c r="G51" s="44" t="inlineStr">
        <is>
          <t>3 ay</t>
        </is>
      </c>
      <c r="H51" s="15" t="n"/>
      <c r="I51" s="45" t="n">
        <v>3987030.958</v>
      </c>
      <c r="J51" s="45" t="n">
        <v>3956150.54985</v>
      </c>
      <c r="K51" s="45" t="n">
        <v>2487000</v>
      </c>
      <c r="L51" s="45" t="n">
        <v>2477682.9</v>
      </c>
      <c r="M51" s="45" t="n">
        <v>0</v>
      </c>
      <c r="N51" s="45" t="n">
        <v>0</v>
      </c>
      <c r="O51" s="45" t="n">
        <v>2007528.228</v>
      </c>
      <c r="P51" s="45" t="n">
        <v>1999999.99716</v>
      </c>
      <c r="Q51" s="45" t="n">
        <v>26159.116</v>
      </c>
      <c r="R51" s="45" t="n">
        <v>26061.01932</v>
      </c>
      <c r="S51" s="45" t="n">
        <v>4520687.344000001</v>
      </c>
      <c r="T51" s="45" t="n">
        <v>4503743.91648</v>
      </c>
      <c r="U51" s="15" t="n">
        <v>4.28</v>
      </c>
      <c r="V51" s="15" t="n">
        <v>18.24</v>
      </c>
      <c r="W51" s="49" t="n">
        <v>99.625</v>
      </c>
    </row>
    <row r="52">
      <c r="A52" s="44" t="inlineStr">
        <is>
          <t>TLREF Endeksli Senetler</t>
        </is>
      </c>
      <c r="B52" s="44" t="n">
        <v>2021</v>
      </c>
      <c r="C52" s="44" t="inlineStr">
        <is>
          <t>TRT140126T37</t>
        </is>
      </c>
      <c r="D52" s="44" t="inlineStr">
        <is>
          <t>24.02.2021</t>
        </is>
      </c>
      <c r="E52" s="44" t="inlineStr">
        <is>
          <t>14.01.2026</t>
        </is>
      </c>
      <c r="F52" s="44" t="n">
        <v>1785</v>
      </c>
      <c r="G52" s="44" t="inlineStr">
        <is>
          <t>3 ay</t>
        </is>
      </c>
      <c r="H52" s="15" t="n"/>
      <c r="I52" s="45" t="n">
        <v>3458000</v>
      </c>
      <c r="J52" s="45" t="n">
        <v>3478453.35</v>
      </c>
      <c r="K52" s="45" t="n">
        <v>2283000</v>
      </c>
      <c r="L52" s="45" t="n">
        <v>2300933.2</v>
      </c>
      <c r="M52" s="45" t="n">
        <v>0</v>
      </c>
      <c r="N52" s="45" t="n">
        <v>0</v>
      </c>
      <c r="O52" s="45" t="n">
        <v>595320.774</v>
      </c>
      <c r="P52" s="45" t="n">
        <v>599999.99528</v>
      </c>
      <c r="Q52" s="45" t="n">
        <v>331708.06</v>
      </c>
      <c r="R52" s="45" t="n">
        <v>334315.28536</v>
      </c>
      <c r="S52" s="45" t="n">
        <v>3210028.834</v>
      </c>
      <c r="T52" s="45" t="n">
        <v>3235248.48064</v>
      </c>
      <c r="U52" s="15" t="n">
        <v>4.31</v>
      </c>
      <c r="V52" s="15" t="n">
        <v>18.4</v>
      </c>
      <c r="W52" s="49" t="n">
        <v>100.786</v>
      </c>
    </row>
    <row r="53">
      <c r="A53" s="44" t="inlineStr">
        <is>
          <t>TLREF Endeksli Senetler</t>
        </is>
      </c>
      <c r="B53" s="44" t="n">
        <v>2021</v>
      </c>
      <c r="C53" s="44" t="inlineStr">
        <is>
          <t>TRT140126T37</t>
        </is>
      </c>
      <c r="D53" s="44" t="inlineStr">
        <is>
          <t>24.03.2021</t>
        </is>
      </c>
      <c r="E53" s="44" t="inlineStr">
        <is>
          <t>14.01.2026</t>
        </is>
      </c>
      <c r="F53" s="44" t="n">
        <v>1757</v>
      </c>
      <c r="G53" s="44" t="inlineStr">
        <is>
          <t>3 ay</t>
        </is>
      </c>
      <c r="H53" s="15" t="n"/>
      <c r="I53" s="45" t="n">
        <v>2357000</v>
      </c>
      <c r="J53" s="45" t="n">
        <v>2359745.88</v>
      </c>
      <c r="K53" s="45" t="n">
        <v>1522000</v>
      </c>
      <c r="L53" s="45" t="n">
        <v>1531130.03</v>
      </c>
      <c r="M53" s="45" t="n">
        <v>0</v>
      </c>
      <c r="N53" s="45" t="n">
        <v>0</v>
      </c>
      <c r="O53" s="45" t="n">
        <v>1093439.362</v>
      </c>
      <c r="P53" s="45" t="n">
        <v>1099999.99815</v>
      </c>
      <c r="Q53" s="45" t="n">
        <v>298000</v>
      </c>
      <c r="R53" s="45" t="n">
        <v>299788</v>
      </c>
      <c r="S53" s="45" t="n">
        <v>2913439.362</v>
      </c>
      <c r="T53" s="45" t="n">
        <v>2930918.02815</v>
      </c>
      <c r="U53" s="15" t="n">
        <v>4.43</v>
      </c>
      <c r="V53" s="15" t="n">
        <v>18.94</v>
      </c>
      <c r="W53" s="49" t="n">
        <v>100.6</v>
      </c>
    </row>
    <row r="54">
      <c r="A54" s="44" t="inlineStr">
        <is>
          <t>TLREF Endeksli Senetler</t>
        </is>
      </c>
      <c r="B54" s="44" t="n">
        <v>2021</v>
      </c>
      <c r="C54" s="44" t="inlineStr">
        <is>
          <t>TRT140126T37</t>
        </is>
      </c>
      <c r="D54" s="44" t="inlineStr">
        <is>
          <t>14.04.2021</t>
        </is>
      </c>
      <c r="E54" s="44" t="inlineStr">
        <is>
          <t>14.01.2026</t>
        </is>
      </c>
      <c r="F54" s="44" t="n">
        <v>1736</v>
      </c>
      <c r="G54" s="44" t="inlineStr">
        <is>
          <t>3 ay</t>
        </is>
      </c>
      <c r="H54" s="15" t="n"/>
      <c r="I54" s="45" t="n">
        <v>3676000</v>
      </c>
      <c r="J54" s="45" t="n">
        <v>3718680.13</v>
      </c>
      <c r="K54" s="45" t="n">
        <v>2278000</v>
      </c>
      <c r="L54" s="45" t="n">
        <v>2314067.47</v>
      </c>
      <c r="M54" s="45" t="n">
        <v>98441.66800000001</v>
      </c>
      <c r="N54" s="45" t="n">
        <v>99999.9996</v>
      </c>
      <c r="O54" s="45" t="n">
        <v>1771950.026</v>
      </c>
      <c r="P54" s="45" t="n">
        <v>1799999.99491</v>
      </c>
      <c r="Q54" s="45" t="n">
        <v>381308.041</v>
      </c>
      <c r="R54" s="45" t="n">
        <v>387344.1473</v>
      </c>
      <c r="S54" s="45" t="n">
        <v>4529699.735</v>
      </c>
      <c r="T54" s="45" t="n">
        <v>4601411.61181</v>
      </c>
      <c r="U54" s="15" t="n">
        <v>4.43</v>
      </c>
      <c r="V54" s="15" t="n">
        <v>18.95</v>
      </c>
      <c r="W54" s="49" t="n">
        <v>101.583</v>
      </c>
    </row>
    <row r="55">
      <c r="A55" s="44" t="inlineStr">
        <is>
          <t>TLREF Endeksli Senetler</t>
        </is>
      </c>
      <c r="B55" s="44" t="n">
        <v>2021</v>
      </c>
      <c r="C55" s="44" t="inlineStr">
        <is>
          <t>TRT190826T19</t>
        </is>
      </c>
      <c r="D55" s="44" t="inlineStr">
        <is>
          <t>26.05.2021</t>
        </is>
      </c>
      <c r="E55" s="44" t="inlineStr">
        <is>
          <t>19.08.2026</t>
        </is>
      </c>
      <c r="F55" s="44" t="n">
        <v>1911</v>
      </c>
      <c r="G55" s="44" t="inlineStr">
        <is>
          <t>3 ay</t>
        </is>
      </c>
      <c r="H55" s="15" t="n"/>
      <c r="I55" s="45" t="n">
        <v>5207000</v>
      </c>
      <c r="J55" s="45" t="n">
        <v>5069727.14</v>
      </c>
      <c r="K55" s="45" t="n">
        <v>3252000</v>
      </c>
      <c r="L55" s="45" t="n">
        <v>3173329.34</v>
      </c>
      <c r="M55" s="45" t="n">
        <v>87107.121</v>
      </c>
      <c r="N55" s="45" t="n">
        <v>84999.99974</v>
      </c>
      <c r="O55" s="45" t="n">
        <v>1793381.905</v>
      </c>
      <c r="P55" s="45" t="n">
        <v>1749999.99672</v>
      </c>
      <c r="Q55" s="45" t="n">
        <v>848906.456</v>
      </c>
      <c r="R55" s="45" t="n">
        <v>828371.40883</v>
      </c>
      <c r="S55" s="45" t="n">
        <v>5981395.482</v>
      </c>
      <c r="T55" s="45" t="n">
        <v>5836700.74529</v>
      </c>
      <c r="U55" s="15" t="n">
        <v>4.99</v>
      </c>
      <c r="V55" s="15" t="n">
        <v>21.5</v>
      </c>
      <c r="W55" s="49" t="n">
        <v>97.581</v>
      </c>
    </row>
    <row r="56">
      <c r="A56" s="44" t="inlineStr">
        <is>
          <t>TLREF Endeksli Senetler</t>
        </is>
      </c>
      <c r="B56" s="44" t="n">
        <v>2021</v>
      </c>
      <c r="C56" s="44" t="inlineStr">
        <is>
          <t>TRT190826T19</t>
        </is>
      </c>
      <c r="D56" s="44" t="inlineStr">
        <is>
          <t>23.06.2021</t>
        </is>
      </c>
      <c r="E56" s="44" t="inlineStr">
        <is>
          <t>19.08.2026</t>
        </is>
      </c>
      <c r="F56" s="44" t="n">
        <v>1883</v>
      </c>
      <c r="G56" s="44" t="inlineStr">
        <is>
          <t>3 ay</t>
        </is>
      </c>
      <c r="H56" s="15" t="n"/>
      <c r="I56" s="45" t="n">
        <v>5743500</v>
      </c>
      <c r="J56" s="45" t="n">
        <v>5656310.935</v>
      </c>
      <c r="K56" s="45" t="n">
        <v>3353000</v>
      </c>
      <c r="L56" s="45" t="n">
        <v>3310511.58</v>
      </c>
      <c r="M56" s="45" t="n">
        <v>0</v>
      </c>
      <c r="N56" s="45" t="n">
        <v>0</v>
      </c>
      <c r="O56" s="45" t="n">
        <v>1772457.025</v>
      </c>
      <c r="P56" s="45" t="n">
        <v>1749999.9945</v>
      </c>
      <c r="Q56" s="45" t="n">
        <v>770970.622</v>
      </c>
      <c r="R56" s="45" t="n">
        <v>761202.42423</v>
      </c>
      <c r="S56" s="45" t="n">
        <v>5896427.647</v>
      </c>
      <c r="T56" s="45" t="n">
        <v>5821713.99873</v>
      </c>
      <c r="U56" s="15" t="n">
        <v>5.01</v>
      </c>
      <c r="V56" s="15" t="n">
        <v>21.62</v>
      </c>
      <c r="W56" s="49" t="n">
        <v>98.733</v>
      </c>
    </row>
    <row r="57">
      <c r="A57" s="44" t="inlineStr">
        <is>
          <t>TLREF Endeksli Senetler</t>
        </is>
      </c>
      <c r="B57" s="44" t="n">
        <v>2021</v>
      </c>
      <c r="C57" s="44" t="inlineStr">
        <is>
          <t>TRT190826T19</t>
        </is>
      </c>
      <c r="D57" s="44" t="inlineStr">
        <is>
          <t>28.07.2021</t>
        </is>
      </c>
      <c r="E57" s="44" t="inlineStr">
        <is>
          <t>19.08.2026</t>
        </is>
      </c>
      <c r="F57" s="44" t="n">
        <v>1848</v>
      </c>
      <c r="G57" s="44" t="inlineStr">
        <is>
          <t>3 ay</t>
        </is>
      </c>
      <c r="H57" s="15" t="n"/>
      <c r="I57" s="45" t="n">
        <v>5777000</v>
      </c>
      <c r="J57" s="45" t="n">
        <v>5778978.86</v>
      </c>
      <c r="K57" s="45" t="n">
        <v>3987000</v>
      </c>
      <c r="L57" s="45" t="n">
        <v>3993799.46</v>
      </c>
      <c r="M57" s="45" t="n">
        <v>199658.583</v>
      </c>
      <c r="N57" s="45" t="n">
        <v>199999.99918</v>
      </c>
      <c r="O57" s="45" t="n">
        <v>1497439.375</v>
      </c>
      <c r="P57" s="45" t="n">
        <v>1499999.99634</v>
      </c>
      <c r="Q57" s="45" t="n">
        <v>706800.085</v>
      </c>
      <c r="R57" s="45" t="n">
        <v>708008.71315</v>
      </c>
      <c r="S57" s="45" t="n">
        <v>6390898.043000001</v>
      </c>
      <c r="T57" s="45" t="n">
        <v>6401808.168670001</v>
      </c>
      <c r="U57" s="15" t="n">
        <v>5.05</v>
      </c>
      <c r="V57" s="15" t="n">
        <v>21.78</v>
      </c>
      <c r="W57" s="49" t="n">
        <v>100.171</v>
      </c>
    </row>
    <row r="58">
      <c r="A58" s="44" t="inlineStr">
        <is>
          <t>TLREF Endeksli Senetler</t>
        </is>
      </c>
      <c r="B58" s="44" t="n">
        <v>2021</v>
      </c>
      <c r="C58" s="44" t="inlineStr">
        <is>
          <t>TRT190826T19</t>
        </is>
      </c>
      <c r="D58" s="44" t="inlineStr">
        <is>
          <t>18.08.2021</t>
        </is>
      </c>
      <c r="E58" s="44" t="inlineStr">
        <is>
          <t>19.08.2026</t>
        </is>
      </c>
      <c r="F58" s="44" t="n">
        <v>1827</v>
      </c>
      <c r="G58" s="44" t="inlineStr">
        <is>
          <t>3 ay</t>
        </is>
      </c>
      <c r="H58" s="15" t="n"/>
      <c r="I58" s="45" t="n">
        <v>5191450</v>
      </c>
      <c r="J58" s="45" t="n">
        <v>5245106.6995</v>
      </c>
      <c r="K58" s="45" t="n">
        <v>3066450</v>
      </c>
      <c r="L58" s="45" t="n">
        <v>3104517.3995</v>
      </c>
      <c r="M58" s="45" t="n">
        <v>0</v>
      </c>
      <c r="N58" s="45" t="n">
        <v>0</v>
      </c>
      <c r="O58" s="45" t="n">
        <v>1975484.238</v>
      </c>
      <c r="P58" s="45" t="n">
        <v>1999999.9974</v>
      </c>
      <c r="Q58" s="45" t="n">
        <v>671060.745</v>
      </c>
      <c r="R58" s="45" t="n">
        <v>679388.60884</v>
      </c>
      <c r="S58" s="45" t="n">
        <v>5712994.983</v>
      </c>
      <c r="T58" s="45" t="n">
        <v>5783906.00574</v>
      </c>
      <c r="U58" s="15" t="n">
        <v>5.06</v>
      </c>
      <c r="V58" s="15" t="n">
        <v>21.81</v>
      </c>
      <c r="W58" s="49" t="n">
        <v>101.241</v>
      </c>
    </row>
    <row r="59">
      <c r="A59" s="44" t="inlineStr">
        <is>
          <t>TLREF Endeksli Senetler</t>
        </is>
      </c>
      <c r="B59" s="44" t="n">
        <v>2021</v>
      </c>
      <c r="C59" s="44" t="inlineStr">
        <is>
          <t>TRT061223T11</t>
        </is>
      </c>
      <c r="D59" s="44" t="inlineStr">
        <is>
          <t>08.09.2021</t>
        </is>
      </c>
      <c r="E59" s="44" t="inlineStr">
        <is>
          <t>06.12.2023</t>
        </is>
      </c>
      <c r="F59" s="44" t="n">
        <v>819</v>
      </c>
      <c r="G59" s="44" t="inlineStr">
        <is>
          <t>3 ay</t>
        </is>
      </c>
      <c r="H59" s="15" t="n"/>
      <c r="I59" s="45" t="n">
        <v>5606000</v>
      </c>
      <c r="J59" s="45" t="n">
        <v>5525618.1</v>
      </c>
      <c r="K59" s="45" t="n">
        <v>2615000</v>
      </c>
      <c r="L59" s="45" t="n">
        <v>2588898.9</v>
      </c>
      <c r="M59" s="45" t="n">
        <v>131310.478</v>
      </c>
      <c r="N59" s="45" t="n">
        <v>129999.99943</v>
      </c>
      <c r="O59" s="45" t="n">
        <v>1515120.904</v>
      </c>
      <c r="P59" s="45" t="n">
        <v>1499999.99739</v>
      </c>
      <c r="Q59" s="45" t="n">
        <v>125202.217</v>
      </c>
      <c r="R59" s="45" t="n">
        <v>123952.69888</v>
      </c>
      <c r="S59" s="45" t="n">
        <v>4386633.599</v>
      </c>
      <c r="T59" s="45" t="n">
        <v>4342851.595699999</v>
      </c>
      <c r="U59" s="15" t="n">
        <v>4.99</v>
      </c>
      <c r="V59" s="15" t="n">
        <v>21.51</v>
      </c>
      <c r="W59" s="49" t="n">
        <v>99.002</v>
      </c>
    </row>
    <row r="60">
      <c r="A60" s="44" t="inlineStr">
        <is>
          <t>TLREF Endeksli Senetler</t>
        </is>
      </c>
      <c r="B60" s="44" t="n">
        <v>2021</v>
      </c>
      <c r="C60" s="44" t="inlineStr">
        <is>
          <t>TRT061223T11</t>
        </is>
      </c>
      <c r="D60" s="44" t="inlineStr">
        <is>
          <t>06.10.2021</t>
        </is>
      </c>
      <c r="E60" s="44" t="inlineStr">
        <is>
          <t>06.12.2023</t>
        </is>
      </c>
      <c r="F60" s="44" t="n">
        <v>791</v>
      </c>
      <c r="G60" s="44" t="inlineStr">
        <is>
          <t>3 ay</t>
        </is>
      </c>
      <c r="H60" s="15" t="n"/>
      <c r="I60" s="45" t="n">
        <v>3741000</v>
      </c>
      <c r="J60" s="45" t="n">
        <v>3737065.72</v>
      </c>
      <c r="K60" s="45" t="n">
        <v>1981000</v>
      </c>
      <c r="L60" s="45" t="n">
        <v>1984173.27</v>
      </c>
      <c r="M60" s="45" t="n">
        <v>0</v>
      </c>
      <c r="N60" s="45" t="n">
        <v>0</v>
      </c>
      <c r="O60" s="45" t="n">
        <v>798722.041</v>
      </c>
      <c r="P60" s="45" t="n">
        <v>799999.99627</v>
      </c>
      <c r="Q60" s="45" t="n">
        <v>20001.597</v>
      </c>
      <c r="R60" s="45" t="n">
        <v>20033.59956</v>
      </c>
      <c r="S60" s="45" t="n">
        <v>2799723.638</v>
      </c>
      <c r="T60" s="45" t="n">
        <v>2804206.86583</v>
      </c>
      <c r="U60" s="15" t="n">
        <v>5.04</v>
      </c>
      <c r="V60" s="15" t="n">
        <v>21.73</v>
      </c>
      <c r="W60" s="49" t="n">
        <v>100.16</v>
      </c>
    </row>
    <row r="61">
      <c r="A61" s="44" t="inlineStr">
        <is>
          <t>TLREF Endeksli Senetler</t>
        </is>
      </c>
      <c r="B61" s="44" t="n">
        <v>2021</v>
      </c>
      <c r="C61" s="44" t="inlineStr">
        <is>
          <t>TRT130127T11</t>
        </is>
      </c>
      <c r="D61" s="44" t="inlineStr">
        <is>
          <t>20.10.2021</t>
        </is>
      </c>
      <c r="E61" s="44" t="inlineStr">
        <is>
          <t>13.01.2027</t>
        </is>
      </c>
      <c r="F61" s="44" t="n">
        <v>1911</v>
      </c>
      <c r="G61" s="44" t="inlineStr">
        <is>
          <t>3 ay</t>
        </is>
      </c>
      <c r="H61" s="15" t="n"/>
      <c r="I61" s="45" t="n">
        <v>1956001</v>
      </c>
      <c r="J61" s="45" t="n">
        <v>1879141.51</v>
      </c>
      <c r="K61" s="45" t="n">
        <v>611001</v>
      </c>
      <c r="L61" s="45" t="n">
        <v>592442.3100000001</v>
      </c>
      <c r="M61" s="45" t="n">
        <v>0</v>
      </c>
      <c r="N61" s="45" t="n">
        <v>0</v>
      </c>
      <c r="O61" s="45" t="n">
        <v>773490.917</v>
      </c>
      <c r="P61" s="45" t="n">
        <v>749999.99786</v>
      </c>
      <c r="Q61" s="45" t="n">
        <v>155866.412</v>
      </c>
      <c r="R61" s="45" t="n">
        <v>151132.74907</v>
      </c>
      <c r="S61" s="45" t="n">
        <v>1540358.329</v>
      </c>
      <c r="T61" s="45" t="n">
        <v>1493575.05693</v>
      </c>
      <c r="U61" s="15" t="n">
        <v>5.19</v>
      </c>
      <c r="V61" s="15" t="n">
        <v>22.44</v>
      </c>
      <c r="W61" s="49" t="n">
        <v>96.96299999999999</v>
      </c>
    </row>
    <row r="62">
      <c r="A62" s="44" t="inlineStr">
        <is>
          <t>TLREF Endeksli Senetler</t>
        </is>
      </c>
      <c r="B62" s="44" t="n">
        <v>2021</v>
      </c>
      <c r="C62" s="44" t="inlineStr">
        <is>
          <t>TRT130127T11</t>
        </is>
      </c>
      <c r="D62" s="44" t="inlineStr">
        <is>
          <t>10.11.2021</t>
        </is>
      </c>
      <c r="E62" s="44" t="inlineStr">
        <is>
          <t>13.01.2027</t>
        </is>
      </c>
      <c r="F62" s="44" t="n">
        <v>1890</v>
      </c>
      <c r="G62" s="44" t="inlineStr">
        <is>
          <t>3 ay</t>
        </is>
      </c>
      <c r="H62" s="15" t="n"/>
      <c r="I62" s="45" t="n">
        <v>1514000</v>
      </c>
      <c r="J62" s="45" t="n">
        <v>1446712.1</v>
      </c>
      <c r="K62" s="45" t="n">
        <v>300000</v>
      </c>
      <c r="L62" s="45" t="n">
        <v>292099.05</v>
      </c>
      <c r="M62" s="45" t="n">
        <v>77028.942</v>
      </c>
      <c r="N62" s="45" t="n">
        <v>74999.99967</v>
      </c>
      <c r="O62" s="45" t="n">
        <v>333792.08</v>
      </c>
      <c r="P62" s="45" t="n">
        <v>324999.99663</v>
      </c>
      <c r="Q62" s="45" t="inlineStr">
        <is>
          <t>-</t>
        </is>
      </c>
      <c r="R62" s="45" t="inlineStr">
        <is>
          <t>-</t>
        </is>
      </c>
      <c r="S62" s="45" t="n">
        <v>710821.022</v>
      </c>
      <c r="T62" s="45" t="n">
        <v>692099.0463</v>
      </c>
      <c r="U62" s="15" t="n">
        <v>5.25</v>
      </c>
      <c r="V62" s="15" t="n">
        <v>22.72</v>
      </c>
      <c r="W62" s="49" t="n">
        <v>97.366</v>
      </c>
    </row>
    <row r="63">
      <c r="A63" s="44" t="inlineStr">
        <is>
          <t>TLREF Endeksli Senetler</t>
        </is>
      </c>
      <c r="B63" s="44" t="n">
        <v>2020</v>
      </c>
      <c r="C63" s="44" t="inlineStr">
        <is>
          <t>TRT260122T11</t>
        </is>
      </c>
      <c r="D63" s="44" t="inlineStr">
        <is>
          <t>29.01.2020</t>
        </is>
      </c>
      <c r="E63" s="44" t="inlineStr">
        <is>
          <t>26.01.2022</t>
        </is>
      </c>
      <c r="F63" s="44" t="n">
        <v>728</v>
      </c>
      <c r="G63" s="44" t="inlineStr">
        <is>
          <t>3 ay</t>
        </is>
      </c>
      <c r="H63" s="15" t="n"/>
      <c r="I63" s="45" t="n">
        <v>9789750</v>
      </c>
      <c r="J63" s="45" t="n">
        <v>9745880.9</v>
      </c>
      <c r="K63" s="45" t="n">
        <v>2140700</v>
      </c>
      <c r="L63" s="45" t="n">
        <v>2146697.325</v>
      </c>
      <c r="M63" s="45" t="n">
        <v>648185.081</v>
      </c>
      <c r="N63" s="45" t="n">
        <v>649999.99923</v>
      </c>
      <c r="O63" s="45" t="n">
        <v>1246509.767</v>
      </c>
      <c r="P63" s="45" t="n">
        <v>1249999.99436</v>
      </c>
      <c r="Q63" s="45" t="n">
        <v>634242.121</v>
      </c>
      <c r="R63" s="45" t="n">
        <v>636017.99894</v>
      </c>
      <c r="S63" s="45" t="n">
        <v>4669636.969000001</v>
      </c>
      <c r="T63" s="45" t="n">
        <v>4682715.31753</v>
      </c>
      <c r="U63" s="15" t="n">
        <v>2.46</v>
      </c>
      <c r="V63" s="15" t="n">
        <v>10.21</v>
      </c>
      <c r="W63" s="49" t="n">
        <v>100.28</v>
      </c>
    </row>
    <row r="64">
      <c r="A64" s="44" t="inlineStr">
        <is>
          <t>TLREF Endeksli Senetler</t>
        </is>
      </c>
      <c r="B64" s="44" t="n">
        <v>2020</v>
      </c>
      <c r="C64" s="44" t="inlineStr">
        <is>
          <t>TRT260122T11</t>
        </is>
      </c>
      <c r="D64" s="44" t="inlineStr">
        <is>
          <t>26.02.2020</t>
        </is>
      </c>
      <c r="E64" s="44" t="inlineStr">
        <is>
          <t>26.01.2022</t>
        </is>
      </c>
      <c r="F64" s="44" t="n">
        <v>700</v>
      </c>
      <c r="G64" s="44" t="inlineStr">
        <is>
          <t>3 ay</t>
        </is>
      </c>
      <c r="H64" s="15" t="n"/>
      <c r="I64" s="45" t="n">
        <v>3563330.6</v>
      </c>
      <c r="J64" s="45" t="n">
        <v>3563099.56392</v>
      </c>
      <c r="K64" s="45" t="n">
        <v>1850330.6</v>
      </c>
      <c r="L64" s="45" t="n">
        <v>1864659.46392</v>
      </c>
      <c r="M64" s="45" t="n">
        <v>0</v>
      </c>
      <c r="N64" s="45" t="n">
        <v>0</v>
      </c>
      <c r="O64" s="45" t="n">
        <v>1190783.333</v>
      </c>
      <c r="P64" s="45" t="n">
        <v>1199999.996</v>
      </c>
      <c r="Q64" s="45" t="n">
        <v>0</v>
      </c>
      <c r="R64" s="45" t="n">
        <v>0</v>
      </c>
      <c r="S64" s="45" t="n">
        <v>3041113.933</v>
      </c>
      <c r="T64" s="45" t="n">
        <v>3064659.45992</v>
      </c>
      <c r="U64" s="15" t="n">
        <v>2.5</v>
      </c>
      <c r="V64" s="15" t="n">
        <v>10.37</v>
      </c>
      <c r="W64" s="49" t="n">
        <v>100.774</v>
      </c>
    </row>
    <row r="65">
      <c r="A65" s="44" t="inlineStr">
        <is>
          <t>TLREF Endeksli Senetler</t>
        </is>
      </c>
      <c r="B65" s="44" t="n">
        <v>2020</v>
      </c>
      <c r="C65" s="44" t="inlineStr">
        <is>
          <t>TRT210623T10</t>
        </is>
      </c>
      <c r="D65" s="44" t="inlineStr">
        <is>
          <t>25.03.2020</t>
        </is>
      </c>
      <c r="E65" s="44" t="inlineStr">
        <is>
          <t>21.06.2023</t>
        </is>
      </c>
      <c r="F65" s="44" t="n">
        <v>1183</v>
      </c>
      <c r="G65" s="44" t="inlineStr">
        <is>
          <t>3 ay</t>
        </is>
      </c>
      <c r="H65" s="15" t="n"/>
      <c r="I65" s="45" t="n">
        <v>2492000</v>
      </c>
      <c r="J65" s="45" t="n">
        <v>2474935.05</v>
      </c>
      <c r="K65" s="45" t="n">
        <v>2167000</v>
      </c>
      <c r="L65" s="45" t="n">
        <v>2161092.5</v>
      </c>
      <c r="M65" s="45" t="n">
        <v>0</v>
      </c>
      <c r="N65" s="45" t="n">
        <v>0</v>
      </c>
      <c r="O65" s="45" t="n">
        <v>1403832.46</v>
      </c>
      <c r="P65" s="45" t="n">
        <v>1399999.99737</v>
      </c>
      <c r="Q65" s="45" t="n">
        <v>0</v>
      </c>
      <c r="R65" s="45" t="n">
        <v>0</v>
      </c>
      <c r="S65" s="45" t="n">
        <v>3570832.46</v>
      </c>
      <c r="T65" s="45" t="n">
        <v>3561092.49737</v>
      </c>
      <c r="U65" s="15" t="n">
        <v>2.52</v>
      </c>
      <c r="V65" s="15" t="n">
        <v>10.49</v>
      </c>
      <c r="W65" s="49" t="n">
        <v>99.727</v>
      </c>
    </row>
    <row r="66">
      <c r="A66" s="44" t="inlineStr">
        <is>
          <t>TLREF Endeksli Senetler</t>
        </is>
      </c>
      <c r="B66" s="44" t="n">
        <v>2020</v>
      </c>
      <c r="C66" s="44" t="inlineStr">
        <is>
          <t>TRT210623T10</t>
        </is>
      </c>
      <c r="D66" s="44" t="inlineStr">
        <is>
          <t>08.04.2020</t>
        </is>
      </c>
      <c r="E66" s="44" t="inlineStr">
        <is>
          <t>21.06.2023</t>
        </is>
      </c>
      <c r="F66" s="44" t="n">
        <v>1169</v>
      </c>
      <c r="G66" s="44" t="inlineStr">
        <is>
          <t>3 ay</t>
        </is>
      </c>
      <c r="H66" s="15" t="n"/>
      <c r="I66" s="45" t="n">
        <v>4503000</v>
      </c>
      <c r="J66" s="45" t="n">
        <v>4450136.16</v>
      </c>
      <c r="K66" s="45" t="n">
        <v>3718000</v>
      </c>
      <c r="L66" s="45" t="n">
        <v>3685173.16</v>
      </c>
      <c r="M66" s="45" t="n">
        <v>0</v>
      </c>
      <c r="N66" s="45" t="n">
        <v>0</v>
      </c>
      <c r="O66" s="45" t="n">
        <v>2522271.657</v>
      </c>
      <c r="P66" s="45" t="n">
        <v>2499999.99828</v>
      </c>
      <c r="Q66" s="45" t="n">
        <v>0</v>
      </c>
      <c r="R66" s="45" t="n">
        <v>0</v>
      </c>
      <c r="S66" s="45" t="n">
        <v>6240271.657</v>
      </c>
      <c r="T66" s="45" t="n">
        <v>6185173.15828</v>
      </c>
      <c r="U66" s="15" t="n">
        <v>2.62</v>
      </c>
      <c r="V66" s="15" t="n">
        <v>10.89</v>
      </c>
      <c r="W66" s="49" t="n">
        <v>99.117</v>
      </c>
    </row>
    <row r="67">
      <c r="A67" s="44" t="inlineStr">
        <is>
          <t>TLREF Endeksli Senetler</t>
        </is>
      </c>
      <c r="B67" s="44" t="n">
        <v>2020</v>
      </c>
      <c r="C67" s="44" t="inlineStr">
        <is>
          <t>TRT210623T10</t>
        </is>
      </c>
      <c r="D67" s="44" t="inlineStr">
        <is>
          <t>13.05.2020</t>
        </is>
      </c>
      <c r="E67" s="44" t="inlineStr">
        <is>
          <t>21.06.2023</t>
        </is>
      </c>
      <c r="F67" s="44" t="n">
        <v>1134</v>
      </c>
      <c r="G67" s="44" t="inlineStr">
        <is>
          <t>3 ay</t>
        </is>
      </c>
      <c r="H67" s="15" t="n"/>
      <c r="I67" s="45" t="n">
        <v>6015000</v>
      </c>
      <c r="J67" s="45" t="n">
        <v>6018106.4</v>
      </c>
      <c r="K67" s="45" t="n">
        <v>3510000</v>
      </c>
      <c r="L67" s="45" t="n">
        <v>3528348.4</v>
      </c>
      <c r="M67" s="45" t="n">
        <v>0</v>
      </c>
      <c r="N67" s="45" t="n">
        <v>0</v>
      </c>
      <c r="O67" s="45" t="n">
        <v>1492195.812</v>
      </c>
      <c r="P67" s="45" t="n">
        <v>1499999.99609</v>
      </c>
      <c r="Q67" s="45" t="n">
        <v>0</v>
      </c>
      <c r="R67" s="45" t="n">
        <v>0</v>
      </c>
      <c r="S67" s="45" t="n">
        <v>5002195.812</v>
      </c>
      <c r="T67" s="45" t="n">
        <v>5028348.39609</v>
      </c>
      <c r="U67" s="15" t="n">
        <v>2.58</v>
      </c>
      <c r="V67" s="15" t="n">
        <v>10.71</v>
      </c>
      <c r="W67" s="49" t="n">
        <v>100.523</v>
      </c>
    </row>
    <row r="68">
      <c r="A68" s="44" t="inlineStr">
        <is>
          <t>TLREF Endeksli Senetler</t>
        </is>
      </c>
      <c r="B68" s="44" t="n">
        <v>2020</v>
      </c>
      <c r="C68" s="44" t="inlineStr">
        <is>
          <t>TRT210623T10</t>
        </is>
      </c>
      <c r="D68" s="44" t="inlineStr">
        <is>
          <t>17.06.2020</t>
        </is>
      </c>
      <c r="E68" s="44" t="inlineStr">
        <is>
          <t>21.06.2023</t>
        </is>
      </c>
      <c r="F68" s="44" t="n">
        <v>1099</v>
      </c>
      <c r="G68" s="44" t="inlineStr">
        <is>
          <t>3 ay</t>
        </is>
      </c>
      <c r="H68" s="15" t="n"/>
      <c r="I68" s="45" t="n">
        <v>3659200</v>
      </c>
      <c r="J68" s="45" t="n">
        <v>3702398.205</v>
      </c>
      <c r="K68" s="45" t="n">
        <v>1673000</v>
      </c>
      <c r="L68" s="45" t="n">
        <v>1701212.89</v>
      </c>
      <c r="M68" s="45" t="n">
        <v>0</v>
      </c>
      <c r="N68" s="45" t="n">
        <v>0</v>
      </c>
      <c r="O68" s="45" t="n">
        <v>1475129.315</v>
      </c>
      <c r="P68" s="45" t="n">
        <v>1499999.99526</v>
      </c>
      <c r="Q68" s="45" t="n">
        <v>600</v>
      </c>
      <c r="R68" s="45" t="n">
        <v>610.116</v>
      </c>
      <c r="S68" s="45" t="n">
        <v>3148729.315</v>
      </c>
      <c r="T68" s="45" t="n">
        <v>3201823.00126</v>
      </c>
      <c r="U68" s="15" t="n">
        <v>2.56</v>
      </c>
      <c r="V68" s="15" t="n">
        <v>10.64</v>
      </c>
      <c r="W68" s="49" t="n">
        <v>101.686</v>
      </c>
    </row>
    <row r="69">
      <c r="A69" s="44" t="inlineStr">
        <is>
          <t>TLREF Endeksli Senetler</t>
        </is>
      </c>
      <c r="B69" s="44" t="n">
        <v>2020</v>
      </c>
      <c r="C69" s="44" t="inlineStr">
        <is>
          <t>TRT170724T14</t>
        </is>
      </c>
      <c r="D69" s="44" t="inlineStr">
        <is>
          <t>22.07.2020</t>
        </is>
      </c>
      <c r="E69" s="44" t="inlineStr">
        <is>
          <t>17.07.2024</t>
        </is>
      </c>
      <c r="F69" s="44" t="n">
        <v>1456</v>
      </c>
      <c r="G69" s="44" t="inlineStr">
        <is>
          <t>3 ay</t>
        </is>
      </c>
      <c r="H69" s="15" t="n"/>
      <c r="I69" s="45" t="n">
        <v>3057001</v>
      </c>
      <c r="J69" s="45" t="n">
        <v>3013522.85</v>
      </c>
      <c r="K69" s="45" t="n">
        <v>1208000</v>
      </c>
      <c r="L69" s="45" t="n">
        <v>1196907.83</v>
      </c>
      <c r="M69" s="45" t="n">
        <v>0</v>
      </c>
      <c r="N69" s="45" t="n">
        <v>0</v>
      </c>
      <c r="O69" s="45" t="n">
        <v>1614824.08</v>
      </c>
      <c r="P69" s="45" t="n">
        <v>1599999.99494</v>
      </c>
      <c r="Q69" s="45" t="n">
        <v>24000</v>
      </c>
      <c r="R69" s="45" t="n">
        <v>23779.68</v>
      </c>
      <c r="S69" s="45" t="n">
        <v>2846824.08</v>
      </c>
      <c r="T69" s="45" t="n">
        <v>2820687.50494</v>
      </c>
      <c r="U69" s="15" t="n">
        <v>2.57</v>
      </c>
      <c r="V69" s="15" t="n">
        <v>10.69</v>
      </c>
      <c r="W69" s="49" t="n">
        <v>99.08199999999999</v>
      </c>
    </row>
    <row r="70">
      <c r="A70" s="44" t="inlineStr">
        <is>
          <t>TLREF Endeksli Senetler</t>
        </is>
      </c>
      <c r="B70" s="44" t="n">
        <v>2020</v>
      </c>
      <c r="C70" s="44" t="inlineStr">
        <is>
          <t>TRT170724T14</t>
        </is>
      </c>
      <c r="D70" s="44" t="inlineStr">
        <is>
          <t>12.08.2020</t>
        </is>
      </c>
      <c r="E70" s="44" t="inlineStr">
        <is>
          <t>17.07.2024</t>
        </is>
      </c>
      <c r="F70" s="44" t="n">
        <v>1435</v>
      </c>
      <c r="G70" s="44" t="inlineStr">
        <is>
          <t>3 ay</t>
        </is>
      </c>
      <c r="H70" s="15" t="n"/>
      <c r="I70" s="45" t="n">
        <v>3437000</v>
      </c>
      <c r="J70" s="45" t="n">
        <v>3367727.82</v>
      </c>
      <c r="K70" s="45" t="n">
        <v>2187000</v>
      </c>
      <c r="L70" s="45" t="n">
        <v>2168142.92</v>
      </c>
      <c r="M70" s="45" t="n">
        <v>0</v>
      </c>
      <c r="N70" s="45" t="n">
        <v>0</v>
      </c>
      <c r="O70" s="45" t="n">
        <v>1008694.946</v>
      </c>
      <c r="P70" s="45" t="n">
        <v>999999.99555</v>
      </c>
      <c r="Q70" s="45" t="n">
        <v>60010.288</v>
      </c>
      <c r="R70" s="45" t="n">
        <v>59492.99932</v>
      </c>
      <c r="S70" s="45" t="n">
        <v>3255705.234</v>
      </c>
      <c r="T70" s="45" t="n">
        <v>3227635.91487</v>
      </c>
      <c r="U70" s="15" t="n">
        <v>2.61</v>
      </c>
      <c r="V70" s="15" t="n">
        <v>10.86</v>
      </c>
      <c r="W70" s="49" t="n">
        <v>99.13800000000001</v>
      </c>
    </row>
    <row r="71">
      <c r="A71" s="44" t="inlineStr">
        <is>
          <t>TLREF Endeksli Senetler</t>
        </is>
      </c>
      <c r="B71" s="44" t="n">
        <v>2020</v>
      </c>
      <c r="C71" s="44" t="inlineStr">
        <is>
          <t>TRT170724T14</t>
        </is>
      </c>
      <c r="D71" s="44" t="inlineStr">
        <is>
          <t>16.09.2020</t>
        </is>
      </c>
      <c r="E71" s="44" t="inlineStr">
        <is>
          <t>17.07.2024</t>
        </is>
      </c>
      <c r="F71" s="44" t="n">
        <v>1400</v>
      </c>
      <c r="G71" s="44" t="inlineStr">
        <is>
          <t>3 ay</t>
        </is>
      </c>
      <c r="H71" s="15" t="n"/>
      <c r="I71" s="45" t="n">
        <v>3577000</v>
      </c>
      <c r="J71" s="45" t="n">
        <v>3565572.46</v>
      </c>
      <c r="K71" s="45" t="n">
        <v>825000</v>
      </c>
      <c r="L71" s="45" t="n">
        <v>834835.5</v>
      </c>
      <c r="M71" s="45" t="n">
        <v>143291.959</v>
      </c>
      <c r="N71" s="45" t="n">
        <v>144999.99915</v>
      </c>
      <c r="O71" s="45" t="n">
        <v>889398.368</v>
      </c>
      <c r="P71" s="45" t="n">
        <v>899999.99653</v>
      </c>
      <c r="Q71" s="45" t="n">
        <v>0</v>
      </c>
      <c r="R71" s="45" t="n">
        <v>0</v>
      </c>
      <c r="S71" s="45" t="n">
        <v>1857690.327</v>
      </c>
      <c r="T71" s="45" t="n">
        <v>1879835.49568</v>
      </c>
      <c r="U71" s="15" t="n">
        <v>2.53</v>
      </c>
      <c r="V71" s="15" t="n">
        <v>10.5</v>
      </c>
      <c r="W71" s="49" t="n">
        <v>101.192</v>
      </c>
    </row>
    <row r="72">
      <c r="A72" s="44" t="inlineStr">
        <is>
          <t>TLREF Endeksli Senetler</t>
        </is>
      </c>
      <c r="B72" s="44" t="n">
        <v>2020</v>
      </c>
      <c r="C72" s="44" t="inlineStr">
        <is>
          <t>TRT170724T14</t>
        </is>
      </c>
      <c r="D72" s="44" t="inlineStr">
        <is>
          <t>07.10.2020</t>
        </is>
      </c>
      <c r="E72" s="44" t="inlineStr">
        <is>
          <t>17.07.2024</t>
        </is>
      </c>
      <c r="F72" s="44" t="n">
        <v>1379</v>
      </c>
      <c r="G72" s="44" t="inlineStr">
        <is>
          <t>3 ay</t>
        </is>
      </c>
      <c r="H72" s="15" t="n"/>
      <c r="I72" s="45" t="n">
        <v>6318000</v>
      </c>
      <c r="J72" s="45" t="n">
        <v>6388712.55</v>
      </c>
      <c r="K72" s="45" t="n">
        <v>1773000</v>
      </c>
      <c r="L72" s="45" t="n">
        <v>1806340.93</v>
      </c>
      <c r="M72" s="45" t="n">
        <v>54966.627</v>
      </c>
      <c r="N72" s="45" t="n">
        <v>55999.99959</v>
      </c>
      <c r="O72" s="45" t="n">
        <v>1472320.373</v>
      </c>
      <c r="P72" s="45" t="n">
        <v>1499999.99599</v>
      </c>
      <c r="Q72" s="45" t="n">
        <v>399200</v>
      </c>
      <c r="R72" s="45" t="n">
        <v>406704.96</v>
      </c>
      <c r="S72" s="45" t="n">
        <v>3699487</v>
      </c>
      <c r="T72" s="45" t="n">
        <v>3769045.88558</v>
      </c>
      <c r="U72" s="15" t="n">
        <v>2.52</v>
      </c>
      <c r="V72" s="15" t="n">
        <v>10.46</v>
      </c>
      <c r="W72" s="49" t="n">
        <v>101.88</v>
      </c>
    </row>
  </sheetData>
  <mergeCells count="8">
    <mergeCell ref="Q1:R1"/>
    <mergeCell ref="K1:L1"/>
    <mergeCell ref="S1:T1"/>
    <mergeCell ref="U1:V1"/>
    <mergeCell ref="O1:P1"/>
    <mergeCell ref="A1:H1"/>
    <mergeCell ref="M1:N1"/>
    <mergeCell ref="I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8" customHeight="1">
      <c r="A1" s="26" t="inlineStr">
        <is>
          <t>Genel Bilgiler</t>
        </is>
      </c>
      <c r="B1" s="2" t="n"/>
      <c r="C1" s="2" t="n"/>
      <c r="D1" s="2" t="n"/>
      <c r="E1" s="2" t="n"/>
      <c r="F1" s="2" t="n"/>
      <c r="G1" s="2" t="n"/>
      <c r="H1" s="3" t="n"/>
      <c r="I1" s="27" t="inlineStr">
        <is>
          <t>Teklif Edilen Tutar</t>
        </is>
      </c>
      <c r="J1" s="3" t="n"/>
      <c r="K1" s="28" t="inlineStr">
        <is>
          <t>İhale Kabul Edilen Tutar</t>
        </is>
      </c>
      <c r="L1" s="3" t="n"/>
      <c r="M1" s="29" t="inlineStr">
        <is>
          <t>Rek. Olmayan Teklif - Kamu</t>
        </is>
      </c>
      <c r="N1" s="3" t="n"/>
      <c r="O1" s="30" t="inlineStr">
        <is>
          <t>Rek. Olmayan Teklif - Piyasa Yapıcı</t>
        </is>
      </c>
      <c r="P1" s="3" t="n"/>
      <c r="Q1" s="31" t="inlineStr">
        <is>
          <t>İhale Sonrası Satış</t>
        </is>
      </c>
      <c r="R1" s="3" t="n"/>
      <c r="S1" s="32" t="inlineStr">
        <is>
          <t>Toplam Satış</t>
        </is>
      </c>
      <c r="T1" s="3" t="n"/>
      <c r="U1" s="33" t="inlineStr">
        <is>
          <t>Kabul Edilen Faiz (%)</t>
        </is>
      </c>
      <c r="V1" s="3" t="n"/>
      <c r="W1" s="34" t="inlineStr">
        <is>
          <t>Fiyat</t>
        </is>
      </c>
    </row>
    <row r="2" ht="36" customHeight="1">
      <c r="A2" s="35" t="inlineStr">
        <is>
          <t>Senet Türü</t>
        </is>
      </c>
      <c r="B2" s="35" t="inlineStr">
        <is>
          <t>Yıl</t>
        </is>
      </c>
      <c r="C2" s="35" t="inlineStr">
        <is>
          <t>ISIN Kodu</t>
        </is>
      </c>
      <c r="D2" s="35" t="inlineStr">
        <is>
          <t>Valör Tarihi</t>
        </is>
      </c>
      <c r="E2" s="35" t="inlineStr">
        <is>
          <t>İtfa Tarihi</t>
        </is>
      </c>
      <c r="F2" s="35" t="inlineStr">
        <is>
          <t>Vade (Gün)</t>
        </is>
      </c>
      <c r="G2" s="35" t="inlineStr">
        <is>
          <t>Kupon Dönemi</t>
        </is>
      </c>
      <c r="H2" s="35" t="inlineStr">
        <is>
          <t>Kupon Oranı (%)</t>
        </is>
      </c>
      <c r="I2" s="36" t="inlineStr">
        <is>
          <t>Nominal (Bin TL)</t>
        </is>
      </c>
      <c r="J2" s="36" t="inlineStr">
        <is>
          <t>Net (Bin TL)</t>
        </is>
      </c>
      <c r="K2" s="37" t="inlineStr">
        <is>
          <t>Nominal (Bin TL)</t>
        </is>
      </c>
      <c r="L2" s="37" t="inlineStr">
        <is>
          <t>Net (Bin TL)</t>
        </is>
      </c>
      <c r="M2" s="38" t="inlineStr">
        <is>
          <t>Nominal (Bin TL)</t>
        </is>
      </c>
      <c r="N2" s="38" t="inlineStr">
        <is>
          <t>Net (Bin TL)</t>
        </is>
      </c>
      <c r="O2" s="39" t="inlineStr">
        <is>
          <t>Nominal (Bin TL)</t>
        </is>
      </c>
      <c r="P2" s="39" t="inlineStr">
        <is>
          <t>Net (Bin TL)</t>
        </is>
      </c>
      <c r="Q2" s="40" t="inlineStr">
        <is>
          <t>Nominal (Bin TL)</t>
        </is>
      </c>
      <c r="R2" s="40" t="inlineStr">
        <is>
          <t>Net (Bin TL)</t>
        </is>
      </c>
      <c r="S2" s="41" t="inlineStr">
        <is>
          <t>Nominal (Bin TL)</t>
        </is>
      </c>
      <c r="T2" s="41" t="inlineStr">
        <is>
          <t>Net (Bin TL)</t>
        </is>
      </c>
      <c r="U2" s="42" t="inlineStr">
        <is>
          <t>Ort. Dönem (Basit)</t>
        </is>
      </c>
      <c r="V2" s="42" t="inlineStr">
        <is>
          <t>Ort. Yıllık Bileşik</t>
        </is>
      </c>
      <c r="W2" s="43" t="inlineStr">
        <is>
          <t>İhraç Birim Fiyatı (Ort.)</t>
        </is>
      </c>
    </row>
    <row r="3">
      <c r="A3" s="44" t="inlineStr">
        <is>
          <t>TL Cinsi Kira Sertifikalari</t>
        </is>
      </c>
      <c r="B3" s="44" t="n">
        <v>2012</v>
      </c>
      <c r="C3" s="44" t="inlineStr">
        <is>
          <t>TRD011014T17</t>
        </is>
      </c>
      <c r="D3" s="44" t="inlineStr">
        <is>
          <t>03.10.2012</t>
        </is>
      </c>
      <c r="E3" s="44" t="inlineStr">
        <is>
          <t>01.10.2014</t>
        </is>
      </c>
      <c r="F3" s="44" t="n">
        <v>728</v>
      </c>
      <c r="G3" s="44" t="inlineStr">
        <is>
          <t>6 Ay</t>
        </is>
      </c>
      <c r="H3" s="15" t="n">
        <v>3.7</v>
      </c>
      <c r="I3" s="45" t="n"/>
      <c r="J3" s="45" t="n"/>
      <c r="K3" s="45" t="n">
        <v>1624482.56</v>
      </c>
      <c r="L3" s="45" t="n">
        <v>1624482.56</v>
      </c>
      <c r="M3" s="45" t="n"/>
      <c r="N3" s="45" t="n"/>
      <c r="O3" s="45" t="n"/>
      <c r="P3" s="45" t="n"/>
      <c r="Q3" s="45" t="n"/>
      <c r="R3" s="45" t="n"/>
      <c r="S3" s="45" t="n"/>
      <c r="T3" s="45" t="n"/>
      <c r="U3" s="15" t="n"/>
      <c r="V3" s="15" t="n"/>
      <c r="W3" s="49" t="n">
        <v>100</v>
      </c>
    </row>
    <row r="4">
      <c r="A4" s="44" t="inlineStr">
        <is>
          <t>TL Cinsi Kira Sertifikalari</t>
        </is>
      </c>
      <c r="B4" s="44" t="n">
        <v>2013</v>
      </c>
      <c r="C4" s="44" t="inlineStr">
        <is>
          <t>TRD180215T17</t>
        </is>
      </c>
      <c r="D4" s="44" t="inlineStr">
        <is>
          <t>20.02.2013</t>
        </is>
      </c>
      <c r="E4" s="44" t="inlineStr">
        <is>
          <t>18.02.2015</t>
        </is>
      </c>
      <c r="F4" s="44" t="n">
        <v>728</v>
      </c>
      <c r="G4" s="44" t="inlineStr">
        <is>
          <t>6 Ay</t>
        </is>
      </c>
      <c r="H4" s="15" t="n">
        <v>2.85</v>
      </c>
      <c r="I4" s="45" t="n"/>
      <c r="J4" s="45" t="n"/>
      <c r="K4" s="45" t="n">
        <v>1515326.823</v>
      </c>
      <c r="L4" s="45" t="n">
        <v>1515326.823</v>
      </c>
      <c r="M4" s="45" t="n"/>
      <c r="N4" s="45" t="n"/>
      <c r="O4" s="45" t="n"/>
      <c r="P4" s="45" t="n"/>
      <c r="Q4" s="45" t="n"/>
      <c r="R4" s="45" t="n"/>
      <c r="S4" s="45" t="n"/>
      <c r="T4" s="45" t="n"/>
      <c r="U4" s="15" t="n"/>
      <c r="V4" s="15" t="n"/>
      <c r="W4" s="49" t="n">
        <v>100</v>
      </c>
    </row>
    <row r="5">
      <c r="A5" s="44" t="inlineStr">
        <is>
          <t>TL Cinsi Kira Sertifikalari</t>
        </is>
      </c>
      <c r="B5" s="44" t="n">
        <v>2013</v>
      </c>
      <c r="C5" s="44" t="inlineStr">
        <is>
          <t>TRD190815T10</t>
        </is>
      </c>
      <c r="D5" s="44" t="inlineStr">
        <is>
          <t>21.08.2013</t>
        </is>
      </c>
      <c r="E5" s="44" t="inlineStr">
        <is>
          <t>19.08.2015</t>
        </is>
      </c>
      <c r="F5" s="44" t="n">
        <v>728</v>
      </c>
      <c r="G5" s="44" t="inlineStr">
        <is>
          <t>6 Ay</t>
        </is>
      </c>
      <c r="H5" s="15" t="n">
        <v>4.5</v>
      </c>
      <c r="I5" s="45" t="n"/>
      <c r="J5" s="45" t="n"/>
      <c r="K5" s="45" t="n">
        <v>1817300</v>
      </c>
      <c r="L5" s="45" t="n">
        <v>1817300</v>
      </c>
      <c r="M5" s="45" t="n"/>
      <c r="N5" s="45" t="n"/>
      <c r="O5" s="45" t="n"/>
      <c r="P5" s="45" t="n"/>
      <c r="Q5" s="45" t="n"/>
      <c r="R5" s="45" t="n"/>
      <c r="S5" s="45" t="n"/>
      <c r="T5" s="45" t="n"/>
      <c r="U5" s="15" t="n"/>
      <c r="V5" s="15" t="n"/>
      <c r="W5" s="49" t="n">
        <v>100</v>
      </c>
    </row>
    <row r="6">
      <c r="A6" s="44" t="inlineStr">
        <is>
          <t>TL Cinsi Kira Sertifikalari</t>
        </is>
      </c>
      <c r="B6" s="44" t="n">
        <v>2014</v>
      </c>
      <c r="C6" s="44" t="inlineStr">
        <is>
          <t>TRD170216T17</t>
        </is>
      </c>
      <c r="D6" s="44" t="inlineStr">
        <is>
          <t>19.02.2014</t>
        </is>
      </c>
      <c r="E6" s="44" t="inlineStr">
        <is>
          <t>17.02.2016</t>
        </is>
      </c>
      <c r="F6" s="44" t="n">
        <v>728</v>
      </c>
      <c r="G6" s="44" t="inlineStr">
        <is>
          <t>6 Ay</t>
        </is>
      </c>
      <c r="H6" s="15" t="n">
        <v>5.3</v>
      </c>
      <c r="I6" s="45" t="n"/>
      <c r="J6" s="45" t="n"/>
      <c r="K6" s="45" t="n">
        <v>1332820</v>
      </c>
      <c r="L6" s="45" t="n">
        <v>1332820</v>
      </c>
      <c r="M6" s="45" t="n"/>
      <c r="N6" s="45" t="n"/>
      <c r="O6" s="45" t="n"/>
      <c r="P6" s="45" t="n"/>
      <c r="Q6" s="45" t="n"/>
      <c r="R6" s="45" t="n"/>
      <c r="S6" s="45" t="n"/>
      <c r="T6" s="45" t="n"/>
      <c r="U6" s="15" t="n"/>
      <c r="V6" s="15" t="n"/>
      <c r="W6" s="49" t="n">
        <v>100</v>
      </c>
    </row>
    <row r="7">
      <c r="A7" s="44" t="inlineStr">
        <is>
          <t>TL Cinsi Kira Sertifikalari</t>
        </is>
      </c>
      <c r="B7" s="44" t="n">
        <v>2014</v>
      </c>
      <c r="C7" s="44" t="inlineStr">
        <is>
          <t>TRD280916T17</t>
        </is>
      </c>
      <c r="D7" s="44" t="inlineStr">
        <is>
          <t>01.10.2014</t>
        </is>
      </c>
      <c r="E7" s="44" t="inlineStr">
        <is>
          <t>28.09.2016</t>
        </is>
      </c>
      <c r="F7" s="44" t="n">
        <v>728</v>
      </c>
      <c r="G7" s="44" t="inlineStr">
        <is>
          <t>6 Ay</t>
        </is>
      </c>
      <c r="H7" s="15" t="n">
        <v>4.84</v>
      </c>
      <c r="I7" s="45" t="n"/>
      <c r="J7" s="45" t="n"/>
      <c r="K7" s="45" t="n">
        <v>1839964.07</v>
      </c>
      <c r="L7" s="45" t="n">
        <v>1839964.07</v>
      </c>
      <c r="M7" s="45" t="n"/>
      <c r="N7" s="45" t="n"/>
      <c r="O7" s="45" t="n"/>
      <c r="P7" s="45" t="n"/>
      <c r="Q7" s="45" t="n"/>
      <c r="R7" s="45" t="n"/>
      <c r="S7" s="45" t="n"/>
      <c r="T7" s="45" t="n"/>
      <c r="U7" s="15" t="n"/>
      <c r="V7" s="15" t="n"/>
      <c r="W7" s="49" t="n">
        <v>100</v>
      </c>
    </row>
    <row r="8">
      <c r="A8" s="44" t="inlineStr">
        <is>
          <t>TL Cinsi Kira Sertifikalari</t>
        </is>
      </c>
      <c r="B8" s="44" t="n">
        <v>2015</v>
      </c>
      <c r="C8" s="44" t="inlineStr">
        <is>
          <t>TRD150217T18</t>
        </is>
      </c>
      <c r="D8" s="44" t="inlineStr">
        <is>
          <t>18.02.2015</t>
        </is>
      </c>
      <c r="E8" s="44" t="inlineStr">
        <is>
          <t>15.02.2017</t>
        </is>
      </c>
      <c r="F8" s="44" t="n">
        <v>728</v>
      </c>
      <c r="G8" s="44" t="inlineStr">
        <is>
          <t>6 Ay</t>
        </is>
      </c>
      <c r="H8" s="15" t="n">
        <v>3.9</v>
      </c>
      <c r="I8" s="45" t="n"/>
      <c r="J8" s="45" t="n"/>
      <c r="K8" s="45" t="n">
        <v>1801515.314</v>
      </c>
      <c r="L8" s="45" t="n">
        <v>1801515.314</v>
      </c>
      <c r="M8" s="45" t="n"/>
      <c r="N8" s="45" t="n"/>
      <c r="O8" s="45" t="n"/>
      <c r="P8" s="45" t="n"/>
      <c r="Q8" s="45" t="n"/>
      <c r="R8" s="45" t="n"/>
      <c r="S8" s="45" t="n"/>
      <c r="T8" s="45" t="n"/>
      <c r="U8" s="15" t="n"/>
      <c r="V8" s="15" t="n"/>
      <c r="W8" s="49" t="n">
        <v>100</v>
      </c>
    </row>
    <row r="9">
      <c r="A9" s="44" t="inlineStr">
        <is>
          <t>TL Cinsi Kira Sertifikalari</t>
        </is>
      </c>
      <c r="B9" s="44" t="n">
        <v>2015</v>
      </c>
      <c r="C9" s="44" t="inlineStr">
        <is>
          <t>TRD160817T11</t>
        </is>
      </c>
      <c r="D9" s="44" t="inlineStr">
        <is>
          <t>19.08.2015</t>
        </is>
      </c>
      <c r="E9" s="44" t="inlineStr">
        <is>
          <t>16.08.2017</t>
        </is>
      </c>
      <c r="F9" s="44" t="n">
        <v>728</v>
      </c>
      <c r="G9" s="44" t="inlineStr">
        <is>
          <t>6 Ay</t>
        </is>
      </c>
      <c r="H9" s="15" t="n">
        <v>4.98</v>
      </c>
      <c r="I9" s="45" t="n"/>
      <c r="J9" s="45" t="n"/>
      <c r="K9" s="45" t="n">
        <v>1588783.919</v>
      </c>
      <c r="L9" s="45" t="n">
        <v>1588783.919</v>
      </c>
      <c r="M9" s="45" t="n"/>
      <c r="N9" s="45" t="n"/>
      <c r="O9" s="45" t="n"/>
      <c r="P9" s="45" t="n"/>
      <c r="Q9" s="45" t="n"/>
      <c r="R9" s="45" t="n"/>
      <c r="S9" s="45" t="n"/>
      <c r="T9" s="45" t="n"/>
      <c r="U9" s="15" t="n"/>
      <c r="V9" s="15" t="n"/>
      <c r="W9" s="49" t="n">
        <v>100</v>
      </c>
    </row>
    <row r="10">
      <c r="A10" s="44" t="inlineStr">
        <is>
          <t>TL Cinsi Kira Sertifikalari</t>
        </is>
      </c>
      <c r="B10" s="44" t="n">
        <v>2016</v>
      </c>
      <c r="C10" s="44" t="inlineStr">
        <is>
          <t>TRD140218T18</t>
        </is>
      </c>
      <c r="D10" s="44" t="inlineStr">
        <is>
          <t>17.02.2016</t>
        </is>
      </c>
      <c r="E10" s="44" t="inlineStr">
        <is>
          <t>14.02.2018</t>
        </is>
      </c>
      <c r="F10" s="44" t="n">
        <v>728</v>
      </c>
      <c r="G10" s="44" t="inlineStr">
        <is>
          <t>6 Ay</t>
        </is>
      </c>
      <c r="H10" s="15" t="n">
        <v>5.32</v>
      </c>
      <c r="I10" s="45" t="n"/>
      <c r="J10" s="45" t="n"/>
      <c r="K10" s="45" t="n">
        <v>1900352.27</v>
      </c>
      <c r="L10" s="45" t="n">
        <v>1900352.27</v>
      </c>
      <c r="M10" s="45" t="n"/>
      <c r="N10" s="45" t="n"/>
      <c r="O10" s="45" t="n"/>
      <c r="P10" s="45" t="n"/>
      <c r="Q10" s="45" t="n"/>
      <c r="R10" s="45" t="n"/>
      <c r="S10" s="45" t="n"/>
      <c r="T10" s="45" t="n"/>
      <c r="U10" s="15" t="n"/>
      <c r="V10" s="15" t="n"/>
      <c r="W10" s="49" t="n">
        <v>100</v>
      </c>
    </row>
    <row r="11">
      <c r="A11" s="44" t="inlineStr">
        <is>
          <t>TL Cinsi Kira Sertifikalari</t>
        </is>
      </c>
      <c r="B11" s="44" t="n">
        <v>2016</v>
      </c>
      <c r="C11" s="44" t="inlineStr">
        <is>
          <t>TRD140721T18</t>
        </is>
      </c>
      <c r="D11" s="44" t="inlineStr">
        <is>
          <t>20.07.2016</t>
        </is>
      </c>
      <c r="E11" s="44" t="inlineStr">
        <is>
          <t>14.07.2021</t>
        </is>
      </c>
      <c r="F11" s="44" t="n">
        <v>1820</v>
      </c>
      <c r="G11" s="44" t="inlineStr">
        <is>
          <t>6 Ay</t>
        </is>
      </c>
      <c r="H11" s="15" t="n">
        <v>4.7</v>
      </c>
      <c r="I11" s="45" t="n"/>
      <c r="J11" s="45" t="n"/>
      <c r="K11" s="45" t="n">
        <v>907500</v>
      </c>
      <c r="L11" s="45" t="n">
        <v>907500</v>
      </c>
      <c r="M11" s="45" t="n"/>
      <c r="N11" s="45" t="n"/>
      <c r="O11" s="45" t="n"/>
      <c r="P11" s="45" t="n"/>
      <c r="Q11" s="45" t="n"/>
      <c r="R11" s="45" t="n"/>
      <c r="S11" s="45" t="n"/>
      <c r="T11" s="45" t="n"/>
      <c r="U11" s="15" t="n"/>
      <c r="V11" s="15" t="n"/>
      <c r="W11" s="49" t="n">
        <v>100</v>
      </c>
    </row>
    <row r="12">
      <c r="A12" s="44" t="inlineStr">
        <is>
          <t>TL Cinsi Kira Sertifikalari</t>
        </is>
      </c>
      <c r="B12" s="44" t="n">
        <v>2016</v>
      </c>
      <c r="C12" s="44" t="inlineStr">
        <is>
          <t>TRD260918T17</t>
        </is>
      </c>
      <c r="D12" s="44" t="inlineStr">
        <is>
          <t>28.09.2016</t>
        </is>
      </c>
      <c r="E12" s="44" t="inlineStr">
        <is>
          <t>26.09.2018</t>
        </is>
      </c>
      <c r="F12" s="44" t="n">
        <v>728</v>
      </c>
      <c r="G12" s="44" t="inlineStr">
        <is>
          <t>6 Ay</t>
        </is>
      </c>
      <c r="H12" s="15" t="n">
        <v>4.4</v>
      </c>
      <c r="I12" s="45" t="n"/>
      <c r="J12" s="45" t="n"/>
      <c r="K12" s="45" t="n">
        <v>1102839.178</v>
      </c>
      <c r="L12" s="45" t="n">
        <v>1102839.178</v>
      </c>
      <c r="M12" s="45" t="n"/>
      <c r="N12" s="45" t="n"/>
      <c r="O12" s="45" t="n"/>
      <c r="P12" s="45" t="n"/>
      <c r="Q12" s="45" t="n"/>
      <c r="R12" s="45" t="n"/>
      <c r="S12" s="45" t="n"/>
      <c r="T12" s="45" t="n"/>
      <c r="U12" s="15" t="n"/>
      <c r="V12" s="15" t="n"/>
      <c r="W12" s="49" t="n">
        <v>100</v>
      </c>
    </row>
    <row r="13">
      <c r="A13" s="44" t="inlineStr">
        <is>
          <t>TL Cinsi Kira Sertifikalari</t>
        </is>
      </c>
      <c r="B13" s="44" t="n">
        <v>2016</v>
      </c>
      <c r="C13" s="44" t="inlineStr">
        <is>
          <t>TRD220921T16</t>
        </is>
      </c>
      <c r="D13" s="44" t="inlineStr">
        <is>
          <t>28.09.2016</t>
        </is>
      </c>
      <c r="E13" s="44" t="inlineStr">
        <is>
          <t>22.09.2021</t>
        </is>
      </c>
      <c r="F13" s="44" t="n">
        <v>1820</v>
      </c>
      <c r="G13" s="44" t="inlineStr">
        <is>
          <t>6 Ay</t>
        </is>
      </c>
      <c r="H13" s="15" t="n">
        <v>1.12</v>
      </c>
      <c r="I13" s="45" t="n"/>
      <c r="J13" s="45" t="n"/>
      <c r="K13" s="45" t="n">
        <v>1066565.092</v>
      </c>
      <c r="L13" s="45" t="n">
        <v>1066565.092</v>
      </c>
      <c r="M13" s="45" t="n"/>
      <c r="N13" s="45" t="n"/>
      <c r="O13" s="45" t="n"/>
      <c r="P13" s="45" t="n"/>
      <c r="Q13" s="45" t="n"/>
      <c r="R13" s="45" t="n"/>
      <c r="S13" s="45" t="n"/>
      <c r="T13" s="45" t="n"/>
      <c r="U13" s="15" t="n"/>
      <c r="V13" s="15" t="n"/>
      <c r="W13" s="49" t="n">
        <v>100</v>
      </c>
    </row>
    <row r="14">
      <c r="A14" s="44" t="inlineStr">
        <is>
          <t>TL Cinsi Kira Sertifikalari</t>
        </is>
      </c>
      <c r="B14" s="44" t="n">
        <v>2016</v>
      </c>
      <c r="C14" s="44" t="inlineStr">
        <is>
          <t>TRD211118T18</t>
        </is>
      </c>
      <c r="D14" s="44" t="inlineStr">
        <is>
          <t>23.11.2016</t>
        </is>
      </c>
      <c r="E14" s="44" t="inlineStr">
        <is>
          <t>21.11.2018</t>
        </is>
      </c>
      <c r="F14" s="44" t="n">
        <v>728</v>
      </c>
      <c r="G14" s="44" t="inlineStr">
        <is>
          <t>6 Ay</t>
        </is>
      </c>
      <c r="H14" s="15" t="n">
        <v>5.08</v>
      </c>
      <c r="I14" s="45" t="n"/>
      <c r="J14" s="45" t="n"/>
      <c r="K14" s="45" t="n">
        <v>1285000</v>
      </c>
      <c r="L14" s="45" t="n">
        <v>1285000</v>
      </c>
      <c r="M14" s="45" t="n"/>
      <c r="N14" s="45" t="n"/>
      <c r="O14" s="45" t="n"/>
      <c r="P14" s="45" t="n"/>
      <c r="Q14" s="45" t="n"/>
      <c r="R14" s="45" t="n"/>
      <c r="S14" s="45" t="n"/>
      <c r="T14" s="45" t="n"/>
      <c r="U14" s="15" t="n"/>
      <c r="V14" s="15" t="n"/>
      <c r="W14" s="49" t="n">
        <v>100</v>
      </c>
    </row>
    <row r="15">
      <c r="A15" s="44" t="inlineStr">
        <is>
          <t>TL Cinsi Kira Sertifikalari</t>
        </is>
      </c>
      <c r="B15" s="44" t="n">
        <v>2017</v>
      </c>
      <c r="C15" s="44" t="inlineStr">
        <is>
          <t>TRD130219T18</t>
        </is>
      </c>
      <c r="D15" s="44" t="inlineStr">
        <is>
          <t>15.02.2017</t>
        </is>
      </c>
      <c r="E15" s="44" t="inlineStr">
        <is>
          <t>13.02.2019</t>
        </is>
      </c>
      <c r="F15" s="44" t="n">
        <v>728</v>
      </c>
      <c r="G15" s="44" t="inlineStr">
        <is>
          <t>6 Ay</t>
        </is>
      </c>
      <c r="H15" s="15" t="n">
        <v>5.52</v>
      </c>
      <c r="I15" s="45" t="n"/>
      <c r="J15" s="45" t="n"/>
      <c r="K15" s="45" t="n">
        <v>2023444.792</v>
      </c>
      <c r="L15" s="45" t="n">
        <v>2023444.792</v>
      </c>
      <c r="M15" s="45" t="n"/>
      <c r="N15" s="45" t="n"/>
      <c r="O15" s="45" t="n"/>
      <c r="P15" s="45" t="n"/>
      <c r="Q15" s="45" t="n"/>
      <c r="R15" s="45" t="n"/>
      <c r="S15" s="45" t="n"/>
      <c r="T15" s="45" t="n"/>
      <c r="U15" s="15" t="n"/>
      <c r="V15" s="15" t="n"/>
      <c r="W15" s="49" t="n">
        <v>100</v>
      </c>
    </row>
    <row r="16">
      <c r="A16" s="44" t="inlineStr">
        <is>
          <t>TL Cinsi Kira Sertifikalari</t>
        </is>
      </c>
      <c r="B16" s="44" t="n">
        <v>2017</v>
      </c>
      <c r="C16" s="44" t="inlineStr">
        <is>
          <t>TRD190619T18</t>
        </is>
      </c>
      <c r="D16" s="44" t="inlineStr">
        <is>
          <t>21.06.2017</t>
        </is>
      </c>
      <c r="E16" s="44" t="inlineStr">
        <is>
          <t>19.06.2019</t>
        </is>
      </c>
      <c r="F16" s="44" t="n">
        <v>728</v>
      </c>
      <c r="G16" s="44" t="inlineStr">
        <is>
          <t>6 Ay</t>
        </is>
      </c>
      <c r="H16" s="15" t="n">
        <v>5.36</v>
      </c>
      <c r="I16" s="45" t="n"/>
      <c r="J16" s="45" t="n"/>
      <c r="K16" s="45" t="n">
        <v>503000</v>
      </c>
      <c r="L16" s="45" t="n">
        <v>503000</v>
      </c>
      <c r="M16" s="45" t="n"/>
      <c r="N16" s="45" t="n"/>
      <c r="O16" s="45" t="n"/>
      <c r="P16" s="45" t="n"/>
      <c r="Q16" s="45" t="n"/>
      <c r="R16" s="45" t="n"/>
      <c r="S16" s="45" t="n"/>
      <c r="T16" s="45" t="n"/>
      <c r="U16" s="15" t="n"/>
      <c r="V16" s="15" t="n"/>
      <c r="W16" s="49" t="n">
        <v>100</v>
      </c>
    </row>
    <row r="17">
      <c r="A17" s="44" t="inlineStr">
        <is>
          <t>TL Cinsi Kira Sertifikalari</t>
        </is>
      </c>
      <c r="B17" s="44" t="n">
        <v>2017</v>
      </c>
      <c r="C17" s="44" t="inlineStr">
        <is>
          <t>TRD100822T10</t>
        </is>
      </c>
      <c r="D17" s="44" t="inlineStr">
        <is>
          <t>16.08.2017</t>
        </is>
      </c>
      <c r="E17" s="44" t="inlineStr">
        <is>
          <t>10.08.2022</t>
        </is>
      </c>
      <c r="F17" s="44" t="n">
        <v>1820</v>
      </c>
      <c r="G17" s="44" t="inlineStr">
        <is>
          <t>6 Ay</t>
        </is>
      </c>
      <c r="H17" s="15" t="n">
        <v>5.38</v>
      </c>
      <c r="I17" s="45" t="n"/>
      <c r="J17" s="45" t="n"/>
      <c r="K17" s="45" t="n">
        <v>1183520</v>
      </c>
      <c r="L17" s="45" t="n">
        <v>1183520</v>
      </c>
      <c r="M17" s="45" t="n"/>
      <c r="N17" s="45" t="n"/>
      <c r="O17" s="45" t="n"/>
      <c r="P17" s="45" t="n"/>
      <c r="Q17" s="45" t="n"/>
      <c r="R17" s="45" t="n"/>
      <c r="S17" s="45" t="n"/>
      <c r="T17" s="45" t="n"/>
      <c r="U17" s="15" t="n"/>
      <c r="V17" s="15" t="n"/>
      <c r="W17" s="49" t="n">
        <v>100</v>
      </c>
    </row>
    <row r="18">
      <c r="A18" s="44" t="inlineStr">
        <is>
          <t>TL Cinsi Kira Sertifikalari</t>
        </is>
      </c>
      <c r="B18" s="44" t="n">
        <v>2017</v>
      </c>
      <c r="C18" s="44" t="inlineStr">
        <is>
          <t>TRD121022T14</t>
        </is>
      </c>
      <c r="D18" s="44" t="inlineStr">
        <is>
          <t>18.10.2017</t>
        </is>
      </c>
      <c r="E18" s="44" t="inlineStr">
        <is>
          <t>12.10.2022</t>
        </is>
      </c>
      <c r="F18" s="44" t="n">
        <v>1820</v>
      </c>
      <c r="G18" s="44" t="inlineStr">
        <is>
          <t>6 Ay</t>
        </is>
      </c>
      <c r="H18" s="15" t="n">
        <v>1.4</v>
      </c>
      <c r="I18" s="45" t="n"/>
      <c r="J18" s="45" t="n"/>
      <c r="K18" s="45" t="n">
        <v>550000</v>
      </c>
      <c r="L18" s="45" t="n">
        <v>550000</v>
      </c>
      <c r="M18" s="45" t="n"/>
      <c r="N18" s="45" t="n"/>
      <c r="O18" s="45" t="n"/>
      <c r="P18" s="45" t="n"/>
      <c r="Q18" s="45" t="n"/>
      <c r="R18" s="45" t="n"/>
      <c r="S18" s="45" t="n"/>
      <c r="T18" s="45" t="n"/>
      <c r="U18" s="15" t="n"/>
      <c r="V18" s="15" t="n"/>
      <c r="W18" s="49" t="n">
        <v>100</v>
      </c>
    </row>
    <row r="19">
      <c r="A19" s="44" t="inlineStr">
        <is>
          <t>TL Cinsi Kira Sertifikalari</t>
        </is>
      </c>
      <c r="B19" s="44" t="n">
        <v>2018</v>
      </c>
      <c r="C19" s="44" t="inlineStr">
        <is>
          <t>TRD120220T16</t>
        </is>
      </c>
      <c r="D19" s="44" t="inlineStr">
        <is>
          <t>14.02.2018</t>
        </is>
      </c>
      <c r="E19" s="44" t="inlineStr">
        <is>
          <t>12.02.2020</t>
        </is>
      </c>
      <c r="F19" s="44" t="n">
        <v>728</v>
      </c>
      <c r="G19" s="44" t="inlineStr">
        <is>
          <t>6 Ay</t>
        </is>
      </c>
      <c r="H19" s="15" t="n">
        <v>6.36</v>
      </c>
      <c r="I19" s="45" t="n"/>
      <c r="J19" s="45" t="n"/>
      <c r="K19" s="45" t="n">
        <v>1876205</v>
      </c>
      <c r="L19" s="45" t="n">
        <v>1876205</v>
      </c>
      <c r="M19" s="45" t="n"/>
      <c r="N19" s="45" t="n"/>
      <c r="O19" s="45" t="n"/>
      <c r="P19" s="45" t="n"/>
      <c r="Q19" s="45" t="n"/>
      <c r="R19" s="45" t="n"/>
      <c r="S19" s="45" t="n"/>
      <c r="T19" s="45" t="n"/>
      <c r="U19" s="15" t="n"/>
      <c r="V19" s="15" t="n"/>
      <c r="W19" s="49" t="n">
        <v>100</v>
      </c>
    </row>
    <row r="20">
      <c r="A20" s="44" t="inlineStr">
        <is>
          <t>TL Cinsi Kira Sertifikalari</t>
        </is>
      </c>
      <c r="B20" s="44" t="n">
        <v>2018</v>
      </c>
      <c r="C20" s="44" t="inlineStr">
        <is>
          <t>TRD070623T16</t>
        </is>
      </c>
      <c r="D20" s="44" t="inlineStr">
        <is>
          <t>13.06.2018</t>
        </is>
      </c>
      <c r="E20" s="44" t="inlineStr">
        <is>
          <t>07.06.2023</t>
        </is>
      </c>
      <c r="F20" s="44" t="n">
        <v>1820</v>
      </c>
      <c r="G20" s="44" t="inlineStr">
        <is>
          <t>6 Ay</t>
        </is>
      </c>
      <c r="H20" s="15" t="n">
        <v>1.58</v>
      </c>
      <c r="I20" s="45" t="n"/>
      <c r="J20" s="45" t="n"/>
      <c r="K20" s="45" t="n">
        <v>436600</v>
      </c>
      <c r="L20" s="45" t="n">
        <v>436600</v>
      </c>
      <c r="M20" s="45" t="n"/>
      <c r="N20" s="45" t="n"/>
      <c r="O20" s="45" t="n"/>
      <c r="P20" s="45" t="n"/>
      <c r="Q20" s="45" t="n"/>
      <c r="R20" s="45" t="n"/>
      <c r="S20" s="45" t="n"/>
      <c r="T20" s="45" t="n"/>
      <c r="U20" s="15" t="n"/>
      <c r="V20" s="15" t="n"/>
      <c r="W20" s="49" t="n">
        <v>100</v>
      </c>
    </row>
    <row r="21">
      <c r="A21" s="44" t="inlineStr">
        <is>
          <t>TL Cinsi Kira Sertifikalari</t>
        </is>
      </c>
      <c r="B21" s="44" t="n">
        <v>2018</v>
      </c>
      <c r="C21" s="44" t="inlineStr">
        <is>
          <t>TRD230920T24</t>
        </is>
      </c>
      <c r="D21" s="44" t="inlineStr">
        <is>
          <t>26.09.2018</t>
        </is>
      </c>
      <c r="E21" s="44" t="inlineStr">
        <is>
          <t>23.09.2020</t>
        </is>
      </c>
      <c r="F21" s="44" t="n">
        <v>728</v>
      </c>
      <c r="G21" s="44" t="inlineStr">
        <is>
          <t>6 Ay</t>
        </is>
      </c>
      <c r="H21" s="15" t="n">
        <v>12.2</v>
      </c>
      <c r="I21" s="45" t="n"/>
      <c r="J21" s="45" t="n"/>
      <c r="K21" s="45" t="n">
        <v>1700000</v>
      </c>
      <c r="L21" s="45" t="n">
        <v>1700000</v>
      </c>
      <c r="M21" s="45" t="n"/>
      <c r="N21" s="45" t="n"/>
      <c r="O21" s="45" t="n"/>
      <c r="P21" s="45" t="n"/>
      <c r="Q21" s="45" t="n"/>
      <c r="R21" s="45" t="n"/>
      <c r="S21" s="45" t="n"/>
      <c r="T21" s="45" t="n"/>
      <c r="U21" s="15" t="n"/>
      <c r="V21" s="15" t="n"/>
      <c r="W21" s="49" t="n">
        <v>100</v>
      </c>
    </row>
    <row r="22">
      <c r="A22" s="44" t="inlineStr">
        <is>
          <t>TL Cinsi Kira Sertifikalari</t>
        </is>
      </c>
      <c r="B22" s="44" t="n">
        <v>2018</v>
      </c>
      <c r="C22" s="44" t="inlineStr">
        <is>
          <t>TRD181120T19</t>
        </is>
      </c>
      <c r="D22" s="44" t="inlineStr">
        <is>
          <t>21.11.2018</t>
        </is>
      </c>
      <c r="E22" s="44" t="inlineStr">
        <is>
          <t>18.11.2020</t>
        </is>
      </c>
      <c r="F22" s="44" t="n">
        <v>728</v>
      </c>
      <c r="G22" s="44" t="inlineStr">
        <is>
          <t>6 Ay</t>
        </is>
      </c>
      <c r="H22" s="15" t="n">
        <v>8.949999999999999</v>
      </c>
      <c r="I22" s="45" t="n"/>
      <c r="J22" s="45" t="n"/>
      <c r="K22" s="45" t="n">
        <v>3240870</v>
      </c>
      <c r="L22" s="45" t="n">
        <v>3240870</v>
      </c>
      <c r="M22" s="45" t="n"/>
      <c r="N22" s="45" t="n"/>
      <c r="O22" s="45" t="n"/>
      <c r="P22" s="45" t="n"/>
      <c r="Q22" s="45" t="n"/>
      <c r="R22" s="45" t="n"/>
      <c r="S22" s="45" t="n"/>
      <c r="T22" s="45" t="n"/>
      <c r="U22" s="15" t="n"/>
      <c r="V22" s="15" t="n"/>
      <c r="W22" s="49" t="n">
        <v>100</v>
      </c>
    </row>
    <row r="23">
      <c r="A23" s="44" t="inlineStr">
        <is>
          <t>TL Cinsi Kira Sertifikalari</t>
        </is>
      </c>
      <c r="B23" s="44" t="n">
        <v>2019</v>
      </c>
      <c r="C23" s="44" t="inlineStr">
        <is>
          <t>TRD100221T17</t>
        </is>
      </c>
      <c r="D23" s="44" t="inlineStr">
        <is>
          <t>13.02.2019</t>
        </is>
      </c>
      <c r="E23" s="44" t="inlineStr">
        <is>
          <t>10.02.2021</t>
        </is>
      </c>
      <c r="F23" s="44" t="n">
        <v>728</v>
      </c>
      <c r="G23" s="44" t="inlineStr">
        <is>
          <t>6 Ay</t>
        </is>
      </c>
      <c r="H23" s="15" t="n">
        <v>8.800000000000001</v>
      </c>
      <c r="I23" s="45" t="n"/>
      <c r="J23" s="45" t="n"/>
      <c r="K23" s="45" t="n">
        <v>1479130</v>
      </c>
      <c r="L23" s="45" t="n">
        <v>1479130</v>
      </c>
      <c r="M23" s="45" t="n"/>
      <c r="N23" s="45" t="n"/>
      <c r="O23" s="45" t="n"/>
      <c r="P23" s="45" t="n"/>
      <c r="Q23" s="45" t="n"/>
      <c r="R23" s="45" t="n"/>
      <c r="S23" s="45" t="n"/>
      <c r="T23" s="45" t="n"/>
      <c r="U23" s="15" t="n"/>
      <c r="V23" s="15" t="n"/>
      <c r="W23" s="49" t="n">
        <v>100</v>
      </c>
    </row>
    <row r="24">
      <c r="A24" s="44" t="inlineStr">
        <is>
          <t>TL Cinsi Kira Sertifikalari</t>
        </is>
      </c>
      <c r="B24" s="44" t="n">
        <v>2019</v>
      </c>
      <c r="C24" s="44" t="inlineStr">
        <is>
          <t>TRD160621T17</t>
        </is>
      </c>
      <c r="D24" s="44" t="inlineStr">
        <is>
          <t>19.06.2019</t>
        </is>
      </c>
      <c r="E24" s="44" t="inlineStr">
        <is>
          <t>16.06.2021</t>
        </is>
      </c>
      <c r="F24" s="44" t="n">
        <v>728</v>
      </c>
      <c r="G24" s="44" t="inlineStr">
        <is>
          <t>6 Ay</t>
        </is>
      </c>
      <c r="H24" s="15" t="n">
        <v>10.55</v>
      </c>
      <c r="I24" s="45" t="n"/>
      <c r="J24" s="45" t="n"/>
      <c r="K24" s="45" t="n">
        <v>1605960</v>
      </c>
      <c r="L24" s="45" t="n">
        <v>1605960</v>
      </c>
      <c r="M24" s="45" t="n"/>
      <c r="N24" s="45" t="n"/>
      <c r="O24" s="45" t="n"/>
      <c r="P24" s="45" t="n"/>
      <c r="Q24" s="45" t="n"/>
      <c r="R24" s="45" t="n"/>
      <c r="S24" s="45" t="n"/>
      <c r="T24" s="45" t="n"/>
      <c r="U24" s="15" t="n"/>
      <c r="V24" s="15" t="n"/>
      <c r="W24" s="49" t="n">
        <v>100</v>
      </c>
    </row>
    <row r="25">
      <c r="A25" s="44" t="inlineStr">
        <is>
          <t>TL Cinsi Kira Sertifikalari</t>
        </is>
      </c>
      <c r="B25" s="44" t="n">
        <v>2019</v>
      </c>
      <c r="C25" s="44" t="inlineStr">
        <is>
          <t>TRD180821T13</t>
        </is>
      </c>
      <c r="D25" s="44" t="inlineStr">
        <is>
          <t>21.08.2019</t>
        </is>
      </c>
      <c r="E25" s="44" t="inlineStr">
        <is>
          <t>18.08.2021</t>
        </is>
      </c>
      <c r="F25" s="44" t="n">
        <v>728</v>
      </c>
      <c r="G25" s="44" t="inlineStr">
        <is>
          <t>6 Ay</t>
        </is>
      </c>
      <c r="H25" s="15" t="n">
        <v>7.4</v>
      </c>
      <c r="I25" s="45" t="n"/>
      <c r="J25" s="45" t="n"/>
      <c r="K25" s="45" t="n">
        <v>846500</v>
      </c>
      <c r="L25" s="45" t="n">
        <v>846500</v>
      </c>
      <c r="M25" s="45" t="n"/>
      <c r="N25" s="45" t="n"/>
      <c r="O25" s="45" t="n"/>
      <c r="P25" s="45" t="n"/>
      <c r="Q25" s="45" t="n"/>
      <c r="R25" s="45" t="n"/>
      <c r="S25" s="45" t="n"/>
      <c r="T25" s="45" t="n"/>
      <c r="U25" s="15" t="n"/>
      <c r="V25" s="15" t="n"/>
      <c r="W25" s="49" t="n">
        <v>100</v>
      </c>
    </row>
    <row r="26">
      <c r="A26" s="44" t="inlineStr">
        <is>
          <t>TL Cinsi Kira Sertifikalari</t>
        </is>
      </c>
      <c r="B26" s="44" t="n">
        <v>2019</v>
      </c>
      <c r="C26" s="44" t="inlineStr">
        <is>
          <t>TRD301024T10</t>
        </is>
      </c>
      <c r="D26" s="44" t="inlineStr">
        <is>
          <t>06.11.2019</t>
        </is>
      </c>
      <c r="E26" s="44" t="inlineStr">
        <is>
          <t>30.10.2024</t>
        </is>
      </c>
      <c r="F26" s="44" t="n">
        <v>1820</v>
      </c>
      <c r="G26" s="44" t="inlineStr">
        <is>
          <t>6 Ay</t>
        </is>
      </c>
      <c r="H26" s="15" t="n">
        <v>1.63</v>
      </c>
      <c r="I26" s="45" t="n"/>
      <c r="J26" s="45" t="n"/>
      <c r="K26" s="45" t="n">
        <v>1721400</v>
      </c>
      <c r="L26" s="45" t="n">
        <v>1721400</v>
      </c>
      <c r="M26" s="45" t="n"/>
      <c r="N26" s="45" t="n"/>
      <c r="O26" s="45" t="n"/>
      <c r="P26" s="45" t="n"/>
      <c r="Q26" s="45" t="n"/>
      <c r="R26" s="45" t="n"/>
      <c r="S26" s="45" t="n"/>
      <c r="T26" s="45" t="n"/>
      <c r="U26" s="15" t="n"/>
      <c r="V26" s="15" t="n"/>
      <c r="W26" s="49" t="n">
        <v>100</v>
      </c>
    </row>
    <row r="27">
      <c r="A27" s="44" t="inlineStr">
        <is>
          <t>TL Cinsi Kira Sertifikalari</t>
        </is>
      </c>
      <c r="B27" s="44" t="n">
        <v>2019</v>
      </c>
      <c r="C27" s="44" t="inlineStr">
        <is>
          <t>TRD151221T10</t>
        </is>
      </c>
      <c r="D27" s="44" t="inlineStr">
        <is>
          <t>18.12.2019</t>
        </is>
      </c>
      <c r="E27" s="44" t="inlineStr">
        <is>
          <t>15.12.2021</t>
        </is>
      </c>
      <c r="F27" s="44" t="n">
        <v>728</v>
      </c>
      <c r="G27" s="44" t="inlineStr">
        <is>
          <t>6 Ay</t>
        </is>
      </c>
      <c r="H27" s="15" t="n">
        <v>5.75</v>
      </c>
      <c r="I27" s="45" t="n"/>
      <c r="J27" s="45" t="n"/>
      <c r="K27" s="45" t="n">
        <v>1948180</v>
      </c>
      <c r="L27" s="45" t="n">
        <v>1948180</v>
      </c>
      <c r="M27" s="45" t="n"/>
      <c r="N27" s="45" t="n"/>
      <c r="O27" s="45" t="n"/>
      <c r="P27" s="45" t="n"/>
      <c r="Q27" s="45" t="n"/>
      <c r="R27" s="45" t="n"/>
      <c r="S27" s="45" t="n"/>
      <c r="T27" s="45" t="n"/>
      <c r="U27" s="15" t="n"/>
      <c r="V27" s="15" t="n"/>
      <c r="W27" s="49" t="n">
        <v>100</v>
      </c>
    </row>
    <row r="28">
      <c r="A28" s="44" t="inlineStr">
        <is>
          <t>TL Cinsi Kira Sertifikalari</t>
        </is>
      </c>
      <c r="B28" s="44" t="n">
        <v>2020</v>
      </c>
      <c r="C28" s="44" t="inlineStr">
        <is>
          <t>TRD260122T19</t>
        </is>
      </c>
      <c r="D28" s="44" t="inlineStr">
        <is>
          <t>29.01.2020</t>
        </is>
      </c>
      <c r="E28" s="44" t="inlineStr">
        <is>
          <t>26.01.2022</t>
        </is>
      </c>
      <c r="F28" s="44" t="n">
        <v>728</v>
      </c>
      <c r="G28" s="44" t="inlineStr">
        <is>
          <t>6 Ay</t>
        </is>
      </c>
      <c r="H28" s="15" t="n">
        <v>4.88</v>
      </c>
      <c r="I28" s="45" t="n"/>
      <c r="J28" s="45" t="n"/>
      <c r="K28" s="45" t="n">
        <v>2925980</v>
      </c>
      <c r="L28" s="45" t="n">
        <v>2925980</v>
      </c>
      <c r="M28" s="45" t="n"/>
      <c r="N28" s="45" t="n"/>
      <c r="O28" s="45" t="n"/>
      <c r="P28" s="45" t="n"/>
      <c r="Q28" s="45" t="n"/>
      <c r="R28" s="45" t="n"/>
      <c r="S28" s="45" t="n"/>
      <c r="T28" s="45" t="n"/>
      <c r="U28" s="15" t="n"/>
      <c r="V28" s="15" t="n"/>
      <c r="W28" s="49" t="n">
        <v>100</v>
      </c>
    </row>
    <row r="29">
      <c r="A29" s="44" t="inlineStr">
        <is>
          <t>TL Cinsi Kira Sertifikalari</t>
        </is>
      </c>
      <c r="B29" s="44" t="n">
        <v>2020</v>
      </c>
      <c r="C29" s="44" t="inlineStr">
        <is>
          <t>TRD090222T19</t>
        </is>
      </c>
      <c r="D29" s="44" t="inlineStr">
        <is>
          <t>12.02.2020</t>
        </is>
      </c>
      <c r="E29" s="44" t="inlineStr">
        <is>
          <t>09.02.2022</t>
        </is>
      </c>
      <c r="F29" s="44" t="n">
        <v>728</v>
      </c>
      <c r="G29" s="44" t="inlineStr">
        <is>
          <t>6 Ay</t>
        </is>
      </c>
      <c r="H29" s="15" t="n">
        <v>4.89</v>
      </c>
      <c r="I29" s="45" t="n"/>
      <c r="J29" s="45" t="n"/>
      <c r="K29" s="45" t="n">
        <v>2204680</v>
      </c>
      <c r="L29" s="45" t="n">
        <v>2204680</v>
      </c>
      <c r="M29" s="45" t="n"/>
      <c r="N29" s="45" t="n"/>
      <c r="O29" s="45" t="n"/>
      <c r="P29" s="45" t="n"/>
      <c r="Q29" s="45" t="n"/>
      <c r="R29" s="45" t="n"/>
      <c r="S29" s="45" t="n"/>
      <c r="T29" s="45" t="n"/>
      <c r="U29" s="15" t="n"/>
      <c r="V29" s="15" t="n"/>
      <c r="W29" s="49" t="n">
        <v>100</v>
      </c>
    </row>
    <row r="30">
      <c r="A30" s="44" t="inlineStr">
        <is>
          <t>TL Cinsi Kira Sertifikalari</t>
        </is>
      </c>
      <c r="B30" s="44" t="n">
        <v>2020</v>
      </c>
      <c r="C30" s="44" t="inlineStr">
        <is>
          <t>TRD230322T10</t>
        </is>
      </c>
      <c r="D30" s="44" t="inlineStr">
        <is>
          <t>25.03.2020</t>
        </is>
      </c>
      <c r="E30" s="44" t="inlineStr">
        <is>
          <t>23.03.2022</t>
        </is>
      </c>
      <c r="F30" s="44" t="n">
        <v>728</v>
      </c>
      <c r="G30" s="44" t="inlineStr">
        <is>
          <t>6 Ay</t>
        </is>
      </c>
      <c r="H30" s="15" t="n">
        <v>5.33</v>
      </c>
      <c r="I30" s="45" t="n"/>
      <c r="J30" s="45" t="n"/>
      <c r="K30" s="45" t="n">
        <v>600000</v>
      </c>
      <c r="L30" s="45" t="n">
        <v>600000</v>
      </c>
      <c r="M30" s="45" t="n"/>
      <c r="N30" s="45" t="n"/>
      <c r="O30" s="45" t="n"/>
      <c r="P30" s="45" t="n"/>
      <c r="Q30" s="45" t="n"/>
      <c r="R30" s="45" t="n"/>
      <c r="S30" s="45" t="n"/>
      <c r="T30" s="45" t="n"/>
      <c r="U30" s="15" t="n"/>
      <c r="V30" s="15" t="n"/>
      <c r="W30" s="49" t="n">
        <v>100</v>
      </c>
    </row>
    <row r="31">
      <c r="A31" s="44" t="inlineStr">
        <is>
          <t>TL Cinsi Kira Sertifikalari</t>
        </is>
      </c>
      <c r="B31" s="44" t="n">
        <v>2020</v>
      </c>
      <c r="C31" s="44" t="inlineStr">
        <is>
          <t>TRD020425T11</t>
        </is>
      </c>
      <c r="D31" s="44" t="inlineStr">
        <is>
          <t>08.04.2020</t>
        </is>
      </c>
      <c r="E31" s="44" t="inlineStr">
        <is>
          <t>02.04.2025</t>
        </is>
      </c>
      <c r="F31" s="44" t="n">
        <v>1820</v>
      </c>
      <c r="G31" s="44" t="inlineStr">
        <is>
          <t>6 Ay</t>
        </is>
      </c>
      <c r="H31" s="15" t="n">
        <v>1.7</v>
      </c>
      <c r="I31" s="45" t="n"/>
      <c r="J31" s="45" t="n"/>
      <c r="K31" s="45" t="n">
        <v>1470000</v>
      </c>
      <c r="L31" s="45" t="n">
        <v>1470000</v>
      </c>
      <c r="M31" s="45" t="n"/>
      <c r="N31" s="45" t="n"/>
      <c r="O31" s="45" t="n"/>
      <c r="P31" s="45" t="n"/>
      <c r="Q31" s="45" t="n"/>
      <c r="R31" s="45" t="n"/>
      <c r="S31" s="45" t="n"/>
      <c r="T31" s="45" t="n"/>
      <c r="U31" s="15" t="n"/>
      <c r="V31" s="15" t="n"/>
      <c r="W31" s="49" t="n">
        <v>100</v>
      </c>
    </row>
    <row r="32">
      <c r="A32" s="44" t="inlineStr">
        <is>
          <t>TL Cinsi Kira Sertifikalari</t>
        </is>
      </c>
      <c r="B32" s="44" t="n">
        <v>2020</v>
      </c>
      <c r="C32" s="44" t="inlineStr">
        <is>
          <t>TRD281020T26</t>
        </is>
      </c>
      <c r="D32" s="44" t="inlineStr">
        <is>
          <t>29.04.2020</t>
        </is>
      </c>
      <c r="E32" s="44" t="inlineStr">
        <is>
          <t>28.10.2020</t>
        </is>
      </c>
      <c r="F32" s="44" t="n">
        <v>182</v>
      </c>
      <c r="G32" s="44" t="inlineStr">
        <is>
          <t>6 Ay</t>
        </is>
      </c>
      <c r="H32" s="15" t="n">
        <v>3.82</v>
      </c>
      <c r="I32" s="45" t="n"/>
      <c r="J32" s="45" t="n"/>
      <c r="K32" s="45" t="n">
        <v>5705200</v>
      </c>
      <c r="L32" s="45" t="n">
        <v>5705200</v>
      </c>
      <c r="M32" s="45" t="n"/>
      <c r="N32" s="45" t="n"/>
      <c r="O32" s="45" t="n"/>
      <c r="P32" s="45" t="n"/>
      <c r="Q32" s="45" t="n"/>
      <c r="R32" s="45" t="n"/>
      <c r="S32" s="45" t="n"/>
      <c r="T32" s="45" t="n"/>
      <c r="U32" s="15" t="n"/>
      <c r="V32" s="15" t="n"/>
      <c r="W32" s="49" t="n">
        <v>100</v>
      </c>
    </row>
    <row r="33">
      <c r="A33" s="44" t="inlineStr">
        <is>
          <t>TL Cinsi Kira Sertifikalari</t>
        </is>
      </c>
      <c r="B33" s="44" t="n">
        <v>2020</v>
      </c>
      <c r="C33" s="44" t="inlineStr">
        <is>
          <t>TRD251023T18</t>
        </is>
      </c>
      <c r="D33" s="44" t="inlineStr">
        <is>
          <t>29.04.2020</t>
        </is>
      </c>
      <c r="E33" s="44" t="inlineStr">
        <is>
          <t>25.10.2023</t>
        </is>
      </c>
      <c r="F33" s="44" t="n">
        <v>1274</v>
      </c>
      <c r="G33" s="44" t="inlineStr">
        <is>
          <t>6 Ay</t>
        </is>
      </c>
      <c r="H33" s="15" t="n">
        <v>0.79</v>
      </c>
      <c r="I33" s="45" t="n"/>
      <c r="J33" s="45" t="n"/>
      <c r="K33" s="45" t="n">
        <v>9460100</v>
      </c>
      <c r="L33" s="45" t="n">
        <v>9460100</v>
      </c>
      <c r="M33" s="45" t="n"/>
      <c r="N33" s="45" t="n"/>
      <c r="O33" s="45" t="n"/>
      <c r="P33" s="45" t="n"/>
      <c r="Q33" s="45" t="n"/>
      <c r="R33" s="45" t="n"/>
      <c r="S33" s="45" t="n"/>
      <c r="T33" s="45" t="n"/>
      <c r="U33" s="15" t="n"/>
      <c r="V33" s="15" t="n"/>
      <c r="W33" s="49" t="n">
        <v>100</v>
      </c>
    </row>
    <row r="34">
      <c r="A34" s="44" t="inlineStr">
        <is>
          <t>TL Cinsi Kira Sertifikalari</t>
        </is>
      </c>
      <c r="B34" s="44" t="n">
        <v>2020</v>
      </c>
      <c r="C34" s="44" t="inlineStr">
        <is>
          <t>TRD111120T16</t>
        </is>
      </c>
      <c r="D34" s="44" t="inlineStr">
        <is>
          <t>13.05.2020</t>
        </is>
      </c>
      <c r="E34" s="44" t="inlineStr">
        <is>
          <t>11.11.2020</t>
        </is>
      </c>
      <c r="F34" s="44" t="n">
        <v>182</v>
      </c>
      <c r="G34" s="44" t="inlineStr">
        <is>
          <t>6 Ay</t>
        </is>
      </c>
      <c r="H34" s="15" t="n">
        <v>3.83</v>
      </c>
      <c r="I34" s="45" t="n"/>
      <c r="J34" s="45" t="n"/>
      <c r="K34" s="45" t="n">
        <v>5353600</v>
      </c>
      <c r="L34" s="45" t="n">
        <v>5353600</v>
      </c>
      <c r="M34" s="45" t="n"/>
      <c r="N34" s="45" t="n"/>
      <c r="O34" s="45" t="n"/>
      <c r="P34" s="45" t="n"/>
      <c r="Q34" s="45" t="n"/>
      <c r="R34" s="45" t="n"/>
      <c r="S34" s="45" t="n"/>
      <c r="T34" s="45" t="n"/>
      <c r="U34" s="15" t="n"/>
      <c r="V34" s="15" t="n"/>
      <c r="W34" s="49" t="n">
        <v>100</v>
      </c>
    </row>
    <row r="35">
      <c r="A35" s="44" t="inlineStr">
        <is>
          <t>TL Cinsi Kira Sertifikalari</t>
        </is>
      </c>
      <c r="B35" s="44" t="n">
        <v>2020</v>
      </c>
      <c r="C35" s="44" t="inlineStr">
        <is>
          <t>TRD110522T12</t>
        </is>
      </c>
      <c r="D35" s="44" t="inlineStr">
        <is>
          <t>13.05.2020</t>
        </is>
      </c>
      <c r="E35" s="44" t="inlineStr">
        <is>
          <t>11.05.2022</t>
        </is>
      </c>
      <c r="F35" s="44" t="n">
        <v>728</v>
      </c>
      <c r="G35" s="44" t="inlineStr">
        <is>
          <t>6 Ay</t>
        </is>
      </c>
      <c r="H35" s="15" t="n">
        <v>4.7</v>
      </c>
      <c r="I35" s="45" t="n"/>
      <c r="J35" s="45" t="n"/>
      <c r="K35" s="45" t="n">
        <v>6456530</v>
      </c>
      <c r="L35" s="45" t="n">
        <v>6456530</v>
      </c>
      <c r="M35" s="45" t="n"/>
      <c r="N35" s="45" t="n"/>
      <c r="O35" s="45" t="n"/>
      <c r="P35" s="45" t="n"/>
      <c r="Q35" s="45" t="n"/>
      <c r="R35" s="45" t="n"/>
      <c r="S35" s="45" t="n"/>
      <c r="T35" s="45" t="n"/>
      <c r="U35" s="15" t="n"/>
      <c r="V35" s="15" t="n"/>
      <c r="W35" s="49" t="n">
        <v>100</v>
      </c>
    </row>
    <row r="36">
      <c r="A36" s="44" t="inlineStr">
        <is>
          <t>TL Cinsi Kira Sertifikalari</t>
        </is>
      </c>
      <c r="B36" s="44" t="n">
        <v>2020</v>
      </c>
      <c r="C36" s="44" t="inlineStr">
        <is>
          <t>TRD060722T17</t>
        </is>
      </c>
      <c r="D36" s="44" t="inlineStr">
        <is>
          <t>08.07.2020</t>
        </is>
      </c>
      <c r="E36" s="44" t="inlineStr">
        <is>
          <t>06.07.2022</t>
        </is>
      </c>
      <c r="F36" s="44" t="n">
        <v>728</v>
      </c>
      <c r="G36" s="44" t="inlineStr">
        <is>
          <t>6 Ay</t>
        </is>
      </c>
      <c r="H36" s="15" t="n">
        <v>4.75</v>
      </c>
      <c r="I36" s="45" t="n"/>
      <c r="J36" s="45" t="n"/>
      <c r="K36" s="45" t="n">
        <v>1095920</v>
      </c>
      <c r="L36" s="45" t="n">
        <v>1095920</v>
      </c>
      <c r="M36" s="45" t="n"/>
      <c r="N36" s="45" t="n"/>
      <c r="O36" s="45" t="n"/>
      <c r="P36" s="45" t="n"/>
      <c r="Q36" s="45" t="n"/>
      <c r="R36" s="45" t="n"/>
      <c r="S36" s="45" t="n"/>
      <c r="T36" s="45" t="n"/>
      <c r="U36" s="15" t="n"/>
      <c r="V36" s="15" t="n"/>
      <c r="W36" s="49" t="n">
        <v>100</v>
      </c>
    </row>
    <row r="37">
      <c r="A37" s="44" t="inlineStr">
        <is>
          <t>TL Cinsi Kira Sertifikalari</t>
        </is>
      </c>
      <c r="B37" s="44" t="n">
        <v>2020</v>
      </c>
      <c r="C37" s="44" t="inlineStr">
        <is>
          <t>TRD210824T15</t>
        </is>
      </c>
      <c r="D37" s="44" t="inlineStr">
        <is>
          <t>26.08.2020</t>
        </is>
      </c>
      <c r="E37" s="44" t="inlineStr">
        <is>
          <t>21.08.2024</t>
        </is>
      </c>
      <c r="F37" s="44" t="n">
        <v>1456</v>
      </c>
      <c r="G37" s="44" t="inlineStr">
        <is>
          <t>6 Ay</t>
        </is>
      </c>
      <c r="H37" s="15" t="n">
        <v>6.8</v>
      </c>
      <c r="I37" s="45" t="n"/>
      <c r="J37" s="45" t="n"/>
      <c r="K37" s="45" t="n">
        <v>547500</v>
      </c>
      <c r="L37" s="45" t="n">
        <v>547500</v>
      </c>
      <c r="M37" s="45" t="n"/>
      <c r="N37" s="45" t="n"/>
      <c r="O37" s="45" t="n"/>
      <c r="P37" s="45" t="n"/>
      <c r="Q37" s="45" t="n"/>
      <c r="R37" s="45" t="n"/>
      <c r="S37" s="45" t="n"/>
      <c r="T37" s="45" t="n"/>
      <c r="U37" s="15" t="n"/>
      <c r="V37" s="15" t="n"/>
      <c r="W37" s="49" t="n">
        <v>100</v>
      </c>
    </row>
    <row r="38">
      <c r="A38" s="44" t="inlineStr">
        <is>
          <t>TL Cinsi Kira Sertifikalari</t>
        </is>
      </c>
      <c r="B38" s="44" t="n">
        <v>2020</v>
      </c>
      <c r="C38" s="44" t="inlineStr">
        <is>
          <t>TRD170925T19</t>
        </is>
      </c>
      <c r="D38" s="44" t="inlineStr">
        <is>
          <t>23.09.2020</t>
        </is>
      </c>
      <c r="E38" s="44" t="inlineStr">
        <is>
          <t>17.09.2025</t>
        </is>
      </c>
      <c r="F38" s="44" t="n">
        <v>1820</v>
      </c>
      <c r="G38" s="44" t="inlineStr">
        <is>
          <t>6 Ay</t>
        </is>
      </c>
      <c r="H38" s="15" t="n">
        <v>0.95</v>
      </c>
      <c r="I38" s="45" t="n"/>
      <c r="J38" s="45" t="n"/>
      <c r="K38" s="45" t="n">
        <v>816000</v>
      </c>
      <c r="L38" s="45" t="n">
        <v>816000</v>
      </c>
      <c r="M38" s="45" t="n"/>
      <c r="N38" s="45" t="n"/>
      <c r="O38" s="45" t="n"/>
      <c r="P38" s="45" t="n"/>
      <c r="Q38" s="45" t="n"/>
      <c r="R38" s="45" t="n"/>
      <c r="S38" s="45" t="n"/>
      <c r="T38" s="45" t="n"/>
      <c r="U38" s="15" t="n"/>
      <c r="V38" s="15" t="n"/>
      <c r="W38" s="49" t="n">
        <v>100</v>
      </c>
    </row>
    <row r="39">
      <c r="A39" s="44" t="inlineStr">
        <is>
          <t>TL Cinsi Kira Sertifikalari</t>
        </is>
      </c>
      <c r="B39" s="44" t="n">
        <v>2020</v>
      </c>
      <c r="C39" s="44" t="inlineStr">
        <is>
          <t>TRD031225T10</t>
        </is>
      </c>
      <c r="D39" s="44" t="inlineStr">
        <is>
          <t>09.12.2020</t>
        </is>
      </c>
      <c r="E39" s="44" t="inlineStr">
        <is>
          <t>03.12.2025</t>
        </is>
      </c>
      <c r="F39" s="44" t="n">
        <v>1820</v>
      </c>
      <c r="G39" s="44" t="inlineStr">
        <is>
          <t>6 Ay</t>
        </is>
      </c>
      <c r="H39" s="15" t="n">
        <v>6.6</v>
      </c>
      <c r="I39" s="45" t="n"/>
      <c r="J39" s="45" t="n"/>
      <c r="K39" s="45" t="n">
        <v>519650</v>
      </c>
      <c r="L39" s="45" t="n">
        <v>519650</v>
      </c>
      <c r="M39" s="45" t="n"/>
      <c r="N39" s="45" t="n"/>
      <c r="O39" s="45" t="n"/>
      <c r="P39" s="45" t="n"/>
      <c r="Q39" s="45" t="n"/>
      <c r="R39" s="45" t="n"/>
      <c r="S39" s="45" t="n"/>
      <c r="T39" s="45" t="n"/>
      <c r="U39" s="15" t="n"/>
      <c r="V39" s="15" t="n"/>
      <c r="W39" s="49" t="n">
        <v>100</v>
      </c>
    </row>
    <row r="40">
      <c r="A40" s="44" t="inlineStr">
        <is>
          <t>TL Cinsi Kira Sertifikalari</t>
        </is>
      </c>
      <c r="B40" s="44" t="n">
        <v>2021</v>
      </c>
      <c r="C40" s="44" t="inlineStr">
        <is>
          <t>TRD080223T19</t>
        </is>
      </c>
      <c r="D40" s="44" t="inlineStr">
        <is>
          <t>10.02.2021</t>
        </is>
      </c>
      <c r="E40" s="44" t="inlineStr">
        <is>
          <t>08.02.2023</t>
        </is>
      </c>
      <c r="F40" s="44" t="n">
        <v>728</v>
      </c>
      <c r="G40" s="44" t="inlineStr">
        <is>
          <t>6 Ay</t>
        </is>
      </c>
      <c r="H40" s="15" t="n">
        <v>6.95</v>
      </c>
      <c r="I40" s="45" t="n"/>
      <c r="J40" s="45" t="n"/>
      <c r="K40" s="45" t="n">
        <v>1468130</v>
      </c>
      <c r="L40" s="45" t="n">
        <v>1468130</v>
      </c>
      <c r="M40" s="45" t="n"/>
      <c r="N40" s="45" t="n"/>
      <c r="O40" s="45" t="n"/>
      <c r="P40" s="45" t="n"/>
      <c r="Q40" s="45" t="n"/>
      <c r="R40" s="45" t="n"/>
      <c r="S40" s="45" t="n"/>
      <c r="T40" s="45" t="n"/>
      <c r="U40" s="15" t="n"/>
      <c r="V40" s="15" t="n"/>
      <c r="W40" s="49" t="n">
        <v>100</v>
      </c>
    </row>
    <row r="41">
      <c r="A41" s="44" t="inlineStr">
        <is>
          <t>TL Cinsi Kira Sertifikalari</t>
        </is>
      </c>
      <c r="B41" s="44" t="n">
        <v>2021</v>
      </c>
      <c r="C41" s="44" t="inlineStr">
        <is>
          <t>TRD150426T15</t>
        </is>
      </c>
      <c r="D41" s="44" t="inlineStr">
        <is>
          <t>21.04.2021</t>
        </is>
      </c>
      <c r="E41" s="44" t="inlineStr">
        <is>
          <t>15.04.2026</t>
        </is>
      </c>
      <c r="F41" s="44" t="n">
        <v>1820</v>
      </c>
      <c r="G41" s="44" t="inlineStr">
        <is>
          <t>6 Ay</t>
        </is>
      </c>
      <c r="H41" s="15" t="n">
        <v>1.43</v>
      </c>
      <c r="I41" s="45" t="n"/>
      <c r="J41" s="45" t="n"/>
      <c r="K41" s="45" t="n">
        <v>1361000</v>
      </c>
      <c r="L41" s="45" t="n">
        <v>1361000</v>
      </c>
      <c r="M41" s="45" t="n"/>
      <c r="N41" s="45" t="n"/>
      <c r="O41" s="45" t="n"/>
      <c r="P41" s="45" t="n"/>
      <c r="Q41" s="45" t="n"/>
      <c r="R41" s="45" t="n"/>
      <c r="S41" s="45" t="n"/>
      <c r="T41" s="45" t="n"/>
      <c r="U41" s="15" t="n"/>
      <c r="V41" s="15" t="n"/>
      <c r="W41" s="49" t="n">
        <v>100</v>
      </c>
    </row>
    <row r="42">
      <c r="A42" s="44" t="inlineStr">
        <is>
          <t>TL Cinsi Kira Sertifikalari</t>
        </is>
      </c>
      <c r="B42" s="44" t="n">
        <v>2021</v>
      </c>
      <c r="C42" s="44" t="inlineStr">
        <is>
          <t>TRD280531T12</t>
        </is>
      </c>
      <c r="D42" s="44" t="inlineStr">
        <is>
          <t>09.06.2021</t>
        </is>
      </c>
      <c r="E42" s="44" t="inlineStr">
        <is>
          <t>28.05.2031</t>
        </is>
      </c>
      <c r="F42" s="44" t="n">
        <v>3640</v>
      </c>
      <c r="G42" s="44" t="inlineStr">
        <is>
          <t>6 Ay</t>
        </is>
      </c>
      <c r="H42" s="15" t="n">
        <v>1.59</v>
      </c>
      <c r="I42" s="45" t="n"/>
      <c r="J42" s="45" t="n"/>
      <c r="K42" s="45" t="n">
        <v>951250</v>
      </c>
      <c r="L42" s="45" t="n">
        <v>951250</v>
      </c>
      <c r="M42" s="45" t="n"/>
      <c r="N42" s="45" t="n"/>
      <c r="O42" s="45" t="n"/>
      <c r="P42" s="45" t="n"/>
      <c r="Q42" s="45" t="n"/>
      <c r="R42" s="45" t="n"/>
      <c r="S42" s="45" t="n"/>
      <c r="T42" s="45" t="n"/>
      <c r="U42" s="15" t="n"/>
      <c r="V42" s="15" t="n"/>
      <c r="W42" s="49" t="n">
        <v>100</v>
      </c>
    </row>
    <row r="43">
      <c r="A43" s="44" t="inlineStr">
        <is>
          <t>TL Cinsi Kira Sertifikalari</t>
        </is>
      </c>
      <c r="B43" s="44" t="n">
        <v>2021</v>
      </c>
      <c r="C43" s="44" t="inlineStr">
        <is>
          <t>TRD120723T18</t>
        </is>
      </c>
      <c r="D43" s="44" t="inlineStr">
        <is>
          <t>14.07.2021</t>
        </is>
      </c>
      <c r="E43" s="44" t="inlineStr">
        <is>
          <t>12.07.2023</t>
        </is>
      </c>
      <c r="F43" s="44" t="n">
        <v>728</v>
      </c>
      <c r="G43" s="44" t="inlineStr">
        <is>
          <t>6 Ay</t>
        </is>
      </c>
      <c r="H43" s="15" t="n">
        <v>9.039999999999999</v>
      </c>
      <c r="I43" s="45" t="n"/>
      <c r="J43" s="45" t="n"/>
      <c r="K43" s="45" t="n">
        <v>1143740</v>
      </c>
      <c r="L43" s="45" t="n">
        <v>1143740</v>
      </c>
      <c r="M43" s="45" t="n"/>
      <c r="N43" s="45" t="n"/>
      <c r="O43" s="45" t="n"/>
      <c r="P43" s="45" t="n"/>
      <c r="Q43" s="45" t="n"/>
      <c r="R43" s="45" t="n"/>
      <c r="S43" s="45" t="n"/>
      <c r="T43" s="45" t="n"/>
      <c r="U43" s="15" t="n"/>
      <c r="V43" s="15" t="n"/>
      <c r="W43" s="49" t="n">
        <v>100</v>
      </c>
    </row>
    <row r="44">
      <c r="A44" s="44" t="inlineStr">
        <is>
          <t>TL Cinsi Kira Sertifikalari</t>
        </is>
      </c>
      <c r="B44" s="44" t="n"/>
      <c r="C44" s="44" t="inlineStr">
        <is>
          <t>TRD160823T13</t>
        </is>
      </c>
      <c r="D44" s="44" t="inlineStr">
        <is>
          <t>18.08.2021</t>
        </is>
      </c>
      <c r="E44" s="44" t="inlineStr">
        <is>
          <t>16.08.2023</t>
        </is>
      </c>
      <c r="F44" s="44" t="n">
        <v>728</v>
      </c>
      <c r="G44" s="44" t="inlineStr">
        <is>
          <t>6 Ay</t>
        </is>
      </c>
      <c r="H44" s="15" t="n">
        <v>8.9</v>
      </c>
      <c r="I44" s="45" t="n"/>
      <c r="J44" s="45" t="n"/>
      <c r="K44" s="45" t="n">
        <v>921700</v>
      </c>
      <c r="L44" s="45" t="n">
        <v>921700</v>
      </c>
      <c r="M44" s="45" t="n"/>
      <c r="N44" s="45" t="n"/>
      <c r="O44" s="45" t="n"/>
      <c r="P44" s="45" t="n"/>
      <c r="Q44" s="45" t="n"/>
      <c r="R44" s="45" t="n"/>
      <c r="S44" s="45" t="n"/>
      <c r="T44" s="45" t="n"/>
      <c r="U44" s="15" t="n"/>
      <c r="V44" s="15" t="n"/>
      <c r="W44" s="49" t="n">
        <v>100</v>
      </c>
    </row>
    <row r="45">
      <c r="A45" s="44" t="inlineStr">
        <is>
          <t>TL Cinsi Kira Sertifikalari</t>
        </is>
      </c>
      <c r="B45" s="44" t="n">
        <v>2021</v>
      </c>
      <c r="C45" s="44" t="inlineStr">
        <is>
          <t>TRD160926T19</t>
        </is>
      </c>
      <c r="D45" s="44" t="inlineStr">
        <is>
          <t>22.09.2021</t>
        </is>
      </c>
      <c r="E45" s="44" t="inlineStr">
        <is>
          <t>16.09.2026</t>
        </is>
      </c>
      <c r="F45" s="44" t="n">
        <v>1820</v>
      </c>
      <c r="G45" s="44" t="inlineStr">
        <is>
          <t>6 Ay</t>
        </is>
      </c>
      <c r="H45" s="15" t="n">
        <v>8.4</v>
      </c>
      <c r="I45" s="45" t="n"/>
      <c r="J45" s="45" t="n"/>
      <c r="K45" s="45" t="n">
        <v>725000</v>
      </c>
      <c r="L45" s="45" t="n">
        <v>725000</v>
      </c>
      <c r="M45" s="45" t="n"/>
      <c r="N45" s="45" t="n"/>
      <c r="O45" s="45" t="n"/>
      <c r="P45" s="45" t="n"/>
      <c r="Q45" s="45" t="n"/>
      <c r="R45" s="45" t="n"/>
      <c r="S45" s="45" t="n"/>
      <c r="T45" s="45" t="n"/>
      <c r="U45" s="15" t="n"/>
      <c r="V45" s="15" t="n"/>
      <c r="W45" s="49" t="n">
        <v>100</v>
      </c>
    </row>
    <row r="46">
      <c r="A46" s="44" t="inlineStr">
        <is>
          <t>TL Cinsi Kira Sertifikalari</t>
        </is>
      </c>
      <c r="B46" s="44" t="n">
        <v>2021</v>
      </c>
      <c r="C46" s="44" t="inlineStr">
        <is>
          <t>TRD181023T17</t>
        </is>
      </c>
      <c r="D46" s="44" t="inlineStr">
        <is>
          <t>20.10.2021</t>
        </is>
      </c>
      <c r="E46" s="44" t="inlineStr">
        <is>
          <t>18.10.2023</t>
        </is>
      </c>
      <c r="F46" s="44" t="n">
        <v>728</v>
      </c>
      <c r="G46" s="44" t="inlineStr">
        <is>
          <t>6 Ay</t>
        </is>
      </c>
      <c r="H46" s="15" t="n">
        <v>9.050000000000001</v>
      </c>
      <c r="I46" s="45" t="n"/>
      <c r="J46" s="45" t="n"/>
      <c r="K46" s="45" t="n">
        <v>1914500</v>
      </c>
      <c r="L46" s="45" t="n">
        <v>1914500</v>
      </c>
      <c r="M46" s="45" t="n"/>
      <c r="N46" s="45" t="n"/>
      <c r="O46" s="45" t="n"/>
      <c r="P46" s="45" t="n"/>
      <c r="Q46" s="45" t="n"/>
      <c r="R46" s="45" t="n"/>
      <c r="S46" s="45" t="n"/>
      <c r="T46" s="45" t="n"/>
      <c r="U46" s="15" t="n"/>
      <c r="V46" s="15" t="n"/>
      <c r="W46" s="49" t="n">
        <v>100</v>
      </c>
    </row>
    <row r="47">
      <c r="A47" s="44" t="inlineStr">
        <is>
          <t>TL Cinsi Kira Sertifikalari</t>
        </is>
      </c>
      <c r="B47" s="44" t="n">
        <v>2021</v>
      </c>
      <c r="C47" s="44" t="inlineStr">
        <is>
          <t>TRD131223T10</t>
        </is>
      </c>
      <c r="D47" s="44" t="inlineStr">
        <is>
          <t>15.12.2021</t>
        </is>
      </c>
      <c r="E47" s="44" t="inlineStr">
        <is>
          <t>13.12.2023</t>
        </is>
      </c>
      <c r="F47" s="44" t="n">
        <v>728</v>
      </c>
      <c r="G47" s="44" t="inlineStr">
        <is>
          <t>6 Ay</t>
        </is>
      </c>
      <c r="H47" s="15" t="n">
        <v>10.16</v>
      </c>
      <c r="I47" s="45" t="n"/>
      <c r="J47" s="45" t="n"/>
      <c r="K47" s="45" t="n">
        <v>2992530</v>
      </c>
      <c r="L47" s="45" t="n">
        <v>2992530</v>
      </c>
      <c r="M47" s="45" t="n"/>
      <c r="N47" s="45" t="n"/>
      <c r="O47" s="45" t="n"/>
      <c r="P47" s="45" t="n"/>
      <c r="Q47" s="45" t="n"/>
      <c r="R47" s="45" t="n"/>
      <c r="S47" s="45" t="n"/>
      <c r="T47" s="45" t="n"/>
      <c r="U47" s="15" t="n"/>
      <c r="V47" s="15" t="n"/>
      <c r="W47" s="49" t="n">
        <v>100</v>
      </c>
    </row>
    <row r="48">
      <c r="A48" s="44" t="inlineStr">
        <is>
          <t>TL Cinsi Kira Sertifikalari</t>
        </is>
      </c>
      <c r="B48" s="44" t="n">
        <v>2022</v>
      </c>
      <c r="C48" s="44" t="inlineStr">
        <is>
          <t>TRD200127T10</t>
        </is>
      </c>
      <c r="D48" s="44" t="inlineStr">
        <is>
          <t>26.01.2022</t>
        </is>
      </c>
      <c r="E48" s="44" t="inlineStr">
        <is>
          <t>20.01.2027</t>
        </is>
      </c>
      <c r="F48" s="44" t="n">
        <v>1820</v>
      </c>
      <c r="G48" s="44" t="inlineStr">
        <is>
          <t>6 Ay</t>
        </is>
      </c>
      <c r="H48" s="15" t="n">
        <v>0</v>
      </c>
      <c r="I48" s="45" t="n"/>
      <c r="J48" s="45" t="n"/>
      <c r="K48" s="45" t="n">
        <v>11111100</v>
      </c>
      <c r="L48" s="45" t="n">
        <v>13333320</v>
      </c>
      <c r="M48" s="45" t="n"/>
      <c r="N48" s="45" t="n"/>
      <c r="O48" s="45" t="n"/>
      <c r="P48" s="45" t="n"/>
      <c r="Q48" s="45" t="n"/>
      <c r="R48" s="45" t="n"/>
      <c r="S48" s="45" t="n"/>
      <c r="T48" s="45" t="n"/>
      <c r="U48" s="15" t="n"/>
      <c r="V48" s="15" t="n"/>
      <c r="W48" s="49" t="n">
        <v>120</v>
      </c>
    </row>
    <row r="49">
      <c r="A49" s="44" t="inlineStr">
        <is>
          <t>TL Cinsi Kira Sertifikalari</t>
        </is>
      </c>
      <c r="B49" s="44" t="n">
        <v>2022</v>
      </c>
      <c r="C49" s="44" t="inlineStr">
        <is>
          <t>TRD140224T10</t>
        </is>
      </c>
      <c r="D49" s="44" t="inlineStr">
        <is>
          <t>16.02.2022</t>
        </is>
      </c>
      <c r="E49" s="44" t="inlineStr">
        <is>
          <t>14.02.2024</t>
        </is>
      </c>
      <c r="F49" s="44" t="n">
        <v>728</v>
      </c>
      <c r="G49" s="44" t="inlineStr">
        <is>
          <t>6 Ay</t>
        </is>
      </c>
      <c r="H49" s="15" t="n">
        <v>10.1</v>
      </c>
      <c r="I49" s="45" t="n"/>
      <c r="J49" s="45" t="n"/>
      <c r="K49" s="45" t="n">
        <v>5561460</v>
      </c>
      <c r="L49" s="45" t="n">
        <v>5561460</v>
      </c>
      <c r="M49" s="45" t="n"/>
      <c r="N49" s="45" t="n"/>
      <c r="O49" s="45" t="n"/>
      <c r="P49" s="45" t="n"/>
      <c r="Q49" s="45" t="n"/>
      <c r="R49" s="45" t="n"/>
      <c r="S49" s="45" t="n"/>
      <c r="T49" s="45" t="n"/>
      <c r="U49" s="15" t="n"/>
      <c r="V49" s="15" t="n"/>
      <c r="W49" s="49" t="n">
        <v>100</v>
      </c>
    </row>
    <row r="50">
      <c r="A50" s="44" t="inlineStr">
        <is>
          <t>TL Cinsi Kira Sertifikalari</t>
        </is>
      </c>
      <c r="B50" s="44" t="n">
        <v>2022</v>
      </c>
      <c r="C50" s="44" t="inlineStr">
        <is>
          <t>TRD200324T29</t>
        </is>
      </c>
      <c r="D50" s="44" t="inlineStr">
        <is>
          <t>23.03.2022</t>
        </is>
      </c>
      <c r="E50" s="44" t="inlineStr">
        <is>
          <t>20.03.2024</t>
        </is>
      </c>
      <c r="F50" s="44" t="n">
        <v>728</v>
      </c>
      <c r="G50" s="44" t="inlineStr">
        <is>
          <t>6 Ay</t>
        </is>
      </c>
      <c r="H50" s="15" t="n">
        <v>12.15</v>
      </c>
      <c r="I50" s="45" t="n"/>
      <c r="J50" s="45" t="n"/>
      <c r="K50" s="45" t="n">
        <v>4098810</v>
      </c>
      <c r="L50" s="45" t="n">
        <v>4098810</v>
      </c>
      <c r="M50" s="45" t="n"/>
      <c r="N50" s="45" t="n"/>
      <c r="O50" s="45" t="n"/>
      <c r="P50" s="45" t="n"/>
      <c r="Q50" s="45" t="n"/>
      <c r="R50" s="45" t="n"/>
      <c r="S50" s="45" t="n"/>
      <c r="T50" s="45" t="n"/>
      <c r="U50" s="15" t="n"/>
      <c r="V50" s="15" t="n"/>
      <c r="W50" s="49" t="n">
        <v>100</v>
      </c>
    </row>
    <row r="51">
      <c r="A51" s="44" t="inlineStr">
        <is>
          <t>TL Cinsi Kira Sertifikalari</t>
        </is>
      </c>
      <c r="B51" s="44" t="n">
        <v>2022</v>
      </c>
      <c r="C51" s="44" t="inlineStr">
        <is>
          <t>TRD070432T17</t>
        </is>
      </c>
      <c r="D51" s="44" t="inlineStr">
        <is>
          <t>20.04.2022</t>
        </is>
      </c>
      <c r="E51" s="44" t="inlineStr">
        <is>
          <t>07.04.2032</t>
        </is>
      </c>
      <c r="F51" s="44" t="n">
        <v>3640</v>
      </c>
      <c r="G51" s="44" t="inlineStr">
        <is>
          <t>6 Ay</t>
        </is>
      </c>
      <c r="H51" s="15" t="n">
        <v>0</v>
      </c>
      <c r="I51" s="45" t="n"/>
      <c r="J51" s="45" t="n"/>
      <c r="K51" s="45" t="n">
        <v>8644000</v>
      </c>
      <c r="L51" s="45" t="n">
        <v>11064320</v>
      </c>
      <c r="M51" s="45" t="n"/>
      <c r="N51" s="45" t="n"/>
      <c r="O51" s="45" t="n"/>
      <c r="P51" s="45" t="n"/>
      <c r="Q51" s="45" t="n"/>
      <c r="R51" s="45" t="n"/>
      <c r="S51" s="45" t="n"/>
      <c r="T51" s="45" t="n"/>
      <c r="U51" s="15" t="n"/>
      <c r="V51" s="15" t="n"/>
      <c r="W51" s="49" t="n">
        <v>128</v>
      </c>
    </row>
    <row r="52">
      <c r="A52" s="44" t="inlineStr">
        <is>
          <t>TL Cinsi Kira Sertifikalari</t>
        </is>
      </c>
      <c r="B52" s="44" t="n">
        <v>2022</v>
      </c>
      <c r="C52" s="44" t="inlineStr">
        <is>
          <t>TRD080524T15</t>
        </is>
      </c>
      <c r="D52" s="44" t="inlineStr">
        <is>
          <t>11.05.2022</t>
        </is>
      </c>
      <c r="E52" s="44" t="inlineStr">
        <is>
          <t>08.05.2024</t>
        </is>
      </c>
      <c r="F52" s="44" t="n">
        <v>728</v>
      </c>
      <c r="G52" s="44" t="inlineStr">
        <is>
          <t>6 Ay</t>
        </is>
      </c>
      <c r="H52" s="15" t="n">
        <v>11.35</v>
      </c>
      <c r="I52" s="45" t="n"/>
      <c r="J52" s="45" t="n"/>
      <c r="K52" s="45" t="n">
        <v>2271520</v>
      </c>
      <c r="L52" s="45" t="n">
        <v>2271520</v>
      </c>
      <c r="M52" s="45" t="n"/>
      <c r="N52" s="45" t="n"/>
      <c r="O52" s="45" t="n"/>
      <c r="P52" s="45" t="n"/>
      <c r="Q52" s="45" t="n"/>
      <c r="R52" s="45" t="n"/>
      <c r="S52" s="45" t="n"/>
      <c r="T52" s="45" t="n"/>
      <c r="U52" s="15" t="n"/>
      <c r="V52" s="15" t="n"/>
      <c r="W52" s="49" t="n">
        <v>100</v>
      </c>
    </row>
    <row r="53">
      <c r="A53" s="44" t="inlineStr">
        <is>
          <t>TL Cinsi Kira Sertifikalari</t>
        </is>
      </c>
      <c r="B53" s="44" t="n">
        <v>2022</v>
      </c>
      <c r="C53" s="44" t="inlineStr">
        <is>
          <t>TRD230632T15</t>
        </is>
      </c>
      <c r="D53" s="44" t="inlineStr">
        <is>
          <t>06.07.2022</t>
        </is>
      </c>
      <c r="E53" s="44" t="inlineStr">
        <is>
          <t>23.06.2032</t>
        </is>
      </c>
      <c r="F53" s="44" t="n">
        <v>3640</v>
      </c>
      <c r="G53" s="44" t="inlineStr">
        <is>
          <t>6 Ay</t>
        </is>
      </c>
      <c r="H53" s="15" t="n">
        <v>9.039999999999999</v>
      </c>
      <c r="I53" s="45" t="n"/>
      <c r="J53" s="45" t="n"/>
      <c r="K53" s="45" t="n">
        <v>8240030</v>
      </c>
      <c r="L53" s="45" t="n">
        <v>8240030</v>
      </c>
      <c r="M53" s="45" t="n"/>
      <c r="N53" s="45" t="n"/>
      <c r="O53" s="45" t="n"/>
      <c r="P53" s="45" t="n"/>
      <c r="Q53" s="45" t="n"/>
      <c r="R53" s="45" t="n"/>
      <c r="S53" s="45" t="n"/>
      <c r="T53" s="45" t="n"/>
      <c r="U53" s="15" t="n"/>
      <c r="V53" s="15" t="n"/>
      <c r="W53" s="49" t="n">
        <v>100</v>
      </c>
    </row>
    <row r="54">
      <c r="A54" s="44" t="inlineStr">
        <is>
          <t>TL Cinsi Kira Sertifikalari</t>
        </is>
      </c>
      <c r="B54" s="44" t="n">
        <v>2022</v>
      </c>
      <c r="C54" s="44" t="inlineStr">
        <is>
          <t>TRD040832T16</t>
        </is>
      </c>
      <c r="D54" s="44" t="inlineStr">
        <is>
          <t>17.08.2022</t>
        </is>
      </c>
      <c r="E54" s="44" t="inlineStr">
        <is>
          <t>04.08.2032</t>
        </is>
      </c>
      <c r="F54" s="44" t="n">
        <v>3640</v>
      </c>
      <c r="G54" s="44" t="inlineStr">
        <is>
          <t>6 Ay</t>
        </is>
      </c>
      <c r="H54" s="15" t="n">
        <v>8.07</v>
      </c>
      <c r="I54" s="45" t="n"/>
      <c r="J54" s="45" t="n"/>
      <c r="K54" s="45" t="n">
        <v>10290430</v>
      </c>
      <c r="L54" s="45" t="n">
        <v>10290430</v>
      </c>
      <c r="M54" s="45" t="n"/>
      <c r="N54" s="45" t="n"/>
      <c r="O54" s="45" t="n"/>
      <c r="P54" s="45" t="n"/>
      <c r="Q54" s="45" t="n"/>
      <c r="R54" s="45" t="n"/>
      <c r="S54" s="45" t="n"/>
      <c r="T54" s="45" t="n"/>
      <c r="U54" s="15" t="n"/>
      <c r="V54" s="15" t="n"/>
      <c r="W54" s="49" t="n">
        <v>100</v>
      </c>
    </row>
    <row r="55">
      <c r="A55" s="44" t="inlineStr">
        <is>
          <t>TL Cinsi Kira Sertifikalari</t>
        </is>
      </c>
      <c r="B55" s="44" t="n">
        <v>2022</v>
      </c>
      <c r="C55" s="44" t="inlineStr">
        <is>
          <t>TRD080927T18</t>
        </is>
      </c>
      <c r="D55" s="44" t="inlineStr">
        <is>
          <t>14.09.2022</t>
        </is>
      </c>
      <c r="E55" s="44" t="inlineStr">
        <is>
          <t>08.09.2027</t>
        </is>
      </c>
      <c r="F55" s="44" t="n">
        <v>1820</v>
      </c>
      <c r="G55" s="44" t="inlineStr">
        <is>
          <t>6 Ay</t>
        </is>
      </c>
      <c r="H55" s="15" t="n">
        <v>5.09</v>
      </c>
      <c r="I55" s="45" t="n"/>
      <c r="J55" s="45" t="n"/>
      <c r="K55" s="45" t="n">
        <v>19718500</v>
      </c>
      <c r="L55" s="45" t="n">
        <v>19718500</v>
      </c>
      <c r="M55" s="45" t="n"/>
      <c r="N55" s="45" t="n"/>
      <c r="O55" s="45" t="n"/>
      <c r="P55" s="45" t="n"/>
      <c r="Q55" s="45" t="n"/>
      <c r="R55" s="45" t="n"/>
      <c r="S55" s="45" t="n"/>
      <c r="T55" s="45" t="n"/>
      <c r="U55" s="15" t="n"/>
      <c r="V55" s="15" t="n"/>
      <c r="W55" s="49" t="n">
        <v>100</v>
      </c>
    </row>
    <row r="56">
      <c r="A56" s="44" t="inlineStr">
        <is>
          <t>TL Cinsi Kira Sertifikalari</t>
        </is>
      </c>
      <c r="B56" s="44" t="n">
        <v>2022</v>
      </c>
      <c r="C56" s="44" t="inlineStr">
        <is>
          <t>TRD061027T17</t>
        </is>
      </c>
      <c r="D56" s="44" t="inlineStr">
        <is>
          <t>12.10.2022</t>
        </is>
      </c>
      <c r="E56" s="44" t="inlineStr">
        <is>
          <t>06.10.2027</t>
        </is>
      </c>
      <c r="F56" s="44" t="n">
        <v>1820</v>
      </c>
      <c r="G56" s="44" t="inlineStr">
        <is>
          <t>6 Ay</t>
        </is>
      </c>
      <c r="H56" s="15" t="n">
        <v>5.23</v>
      </c>
      <c r="I56" s="45" t="n"/>
      <c r="J56" s="45" t="n"/>
      <c r="K56" s="45" t="n">
        <v>11484000</v>
      </c>
      <c r="L56" s="45" t="n">
        <v>11484000</v>
      </c>
      <c r="M56" s="45" t="n"/>
      <c r="N56" s="45" t="n"/>
      <c r="O56" s="45" t="n"/>
      <c r="P56" s="45" t="n"/>
      <c r="Q56" s="45" t="n"/>
      <c r="R56" s="45" t="n"/>
      <c r="S56" s="45" t="n"/>
      <c r="T56" s="45" t="n"/>
      <c r="U56" s="15" t="n"/>
      <c r="V56" s="15" t="n"/>
      <c r="W56" s="49" t="n">
        <v>100</v>
      </c>
    </row>
    <row r="57">
      <c r="A57" s="44" t="inlineStr">
        <is>
          <t>TL Cinsi Kira Sertifikalari</t>
        </is>
      </c>
      <c r="B57" s="44" t="n">
        <v>2022</v>
      </c>
      <c r="C57" s="44" t="inlineStr">
        <is>
          <t>TRD271032T15</t>
        </is>
      </c>
      <c r="D57" s="44" t="inlineStr">
        <is>
          <t>09.11.2022</t>
        </is>
      </c>
      <c r="E57" s="44" t="inlineStr">
        <is>
          <t>27.10.2032</t>
        </is>
      </c>
      <c r="F57" s="44" t="n">
        <v>3640</v>
      </c>
      <c r="G57" s="44" t="inlineStr">
        <is>
          <t>6 Ay</t>
        </is>
      </c>
      <c r="H57" s="15" t="n">
        <v>5.86</v>
      </c>
      <c r="I57" s="45" t="n"/>
      <c r="J57" s="45" t="n"/>
      <c r="K57" s="45" t="n">
        <v>6892400</v>
      </c>
      <c r="L57" s="45" t="n">
        <v>6892400</v>
      </c>
      <c r="M57" s="45" t="n"/>
      <c r="N57" s="45" t="n"/>
      <c r="O57" s="45" t="n"/>
      <c r="P57" s="45" t="n"/>
      <c r="Q57" s="45" t="n"/>
      <c r="R57" s="45" t="n"/>
      <c r="S57" s="45" t="n"/>
      <c r="T57" s="45" t="n"/>
      <c r="U57" s="15" t="n"/>
      <c r="V57" s="15" t="n"/>
      <c r="W57" s="49" t="n">
        <v>100</v>
      </c>
    </row>
    <row r="58">
      <c r="A58" s="44" t="inlineStr">
        <is>
          <t>TL Cinsi Kira Sertifikalari</t>
        </is>
      </c>
      <c r="B58" s="44" t="n">
        <v>2023</v>
      </c>
      <c r="C58" s="44" t="inlineStr">
        <is>
          <t>TRD190128T12</t>
        </is>
      </c>
      <c r="D58" s="44" t="inlineStr">
        <is>
          <t>25.01.2023</t>
        </is>
      </c>
      <c r="E58" s="44" t="inlineStr">
        <is>
          <t>19.01.2028</t>
        </is>
      </c>
      <c r="F58" s="44" t="n">
        <v>1820</v>
      </c>
      <c r="G58" s="44" t="inlineStr">
        <is>
          <t>6 Ay</t>
        </is>
      </c>
      <c r="H58" s="15" t="n">
        <v>4.79</v>
      </c>
      <c r="I58" s="45" t="n"/>
      <c r="J58" s="45" t="n"/>
      <c r="K58" s="45" t="n">
        <v>14008700</v>
      </c>
      <c r="L58" s="45" t="n">
        <v>14008700</v>
      </c>
      <c r="M58" s="45" t="n"/>
      <c r="N58" s="45" t="n"/>
      <c r="O58" s="45" t="n"/>
      <c r="P58" s="45" t="n"/>
      <c r="Q58" s="45" t="n"/>
      <c r="R58" s="45" t="n"/>
      <c r="S58" s="45" t="n"/>
      <c r="T58" s="45" t="n"/>
      <c r="U58" s="15" t="n"/>
      <c r="V58" s="15" t="n"/>
      <c r="W58" s="49" t="n">
        <v>100</v>
      </c>
    </row>
    <row r="59">
      <c r="A59" s="44" t="inlineStr">
        <is>
          <t>TL Cinsi Kira Sertifikalari</t>
        </is>
      </c>
      <c r="B59" s="44" t="n">
        <v>2023</v>
      </c>
      <c r="C59" s="44" t="inlineStr">
        <is>
          <t>TRD160228T14</t>
        </is>
      </c>
      <c r="D59" s="44" t="inlineStr">
        <is>
          <t>22.02.2023</t>
        </is>
      </c>
      <c r="E59" s="44" t="inlineStr">
        <is>
          <t>16.02.2028</t>
        </is>
      </c>
      <c r="F59" s="44" t="n">
        <v>1820</v>
      </c>
      <c r="G59" s="44" t="inlineStr">
        <is>
          <t>6 Ay</t>
        </is>
      </c>
      <c r="H59" s="15" t="n">
        <v>4.64</v>
      </c>
      <c r="I59" s="45" t="n"/>
      <c r="J59" s="45" t="n"/>
      <c r="K59" s="45" t="n">
        <v>9946000</v>
      </c>
      <c r="L59" s="45" t="n">
        <v>9946000</v>
      </c>
      <c r="M59" s="45" t="n"/>
      <c r="N59" s="45" t="n"/>
      <c r="O59" s="45" t="n"/>
      <c r="P59" s="45" t="n"/>
      <c r="Q59" s="45" t="n"/>
      <c r="R59" s="45" t="n"/>
      <c r="S59" s="45" t="n"/>
      <c r="T59" s="45" t="n"/>
      <c r="U59" s="15" t="n"/>
      <c r="V59" s="15" t="n"/>
      <c r="W59" s="49" t="n">
        <v>100</v>
      </c>
    </row>
    <row r="60">
      <c r="A60" s="44" t="inlineStr">
        <is>
          <t>TL Cinsi Kira Sertifikalari</t>
        </is>
      </c>
      <c r="B60" s="44" t="n">
        <v>2023</v>
      </c>
      <c r="C60" s="44" t="inlineStr">
        <is>
          <t>TRD230233T18</t>
        </is>
      </c>
      <c r="D60" s="44" t="inlineStr">
        <is>
          <t>08.03.2023</t>
        </is>
      </c>
      <c r="E60" s="44" t="inlineStr">
        <is>
          <t>23.02.2033</t>
        </is>
      </c>
      <c r="F60" s="44" t="n">
        <v>3640</v>
      </c>
      <c r="G60" s="44" t="inlineStr">
        <is>
          <t>6 Ay</t>
        </is>
      </c>
      <c r="H60" s="15" t="n">
        <v>5.71</v>
      </c>
      <c r="I60" s="45" t="n"/>
      <c r="J60" s="45" t="n"/>
      <c r="K60" s="45" t="n">
        <v>5413000</v>
      </c>
      <c r="L60" s="45" t="n">
        <v>5413000</v>
      </c>
      <c r="M60" s="45" t="n"/>
      <c r="N60" s="45" t="n"/>
      <c r="O60" s="45" t="n"/>
      <c r="P60" s="45" t="n"/>
      <c r="Q60" s="45" t="n"/>
      <c r="R60" s="45" t="n"/>
      <c r="S60" s="45" t="n"/>
      <c r="T60" s="45" t="n"/>
      <c r="U60" s="15" t="n"/>
      <c r="V60" s="15" t="n"/>
      <c r="W60" s="49" t="n">
        <v>100</v>
      </c>
    </row>
    <row r="61">
      <c r="A61" s="44" t="inlineStr">
        <is>
          <t>TL Cinsi Kira Sertifikalari</t>
        </is>
      </c>
      <c r="B61" s="44" t="n">
        <v>2023</v>
      </c>
      <c r="C61" s="44" t="inlineStr">
        <is>
          <t>TRD140628T12</t>
        </is>
      </c>
      <c r="D61" s="44" t="inlineStr">
        <is>
          <t>21.06.2023</t>
        </is>
      </c>
      <c r="E61" s="44" t="inlineStr">
        <is>
          <t>14.06.2028</t>
        </is>
      </c>
      <c r="F61" s="44" t="n">
        <v>1820</v>
      </c>
      <c r="G61" s="44" t="inlineStr">
        <is>
          <t>6 Ay</t>
        </is>
      </c>
      <c r="H61" s="15" t="n">
        <v>8.619999999999999</v>
      </c>
      <c r="I61" s="45" t="n"/>
      <c r="J61" s="45" t="n"/>
      <c r="K61" s="45" t="n">
        <v>12086000</v>
      </c>
      <c r="L61" s="45" t="n">
        <v>12086000</v>
      </c>
      <c r="M61" s="45" t="n"/>
      <c r="N61" s="45" t="n"/>
      <c r="O61" s="45" t="n"/>
      <c r="P61" s="45" t="n"/>
      <c r="Q61" s="45" t="n"/>
      <c r="R61" s="45" t="n"/>
      <c r="S61" s="45" t="n"/>
      <c r="T61" s="45" t="n"/>
      <c r="U61" s="15" t="n"/>
      <c r="V61" s="15" t="n"/>
      <c r="W61" s="49" t="n">
        <v>100</v>
      </c>
    </row>
    <row r="62">
      <c r="A62" s="44" t="inlineStr">
        <is>
          <t>TL Cinsi Kira Sertifikalari</t>
        </is>
      </c>
      <c r="B62" s="44" t="n">
        <v>2023</v>
      </c>
      <c r="C62" s="44" t="inlineStr">
        <is>
          <t>TRD020828T14</t>
        </is>
      </c>
      <c r="D62" s="44" t="inlineStr">
        <is>
          <t>09.08.2023</t>
        </is>
      </c>
      <c r="E62" s="44" t="inlineStr">
        <is>
          <t>02.08.2028</t>
        </is>
      </c>
      <c r="F62" s="44" t="n">
        <v>1820</v>
      </c>
      <c r="G62" s="44" t="inlineStr">
        <is>
          <t>6 Ay</t>
        </is>
      </c>
      <c r="H62" s="15" t="n">
        <v>9.789999999999999</v>
      </c>
      <c r="I62" s="45" t="n"/>
      <c r="J62" s="45" t="n"/>
      <c r="K62" s="45" t="n">
        <v>27148000</v>
      </c>
      <c r="L62" s="45" t="n">
        <v>27148000</v>
      </c>
      <c r="M62" s="45" t="n"/>
      <c r="N62" s="45" t="n"/>
      <c r="O62" s="45" t="n"/>
      <c r="P62" s="45" t="n"/>
      <c r="Q62" s="45" t="n"/>
      <c r="R62" s="45" t="n"/>
      <c r="S62" s="45" t="n"/>
      <c r="T62" s="45" t="n"/>
      <c r="U62" s="15" t="n"/>
      <c r="V62" s="15" t="n"/>
      <c r="W62" s="49" t="n">
        <v>100</v>
      </c>
    </row>
    <row r="63">
      <c r="A63" s="44" t="inlineStr">
        <is>
          <t>TL Cinsi Kira Sertifikalari</t>
        </is>
      </c>
      <c r="B63" s="44" t="n">
        <v>2023</v>
      </c>
      <c r="C63" s="44" t="inlineStr">
        <is>
          <t>TRD070933T11</t>
        </is>
      </c>
      <c r="D63" s="44" t="inlineStr">
        <is>
          <t>20.09.2023</t>
        </is>
      </c>
      <c r="E63" s="44" t="inlineStr">
        <is>
          <t>07.09.2033</t>
        </is>
      </c>
      <c r="F63" s="44" t="n">
        <v>3640</v>
      </c>
      <c r="G63" s="44" t="inlineStr">
        <is>
          <t>6 Ay</t>
        </is>
      </c>
      <c r="H63" s="15" t="n">
        <v>13.19</v>
      </c>
      <c r="I63" s="45" t="n"/>
      <c r="J63" s="45" t="n"/>
      <c r="K63" s="45" t="n">
        <v>9898400</v>
      </c>
      <c r="L63" s="45" t="n">
        <v>9898400</v>
      </c>
      <c r="M63" s="45" t="n"/>
      <c r="N63" s="45" t="n"/>
      <c r="O63" s="45" t="n"/>
      <c r="P63" s="45" t="n"/>
      <c r="Q63" s="45" t="n"/>
      <c r="R63" s="45" t="n"/>
      <c r="S63" s="45" t="n"/>
      <c r="T63" s="45" t="n"/>
      <c r="U63" s="15" t="n"/>
      <c r="V63" s="15" t="n"/>
      <c r="W63" s="49" t="n">
        <v>100</v>
      </c>
    </row>
    <row r="64">
      <c r="A64" s="44" t="inlineStr">
        <is>
          <t>TL Cinsi Kira Sertifikalari</t>
        </is>
      </c>
      <c r="B64" s="44" t="n">
        <v>2023</v>
      </c>
      <c r="C64" s="44" t="inlineStr">
        <is>
          <t>TRD111028T19</t>
        </is>
      </c>
      <c r="D64" s="44" t="inlineStr">
        <is>
          <t>18.10.2023</t>
        </is>
      </c>
      <c r="E64" s="44" t="inlineStr">
        <is>
          <t>11.10.2028</t>
        </is>
      </c>
      <c r="F64" s="44" t="n">
        <v>1820</v>
      </c>
      <c r="G64" s="44" t="inlineStr">
        <is>
          <t>6 Ay</t>
        </is>
      </c>
      <c r="H64" s="15" t="n">
        <v>14.26</v>
      </c>
      <c r="I64" s="45" t="n"/>
      <c r="J64" s="45" t="n"/>
      <c r="K64" s="45" t="n">
        <v>28927230</v>
      </c>
      <c r="L64" s="45" t="n">
        <v>28927230</v>
      </c>
      <c r="M64" s="45" t="n"/>
      <c r="N64" s="45" t="n"/>
      <c r="O64" s="45" t="n"/>
      <c r="P64" s="45" t="n"/>
      <c r="Q64" s="45" t="n"/>
      <c r="R64" s="45" t="n"/>
      <c r="S64" s="45" t="n"/>
      <c r="T64" s="45" t="n"/>
      <c r="U64" s="15" t="n"/>
      <c r="V64" s="15" t="n"/>
      <c r="W64" s="49" t="n">
        <v>100</v>
      </c>
    </row>
    <row r="65">
      <c r="A65" s="44" t="inlineStr">
        <is>
          <t>TL Cinsi Kira Sertifikalari</t>
        </is>
      </c>
      <c r="B65" s="44" t="n">
        <v>2023</v>
      </c>
      <c r="C65" s="44" t="inlineStr">
        <is>
          <t>TRD081128T13</t>
        </is>
      </c>
      <c r="D65" s="44" t="inlineStr">
        <is>
          <t>15.11.2023</t>
        </is>
      </c>
      <c r="E65" s="44" t="inlineStr">
        <is>
          <t>08.11.2028</t>
        </is>
      </c>
      <c r="F65" s="44" t="n">
        <v>1820</v>
      </c>
      <c r="G65" s="44" t="inlineStr">
        <is>
          <t>6 Ay</t>
        </is>
      </c>
      <c r="H65" s="15" t="n">
        <v>16.48</v>
      </c>
      <c r="I65" s="45" t="n"/>
      <c r="J65" s="45" t="n"/>
      <c r="K65" s="45" t="n">
        <v>3566900</v>
      </c>
      <c r="L65" s="45" t="n">
        <v>3566900</v>
      </c>
      <c r="M65" s="45" t="n"/>
      <c r="N65" s="45" t="n"/>
      <c r="O65" s="45" t="n"/>
      <c r="P65" s="45" t="n"/>
      <c r="Q65" s="45" t="n"/>
      <c r="R65" s="45" t="n"/>
      <c r="S65" s="45" t="n"/>
      <c r="T65" s="45" t="n"/>
      <c r="U65" s="15" t="n"/>
      <c r="V65" s="15" t="n"/>
      <c r="W65" s="49" t="n">
        <v>100</v>
      </c>
    </row>
    <row r="66">
      <c r="A66" s="44" t="inlineStr">
        <is>
          <t>TL Cinsi Kira Sertifikalari</t>
        </is>
      </c>
      <c r="B66" s="44" t="n">
        <v>2023</v>
      </c>
      <c r="C66" s="44" t="inlineStr">
        <is>
          <t>TRD061228T14</t>
        </is>
      </c>
      <c r="D66" s="44" t="inlineStr">
        <is>
          <t>13.12.2023</t>
        </is>
      </c>
      <c r="E66" s="44" t="inlineStr">
        <is>
          <t>06.12.2028</t>
        </is>
      </c>
      <c r="F66" s="44" t="n">
        <v>1820</v>
      </c>
      <c r="G66" s="44" t="inlineStr">
        <is>
          <t>6 Ay</t>
        </is>
      </c>
      <c r="H66" s="15" t="n">
        <v>14.28</v>
      </c>
      <c r="I66" s="45" t="n"/>
      <c r="J66" s="45" t="n"/>
      <c r="K66" s="45" t="n">
        <v>10000000</v>
      </c>
      <c r="L66" s="45" t="n">
        <v>10000000</v>
      </c>
      <c r="M66" s="45" t="n"/>
      <c r="N66" s="45" t="n"/>
      <c r="O66" s="45" t="n"/>
      <c r="P66" s="45" t="n"/>
      <c r="Q66" s="45" t="n"/>
      <c r="R66" s="45" t="n"/>
      <c r="S66" s="45" t="n"/>
      <c r="T66" s="45" t="n"/>
      <c r="U66" s="15" t="n"/>
      <c r="V66" s="15" t="n"/>
      <c r="W66" s="49" t="n">
        <v>100</v>
      </c>
    </row>
    <row r="67">
      <c r="A67" s="44" t="inlineStr">
        <is>
          <t>TL Cinsi Kira Sertifikalari</t>
        </is>
      </c>
      <c r="B67" s="44" t="n">
        <v>2024</v>
      </c>
      <c r="C67" s="44" t="inlineStr">
        <is>
          <t>TRD170129T13</t>
        </is>
      </c>
      <c r="D67" s="44" t="inlineStr">
        <is>
          <t>24.01.2024</t>
        </is>
      </c>
      <c r="E67" s="44" t="inlineStr">
        <is>
          <t>17.01.2029</t>
        </is>
      </c>
      <c r="F67" s="44" t="n">
        <v>1820</v>
      </c>
      <c r="G67" s="44" t="inlineStr">
        <is>
          <t>6 Ay</t>
        </is>
      </c>
      <c r="H67" s="15" t="n">
        <v>14.34</v>
      </c>
      <c r="I67" s="45" t="n"/>
      <c r="J67" s="45" t="n"/>
      <c r="K67" s="45" t="n">
        <v>5856100</v>
      </c>
      <c r="L67" s="45" t="n">
        <v>5856100</v>
      </c>
      <c r="M67" s="45" t="n"/>
      <c r="N67" s="45" t="n"/>
      <c r="O67" s="45" t="n"/>
      <c r="P67" s="45" t="n"/>
      <c r="Q67" s="45" t="n"/>
      <c r="R67" s="45" t="n"/>
      <c r="S67" s="45" t="n"/>
      <c r="T67" s="45" t="n"/>
      <c r="U67" s="15" t="n"/>
      <c r="V67" s="15" t="n"/>
      <c r="W67" s="49" t="n">
        <v>100</v>
      </c>
    </row>
    <row r="68">
      <c r="A68" s="44" t="inlineStr">
        <is>
          <t>TL Cinsi Kira Sertifikalari</t>
        </is>
      </c>
      <c r="B68" s="44" t="n">
        <v>2024</v>
      </c>
      <c r="C68" s="44" t="inlineStr">
        <is>
          <t>TRD140229T15</t>
        </is>
      </c>
      <c r="D68" s="44" t="inlineStr">
        <is>
          <t>21.02.2024</t>
        </is>
      </c>
      <c r="E68" s="44" t="inlineStr">
        <is>
          <t>14.02.2029</t>
        </is>
      </c>
      <c r="F68" s="44" t="n">
        <v>1820</v>
      </c>
      <c r="G68" s="44" t="inlineStr">
        <is>
          <t>6 Ay</t>
        </is>
      </c>
      <c r="H68" s="15" t="n">
        <v>13.79</v>
      </c>
      <c r="I68" s="45" t="n"/>
      <c r="J68" s="45" t="n"/>
      <c r="K68" s="45" t="n">
        <v>3569500</v>
      </c>
      <c r="L68" s="45" t="n">
        <v>3569500</v>
      </c>
      <c r="M68" s="45" t="n"/>
      <c r="N68" s="45" t="n"/>
      <c r="O68" s="45" t="n"/>
      <c r="P68" s="45" t="n"/>
      <c r="Q68" s="45" t="n"/>
      <c r="R68" s="45" t="n"/>
      <c r="S68" s="45" t="n"/>
      <c r="T68" s="45" t="n"/>
      <c r="U68" s="15" t="n"/>
      <c r="V68" s="15" t="n"/>
      <c r="W68" s="49" t="n">
        <v>100</v>
      </c>
    </row>
    <row r="69">
      <c r="A69" s="44" t="inlineStr">
        <is>
          <t>TL Cinsi Kira Sertifikalari</t>
        </is>
      </c>
      <c r="B69" s="44" t="n">
        <v>2024</v>
      </c>
      <c r="C69" s="44" t="inlineStr">
        <is>
          <t>TRD140329T14</t>
        </is>
      </c>
      <c r="D69" s="44" t="inlineStr">
        <is>
          <t>20.03.2024</t>
        </is>
      </c>
      <c r="E69" s="44" t="inlineStr">
        <is>
          <t>14.03.2029</t>
        </is>
      </c>
      <c r="F69" s="44" t="n">
        <v>1820</v>
      </c>
      <c r="G69" s="44" t="inlineStr">
        <is>
          <t>6 Ay</t>
        </is>
      </c>
      <c r="H69" s="15" t="n">
        <v>15</v>
      </c>
      <c r="I69" s="45" t="n"/>
      <c r="J69" s="45" t="n"/>
      <c r="K69" s="45" t="n">
        <v>3562300</v>
      </c>
      <c r="L69" s="45" t="n">
        <v>3562300</v>
      </c>
      <c r="M69" s="45" t="n"/>
      <c r="N69" s="45" t="n"/>
      <c r="O69" s="45" t="n"/>
      <c r="P69" s="45" t="n"/>
      <c r="Q69" s="45" t="n"/>
      <c r="R69" s="45" t="n"/>
      <c r="S69" s="45" t="n"/>
      <c r="T69" s="45" t="n"/>
      <c r="U69" s="15" t="n"/>
      <c r="V69" s="15" t="n"/>
      <c r="W69" s="49" t="n">
        <v>100</v>
      </c>
    </row>
    <row r="70">
      <c r="A70" s="44" t="inlineStr">
        <is>
          <t>TL Cinsi Kira Sertifikalari</t>
        </is>
      </c>
      <c r="B70" s="44" t="n">
        <v>2024</v>
      </c>
      <c r="C70" s="44" t="inlineStr">
        <is>
          <t>TRD150426T49</t>
        </is>
      </c>
      <c r="D70" s="44" t="inlineStr">
        <is>
          <t>17.04.2024</t>
        </is>
      </c>
      <c r="E70" s="44" t="inlineStr">
        <is>
          <t>15.04.2026</t>
        </is>
      </c>
      <c r="F70" s="44" t="n">
        <v>728</v>
      </c>
      <c r="G70" s="44" t="inlineStr">
        <is>
          <t>6 Ay</t>
        </is>
      </c>
      <c r="H70" s="15" t="n">
        <v>20.23</v>
      </c>
      <c r="I70" s="45" t="n"/>
      <c r="J70" s="45" t="n"/>
      <c r="K70" s="45" t="n">
        <v>5683850</v>
      </c>
      <c r="L70" s="45" t="n">
        <v>5683850</v>
      </c>
      <c r="M70" s="45" t="n"/>
      <c r="N70" s="45" t="n"/>
      <c r="O70" s="45" t="n"/>
      <c r="P70" s="45" t="n"/>
      <c r="Q70" s="45" t="n"/>
      <c r="R70" s="45" t="n"/>
      <c r="S70" s="45" t="n"/>
      <c r="T70" s="45" t="n"/>
      <c r="U70" s="15" t="n"/>
      <c r="V70" s="15" t="n"/>
      <c r="W70" s="49" t="n">
        <v>100</v>
      </c>
    </row>
    <row r="71">
      <c r="A71" s="44" t="inlineStr">
        <is>
          <t>TL Cinsi Kira Sertifikalari</t>
        </is>
      </c>
      <c r="B71" s="44" t="n">
        <v>2024</v>
      </c>
      <c r="C71" s="44" t="inlineStr">
        <is>
          <t>TRD060526T15</t>
        </is>
      </c>
      <c r="D71" s="44" t="inlineStr">
        <is>
          <t>08.05.2024</t>
        </is>
      </c>
      <c r="E71" s="44" t="inlineStr">
        <is>
          <t>06.05.2026</t>
        </is>
      </c>
      <c r="F71" s="44" t="n">
        <v>728</v>
      </c>
      <c r="G71" s="44" t="inlineStr">
        <is>
          <t>6 Ay</t>
        </is>
      </c>
      <c r="H71" s="15" t="n">
        <v>20.45</v>
      </c>
      <c r="I71" s="45" t="n"/>
      <c r="J71" s="45" t="n"/>
      <c r="K71" s="45" t="n">
        <v>4357200</v>
      </c>
      <c r="L71" s="45" t="n">
        <v>4357200</v>
      </c>
      <c r="M71" s="45" t="n"/>
      <c r="N71" s="45" t="n"/>
      <c r="O71" s="45" t="n"/>
      <c r="P71" s="45" t="n"/>
      <c r="Q71" s="45" t="n"/>
      <c r="R71" s="45" t="n"/>
      <c r="S71" s="45" t="n"/>
      <c r="T71" s="45" t="n"/>
      <c r="U71" s="15" t="n"/>
      <c r="V71" s="15" t="n"/>
      <c r="W71" s="49" t="n">
        <v>100</v>
      </c>
    </row>
    <row r="72">
      <c r="A72" s="44" t="inlineStr">
        <is>
          <t>TL Cinsi Kira Sertifikalari</t>
        </is>
      </c>
      <c r="B72" s="44" t="n">
        <v>2024</v>
      </c>
      <c r="C72" s="44" t="inlineStr">
        <is>
          <t>TRD020627T17</t>
        </is>
      </c>
      <c r="D72" s="44" t="inlineStr">
        <is>
          <t>05.06.2024</t>
        </is>
      </c>
      <c r="E72" s="44" t="inlineStr">
        <is>
          <t>02.06.2027</t>
        </is>
      </c>
      <c r="F72" s="44" t="n">
        <v>1092</v>
      </c>
      <c r="G72" s="44" t="inlineStr">
        <is>
          <t>6 Ay</t>
        </is>
      </c>
      <c r="H72" s="15" t="n">
        <v>1.63</v>
      </c>
      <c r="I72" s="45" t="n"/>
      <c r="J72" s="45" t="n"/>
      <c r="K72" s="45" t="n">
        <v>14220000</v>
      </c>
      <c r="L72" s="45" t="n">
        <v>14220000</v>
      </c>
      <c r="M72" s="45" t="n"/>
      <c r="N72" s="45" t="n"/>
      <c r="O72" s="45" t="n"/>
      <c r="P72" s="45" t="n"/>
      <c r="Q72" s="45" t="n"/>
      <c r="R72" s="45" t="n"/>
      <c r="S72" s="45" t="n"/>
      <c r="T72" s="45" t="n"/>
      <c r="U72" s="15" t="n"/>
      <c r="V72" s="15" t="n"/>
      <c r="W72" s="49" t="n">
        <v>100</v>
      </c>
    </row>
    <row r="73">
      <c r="A73" s="44" t="inlineStr">
        <is>
          <t>TL Cinsi Kira Sertifikalari</t>
        </is>
      </c>
      <c r="B73" s="44" t="n">
        <v>2024</v>
      </c>
      <c r="C73" s="44" t="inlineStr">
        <is>
          <t>TRD220726T13</t>
        </is>
      </c>
      <c r="D73" s="44" t="inlineStr">
        <is>
          <t>24.07.2024</t>
        </is>
      </c>
      <c r="E73" s="44" t="inlineStr">
        <is>
          <t>22.07.2026</t>
        </is>
      </c>
      <c r="F73" s="44" t="n">
        <v>728</v>
      </c>
      <c r="G73" s="44" t="inlineStr">
        <is>
          <t>6 Ay</t>
        </is>
      </c>
      <c r="H73" s="15" t="n">
        <v>19.27</v>
      </c>
      <c r="I73" s="45" t="n"/>
      <c r="J73" s="45" t="n"/>
      <c r="K73" s="45" t="n">
        <v>12000000</v>
      </c>
      <c r="L73" s="45" t="n">
        <v>12000000</v>
      </c>
      <c r="M73" s="45" t="n"/>
      <c r="N73" s="45" t="n"/>
      <c r="O73" s="45" t="n"/>
      <c r="P73" s="45" t="n"/>
      <c r="Q73" s="45" t="n"/>
      <c r="R73" s="45" t="n"/>
      <c r="S73" s="45" t="n"/>
      <c r="T73" s="45" t="n"/>
      <c r="U73" s="15" t="n"/>
      <c r="V73" s="15" t="n"/>
      <c r="W73" s="49" t="n">
        <v>100</v>
      </c>
    </row>
    <row r="74">
      <c r="A74" s="44" t="inlineStr">
        <is>
          <t>TL Cinsi Kira Sertifikalari</t>
        </is>
      </c>
      <c r="B74" s="44" t="n">
        <v>2024</v>
      </c>
      <c r="C74" s="44" t="inlineStr">
        <is>
          <t>TRD120826T14</t>
        </is>
      </c>
      <c r="D74" s="44" t="inlineStr">
        <is>
          <t>14.08.2024</t>
        </is>
      </c>
      <c r="E74" s="44" t="inlineStr">
        <is>
          <t>12.08.2026</t>
        </is>
      </c>
      <c r="F74" s="44" t="n">
        <v>728</v>
      </c>
      <c r="G74" s="44" t="inlineStr">
        <is>
          <t>6 Ay</t>
        </is>
      </c>
      <c r="H74" s="15" t="n">
        <v>18.85</v>
      </c>
      <c r="I74" s="45" t="n"/>
      <c r="J74" s="45" t="n"/>
      <c r="K74" s="45" t="n">
        <v>3477500</v>
      </c>
      <c r="L74" s="45" t="n">
        <v>3477500</v>
      </c>
      <c r="M74" s="45" t="n"/>
      <c r="N74" s="45" t="n"/>
      <c r="O74" s="45" t="n"/>
      <c r="P74" s="45" t="n"/>
      <c r="Q74" s="45" t="n"/>
      <c r="R74" s="45" t="n"/>
      <c r="S74" s="45" t="n"/>
      <c r="T74" s="45" t="n"/>
      <c r="U74" s="15" t="n"/>
      <c r="V74" s="15" t="n"/>
      <c r="W74" s="49" t="n">
        <v>100</v>
      </c>
    </row>
    <row r="75">
      <c r="A75" s="44" t="inlineStr">
        <is>
          <t>TL Cinsi Kira Sertifikalari</t>
        </is>
      </c>
      <c r="B75" s="44" t="n">
        <v>2024</v>
      </c>
      <c r="C75" s="44" t="inlineStr">
        <is>
          <t>TRD160926T35</t>
        </is>
      </c>
      <c r="D75" s="44" t="inlineStr">
        <is>
          <t>18.09.2024</t>
        </is>
      </c>
      <c r="E75" s="44" t="inlineStr">
        <is>
          <t>16.09.2026</t>
        </is>
      </c>
      <c r="F75" s="44" t="n">
        <v>728</v>
      </c>
      <c r="G75" s="44" t="inlineStr">
        <is>
          <t>6 Ay</t>
        </is>
      </c>
      <c r="H75" s="15" t="n">
        <v>18.72</v>
      </c>
      <c r="I75" s="45" t="n"/>
      <c r="J75" s="45" t="n"/>
      <c r="K75" s="45" t="n">
        <v>4464000</v>
      </c>
      <c r="L75" s="45" t="n">
        <v>4464000</v>
      </c>
      <c r="M75" s="45" t="n"/>
      <c r="N75" s="45" t="n"/>
      <c r="O75" s="45" t="n"/>
      <c r="P75" s="45" t="n"/>
      <c r="Q75" s="45" t="n"/>
      <c r="R75" s="45" t="n"/>
      <c r="S75" s="45" t="n"/>
      <c r="T75" s="45" t="n"/>
      <c r="U75" s="15" t="n"/>
      <c r="V75" s="15" t="n"/>
      <c r="W75" s="49" t="n">
        <v>100</v>
      </c>
    </row>
    <row r="76">
      <c r="A76" s="44" t="inlineStr">
        <is>
          <t>TL Cinsi Kira Sertifikalari</t>
        </is>
      </c>
      <c r="B76" s="44" t="n">
        <v>2024</v>
      </c>
      <c r="C76" s="44" t="inlineStr">
        <is>
          <t>TRD141026T18</t>
        </is>
      </c>
      <c r="D76" s="44" t="inlineStr">
        <is>
          <t>16.10.2024</t>
        </is>
      </c>
      <c r="E76" s="44" t="inlineStr">
        <is>
          <t>14.10.2026</t>
        </is>
      </c>
      <c r="F76" s="44" t="n">
        <v>728</v>
      </c>
      <c r="G76" s="44" t="inlineStr">
        <is>
          <t>6 Ay</t>
        </is>
      </c>
      <c r="H76" s="15" t="n">
        <v>19.54</v>
      </c>
      <c r="I76" s="45" t="n"/>
      <c r="J76" s="45" t="n"/>
      <c r="K76" s="45" t="n">
        <v>12533000</v>
      </c>
      <c r="L76" s="45" t="n">
        <v>12533000</v>
      </c>
      <c r="M76" s="45" t="n"/>
      <c r="N76" s="45" t="n"/>
      <c r="O76" s="45" t="n"/>
      <c r="P76" s="45" t="n"/>
      <c r="Q76" s="45" t="n"/>
      <c r="R76" s="45" t="n"/>
      <c r="S76" s="45" t="n"/>
      <c r="T76" s="45" t="n"/>
      <c r="U76" s="15" t="n"/>
      <c r="V76" s="15" t="n"/>
      <c r="W76" s="49" t="n">
        <v>100</v>
      </c>
    </row>
    <row r="77">
      <c r="A77" s="44" t="inlineStr">
        <is>
          <t>TL Cinsi Kira Sertifikalari</t>
        </is>
      </c>
      <c r="B77" s="44" t="n">
        <v>2024</v>
      </c>
      <c r="C77" s="44" t="inlineStr">
        <is>
          <t>TRD111126T10</t>
        </is>
      </c>
      <c r="D77" s="44" t="inlineStr">
        <is>
          <t>13.11.2024</t>
        </is>
      </c>
      <c r="E77" s="44" t="inlineStr">
        <is>
          <t>11.11.2026</t>
        </is>
      </c>
      <c r="F77" s="44" t="n">
        <v>728</v>
      </c>
      <c r="G77" s="44" t="inlineStr">
        <is>
          <t>6 Ay</t>
        </is>
      </c>
      <c r="H77" s="15" t="n">
        <v>18.5</v>
      </c>
      <c r="I77" s="45" t="n"/>
      <c r="J77" s="45" t="n"/>
      <c r="K77" s="45" t="n">
        <v>12079710</v>
      </c>
      <c r="L77" s="45" t="n">
        <v>12079710</v>
      </c>
      <c r="M77" s="45" t="n"/>
      <c r="N77" s="45" t="n"/>
      <c r="O77" s="45" t="n"/>
      <c r="P77" s="45" t="n"/>
      <c r="Q77" s="45" t="n"/>
      <c r="R77" s="45" t="n"/>
      <c r="S77" s="45" t="n"/>
      <c r="T77" s="45" t="n"/>
      <c r="U77" s="15" t="n"/>
      <c r="V77" s="15" t="n"/>
      <c r="W77" s="49" t="n">
        <v>100</v>
      </c>
    </row>
    <row r="78">
      <c r="A78" s="44" t="inlineStr">
        <is>
          <t>TL Cinsi Kira Sertifikalari</t>
        </is>
      </c>
      <c r="B78" s="44" t="n">
        <v>2024</v>
      </c>
      <c r="C78" s="44" t="inlineStr">
        <is>
          <t>TRD161226T14</t>
        </is>
      </c>
      <c r="D78" s="44" t="inlineStr">
        <is>
          <t>18.12.2024</t>
        </is>
      </c>
      <c r="E78" s="44" t="inlineStr">
        <is>
          <t>16.12.2026</t>
        </is>
      </c>
      <c r="F78" s="44" t="n">
        <v>728</v>
      </c>
      <c r="G78" s="44" t="inlineStr">
        <is>
          <t>6 Ay</t>
        </is>
      </c>
      <c r="H78" s="15" t="n">
        <v>18.5</v>
      </c>
      <c r="I78" s="45" t="n"/>
      <c r="J78" s="45" t="n"/>
      <c r="K78" s="45" t="n">
        <v>1469011</v>
      </c>
      <c r="L78" s="45" t="n">
        <v>1469011</v>
      </c>
      <c r="M78" s="45" t="n"/>
      <c r="N78" s="45" t="n"/>
      <c r="O78" s="45" t="n"/>
      <c r="P78" s="45" t="n"/>
      <c r="Q78" s="45" t="n"/>
      <c r="R78" s="45" t="n"/>
      <c r="S78" s="45" t="n"/>
      <c r="T78" s="45" t="n"/>
      <c r="U78" s="15" t="n"/>
      <c r="V78" s="15" t="n"/>
      <c r="W78" s="49" t="n">
        <v>100</v>
      </c>
    </row>
    <row r="79">
      <c r="A79" s="44" t="inlineStr">
        <is>
          <t>TL Cinsi Kira Sertifikalari</t>
        </is>
      </c>
      <c r="B79" s="44" t="n">
        <v>2025</v>
      </c>
      <c r="C79" s="44" t="inlineStr">
        <is>
          <t>TRD100227T11</t>
        </is>
      </c>
      <c r="D79" s="44" t="inlineStr">
        <is>
          <t>12.02.2025</t>
        </is>
      </c>
      <c r="E79" s="44" t="inlineStr">
        <is>
          <t>10.02.2027</t>
        </is>
      </c>
      <c r="F79" s="44" t="n">
        <v>728</v>
      </c>
      <c r="G79" s="44" t="inlineStr">
        <is>
          <t>6 Ay</t>
        </is>
      </c>
      <c r="H79" s="15" t="n">
        <v>17.36</v>
      </c>
      <c r="I79" s="45" t="n"/>
      <c r="J79" s="45" t="n"/>
      <c r="K79" s="45" t="n">
        <v>7297500</v>
      </c>
      <c r="L79" s="45" t="n">
        <v>7297500</v>
      </c>
      <c r="M79" s="45" t="n"/>
      <c r="N79" s="45" t="n"/>
      <c r="O79" s="45" t="n"/>
      <c r="P79" s="45" t="n"/>
      <c r="Q79" s="45" t="n"/>
      <c r="R79" s="45" t="n"/>
      <c r="S79" s="45" t="n"/>
      <c r="T79" s="45" t="n"/>
      <c r="U79" s="15" t="n"/>
      <c r="V79" s="15" t="n"/>
      <c r="W79" s="49" t="n">
        <v>100</v>
      </c>
    </row>
    <row r="80">
      <c r="A80" s="44" t="inlineStr">
        <is>
          <t>TL Cinsi Kira Sertifikalari</t>
        </is>
      </c>
      <c r="B80" s="44" t="n">
        <v>2025</v>
      </c>
      <c r="C80" s="44" t="inlineStr">
        <is>
          <t>TRD070427T14</t>
        </is>
      </c>
      <c r="D80" s="44" t="inlineStr">
        <is>
          <t>09.04.2025</t>
        </is>
      </c>
      <c r="E80" s="44" t="inlineStr">
        <is>
          <t>07.04.2027</t>
        </is>
      </c>
      <c r="F80" s="44" t="n">
        <v>728</v>
      </c>
      <c r="G80" s="44" t="inlineStr">
        <is>
          <t>6 Ay</t>
        </is>
      </c>
      <c r="H80" s="15" t="n">
        <v>21.31</v>
      </c>
      <c r="I80" s="45" t="n"/>
      <c r="J80" s="45" t="n"/>
      <c r="K80" s="45" t="n">
        <v>22060437</v>
      </c>
      <c r="L80" s="45" t="n">
        <v>22060437</v>
      </c>
      <c r="M80" s="45" t="n"/>
      <c r="N80" s="45" t="n"/>
      <c r="O80" s="45" t="n"/>
      <c r="P80" s="45" t="n"/>
      <c r="Q80" s="45" t="n"/>
      <c r="R80" s="45" t="n"/>
      <c r="S80" s="45" t="n"/>
      <c r="T80" s="45" t="n"/>
      <c r="U80" s="15" t="n"/>
      <c r="V80" s="15" t="n"/>
      <c r="W80" s="49" t="n">
        <v>100</v>
      </c>
    </row>
    <row r="81">
      <c r="A81" s="44" t="inlineStr">
        <is>
          <t>TL Cinsi Kira Sertifikalari</t>
        </is>
      </c>
      <c r="B81" s="44" t="n">
        <v>2025</v>
      </c>
      <c r="C81" s="44" t="inlineStr">
        <is>
          <t>TRD160627T11</t>
        </is>
      </c>
      <c r="D81" s="44" t="inlineStr">
        <is>
          <t>18.06.2025</t>
        </is>
      </c>
      <c r="E81" s="44" t="inlineStr">
        <is>
          <t>16.06.2027</t>
        </is>
      </c>
      <c r="F81" s="44" t="n">
        <v>728</v>
      </c>
      <c r="G81" s="44" t="inlineStr">
        <is>
          <t>6 Ay</t>
        </is>
      </c>
      <c r="H81" s="15" t="n">
        <v>19.98</v>
      </c>
      <c r="I81" s="45" t="n"/>
      <c r="J81" s="45" t="n"/>
      <c r="K81" s="45" t="n">
        <v>15125830</v>
      </c>
      <c r="L81" s="45" t="n">
        <v>15125830</v>
      </c>
      <c r="M81" s="45" t="n"/>
      <c r="N81" s="45" t="n"/>
      <c r="O81" s="45" t="n"/>
      <c r="P81" s="45" t="n"/>
      <c r="Q81" s="45" t="n"/>
      <c r="R81" s="45" t="n"/>
      <c r="S81" s="45" t="n"/>
      <c r="T81" s="45" t="n"/>
      <c r="U81" s="15" t="n"/>
      <c r="V81" s="15" t="n"/>
      <c r="W81" s="49" t="n">
        <v>100</v>
      </c>
    </row>
    <row r="82">
      <c r="A82" s="44" t="inlineStr">
        <is>
          <t>TL Cinsi Kira Sertifikalari</t>
        </is>
      </c>
      <c r="B82" s="44" t="n">
        <v>2025</v>
      </c>
      <c r="C82" s="44" t="inlineStr">
        <is>
          <t>TRD170730T14</t>
        </is>
      </c>
      <c r="D82" s="44" t="inlineStr">
        <is>
          <t>23.07.2025</t>
        </is>
      </c>
      <c r="E82" s="44" t="inlineStr">
        <is>
          <t>17.07.2030</t>
        </is>
      </c>
      <c r="F82" s="44" t="n">
        <v>1820</v>
      </c>
      <c r="G82" s="44" t="inlineStr">
        <is>
          <t>6 Ay</t>
        </is>
      </c>
      <c r="H82" s="15" t="n">
        <v>16.68</v>
      </c>
      <c r="I82" s="45" t="n"/>
      <c r="J82" s="45" t="n"/>
      <c r="K82" s="45" t="n">
        <v>23773430</v>
      </c>
      <c r="L82" s="45" t="n">
        <v>23773430</v>
      </c>
      <c r="M82" s="45" t="n"/>
      <c r="N82" s="45" t="n"/>
      <c r="O82" s="45" t="n"/>
      <c r="P82" s="45" t="n"/>
      <c r="Q82" s="45" t="n"/>
      <c r="R82" s="45" t="n"/>
      <c r="S82" s="45" t="n"/>
      <c r="T82" s="45" t="n"/>
      <c r="U82" s="15" t="n"/>
      <c r="V82" s="15" t="n"/>
      <c r="W82" s="49" t="n">
        <v>100</v>
      </c>
    </row>
    <row r="83">
      <c r="A83" s="44" t="inlineStr">
        <is>
          <t>TL Cinsi Kira Sertifikalari</t>
        </is>
      </c>
      <c r="B83" s="44" t="n">
        <v>2025</v>
      </c>
      <c r="C83" s="44" t="inlineStr">
        <is>
          <t>TRD110827T14</t>
        </is>
      </c>
      <c r="D83" s="44" t="inlineStr">
        <is>
          <t>13.08.2025</t>
        </is>
      </c>
      <c r="E83" s="44" t="inlineStr">
        <is>
          <t>11.08.2027</t>
        </is>
      </c>
      <c r="F83" s="44" t="n">
        <v>728</v>
      </c>
      <c r="G83" s="44" t="inlineStr">
        <is>
          <t>6 Ay</t>
        </is>
      </c>
      <c r="H83" s="15" t="n">
        <v>18.41</v>
      </c>
      <c r="I83" s="45" t="n"/>
      <c r="J83" s="45" t="n"/>
      <c r="K83" s="45" t="n">
        <v>13901160</v>
      </c>
      <c r="L83" s="45" t="n">
        <v>13901160</v>
      </c>
      <c r="M83" s="45" t="n"/>
      <c r="N83" s="45" t="n"/>
      <c r="O83" s="45" t="n"/>
      <c r="P83" s="45" t="n"/>
      <c r="Q83" s="45" t="n"/>
      <c r="R83" s="45" t="n"/>
      <c r="S83" s="45" t="n"/>
      <c r="T83" s="45" t="n"/>
      <c r="U83" s="15" t="n"/>
      <c r="V83" s="15" t="n"/>
      <c r="W83" s="49" t="n">
        <v>100</v>
      </c>
    </row>
    <row r="84">
      <c r="A84" s="44" t="inlineStr">
        <is>
          <t>TL Cinsi Kira Sertifikalari</t>
        </is>
      </c>
      <c r="B84" s="44" t="n">
        <v>2025</v>
      </c>
      <c r="C84" s="44" t="inlineStr">
        <is>
          <t>TRD080927T34</t>
        </is>
      </c>
      <c r="D84" s="44" t="inlineStr">
        <is>
          <t>10.09.2025</t>
        </is>
      </c>
      <c r="E84" s="44" t="inlineStr">
        <is>
          <t>08.09.2027</t>
        </is>
      </c>
      <c r="F84" s="44" t="n">
        <v>728</v>
      </c>
      <c r="G84" s="44" t="inlineStr">
        <is>
          <t>6 Ay</t>
        </is>
      </c>
      <c r="H84" s="15" t="n">
        <v>21.5</v>
      </c>
      <c r="I84" s="45" t="n"/>
      <c r="J84" s="45" t="n"/>
      <c r="K84" s="45" t="n">
        <v>80074420</v>
      </c>
      <c r="L84" s="45" t="n">
        <v>80074420</v>
      </c>
      <c r="M84" s="45" t="n"/>
      <c r="N84" s="45" t="n"/>
      <c r="O84" s="45" t="n"/>
      <c r="P84" s="45" t="n"/>
      <c r="Q84" s="45" t="n"/>
      <c r="R84" s="45" t="n"/>
      <c r="S84" s="45" t="n"/>
      <c r="T84" s="45" t="n"/>
      <c r="U84" s="15" t="n"/>
      <c r="V84" s="15" t="n"/>
      <c r="W84" s="49" t="n">
        <v>100</v>
      </c>
    </row>
    <row r="85">
      <c r="A85" s="44" t="inlineStr">
        <is>
          <t>TL Cinsi Kira Sertifikalari</t>
        </is>
      </c>
      <c r="B85" s="44" t="n">
        <v>2025</v>
      </c>
      <c r="C85" s="44" t="inlineStr">
        <is>
          <t>TRD061027T33</t>
        </is>
      </c>
      <c r="D85" s="44" t="inlineStr">
        <is>
          <t>08.10.2025</t>
        </is>
      </c>
      <c r="E85" s="44" t="inlineStr">
        <is>
          <t>06.10.2027</t>
        </is>
      </c>
      <c r="F85" s="44" t="n">
        <v>728</v>
      </c>
      <c r="G85" s="44" t="inlineStr">
        <is>
          <t>6 Ay</t>
        </is>
      </c>
      <c r="H85" s="15" t="n">
        <v>20</v>
      </c>
      <c r="I85" s="45" t="n"/>
      <c r="J85" s="45" t="n"/>
      <c r="K85" s="45" t="n">
        <v>38373000</v>
      </c>
      <c r="L85" s="45" t="n">
        <v>38373000</v>
      </c>
      <c r="M85" s="45" t="n"/>
      <c r="N85" s="45" t="n"/>
      <c r="O85" s="45" t="n"/>
      <c r="P85" s="45" t="n"/>
      <c r="Q85" s="45" t="n"/>
      <c r="R85" s="45" t="n"/>
      <c r="S85" s="45" t="n"/>
      <c r="T85" s="45" t="n"/>
      <c r="U85" s="15" t="n"/>
      <c r="V85" s="15" t="n"/>
      <c r="W85" s="49" t="n">
        <v>100</v>
      </c>
    </row>
    <row r="86">
      <c r="A86" s="44" t="inlineStr">
        <is>
          <t>TL Cinsi Kira Sertifikalari</t>
        </is>
      </c>
      <c r="B86" s="44" t="n">
        <v>2025</v>
      </c>
      <c r="C86" s="44" t="inlineStr">
        <is>
          <t>TRD171127T13</t>
        </is>
      </c>
      <c r="D86" s="44" t="inlineStr">
        <is>
          <t>19.11.2025</t>
        </is>
      </c>
      <c r="E86" s="44" t="inlineStr">
        <is>
          <t>17.11.2027</t>
        </is>
      </c>
      <c r="F86" s="44" t="n">
        <v>728</v>
      </c>
      <c r="G86" s="44" t="inlineStr">
        <is>
          <t>6 Ay</t>
        </is>
      </c>
      <c r="H86" s="15" t="n">
        <v>19</v>
      </c>
      <c r="I86" s="45" t="n"/>
      <c r="J86" s="45" t="n"/>
      <c r="K86" s="45" t="n">
        <v>17782910</v>
      </c>
      <c r="L86" s="45" t="n">
        <v>17782910</v>
      </c>
      <c r="M86" s="45" t="n"/>
      <c r="N86" s="45" t="n"/>
      <c r="O86" s="45" t="n"/>
      <c r="P86" s="45" t="n"/>
      <c r="Q86" s="45" t="n"/>
      <c r="R86" s="45" t="n"/>
      <c r="S86" s="45" t="n"/>
      <c r="T86" s="45" t="n"/>
      <c r="U86" s="15" t="n"/>
      <c r="V86" s="15" t="n"/>
      <c r="W86" s="49" t="n">
        <v>100</v>
      </c>
    </row>
    <row r="87">
      <c r="A87" s="44" t="inlineStr">
        <is>
          <t>TL Cinsi Kira Sertifikalari</t>
        </is>
      </c>
      <c r="B87" s="44" t="n">
        <v>2025</v>
      </c>
      <c r="C87" s="44" t="inlineStr">
        <is>
          <t>TRD151227T14</t>
        </is>
      </c>
      <c r="D87" s="44" t="inlineStr">
        <is>
          <t>17.12.2025</t>
        </is>
      </c>
      <c r="E87" s="44" t="inlineStr">
        <is>
          <t>15.12.2027</t>
        </is>
      </c>
      <c r="F87" s="44" t="n">
        <v>728</v>
      </c>
      <c r="G87" s="44" t="inlineStr">
        <is>
          <t>6 Ay</t>
        </is>
      </c>
      <c r="H87" s="15" t="n">
        <v>18.25</v>
      </c>
      <c r="I87" s="45" t="n"/>
      <c r="J87" s="45" t="n"/>
      <c r="K87" s="45" t="n">
        <v>15045100</v>
      </c>
      <c r="L87" s="45" t="n">
        <v>15045100</v>
      </c>
      <c r="M87" s="45" t="n"/>
      <c r="N87" s="45" t="n"/>
      <c r="O87" s="45" t="n"/>
      <c r="P87" s="45" t="n"/>
      <c r="Q87" s="45" t="n"/>
      <c r="R87" s="45" t="n"/>
      <c r="S87" s="45" t="n"/>
      <c r="T87" s="45" t="n"/>
      <c r="U87" s="15" t="n"/>
      <c r="V87" s="15" t="n"/>
      <c r="W87" s="49" t="n">
        <v>100</v>
      </c>
    </row>
    <row r="88">
      <c r="A88" s="44" t="inlineStr">
        <is>
          <t>TL Cinsi Kira Sertifikalari</t>
        </is>
      </c>
      <c r="B88" s="44" t="n">
        <v>2026</v>
      </c>
      <c r="C88" s="44" t="inlineStr">
        <is>
          <t>TRD050128T18</t>
        </is>
      </c>
      <c r="D88" s="44" t="inlineStr">
        <is>
          <t>07.01.2026</t>
        </is>
      </c>
      <c r="E88" s="44" t="inlineStr">
        <is>
          <t>05.01.2028</t>
        </is>
      </c>
      <c r="F88" s="44" t="n">
        <v>728</v>
      </c>
      <c r="G88" s="44" t="inlineStr">
        <is>
          <t>6 Ay</t>
        </is>
      </c>
      <c r="H88" s="15" t="n">
        <v>16.7</v>
      </c>
      <c r="I88" s="45" t="n"/>
      <c r="J88" s="45" t="n"/>
      <c r="K88" s="45" t="n">
        <v>18907700</v>
      </c>
      <c r="L88" s="45" t="n">
        <v>18907700</v>
      </c>
      <c r="M88" s="45" t="n"/>
      <c r="N88" s="45" t="n"/>
      <c r="O88" s="45" t="n"/>
      <c r="P88" s="45" t="n"/>
      <c r="Q88" s="45" t="n"/>
      <c r="R88" s="45" t="n"/>
      <c r="S88" s="45" t="n"/>
      <c r="T88" s="45" t="n"/>
      <c r="U88" s="15" t="n"/>
      <c r="V88" s="15" t="n"/>
      <c r="W88" s="49" t="n">
        <v>100</v>
      </c>
    </row>
    <row r="89">
      <c r="A89" s="44" t="inlineStr">
        <is>
          <t>TL Cinsi Kira Sertifikalari</t>
        </is>
      </c>
      <c r="B89" s="44" t="n">
        <v>2026</v>
      </c>
      <c r="C89" s="44" t="inlineStr">
        <is>
          <t>TRD050231T12</t>
        </is>
      </c>
      <c r="D89" s="44" t="inlineStr">
        <is>
          <t>11.02.2026</t>
        </is>
      </c>
      <c r="E89" s="44" t="inlineStr">
        <is>
          <t>05.02.2031</t>
        </is>
      </c>
      <c r="F89" s="44" t="n">
        <v>1820</v>
      </c>
      <c r="G89" s="44" t="inlineStr">
        <is>
          <t>6 Ay</t>
        </is>
      </c>
      <c r="H89" s="15" t="n">
        <v>15.15</v>
      </c>
      <c r="I89" s="45" t="n"/>
      <c r="J89" s="45" t="n"/>
      <c r="K89" s="45" t="n">
        <v>29864500</v>
      </c>
      <c r="L89" s="45" t="n">
        <v>29864500</v>
      </c>
      <c r="M89" s="45" t="n"/>
      <c r="N89" s="45" t="n"/>
      <c r="O89" s="45" t="n"/>
      <c r="P89" s="45" t="n"/>
      <c r="Q89" s="45" t="n"/>
      <c r="R89" s="45" t="n"/>
      <c r="S89" s="45" t="n"/>
      <c r="T89" s="45" t="n"/>
      <c r="U89" s="15" t="n"/>
      <c r="V89" s="15" t="n"/>
      <c r="W89" s="49" t="n">
        <v>100</v>
      </c>
    </row>
    <row r="90">
      <c r="A90" s="44" t="inlineStr">
        <is>
          <t>TL Cinsi Kira Sertifikalari</t>
        </is>
      </c>
      <c r="B90" s="44" t="n">
        <v>2026</v>
      </c>
      <c r="C90" s="44" t="inlineStr">
        <is>
          <t>TRD120428T16</t>
        </is>
      </c>
      <c r="D90" s="44" t="inlineStr">
        <is>
          <t>15.04.2026</t>
        </is>
      </c>
      <c r="E90" s="44" t="inlineStr">
        <is>
          <t>12.04.2028</t>
        </is>
      </c>
      <c r="F90" s="44" t="n">
        <v>728</v>
      </c>
      <c r="G90" s="44" t="inlineStr">
        <is>
          <t>6 Ay</t>
        </is>
      </c>
      <c r="H90" s="15" t="n">
        <v>18.14</v>
      </c>
      <c r="I90" s="45" t="n"/>
      <c r="J90" s="45" t="n"/>
      <c r="K90" s="45" t="n">
        <v>24118800</v>
      </c>
      <c r="L90" s="45" t="n">
        <v>24118800</v>
      </c>
      <c r="M90" s="45" t="n"/>
      <c r="N90" s="45" t="n"/>
      <c r="O90" s="45" t="n"/>
      <c r="P90" s="45" t="n"/>
      <c r="Q90" s="45" t="n"/>
      <c r="R90" s="45" t="n"/>
      <c r="S90" s="45" t="n"/>
      <c r="T90" s="45" t="n"/>
      <c r="U90" s="15" t="n"/>
      <c r="V90" s="15" t="n"/>
      <c r="W90" s="49" t="n">
        <v>100</v>
      </c>
    </row>
    <row r="91">
      <c r="A91" s="44" t="inlineStr">
        <is>
          <t>TL Cinsi Kira Sertifikalari</t>
        </is>
      </c>
      <c r="B91" s="44" t="n">
        <v>2026</v>
      </c>
      <c r="C91" s="44" t="inlineStr">
        <is>
          <t>TRD160627T37</t>
        </is>
      </c>
      <c r="D91" s="44" t="inlineStr">
        <is>
          <t>17.06.2026</t>
        </is>
      </c>
      <c r="E91" s="44" t="inlineStr">
        <is>
          <t>16.06.2027</t>
        </is>
      </c>
      <c r="F91" s="44" t="n">
        <v>364</v>
      </c>
      <c r="G91" s="44" t="inlineStr">
        <is>
          <t>6 Ay</t>
        </is>
      </c>
      <c r="H91" s="15" t="n">
        <v>19</v>
      </c>
      <c r="I91" s="45" t="n"/>
      <c r="J91" s="45" t="n"/>
      <c r="K91" s="45" t="n">
        <v>13424000</v>
      </c>
      <c r="L91" s="45" t="n">
        <v>13424000</v>
      </c>
      <c r="M91" s="45" t="n"/>
      <c r="N91" s="45" t="n"/>
      <c r="O91" s="45" t="n"/>
      <c r="P91" s="45" t="n"/>
      <c r="Q91" s="45" t="n"/>
      <c r="R91" s="45" t="n"/>
      <c r="S91" s="45" t="n"/>
      <c r="T91" s="45" t="n"/>
      <c r="U91" s="15" t="n"/>
      <c r="V91" s="15" t="n"/>
      <c r="W91" s="49" t="n">
        <v>100</v>
      </c>
    </row>
    <row r="92">
      <c r="A92" s="44" t="inlineStr">
        <is>
          <t>TL Cinsi Kira Sertifikalari</t>
        </is>
      </c>
      <c r="B92" s="44" t="n">
        <v>2026</v>
      </c>
      <c r="C92" s="44" t="inlineStr">
        <is>
          <t>TRD190728T16</t>
        </is>
      </c>
      <c r="D92" s="44" t="inlineStr">
        <is>
          <t>22.07.2026</t>
        </is>
      </c>
      <c r="E92" s="44" t="inlineStr">
        <is>
          <t>19.07.2028</t>
        </is>
      </c>
      <c r="F92" s="44" t="n">
        <v>728</v>
      </c>
      <c r="G92" s="44" t="inlineStr">
        <is>
          <t>6 Ay</t>
        </is>
      </c>
      <c r="H92" s="15" t="n">
        <v>18.68</v>
      </c>
      <c r="I92" s="45" t="n"/>
      <c r="J92" s="45" t="n"/>
      <c r="K92" s="45" t="n">
        <v>19851540</v>
      </c>
      <c r="L92" s="45" t="n">
        <v>19851540</v>
      </c>
      <c r="M92" s="45" t="n"/>
      <c r="N92" s="45" t="n"/>
      <c r="O92" s="45" t="n"/>
      <c r="P92" s="45" t="n"/>
      <c r="Q92" s="45" t="n"/>
      <c r="R92" s="45" t="n"/>
      <c r="S92" s="45" t="n"/>
      <c r="T92" s="45" t="n"/>
      <c r="U92" s="15" t="n"/>
      <c r="V92" s="15" t="n"/>
      <c r="W92" s="49" t="n">
        <v>100</v>
      </c>
    </row>
    <row r="93">
      <c r="A93" s="44" t="inlineStr">
        <is>
          <t>TL Cinsi Kira Sertifikalari</t>
        </is>
      </c>
      <c r="B93" s="44" t="n">
        <v>2026</v>
      </c>
      <c r="C93" s="44" t="inlineStr">
        <is>
          <t>TRD090828T17</t>
        </is>
      </c>
      <c r="D93" s="44" t="inlineStr">
        <is>
          <t>12.08.2026</t>
        </is>
      </c>
      <c r="E93" s="44" t="inlineStr">
        <is>
          <t>09.08.2028</t>
        </is>
      </c>
      <c r="F93" s="44" t="n">
        <v>728</v>
      </c>
      <c r="G93" s="44" t="inlineStr">
        <is>
          <t>6 Ay</t>
        </is>
      </c>
      <c r="H93" s="15" t="n">
        <v>19.5</v>
      </c>
      <c r="I93" s="45" t="n"/>
      <c r="J93" s="45" t="n"/>
      <c r="K93" s="45" t="n">
        <v>66589500</v>
      </c>
      <c r="L93" s="45" t="n">
        <v>66589500</v>
      </c>
      <c r="M93" s="45" t="n"/>
      <c r="N93" s="45" t="n"/>
      <c r="O93" s="45" t="n"/>
      <c r="P93" s="45" t="n"/>
      <c r="Q93" s="45" t="n"/>
      <c r="R93" s="45" t="n"/>
      <c r="S93" s="45" t="n"/>
      <c r="T93" s="45" t="n"/>
      <c r="U93" s="15" t="n"/>
      <c r="V93" s="15" t="n"/>
      <c r="W93" s="49" t="n">
        <v>100</v>
      </c>
    </row>
    <row r="94">
      <c r="A94" s="44" t="inlineStr">
        <is>
          <t>TL Cinsi Kira Sertifikalari</t>
        </is>
      </c>
      <c r="B94" s="44" t="n">
        <v>2026</v>
      </c>
      <c r="C94" s="44" t="inlineStr">
        <is>
          <t>TRD130928T10</t>
        </is>
      </c>
      <c r="D94" s="44" t="inlineStr">
        <is>
          <t>16.09.2026</t>
        </is>
      </c>
      <c r="E94" s="44" t="inlineStr">
        <is>
          <t>13.09.2028</t>
        </is>
      </c>
      <c r="F94" s="44" t="n">
        <v>728</v>
      </c>
      <c r="G94" s="44" t="inlineStr">
        <is>
          <t>6 Ay</t>
        </is>
      </c>
      <c r="H94" s="15" t="n">
        <v>18.3</v>
      </c>
      <c r="I94" s="45" t="n"/>
      <c r="J94" s="45" t="n"/>
      <c r="K94" s="45" t="n">
        <v>32206100</v>
      </c>
      <c r="L94" s="45" t="n">
        <v>32206100</v>
      </c>
      <c r="M94" s="45" t="n"/>
      <c r="N94" s="45" t="n"/>
      <c r="O94" s="45" t="n"/>
      <c r="P94" s="45" t="n"/>
      <c r="Q94" s="45" t="n"/>
      <c r="R94" s="45" t="n"/>
      <c r="S94" s="45" t="n"/>
      <c r="T94" s="45" t="n"/>
      <c r="U94" s="15" t="n"/>
      <c r="V94" s="15" t="n"/>
      <c r="W94" s="49" t="n">
        <v>100</v>
      </c>
    </row>
    <row r="95">
      <c r="A95" s="44" t="inlineStr">
        <is>
          <t>TL Cinsi Kira Sertifikalari</t>
        </is>
      </c>
      <c r="B95" s="44" t="n">
        <v>2026</v>
      </c>
      <c r="C95" s="44" t="inlineStr">
        <is>
          <t>TRD041028T26</t>
        </is>
      </c>
      <c r="D95" s="44" t="inlineStr">
        <is>
          <t>07.10.2026</t>
        </is>
      </c>
      <c r="E95" s="44" t="inlineStr">
        <is>
          <t>04.10.2028</t>
        </is>
      </c>
      <c r="F95" s="44" t="n">
        <v>728</v>
      </c>
      <c r="G95" s="44" t="inlineStr">
        <is>
          <t>6 Ay</t>
        </is>
      </c>
      <c r="H95" s="15" t="n">
        <v>18.9</v>
      </c>
      <c r="I95" s="45" t="n"/>
      <c r="J95" s="45" t="n"/>
      <c r="K95" s="45" t="n">
        <v>59255500</v>
      </c>
      <c r="L95" s="45" t="n">
        <v>59255500</v>
      </c>
      <c r="M95" s="45" t="n"/>
      <c r="N95" s="45" t="n"/>
      <c r="O95" s="45" t="n"/>
      <c r="P95" s="45" t="n"/>
      <c r="Q95" s="45" t="n"/>
      <c r="R95" s="45" t="n"/>
      <c r="S95" s="45" t="n"/>
      <c r="T95" s="45" t="n"/>
      <c r="U95" s="15" t="n"/>
      <c r="V95" s="15" t="n"/>
      <c r="W95" s="49" t="n">
        <v>100</v>
      </c>
    </row>
  </sheetData>
  <mergeCells count="8">
    <mergeCell ref="Q1:R1"/>
    <mergeCell ref="K1:L1"/>
    <mergeCell ref="S1:T1"/>
    <mergeCell ref="U1:V1"/>
    <mergeCell ref="O1:P1"/>
    <mergeCell ref="A1:H1"/>
    <mergeCell ref="M1:N1"/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99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8" customHeight="1">
      <c r="A1" s="26" t="inlineStr">
        <is>
          <t>Genel Bilgiler</t>
        </is>
      </c>
      <c r="B1" s="2" t="n"/>
      <c r="C1" s="2" t="n"/>
      <c r="D1" s="2" t="n"/>
      <c r="E1" s="2" t="n"/>
      <c r="F1" s="2" t="n"/>
      <c r="G1" s="2" t="n"/>
      <c r="H1" s="3" t="n"/>
      <c r="I1" s="27" t="inlineStr">
        <is>
          <t>Teklif Edilen Tutar</t>
        </is>
      </c>
      <c r="J1" s="3" t="n"/>
      <c r="K1" s="28" t="inlineStr">
        <is>
          <t>İhale Kabul Edilen Tutar</t>
        </is>
      </c>
      <c r="L1" s="3" t="n"/>
      <c r="M1" s="29" t="inlineStr">
        <is>
          <t>Rek. Olmayan Teklif - Kamu</t>
        </is>
      </c>
      <c r="N1" s="3" t="n"/>
      <c r="O1" s="30" t="inlineStr">
        <is>
          <t>Rek. Olmayan Teklif - Piyasa Yapıcı</t>
        </is>
      </c>
      <c r="P1" s="3" t="n"/>
      <c r="Q1" s="31" t="inlineStr">
        <is>
          <t>İhale Sonrası Satış</t>
        </is>
      </c>
      <c r="R1" s="3" t="n"/>
      <c r="S1" s="32" t="inlineStr">
        <is>
          <t>Toplam Satış</t>
        </is>
      </c>
      <c r="T1" s="3" t="n"/>
      <c r="U1" s="33" t="inlineStr">
        <is>
          <t>Kabul Edilen Faiz (%)</t>
        </is>
      </c>
      <c r="V1" s="3" t="n"/>
      <c r="W1" s="34" t="inlineStr">
        <is>
          <t>Fiyat</t>
        </is>
      </c>
    </row>
    <row r="2" ht="36" customHeight="1">
      <c r="A2" s="35" t="inlineStr">
        <is>
          <t>Senet Türü</t>
        </is>
      </c>
      <c r="B2" s="35" t="inlineStr">
        <is>
          <t>Yıl</t>
        </is>
      </c>
      <c r="C2" s="35" t="inlineStr">
        <is>
          <t>ISIN Kodu</t>
        </is>
      </c>
      <c r="D2" s="35" t="inlineStr">
        <is>
          <t>Valör Tarihi</t>
        </is>
      </c>
      <c r="E2" s="35" t="inlineStr">
        <is>
          <t>İtfa Tarihi</t>
        </is>
      </c>
      <c r="F2" s="35" t="inlineStr">
        <is>
          <t>Vade (Gün)</t>
        </is>
      </c>
      <c r="G2" s="35" t="inlineStr">
        <is>
          <t>Kupon Dönemi</t>
        </is>
      </c>
      <c r="H2" s="35" t="inlineStr">
        <is>
          <t>Kupon Oranı (%)</t>
        </is>
      </c>
      <c r="I2" s="36" t="inlineStr">
        <is>
          <t>Nominal (Bin TL)</t>
        </is>
      </c>
      <c r="J2" s="36" t="inlineStr">
        <is>
          <t>Net (Bin TL)</t>
        </is>
      </c>
      <c r="K2" s="37" t="inlineStr">
        <is>
          <t>Nominal (Bin TL)</t>
        </is>
      </c>
      <c r="L2" s="37" t="inlineStr">
        <is>
          <t>Net (Bin TL)</t>
        </is>
      </c>
      <c r="M2" s="38" t="inlineStr">
        <is>
          <t>Nominal (Bin TL)</t>
        </is>
      </c>
      <c r="N2" s="38" t="inlineStr">
        <is>
          <t>Net (Bin TL)</t>
        </is>
      </c>
      <c r="O2" s="39" t="inlineStr">
        <is>
          <t>Nominal (Bin TL)</t>
        </is>
      </c>
      <c r="P2" s="39" t="inlineStr">
        <is>
          <t>Net (Bin TL)</t>
        </is>
      </c>
      <c r="Q2" s="40" t="inlineStr">
        <is>
          <t>Nominal (Bin TL)</t>
        </is>
      </c>
      <c r="R2" s="40" t="inlineStr">
        <is>
          <t>Net (Bin TL)</t>
        </is>
      </c>
      <c r="S2" s="41" t="inlineStr">
        <is>
          <t>Nominal (Bin TL)</t>
        </is>
      </c>
      <c r="T2" s="41" t="inlineStr">
        <is>
          <t>Net (Bin TL)</t>
        </is>
      </c>
      <c r="U2" s="42" t="inlineStr">
        <is>
          <t>Ort. Dönem (Basit)</t>
        </is>
      </c>
      <c r="V2" s="42" t="inlineStr">
        <is>
          <t>Ort. Yıllık Bileşik</t>
        </is>
      </c>
      <c r="W2" s="43" t="inlineStr">
        <is>
          <t>İhraç Birim Fiyatı (Ort.)</t>
        </is>
      </c>
    </row>
    <row r="3">
      <c r="A3" s="44" t="inlineStr">
        <is>
          <t>TL Cinsi Kuponsuz Senetler</t>
        </is>
      </c>
      <c r="B3" s="44" t="n">
        <v>2026</v>
      </c>
      <c r="C3" s="44" t="inlineStr">
        <is>
          <t>TRT060127T10</t>
        </is>
      </c>
      <c r="D3" s="44" t="inlineStr">
        <is>
          <t>07.01.2026</t>
        </is>
      </c>
      <c r="E3" s="44" t="inlineStr">
        <is>
          <t>06.01.2027</t>
        </is>
      </c>
      <c r="F3" s="44" t="n">
        <v>364</v>
      </c>
      <c r="G3" s="44" t="n"/>
      <c r="H3" s="15" t="n"/>
      <c r="I3" s="45" t="n">
        <v>86764373</v>
      </c>
      <c r="J3" s="45" t="n">
        <v>63303336.39012</v>
      </c>
      <c r="K3" s="45" t="n">
        <v>38149825</v>
      </c>
      <c r="L3" s="45" t="n">
        <v>27918967.93902</v>
      </c>
      <c r="M3" s="45" t="n">
        <v>3279494.956</v>
      </c>
      <c r="N3" s="45" t="n">
        <v>2399999.9987</v>
      </c>
      <c r="O3" s="45" t="n">
        <v>21863299.712</v>
      </c>
      <c r="P3" s="45" t="n">
        <v>15999999.99523</v>
      </c>
      <c r="Q3" s="45" t="n">
        <v>11914727.921</v>
      </c>
      <c r="R3" s="45" t="n">
        <v>8719436.18715</v>
      </c>
      <c r="S3" s="45" t="n">
        <v>75207347.589</v>
      </c>
      <c r="T3" s="45" t="n">
        <v>55038404.1201</v>
      </c>
      <c r="U3" s="15" t="n">
        <v>36.64</v>
      </c>
      <c r="V3" s="15" t="n">
        <v>36.64</v>
      </c>
      <c r="W3" s="49" t="n">
        <v>73.182</v>
      </c>
    </row>
    <row r="4">
      <c r="A4" s="44" t="inlineStr">
        <is>
          <t>TL Cinsi Kuponsuz Senetler</t>
        </is>
      </c>
      <c r="B4" s="44" t="n">
        <v>2026</v>
      </c>
      <c r="C4" s="44" t="inlineStr">
        <is>
          <t>TRT060127T10</t>
        </is>
      </c>
      <c r="D4" s="44" t="inlineStr">
        <is>
          <t>11.02.2026</t>
        </is>
      </c>
      <c r="E4" s="44" t="inlineStr">
        <is>
          <t>06.01.2027</t>
        </is>
      </c>
      <c r="F4" s="44" t="n">
        <v>329</v>
      </c>
      <c r="G4" s="44" t="n"/>
      <c r="H4" s="15" t="n"/>
      <c r="I4" s="45" t="n">
        <v>55702053.969</v>
      </c>
      <c r="J4" s="45" t="n">
        <v>42172668.15256</v>
      </c>
      <c r="K4" s="45" t="n">
        <v>15325244.969</v>
      </c>
      <c r="L4" s="45" t="n">
        <v>11664498.5681</v>
      </c>
      <c r="M4" s="45" t="n">
        <v>1313836.006</v>
      </c>
      <c r="N4" s="45" t="n">
        <v>999999.99925</v>
      </c>
      <c r="O4" s="45" t="n">
        <v>3941508.015</v>
      </c>
      <c r="P4" s="45" t="n">
        <v>2999999.99548</v>
      </c>
      <c r="Q4" s="45" t="n">
        <v>6920380.216</v>
      </c>
      <c r="R4" s="45" t="n">
        <v>5267308.99381</v>
      </c>
      <c r="S4" s="45" t="n">
        <v>27500969.206</v>
      </c>
      <c r="T4" s="45" t="n">
        <v>20931807.55664</v>
      </c>
      <c r="U4" s="15" t="n">
        <v>31.38</v>
      </c>
      <c r="V4" s="15" t="n">
        <v>35.25</v>
      </c>
      <c r="W4" s="49" t="n">
        <v>76.113</v>
      </c>
    </row>
    <row r="5">
      <c r="A5" s="44" t="inlineStr">
        <is>
          <t>TL Cinsi Kuponsuz Senetler</t>
        </is>
      </c>
      <c r="B5" s="44" t="n">
        <v>2026</v>
      </c>
      <c r="C5" s="44" t="inlineStr">
        <is>
          <t>TRT060127T10</t>
        </is>
      </c>
      <c r="D5" s="44" t="inlineStr">
        <is>
          <t>11.03.2026</t>
        </is>
      </c>
      <c r="E5" s="44" t="inlineStr">
        <is>
          <t>06.01.2027</t>
        </is>
      </c>
      <c r="F5" s="44" t="n">
        <v>301</v>
      </c>
      <c r="G5" s="44" t="n"/>
      <c r="H5" s="15" t="n"/>
      <c r="I5" s="45" t="n">
        <v>36640334.425</v>
      </c>
      <c r="J5" s="45" t="n">
        <v>27782186.60789</v>
      </c>
      <c r="K5" s="45" t="n">
        <v>11543831</v>
      </c>
      <c r="L5" s="45" t="n">
        <v>8831242.764590001</v>
      </c>
      <c r="M5" s="45" t="n">
        <v>24509163.156</v>
      </c>
      <c r="N5" s="45" t="n">
        <v>18749999.9976</v>
      </c>
      <c r="O5" s="45" t="n">
        <v>6535776.84</v>
      </c>
      <c r="P5" s="45" t="n">
        <v>4999999.99814</v>
      </c>
      <c r="Q5" s="45" t="n">
        <v>4245222.219</v>
      </c>
      <c r="R5" s="45" t="n">
        <v>3247679.90198</v>
      </c>
      <c r="S5" s="45" t="n">
        <v>46833993.215</v>
      </c>
      <c r="T5" s="45" t="n">
        <v>35828922.66231</v>
      </c>
      <c r="U5" s="15" t="n">
        <v>30.72</v>
      </c>
      <c r="V5" s="15" t="n">
        <v>38.25</v>
      </c>
      <c r="W5" s="49" t="n">
        <v>76.502</v>
      </c>
    </row>
    <row r="6">
      <c r="A6" s="44" t="inlineStr">
        <is>
          <t>TL Cinsi Kuponsuz Senetler</t>
        </is>
      </c>
      <c r="B6" s="44" t="n">
        <v>2026</v>
      </c>
      <c r="C6" s="44" t="inlineStr">
        <is>
          <t>TRB170327T15</t>
        </is>
      </c>
      <c r="D6" s="44" t="inlineStr">
        <is>
          <t>08.04.2026</t>
        </is>
      </c>
      <c r="E6" s="44" t="inlineStr">
        <is>
          <t>17.03.2027</t>
        </is>
      </c>
      <c r="F6" s="44" t="n">
        <v>343</v>
      </c>
      <c r="G6" s="44" t="n"/>
      <c r="H6" s="15" t="n"/>
      <c r="I6" s="45" t="n">
        <v>33278500.11</v>
      </c>
      <c r="J6" s="45" t="n">
        <v>23579669.90436</v>
      </c>
      <c r="K6" s="45" t="n">
        <v>15836500.11</v>
      </c>
      <c r="L6" s="45" t="n">
        <v>11330429.51436</v>
      </c>
      <c r="M6" s="45" t="n">
        <v>314482.989</v>
      </c>
      <c r="N6" s="45" t="n">
        <v>224999.99931</v>
      </c>
      <c r="O6" s="45" t="n">
        <v>9783915.239</v>
      </c>
      <c r="P6" s="45" t="n">
        <v>6999999.9969</v>
      </c>
      <c r="Q6" s="45" t="n">
        <v>5678397.653</v>
      </c>
      <c r="R6" s="45" t="n">
        <v>4062666.38482</v>
      </c>
      <c r="S6" s="45" t="n">
        <v>31613295.991</v>
      </c>
      <c r="T6" s="45" t="n">
        <v>22618095.89539</v>
      </c>
      <c r="U6" s="15" t="n">
        <v>39.77</v>
      </c>
      <c r="V6" s="15" t="n">
        <v>42.66</v>
      </c>
      <c r="W6" s="49" t="n">
        <v>71.54600000000001</v>
      </c>
    </row>
    <row r="7">
      <c r="A7" s="44" t="inlineStr">
        <is>
          <t>TL Cinsi Kuponsuz Senetler</t>
        </is>
      </c>
      <c r="B7" s="44" t="n">
        <v>2026</v>
      </c>
      <c r="C7" s="44" t="inlineStr">
        <is>
          <t>TRB170327T15</t>
        </is>
      </c>
      <c r="D7" s="44" t="inlineStr">
        <is>
          <t>06.05.2026</t>
        </is>
      </c>
      <c r="E7" s="44" t="inlineStr">
        <is>
          <t>17.03.2027</t>
        </is>
      </c>
      <c r="F7" s="44" t="n">
        <v>315</v>
      </c>
      <c r="G7" s="44" t="n"/>
      <c r="H7" s="15" t="n"/>
      <c r="I7" s="45" t="n">
        <v>33625633</v>
      </c>
      <c r="J7" s="45" t="n">
        <v>24659834.28893</v>
      </c>
      <c r="K7" s="45" t="n">
        <v>20819633</v>
      </c>
      <c r="L7" s="45" t="n">
        <v>15322422.85893</v>
      </c>
      <c r="M7" s="45" t="n">
        <v>951138.648</v>
      </c>
      <c r="N7" s="45" t="n">
        <v>699999.9993800001</v>
      </c>
      <c r="O7" s="45" t="n">
        <v>10870155.981</v>
      </c>
      <c r="P7" s="45" t="n">
        <v>7999999.99578</v>
      </c>
      <c r="Q7" s="45" t="n">
        <v>6757230.295</v>
      </c>
      <c r="R7" s="45" t="n">
        <v>4973051.20791</v>
      </c>
      <c r="S7" s="45" t="n">
        <v>39398157.924</v>
      </c>
      <c r="T7" s="45" t="n">
        <v>28995474.062</v>
      </c>
      <c r="U7" s="15" t="n">
        <v>35.88</v>
      </c>
      <c r="V7" s="15" t="n">
        <v>42.51</v>
      </c>
      <c r="W7" s="49" t="n">
        <v>73.596</v>
      </c>
    </row>
    <row r="8">
      <c r="A8" s="44" t="inlineStr">
        <is>
          <t>TL Cinsi Kuponsuz Senetler</t>
        </is>
      </c>
      <c r="B8" s="44" t="n">
        <v>2026</v>
      </c>
      <c r="C8" s="44" t="inlineStr">
        <is>
          <t>TRB100227T13</t>
        </is>
      </c>
      <c r="D8" s="44" t="inlineStr">
        <is>
          <t>17.06.2026</t>
        </is>
      </c>
      <c r="E8" s="44" t="inlineStr">
        <is>
          <t>10.02.2027</t>
        </is>
      </c>
      <c r="F8" s="44" t="n">
        <v>238</v>
      </c>
      <c r="G8" s="44" t="n"/>
      <c r="H8" s="15" t="n"/>
      <c r="I8" s="45" t="n">
        <v>92542420.69599999</v>
      </c>
      <c r="J8" s="45" t="n">
        <v>73286937.08239</v>
      </c>
      <c r="K8" s="45" t="n">
        <v>27366584</v>
      </c>
      <c r="L8" s="45" t="n">
        <v>21725992.54461</v>
      </c>
      <c r="M8" s="45" t="n">
        <v>30419831.461</v>
      </c>
      <c r="N8" s="45" t="n">
        <v>24149999.99857</v>
      </c>
      <c r="O8" s="45" t="n">
        <v>32750129.104</v>
      </c>
      <c r="P8" s="45" t="n">
        <v>25999999.99439</v>
      </c>
      <c r="Q8" s="45" t="n">
        <v>9698184.721999999</v>
      </c>
      <c r="R8" s="45" t="n">
        <v>7699291.86894</v>
      </c>
      <c r="S8" s="45" t="n">
        <v>100234729.287</v>
      </c>
      <c r="T8" s="45" t="n">
        <v>79575284.40651</v>
      </c>
      <c r="U8" s="15" t="n">
        <v>25.96</v>
      </c>
      <c r="V8" s="15" t="n">
        <v>42.33</v>
      </c>
      <c r="W8" s="49" t="n">
        <v>79.389</v>
      </c>
    </row>
    <row r="9">
      <c r="A9" s="44" t="inlineStr">
        <is>
          <t>TL Cinsi Kuponsuz Senetler</t>
        </is>
      </c>
      <c r="B9" s="44" t="n">
        <v>2026</v>
      </c>
      <c r="C9" s="44" t="inlineStr">
        <is>
          <t>TRB100227T13</t>
        </is>
      </c>
      <c r="D9" s="44" t="inlineStr">
        <is>
          <t>22.07.2026</t>
        </is>
      </c>
      <c r="E9" s="44" t="inlineStr">
        <is>
          <t>10.02.2027</t>
        </is>
      </c>
      <c r="F9" s="44" t="n">
        <v>203</v>
      </c>
      <c r="G9" s="44" t="n"/>
      <c r="H9" s="15" t="n"/>
      <c r="I9" s="45" t="n">
        <v>90138208.169</v>
      </c>
      <c r="J9" s="45" t="n">
        <v>74178247.26439001</v>
      </c>
      <c r="K9" s="45" t="n">
        <v>52688916.516</v>
      </c>
      <c r="L9" s="45" t="n">
        <v>43425255.29793</v>
      </c>
      <c r="M9" s="45" t="n">
        <v>13831929.917</v>
      </c>
      <c r="N9" s="45" t="n">
        <v>11399999.999</v>
      </c>
      <c r="O9" s="45" t="n">
        <v>7279963.11</v>
      </c>
      <c r="P9" s="45" t="n">
        <v>5999999.996</v>
      </c>
      <c r="Q9" s="45" t="n">
        <v>22178424.499</v>
      </c>
      <c r="R9" s="45" t="n">
        <v>18279013.90359</v>
      </c>
      <c r="S9" s="45" t="n">
        <v>95979234.042</v>
      </c>
      <c r="T9" s="45" t="n">
        <v>79104269.19652</v>
      </c>
      <c r="U9" s="15" t="n">
        <v>21.33</v>
      </c>
      <c r="V9" s="15" t="n">
        <v>41.44</v>
      </c>
      <c r="W9" s="49" t="n">
        <v>82.41800000000001</v>
      </c>
    </row>
    <row r="10">
      <c r="A10" s="44" t="inlineStr">
        <is>
          <t>TL Cinsi Kuponsuz Senetler</t>
        </is>
      </c>
      <c r="B10" s="44" t="n">
        <v>2026</v>
      </c>
      <c r="C10" s="44" t="inlineStr">
        <is>
          <t>TRB100227T13</t>
        </is>
      </c>
      <c r="D10" s="44" t="inlineStr">
        <is>
          <t>12.08.2026</t>
        </is>
      </c>
      <c r="E10" s="44" t="inlineStr">
        <is>
          <t>10.02.2027</t>
        </is>
      </c>
      <c r="F10" s="44" t="n">
        <v>182</v>
      </c>
      <c r="G10" s="44" t="n"/>
      <c r="H10" s="15" t="n"/>
      <c r="I10" s="45" t="n">
        <v>133982416.967</v>
      </c>
      <c r="J10" s="45" t="n">
        <v>112642196.50945</v>
      </c>
      <c r="K10" s="45" t="n">
        <v>49116474</v>
      </c>
      <c r="L10" s="45" t="n">
        <v>41343991.7937</v>
      </c>
      <c r="M10" s="45" t="n">
        <v>7128007.128</v>
      </c>
      <c r="N10" s="45" t="n">
        <v>6000000</v>
      </c>
      <c r="O10" s="45" t="n">
        <v>32076032.07</v>
      </c>
      <c r="P10" s="45" t="n">
        <v>26999999.9949</v>
      </c>
      <c r="Q10" s="45" t="n">
        <v>22707825.065</v>
      </c>
      <c r="R10" s="45" t="n">
        <v>19114311.74847</v>
      </c>
      <c r="S10" s="45" t="n">
        <v>111028338.263</v>
      </c>
      <c r="T10" s="45" t="n">
        <v>93458303.53707001</v>
      </c>
      <c r="U10" s="15" t="n">
        <v>18.8</v>
      </c>
      <c r="V10" s="15" t="n">
        <v>41.13</v>
      </c>
      <c r="W10" s="49" t="n">
        <v>84.175</v>
      </c>
    </row>
    <row r="11">
      <c r="A11" s="44" t="inlineStr">
        <is>
          <t>TL Cinsi Kuponsuz Senetler</t>
        </is>
      </c>
      <c r="B11" s="44" t="n">
        <v>2025</v>
      </c>
      <c r="C11" s="44" t="inlineStr">
        <is>
          <t>TRB230725T15</t>
        </is>
      </c>
      <c r="D11" s="44" t="inlineStr">
        <is>
          <t>22.01.2025</t>
        </is>
      </c>
      <c r="E11" s="44" t="inlineStr">
        <is>
          <t>23.07.2025</t>
        </is>
      </c>
      <c r="F11" s="44" t="n">
        <v>182</v>
      </c>
      <c r="G11" s="44" t="n"/>
      <c r="H11" s="15" t="n"/>
      <c r="I11" s="45" t="n">
        <v>60390700</v>
      </c>
      <c r="J11" s="45" t="n">
        <v>50016785.992</v>
      </c>
      <c r="K11" s="45" t="n">
        <v>21593600</v>
      </c>
      <c r="L11" s="45" t="n">
        <v>17996378.5</v>
      </c>
      <c r="M11" s="45" t="n">
        <v>59994.48</v>
      </c>
      <c r="N11" s="45" t="n">
        <v>49999.99958</v>
      </c>
      <c r="O11" s="45" t="n">
        <v>11998896.097</v>
      </c>
      <c r="P11" s="45" t="n">
        <v>9999999.99622</v>
      </c>
      <c r="Q11" s="45" t="n">
        <v>10377034.593</v>
      </c>
      <c r="R11" s="45" t="n">
        <v>8648324.40016</v>
      </c>
      <c r="S11" s="45" t="n">
        <v>44029525.17</v>
      </c>
      <c r="T11" s="45" t="n">
        <v>36694702.89596</v>
      </c>
      <c r="U11" s="15" t="n">
        <v>19.99</v>
      </c>
      <c r="V11" s="15" t="n">
        <v>43.97</v>
      </c>
      <c r="W11" s="49" t="n">
        <v>83.34099999999999</v>
      </c>
    </row>
    <row r="12">
      <c r="A12" s="44" t="inlineStr">
        <is>
          <t>TL Cinsi Kuponsuz Senetler</t>
        </is>
      </c>
      <c r="B12" s="44" t="n">
        <v>2025</v>
      </c>
      <c r="C12" s="44" t="inlineStr">
        <is>
          <t>TRB230725T15</t>
        </is>
      </c>
      <c r="D12" s="44" t="inlineStr">
        <is>
          <t>12.02.2025</t>
        </is>
      </c>
      <c r="E12" s="44" t="inlineStr">
        <is>
          <t>23.07.2025</t>
        </is>
      </c>
      <c r="F12" s="44" t="n">
        <v>161</v>
      </c>
      <c r="G12" s="44" t="n"/>
      <c r="H12" s="15" t="n"/>
      <c r="I12" s="45" t="n">
        <v>32903775</v>
      </c>
      <c r="J12" s="45" t="n">
        <v>28014077.91025</v>
      </c>
      <c r="K12" s="45" t="n">
        <v>13083075</v>
      </c>
      <c r="L12" s="45" t="n">
        <v>11161317.33625</v>
      </c>
      <c r="M12" s="45" t="n">
        <v>58609.089</v>
      </c>
      <c r="N12" s="45" t="n">
        <v>49999.99992</v>
      </c>
      <c r="O12" s="45" t="n">
        <v>11721817.813</v>
      </c>
      <c r="P12" s="45" t="n">
        <v>9999999.99443</v>
      </c>
      <c r="Q12" s="45" t="n">
        <v>5921005.328</v>
      </c>
      <c r="R12" s="45" t="n">
        <v>5051268.85537</v>
      </c>
      <c r="S12" s="45" t="n">
        <v>30784507.23</v>
      </c>
      <c r="T12" s="45" t="n">
        <v>26262586.18597</v>
      </c>
      <c r="U12" s="15" t="n">
        <v>17.22</v>
      </c>
      <c r="V12" s="15" t="n">
        <v>43.21</v>
      </c>
      <c r="W12" s="49" t="n">
        <v>85.31100000000001</v>
      </c>
    </row>
    <row r="13">
      <c r="A13" s="44" t="inlineStr">
        <is>
          <t>TL Cinsi Kuponsuz Senetler</t>
        </is>
      </c>
      <c r="B13" s="44" t="n">
        <v>2025</v>
      </c>
      <c r="C13" s="44" t="inlineStr">
        <is>
          <t>TRB230725T15</t>
        </is>
      </c>
      <c r="D13" s="44" t="inlineStr">
        <is>
          <t>16.04.2025</t>
        </is>
      </c>
      <c r="E13" s="44" t="inlineStr">
        <is>
          <t>23.07.2025</t>
        </is>
      </c>
      <c r="F13" s="44" t="n">
        <v>98</v>
      </c>
      <c r="G13" s="44" t="n"/>
      <c r="H13" s="15" t="n"/>
      <c r="I13" s="45" t="n">
        <v>17595173</v>
      </c>
      <c r="J13" s="45" t="n">
        <v>15622158.65332</v>
      </c>
      <c r="K13" s="45" t="n">
        <v>5448102</v>
      </c>
      <c r="L13" s="45" t="n">
        <v>4887810.38558</v>
      </c>
      <c r="M13" s="45" t="n">
        <v>0</v>
      </c>
      <c r="N13" s="45" t="n">
        <v>0</v>
      </c>
      <c r="O13" s="45" t="n">
        <v>2786570.954</v>
      </c>
      <c r="P13" s="45" t="n">
        <v>2499999.99709</v>
      </c>
      <c r="Q13" s="45" t="n">
        <v>1736267.543</v>
      </c>
      <c r="R13" s="45" t="n">
        <v>1557709.78887</v>
      </c>
      <c r="S13" s="45" t="n">
        <v>9970940.497</v>
      </c>
      <c r="T13" s="45" t="n">
        <v>8945520.17154</v>
      </c>
      <c r="U13" s="15" t="n">
        <v>11.46</v>
      </c>
      <c r="V13" s="15" t="n">
        <v>49.64</v>
      </c>
      <c r="W13" s="49" t="n">
        <v>89.71599999999999</v>
      </c>
    </row>
    <row r="14">
      <c r="A14" s="44" t="inlineStr">
        <is>
          <t>TL Cinsi Kuponsuz Senetler</t>
        </is>
      </c>
      <c r="B14" s="44" t="n">
        <v>2025</v>
      </c>
      <c r="C14" s="44" t="inlineStr">
        <is>
          <t>TRB110326T12</t>
        </is>
      </c>
      <c r="D14" s="44" t="inlineStr">
        <is>
          <t>11.06.2025</t>
        </is>
      </c>
      <c r="E14" s="44" t="inlineStr">
        <is>
          <t>11.03.2026</t>
        </is>
      </c>
      <c r="F14" s="44" t="n">
        <v>273</v>
      </c>
      <c r="G14" s="44" t="n"/>
      <c r="H14" s="15" t="n"/>
      <c r="I14" s="45" t="n">
        <v>21616000</v>
      </c>
      <c r="J14" s="45" t="n">
        <v>16148857.83</v>
      </c>
      <c r="K14" s="45" t="n">
        <v>11771000</v>
      </c>
      <c r="L14" s="45" t="n">
        <v>8825634.43</v>
      </c>
      <c r="M14" s="45" t="n">
        <v>2734135.345</v>
      </c>
      <c r="N14" s="45" t="n">
        <v>2049999.99897</v>
      </c>
      <c r="O14" s="45" t="n">
        <v>3334311.393</v>
      </c>
      <c r="P14" s="45" t="n">
        <v>2499999.99624</v>
      </c>
      <c r="Q14" s="45" t="n">
        <v>4306148</v>
      </c>
      <c r="R14" s="45" t="n">
        <v>3228663.64744</v>
      </c>
      <c r="S14" s="45" t="n">
        <v>22145594.738</v>
      </c>
      <c r="T14" s="45" t="n">
        <v>16604298.07265</v>
      </c>
      <c r="U14" s="15" t="n">
        <v>33.37</v>
      </c>
      <c r="V14" s="15" t="n">
        <v>46.81</v>
      </c>
      <c r="W14" s="49" t="n">
        <v>74.97799999999999</v>
      </c>
    </row>
    <row r="15">
      <c r="A15" s="44" t="inlineStr">
        <is>
          <t>TL Cinsi Kuponsuz Senetler</t>
        </is>
      </c>
      <c r="B15" s="44" t="n">
        <v>2025</v>
      </c>
      <c r="C15" s="44" t="inlineStr">
        <is>
          <t>TRB110326T12</t>
        </is>
      </c>
      <c r="D15" s="44" t="inlineStr">
        <is>
          <t>09.07.2025</t>
        </is>
      </c>
      <c r="E15" s="44" t="inlineStr">
        <is>
          <t>11.03.2026</t>
        </is>
      </c>
      <c r="F15" s="44" t="n">
        <v>245</v>
      </c>
      <c r="G15" s="44" t="n"/>
      <c r="H15" s="15" t="n"/>
      <c r="I15" s="45" t="n">
        <v>27067158.852</v>
      </c>
      <c r="J15" s="45" t="n">
        <v>21106632.65029</v>
      </c>
      <c r="K15" s="45" t="n">
        <v>13968400</v>
      </c>
      <c r="L15" s="45" t="n">
        <v>10920551.83</v>
      </c>
      <c r="M15" s="45" t="n">
        <v>2596572.012</v>
      </c>
      <c r="N15" s="45" t="n">
        <v>2029999.99898</v>
      </c>
      <c r="O15" s="45" t="n">
        <v>8314146.837</v>
      </c>
      <c r="P15" s="45" t="n">
        <v>6499999.99718</v>
      </c>
      <c r="Q15" s="45" t="n">
        <v>7611256.902</v>
      </c>
      <c r="R15" s="45" t="n">
        <v>5950480.64598</v>
      </c>
      <c r="S15" s="45" t="n">
        <v>32490375.751</v>
      </c>
      <c r="T15" s="45" t="n">
        <v>25401032.47214</v>
      </c>
      <c r="U15" s="15" t="n">
        <v>27.91</v>
      </c>
      <c r="V15" s="15" t="n">
        <v>44.15</v>
      </c>
      <c r="W15" s="49" t="n">
        <v>78.18000000000001</v>
      </c>
    </row>
    <row r="16">
      <c r="A16" s="44" t="inlineStr">
        <is>
          <t>TL Cinsi Kuponsuz Senetler</t>
        </is>
      </c>
      <c r="B16" s="44" t="n">
        <v>2025</v>
      </c>
      <c r="C16" s="44" t="inlineStr">
        <is>
          <t>TRB170626T13</t>
        </is>
      </c>
      <c r="D16" s="44" t="inlineStr">
        <is>
          <t>13.08.2025</t>
        </is>
      </c>
      <c r="E16" s="44" t="inlineStr">
        <is>
          <t>17.06.2026</t>
        </is>
      </c>
      <c r="F16" s="44" t="n">
        <v>308</v>
      </c>
      <c r="G16" s="44" t="n"/>
      <c r="H16" s="15" t="n"/>
      <c r="I16" s="45" t="n">
        <v>67399714.281</v>
      </c>
      <c r="J16" s="45" t="n">
        <v>50337052.69734</v>
      </c>
      <c r="K16" s="45" t="n">
        <v>26173829.281</v>
      </c>
      <c r="L16" s="45" t="n">
        <v>19627947.01229</v>
      </c>
      <c r="M16" s="45" t="n">
        <v>13368270.857</v>
      </c>
      <c r="N16" s="45" t="n">
        <v>10024999.99837</v>
      </c>
      <c r="O16" s="45" t="n">
        <v>16001920.225</v>
      </c>
      <c r="P16" s="45" t="n">
        <v>11999999.99592</v>
      </c>
      <c r="Q16" s="45" t="n">
        <v>11480314.053</v>
      </c>
      <c r="R16" s="45" t="n">
        <v>8609202.3115</v>
      </c>
      <c r="S16" s="45" t="n">
        <v>67024334.41599999</v>
      </c>
      <c r="T16" s="45" t="n">
        <v>50262149.31808</v>
      </c>
      <c r="U16" s="15" t="n">
        <v>33.35</v>
      </c>
      <c r="V16" s="15" t="n">
        <v>40.51</v>
      </c>
      <c r="W16" s="49" t="n">
        <v>74.991</v>
      </c>
    </row>
    <row r="17">
      <c r="A17" s="44" t="inlineStr">
        <is>
          <t>TL Cinsi Kuponsuz Senetler</t>
        </is>
      </c>
      <c r="B17" s="44" t="n">
        <v>2025</v>
      </c>
      <c r="C17" s="44" t="inlineStr">
        <is>
          <t>TRB170626T13</t>
        </is>
      </c>
      <c r="D17" s="44" t="inlineStr">
        <is>
          <t>10.09.2025</t>
        </is>
      </c>
      <c r="E17" s="44" t="inlineStr">
        <is>
          <t>17.06.2026</t>
        </is>
      </c>
      <c r="F17" s="44" t="n">
        <v>280</v>
      </c>
      <c r="G17" s="44" t="n"/>
      <c r="H17" s="15" t="n"/>
      <c r="I17" s="45" t="n">
        <v>58801797.115</v>
      </c>
      <c r="J17" s="45" t="n">
        <v>45025118.7924</v>
      </c>
      <c r="K17" s="45" t="n">
        <v>33716679.115</v>
      </c>
      <c r="L17" s="45" t="n">
        <v>25954592.30209</v>
      </c>
      <c r="M17" s="45" t="n">
        <v>40336199.953</v>
      </c>
      <c r="N17" s="45" t="n">
        <v>31049999.99982</v>
      </c>
      <c r="O17" s="45" t="n">
        <v>12990724.618</v>
      </c>
      <c r="P17" s="45" t="n">
        <v>9999999.996440001</v>
      </c>
      <c r="Q17" s="45" t="n">
        <v>14216861.35</v>
      </c>
      <c r="R17" s="45" t="n">
        <v>10943855.53</v>
      </c>
      <c r="S17" s="45" t="n">
        <v>101260465.036</v>
      </c>
      <c r="T17" s="45" t="n">
        <v>77948447.82835001</v>
      </c>
      <c r="U17" s="15" t="n">
        <v>29.91</v>
      </c>
      <c r="V17" s="15" t="n">
        <v>40.51</v>
      </c>
      <c r="W17" s="49" t="n">
        <v>76.97799999999999</v>
      </c>
    </row>
    <row r="18">
      <c r="A18" s="44" t="inlineStr">
        <is>
          <t>TL Cinsi Kuponsuz Senetler</t>
        </is>
      </c>
      <c r="B18" s="44" t="n">
        <v>2025</v>
      </c>
      <c r="C18" s="44" t="inlineStr">
        <is>
          <t>TRB170626T13</t>
        </is>
      </c>
      <c r="D18" s="44" t="inlineStr">
        <is>
          <t>08.10.2025</t>
        </is>
      </c>
      <c r="E18" s="44" t="inlineStr">
        <is>
          <t>17.06.2026</t>
        </is>
      </c>
      <c r="F18" s="44" t="n">
        <v>252</v>
      </c>
      <c r="G18" s="44" t="n"/>
      <c r="H18" s="15" t="n"/>
      <c r="I18" s="45" t="n">
        <v>69390628.51199999</v>
      </c>
      <c r="J18" s="45" t="n">
        <v>54694582.93593</v>
      </c>
      <c r="K18" s="45" t="n">
        <v>34909111.212</v>
      </c>
      <c r="L18" s="45" t="n">
        <v>27610779.45933</v>
      </c>
      <c r="M18" s="45" t="n">
        <v>12706560.629</v>
      </c>
      <c r="N18" s="45" t="n">
        <v>10049999.9983</v>
      </c>
      <c r="O18" s="45" t="n">
        <v>6005588.352</v>
      </c>
      <c r="P18" s="45" t="n">
        <v>4749999.99524</v>
      </c>
      <c r="Q18" s="45" t="n">
        <v>10447655.456</v>
      </c>
      <c r="R18" s="45" t="n">
        <v>8263364.12981</v>
      </c>
      <c r="S18" s="45" t="n">
        <v>64068915.649</v>
      </c>
      <c r="T18" s="45" t="n">
        <v>50674143.58268</v>
      </c>
      <c r="U18" s="15" t="n">
        <v>26.43</v>
      </c>
      <c r="V18" s="15" t="n">
        <v>40.32</v>
      </c>
      <c r="W18" s="49" t="n">
        <v>79.093</v>
      </c>
    </row>
    <row r="19">
      <c r="A19" s="44" t="inlineStr">
        <is>
          <t>TL Cinsi Kuponsuz Senetler</t>
        </is>
      </c>
      <c r="B19" s="44" t="n">
        <v>2025</v>
      </c>
      <c r="C19" s="44" t="inlineStr">
        <is>
          <t>TRB170626T13</t>
        </is>
      </c>
      <c r="D19" s="44" t="inlineStr">
        <is>
          <t>12.11.2025</t>
        </is>
      </c>
      <c r="E19" s="44" t="inlineStr">
        <is>
          <t>17.06.2026</t>
        </is>
      </c>
      <c r="F19" s="44" t="n">
        <v>217</v>
      </c>
      <c r="G19" s="44" t="n"/>
      <c r="H19" s="15" t="n"/>
      <c r="I19" s="45" t="n">
        <v>82088446.002</v>
      </c>
      <c r="J19" s="45" t="n">
        <v>66713653.58633</v>
      </c>
      <c r="K19" s="45" t="n">
        <v>27927428.002</v>
      </c>
      <c r="L19" s="45" t="n">
        <v>22741862.04471</v>
      </c>
      <c r="M19" s="45" t="n">
        <v>3776156.793</v>
      </c>
      <c r="N19" s="45" t="n">
        <v>3074999.99967</v>
      </c>
      <c r="O19" s="45" t="n">
        <v>10192553.29</v>
      </c>
      <c r="P19" s="45" t="n">
        <v>8299999.99511</v>
      </c>
      <c r="Q19" s="45" t="n">
        <v>12971628.474</v>
      </c>
      <c r="R19" s="45" t="n">
        <v>10563056.49895</v>
      </c>
      <c r="S19" s="45" t="n">
        <v>54867766.559</v>
      </c>
      <c r="T19" s="45" t="n">
        <v>44679918.53844</v>
      </c>
      <c r="U19" s="15" t="n">
        <v>22.8</v>
      </c>
      <c r="V19" s="15" t="n">
        <v>41.13</v>
      </c>
      <c r="W19" s="49" t="n">
        <v>81.432</v>
      </c>
    </row>
    <row r="20">
      <c r="A20" s="44" t="inlineStr">
        <is>
          <t>TL Cinsi Kuponsuz Senetler</t>
        </is>
      </c>
      <c r="B20" s="44" t="n">
        <v>2025</v>
      </c>
      <c r="C20" s="44" t="inlineStr">
        <is>
          <t>TRB170626T13</t>
        </is>
      </c>
      <c r="D20" s="44" t="inlineStr">
        <is>
          <t>10.12.2025</t>
        </is>
      </c>
      <c r="E20" s="44" t="inlineStr">
        <is>
          <t>17.06.2026</t>
        </is>
      </c>
      <c r="F20" s="44" t="n">
        <v>189</v>
      </c>
      <c r="G20" s="44" t="n"/>
      <c r="H20" s="15" t="n"/>
      <c r="I20" s="45" t="n">
        <v>77827111.90000001</v>
      </c>
      <c r="J20" s="45" t="n">
        <v>65330627.72026</v>
      </c>
      <c r="K20" s="45" t="n">
        <v>28284135.9</v>
      </c>
      <c r="L20" s="45" t="n">
        <v>23774668.67382</v>
      </c>
      <c r="M20" s="45" t="n">
        <v>2498304.72</v>
      </c>
      <c r="N20" s="45" t="n">
        <v>2099999.99849</v>
      </c>
      <c r="O20" s="45" t="n">
        <v>9517351.314999999</v>
      </c>
      <c r="P20" s="45" t="n">
        <v>7999999.99487</v>
      </c>
      <c r="Q20" s="45" t="n">
        <v>19738222.161</v>
      </c>
      <c r="R20" s="45" t="n">
        <v>16591357.40186</v>
      </c>
      <c r="S20" s="45" t="n">
        <v>60038014.09599999</v>
      </c>
      <c r="T20" s="45" t="n">
        <v>50466026.06904</v>
      </c>
      <c r="U20" s="15" t="n">
        <v>18.97</v>
      </c>
      <c r="V20" s="15" t="n">
        <v>39.72</v>
      </c>
      <c r="W20" s="49" t="n">
        <v>84.057</v>
      </c>
    </row>
    <row r="21">
      <c r="A21" s="44" t="inlineStr">
        <is>
          <t>TL Cinsi Kuponsuz Senetler</t>
        </is>
      </c>
      <c r="B21" s="44" t="n">
        <v>2024</v>
      </c>
      <c r="C21" s="44" t="inlineStr">
        <is>
          <t>TRT090425T16</t>
        </is>
      </c>
      <c r="D21" s="44" t="inlineStr">
        <is>
          <t>10.01.2024</t>
        </is>
      </c>
      <c r="E21" s="44" t="inlineStr">
        <is>
          <t>09.04.2025</t>
        </is>
      </c>
      <c r="F21" s="44" t="n">
        <v>455</v>
      </c>
      <c r="G21" s="44" t="n"/>
      <c r="H21" s="15" t="n"/>
      <c r="I21" s="45" t="n">
        <v>18978300</v>
      </c>
      <c r="J21" s="45" t="n">
        <v>11918955.203</v>
      </c>
      <c r="K21" s="45" t="n">
        <v>3946300</v>
      </c>
      <c r="L21" s="45" t="n">
        <v>2559605.253</v>
      </c>
      <c r="M21" s="45" t="n">
        <v>3098934.644</v>
      </c>
      <c r="N21" s="45" t="n">
        <v>2009999.99945</v>
      </c>
      <c r="O21" s="45" t="n">
        <v>847967.189</v>
      </c>
      <c r="P21" s="45" t="n">
        <v>549999.99846</v>
      </c>
      <c r="Q21" s="45" t="n">
        <v>1811518.565</v>
      </c>
      <c r="R21" s="45" t="n">
        <v>1174969.05645</v>
      </c>
      <c r="S21" s="45" t="n">
        <v>9704720.398</v>
      </c>
      <c r="T21" s="45" t="n">
        <v>6294574.30736</v>
      </c>
      <c r="U21" s="15" t="n">
        <v>54.18</v>
      </c>
      <c r="V21" s="15" t="n">
        <v>41.39</v>
      </c>
      <c r="W21" s="49" t="n">
        <v>64.861</v>
      </c>
    </row>
    <row r="22">
      <c r="A22" s="44" t="inlineStr">
        <is>
          <t>TL Cinsi Kuponsuz Senetler</t>
        </is>
      </c>
      <c r="B22" s="44" t="n">
        <v>2024</v>
      </c>
      <c r="C22" s="44" t="inlineStr">
        <is>
          <t>TRT090425T16</t>
        </is>
      </c>
      <c r="D22" s="44" t="inlineStr">
        <is>
          <t>14.02.2024</t>
        </is>
      </c>
      <c r="E22" s="44" t="inlineStr">
        <is>
          <t>09.04.2025</t>
        </is>
      </c>
      <c r="F22" s="44" t="n">
        <v>420</v>
      </c>
      <c r="G22" s="44" t="n"/>
      <c r="H22" s="15" t="n"/>
      <c r="I22" s="45" t="n">
        <v>5700000</v>
      </c>
      <c r="J22" s="45" t="n">
        <v>3760907.24</v>
      </c>
      <c r="K22" s="45" t="n">
        <v>2017000</v>
      </c>
      <c r="L22" s="45" t="n">
        <v>1340112.49</v>
      </c>
      <c r="M22" s="45" t="n">
        <v>3055342.333</v>
      </c>
      <c r="N22" s="45" t="n">
        <v>2029999.99947</v>
      </c>
      <c r="O22" s="45" t="n">
        <v>2257642.116</v>
      </c>
      <c r="P22" s="45" t="n">
        <v>1499999.99829</v>
      </c>
      <c r="Q22" s="45" t="n">
        <v>300000</v>
      </c>
      <c r="R22" s="45" t="n">
        <v>199323</v>
      </c>
      <c r="S22" s="45" t="n">
        <v>7629984.449000001</v>
      </c>
      <c r="T22" s="45" t="n">
        <v>5069435.48776</v>
      </c>
      <c r="U22" s="15" t="n">
        <v>50.51</v>
      </c>
      <c r="V22" s="15" t="n">
        <v>42.52</v>
      </c>
      <c r="W22" s="49" t="n">
        <v>66.441</v>
      </c>
    </row>
    <row r="23">
      <c r="A23" s="44" t="inlineStr">
        <is>
          <t>TL Cinsi Kuponsuz Senetler</t>
        </is>
      </c>
      <c r="B23" s="44" t="n">
        <v>2024</v>
      </c>
      <c r="C23" s="44" t="inlineStr">
        <is>
          <t>TRT090425T16</t>
        </is>
      </c>
      <c r="D23" s="44" t="inlineStr">
        <is>
          <t>13.03.2024</t>
        </is>
      </c>
      <c r="E23" s="44" t="inlineStr">
        <is>
          <t>09.04.2025</t>
        </is>
      </c>
      <c r="F23" s="44" t="n">
        <v>392</v>
      </c>
      <c r="G23" s="44" t="n"/>
      <c r="H23" s="15" t="n"/>
      <c r="I23" s="45" t="n">
        <v>4513000</v>
      </c>
      <c r="J23" s="45" t="n">
        <v>2917905.18</v>
      </c>
      <c r="K23" s="45" t="n">
        <v>594000</v>
      </c>
      <c r="L23" s="45" t="n">
        <v>388442.8</v>
      </c>
      <c r="M23" s="45" t="n">
        <v>0</v>
      </c>
      <c r="N23" s="45" t="n">
        <v>0</v>
      </c>
      <c r="O23" s="45" t="n">
        <v>1911490.348</v>
      </c>
      <c r="P23" s="45" t="n">
        <v>1249999.99818</v>
      </c>
      <c r="Q23" s="45" t="n">
        <v>181007.691</v>
      </c>
      <c r="R23" s="45" t="n">
        <v>118368.16945</v>
      </c>
      <c r="S23" s="45" t="n">
        <v>2686498.039</v>
      </c>
      <c r="T23" s="45" t="n">
        <v>1756810.96763</v>
      </c>
      <c r="U23" s="15" t="n">
        <v>52.92</v>
      </c>
      <c r="V23" s="15" t="n">
        <v>48.35</v>
      </c>
      <c r="W23" s="49" t="n">
        <v>65.39400000000001</v>
      </c>
    </row>
    <row r="24">
      <c r="A24" s="44" t="inlineStr">
        <is>
          <t>TL Cinsi Kuponsuz Senetler</t>
        </is>
      </c>
      <c r="B24" s="44" t="n">
        <v>2024</v>
      </c>
      <c r="C24" s="44" t="inlineStr">
        <is>
          <t>TRT090425T16</t>
        </is>
      </c>
      <c r="D24" s="44" t="inlineStr">
        <is>
          <t>17.04.2024</t>
        </is>
      </c>
      <c r="E24" s="44" t="inlineStr">
        <is>
          <t>09.04.2025</t>
        </is>
      </c>
      <c r="F24" s="44" t="n">
        <v>357</v>
      </c>
      <c r="G24" s="44" t="n"/>
      <c r="H24" s="15" t="n"/>
      <c r="I24" s="45" t="n">
        <v>8910000</v>
      </c>
      <c r="J24" s="45" t="n">
        <v>5900685.65</v>
      </c>
      <c r="K24" s="45" t="n">
        <v>1757000</v>
      </c>
      <c r="L24" s="45" t="n">
        <v>1185063.39</v>
      </c>
      <c r="M24" s="45" t="n">
        <v>2223935.476</v>
      </c>
      <c r="N24" s="45" t="n">
        <v>1499999.99985</v>
      </c>
      <c r="O24" s="45" t="n">
        <v>518918.276</v>
      </c>
      <c r="P24" s="45" t="n">
        <v>349999.9988</v>
      </c>
      <c r="Q24" s="45" t="inlineStr">
        <is>
          <t>-</t>
        </is>
      </c>
      <c r="R24" s="45" t="inlineStr">
        <is>
          <t>-</t>
        </is>
      </c>
      <c r="S24" s="45" t="n">
        <v>4499853.751999999</v>
      </c>
      <c r="T24" s="45" t="n">
        <v>3035063.38865</v>
      </c>
      <c r="U24" s="15" t="n">
        <v>48.26</v>
      </c>
      <c r="V24" s="15" t="n">
        <v>49.41</v>
      </c>
      <c r="W24" s="49" t="n">
        <v>67.44799999999999</v>
      </c>
    </row>
    <row r="25">
      <c r="A25" s="44" t="inlineStr">
        <is>
          <t>TL Cinsi Kuponsuz Senetler</t>
        </is>
      </c>
      <c r="B25" s="44" t="n">
        <v>2024</v>
      </c>
      <c r="C25" s="44" t="inlineStr">
        <is>
          <t>TRT090425T16</t>
        </is>
      </c>
      <c r="D25" s="44" t="inlineStr">
        <is>
          <t>08.05.2024</t>
        </is>
      </c>
      <c r="E25" s="44" t="inlineStr">
        <is>
          <t>09.04.2025</t>
        </is>
      </c>
      <c r="F25" s="44" t="n">
        <v>336</v>
      </c>
      <c r="G25" s="44" t="n"/>
      <c r="H25" s="15" t="n"/>
      <c r="I25" s="45" t="n">
        <v>8417000</v>
      </c>
      <c r="J25" s="45" t="n">
        <v>5730230.91</v>
      </c>
      <c r="K25" s="45" t="n">
        <v>2469000</v>
      </c>
      <c r="L25" s="45" t="n">
        <v>1692680.36</v>
      </c>
      <c r="M25" s="45" t="n">
        <v>3646600.638</v>
      </c>
      <c r="N25" s="45" t="n">
        <v>2499999.99939</v>
      </c>
      <c r="O25" s="45" t="n">
        <v>1021048.175</v>
      </c>
      <c r="P25" s="45" t="n">
        <v>699999.99734</v>
      </c>
      <c r="Q25" s="45" t="n">
        <v>993994.777</v>
      </c>
      <c r="R25" s="45" t="n">
        <v>681452.99927</v>
      </c>
      <c r="S25" s="45" t="n">
        <v>8130643.59</v>
      </c>
      <c r="T25" s="45" t="n">
        <v>5574133.356000001</v>
      </c>
      <c r="U25" s="15" t="n">
        <v>45.86</v>
      </c>
      <c r="V25" s="15" t="n">
        <v>50.52</v>
      </c>
      <c r="W25" s="49" t="n">
        <v>68.557</v>
      </c>
    </row>
    <row r="26">
      <c r="A26" s="44" t="inlineStr">
        <is>
          <t>TL Cinsi Kuponsuz Senetler</t>
        </is>
      </c>
      <c r="B26" s="44" t="n">
        <v>2024</v>
      </c>
      <c r="C26" s="44" t="inlineStr">
        <is>
          <t>TRT090425T16</t>
        </is>
      </c>
      <c r="D26" s="44" t="inlineStr">
        <is>
          <t>12.06.2024</t>
        </is>
      </c>
      <c r="E26" s="44" t="inlineStr">
        <is>
          <t>09.04.2025</t>
        </is>
      </c>
      <c r="F26" s="44" t="n">
        <v>301</v>
      </c>
      <c r="G26" s="44" t="n"/>
      <c r="H26" s="15" t="n"/>
      <c r="I26" s="45" t="n">
        <v>15199000</v>
      </c>
      <c r="J26" s="45" t="n">
        <v>10816347.29</v>
      </c>
      <c r="K26" s="45" t="n">
        <v>3649000</v>
      </c>
      <c r="L26" s="45" t="n">
        <v>2609899.97</v>
      </c>
      <c r="M26" s="45" t="n">
        <v>6990660.477</v>
      </c>
      <c r="N26" s="45" t="n">
        <v>4999999.99957</v>
      </c>
      <c r="O26" s="45" t="n">
        <v>4893462.33</v>
      </c>
      <c r="P26" s="45" t="n">
        <v>3499999.9969</v>
      </c>
      <c r="Q26" s="45" t="n">
        <v>1370630.73</v>
      </c>
      <c r="R26" s="45" t="n">
        <v>980329.9233199999</v>
      </c>
      <c r="S26" s="45" t="n">
        <v>16903753.537</v>
      </c>
      <c r="T26" s="45" t="n">
        <v>12090229.88979</v>
      </c>
      <c r="U26" s="15" t="n">
        <v>39.81</v>
      </c>
      <c r="V26" s="15" t="n">
        <v>49.97</v>
      </c>
      <c r="W26" s="49" t="n">
        <v>71.524</v>
      </c>
    </row>
    <row r="27">
      <c r="A27" s="44" t="inlineStr">
        <is>
          <t>TL Cinsi Kuponsuz Senetler</t>
        </is>
      </c>
      <c r="B27" s="44" t="n">
        <v>2024</v>
      </c>
      <c r="C27" s="44" t="inlineStr">
        <is>
          <t>TRT090425T16</t>
        </is>
      </c>
      <c r="D27" s="44" t="inlineStr">
        <is>
          <t>10.07.2024</t>
        </is>
      </c>
      <c r="E27" s="44" t="inlineStr">
        <is>
          <t>09.04.2025</t>
        </is>
      </c>
      <c r="F27" s="44" t="n">
        <v>273</v>
      </c>
      <c r="G27" s="44" t="n"/>
      <c r="H27" s="15" t="n"/>
      <c r="I27" s="45" t="n">
        <v>27463005</v>
      </c>
      <c r="J27" s="45" t="n">
        <v>20317860.19685</v>
      </c>
      <c r="K27" s="45" t="n">
        <v>6025000</v>
      </c>
      <c r="L27" s="45" t="n">
        <v>4475774.25</v>
      </c>
      <c r="M27" s="45" t="n">
        <v>3432632.896</v>
      </c>
      <c r="N27" s="45" t="n">
        <v>2549999.99945</v>
      </c>
      <c r="O27" s="45" t="n">
        <v>6730652.734</v>
      </c>
      <c r="P27" s="45" t="n">
        <v>4999999.9965</v>
      </c>
      <c r="Q27" s="45" t="n">
        <v>1125196.198</v>
      </c>
      <c r="R27" s="45" t="n">
        <v>835874.4996100001</v>
      </c>
      <c r="S27" s="45" t="n">
        <v>17313481.828</v>
      </c>
      <c r="T27" s="45" t="n">
        <v>12861648.74556</v>
      </c>
      <c r="U27" s="15" t="n">
        <v>34.61</v>
      </c>
      <c r="V27" s="15" t="n">
        <v>48.63</v>
      </c>
      <c r="W27" s="49" t="n">
        <v>74.28700000000001</v>
      </c>
    </row>
    <row r="28">
      <c r="A28" s="44" t="inlineStr">
        <is>
          <t>TL Cinsi Kuponsuz Senetler</t>
        </is>
      </c>
      <c r="B28" s="44" t="n">
        <v>2024</v>
      </c>
      <c r="C28" s="44" t="inlineStr">
        <is>
          <t>TRT100925T18</t>
        </is>
      </c>
      <c r="D28" s="44" t="inlineStr">
        <is>
          <t>21.08.2024</t>
        </is>
      </c>
      <c r="E28" s="44" t="inlineStr">
        <is>
          <t>10.09.2025</t>
        </is>
      </c>
      <c r="F28" s="44" t="n">
        <v>385</v>
      </c>
      <c r="G28" s="44" t="n"/>
      <c r="H28" s="15" t="n"/>
      <c r="I28" s="45" t="n">
        <v>34700150</v>
      </c>
      <c r="J28" s="45" t="n">
        <v>23200468.063</v>
      </c>
      <c r="K28" s="45" t="n">
        <v>7694150</v>
      </c>
      <c r="L28" s="45" t="n">
        <v>5221390.283</v>
      </c>
      <c r="M28" s="45" t="n">
        <v>2298782.822</v>
      </c>
      <c r="N28" s="45" t="n">
        <v>1559999.99866</v>
      </c>
      <c r="O28" s="45" t="n">
        <v>6631104.296</v>
      </c>
      <c r="P28" s="45" t="n">
        <v>4499999.99735</v>
      </c>
      <c r="Q28" s="45" t="n">
        <v>1869018.64</v>
      </c>
      <c r="R28" s="45" t="n">
        <v>1268353.42947</v>
      </c>
      <c r="S28" s="45" t="n">
        <v>18493055.758</v>
      </c>
      <c r="T28" s="45" t="n">
        <v>12549743.70848</v>
      </c>
      <c r="U28" s="15" t="n">
        <v>47.36</v>
      </c>
      <c r="V28" s="15" t="n">
        <v>44.27</v>
      </c>
      <c r="W28" s="49" t="n">
        <v>67.86199999999999</v>
      </c>
    </row>
    <row r="29">
      <c r="A29" s="44" t="inlineStr">
        <is>
          <t>TL Cinsi Kuponsuz Senetler</t>
        </is>
      </c>
      <c r="B29" s="44" t="n">
        <v>2024</v>
      </c>
      <c r="C29" s="44" t="inlineStr">
        <is>
          <t>TRT100925T18</t>
        </is>
      </c>
      <c r="D29" s="44" t="inlineStr">
        <is>
          <t>11.09.2024</t>
        </is>
      </c>
      <c r="E29" s="44" t="inlineStr">
        <is>
          <t>10.09.2025</t>
        </is>
      </c>
      <c r="F29" s="44" t="n">
        <v>364</v>
      </c>
      <c r="G29" s="44" t="n"/>
      <c r="H29" s="15" t="n"/>
      <c r="I29" s="45" t="n">
        <v>6271000</v>
      </c>
      <c r="J29" s="45" t="n">
        <v>4262010.03</v>
      </c>
      <c r="K29" s="45" t="n">
        <v>3166000</v>
      </c>
      <c r="L29" s="45" t="n">
        <v>2170508.38</v>
      </c>
      <c r="M29" s="45" t="n">
        <v>2917280.511</v>
      </c>
      <c r="N29" s="45" t="n">
        <v>1999999.99993</v>
      </c>
      <c r="O29" s="45" t="n">
        <v>5834561.019</v>
      </c>
      <c r="P29" s="45" t="n">
        <v>3999999.99779</v>
      </c>
      <c r="Q29" s="45" t="inlineStr">
        <is>
          <t>-</t>
        </is>
      </c>
      <c r="R29" s="45" t="inlineStr">
        <is>
          <t>-</t>
        </is>
      </c>
      <c r="S29" s="45" t="n">
        <v>11917841.53</v>
      </c>
      <c r="T29" s="45" t="n">
        <v>8170508.37772</v>
      </c>
      <c r="U29" s="15" t="n">
        <v>45.86</v>
      </c>
      <c r="V29" s="15" t="n">
        <v>45.86</v>
      </c>
      <c r="W29" s="49" t="n">
        <v>68.557</v>
      </c>
    </row>
    <row r="30">
      <c r="A30" s="44" t="inlineStr">
        <is>
          <t>TL Cinsi Kuponsuz Senetler</t>
        </is>
      </c>
      <c r="B30" s="44" t="n">
        <v>2024</v>
      </c>
      <c r="C30" s="44" t="inlineStr">
        <is>
          <t>TRT100925T18</t>
        </is>
      </c>
      <c r="D30" s="44" t="inlineStr">
        <is>
          <t>09.10.2024</t>
        </is>
      </c>
      <c r="E30" s="44" t="inlineStr">
        <is>
          <t>10.09.2025</t>
        </is>
      </c>
      <c r="F30" s="44" t="n">
        <v>336</v>
      </c>
      <c r="G30" s="44" t="n"/>
      <c r="H30" s="15" t="n"/>
      <c r="I30" s="45" t="n">
        <v>21472219.71</v>
      </c>
      <c r="J30" s="45" t="n">
        <v>14851912.92696</v>
      </c>
      <c r="K30" s="45" t="n">
        <v>9694183.665999999</v>
      </c>
      <c r="L30" s="45" t="n">
        <v>6755548.9972</v>
      </c>
      <c r="M30" s="45" t="n">
        <v>4304963.623</v>
      </c>
      <c r="N30" s="45" t="n">
        <v>2999999.99996</v>
      </c>
      <c r="O30" s="45" t="n">
        <v>3228722.713</v>
      </c>
      <c r="P30" s="45" t="n">
        <v>2249999.99702</v>
      </c>
      <c r="Q30" s="45" t="n">
        <v>2685785.05</v>
      </c>
      <c r="R30" s="45" t="n">
        <v>1871643.02779</v>
      </c>
      <c r="S30" s="45" t="n">
        <v>19913655.052</v>
      </c>
      <c r="T30" s="45" t="n">
        <v>13877192.02197</v>
      </c>
      <c r="U30" s="15" t="n">
        <v>43.5</v>
      </c>
      <c r="V30" s="15" t="n">
        <v>47.88</v>
      </c>
      <c r="W30" s="49" t="n">
        <v>69.687</v>
      </c>
    </row>
    <row r="31">
      <c r="A31" s="44" t="inlineStr">
        <is>
          <t>TL Cinsi Kuponsuz Senetler</t>
        </is>
      </c>
      <c r="B31" s="44" t="n">
        <v>2024</v>
      </c>
      <c r="C31" s="44" t="inlineStr">
        <is>
          <t>TRT100925T18</t>
        </is>
      </c>
      <c r="D31" s="44" t="inlineStr">
        <is>
          <t>06.11.2024</t>
        </is>
      </c>
      <c r="E31" s="44" t="inlineStr">
        <is>
          <t>10.09.2025</t>
        </is>
      </c>
      <c r="F31" s="44" t="n">
        <v>308</v>
      </c>
      <c r="G31" s="44" t="n"/>
      <c r="H31" s="15" t="n"/>
      <c r="I31" s="45" t="n">
        <v>15800230.153</v>
      </c>
      <c r="J31" s="45" t="n">
        <v>11293579.2546</v>
      </c>
      <c r="K31" s="45" t="n">
        <v>5490000</v>
      </c>
      <c r="L31" s="45" t="n">
        <v>3940950.12</v>
      </c>
      <c r="M31" s="45" t="n">
        <v>0</v>
      </c>
      <c r="N31" s="45" t="n">
        <v>0</v>
      </c>
      <c r="O31" s="45" t="n">
        <v>3482670.23</v>
      </c>
      <c r="P31" s="45" t="n">
        <v>2499999.99789</v>
      </c>
      <c r="Q31" s="45" t="n">
        <v>2281609.339</v>
      </c>
      <c r="R31" s="45" t="n">
        <v>1637830.44791</v>
      </c>
      <c r="S31" s="45" t="n">
        <v>11254279.569</v>
      </c>
      <c r="T31" s="45" t="n">
        <v>8078780.5658</v>
      </c>
      <c r="U31" s="15" t="n">
        <v>39.31</v>
      </c>
      <c r="V31" s="15" t="n">
        <v>47.96</v>
      </c>
      <c r="W31" s="49" t="n">
        <v>71.78400000000001</v>
      </c>
    </row>
    <row r="32">
      <c r="A32" s="44" t="inlineStr">
        <is>
          <t>TL Cinsi Kuponsuz Senetler</t>
        </is>
      </c>
      <c r="B32" s="44" t="n">
        <v>2024</v>
      </c>
      <c r="C32" s="44" t="inlineStr">
        <is>
          <t>TRT100925T18</t>
        </is>
      </c>
      <c r="D32" s="44" t="inlineStr">
        <is>
          <t>11.12.2024</t>
        </is>
      </c>
      <c r="E32" s="44" t="inlineStr">
        <is>
          <t>10.09.2025</t>
        </is>
      </c>
      <c r="F32" s="44" t="n">
        <v>273</v>
      </c>
      <c r="G32" s="44" t="n"/>
      <c r="H32" s="15" t="n"/>
      <c r="I32" s="45" t="n">
        <v>25169000</v>
      </c>
      <c r="J32" s="45" t="n">
        <v>18827811.08</v>
      </c>
      <c r="K32" s="45" t="n">
        <v>6639000</v>
      </c>
      <c r="L32" s="45" t="n">
        <v>5017729.78</v>
      </c>
      <c r="M32" s="45" t="n">
        <v>5358560.465</v>
      </c>
      <c r="N32" s="45" t="n">
        <v>4049999.99945</v>
      </c>
      <c r="O32" s="45" t="n">
        <v>661550.671</v>
      </c>
      <c r="P32" s="45" t="n">
        <v>499999.99714</v>
      </c>
      <c r="Q32" s="45" t="n">
        <v>1634302.639</v>
      </c>
      <c r="R32" s="45" t="n">
        <v>1235205.93455</v>
      </c>
      <c r="S32" s="45" t="n">
        <v>14293413.775</v>
      </c>
      <c r="T32" s="45" t="n">
        <v>10802935.71114</v>
      </c>
      <c r="U32" s="15" t="n">
        <v>32.31</v>
      </c>
      <c r="V32" s="15" t="n">
        <v>45.25</v>
      </c>
      <c r="W32" s="49" t="n">
        <v>75.58</v>
      </c>
    </row>
    <row r="33">
      <c r="A33" s="44" t="inlineStr">
        <is>
          <t>TL Cinsi Kuponsuz Senetler</t>
        </is>
      </c>
      <c r="B33" s="44" t="n">
        <v>2023</v>
      </c>
      <c r="C33" s="44" t="inlineStr">
        <is>
          <t>TRT131223T12</t>
        </is>
      </c>
      <c r="D33" s="44" t="inlineStr">
        <is>
          <t>18.01.2023</t>
        </is>
      </c>
      <c r="E33" s="44" t="inlineStr">
        <is>
          <t>13.12.2023</t>
        </is>
      </c>
      <c r="F33" s="44" t="n">
        <v>329</v>
      </c>
      <c r="G33" s="44" t="n"/>
      <c r="H33" s="15" t="n"/>
      <c r="I33" s="45" t="n">
        <v>1422000</v>
      </c>
      <c r="J33" s="45" t="n">
        <v>1292928.05</v>
      </c>
      <c r="K33" s="45" t="n">
        <v>533000</v>
      </c>
      <c r="L33" s="45" t="n">
        <v>486057.72</v>
      </c>
      <c r="M33" s="45" t="n">
        <v>328972.618</v>
      </c>
      <c r="N33" s="45" t="n">
        <v>299999.99953</v>
      </c>
      <c r="O33" s="45" t="n">
        <v>137071.923</v>
      </c>
      <c r="P33" s="45" t="n">
        <v>124999.99874</v>
      </c>
      <c r="Q33" s="45" t="n">
        <v>30003.618</v>
      </c>
      <c r="R33" s="45" t="n">
        <v>27361.19936</v>
      </c>
      <c r="S33" s="45" t="n">
        <v>1029048.159</v>
      </c>
      <c r="T33" s="45" t="n">
        <v>938418.9176299998</v>
      </c>
      <c r="U33" s="15" t="n">
        <v>9.66</v>
      </c>
      <c r="V33" s="15" t="n">
        <v>10.74</v>
      </c>
      <c r="W33" s="49" t="n">
        <v>91.193</v>
      </c>
    </row>
    <row r="34">
      <c r="A34" s="44" t="inlineStr">
        <is>
          <t>TL Cinsi Kuponsuz Senetler</t>
        </is>
      </c>
      <c r="B34" s="44" t="n">
        <v>2023</v>
      </c>
      <c r="C34" s="44" t="inlineStr">
        <is>
          <t>TRT131223T12</t>
        </is>
      </c>
      <c r="D34" s="44" t="inlineStr">
        <is>
          <t>08.03.2023</t>
        </is>
      </c>
      <c r="E34" s="44" t="inlineStr">
        <is>
          <t>13.12.2023</t>
        </is>
      </c>
      <c r="F34" s="44" t="n">
        <v>280</v>
      </c>
      <c r="G34" s="44" t="n"/>
      <c r="H34" s="15" t="n"/>
      <c r="I34" s="45" t="n">
        <v>1346000</v>
      </c>
      <c r="J34" s="45" t="n">
        <v>1249938.59</v>
      </c>
      <c r="K34" s="45" t="n">
        <v>936000</v>
      </c>
      <c r="L34" s="45" t="n">
        <v>870350.99</v>
      </c>
      <c r="M34" s="45" t="n">
        <v>0</v>
      </c>
      <c r="N34" s="45" t="n">
        <v>0</v>
      </c>
      <c r="O34" s="45" t="n">
        <v>1290516.85</v>
      </c>
      <c r="P34" s="45" t="n">
        <v>1199999.99813</v>
      </c>
      <c r="Q34" s="45" t="n">
        <v>0</v>
      </c>
      <c r="R34" s="45" t="n">
        <v>0</v>
      </c>
      <c r="S34" s="45" t="n">
        <v>2226516.85</v>
      </c>
      <c r="T34" s="45" t="n">
        <v>2070350.98813</v>
      </c>
      <c r="U34" s="15" t="n">
        <v>7.54</v>
      </c>
      <c r="V34" s="15" t="n">
        <v>9.91</v>
      </c>
      <c r="W34" s="49" t="n">
        <v>92.986</v>
      </c>
    </row>
    <row r="35">
      <c r="A35" s="44" t="inlineStr">
        <is>
          <t>TL Cinsi Kuponsuz Senetler</t>
        </is>
      </c>
      <c r="B35" s="44" t="n">
        <v>2023</v>
      </c>
      <c r="C35" s="44" t="inlineStr">
        <is>
          <t>TRT161024T10</t>
        </is>
      </c>
      <c r="D35" s="44" t="inlineStr">
        <is>
          <t>19.07.2023</t>
        </is>
      </c>
      <c r="E35" s="44" t="inlineStr">
        <is>
          <t>16.10.2024</t>
        </is>
      </c>
      <c r="F35" s="44" t="n">
        <v>455</v>
      </c>
      <c r="G35" s="44" t="n"/>
      <c r="H35" s="15" t="n"/>
      <c r="I35" s="45" t="n">
        <v>1265000</v>
      </c>
      <c r="J35" s="45" t="n">
        <v>986195.4</v>
      </c>
      <c r="K35" s="45" t="n">
        <v>325000</v>
      </c>
      <c r="L35" s="45" t="n">
        <v>266954.35</v>
      </c>
      <c r="M35" s="45" t="n">
        <v>1217433.649</v>
      </c>
      <c r="N35" s="45" t="n">
        <v>999999.9992899999</v>
      </c>
      <c r="O35" s="45" t="n">
        <v>30435.84</v>
      </c>
      <c r="P35" s="45" t="n">
        <v>24999.99898</v>
      </c>
      <c r="Q35" s="45" t="n">
        <v>0</v>
      </c>
      <c r="R35" s="45" t="n">
        <v>0</v>
      </c>
      <c r="S35" s="45" t="n">
        <v>1572869.489</v>
      </c>
      <c r="T35" s="45" t="n">
        <v>1291954.34827</v>
      </c>
      <c r="U35" s="15" t="n">
        <v>21.74</v>
      </c>
      <c r="V35" s="15" t="n">
        <v>17.05</v>
      </c>
      <c r="W35" s="49" t="n">
        <v>82.14</v>
      </c>
    </row>
    <row r="36">
      <c r="A36" s="44" t="inlineStr">
        <is>
          <t>TL Cinsi Kuponsuz Senetler</t>
        </is>
      </c>
      <c r="B36" s="44" t="n">
        <v>2023</v>
      </c>
      <c r="C36" s="44" t="inlineStr">
        <is>
          <t>TRT161024T10</t>
        </is>
      </c>
      <c r="D36" s="44" t="inlineStr">
        <is>
          <t>18.10.2023</t>
        </is>
      </c>
      <c r="E36" s="44" t="inlineStr">
        <is>
          <t>16.10.2024</t>
        </is>
      </c>
      <c r="F36" s="44" t="n">
        <v>364</v>
      </c>
      <c r="G36" s="44" t="n"/>
      <c r="H36" s="15" t="n"/>
      <c r="I36" s="45" t="n">
        <v>3330001.804</v>
      </c>
      <c r="J36" s="45" t="n">
        <v>2462714.34931</v>
      </c>
      <c r="K36" s="45" t="n">
        <v>1030001.804</v>
      </c>
      <c r="L36" s="45" t="n">
        <v>815226.34931</v>
      </c>
      <c r="M36" s="45" t="n">
        <v>1895183.706</v>
      </c>
      <c r="N36" s="45" t="n">
        <v>1499999.99962</v>
      </c>
      <c r="O36" s="45" t="n">
        <v>37903.673</v>
      </c>
      <c r="P36" s="45" t="n">
        <v>29999.9991</v>
      </c>
      <c r="Q36" s="45" t="n">
        <v>0</v>
      </c>
      <c r="R36" s="45" t="n">
        <v>0</v>
      </c>
      <c r="S36" s="45" t="n">
        <v>2963089.183</v>
      </c>
      <c r="T36" s="45" t="n">
        <v>2345226.34803</v>
      </c>
      <c r="U36" s="15" t="n">
        <v>26.35</v>
      </c>
      <c r="V36" s="15" t="n">
        <v>26.35</v>
      </c>
      <c r="W36" s="49" t="n">
        <v>79.148</v>
      </c>
    </row>
    <row r="37">
      <c r="A37" s="44" t="inlineStr">
        <is>
          <t>TL Cinsi Kuponsuz Senetler</t>
        </is>
      </c>
      <c r="B37" s="44" t="n">
        <v>2023</v>
      </c>
      <c r="C37" s="44" t="inlineStr">
        <is>
          <t>TRT161024T10</t>
        </is>
      </c>
      <c r="D37" s="44" t="inlineStr">
        <is>
          <t>08.11.2023</t>
        </is>
      </c>
      <c r="E37" s="44" t="inlineStr">
        <is>
          <t>16.10.2024</t>
        </is>
      </c>
      <c r="F37" s="44" t="n">
        <v>343</v>
      </c>
      <c r="G37" s="44" t="n"/>
      <c r="H37" s="15" t="n"/>
      <c r="I37" s="45" t="n">
        <v>6561007</v>
      </c>
      <c r="J37" s="45" t="n">
        <v>4621859.42605</v>
      </c>
      <c r="K37" s="45" t="n">
        <v>1581007</v>
      </c>
      <c r="L37" s="45" t="n">
        <v>1151183.52605</v>
      </c>
      <c r="M37" s="45" t="n">
        <v>0</v>
      </c>
      <c r="N37" s="45" t="n">
        <v>0</v>
      </c>
      <c r="O37" s="45" t="n">
        <v>137338.11</v>
      </c>
      <c r="P37" s="45" t="n">
        <v>99999.99803</v>
      </c>
      <c r="Q37" s="45" t="n">
        <v>0</v>
      </c>
      <c r="R37" s="45" t="n">
        <v>0</v>
      </c>
      <c r="S37" s="45" t="n">
        <v>1718345.11</v>
      </c>
      <c r="T37" s="45" t="n">
        <v>1251183.52408</v>
      </c>
      <c r="U37" s="15" t="n">
        <v>37.34</v>
      </c>
      <c r="V37" s="15" t="n">
        <v>40.03</v>
      </c>
      <c r="W37" s="49" t="n">
        <v>72.813</v>
      </c>
    </row>
    <row r="38">
      <c r="A38" s="44" t="inlineStr">
        <is>
          <t>TL Cinsi Kuponsuz Senetler</t>
        </is>
      </c>
      <c r="B38" s="44" t="n">
        <v>2022</v>
      </c>
      <c r="C38" s="44" t="inlineStr">
        <is>
          <t>TRT250123T11</t>
        </is>
      </c>
      <c r="D38" s="44" t="inlineStr">
        <is>
          <t>12.01.2022</t>
        </is>
      </c>
      <c r="E38" s="44" t="inlineStr">
        <is>
          <t>25.01.2023</t>
        </is>
      </c>
      <c r="F38" s="44" t="n">
        <v>378</v>
      </c>
      <c r="G38" s="44" t="n"/>
      <c r="H38" s="15" t="n"/>
      <c r="I38" s="45" t="n">
        <v>3244010</v>
      </c>
      <c r="J38" s="45" t="n">
        <v>2589066.405</v>
      </c>
      <c r="K38" s="45" t="n">
        <v>1772010</v>
      </c>
      <c r="L38" s="45" t="n">
        <v>1420132.155</v>
      </c>
      <c r="M38" s="45" t="n">
        <v>499114.072</v>
      </c>
      <c r="N38" s="45" t="n">
        <v>399999.99958</v>
      </c>
      <c r="O38" s="45" t="n">
        <v>998228.142</v>
      </c>
      <c r="P38" s="45" t="n">
        <v>799999.99756</v>
      </c>
      <c r="Q38" s="45" t="n">
        <v>776000</v>
      </c>
      <c r="R38" s="45" t="n">
        <v>621901.92</v>
      </c>
      <c r="S38" s="45" t="n">
        <v>4045352.214</v>
      </c>
      <c r="T38" s="45" t="n">
        <v>3242034.07214</v>
      </c>
      <c r="U38" s="15" t="n">
        <v>24.78</v>
      </c>
      <c r="V38" s="15" t="n">
        <v>23.76</v>
      </c>
      <c r="W38" s="49" t="n">
        <v>80.142</v>
      </c>
    </row>
    <row r="39">
      <c r="A39" s="44" t="inlineStr">
        <is>
          <t>TL Cinsi Kuponsuz Senetler</t>
        </is>
      </c>
      <c r="B39" s="44" t="n">
        <v>2022</v>
      </c>
      <c r="C39" s="44" t="inlineStr">
        <is>
          <t>TRT250123T11</t>
        </is>
      </c>
      <c r="D39" s="44" t="inlineStr">
        <is>
          <t>16.02.2022</t>
        </is>
      </c>
      <c r="E39" s="44" t="inlineStr">
        <is>
          <t>25.01.2023</t>
        </is>
      </c>
      <c r="F39" s="44" t="n">
        <v>343</v>
      </c>
      <c r="G39" s="44" t="n"/>
      <c r="H39" s="15" t="n"/>
      <c r="I39" s="45" t="n">
        <v>6779010</v>
      </c>
      <c r="J39" s="45" t="n">
        <v>5713621.15</v>
      </c>
      <c r="K39" s="45" t="n">
        <v>1416010</v>
      </c>
      <c r="L39" s="45" t="n">
        <v>1198626.79</v>
      </c>
      <c r="M39" s="45" t="n">
        <v>1004158.397</v>
      </c>
      <c r="N39" s="45" t="n">
        <v>849999.9999000001</v>
      </c>
      <c r="O39" s="45" t="n">
        <v>2539930.062</v>
      </c>
      <c r="P39" s="45" t="n">
        <v>2149999.99888</v>
      </c>
      <c r="Q39" s="45" t="n">
        <v>0</v>
      </c>
      <c r="R39" s="45" t="n">
        <v>0</v>
      </c>
      <c r="S39" s="45" t="n">
        <v>4960098.459</v>
      </c>
      <c r="T39" s="45" t="n">
        <v>4198626.78878</v>
      </c>
      <c r="U39" s="15" t="n">
        <v>18.14</v>
      </c>
      <c r="V39" s="15" t="n">
        <v>19.35</v>
      </c>
      <c r="W39" s="49" t="n">
        <v>84.648</v>
      </c>
    </row>
    <row r="40">
      <c r="A40" s="44" t="inlineStr">
        <is>
          <t>TL Cinsi Kuponsuz Senetler</t>
        </is>
      </c>
      <c r="B40" s="44" t="n">
        <v>2022</v>
      </c>
      <c r="C40" s="44" t="inlineStr">
        <is>
          <t>TRT250123T11</t>
        </is>
      </c>
      <c r="D40" s="44" t="inlineStr">
        <is>
          <t>09.03.2022</t>
        </is>
      </c>
      <c r="E40" s="44" t="inlineStr">
        <is>
          <t>25.01.2023</t>
        </is>
      </c>
      <c r="F40" s="44" t="n">
        <v>322</v>
      </c>
      <c r="G40" s="44" t="n"/>
      <c r="H40" s="15" t="n"/>
      <c r="I40" s="45" t="n">
        <v>5277000</v>
      </c>
      <c r="J40" s="45" t="n">
        <v>4396263.79</v>
      </c>
      <c r="K40" s="45" t="n">
        <v>2436000</v>
      </c>
      <c r="L40" s="45" t="n">
        <v>2036769.28</v>
      </c>
      <c r="M40" s="45" t="n">
        <v>0</v>
      </c>
      <c r="N40" s="45" t="n">
        <v>0</v>
      </c>
      <c r="O40" s="45" t="n">
        <v>2152826.777</v>
      </c>
      <c r="P40" s="45" t="n">
        <v>1799999.99653</v>
      </c>
      <c r="Q40" s="45" t="n">
        <v>25012.857</v>
      </c>
      <c r="R40" s="45" t="n">
        <v>20913.49987</v>
      </c>
      <c r="S40" s="45" t="n">
        <v>4613839.634</v>
      </c>
      <c r="T40" s="45" t="n">
        <v>3857682.7764</v>
      </c>
      <c r="U40" s="15" t="n">
        <v>19.6</v>
      </c>
      <c r="V40" s="15" t="n">
        <v>22.43</v>
      </c>
      <c r="W40" s="49" t="n">
        <v>83.611</v>
      </c>
    </row>
    <row r="41">
      <c r="A41" s="44" t="inlineStr">
        <is>
          <t>TL Cinsi Kuponsuz Senetler</t>
        </is>
      </c>
      <c r="B41" s="44" t="n">
        <v>2022</v>
      </c>
      <c r="C41" s="44" t="inlineStr">
        <is>
          <t>TRB220223T13</t>
        </is>
      </c>
      <c r="D41" s="44" t="inlineStr">
        <is>
          <t>13.04.2022</t>
        </is>
      </c>
      <c r="E41" s="44" t="inlineStr">
        <is>
          <t>22.02.2023</t>
        </is>
      </c>
      <c r="F41" s="44" t="n">
        <v>315</v>
      </c>
      <c r="G41" s="44" t="n"/>
      <c r="H41" s="15" t="n"/>
      <c r="I41" s="45" t="n">
        <v>3865028.349</v>
      </c>
      <c r="J41" s="45" t="n">
        <v>3234798.94941</v>
      </c>
      <c r="K41" s="45" t="n">
        <v>2265028.349</v>
      </c>
      <c r="L41" s="45" t="n">
        <v>1898437.04941</v>
      </c>
      <c r="M41" s="45" t="n">
        <v>119310.385</v>
      </c>
      <c r="N41" s="45" t="n">
        <v>99999.99919</v>
      </c>
      <c r="O41" s="45" t="n">
        <v>1312414.242</v>
      </c>
      <c r="P41" s="45" t="n">
        <v>1099999.99694</v>
      </c>
      <c r="Q41" s="45" t="n">
        <v>345248.253</v>
      </c>
      <c r="R41" s="45" t="n">
        <v>289369.82326</v>
      </c>
      <c r="S41" s="45" t="n">
        <v>4042001.229</v>
      </c>
      <c r="T41" s="45" t="n">
        <v>3387806.8688</v>
      </c>
      <c r="U41" s="15" t="n">
        <v>19.31</v>
      </c>
      <c r="V41" s="15" t="n">
        <v>22.63</v>
      </c>
      <c r="W41" s="49" t="n">
        <v>83.815</v>
      </c>
    </row>
    <row r="42">
      <c r="A42" s="44" t="inlineStr">
        <is>
          <t>TL Cinsi Kuponsuz Senetler</t>
        </is>
      </c>
      <c r="B42" s="44" t="n">
        <v>2022</v>
      </c>
      <c r="C42" s="44" t="inlineStr">
        <is>
          <t>TRB220223T13</t>
        </is>
      </c>
      <c r="D42" s="44" t="inlineStr">
        <is>
          <t>25.05.2022</t>
        </is>
      </c>
      <c r="E42" s="44" t="inlineStr">
        <is>
          <t>22.02.2023</t>
        </is>
      </c>
      <c r="F42" s="44" t="n">
        <v>273</v>
      </c>
      <c r="G42" s="44" t="n"/>
      <c r="H42" s="15" t="n"/>
      <c r="I42" s="45" t="n">
        <v>3655000</v>
      </c>
      <c r="J42" s="45" t="n">
        <v>3093912.23</v>
      </c>
      <c r="K42" s="45" t="n">
        <v>2381000</v>
      </c>
      <c r="L42" s="45" t="n">
        <v>2017409.4</v>
      </c>
      <c r="M42" s="45" t="n">
        <v>118021.952</v>
      </c>
      <c r="N42" s="45" t="n">
        <v>99999.99993000001</v>
      </c>
      <c r="O42" s="45" t="n">
        <v>4248790.27</v>
      </c>
      <c r="P42" s="45" t="n">
        <v>3599999.99578</v>
      </c>
      <c r="Q42" s="45" t="n">
        <v>0</v>
      </c>
      <c r="R42" s="45" t="n">
        <v>0</v>
      </c>
      <c r="S42" s="45" t="n">
        <v>6747812.221999999</v>
      </c>
      <c r="T42" s="45" t="n">
        <v>5717409.39571</v>
      </c>
      <c r="U42" s="15" t="n">
        <v>18.02</v>
      </c>
      <c r="V42" s="15" t="n">
        <v>24.73</v>
      </c>
      <c r="W42" s="49" t="n">
        <v>84.73</v>
      </c>
    </row>
    <row r="43">
      <c r="A43" s="44" t="inlineStr">
        <is>
          <t>TL Cinsi Kuponsuz Senetler</t>
        </is>
      </c>
      <c r="B43" s="44" t="n">
        <v>2022</v>
      </c>
      <c r="C43" s="44" t="inlineStr">
        <is>
          <t>TRB220223T13</t>
        </is>
      </c>
      <c r="D43" s="44" t="inlineStr">
        <is>
          <t>15.06.2022</t>
        </is>
      </c>
      <c r="E43" s="44" t="inlineStr">
        <is>
          <t>22.02.2023</t>
        </is>
      </c>
      <c r="F43" s="44" t="n">
        <v>252</v>
      </c>
      <c r="G43" s="44" t="n"/>
      <c r="H43" s="15" t="n"/>
      <c r="I43" s="45" t="n">
        <v>1046000</v>
      </c>
      <c r="J43" s="45" t="n">
        <v>897288.03</v>
      </c>
      <c r="K43" s="45" t="n">
        <v>746000</v>
      </c>
      <c r="L43" s="45" t="n">
        <v>640970.23</v>
      </c>
      <c r="M43" s="45" t="n">
        <v>232771.964</v>
      </c>
      <c r="N43" s="45" t="n">
        <v>199999.99919</v>
      </c>
      <c r="O43" s="45" t="n">
        <v>814701.875</v>
      </c>
      <c r="P43" s="45" t="n">
        <v>699999.99801</v>
      </c>
      <c r="Q43" s="45" t="n">
        <v>225297.889</v>
      </c>
      <c r="R43" s="45" t="n">
        <v>193578.19921</v>
      </c>
      <c r="S43" s="45" t="n">
        <v>2018771.728</v>
      </c>
      <c r="T43" s="45" t="n">
        <v>1734548.42641</v>
      </c>
      <c r="U43" s="15" t="n">
        <v>16.39</v>
      </c>
      <c r="V43" s="15" t="n">
        <v>24.51</v>
      </c>
      <c r="W43" s="49" t="n">
        <v>85.92100000000001</v>
      </c>
    </row>
    <row r="44">
      <c r="A44" s="44" t="inlineStr">
        <is>
          <t>TL Cinsi Kuponsuz Senetler</t>
        </is>
      </c>
      <c r="B44" s="44" t="n">
        <v>2022</v>
      </c>
      <c r="C44" s="44" t="inlineStr">
        <is>
          <t>TRT111023T16</t>
        </is>
      </c>
      <c r="D44" s="44" t="inlineStr">
        <is>
          <t>21.09.2022</t>
        </is>
      </c>
      <c r="E44" s="44" t="inlineStr">
        <is>
          <t>11.10.2023</t>
        </is>
      </c>
      <c r="F44" s="44" t="n">
        <v>385</v>
      </c>
      <c r="G44" s="44" t="n"/>
      <c r="H44" s="15" t="n"/>
      <c r="I44" s="45" t="n">
        <v>990000</v>
      </c>
      <c r="J44" s="45" t="n">
        <v>853976.75</v>
      </c>
      <c r="K44" s="45" t="n">
        <v>335000</v>
      </c>
      <c r="L44" s="45" t="n">
        <v>289524.9</v>
      </c>
      <c r="M44" s="45" t="n">
        <v>2776974.254</v>
      </c>
      <c r="N44" s="45" t="n">
        <v>2399999.99902</v>
      </c>
      <c r="O44" s="45" t="n">
        <v>231414.52</v>
      </c>
      <c r="P44" s="45" t="n">
        <v>199999.99891</v>
      </c>
      <c r="Q44" s="45" t="n">
        <v>60070.639</v>
      </c>
      <c r="R44" s="45" t="n">
        <v>51916.04976</v>
      </c>
      <c r="S44" s="45" t="n">
        <v>3403459.413</v>
      </c>
      <c r="T44" s="45" t="n">
        <v>2941440.94769</v>
      </c>
      <c r="U44" s="15" t="n">
        <v>15.71</v>
      </c>
      <c r="V44" s="15" t="n">
        <v>14.79</v>
      </c>
      <c r="W44" s="49" t="n">
        <v>86.425</v>
      </c>
    </row>
    <row r="45">
      <c r="A45" s="44" t="inlineStr">
        <is>
          <t>TL Cinsi Kuponsuz Senetler</t>
        </is>
      </c>
      <c r="B45" s="44" t="n">
        <v>2022</v>
      </c>
      <c r="C45" s="44" t="inlineStr">
        <is>
          <t>TRT131223T12</t>
        </is>
      </c>
      <c r="D45" s="44" t="inlineStr">
        <is>
          <t>09.11.2022</t>
        </is>
      </c>
      <c r="E45" s="44" t="inlineStr">
        <is>
          <t>13.12.2023</t>
        </is>
      </c>
      <c r="F45" s="44" t="n">
        <v>399</v>
      </c>
      <c r="G45" s="44" t="n"/>
      <c r="H45" s="15" t="n"/>
      <c r="I45" s="45" t="n">
        <v>2167000</v>
      </c>
      <c r="J45" s="45" t="n">
        <v>1838101.12</v>
      </c>
      <c r="K45" s="45" t="n">
        <v>1143000</v>
      </c>
      <c r="L45" s="45" t="n">
        <v>982392.01</v>
      </c>
      <c r="M45" s="45" t="n">
        <v>1745221.003</v>
      </c>
      <c r="N45" s="45" t="n">
        <v>1499999.99987</v>
      </c>
      <c r="O45" s="45" t="n">
        <v>698088.397</v>
      </c>
      <c r="P45" s="45" t="n">
        <v>599999.99633</v>
      </c>
      <c r="Q45" s="45" t="n">
        <v>175156.197</v>
      </c>
      <c r="R45" s="45" t="n">
        <v>150544.99976</v>
      </c>
      <c r="S45" s="45" t="n">
        <v>3761465.597</v>
      </c>
      <c r="T45" s="45" t="n">
        <v>3232937.00596</v>
      </c>
      <c r="U45" s="15" t="n">
        <v>16.35</v>
      </c>
      <c r="V45" s="15" t="n">
        <v>14.81</v>
      </c>
      <c r="W45" s="49" t="n">
        <v>85.949</v>
      </c>
    </row>
    <row r="46">
      <c r="A46" s="44" t="inlineStr">
        <is>
          <t>TL Cinsi Kuponsuz Senetler</t>
        </is>
      </c>
      <c r="B46" s="44" t="n">
        <v>2021</v>
      </c>
      <c r="C46" s="44" t="inlineStr">
        <is>
          <t>TRT130422T13</t>
        </is>
      </c>
      <c r="D46" s="44" t="inlineStr">
        <is>
          <t>20.01.2021</t>
        </is>
      </c>
      <c r="E46" s="44" t="inlineStr">
        <is>
          <t>13.04.2022</t>
        </is>
      </c>
      <c r="F46" s="44" t="n">
        <v>448</v>
      </c>
      <c r="G46" s="44" t="n"/>
      <c r="H46" s="15" t="n"/>
      <c r="I46" s="45" t="n">
        <v>2273000</v>
      </c>
      <c r="J46" s="45" t="n">
        <v>1893033.34</v>
      </c>
      <c r="K46" s="45" t="n">
        <v>1220000</v>
      </c>
      <c r="L46" s="45" t="n">
        <v>1021845.4</v>
      </c>
      <c r="M46" s="45" t="n">
        <v>0</v>
      </c>
      <c r="N46" s="45" t="n">
        <v>0</v>
      </c>
      <c r="O46" s="45" t="n">
        <v>596957.9</v>
      </c>
      <c r="P46" s="45" t="n">
        <v>499999.9979</v>
      </c>
      <c r="Q46" s="45" t="n">
        <v>132547.367</v>
      </c>
      <c r="R46" s="45" t="n">
        <v>111019.02365</v>
      </c>
      <c r="S46" s="45" t="n">
        <v>1949505.267</v>
      </c>
      <c r="T46" s="45" t="n">
        <v>1632864.42155</v>
      </c>
      <c r="U46" s="15" t="n">
        <v>19.39</v>
      </c>
      <c r="V46" s="15" t="n">
        <v>15.49</v>
      </c>
      <c r="W46" s="49" t="n">
        <v>83.758</v>
      </c>
    </row>
    <row r="47">
      <c r="A47" s="44" t="inlineStr">
        <is>
          <t>TL Cinsi Kuponsuz Senetler</t>
        </is>
      </c>
      <c r="B47" s="44" t="n">
        <v>2021</v>
      </c>
      <c r="C47" s="44" t="inlineStr">
        <is>
          <t>TRT130422T13</t>
        </is>
      </c>
      <c r="D47" s="44" t="inlineStr">
        <is>
          <t>24.02.2021</t>
        </is>
      </c>
      <c r="E47" s="44" t="inlineStr">
        <is>
          <t>13.04.2022</t>
        </is>
      </c>
      <c r="F47" s="44" t="n">
        <v>413</v>
      </c>
      <c r="G47" s="44" t="n"/>
      <c r="H47" s="15" t="n"/>
      <c r="I47" s="45" t="n">
        <v>1112000</v>
      </c>
      <c r="J47" s="45" t="n">
        <v>936591.1</v>
      </c>
      <c r="K47" s="45" t="n">
        <v>232000</v>
      </c>
      <c r="L47" s="45" t="n">
        <v>196925.38</v>
      </c>
      <c r="M47" s="45" t="n">
        <v>58905.303</v>
      </c>
      <c r="N47" s="45" t="n">
        <v>49999.99929</v>
      </c>
      <c r="O47" s="45" t="n">
        <v>235621.212</v>
      </c>
      <c r="P47" s="45" t="n">
        <v>199999.99718</v>
      </c>
      <c r="Q47" s="45" t="n">
        <v>61000.341</v>
      </c>
      <c r="R47" s="45" t="n">
        <v>51778.30945</v>
      </c>
      <c r="S47" s="45" t="n">
        <v>587526.856</v>
      </c>
      <c r="T47" s="45" t="n">
        <v>498703.68592</v>
      </c>
      <c r="U47" s="15" t="n">
        <v>17.81</v>
      </c>
      <c r="V47" s="15" t="n">
        <v>15.54</v>
      </c>
      <c r="W47" s="49" t="n">
        <v>84.88200000000001</v>
      </c>
    </row>
    <row r="48">
      <c r="A48" s="44" t="inlineStr">
        <is>
          <t>TL Cinsi Kuponsuz Senetler</t>
        </is>
      </c>
      <c r="B48" s="44" t="n">
        <v>2021</v>
      </c>
      <c r="C48" s="44" t="inlineStr">
        <is>
          <t>TRT150622T19</t>
        </is>
      </c>
      <c r="D48" s="44" t="inlineStr">
        <is>
          <t>05.05.2021</t>
        </is>
      </c>
      <c r="E48" s="44" t="inlineStr">
        <is>
          <t>15.06.2022</t>
        </is>
      </c>
      <c r="F48" s="44" t="n">
        <v>406</v>
      </c>
      <c r="G48" s="44" t="n"/>
      <c r="H48" s="15" t="n"/>
      <c r="I48" s="45" t="n">
        <v>2155061.622</v>
      </c>
      <c r="J48" s="45" t="n">
        <v>1777476.13985</v>
      </c>
      <c r="K48" s="45" t="n">
        <v>662000</v>
      </c>
      <c r="L48" s="45" t="n">
        <v>549566.5600000001</v>
      </c>
      <c r="M48" s="45" t="n">
        <v>0</v>
      </c>
      <c r="N48" s="45" t="n">
        <v>0</v>
      </c>
      <c r="O48" s="45" t="n">
        <v>301146.764</v>
      </c>
      <c r="P48" s="45" t="n">
        <v>249999.9976</v>
      </c>
      <c r="Q48" s="45" t="n">
        <v>50012.527</v>
      </c>
      <c r="R48" s="45" t="n">
        <v>41518.39941</v>
      </c>
      <c r="S48" s="45" t="n">
        <v>1013159.291</v>
      </c>
      <c r="T48" s="45" t="n">
        <v>841084.95701</v>
      </c>
      <c r="U48" s="15" t="n">
        <v>20.46</v>
      </c>
      <c r="V48" s="15" t="n">
        <v>18.16</v>
      </c>
      <c r="W48" s="49" t="n">
        <v>83.01600000000001</v>
      </c>
    </row>
    <row r="49">
      <c r="A49" s="44" t="inlineStr">
        <is>
          <t>TL Cinsi Kuponsuz Senetler</t>
        </is>
      </c>
      <c r="B49" s="44" t="n">
        <v>2021</v>
      </c>
      <c r="C49" s="44" t="inlineStr">
        <is>
          <t>TRT150622T19</t>
        </is>
      </c>
      <c r="D49" s="44" t="inlineStr">
        <is>
          <t>09.06.2021</t>
        </is>
      </c>
      <c r="E49" s="44" t="inlineStr">
        <is>
          <t>15.06.2022</t>
        </is>
      </c>
      <c r="F49" s="44" t="n">
        <v>371</v>
      </c>
      <c r="G49" s="44" t="n"/>
      <c r="H49" s="15" t="n"/>
      <c r="I49" s="45" t="n">
        <v>1927095.937</v>
      </c>
      <c r="J49" s="45" t="n">
        <v>1614438.30899</v>
      </c>
      <c r="K49" s="45" t="n">
        <v>677000</v>
      </c>
      <c r="L49" s="45" t="n">
        <v>568453.97</v>
      </c>
      <c r="M49" s="45" t="n">
        <v>59547.203</v>
      </c>
      <c r="N49" s="45" t="n">
        <v>49999.99994</v>
      </c>
      <c r="O49" s="45" t="n">
        <v>178641.607</v>
      </c>
      <c r="P49" s="45" t="n">
        <v>149999.99814</v>
      </c>
      <c r="Q49" s="45" t="n">
        <v>85067.82399999999</v>
      </c>
      <c r="R49" s="45" t="n">
        <v>71428.89978000001</v>
      </c>
      <c r="S49" s="45" t="n">
        <v>1000256.634</v>
      </c>
      <c r="T49" s="45" t="n">
        <v>839882.86786</v>
      </c>
      <c r="U49" s="15" t="n">
        <v>19.09</v>
      </c>
      <c r="V49" s="15" t="n">
        <v>18.7</v>
      </c>
      <c r="W49" s="49" t="n">
        <v>83.967</v>
      </c>
    </row>
    <row r="50">
      <c r="A50" s="44" t="inlineStr">
        <is>
          <t>TL Cinsi Kuponsuz Senetler</t>
        </is>
      </c>
      <c r="B50" s="44" t="n">
        <v>2021</v>
      </c>
      <c r="C50" s="44" t="inlineStr">
        <is>
          <t>TRT150622T19</t>
        </is>
      </c>
      <c r="D50" s="44" t="inlineStr">
        <is>
          <t>28.07.2021</t>
        </is>
      </c>
      <c r="E50" s="44" t="inlineStr">
        <is>
          <t>15.06.2022</t>
        </is>
      </c>
      <c r="F50" s="44" t="n">
        <v>322</v>
      </c>
      <c r="G50" s="44" t="n"/>
      <c r="H50" s="15" t="n"/>
      <c r="I50" s="45" t="n">
        <v>2014000</v>
      </c>
      <c r="J50" s="45" t="n">
        <v>1723153.04</v>
      </c>
      <c r="K50" s="45" t="n">
        <v>884000</v>
      </c>
      <c r="L50" s="45" t="n">
        <v>757658.39</v>
      </c>
      <c r="M50" s="45" t="n">
        <v>262519.251</v>
      </c>
      <c r="N50" s="45" t="n">
        <v>224999.99965</v>
      </c>
      <c r="O50" s="45" t="n">
        <v>204181.637</v>
      </c>
      <c r="P50" s="45" t="n">
        <v>174999.99743</v>
      </c>
      <c r="Q50" s="45" t="n">
        <v>251709.502</v>
      </c>
      <c r="R50" s="45" t="n">
        <v>215735.17998</v>
      </c>
      <c r="S50" s="45" t="n">
        <v>1602410.39</v>
      </c>
      <c r="T50" s="45" t="n">
        <v>1373393.56706</v>
      </c>
      <c r="U50" s="15" t="n">
        <v>16.68</v>
      </c>
      <c r="V50" s="15" t="n">
        <v>19.05</v>
      </c>
      <c r="W50" s="49" t="n">
        <v>85.708</v>
      </c>
    </row>
    <row r="51">
      <c r="A51" s="44" t="inlineStr">
        <is>
          <t>TL Cinsi Kuponsuz Senetler</t>
        </is>
      </c>
      <c r="B51" s="44" t="n">
        <v>2021</v>
      </c>
      <c r="C51" s="44" t="inlineStr">
        <is>
          <t>TRT150622T19</t>
        </is>
      </c>
      <c r="D51" s="44" t="inlineStr">
        <is>
          <t>22.09.2021</t>
        </is>
      </c>
      <c r="E51" s="44" t="inlineStr">
        <is>
          <t>15.06.2022</t>
        </is>
      </c>
      <c r="F51" s="44" t="n">
        <v>266</v>
      </c>
      <c r="G51" s="44" t="n"/>
      <c r="H51" s="15" t="n"/>
      <c r="I51" s="45" t="n">
        <v>4185000</v>
      </c>
      <c r="J51" s="45" t="n">
        <v>3688608.1</v>
      </c>
      <c r="K51" s="45" t="n">
        <v>1795000</v>
      </c>
      <c r="L51" s="45" t="n">
        <v>1585167.35</v>
      </c>
      <c r="M51" s="45" t="n">
        <v>3170648.85</v>
      </c>
      <c r="N51" s="45" t="n">
        <v>2799999.99944</v>
      </c>
      <c r="O51" s="45" t="n">
        <v>1019137.126</v>
      </c>
      <c r="P51" s="45" t="n">
        <v>899999.99596</v>
      </c>
      <c r="Q51" s="45" t="n">
        <v>293824.778</v>
      </c>
      <c r="R51" s="45" t="n">
        <v>259476.66145</v>
      </c>
      <c r="S51" s="45" t="n">
        <v>6278610.754</v>
      </c>
      <c r="T51" s="45" t="n">
        <v>5544644.00685</v>
      </c>
      <c r="U51" s="15" t="n">
        <v>13.24</v>
      </c>
      <c r="V51" s="15" t="n">
        <v>18.54</v>
      </c>
      <c r="W51" s="49" t="n">
        <v>88.31</v>
      </c>
    </row>
    <row r="52">
      <c r="A52" s="44" t="inlineStr">
        <is>
          <t>TL Cinsi Kuponsuz Senetler</t>
        </is>
      </c>
      <c r="B52" s="44" t="n">
        <v>2021</v>
      </c>
      <c r="C52" s="44" t="inlineStr">
        <is>
          <t>TRT150622T19</t>
        </is>
      </c>
      <c r="D52" s="44" t="inlineStr">
        <is>
          <t>20.10.2021</t>
        </is>
      </c>
      <c r="E52" s="44" t="inlineStr">
        <is>
          <t>15.06.2022</t>
        </is>
      </c>
      <c r="F52" s="44" t="n">
        <v>238</v>
      </c>
      <c r="G52" s="44" t="n"/>
      <c r="H52" s="15" t="n"/>
      <c r="I52" s="45" t="n">
        <v>2681010</v>
      </c>
      <c r="J52" s="45" t="n">
        <v>2393245.608</v>
      </c>
      <c r="K52" s="45" t="n">
        <v>1006000</v>
      </c>
      <c r="L52" s="45" t="n">
        <v>899906.96</v>
      </c>
      <c r="M52" s="45" t="n">
        <v>1453260.893</v>
      </c>
      <c r="N52" s="45" t="n">
        <v>1299999.99923</v>
      </c>
      <c r="O52" s="45" t="n">
        <v>558946.495</v>
      </c>
      <c r="P52" s="45" t="n">
        <v>499999.99764</v>
      </c>
      <c r="Q52" s="45" t="n">
        <v>337120.195</v>
      </c>
      <c r="R52" s="45" t="n">
        <v>301567.49924</v>
      </c>
      <c r="S52" s="45" t="n">
        <v>3355327.583</v>
      </c>
      <c r="T52" s="45" t="n">
        <v>3001474.45611</v>
      </c>
      <c r="U52" s="15" t="n">
        <v>11.79</v>
      </c>
      <c r="V52" s="15" t="n">
        <v>18.58</v>
      </c>
      <c r="W52" s="49" t="n">
        <v>89.45399999999999</v>
      </c>
    </row>
    <row r="53">
      <c r="A53" s="44" t="inlineStr">
        <is>
          <t>TL Cinsi Kuponsuz Senetler</t>
        </is>
      </c>
      <c r="B53" s="44" t="n">
        <v>2021</v>
      </c>
      <c r="C53" s="44" t="inlineStr">
        <is>
          <t>TRT071222T11</t>
        </is>
      </c>
      <c r="D53" s="44" t="inlineStr">
        <is>
          <t>10.11.2021</t>
        </is>
      </c>
      <c r="E53" s="44" t="inlineStr">
        <is>
          <t>07.12.2022</t>
        </is>
      </c>
      <c r="F53" s="44" t="n">
        <v>392</v>
      </c>
      <c r="G53" s="44" t="n"/>
      <c r="H53" s="15" t="n"/>
      <c r="I53" s="45" t="n">
        <v>3125010</v>
      </c>
      <c r="J53" s="45" t="n">
        <v>2625027.478</v>
      </c>
      <c r="K53" s="45" t="n">
        <v>1794010</v>
      </c>
      <c r="L53" s="45" t="n">
        <v>1509476.568</v>
      </c>
      <c r="M53" s="45" t="n">
        <v>1842167.814</v>
      </c>
      <c r="N53" s="45" t="n">
        <v>1549999.9987</v>
      </c>
      <c r="O53" s="45" t="n">
        <v>831946.753</v>
      </c>
      <c r="P53" s="45" t="n">
        <v>699999.99797</v>
      </c>
      <c r="Q53" s="45" t="n">
        <v>533116.218</v>
      </c>
      <c r="R53" s="45" t="n">
        <v>448563.98583</v>
      </c>
      <c r="S53" s="45" t="n">
        <v>5001240.785</v>
      </c>
      <c r="T53" s="45" t="n">
        <v>4208040.5505</v>
      </c>
      <c r="U53" s="15" t="n">
        <v>18.85</v>
      </c>
      <c r="V53" s="15" t="n">
        <v>17.39</v>
      </c>
      <c r="W53" s="49" t="n">
        <v>84.14</v>
      </c>
    </row>
    <row r="54">
      <c r="A54" s="44" t="inlineStr">
        <is>
          <t>TL Cinsi Kuponsuz Senetler</t>
        </is>
      </c>
      <c r="B54" s="44" t="n">
        <v>2020</v>
      </c>
      <c r="C54" s="44" t="inlineStr">
        <is>
          <t>TRT140421T13</t>
        </is>
      </c>
      <c r="D54" s="44" t="inlineStr">
        <is>
          <t>15.01.2020</t>
        </is>
      </c>
      <c r="E54" s="44" t="inlineStr">
        <is>
          <t>14.04.2021</t>
        </is>
      </c>
      <c r="F54" s="44" t="n">
        <v>455</v>
      </c>
      <c r="G54" s="44" t="n"/>
      <c r="H54" s="15" t="n"/>
      <c r="I54" s="45" t="n">
        <v>8226630</v>
      </c>
      <c r="J54" s="45" t="n">
        <v>7255020.51945</v>
      </c>
      <c r="K54" s="45" t="n">
        <v>4061630</v>
      </c>
      <c r="L54" s="45" t="n">
        <v>3586970.19945</v>
      </c>
      <c r="M54" s="45" t="n">
        <v>509545.485</v>
      </c>
      <c r="N54" s="45" t="n">
        <v>449999.99962</v>
      </c>
      <c r="O54" s="45" t="n">
        <v>2038181.937</v>
      </c>
      <c r="P54" s="45" t="n">
        <v>1799999.99583</v>
      </c>
      <c r="Q54" s="45" t="n">
        <v>824498.534</v>
      </c>
      <c r="R54" s="45" t="n">
        <v>728147.63531</v>
      </c>
      <c r="S54" s="45" t="n">
        <v>7433855.956</v>
      </c>
      <c r="T54" s="45" t="n">
        <v>6565117.83021</v>
      </c>
      <c r="U54" s="15" t="n">
        <v>13.23</v>
      </c>
      <c r="V54" s="15" t="n">
        <v>10.45</v>
      </c>
      <c r="W54" s="49" t="n">
        <v>88.31399999999999</v>
      </c>
    </row>
    <row r="55">
      <c r="A55" s="44" t="inlineStr">
        <is>
          <t>TL Cinsi Kuponsuz Senetler</t>
        </is>
      </c>
      <c r="B55" s="44" t="n">
        <v>2020</v>
      </c>
      <c r="C55" s="44" t="inlineStr">
        <is>
          <t>TRB220420T14</t>
        </is>
      </c>
      <c r="D55" s="44" t="inlineStr">
        <is>
          <t>22.01.2020</t>
        </is>
      </c>
      <c r="E55" s="44" t="inlineStr">
        <is>
          <t>22.04.2020</t>
        </is>
      </c>
      <c r="F55" s="44" t="n">
        <v>91</v>
      </c>
      <c r="G55" s="44" t="n"/>
      <c r="H55" s="15" t="n"/>
      <c r="I55" s="45" t="n">
        <v>3952530</v>
      </c>
      <c r="J55" s="45" t="n">
        <v>3858754.0334</v>
      </c>
      <c r="K55" s="45" t="n">
        <v>408000</v>
      </c>
      <c r="L55" s="45" t="n">
        <v>398764.71</v>
      </c>
      <c r="M55" s="45" t="n">
        <v>102316.444</v>
      </c>
      <c r="N55" s="45" t="n">
        <v>99999.99971</v>
      </c>
      <c r="O55" s="45" t="n">
        <v>1534746.66</v>
      </c>
      <c r="P55" s="45" t="n">
        <v>1499999.99561</v>
      </c>
      <c r="Q55" s="45" t="n">
        <v>0</v>
      </c>
      <c r="R55" s="45" t="n">
        <v>0</v>
      </c>
      <c r="S55" s="45" t="n">
        <v>2045063.104</v>
      </c>
      <c r="T55" s="45" t="n">
        <v>1998764.70532</v>
      </c>
      <c r="U55" s="15" t="n">
        <v>2.32</v>
      </c>
      <c r="V55" s="15" t="n">
        <v>9.59</v>
      </c>
      <c r="W55" s="49" t="n">
        <v>97.736</v>
      </c>
    </row>
    <row r="56">
      <c r="A56" s="44" t="inlineStr">
        <is>
          <t>TL Cinsi Kuponsuz Senetler</t>
        </is>
      </c>
      <c r="B56" s="44" t="n">
        <v>2020</v>
      </c>
      <c r="C56" s="44" t="inlineStr">
        <is>
          <t>TRT140421T13</t>
        </is>
      </c>
      <c r="D56" s="44" t="inlineStr">
        <is>
          <t>05.02.2020</t>
        </is>
      </c>
      <c r="E56" s="44" t="inlineStr">
        <is>
          <t>14.04.2021</t>
        </is>
      </c>
      <c r="F56" s="44" t="n">
        <v>434</v>
      </c>
      <c r="G56" s="44" t="n"/>
      <c r="H56" s="15" t="n"/>
      <c r="I56" s="45" t="n">
        <v>5436000</v>
      </c>
      <c r="J56" s="45" t="n">
        <v>4837684.975</v>
      </c>
      <c r="K56" s="45" t="n">
        <v>2487000</v>
      </c>
      <c r="L56" s="45" t="n">
        <v>2215428.84</v>
      </c>
      <c r="M56" s="45" t="n">
        <v>729681.1850000001</v>
      </c>
      <c r="N56" s="45" t="n">
        <v>649999.9996</v>
      </c>
      <c r="O56" s="45" t="n">
        <v>1683879.654</v>
      </c>
      <c r="P56" s="45" t="n">
        <v>1499999.99576</v>
      </c>
      <c r="Q56" s="45" t="n">
        <v>0</v>
      </c>
      <c r="R56" s="45" t="n">
        <v>0</v>
      </c>
      <c r="S56" s="45" t="n">
        <v>4900560.839</v>
      </c>
      <c r="T56" s="45" t="n">
        <v>4365428.835360001</v>
      </c>
      <c r="U56" s="15" t="n">
        <v>12.26</v>
      </c>
      <c r="V56" s="15" t="n">
        <v>10.18</v>
      </c>
      <c r="W56" s="49" t="n">
        <v>89.08</v>
      </c>
    </row>
    <row r="57">
      <c r="A57" s="44" t="inlineStr">
        <is>
          <t>TL Cinsi Kuponsuz Senetler</t>
        </is>
      </c>
      <c r="B57" s="44" t="n">
        <v>2020</v>
      </c>
      <c r="C57" s="44" t="inlineStr">
        <is>
          <t>TRT090621T18</t>
        </is>
      </c>
      <c r="D57" s="44" t="inlineStr">
        <is>
          <t>11.03.2020</t>
        </is>
      </c>
      <c r="E57" s="44" t="inlineStr">
        <is>
          <t>09.06.2021</t>
        </is>
      </c>
      <c r="F57" s="44" t="n">
        <v>455</v>
      </c>
      <c r="G57" s="44" t="n"/>
      <c r="H57" s="15" t="n"/>
      <c r="I57" s="45" t="n">
        <v>4448000</v>
      </c>
      <c r="J57" s="45" t="n">
        <v>3891375.35</v>
      </c>
      <c r="K57" s="45" t="n">
        <v>1405000</v>
      </c>
      <c r="L57" s="45" t="n">
        <v>1231167.45</v>
      </c>
      <c r="M57" s="45" t="n">
        <v>2921440.634</v>
      </c>
      <c r="N57" s="45" t="n">
        <v>2559999.99876</v>
      </c>
      <c r="O57" s="45" t="n">
        <v>1255306.517</v>
      </c>
      <c r="P57" s="45" t="n">
        <v>1099999.99471</v>
      </c>
      <c r="Q57" s="45" t="n">
        <v>0</v>
      </c>
      <c r="R57" s="45" t="n">
        <v>0</v>
      </c>
      <c r="S57" s="45" t="n">
        <v>5581747.151</v>
      </c>
      <c r="T57" s="45" t="n">
        <v>4891167.443469999</v>
      </c>
      <c r="U57" s="15" t="n">
        <v>14.12</v>
      </c>
      <c r="V57" s="15" t="n">
        <v>11.14</v>
      </c>
      <c r="W57" s="49" t="n">
        <v>87.628</v>
      </c>
    </row>
    <row r="58">
      <c r="A58" s="44" t="inlineStr">
        <is>
          <t>TL Cinsi Kuponsuz Senetler</t>
        </is>
      </c>
      <c r="B58" s="44" t="n">
        <v>2020</v>
      </c>
      <c r="C58" s="44" t="inlineStr">
        <is>
          <t>TRT090621T18</t>
        </is>
      </c>
      <c r="D58" s="44" t="inlineStr">
        <is>
          <t>08.04.2020</t>
        </is>
      </c>
      <c r="E58" s="44" t="inlineStr">
        <is>
          <t>09.06.2021</t>
        </is>
      </c>
      <c r="F58" s="44" t="n">
        <v>427</v>
      </c>
      <c r="G58" s="44" t="n"/>
      <c r="H58" s="15" t="n"/>
      <c r="I58" s="45" t="n">
        <v>6401000</v>
      </c>
      <c r="J58" s="45" t="n">
        <v>5598290.08</v>
      </c>
      <c r="K58" s="45" t="n">
        <v>3543000</v>
      </c>
      <c r="L58" s="45" t="n">
        <v>3102294.09</v>
      </c>
      <c r="M58" s="45" t="n">
        <v>571030.481</v>
      </c>
      <c r="N58" s="45" t="n">
        <v>499999.99947</v>
      </c>
      <c r="O58" s="45" t="n">
        <v>4568243.848</v>
      </c>
      <c r="P58" s="45" t="n">
        <v>3999999.99577</v>
      </c>
      <c r="Q58" s="45" t="n">
        <v>0</v>
      </c>
      <c r="R58" s="45" t="n">
        <v>0</v>
      </c>
      <c r="S58" s="45" t="n">
        <v>8682274.329</v>
      </c>
      <c r="T58" s="45" t="n">
        <v>7602294.08524</v>
      </c>
      <c r="U58" s="15" t="n">
        <v>14.21</v>
      </c>
      <c r="V58" s="15" t="n">
        <v>11.99</v>
      </c>
      <c r="W58" s="49" t="n">
        <v>87.56100000000001</v>
      </c>
    </row>
    <row r="59">
      <c r="A59" s="44" t="inlineStr">
        <is>
          <t>TL Cinsi Kuponsuz Senetler</t>
        </is>
      </c>
      <c r="B59" s="44" t="n">
        <v>2020</v>
      </c>
      <c r="C59" s="44" t="inlineStr">
        <is>
          <t>TRT071020T23</t>
        </is>
      </c>
      <c r="D59" s="44" t="inlineStr">
        <is>
          <t>29.04.2020</t>
        </is>
      </c>
      <c r="E59" s="44" t="inlineStr">
        <is>
          <t>07.10.2020</t>
        </is>
      </c>
      <c r="F59" s="44" t="n">
        <v>161</v>
      </c>
      <c r="G59" s="44" t="n"/>
      <c r="H59" s="15" t="n"/>
      <c r="I59" s="45" t="n">
        <v>5210000</v>
      </c>
      <c r="J59" s="45" t="n">
        <v>5037093.93</v>
      </c>
      <c r="K59" s="45" t="n">
        <v>3081000</v>
      </c>
      <c r="L59" s="45" t="n">
        <v>2980476.69</v>
      </c>
      <c r="M59" s="45" t="n">
        <v>0</v>
      </c>
      <c r="N59" s="45" t="n">
        <v>0</v>
      </c>
      <c r="O59" s="45" t="n">
        <v>3101191.886</v>
      </c>
      <c r="P59" s="45" t="n">
        <v>2999999.99477</v>
      </c>
      <c r="Q59" s="45" t="n">
        <v>600000</v>
      </c>
      <c r="R59" s="45" t="n">
        <v>580422</v>
      </c>
      <c r="S59" s="45" t="n">
        <v>6782191.886</v>
      </c>
      <c r="T59" s="45" t="n">
        <v>6560898.68477</v>
      </c>
      <c r="U59" s="15" t="n">
        <v>3.37</v>
      </c>
      <c r="V59" s="15" t="n">
        <v>7.79</v>
      </c>
      <c r="W59" s="49" t="n">
        <v>96.73699999999999</v>
      </c>
    </row>
    <row r="60">
      <c r="A60" s="44" t="inlineStr">
        <is>
          <t>TL Cinsi Kuponsuz Senetler</t>
        </is>
      </c>
      <c r="B60" s="44" t="n">
        <v>2020</v>
      </c>
      <c r="C60" s="44" t="inlineStr">
        <is>
          <t>TRT090621T18</t>
        </is>
      </c>
      <c r="D60" s="44" t="inlineStr">
        <is>
          <t>06.05.2020</t>
        </is>
      </c>
      <c r="E60" s="44" t="inlineStr">
        <is>
          <t>09.06.2021</t>
        </is>
      </c>
      <c r="F60" s="44" t="n">
        <v>399</v>
      </c>
      <c r="G60" s="44" t="n"/>
      <c r="H60" s="15" t="n"/>
      <c r="I60" s="45" t="n">
        <v>10688000</v>
      </c>
      <c r="J60" s="45" t="n">
        <v>9780651.640000001</v>
      </c>
      <c r="K60" s="45" t="n">
        <v>6366000</v>
      </c>
      <c r="L60" s="45" t="n">
        <v>5833977.7</v>
      </c>
      <c r="M60" s="45" t="n">
        <v>0</v>
      </c>
      <c r="N60" s="45" t="n">
        <v>0</v>
      </c>
      <c r="O60" s="45" t="n">
        <v>3273572.444</v>
      </c>
      <c r="P60" s="45" t="n">
        <v>2999999.99487</v>
      </c>
      <c r="Q60" s="45" t="n">
        <v>1309719.646</v>
      </c>
      <c r="R60" s="45" t="n">
        <v>1200266.37518</v>
      </c>
      <c r="S60" s="45" t="n">
        <v>10949292.09</v>
      </c>
      <c r="T60" s="45" t="n">
        <v>10034244.07005</v>
      </c>
      <c r="U60" s="15" t="n">
        <v>9.119999999999999</v>
      </c>
      <c r="V60" s="15" t="n">
        <v>8.289999999999999</v>
      </c>
      <c r="W60" s="49" t="n">
        <v>91.643</v>
      </c>
    </row>
    <row r="61">
      <c r="A61" s="44" t="inlineStr">
        <is>
          <t>TL Cinsi Kuponsuz Senetler</t>
        </is>
      </c>
      <c r="B61" s="44" t="n">
        <v>2020</v>
      </c>
      <c r="C61" s="44" t="inlineStr">
        <is>
          <t>TRB091220T11</t>
        </is>
      </c>
      <c r="D61" s="44" t="inlineStr">
        <is>
          <t>27.05.2020</t>
        </is>
      </c>
      <c r="E61" s="44" t="inlineStr">
        <is>
          <t>09.12.2020</t>
        </is>
      </c>
      <c r="F61" s="44" t="n">
        <v>196</v>
      </c>
      <c r="G61" s="44" t="n"/>
      <c r="H61" s="15" t="n"/>
      <c r="I61" s="45" t="n">
        <v>1867000</v>
      </c>
      <c r="J61" s="45" t="n">
        <v>1790414.59</v>
      </c>
      <c r="K61" s="45" t="n">
        <v>846000</v>
      </c>
      <c r="L61" s="45" t="n">
        <v>811529.74</v>
      </c>
      <c r="M61" s="45" t="n">
        <v>0</v>
      </c>
      <c r="N61" s="45" t="n">
        <v>0</v>
      </c>
      <c r="O61" s="45" t="n">
        <v>1042470.234</v>
      </c>
      <c r="P61" s="45" t="n">
        <v>999999.99667</v>
      </c>
      <c r="Q61" s="45" t="n">
        <v>27608.089</v>
      </c>
      <c r="R61" s="45" t="n">
        <v>26483.33545</v>
      </c>
      <c r="S61" s="45" t="n">
        <v>1916078.323</v>
      </c>
      <c r="T61" s="45" t="n">
        <v>1838013.07212</v>
      </c>
      <c r="U61" s="15" t="n">
        <v>4.25</v>
      </c>
      <c r="V61" s="15" t="n">
        <v>8.029999999999999</v>
      </c>
      <c r="W61" s="49" t="n">
        <v>95.926</v>
      </c>
    </row>
    <row r="62">
      <c r="A62" s="44" t="inlineStr">
        <is>
          <t>TL Cinsi Kuponsuz Senetler</t>
        </is>
      </c>
      <c r="B62" s="44" t="n">
        <v>2020</v>
      </c>
      <c r="C62" s="44" t="inlineStr">
        <is>
          <t>TRT090621T18</t>
        </is>
      </c>
      <c r="D62" s="44" t="inlineStr">
        <is>
          <t>10.06.2020</t>
        </is>
      </c>
      <c r="E62" s="44" t="inlineStr">
        <is>
          <t>09.06.2021</t>
        </is>
      </c>
      <c r="F62" s="44" t="n">
        <v>364</v>
      </c>
      <c r="G62" s="44" t="n"/>
      <c r="H62" s="15" t="n"/>
      <c r="I62" s="45" t="n">
        <v>2260005.498</v>
      </c>
      <c r="J62" s="45" t="n">
        <v>2081744.49988</v>
      </c>
      <c r="K62" s="45" t="n">
        <v>925000</v>
      </c>
      <c r="L62" s="45" t="n">
        <v>852900.45</v>
      </c>
      <c r="M62" s="45" t="n">
        <v>433815.953</v>
      </c>
      <c r="N62" s="45" t="n">
        <v>399999.99946</v>
      </c>
      <c r="O62" s="45" t="n">
        <v>759177.916</v>
      </c>
      <c r="P62" s="45" t="n">
        <v>699999.99746</v>
      </c>
      <c r="Q62" s="45" t="inlineStr">
        <is>
          <t>-</t>
        </is>
      </c>
      <c r="R62" s="45" t="inlineStr">
        <is>
          <t>-</t>
        </is>
      </c>
      <c r="S62" s="45" t="n">
        <v>2117993.869</v>
      </c>
      <c r="T62" s="45" t="n">
        <v>1952900.44692</v>
      </c>
      <c r="U62" s="15" t="n">
        <v>8.449999999999999</v>
      </c>
      <c r="V62" s="15" t="n">
        <v>8.449999999999999</v>
      </c>
      <c r="W62" s="49" t="n">
        <v>92.205</v>
      </c>
    </row>
    <row r="63">
      <c r="A63" s="44" t="inlineStr">
        <is>
          <t>TL Cinsi Kuponsuz Senetler</t>
        </is>
      </c>
      <c r="B63" s="44" t="n">
        <v>2020</v>
      </c>
      <c r="C63" s="44" t="inlineStr">
        <is>
          <t>TRB091220T11</t>
        </is>
      </c>
      <c r="D63" s="44" t="inlineStr">
        <is>
          <t>17.06.2020</t>
        </is>
      </c>
      <c r="E63" s="44" t="inlineStr">
        <is>
          <t>09.12.2020</t>
        </is>
      </c>
      <c r="F63" s="44" t="n">
        <v>175</v>
      </c>
      <c r="G63" s="44" t="n"/>
      <c r="H63" s="15" t="n"/>
      <c r="I63" s="45" t="n">
        <v>3202000</v>
      </c>
      <c r="J63" s="45" t="n">
        <v>3080920.01</v>
      </c>
      <c r="K63" s="45" t="n">
        <v>1018000</v>
      </c>
      <c r="L63" s="45" t="n">
        <v>980092.29</v>
      </c>
      <c r="M63" s="45" t="n">
        <v>0</v>
      </c>
      <c r="N63" s="45" t="n">
        <v>0</v>
      </c>
      <c r="O63" s="45" t="n">
        <v>1558020.685</v>
      </c>
      <c r="P63" s="45" t="n">
        <v>1499999.9947</v>
      </c>
      <c r="Q63" s="45" t="inlineStr">
        <is>
          <t>-</t>
        </is>
      </c>
      <c r="R63" s="45" t="inlineStr">
        <is>
          <t>-</t>
        </is>
      </c>
      <c r="S63" s="45" t="n">
        <v>2576020.685</v>
      </c>
      <c r="T63" s="45" t="n">
        <v>2480092.2847</v>
      </c>
      <c r="U63" s="15" t="n">
        <v>3.87</v>
      </c>
      <c r="V63" s="15" t="n">
        <v>8.210000000000001</v>
      </c>
      <c r="W63" s="49" t="n">
        <v>96.276</v>
      </c>
    </row>
    <row r="64">
      <c r="A64" s="44" t="inlineStr">
        <is>
          <t>TL Cinsi Kuponsuz Senetler</t>
        </is>
      </c>
      <c r="B64" s="44" t="n">
        <v>2020</v>
      </c>
      <c r="C64" s="44" t="inlineStr">
        <is>
          <t>TRT180821T15</t>
        </is>
      </c>
      <c r="D64" s="44" t="inlineStr">
        <is>
          <t>22.07.2020</t>
        </is>
      </c>
      <c r="E64" s="44" t="inlineStr">
        <is>
          <t>18.08.2021</t>
        </is>
      </c>
      <c r="F64" s="44" t="n">
        <v>392</v>
      </c>
      <c r="G64" s="44" t="n"/>
      <c r="H64" s="15" t="n"/>
      <c r="I64" s="45" t="n">
        <v>2252055.637</v>
      </c>
      <c r="J64" s="45" t="n">
        <v>2039744.8493</v>
      </c>
      <c r="K64" s="45" t="n">
        <v>602000</v>
      </c>
      <c r="L64" s="45" t="n">
        <v>545779.21</v>
      </c>
      <c r="M64" s="45" t="n">
        <v>0</v>
      </c>
      <c r="N64" s="45" t="n">
        <v>0</v>
      </c>
      <c r="O64" s="45" t="n">
        <v>1103010.111</v>
      </c>
      <c r="P64" s="45" t="n">
        <v>999999.9967200001</v>
      </c>
      <c r="Q64" s="45" t="n">
        <v>0</v>
      </c>
      <c r="R64" s="45" t="n">
        <v>0</v>
      </c>
      <c r="S64" s="45" t="n">
        <v>1705010.111</v>
      </c>
      <c r="T64" s="45" t="n">
        <v>1545779.20672</v>
      </c>
      <c r="U64" s="15" t="n">
        <v>10.3</v>
      </c>
      <c r="V64" s="15" t="n">
        <v>9.529999999999999</v>
      </c>
      <c r="W64" s="49" t="n">
        <v>90.661</v>
      </c>
    </row>
    <row r="65">
      <c r="A65" s="44" t="inlineStr">
        <is>
          <t>TL Cinsi Kuponsuz Senetler</t>
        </is>
      </c>
      <c r="B65" s="44" t="n">
        <v>2019</v>
      </c>
      <c r="C65" s="44" t="inlineStr">
        <is>
          <t>TRT150120T32</t>
        </is>
      </c>
      <c r="D65" s="44" t="inlineStr">
        <is>
          <t>16.01.2019</t>
        </is>
      </c>
      <c r="E65" s="44" t="inlineStr">
        <is>
          <t>15.01.2020</t>
        </is>
      </c>
      <c r="F65" s="44" t="n">
        <v>364</v>
      </c>
      <c r="G65" s="44" t="n"/>
      <c r="H65" s="15" t="n"/>
      <c r="I65" s="45" t="n">
        <v>600200</v>
      </c>
      <c r="J65" s="45" t="n">
        <v>502998.542</v>
      </c>
      <c r="K65" s="45" t="n">
        <v>380000</v>
      </c>
      <c r="L65" s="45" t="n">
        <v>319368.66</v>
      </c>
      <c r="M65" s="45" t="n">
        <v>856694.112</v>
      </c>
      <c r="N65" s="45" t="n">
        <v>719999.99949</v>
      </c>
      <c r="O65" s="45" t="n">
        <v>956641.757</v>
      </c>
      <c r="P65" s="45" t="n">
        <v>803999.9982499999</v>
      </c>
      <c r="Q65" s="45" t="n">
        <v>0</v>
      </c>
      <c r="R65" s="45" t="n">
        <v>0</v>
      </c>
      <c r="S65" s="45" t="n">
        <v>2193335.869</v>
      </c>
      <c r="T65" s="45" t="n">
        <v>1843368.65774</v>
      </c>
      <c r="U65" s="15" t="n">
        <v>18.98</v>
      </c>
      <c r="V65" s="15" t="n">
        <v>18.98</v>
      </c>
      <c r="W65" s="49" t="n">
        <v>84.044</v>
      </c>
    </row>
    <row r="66">
      <c r="A66" s="44" t="inlineStr">
        <is>
          <t>TL Cinsi Kuponsuz Senetler</t>
        </is>
      </c>
      <c r="B66" s="44" t="n">
        <v>2019</v>
      </c>
      <c r="C66" s="44" t="inlineStr">
        <is>
          <t>TRT150120T32</t>
        </is>
      </c>
      <c r="D66" s="44" t="inlineStr">
        <is>
          <t>13.02.2019</t>
        </is>
      </c>
      <c r="E66" s="44" t="inlineStr">
        <is>
          <t>15.01.2020</t>
        </is>
      </c>
      <c r="F66" s="44" t="n">
        <v>336</v>
      </c>
      <c r="G66" s="44" t="n"/>
      <c r="H66" s="15" t="n"/>
      <c r="I66" s="45" t="n">
        <v>888000</v>
      </c>
      <c r="J66" s="45" t="n">
        <v>753021.2</v>
      </c>
      <c r="K66" s="45" t="n">
        <v>618000</v>
      </c>
      <c r="L66" s="45" t="n">
        <v>525263.25</v>
      </c>
      <c r="M66" s="45" t="n">
        <v>1176553.638</v>
      </c>
      <c r="N66" s="45" t="n">
        <v>999999.99908</v>
      </c>
      <c r="O66" s="45" t="n">
        <v>1158905.331</v>
      </c>
      <c r="P66" s="45" t="n">
        <v>984999.99703</v>
      </c>
      <c r="Q66" s="45" t="n">
        <v>0</v>
      </c>
      <c r="R66" s="45" t="n">
        <v>0</v>
      </c>
      <c r="S66" s="45" t="n">
        <v>2953458.969</v>
      </c>
      <c r="T66" s="45" t="n">
        <v>2510263.24611</v>
      </c>
      <c r="U66" s="15" t="n">
        <v>17.66</v>
      </c>
      <c r="V66" s="15" t="n">
        <v>19.26</v>
      </c>
      <c r="W66" s="49" t="n">
        <v>84.994</v>
      </c>
    </row>
    <row r="67">
      <c r="A67" s="44" t="inlineStr">
        <is>
          <t>TL Cinsi Kuponsuz Senetler</t>
        </is>
      </c>
      <c r="B67" s="44" t="n">
        <v>2019</v>
      </c>
      <c r="C67" s="44" t="inlineStr">
        <is>
          <t>TRT111219T10</t>
        </is>
      </c>
      <c r="D67" s="44" t="inlineStr">
        <is>
          <t>20.03.2019</t>
        </is>
      </c>
      <c r="E67" s="44" t="inlineStr">
        <is>
          <t>11.12.2019</t>
        </is>
      </c>
      <c r="F67" s="44" t="n">
        <v>266</v>
      </c>
      <c r="G67" s="44" t="n"/>
      <c r="H67" s="15" t="n"/>
      <c r="I67" s="45" t="n">
        <v>2052000</v>
      </c>
      <c r="J67" s="45" t="n">
        <v>1793960.8</v>
      </c>
      <c r="K67" s="45" t="n">
        <v>1117000</v>
      </c>
      <c r="L67" s="45" t="n">
        <v>977837.25</v>
      </c>
      <c r="M67" s="45" t="n">
        <v>721947.429</v>
      </c>
      <c r="N67" s="45" t="n">
        <v>631999.99882</v>
      </c>
      <c r="O67" s="45" t="n">
        <v>1313670.163</v>
      </c>
      <c r="P67" s="45" t="n">
        <v>1149999.99738</v>
      </c>
      <c r="Q67" s="45" t="n">
        <v>0</v>
      </c>
      <c r="R67" s="45" t="n">
        <v>0</v>
      </c>
      <c r="S67" s="45" t="n">
        <v>3152617.592</v>
      </c>
      <c r="T67" s="45" t="n">
        <v>2759837.2462</v>
      </c>
      <c r="U67" s="15" t="n">
        <v>14.23</v>
      </c>
      <c r="V67" s="15" t="n">
        <v>19.97</v>
      </c>
      <c r="W67" s="49" t="n">
        <v>87.541</v>
      </c>
    </row>
    <row r="68">
      <c r="A68" s="44" t="inlineStr">
        <is>
          <t>TL Cinsi Kuponsuz Senetler</t>
        </is>
      </c>
      <c r="B68" s="44" t="n">
        <v>2019</v>
      </c>
      <c r="C68" s="44" t="inlineStr">
        <is>
          <t>TRT130520T14</t>
        </is>
      </c>
      <c r="D68" s="44" t="inlineStr">
        <is>
          <t>15.05.2019</t>
        </is>
      </c>
      <c r="E68" s="44" t="inlineStr">
        <is>
          <t>13.05.2020</t>
        </is>
      </c>
      <c r="F68" s="44" t="n">
        <v>364</v>
      </c>
      <c r="G68" s="44" t="n"/>
      <c r="H68" s="15" t="n"/>
      <c r="I68" s="45" t="n">
        <v>6017001</v>
      </c>
      <c r="J68" s="45" t="n">
        <v>4750439.09786</v>
      </c>
      <c r="K68" s="45" t="n">
        <v>3472000</v>
      </c>
      <c r="L68" s="45" t="n">
        <v>2753011.46</v>
      </c>
      <c r="M68" s="45" t="n">
        <v>1639509.659</v>
      </c>
      <c r="N68" s="45" t="n">
        <v>1299999.99882</v>
      </c>
      <c r="O68" s="45" t="n">
        <v>3909599.956</v>
      </c>
      <c r="P68" s="45" t="n">
        <v>3099999.99712</v>
      </c>
      <c r="Q68" s="45" t="n">
        <v>112181.102</v>
      </c>
      <c r="R68" s="45" t="n">
        <v>88950.6394</v>
      </c>
      <c r="S68" s="45" t="n">
        <v>9133290.717</v>
      </c>
      <c r="T68" s="45" t="n">
        <v>7241962.09534</v>
      </c>
      <c r="U68" s="15" t="n">
        <v>26.12</v>
      </c>
      <c r="V68" s="15" t="n">
        <v>26.12</v>
      </c>
      <c r="W68" s="49" t="n">
        <v>79.292</v>
      </c>
    </row>
    <row r="69">
      <c r="A69" s="44" t="inlineStr">
        <is>
          <t>TL Cinsi Kuponsuz Senetler</t>
        </is>
      </c>
      <c r="B69" s="44" t="n">
        <v>2019</v>
      </c>
      <c r="C69" s="44" t="inlineStr">
        <is>
          <t>TRT100620T16</t>
        </is>
      </c>
      <c r="D69" s="44" t="inlineStr">
        <is>
          <t>12.06.2019</t>
        </is>
      </c>
      <c r="E69" s="44" t="inlineStr">
        <is>
          <t>10.06.2020</t>
        </is>
      </c>
      <c r="F69" s="44" t="n">
        <v>364</v>
      </c>
      <c r="G69" s="44" t="n"/>
      <c r="H69" s="15" t="n"/>
      <c r="I69" s="45" t="n">
        <v>4342285.33</v>
      </c>
      <c r="J69" s="45" t="n">
        <v>3484481.76955</v>
      </c>
      <c r="K69" s="45" t="n">
        <v>2924259.33</v>
      </c>
      <c r="L69" s="45" t="n">
        <v>2349683.11055</v>
      </c>
      <c r="M69" s="45" t="n">
        <v>1368993.539</v>
      </c>
      <c r="N69" s="45" t="n">
        <v>1099999.99852</v>
      </c>
      <c r="O69" s="45" t="n">
        <v>2240171.244</v>
      </c>
      <c r="P69" s="45" t="n">
        <v>1799999.99627</v>
      </c>
      <c r="Q69" s="45" t="n">
        <v>562555.103</v>
      </c>
      <c r="R69" s="45" t="n">
        <v>452018.65081</v>
      </c>
      <c r="S69" s="45" t="n">
        <v>7095979.216</v>
      </c>
      <c r="T69" s="45" t="n">
        <v>5701701.75615</v>
      </c>
      <c r="U69" s="15" t="n">
        <v>24.45</v>
      </c>
      <c r="V69" s="15" t="n">
        <v>24.45</v>
      </c>
      <c r="W69" s="49" t="n">
        <v>80.351</v>
      </c>
    </row>
    <row r="70">
      <c r="A70" s="44" t="inlineStr">
        <is>
          <t>TL Cinsi Kuponsuz Senetler</t>
        </is>
      </c>
      <c r="B70" s="44" t="n">
        <v>2019</v>
      </c>
      <c r="C70" s="44" t="inlineStr">
        <is>
          <t>TRT111219T10</t>
        </is>
      </c>
      <c r="D70" s="44" t="inlineStr">
        <is>
          <t>19.06.2019</t>
        </is>
      </c>
      <c r="E70" s="44" t="inlineStr">
        <is>
          <t>11.12.2019</t>
        </is>
      </c>
      <c r="F70" s="44" t="n">
        <v>175</v>
      </c>
      <c r="G70" s="44" t="n"/>
      <c r="H70" s="15" t="n"/>
      <c r="I70" s="45" t="n">
        <v>2389000</v>
      </c>
      <c r="J70" s="45" t="n">
        <v>2150572.045</v>
      </c>
      <c r="K70" s="45" t="n">
        <v>739000</v>
      </c>
      <c r="L70" s="45" t="n">
        <v>667707.92</v>
      </c>
      <c r="M70" s="45" t="n">
        <v>0</v>
      </c>
      <c r="N70" s="45" t="n">
        <v>0</v>
      </c>
      <c r="O70" s="45" t="n">
        <v>1549478.154</v>
      </c>
      <c r="P70" s="45" t="n">
        <v>1399999.99649</v>
      </c>
      <c r="Q70" s="45" t="n">
        <v>80821.249</v>
      </c>
      <c r="R70" s="45" t="n">
        <v>73024.42311</v>
      </c>
      <c r="S70" s="45" t="n">
        <v>2369299.403</v>
      </c>
      <c r="T70" s="45" t="n">
        <v>2140732.3396</v>
      </c>
      <c r="U70" s="15" t="n">
        <v>10.68</v>
      </c>
      <c r="V70" s="15" t="n">
        <v>23.49</v>
      </c>
      <c r="W70" s="49" t="n">
        <v>90.35299999999999</v>
      </c>
    </row>
    <row r="71">
      <c r="A71" s="44" t="inlineStr">
        <is>
          <t>TL Cinsi Kuponsuz Senetler</t>
        </is>
      </c>
      <c r="B71" s="44" t="n">
        <v>2019</v>
      </c>
      <c r="C71" s="44" t="inlineStr">
        <is>
          <t>TRT160920T25</t>
        </is>
      </c>
      <c r="D71" s="44" t="inlineStr">
        <is>
          <t>10.07.2019</t>
        </is>
      </c>
      <c r="E71" s="44" t="inlineStr">
        <is>
          <t>16.09.2020</t>
        </is>
      </c>
      <c r="F71" s="44" t="n">
        <v>434</v>
      </c>
      <c r="G71" s="44" t="n"/>
      <c r="H71" s="15" t="n"/>
      <c r="I71" s="45" t="n">
        <v>8506000</v>
      </c>
      <c r="J71" s="45" t="n">
        <v>6792942.8</v>
      </c>
      <c r="K71" s="45" t="n">
        <v>6347000</v>
      </c>
      <c r="L71" s="45" t="n">
        <v>5076693.43</v>
      </c>
      <c r="M71" s="45" t="n">
        <v>1000175.03</v>
      </c>
      <c r="N71" s="45" t="n">
        <v>799999.9995</v>
      </c>
      <c r="O71" s="45" t="n">
        <v>4813342.33</v>
      </c>
      <c r="P71" s="45" t="n">
        <v>3849999.99606</v>
      </c>
      <c r="Q71" s="45" t="n">
        <v>573491.2340000001</v>
      </c>
      <c r="R71" s="45" t="n">
        <v>458712.69842</v>
      </c>
      <c r="S71" s="45" t="n">
        <v>12734008.594</v>
      </c>
      <c r="T71" s="45" t="n">
        <v>10185406.12398</v>
      </c>
      <c r="U71" s="15" t="n">
        <v>25.02</v>
      </c>
      <c r="V71" s="15" t="n">
        <v>20.6</v>
      </c>
      <c r="W71" s="49" t="n">
        <v>79.986</v>
      </c>
    </row>
    <row r="72">
      <c r="A72" s="44" t="inlineStr">
        <is>
          <t>TL Cinsi Kuponsuz Senetler</t>
        </is>
      </c>
      <c r="B72" s="44" t="n">
        <v>2019</v>
      </c>
      <c r="C72" s="44" t="inlineStr">
        <is>
          <t>TRB091019T16</t>
        </is>
      </c>
      <c r="D72" s="44" t="inlineStr">
        <is>
          <t>10.07.2019</t>
        </is>
      </c>
      <c r="E72" s="44" t="inlineStr">
        <is>
          <t>09.10.2019</t>
        </is>
      </c>
      <c r="F72" s="44" t="n">
        <v>91</v>
      </c>
      <c r="G72" s="44" t="n"/>
      <c r="H72" s="15" t="n"/>
      <c r="I72" s="45" t="n">
        <v>1756500</v>
      </c>
      <c r="J72" s="45" t="n">
        <v>1666887.49</v>
      </c>
      <c r="K72" s="45" t="n">
        <v>556500</v>
      </c>
      <c r="L72" s="45" t="n">
        <v>529237.99</v>
      </c>
      <c r="M72" s="45" t="n">
        <v>105151.365</v>
      </c>
      <c r="N72" s="45" t="n">
        <v>99999.99963000001</v>
      </c>
      <c r="O72" s="45" t="n">
        <v>1535209.931</v>
      </c>
      <c r="P72" s="45" t="n">
        <v>1459999.99647</v>
      </c>
      <c r="Q72" s="45" t="n">
        <v>0</v>
      </c>
      <c r="R72" s="45" t="n">
        <v>0</v>
      </c>
      <c r="S72" s="45" t="n">
        <v>2196861.296</v>
      </c>
      <c r="T72" s="45" t="n">
        <v>2089237.9861</v>
      </c>
      <c r="U72" s="15" t="n">
        <v>5.15</v>
      </c>
      <c r="V72" s="15" t="n">
        <v>22.25</v>
      </c>
      <c r="W72" s="49" t="n">
        <v>95.101</v>
      </c>
    </row>
    <row r="73">
      <c r="A73" s="44" t="inlineStr">
        <is>
          <t>TL Cinsi Kuponsuz Senetler</t>
        </is>
      </c>
      <c r="B73" s="44" t="n">
        <v>2019</v>
      </c>
      <c r="C73" s="44" t="inlineStr">
        <is>
          <t>TRT160920T25</t>
        </is>
      </c>
      <c r="D73" s="44" t="inlineStr">
        <is>
          <t>21.08.2019</t>
        </is>
      </c>
      <c r="E73" s="44" t="inlineStr">
        <is>
          <t>16.09.2020</t>
        </is>
      </c>
      <c r="F73" s="44" t="n">
        <v>392</v>
      </c>
      <c r="G73" s="44" t="n"/>
      <c r="H73" s="15" t="n"/>
      <c r="I73" s="45" t="n">
        <v>2324000</v>
      </c>
      <c r="J73" s="45" t="n">
        <v>1990493.1</v>
      </c>
      <c r="K73" s="45" t="n">
        <v>1215000</v>
      </c>
      <c r="L73" s="45" t="n">
        <v>1042332.31</v>
      </c>
      <c r="M73" s="45" t="n">
        <v>1631910.85</v>
      </c>
      <c r="N73" s="45" t="n">
        <v>1399999.99911</v>
      </c>
      <c r="O73" s="45" t="n">
        <v>1165650.603</v>
      </c>
      <c r="P73" s="45" t="n">
        <v>999999.99579</v>
      </c>
      <c r="Q73" s="45" t="n">
        <v>0</v>
      </c>
      <c r="R73" s="45" t="n">
        <v>0</v>
      </c>
      <c r="S73" s="45" t="n">
        <v>4012561.453</v>
      </c>
      <c r="T73" s="45" t="n">
        <v>3442332.3049</v>
      </c>
      <c r="U73" s="15" t="n">
        <v>16.57</v>
      </c>
      <c r="V73" s="15" t="n">
        <v>15.3</v>
      </c>
      <c r="W73" s="49" t="n">
        <v>85.789</v>
      </c>
    </row>
    <row r="74">
      <c r="A74" s="44" t="inlineStr">
        <is>
          <t>TL Cinsi Kuponsuz Senetler</t>
        </is>
      </c>
      <c r="B74" s="44" t="n">
        <v>2019</v>
      </c>
      <c r="C74" s="44" t="inlineStr">
        <is>
          <t>TRT071020T23</t>
        </is>
      </c>
      <c r="D74" s="44" t="inlineStr">
        <is>
          <t>18.09.2019</t>
        </is>
      </c>
      <c r="E74" s="44" t="inlineStr">
        <is>
          <t>07.10.2020</t>
        </is>
      </c>
      <c r="F74" s="44" t="n">
        <v>385</v>
      </c>
      <c r="G74" s="44" t="n"/>
      <c r="H74" s="15" t="n"/>
      <c r="I74" s="45" t="n">
        <v>3190000</v>
      </c>
      <c r="J74" s="45" t="n">
        <v>2743995.9</v>
      </c>
      <c r="K74" s="45" t="n">
        <v>1328000</v>
      </c>
      <c r="L74" s="45" t="n">
        <v>1143638.65</v>
      </c>
      <c r="M74" s="45" t="n">
        <v>580605.455</v>
      </c>
      <c r="N74" s="45" t="n">
        <v>499999.99968</v>
      </c>
      <c r="O74" s="45" t="n">
        <v>1277331.997</v>
      </c>
      <c r="P74" s="45" t="n">
        <v>1099999.99584</v>
      </c>
      <c r="Q74" s="45" t="n">
        <v>600135.861</v>
      </c>
      <c r="R74" s="45" t="n">
        <v>516818.99942</v>
      </c>
      <c r="S74" s="45" t="n">
        <v>3786073.313</v>
      </c>
      <c r="T74" s="45" t="n">
        <v>3260457.64494</v>
      </c>
      <c r="U74" s="15" t="n">
        <v>16.12</v>
      </c>
      <c r="V74" s="15" t="n">
        <v>15.18</v>
      </c>
      <c r="W74" s="49" t="n">
        <v>86.117</v>
      </c>
    </row>
    <row r="75">
      <c r="A75" s="44" t="inlineStr">
        <is>
          <t>TL Cinsi Kuponsuz Senetler</t>
        </is>
      </c>
      <c r="B75" s="44" t="n">
        <v>2019</v>
      </c>
      <c r="C75" s="44" t="inlineStr">
        <is>
          <t>TRB220120T17</t>
        </is>
      </c>
      <c r="D75" s="44" t="inlineStr">
        <is>
          <t>23.10.2019</t>
        </is>
      </c>
      <c r="E75" s="44" t="inlineStr">
        <is>
          <t>22.01.2020</t>
        </is>
      </c>
      <c r="F75" s="44" t="n">
        <v>91</v>
      </c>
      <c r="G75" s="44" t="n"/>
      <c r="H75" s="15" t="n"/>
      <c r="I75" s="45" t="n">
        <v>504000</v>
      </c>
      <c r="J75" s="45" t="n">
        <v>487226.38</v>
      </c>
      <c r="K75" s="45" t="n">
        <v>252000</v>
      </c>
      <c r="L75" s="45" t="n">
        <v>243878.96</v>
      </c>
      <c r="M75" s="45" t="n">
        <v>0</v>
      </c>
      <c r="N75" s="45" t="n">
        <v>0</v>
      </c>
      <c r="O75" s="45" t="n">
        <v>1136633.7</v>
      </c>
      <c r="P75" s="45" t="n">
        <v>1099999.99585</v>
      </c>
      <c r="Q75" s="45" t="n">
        <v>20000</v>
      </c>
      <c r="R75" s="45" t="n">
        <v>19355.4</v>
      </c>
      <c r="S75" s="45" t="n">
        <v>1408633.7</v>
      </c>
      <c r="T75" s="45" t="n">
        <v>1363234.35585</v>
      </c>
      <c r="U75" s="15" t="n">
        <v>3.33</v>
      </c>
      <c r="V75" s="15" t="n">
        <v>14</v>
      </c>
      <c r="W75" s="49" t="n">
        <v>96.777</v>
      </c>
    </row>
    <row r="76">
      <c r="A76" s="44" t="inlineStr">
        <is>
          <t>TL Cinsi Kuponsuz Senetler</t>
        </is>
      </c>
      <c r="B76" s="44" t="n">
        <v>2019</v>
      </c>
      <c r="C76" s="44" t="inlineStr">
        <is>
          <t>TRT071020T23</t>
        </is>
      </c>
      <c r="D76" s="44" t="inlineStr">
        <is>
          <t>23.10.2019</t>
        </is>
      </c>
      <c r="E76" s="44" t="inlineStr">
        <is>
          <t>07.10.2020</t>
        </is>
      </c>
      <c r="F76" s="44" t="n">
        <v>350</v>
      </c>
      <c r="G76" s="44" t="n"/>
      <c r="H76" s="15" t="n"/>
      <c r="I76" s="45" t="n">
        <v>2248100</v>
      </c>
      <c r="J76" s="45" t="n">
        <v>1977000.808</v>
      </c>
      <c r="K76" s="45" t="n">
        <v>1537600</v>
      </c>
      <c r="L76" s="45" t="n">
        <v>1353516.478</v>
      </c>
      <c r="M76" s="45" t="n">
        <v>511200.981</v>
      </c>
      <c r="N76" s="45" t="n">
        <v>449999.99955</v>
      </c>
      <c r="O76" s="45" t="n">
        <v>503248.963</v>
      </c>
      <c r="P76" s="45" t="n">
        <v>442999.99717</v>
      </c>
      <c r="Q76" s="45" t="n">
        <v>250113.563</v>
      </c>
      <c r="R76" s="45" t="n">
        <v>220169.96724</v>
      </c>
      <c r="S76" s="45" t="n">
        <v>2802163.507</v>
      </c>
      <c r="T76" s="45" t="n">
        <v>2466686.44196</v>
      </c>
      <c r="U76" s="15" t="n">
        <v>13.6</v>
      </c>
      <c r="V76" s="15" t="n">
        <v>14.18</v>
      </c>
      <c r="W76" s="49" t="n">
        <v>88.02800000000001</v>
      </c>
    </row>
    <row r="77">
      <c r="A77" s="44" t="inlineStr">
        <is>
          <t>TL Cinsi Kuponsuz Senetler</t>
        </is>
      </c>
      <c r="B77" s="44" t="n">
        <v>2019</v>
      </c>
      <c r="C77" s="44" t="inlineStr">
        <is>
          <t>TRT071020T23</t>
        </is>
      </c>
      <c r="D77" s="44" t="inlineStr">
        <is>
          <t>13.11.2019</t>
        </is>
      </c>
      <c r="E77" s="44" t="inlineStr">
        <is>
          <t>07.10.2020</t>
        </is>
      </c>
      <c r="F77" s="44" t="n">
        <v>329</v>
      </c>
      <c r="G77" s="44" t="n"/>
      <c r="H77" s="15" t="n"/>
      <c r="I77" s="45" t="n">
        <v>4133322.24</v>
      </c>
      <c r="J77" s="45" t="n">
        <v>3721369.90405</v>
      </c>
      <c r="K77" s="45" t="n">
        <v>2637215</v>
      </c>
      <c r="L77" s="45" t="n">
        <v>2375677.96925</v>
      </c>
      <c r="M77" s="45" t="n">
        <v>555043.681</v>
      </c>
      <c r="N77" s="45" t="n">
        <v>499999.99916</v>
      </c>
      <c r="O77" s="45" t="n">
        <v>2497696.563</v>
      </c>
      <c r="P77" s="45" t="n">
        <v>2249999.99485</v>
      </c>
      <c r="Q77" s="45" t="n">
        <v>252046.667</v>
      </c>
      <c r="R77" s="45" t="n">
        <v>227051.19903</v>
      </c>
      <c r="S77" s="45" t="n">
        <v>5942001.911</v>
      </c>
      <c r="T77" s="45" t="n">
        <v>5352729.162289999</v>
      </c>
      <c r="U77" s="15" t="n">
        <v>11.01</v>
      </c>
      <c r="V77" s="15" t="n">
        <v>12.25</v>
      </c>
      <c r="W77" s="49" t="n">
        <v>90.083</v>
      </c>
    </row>
    <row r="78">
      <c r="A78" s="44" t="inlineStr">
        <is>
          <t>TL Cinsi Kuponsuz Senetler</t>
        </is>
      </c>
      <c r="B78" s="44" t="n">
        <v>2019</v>
      </c>
      <c r="C78" s="44" t="inlineStr">
        <is>
          <t>TRT100620T16</t>
        </is>
      </c>
      <c r="D78" s="44" t="inlineStr">
        <is>
          <t>11.12.2019</t>
        </is>
      </c>
      <c r="E78" s="44" t="inlineStr">
        <is>
          <t>10.06.2020</t>
        </is>
      </c>
      <c r="F78" s="44" t="n">
        <v>182</v>
      </c>
      <c r="G78" s="44" t="n"/>
      <c r="H78" s="15" t="n"/>
      <c r="I78" s="45" t="n">
        <v>1936250</v>
      </c>
      <c r="J78" s="45" t="n">
        <v>1834045.585</v>
      </c>
      <c r="K78" s="45" t="n">
        <v>1256000</v>
      </c>
      <c r="L78" s="45" t="n">
        <v>1190404.27</v>
      </c>
      <c r="M78" s="45" t="n">
        <v>633064.9840000001</v>
      </c>
      <c r="N78" s="45" t="n">
        <v>599999.99989</v>
      </c>
      <c r="O78" s="45" t="n">
        <v>2004705.776</v>
      </c>
      <c r="P78" s="45" t="n">
        <v>1899999.99331</v>
      </c>
      <c r="Q78" s="45" t="n">
        <v>104808.525</v>
      </c>
      <c r="R78" s="45" t="n">
        <v>99334.37574</v>
      </c>
      <c r="S78" s="45" t="n">
        <v>3998579.285</v>
      </c>
      <c r="T78" s="45" t="n">
        <v>3789738.63894</v>
      </c>
      <c r="U78" s="15" t="n">
        <v>5.51</v>
      </c>
      <c r="V78" s="15" t="n">
        <v>11.32</v>
      </c>
      <c r="W78" s="49" t="n">
        <v>94.777</v>
      </c>
    </row>
    <row r="79">
      <c r="A79" s="44" t="inlineStr">
        <is>
          <t>TL Cinsi Kuponsuz Senetler</t>
        </is>
      </c>
      <c r="B79" s="44" t="n">
        <v>2018</v>
      </c>
      <c r="C79" s="44" t="inlineStr">
        <is>
          <t>TRT160119T18</t>
        </is>
      </c>
      <c r="D79" s="44" t="inlineStr">
        <is>
          <t>17.01.2018</t>
        </is>
      </c>
      <c r="E79" s="44" t="inlineStr">
        <is>
          <t>16.01.2019</t>
        </is>
      </c>
      <c r="F79" s="44" t="n">
        <v>364</v>
      </c>
      <c r="G79" s="44" t="n"/>
      <c r="H79" s="15" t="n"/>
      <c r="I79" s="45" t="n">
        <v>727200</v>
      </c>
      <c r="J79" s="45" t="n">
        <v>638999.7929999999</v>
      </c>
      <c r="K79" s="45" t="n">
        <v>109200</v>
      </c>
      <c r="L79" s="45" t="n">
        <v>96186.883</v>
      </c>
      <c r="M79" s="45" t="n">
        <v>681175.709</v>
      </c>
      <c r="N79" s="45" t="n">
        <v>599999.99976</v>
      </c>
      <c r="O79" s="45" t="n">
        <v>231599.74</v>
      </c>
      <c r="P79" s="45" t="n">
        <v>203999.99899</v>
      </c>
      <c r="Q79" s="45" t="n">
        <v>0</v>
      </c>
      <c r="R79" s="45" t="n">
        <v>0</v>
      </c>
      <c r="S79" s="45" t="n">
        <v>1021975.449</v>
      </c>
      <c r="T79" s="45" t="n">
        <v>900186.8817500001</v>
      </c>
      <c r="U79" s="15" t="n">
        <v>13.53</v>
      </c>
      <c r="V79" s="15" t="n">
        <v>13.53</v>
      </c>
      <c r="W79" s="49" t="n">
        <v>88.083</v>
      </c>
    </row>
    <row r="80">
      <c r="A80" s="44" t="inlineStr">
        <is>
          <t>TL Cinsi Kuponsuz Senetler</t>
        </is>
      </c>
      <c r="B80" s="44" t="n">
        <v>2018</v>
      </c>
      <c r="C80" s="44" t="inlineStr">
        <is>
          <t>TRB121218T10</t>
        </is>
      </c>
      <c r="D80" s="44" t="inlineStr">
        <is>
          <t>14.02.2018</t>
        </is>
      </c>
      <c r="E80" s="44" t="inlineStr">
        <is>
          <t>12.12.2018</t>
        </is>
      </c>
      <c r="F80" s="44" t="n">
        <v>301</v>
      </c>
      <c r="G80" s="44" t="n"/>
      <c r="H80" s="15" t="n"/>
      <c r="I80" s="45" t="n">
        <v>514153.11</v>
      </c>
      <c r="J80" s="45" t="n">
        <v>463051.4825</v>
      </c>
      <c r="K80" s="45" t="n">
        <v>132000</v>
      </c>
      <c r="L80" s="45" t="n">
        <v>118968.2</v>
      </c>
      <c r="M80" s="45" t="n">
        <v>443818.167</v>
      </c>
      <c r="N80" s="45" t="n">
        <v>399999.99937</v>
      </c>
      <c r="O80" s="45" t="n">
        <v>499739.257</v>
      </c>
      <c r="P80" s="45" t="n">
        <v>450400.00015</v>
      </c>
      <c r="Q80" s="45" t="n">
        <v>0</v>
      </c>
      <c r="R80" s="45" t="n">
        <v>0</v>
      </c>
      <c r="S80" s="45" t="n">
        <v>1075557.424</v>
      </c>
      <c r="T80" s="45" t="n">
        <v>969368.1995199999</v>
      </c>
      <c r="U80" s="15" t="n">
        <v>10.95</v>
      </c>
      <c r="V80" s="15" t="n">
        <v>13.39</v>
      </c>
      <c r="W80" s="49" t="n">
        <v>90.127</v>
      </c>
    </row>
    <row r="81">
      <c r="A81" s="44" t="inlineStr">
        <is>
          <t>TL Cinsi Kuponsuz Senetler</t>
        </is>
      </c>
      <c r="B81" s="44" t="n">
        <v>2018</v>
      </c>
      <c r="C81" s="44" t="inlineStr">
        <is>
          <t>TRT120619T17</t>
        </is>
      </c>
      <c r="D81" s="44" t="inlineStr">
        <is>
          <t>13.06.2018</t>
        </is>
      </c>
      <c r="E81" s="44" t="inlineStr">
        <is>
          <t>12.06.2019</t>
        </is>
      </c>
      <c r="F81" s="44" t="n">
        <v>364</v>
      </c>
      <c r="G81" s="44" t="n"/>
      <c r="H81" s="15" t="n"/>
      <c r="I81" s="45" t="n">
        <v>1407461.4</v>
      </c>
      <c r="J81" s="45" t="n">
        <v>1179549.28346</v>
      </c>
      <c r="K81" s="45" t="n">
        <v>552461.4</v>
      </c>
      <c r="L81" s="45" t="n">
        <v>464257.04346</v>
      </c>
      <c r="M81" s="45" t="n">
        <v>475997.81</v>
      </c>
      <c r="N81" s="45" t="n">
        <v>399999.99966</v>
      </c>
      <c r="O81" s="45" t="n">
        <v>1162517.554</v>
      </c>
      <c r="P81" s="45" t="n">
        <v>976910.00132</v>
      </c>
      <c r="Q81" s="45" t="n">
        <v>0</v>
      </c>
      <c r="R81" s="45" t="n">
        <v>0</v>
      </c>
      <c r="S81" s="45" t="n">
        <v>2190976.764</v>
      </c>
      <c r="T81" s="45" t="n">
        <v>1841167.04444</v>
      </c>
      <c r="U81" s="15" t="n">
        <v>19</v>
      </c>
      <c r="V81" s="15" t="n">
        <v>19</v>
      </c>
      <c r="W81" s="49" t="n">
        <v>84.03400000000001</v>
      </c>
    </row>
    <row r="82">
      <c r="A82" s="44" t="inlineStr">
        <is>
          <t>TL Cinsi Kuponsuz Senetler</t>
        </is>
      </c>
      <c r="B82" s="44" t="n">
        <v>2018</v>
      </c>
      <c r="C82" s="44" t="inlineStr">
        <is>
          <t>TRT120619T17</t>
        </is>
      </c>
      <c r="D82" s="44" t="inlineStr">
        <is>
          <t>11.07.2018</t>
        </is>
      </c>
      <c r="E82" s="44" t="inlineStr">
        <is>
          <t>12.06.2019</t>
        </is>
      </c>
      <c r="F82" s="44" t="n">
        <v>336</v>
      </c>
      <c r="G82" s="44" t="n"/>
      <c r="H82" s="15" t="n"/>
      <c r="I82" s="45" t="n">
        <v>1445206.17</v>
      </c>
      <c r="J82" s="45" t="n">
        <v>1227519.91741</v>
      </c>
      <c r="K82" s="45" t="n">
        <v>754001.17</v>
      </c>
      <c r="L82" s="45" t="n">
        <v>642179.73606</v>
      </c>
      <c r="M82" s="45" t="n">
        <v>939297.874</v>
      </c>
      <c r="N82" s="45" t="n">
        <v>799999.9992899999</v>
      </c>
      <c r="O82" s="45" t="n">
        <v>2465950.452</v>
      </c>
      <c r="P82" s="45" t="n">
        <v>2100249.99997</v>
      </c>
      <c r="Q82" s="45" t="n">
        <v>0</v>
      </c>
      <c r="R82" s="45" t="n">
        <v>0</v>
      </c>
      <c r="S82" s="45" t="n">
        <v>4159249.496</v>
      </c>
      <c r="T82" s="45" t="n">
        <v>3542429.73532</v>
      </c>
      <c r="U82" s="15" t="n">
        <v>17.41</v>
      </c>
      <c r="V82" s="15" t="n">
        <v>18.99</v>
      </c>
      <c r="W82" s="49" t="n">
        <v>85.17</v>
      </c>
    </row>
    <row r="83">
      <c r="A83" s="44" t="inlineStr">
        <is>
          <t>TL Cinsi Kuponsuz Senetler</t>
        </is>
      </c>
      <c r="B83" s="44" t="n">
        <v>2018</v>
      </c>
      <c r="C83" s="44" t="inlineStr">
        <is>
          <t>TRT120619T17</t>
        </is>
      </c>
      <c r="D83" s="44" t="inlineStr">
        <is>
          <t>08.08.2018</t>
        </is>
      </c>
      <c r="E83" s="44" t="inlineStr">
        <is>
          <t>12.06.2019</t>
        </is>
      </c>
      <c r="F83" s="44" t="n">
        <v>308</v>
      </c>
      <c r="G83" s="44" t="n"/>
      <c r="H83" s="15" t="n"/>
      <c r="I83" s="45" t="n">
        <v>903602.485</v>
      </c>
      <c r="J83" s="45" t="n">
        <v>775263.38395</v>
      </c>
      <c r="K83" s="45" t="n">
        <v>661232.485</v>
      </c>
      <c r="L83" s="45" t="n">
        <v>568223.73755</v>
      </c>
      <c r="M83" s="45" t="n">
        <v>581841.878</v>
      </c>
      <c r="N83" s="45" t="n">
        <v>499999.99944</v>
      </c>
      <c r="O83" s="45" t="n">
        <v>1029301.558</v>
      </c>
      <c r="P83" s="45" t="n">
        <v>884520.00086</v>
      </c>
      <c r="Q83" s="45" t="n">
        <v>0</v>
      </c>
      <c r="R83" s="45" t="n">
        <v>0</v>
      </c>
      <c r="S83" s="45" t="n">
        <v>2272375.921</v>
      </c>
      <c r="T83" s="45" t="n">
        <v>1952743.73785</v>
      </c>
      <c r="U83" s="15" t="n">
        <v>16.37</v>
      </c>
      <c r="V83" s="15" t="n">
        <v>19.62</v>
      </c>
      <c r="W83" s="49" t="n">
        <v>85.934</v>
      </c>
    </row>
    <row r="84">
      <c r="A84" s="44" t="inlineStr">
        <is>
          <t>TL Cinsi Kuponsuz Senetler</t>
        </is>
      </c>
      <c r="B84" s="44" t="n">
        <v>2018</v>
      </c>
      <c r="C84" s="44" t="inlineStr">
        <is>
          <t>TRB141118T19</t>
        </is>
      </c>
      <c r="D84" s="44" t="inlineStr">
        <is>
          <t>15.08.2018</t>
        </is>
      </c>
      <c r="E84" s="44" t="inlineStr">
        <is>
          <t>14.11.2018</t>
        </is>
      </c>
      <c r="F84" s="44" t="n">
        <v>91</v>
      </c>
      <c r="G84" s="44" t="n"/>
      <c r="H84" s="15" t="n"/>
      <c r="I84" s="45" t="n">
        <v>1155026.62</v>
      </c>
      <c r="J84" s="45" t="n">
        <v>1090116.49937</v>
      </c>
      <c r="K84" s="45" t="n">
        <v>545000</v>
      </c>
      <c r="L84" s="45" t="n">
        <v>516176.25</v>
      </c>
      <c r="M84" s="45" t="n">
        <v>0</v>
      </c>
      <c r="N84" s="45" t="n">
        <v>0</v>
      </c>
      <c r="O84" s="45" t="n">
        <v>1033406.892</v>
      </c>
      <c r="P84" s="45" t="n">
        <v>978750.00147</v>
      </c>
      <c r="Q84" s="45" t="n">
        <v>0</v>
      </c>
      <c r="R84" s="45" t="n">
        <v>0</v>
      </c>
      <c r="S84" s="45" t="n">
        <v>1578406.892</v>
      </c>
      <c r="T84" s="45" t="n">
        <v>1494926.25147</v>
      </c>
      <c r="U84" s="15" t="n">
        <v>5.58</v>
      </c>
      <c r="V84" s="15" t="n">
        <v>24.28</v>
      </c>
      <c r="W84" s="49" t="n">
        <v>94.711</v>
      </c>
    </row>
    <row r="85">
      <c r="A85" s="44" t="inlineStr">
        <is>
          <t>TL Cinsi Kuponsuz Senetler</t>
        </is>
      </c>
      <c r="B85" s="44" t="n">
        <v>2018</v>
      </c>
      <c r="C85" s="44" t="inlineStr">
        <is>
          <t>TRT180919T18</t>
        </is>
      </c>
      <c r="D85" s="44" t="inlineStr">
        <is>
          <t>19.09.2018</t>
        </is>
      </c>
      <c r="E85" s="44" t="inlineStr">
        <is>
          <t>18.09.2019</t>
        </is>
      </c>
      <c r="F85" s="44" t="n">
        <v>364</v>
      </c>
      <c r="G85" s="44" t="n"/>
      <c r="H85" s="15" t="n"/>
      <c r="I85" s="45" t="n">
        <v>1552000</v>
      </c>
      <c r="J85" s="45" t="n">
        <v>1231301.74</v>
      </c>
      <c r="K85" s="45" t="n">
        <v>702000</v>
      </c>
      <c r="L85" s="45" t="n">
        <v>561375.49</v>
      </c>
      <c r="M85" s="45" t="n">
        <v>1050420.168</v>
      </c>
      <c r="N85" s="45" t="n">
        <v>839999.99995</v>
      </c>
      <c r="O85" s="45" t="n">
        <v>1006940.277</v>
      </c>
      <c r="P85" s="45" t="n">
        <v>805230.00073</v>
      </c>
      <c r="Q85" s="45" t="n">
        <v>0</v>
      </c>
      <c r="R85" s="45" t="n">
        <v>0</v>
      </c>
      <c r="S85" s="45" t="n">
        <v>2759360.445</v>
      </c>
      <c r="T85" s="45" t="n">
        <v>2206605.49068</v>
      </c>
      <c r="U85" s="15" t="n">
        <v>25.05</v>
      </c>
      <c r="V85" s="15" t="n">
        <v>25.05</v>
      </c>
      <c r="W85" s="49" t="n">
        <v>79.968</v>
      </c>
    </row>
    <row r="86">
      <c r="A86" s="44" t="inlineStr">
        <is>
          <t>TL Cinsi Kuponsuz Senetler</t>
        </is>
      </c>
      <c r="B86" s="44" t="n">
        <v>2018</v>
      </c>
      <c r="C86" s="44" t="inlineStr">
        <is>
          <t>TRT111219T10</t>
        </is>
      </c>
      <c r="D86" s="44" t="inlineStr">
        <is>
          <t>14.11.2018</t>
        </is>
      </c>
      <c r="E86" s="44" t="inlineStr">
        <is>
          <t>11.12.2019</t>
        </is>
      </c>
      <c r="F86" s="44" t="n">
        <v>392</v>
      </c>
      <c r="G86" s="44" t="n"/>
      <c r="H86" s="15" t="n"/>
      <c r="I86" s="45" t="n">
        <v>1560200</v>
      </c>
      <c r="J86" s="45" t="n">
        <v>1257550.084</v>
      </c>
      <c r="K86" s="45" t="n">
        <v>100000</v>
      </c>
      <c r="L86" s="45" t="n">
        <v>82375.14999999999</v>
      </c>
      <c r="M86" s="45" t="n">
        <v>909559.939</v>
      </c>
      <c r="N86" s="45" t="n">
        <v>749249.99975</v>
      </c>
      <c r="O86" s="45" t="n">
        <v>183459.788</v>
      </c>
      <c r="P86" s="45" t="n">
        <v>151125.00037</v>
      </c>
      <c r="Q86" s="45" t="n">
        <v>0</v>
      </c>
      <c r="R86" s="45" t="n">
        <v>0</v>
      </c>
      <c r="S86" s="45" t="n">
        <v>1193019.727</v>
      </c>
      <c r="T86" s="45" t="n">
        <v>982750.1501199999</v>
      </c>
      <c r="U86" s="15" t="n">
        <v>21.4</v>
      </c>
      <c r="V86" s="15" t="n">
        <v>19.73</v>
      </c>
      <c r="W86" s="49" t="n">
        <v>82.375</v>
      </c>
    </row>
    <row r="87">
      <c r="A87" s="44" t="inlineStr">
        <is>
          <t>TL Cinsi Kuponsuz Senetler</t>
        </is>
      </c>
      <c r="B87" s="44" t="n">
        <v>2017</v>
      </c>
      <c r="C87" s="44" t="inlineStr">
        <is>
          <t>TRB131217T10</t>
        </is>
      </c>
      <c r="D87" s="44" t="inlineStr">
        <is>
          <t>18.01.2017</t>
        </is>
      </c>
      <c r="E87" s="44" t="inlineStr">
        <is>
          <t>13.12.2017</t>
        </is>
      </c>
      <c r="F87" s="44" t="n">
        <v>329</v>
      </c>
      <c r="G87" s="44" t="n"/>
      <c r="H87" s="15" t="n"/>
      <c r="I87" s="45" t="n">
        <v>969000</v>
      </c>
      <c r="J87" s="45" t="n">
        <v>880348.97</v>
      </c>
      <c r="K87" s="45" t="n">
        <v>378000</v>
      </c>
      <c r="L87" s="45" t="n">
        <v>344041.73</v>
      </c>
      <c r="M87" s="45" t="n">
        <v>163707.48</v>
      </c>
      <c r="N87" s="45" t="n">
        <v>149000</v>
      </c>
      <c r="O87" s="45" t="n">
        <v>386635.317</v>
      </c>
      <c r="P87" s="45" t="n">
        <v>351900.00011</v>
      </c>
      <c r="Q87" s="45" t="n">
        <v>0</v>
      </c>
      <c r="R87" s="45" t="n">
        <v>0</v>
      </c>
      <c r="S87" s="45" t="n">
        <v>928342.797</v>
      </c>
      <c r="T87" s="45" t="n">
        <v>844941.73011</v>
      </c>
      <c r="U87" s="15" t="n">
        <v>9.869999999999999</v>
      </c>
      <c r="V87" s="15" t="n">
        <v>10.98</v>
      </c>
      <c r="W87" s="49" t="n">
        <v>91.01600000000001</v>
      </c>
    </row>
    <row r="88">
      <c r="A88" s="44" t="inlineStr">
        <is>
          <t>TL Cinsi Kuponsuz Senetler</t>
        </is>
      </c>
      <c r="B88" s="44" t="n">
        <v>2017</v>
      </c>
      <c r="C88" s="44" t="inlineStr">
        <is>
          <t>TRT180418T14</t>
        </is>
      </c>
      <c r="D88" s="44" t="inlineStr">
        <is>
          <t>08.02.2017</t>
        </is>
      </c>
      <c r="E88" s="44" t="inlineStr">
        <is>
          <t>18.04.2018</t>
        </is>
      </c>
      <c r="F88" s="44" t="n">
        <v>434</v>
      </c>
      <c r="G88" s="44" t="n"/>
      <c r="H88" s="15" t="n"/>
      <c r="I88" s="45" t="n">
        <v>1407000</v>
      </c>
      <c r="J88" s="45" t="n">
        <v>1235946.66</v>
      </c>
      <c r="K88" s="45" t="n">
        <v>640000</v>
      </c>
      <c r="L88" s="45" t="n">
        <v>562938.1899999999</v>
      </c>
      <c r="M88" s="45" t="n">
        <v>98909.719</v>
      </c>
      <c r="N88" s="45" t="n">
        <v>86999.99974</v>
      </c>
      <c r="O88" s="45" t="n">
        <v>336804.648</v>
      </c>
      <c r="P88" s="45" t="n">
        <v>296250.00034</v>
      </c>
      <c r="Q88" s="45" t="n">
        <v>24000</v>
      </c>
      <c r="R88" s="45" t="n">
        <v>21110.16</v>
      </c>
      <c r="S88" s="45" t="n">
        <v>1099714.367</v>
      </c>
      <c r="T88" s="45" t="n">
        <v>967298.35008</v>
      </c>
      <c r="U88" s="15" t="n">
        <v>13.69</v>
      </c>
      <c r="V88" s="15" t="n">
        <v>11.36</v>
      </c>
      <c r="W88" s="49" t="n">
        <v>87.959</v>
      </c>
    </row>
    <row r="89">
      <c r="A89" s="44" t="inlineStr">
        <is>
          <t>TL Cinsi Kuponsuz Senetler</t>
        </is>
      </c>
      <c r="B89" s="44" t="n">
        <v>2017</v>
      </c>
      <c r="C89" s="44" t="inlineStr">
        <is>
          <t>TRT180418T14</t>
        </is>
      </c>
      <c r="D89" s="44" t="inlineStr">
        <is>
          <t>22.03.2017</t>
        </is>
      </c>
      <c r="E89" s="44" t="inlineStr">
        <is>
          <t>18.04.2018</t>
        </is>
      </c>
      <c r="F89" s="44" t="n">
        <v>392</v>
      </c>
      <c r="G89" s="44" t="n"/>
      <c r="H89" s="15" t="n"/>
      <c r="I89" s="45" t="n">
        <v>1629801.13</v>
      </c>
      <c r="J89" s="45" t="n">
        <v>1444996.85709</v>
      </c>
      <c r="K89" s="45" t="n">
        <v>267700</v>
      </c>
      <c r="L89" s="45" t="n">
        <v>237704.2455</v>
      </c>
      <c r="M89" s="45" t="n">
        <v>349118.756</v>
      </c>
      <c r="N89" s="45" t="n">
        <v>309999.99939</v>
      </c>
      <c r="O89" s="45" t="n">
        <v>333352.104</v>
      </c>
      <c r="P89" s="45" t="n">
        <v>296000.00075</v>
      </c>
      <c r="Q89" s="45" t="n">
        <v>16000</v>
      </c>
      <c r="R89" s="45" t="n">
        <v>14207.2</v>
      </c>
      <c r="S89" s="45" t="n">
        <v>966170.8600000001</v>
      </c>
      <c r="T89" s="45" t="n">
        <v>857911.4456399999</v>
      </c>
      <c r="U89" s="15" t="n">
        <v>12.62</v>
      </c>
      <c r="V89" s="15" t="n">
        <v>11.67</v>
      </c>
      <c r="W89" s="49" t="n">
        <v>88.795</v>
      </c>
    </row>
    <row r="90">
      <c r="A90" s="44" t="inlineStr">
        <is>
          <t>TL Cinsi Kuponsuz Senetler</t>
        </is>
      </c>
      <c r="B90" s="44" t="n">
        <v>2017</v>
      </c>
      <c r="C90" s="44" t="inlineStr">
        <is>
          <t>TRB131217T10</t>
        </is>
      </c>
      <c r="D90" s="44" t="inlineStr">
        <is>
          <t>24.05.2017</t>
        </is>
      </c>
      <c r="E90" s="44" t="inlineStr">
        <is>
          <t>13.12.2017</t>
        </is>
      </c>
      <c r="F90" s="44" t="n">
        <v>203</v>
      </c>
      <c r="G90" s="44" t="n"/>
      <c r="H90" s="15" t="n"/>
      <c r="I90" s="45" t="n">
        <v>689000</v>
      </c>
      <c r="J90" s="45" t="n">
        <v>647226.63</v>
      </c>
      <c r="K90" s="45" t="n">
        <v>121000</v>
      </c>
      <c r="L90" s="45" t="n">
        <v>113784.82</v>
      </c>
      <c r="M90" s="45" t="n">
        <v>180779.905</v>
      </c>
      <c r="N90" s="45" t="n">
        <v>169999.99926</v>
      </c>
      <c r="O90" s="45" t="n">
        <v>390803.62</v>
      </c>
      <c r="P90" s="45" t="n">
        <v>367500.00013</v>
      </c>
      <c r="Q90" s="45" t="n">
        <v>12370.534</v>
      </c>
      <c r="R90" s="45" t="n">
        <v>11632.87905</v>
      </c>
      <c r="S90" s="45" t="n">
        <v>704954.059</v>
      </c>
      <c r="T90" s="45" t="n">
        <v>662917.6984399999</v>
      </c>
      <c r="U90" s="15" t="n">
        <v>6.34</v>
      </c>
      <c r="V90" s="15" t="n">
        <v>11.65</v>
      </c>
      <c r="W90" s="49" t="n">
        <v>94.03700000000001</v>
      </c>
    </row>
    <row r="91">
      <c r="A91" s="44" t="inlineStr">
        <is>
          <t>TL Cinsi Kuponsuz Senetler</t>
        </is>
      </c>
      <c r="B91" s="44" t="n">
        <v>2017</v>
      </c>
      <c r="C91" s="44" t="inlineStr">
        <is>
          <t>TRT080818T12</t>
        </is>
      </c>
      <c r="D91" s="44" t="inlineStr">
        <is>
          <t>14.06.2017</t>
        </is>
      </c>
      <c r="E91" s="44" t="inlineStr">
        <is>
          <t>08.08.2018</t>
        </is>
      </c>
      <c r="F91" s="44" t="n">
        <v>420</v>
      </c>
      <c r="G91" s="44" t="n"/>
      <c r="H91" s="15" t="n"/>
      <c r="I91" s="45" t="n">
        <v>1514650</v>
      </c>
      <c r="J91" s="45" t="n">
        <v>1337704.3605</v>
      </c>
      <c r="K91" s="45" t="n">
        <v>402750</v>
      </c>
      <c r="L91" s="45" t="n">
        <v>356149.1775</v>
      </c>
      <c r="M91" s="45" t="n">
        <v>576733.876</v>
      </c>
      <c r="N91" s="45" t="n">
        <v>509999.99921</v>
      </c>
      <c r="O91" s="45" t="n">
        <v>549248.549</v>
      </c>
      <c r="P91" s="45" t="n">
        <v>485694.99939</v>
      </c>
      <c r="Q91" s="45" t="n">
        <v>39211</v>
      </c>
      <c r="R91" s="45" t="n">
        <v>34673.89519</v>
      </c>
      <c r="S91" s="45" t="n">
        <v>1567943.425</v>
      </c>
      <c r="T91" s="45" t="n">
        <v>1386518.07129</v>
      </c>
      <c r="U91" s="15" t="n">
        <v>13.08</v>
      </c>
      <c r="V91" s="15" t="n">
        <v>11.25</v>
      </c>
      <c r="W91" s="49" t="n">
        <v>88.429</v>
      </c>
    </row>
    <row r="92">
      <c r="A92" s="44" t="inlineStr">
        <is>
          <t>TL Cinsi Kuponsuz Senetler</t>
        </is>
      </c>
      <c r="B92" s="44" t="n">
        <v>2017</v>
      </c>
      <c r="C92" s="44" t="inlineStr">
        <is>
          <t>TRT080818T12</t>
        </is>
      </c>
      <c r="D92" s="44" t="inlineStr">
        <is>
          <t>19.07.2017</t>
        </is>
      </c>
      <c r="E92" s="44" t="inlineStr">
        <is>
          <t>08.08.2018</t>
        </is>
      </c>
      <c r="F92" s="44" t="n">
        <v>385</v>
      </c>
      <c r="G92" s="44" t="n"/>
      <c r="H92" s="15" t="n"/>
      <c r="I92" s="45" t="n">
        <v>1343000</v>
      </c>
      <c r="J92" s="45" t="n">
        <v>1194958.81</v>
      </c>
      <c r="K92" s="45" t="n">
        <v>550000</v>
      </c>
      <c r="L92" s="45" t="n">
        <v>489886.93</v>
      </c>
      <c r="M92" s="45" t="n">
        <v>224542.494</v>
      </c>
      <c r="N92" s="45" t="n">
        <v>199999.99941</v>
      </c>
      <c r="O92" s="45" t="n">
        <v>454024.924</v>
      </c>
      <c r="P92" s="45" t="n">
        <v>404399.99981</v>
      </c>
      <c r="Q92" s="45" t="n">
        <v>98435.072</v>
      </c>
      <c r="R92" s="45" t="n">
        <v>87676.11863</v>
      </c>
      <c r="S92" s="45" t="n">
        <v>1327002.49</v>
      </c>
      <c r="T92" s="45" t="n">
        <v>1181963.04785</v>
      </c>
      <c r="U92" s="15" t="n">
        <v>12.27</v>
      </c>
      <c r="V92" s="15" t="n">
        <v>11.56</v>
      </c>
      <c r="W92" s="49" t="n">
        <v>89.06999999999999</v>
      </c>
    </row>
    <row r="93">
      <c r="A93" s="44" t="inlineStr">
        <is>
          <t>TL Cinsi Kuponsuz Senetler</t>
        </is>
      </c>
      <c r="B93" s="44" t="n">
        <v>2017</v>
      </c>
      <c r="C93" s="44" t="inlineStr">
        <is>
          <t>TRT080818T12</t>
        </is>
      </c>
      <c r="D93" s="44" t="inlineStr">
        <is>
          <t>20.09.2017</t>
        </is>
      </c>
      <c r="E93" s="44" t="inlineStr">
        <is>
          <t>08.08.2018</t>
        </is>
      </c>
      <c r="F93" s="44" t="n">
        <v>322</v>
      </c>
      <c r="G93" s="44" t="n"/>
      <c r="H93" s="15" t="n"/>
      <c r="I93" s="45" t="n">
        <v>1886000</v>
      </c>
      <c r="J93" s="45" t="n">
        <v>1705789.31</v>
      </c>
      <c r="K93" s="45" t="n">
        <v>450000</v>
      </c>
      <c r="L93" s="45" t="n">
        <v>407638.1</v>
      </c>
      <c r="M93" s="45" t="n">
        <v>441569.337</v>
      </c>
      <c r="N93" s="45" t="n">
        <v>399999.99961</v>
      </c>
      <c r="O93" s="45" t="n">
        <v>183913.629</v>
      </c>
      <c r="P93" s="45" t="n">
        <v>166599.99997</v>
      </c>
      <c r="Q93" s="45" t="n">
        <v>0</v>
      </c>
      <c r="R93" s="45" t="n">
        <v>0</v>
      </c>
      <c r="S93" s="45" t="n">
        <v>1075482.966</v>
      </c>
      <c r="T93" s="45" t="n">
        <v>974238.0995799999</v>
      </c>
      <c r="U93" s="15" t="n">
        <v>10.39</v>
      </c>
      <c r="V93" s="15" t="n">
        <v>11.83</v>
      </c>
      <c r="W93" s="49" t="n">
        <v>90.586</v>
      </c>
    </row>
    <row r="94">
      <c r="A94" s="44" t="inlineStr">
        <is>
          <t>TL Cinsi Kuponsuz Senetler</t>
        </is>
      </c>
      <c r="B94" s="44" t="n">
        <v>2017</v>
      </c>
      <c r="C94" s="44" t="inlineStr">
        <is>
          <t>TRT241018T18</t>
        </is>
      </c>
      <c r="D94" s="44" t="inlineStr">
        <is>
          <t>25.10.2017</t>
        </is>
      </c>
      <c r="E94" s="44" t="inlineStr">
        <is>
          <t>24.10.2018</t>
        </is>
      </c>
      <c r="F94" s="44" t="n">
        <v>364</v>
      </c>
      <c r="G94" s="44" t="n"/>
      <c r="H94" s="15" t="n"/>
      <c r="I94" s="45" t="n">
        <v>247004.87</v>
      </c>
      <c r="J94" s="45" t="n">
        <v>219465.27949</v>
      </c>
      <c r="K94" s="45" t="n">
        <v>88003.37</v>
      </c>
      <c r="L94" s="45" t="n">
        <v>78292.2574</v>
      </c>
      <c r="M94" s="45" t="n">
        <v>562018.7709999999</v>
      </c>
      <c r="N94" s="45" t="n">
        <v>499999.99962</v>
      </c>
      <c r="O94" s="45" t="n">
        <v>554712.528</v>
      </c>
      <c r="P94" s="45" t="n">
        <v>493500.00053</v>
      </c>
      <c r="Q94" s="45" t="n">
        <v>0</v>
      </c>
      <c r="R94" s="45" t="n">
        <v>0</v>
      </c>
      <c r="S94" s="45" t="n">
        <v>1204734.669</v>
      </c>
      <c r="T94" s="45" t="n">
        <v>1071792.25755</v>
      </c>
      <c r="U94" s="15" t="n">
        <v>12.4</v>
      </c>
      <c r="V94" s="15" t="n">
        <v>12.4</v>
      </c>
      <c r="W94" s="49" t="n">
        <v>88.965</v>
      </c>
    </row>
    <row r="95">
      <c r="A95" s="44" t="inlineStr">
        <is>
          <t>TL Cinsi Kuponsuz Senetler</t>
        </is>
      </c>
      <c r="B95" s="44" t="n">
        <v>2016</v>
      </c>
      <c r="C95" s="44" t="inlineStr">
        <is>
          <t>TRT141216T10</t>
        </is>
      </c>
      <c r="D95" s="44" t="inlineStr">
        <is>
          <t>20.01.2016</t>
        </is>
      </c>
      <c r="E95" s="44" t="inlineStr">
        <is>
          <t>14.12.2016</t>
        </is>
      </c>
      <c r="F95" s="44" t="n">
        <v>329</v>
      </c>
      <c r="G95" s="44" t="n"/>
      <c r="H95" s="15" t="n"/>
      <c r="I95" s="45" t="n">
        <v>1644400</v>
      </c>
      <c r="J95" s="45" t="n">
        <v>1493387.839</v>
      </c>
      <c r="K95" s="45" t="n">
        <v>932000</v>
      </c>
      <c r="L95" s="45" t="n">
        <v>846793.28</v>
      </c>
      <c r="M95" s="45" t="n">
        <v>330185.564</v>
      </c>
      <c r="N95" s="45" t="n">
        <v>299999.99974</v>
      </c>
      <c r="O95" s="45" t="n">
        <v>397048.141</v>
      </c>
      <c r="P95" s="45" t="n">
        <v>360749.99994</v>
      </c>
      <c r="Q95" s="45" t="n">
        <v>99991.19500000001</v>
      </c>
      <c r="R95" s="45" t="n">
        <v>90849.99995</v>
      </c>
      <c r="S95" s="45" t="n">
        <v>1759224.9</v>
      </c>
      <c r="T95" s="45" t="n">
        <v>1598393.27963</v>
      </c>
      <c r="U95" s="15" t="n">
        <v>10.06</v>
      </c>
      <c r="V95" s="15" t="n">
        <v>11.19</v>
      </c>
      <c r="W95" s="49" t="n">
        <v>90.858</v>
      </c>
    </row>
    <row r="96">
      <c r="A96" s="44" t="inlineStr">
        <is>
          <t>TL Cinsi Kuponsuz Senetler</t>
        </is>
      </c>
      <c r="B96" s="44" t="n">
        <v>2016</v>
      </c>
      <c r="C96" s="44" t="inlineStr">
        <is>
          <t>TRT141216T10</t>
        </is>
      </c>
      <c r="D96" s="44" t="inlineStr">
        <is>
          <t>17.02.2016</t>
        </is>
      </c>
      <c r="E96" s="44" t="inlineStr">
        <is>
          <t>14.12.2016</t>
        </is>
      </c>
      <c r="F96" s="44" t="n">
        <v>301</v>
      </c>
      <c r="G96" s="44" t="n"/>
      <c r="H96" s="15" t="n"/>
      <c r="I96" s="45" t="n">
        <v>1571930</v>
      </c>
      <c r="J96" s="45" t="n">
        <v>1439898.5932</v>
      </c>
      <c r="K96" s="45" t="n">
        <v>685700</v>
      </c>
      <c r="L96" s="45" t="n">
        <v>628398.281</v>
      </c>
      <c r="M96" s="45" t="n">
        <v>0</v>
      </c>
      <c r="N96" s="45" t="n">
        <v>0</v>
      </c>
      <c r="O96" s="45" t="n">
        <v>276289.514</v>
      </c>
      <c r="P96" s="45" t="n">
        <v>253199.99931</v>
      </c>
      <c r="Q96" s="45" t="n">
        <v>146819.658</v>
      </c>
      <c r="R96" s="45" t="n">
        <v>134549.93918</v>
      </c>
      <c r="S96" s="45" t="n">
        <v>1108809.172</v>
      </c>
      <c r="T96" s="45" t="n">
        <v>1016148.21949</v>
      </c>
      <c r="U96" s="15" t="n">
        <v>9.119999999999999</v>
      </c>
      <c r="V96" s="15" t="n">
        <v>11.13</v>
      </c>
      <c r="W96" s="49" t="n">
        <v>91.643</v>
      </c>
    </row>
    <row r="97">
      <c r="A97" s="44" t="inlineStr">
        <is>
          <t>TL Cinsi Kuponsuz Senetler</t>
        </is>
      </c>
      <c r="B97" s="44" t="n">
        <v>2016</v>
      </c>
      <c r="C97" s="44" t="inlineStr">
        <is>
          <t>TRT170517T15</t>
        </is>
      </c>
      <c r="D97" s="44" t="inlineStr">
        <is>
          <t>04.05.2016</t>
        </is>
      </c>
      <c r="E97" s="44" t="inlineStr">
        <is>
          <t>17.05.2017</t>
        </is>
      </c>
      <c r="F97" s="44" t="n">
        <v>378</v>
      </c>
      <c r="G97" s="44" t="n"/>
      <c r="H97" s="15" t="n"/>
      <c r="I97" s="45" t="n">
        <v>1373800</v>
      </c>
      <c r="J97" s="45" t="n">
        <v>1250847.77</v>
      </c>
      <c r="K97" s="45" t="n">
        <v>361300</v>
      </c>
      <c r="L97" s="45" t="n">
        <v>329225.675</v>
      </c>
      <c r="M97" s="45" t="n">
        <v>493837.998</v>
      </c>
      <c r="N97" s="45" t="n">
        <v>449999.99892</v>
      </c>
      <c r="O97" s="45" t="n">
        <v>224202.451</v>
      </c>
      <c r="P97" s="45" t="n">
        <v>204299.99943</v>
      </c>
      <c r="Q97" s="45" t="n">
        <v>0</v>
      </c>
      <c r="R97" s="45" t="n">
        <v>0</v>
      </c>
      <c r="S97" s="45" t="n">
        <v>1079340.449</v>
      </c>
      <c r="T97" s="45" t="n">
        <v>983525.6733500001</v>
      </c>
      <c r="U97" s="15" t="n">
        <v>9.74</v>
      </c>
      <c r="V97" s="15" t="n">
        <v>9.359999999999999</v>
      </c>
      <c r="W97" s="49" t="n">
        <v>91.123</v>
      </c>
    </row>
    <row r="98">
      <c r="A98" s="44" t="inlineStr">
        <is>
          <t>TL Cinsi Kuponsuz Senetler</t>
        </is>
      </c>
      <c r="B98" s="44" t="n">
        <v>2016</v>
      </c>
      <c r="C98" s="44" t="inlineStr">
        <is>
          <t>TRT170517T15</t>
        </is>
      </c>
      <c r="D98" s="44" t="inlineStr">
        <is>
          <t>20.07.2016</t>
        </is>
      </c>
      <c r="E98" s="44" t="inlineStr">
        <is>
          <t>17.05.2017</t>
        </is>
      </c>
      <c r="F98" s="44" t="n">
        <v>301</v>
      </c>
      <c r="G98" s="44" t="n"/>
      <c r="H98" s="15" t="n"/>
      <c r="I98" s="45" t="n">
        <v>1714000</v>
      </c>
      <c r="J98" s="45" t="n">
        <v>1591263.29</v>
      </c>
      <c r="K98" s="45" t="n">
        <v>878000</v>
      </c>
      <c r="L98" s="45" t="n">
        <v>816511.71</v>
      </c>
      <c r="M98" s="45" t="n">
        <v>160220.222</v>
      </c>
      <c r="N98" s="45" t="n">
        <v>148999.99985</v>
      </c>
      <c r="O98" s="45" t="n">
        <v>37635.623</v>
      </c>
      <c r="P98" s="45" t="n">
        <v>35000.00032</v>
      </c>
      <c r="Q98" s="45" t="n">
        <v>26005.311</v>
      </c>
      <c r="R98" s="45" t="n">
        <v>24184.15907</v>
      </c>
      <c r="S98" s="45" t="n">
        <v>1101861.156</v>
      </c>
      <c r="T98" s="45" t="n">
        <v>1024695.86924</v>
      </c>
      <c r="U98" s="15" t="n">
        <v>7.53</v>
      </c>
      <c r="V98" s="15" t="n">
        <v>9.18</v>
      </c>
      <c r="W98" s="49" t="n">
        <v>92.997</v>
      </c>
    </row>
    <row r="99">
      <c r="A99" s="44" t="inlineStr">
        <is>
          <t>TL Cinsi Kuponsuz Senetler</t>
        </is>
      </c>
      <c r="B99" s="44" t="n">
        <v>2016</v>
      </c>
      <c r="C99" s="44" t="inlineStr">
        <is>
          <t>TRT200917T16</t>
        </is>
      </c>
      <c r="D99" s="44" t="inlineStr">
        <is>
          <t>21.09.2016</t>
        </is>
      </c>
      <c r="E99" s="44" t="inlineStr">
        <is>
          <t>20.09.2017</t>
        </is>
      </c>
      <c r="F99" s="44" t="n">
        <v>364</v>
      </c>
      <c r="G99" s="44" t="n"/>
      <c r="H99" s="15" t="n"/>
      <c r="I99" s="45" t="n">
        <v>3267000</v>
      </c>
      <c r="J99" s="45" t="n">
        <v>3003523.35</v>
      </c>
      <c r="K99" s="45" t="n">
        <v>849000</v>
      </c>
      <c r="L99" s="45" t="n">
        <v>781528.66</v>
      </c>
      <c r="M99" s="45" t="n">
        <v>338935.178</v>
      </c>
      <c r="N99" s="45" t="n">
        <v>311999.9994</v>
      </c>
      <c r="O99" s="45" t="n">
        <v>282880.514</v>
      </c>
      <c r="P99" s="45" t="n">
        <v>260399.99956</v>
      </c>
      <c r="Q99" s="45" t="n">
        <v>96096.205</v>
      </c>
      <c r="R99" s="45" t="n">
        <v>88459.43958999999</v>
      </c>
      <c r="S99" s="45" t="n">
        <v>1566911.897</v>
      </c>
      <c r="T99" s="45" t="n">
        <v>1442388.09855</v>
      </c>
      <c r="U99" s="15" t="n">
        <v>8.630000000000001</v>
      </c>
      <c r="V99" s="15" t="n">
        <v>8.630000000000001</v>
      </c>
      <c r="W99" s="49" t="n">
        <v>92.053</v>
      </c>
    </row>
    <row r="100">
      <c r="A100" s="44" t="inlineStr">
        <is>
          <t>TL Cinsi Kuponsuz Senetler</t>
        </is>
      </c>
      <c r="B100" s="44" t="n">
        <v>2016</v>
      </c>
      <c r="C100" s="44" t="inlineStr">
        <is>
          <t>TRT221117T10</t>
        </is>
      </c>
      <c r="D100" s="44" t="inlineStr">
        <is>
          <t>23.11.2016</t>
        </is>
      </c>
      <c r="E100" s="44" t="inlineStr">
        <is>
          <t>22.11.2017</t>
        </is>
      </c>
      <c r="F100" s="44" t="n">
        <v>364</v>
      </c>
      <c r="G100" s="44" t="n"/>
      <c r="H100" s="15" t="n"/>
      <c r="I100" s="45" t="n">
        <v>751000</v>
      </c>
      <c r="J100" s="45" t="n">
        <v>681605.45</v>
      </c>
      <c r="K100" s="45" t="n">
        <v>314000</v>
      </c>
      <c r="L100" s="45" t="n">
        <v>285604.91</v>
      </c>
      <c r="M100" s="45" t="n">
        <v>245170.794</v>
      </c>
      <c r="N100" s="45" t="n">
        <v>222999.9991</v>
      </c>
      <c r="O100" s="45" t="n">
        <v>445265.344</v>
      </c>
      <c r="P100" s="45" t="n">
        <v>404999.99895</v>
      </c>
      <c r="Q100" s="45" t="n">
        <v>0</v>
      </c>
      <c r="R100" s="45" t="n">
        <v>0</v>
      </c>
      <c r="S100" s="45" t="n">
        <v>1004436.138</v>
      </c>
      <c r="T100" s="45" t="n">
        <v>913604.90805</v>
      </c>
      <c r="U100" s="15" t="n">
        <v>9.94</v>
      </c>
      <c r="V100" s="15" t="n">
        <v>9.94</v>
      </c>
      <c r="W100" s="49" t="n">
        <v>90.95699999999999</v>
      </c>
    </row>
    <row r="101">
      <c r="A101" s="44" t="inlineStr">
        <is>
          <t>TL Cinsi Kuponsuz Senetler</t>
        </is>
      </c>
      <c r="B101" s="44" t="n">
        <v>2015</v>
      </c>
      <c r="C101" s="44" t="inlineStr">
        <is>
          <t>TRT161215T19</t>
        </is>
      </c>
      <c r="D101" s="44" t="inlineStr">
        <is>
          <t>14.01.2015</t>
        </is>
      </c>
      <c r="E101" s="44" t="inlineStr">
        <is>
          <t>16.12.2015</t>
        </is>
      </c>
      <c r="F101" s="44" t="n">
        <v>336</v>
      </c>
      <c r="G101" s="44" t="n"/>
      <c r="H101" s="15" t="n"/>
      <c r="I101" s="45" t="n">
        <v>1913900</v>
      </c>
      <c r="J101" s="45" t="n">
        <v>1783801.06</v>
      </c>
      <c r="K101" s="45" t="n">
        <v>502500</v>
      </c>
      <c r="L101" s="45" t="n">
        <v>468943.38</v>
      </c>
      <c r="M101" s="45" t="n">
        <v>107155.868</v>
      </c>
      <c r="N101" s="45" t="n">
        <v>99999.99913</v>
      </c>
      <c r="O101" s="45" t="n">
        <v>316002.657</v>
      </c>
      <c r="P101" s="45" t="n">
        <v>294899.99957</v>
      </c>
      <c r="Q101" s="45" t="n">
        <v>120002.571</v>
      </c>
      <c r="R101" s="45" t="n">
        <v>111988.79931</v>
      </c>
      <c r="S101" s="45" t="n">
        <v>1045661.096</v>
      </c>
      <c r="T101" s="45" t="n">
        <v>975832.17801</v>
      </c>
      <c r="U101" s="15" t="n">
        <v>7.16</v>
      </c>
      <c r="V101" s="15" t="n">
        <v>7.77</v>
      </c>
      <c r="W101" s="49" t="n">
        <v>93.322</v>
      </c>
    </row>
    <row r="102">
      <c r="A102" s="44" t="inlineStr">
        <is>
          <t>TL Cinsi Kuponsuz Senetler</t>
        </is>
      </c>
      <c r="B102" s="44" t="n">
        <v>2015</v>
      </c>
      <c r="C102" s="44" t="inlineStr">
        <is>
          <t>TRT130416T11</t>
        </is>
      </c>
      <c r="D102" s="44" t="inlineStr">
        <is>
          <t>18.02.2015</t>
        </is>
      </c>
      <c r="E102" s="44" t="inlineStr">
        <is>
          <t>13.04.2016</t>
        </is>
      </c>
      <c r="F102" s="44" t="n">
        <v>420</v>
      </c>
      <c r="G102" s="44" t="n"/>
      <c r="H102" s="15" t="n"/>
      <c r="I102" s="45" t="n">
        <v>1118000</v>
      </c>
      <c r="J102" s="45" t="n">
        <v>1017201.051</v>
      </c>
      <c r="K102" s="45" t="n">
        <v>330000</v>
      </c>
      <c r="L102" s="45" t="n">
        <v>300709.1</v>
      </c>
      <c r="M102" s="45" t="n">
        <v>409332.338</v>
      </c>
      <c r="N102" s="45" t="n">
        <v>372999.99968</v>
      </c>
      <c r="O102" s="45" t="n">
        <v>252615.118</v>
      </c>
      <c r="P102" s="45" t="n">
        <v>230193.00013</v>
      </c>
      <c r="Q102" s="45" t="n">
        <v>0</v>
      </c>
      <c r="R102" s="45" t="n">
        <v>0</v>
      </c>
      <c r="S102" s="45" t="n">
        <v>991947.456</v>
      </c>
      <c r="T102" s="45" t="n">
        <v>903902.0998099999</v>
      </c>
      <c r="U102" s="15" t="n">
        <v>9.74</v>
      </c>
      <c r="V102" s="15" t="n">
        <v>8.390000000000001</v>
      </c>
      <c r="W102" s="49" t="n">
        <v>91.124</v>
      </c>
    </row>
    <row r="103">
      <c r="A103" s="44" t="inlineStr">
        <is>
          <t>TL Cinsi Kuponsuz Senetler</t>
        </is>
      </c>
      <c r="B103" s="44" t="n">
        <v>2015</v>
      </c>
      <c r="C103" s="44" t="inlineStr">
        <is>
          <t>TRT080616T16</t>
        </is>
      </c>
      <c r="D103" s="44" t="inlineStr">
        <is>
          <t>08.04.2015</t>
        </is>
      </c>
      <c r="E103" s="44" t="inlineStr">
        <is>
          <t>08.06.2016</t>
        </is>
      </c>
      <c r="F103" s="44" t="n">
        <v>427</v>
      </c>
      <c r="G103" s="44" t="n"/>
      <c r="H103" s="15" t="n"/>
      <c r="I103" s="45" t="n">
        <v>891500</v>
      </c>
      <c r="J103" s="45" t="n">
        <v>804329.63</v>
      </c>
      <c r="K103" s="45" t="n">
        <v>325000</v>
      </c>
      <c r="L103" s="45" t="n">
        <v>293650</v>
      </c>
      <c r="M103" s="45" t="n">
        <v>209177.236</v>
      </c>
      <c r="N103" s="45" t="n">
        <v>188999.99982</v>
      </c>
      <c r="O103" s="45" t="n">
        <v>248591.651</v>
      </c>
      <c r="P103" s="45" t="n">
        <v>224612.50034</v>
      </c>
      <c r="Q103" s="45" t="n">
        <v>51209.345</v>
      </c>
      <c r="R103" s="45" t="n">
        <v>46269.69158</v>
      </c>
      <c r="S103" s="45" t="n">
        <v>833978.2320000001</v>
      </c>
      <c r="T103" s="45" t="n">
        <v>753532.19174</v>
      </c>
      <c r="U103" s="15" t="n">
        <v>10.68</v>
      </c>
      <c r="V103" s="15" t="n">
        <v>9.029999999999999</v>
      </c>
      <c r="W103" s="49" t="n">
        <v>90.354</v>
      </c>
    </row>
    <row r="104">
      <c r="A104" s="44" t="inlineStr">
        <is>
          <t>TL Cinsi Kuponsuz Senetler</t>
        </is>
      </c>
      <c r="B104" s="44" t="n">
        <v>2015</v>
      </c>
      <c r="C104" s="44" t="inlineStr">
        <is>
          <t>TRT161215T19</t>
        </is>
      </c>
      <c r="D104" s="44" t="inlineStr">
        <is>
          <t>20.05.2015</t>
        </is>
      </c>
      <c r="E104" s="44" t="inlineStr">
        <is>
          <t>16.12.2015</t>
        </is>
      </c>
      <c r="F104" s="44" t="n">
        <v>210</v>
      </c>
      <c r="G104" s="44" t="n"/>
      <c r="H104" s="15" t="n"/>
      <c r="I104" s="45" t="n">
        <v>1009800</v>
      </c>
      <c r="J104" s="45" t="n">
        <v>955094.85</v>
      </c>
      <c r="K104" s="45" t="n">
        <v>193000</v>
      </c>
      <c r="L104" s="45" t="n">
        <v>182786.79</v>
      </c>
      <c r="M104" s="45" t="n">
        <v>501541.58</v>
      </c>
      <c r="N104" s="45" t="n">
        <v>474999.99959</v>
      </c>
      <c r="O104" s="45" t="n">
        <v>164373.654</v>
      </c>
      <c r="P104" s="45" t="n">
        <v>155675.00023</v>
      </c>
      <c r="Q104" s="45" t="n">
        <v>40001.097</v>
      </c>
      <c r="R104" s="45" t="n">
        <v>37884.23895000001</v>
      </c>
      <c r="S104" s="45" t="n">
        <v>898916.331</v>
      </c>
      <c r="T104" s="45" t="n">
        <v>851346.02877</v>
      </c>
      <c r="U104" s="15" t="n">
        <v>5.59</v>
      </c>
      <c r="V104" s="15" t="n">
        <v>9.880000000000001</v>
      </c>
      <c r="W104" s="49" t="n">
        <v>94.708</v>
      </c>
    </row>
    <row r="105">
      <c r="A105" s="44" t="inlineStr">
        <is>
          <t>TL Cinsi Kuponsuz Senetler</t>
        </is>
      </c>
      <c r="B105" s="44" t="n">
        <v>2015</v>
      </c>
      <c r="C105" s="44" t="inlineStr">
        <is>
          <t>TRT161215T19</t>
        </is>
      </c>
      <c r="D105" s="44" t="inlineStr">
        <is>
          <t>17.06.2015</t>
        </is>
      </c>
      <c r="E105" s="44" t="inlineStr">
        <is>
          <t>16.12.2015</t>
        </is>
      </c>
      <c r="F105" s="44" t="n">
        <v>182</v>
      </c>
      <c r="G105" s="44" t="n"/>
      <c r="H105" s="15" t="n"/>
      <c r="I105" s="45" t="n">
        <v>307000</v>
      </c>
      <c r="J105" s="45" t="n">
        <v>292387.45</v>
      </c>
      <c r="K105" s="45" t="n">
        <v>226000</v>
      </c>
      <c r="L105" s="45" t="n">
        <v>215386.55</v>
      </c>
      <c r="M105" s="45" t="n">
        <v>209854.78</v>
      </c>
      <c r="N105" s="45" t="n">
        <v>199999.99953</v>
      </c>
      <c r="O105" s="45" t="n">
        <v>360425.585</v>
      </c>
      <c r="P105" s="45" t="n">
        <v>343499.99953</v>
      </c>
      <c r="Q105" s="45" t="n">
        <v>5246.369</v>
      </c>
      <c r="R105" s="45" t="n">
        <v>4999.99951</v>
      </c>
      <c r="S105" s="45" t="n">
        <v>801526.7339999999</v>
      </c>
      <c r="T105" s="45" t="n">
        <v>763886.54857</v>
      </c>
      <c r="U105" s="15" t="n">
        <v>4.93</v>
      </c>
      <c r="V105" s="15" t="n">
        <v>10.1</v>
      </c>
      <c r="W105" s="49" t="n">
        <v>95.304</v>
      </c>
    </row>
    <row r="106">
      <c r="A106" s="44" t="inlineStr">
        <is>
          <t>TL Cinsi Kuponsuz Senetler</t>
        </is>
      </c>
      <c r="B106" s="44" t="n">
        <v>2015</v>
      </c>
      <c r="C106" s="44" t="inlineStr">
        <is>
          <t>TRT170816T13</t>
        </is>
      </c>
      <c r="D106" s="44" t="inlineStr">
        <is>
          <t>19.08.2015</t>
        </is>
      </c>
      <c r="E106" s="44" t="inlineStr">
        <is>
          <t>17.08.2016</t>
        </is>
      </c>
      <c r="F106" s="44" t="n">
        <v>364</v>
      </c>
      <c r="G106" s="44" t="n"/>
      <c r="H106" s="15" t="n"/>
      <c r="I106" s="45" t="n">
        <v>520498.3</v>
      </c>
      <c r="J106" s="45" t="n">
        <v>468436.15575</v>
      </c>
      <c r="K106" s="45" t="n">
        <v>384998.3</v>
      </c>
      <c r="L106" s="45" t="n">
        <v>346780.15575</v>
      </c>
      <c r="M106" s="45" t="n">
        <v>148768.221</v>
      </c>
      <c r="N106" s="45" t="n">
        <v>133999.9997</v>
      </c>
      <c r="O106" s="45" t="n">
        <v>305418.938</v>
      </c>
      <c r="P106" s="45" t="n">
        <v>275100.00002</v>
      </c>
      <c r="Q106" s="45" t="n">
        <v>13698.39</v>
      </c>
      <c r="R106" s="45" t="n">
        <v>12338.55082</v>
      </c>
      <c r="S106" s="45" t="n">
        <v>852883.849</v>
      </c>
      <c r="T106" s="45" t="n">
        <v>768218.70629</v>
      </c>
      <c r="U106" s="15" t="n">
        <v>11.02</v>
      </c>
      <c r="V106" s="15" t="n">
        <v>11.02</v>
      </c>
      <c r="W106" s="49" t="n">
        <v>90.07299999999999</v>
      </c>
    </row>
    <row r="107">
      <c r="A107" s="44" t="inlineStr">
        <is>
          <t>TL Cinsi Kuponsuz Senetler</t>
        </is>
      </c>
      <c r="B107" s="44" t="n">
        <v>2015</v>
      </c>
      <c r="C107" s="44" t="inlineStr">
        <is>
          <t>TRT141216T10</t>
        </is>
      </c>
      <c r="D107" s="44" t="inlineStr">
        <is>
          <t>07.10.2015</t>
        </is>
      </c>
      <c r="E107" s="44" t="inlineStr">
        <is>
          <t>14.12.2016</t>
        </is>
      </c>
      <c r="F107" s="44" t="n">
        <v>434</v>
      </c>
      <c r="G107" s="44" t="n"/>
      <c r="H107" s="15" t="n"/>
      <c r="I107" s="45" t="n">
        <v>892300</v>
      </c>
      <c r="J107" s="45" t="n">
        <v>785253.392</v>
      </c>
      <c r="K107" s="45" t="n">
        <v>382300</v>
      </c>
      <c r="L107" s="45" t="n">
        <v>337230.172</v>
      </c>
      <c r="M107" s="45" t="n">
        <v>113364.546</v>
      </c>
      <c r="N107" s="45" t="n">
        <v>99999.99967</v>
      </c>
      <c r="O107" s="45" t="n">
        <v>262042.149</v>
      </c>
      <c r="P107" s="45" t="n">
        <v>231150.00005</v>
      </c>
      <c r="Q107" s="45" t="n">
        <v>36023.126</v>
      </c>
      <c r="R107" s="45" t="n">
        <v>31776.35968</v>
      </c>
      <c r="S107" s="45" t="n">
        <v>793729.821</v>
      </c>
      <c r="T107" s="45" t="n">
        <v>700156.5314000001</v>
      </c>
      <c r="U107" s="15" t="n">
        <v>13.36</v>
      </c>
      <c r="V107" s="15" t="n">
        <v>11.09</v>
      </c>
      <c r="W107" s="49" t="n">
        <v>88.211</v>
      </c>
    </row>
    <row r="108">
      <c r="A108" s="44" t="inlineStr">
        <is>
          <t>TL Cinsi Kuponsuz Senetler</t>
        </is>
      </c>
      <c r="B108" s="44" t="n">
        <v>2015</v>
      </c>
      <c r="C108" s="44" t="inlineStr">
        <is>
          <t>TRT141216T10</t>
        </is>
      </c>
      <c r="D108" s="44" t="inlineStr">
        <is>
          <t>18.11.2015</t>
        </is>
      </c>
      <c r="E108" s="44" t="inlineStr">
        <is>
          <t>14.12.2016</t>
        </is>
      </c>
      <c r="F108" s="44" t="n">
        <v>392</v>
      </c>
      <c r="G108" s="44" t="n"/>
      <c r="H108" s="15" t="n"/>
      <c r="I108" s="45" t="n">
        <v>658002.12</v>
      </c>
      <c r="J108" s="45" t="n">
        <v>590853.10463</v>
      </c>
      <c r="K108" s="45" t="n">
        <v>242000</v>
      </c>
      <c r="L108" s="45" t="n">
        <v>217715.43</v>
      </c>
      <c r="M108" s="45" t="n">
        <v>181181.57</v>
      </c>
      <c r="N108" s="45" t="n">
        <v>162999.99945</v>
      </c>
      <c r="O108" s="45" t="n">
        <v>191077.086</v>
      </c>
      <c r="P108" s="45" t="n">
        <v>171902.50042</v>
      </c>
      <c r="Q108" s="45" t="n">
        <v>40000</v>
      </c>
      <c r="R108" s="45" t="n">
        <v>35986</v>
      </c>
      <c r="S108" s="45" t="n">
        <v>654258.656</v>
      </c>
      <c r="T108" s="45" t="n">
        <v>588603.92987</v>
      </c>
      <c r="U108" s="15" t="n">
        <v>11.15</v>
      </c>
      <c r="V108" s="15" t="n">
        <v>10.32</v>
      </c>
      <c r="W108" s="49" t="n">
        <v>89.965</v>
      </c>
    </row>
    <row r="109">
      <c r="A109" s="44" t="inlineStr">
        <is>
          <t>TL Cinsi Kuponsuz Senetler</t>
        </is>
      </c>
      <c r="B109" s="44" t="n">
        <v>2014</v>
      </c>
      <c r="C109" s="44" t="inlineStr">
        <is>
          <t>TRT250315T19</t>
        </is>
      </c>
      <c r="D109" s="44" t="inlineStr">
        <is>
          <t>22.01.2014</t>
        </is>
      </c>
      <c r="E109" s="44" t="inlineStr">
        <is>
          <t>25.03.2015</t>
        </is>
      </c>
      <c r="F109" s="44" t="n">
        <v>427</v>
      </c>
      <c r="G109" s="44" t="n"/>
      <c r="H109" s="15" t="n"/>
      <c r="I109" s="45" t="n">
        <v>1791191.245</v>
      </c>
      <c r="J109" s="45" t="n">
        <v>1595006.39559</v>
      </c>
      <c r="K109" s="45" t="n">
        <v>708085</v>
      </c>
      <c r="L109" s="45" t="n">
        <v>631673.76723</v>
      </c>
      <c r="M109" s="45" t="n">
        <v>0</v>
      </c>
      <c r="N109" s="45" t="n">
        <v>0</v>
      </c>
      <c r="O109" s="45" t="n">
        <v>869979.4863746931</v>
      </c>
      <c r="P109" s="45" t="n">
        <v>776100</v>
      </c>
      <c r="Q109" s="45" t="n">
        <v>40200.107</v>
      </c>
      <c r="R109" s="45" t="n">
        <v>35862.11345363</v>
      </c>
      <c r="S109" s="45" t="n">
        <v>1618264.593374693</v>
      </c>
      <c r="T109" s="45" t="n">
        <v>1443635.88068363</v>
      </c>
      <c r="U109" s="15" t="n">
        <v>12.1</v>
      </c>
      <c r="V109" s="15" t="n">
        <v>10.22</v>
      </c>
      <c r="W109" s="49" t="n">
        <v>89.209</v>
      </c>
    </row>
    <row r="110">
      <c r="A110" s="44" t="inlineStr">
        <is>
          <t>TL Cinsi Kuponsuz Senetler</t>
        </is>
      </c>
      <c r="B110" s="44" t="n">
        <v>2014</v>
      </c>
      <c r="C110" s="44" t="inlineStr">
        <is>
          <t>TRT250315T19</t>
        </is>
      </c>
      <c r="D110" s="44" t="inlineStr">
        <is>
          <t>19.02.2014</t>
        </is>
      </c>
      <c r="E110" s="44" t="inlineStr">
        <is>
          <t>25.03.2015</t>
        </is>
      </c>
      <c r="F110" s="44" t="n">
        <v>399</v>
      </c>
      <c r="G110" s="44" t="n"/>
      <c r="H110" s="15" t="n"/>
      <c r="I110" s="45" t="n">
        <v>2726391</v>
      </c>
      <c r="J110" s="45" t="n">
        <v>2424094.44323</v>
      </c>
      <c r="K110" s="45" t="n">
        <v>955840</v>
      </c>
      <c r="L110" s="45" t="n">
        <v>850884.0207</v>
      </c>
      <c r="M110" s="45" t="n">
        <v>0</v>
      </c>
      <c r="N110" s="45" t="n">
        <v>0</v>
      </c>
      <c r="O110" s="45" t="n">
        <v>198445.293192541</v>
      </c>
      <c r="P110" s="45" t="n">
        <v>176656</v>
      </c>
      <c r="Q110" s="45" t="n">
        <v>100014.828</v>
      </c>
      <c r="R110" s="45" t="n">
        <v>89033.19988559998</v>
      </c>
      <c r="S110" s="45" t="n">
        <v>1254300.121192541</v>
      </c>
      <c r="T110" s="45" t="n">
        <v>1116573.2205856</v>
      </c>
      <c r="U110" s="15" t="n">
        <v>12.33</v>
      </c>
      <c r="V110" s="15" t="n">
        <v>11.19</v>
      </c>
      <c r="W110" s="49" t="n">
        <v>89.02</v>
      </c>
    </row>
    <row r="111">
      <c r="A111" s="44" t="inlineStr">
        <is>
          <t>TL Cinsi Kuponsuz Senetler</t>
        </is>
      </c>
      <c r="B111" s="44" t="n">
        <v>2014</v>
      </c>
      <c r="C111" s="44" t="inlineStr">
        <is>
          <t>TRT150715T17</t>
        </is>
      </c>
      <c r="D111" s="44" t="inlineStr">
        <is>
          <t>19.03.2014</t>
        </is>
      </c>
      <c r="E111" s="44" t="inlineStr">
        <is>
          <t>15.07.2015</t>
        </is>
      </c>
      <c r="F111" s="44" t="n">
        <v>483</v>
      </c>
      <c r="G111" s="44" t="n"/>
      <c r="H111" s="15" t="n"/>
      <c r="I111" s="45" t="n">
        <v>2105900</v>
      </c>
      <c r="J111" s="45" t="n">
        <v>1821921.732</v>
      </c>
      <c r="K111" s="45" t="n">
        <v>185400</v>
      </c>
      <c r="L111" s="45" t="n">
        <v>160765.567</v>
      </c>
      <c r="M111" s="45" t="n">
        <v>318291.3749956754</v>
      </c>
      <c r="N111" s="45" t="n">
        <v>276000</v>
      </c>
      <c r="O111" s="45" t="n">
        <v>215100.3886383818</v>
      </c>
      <c r="P111" s="45" t="n">
        <v>186520</v>
      </c>
      <c r="Q111" s="45" t="n">
        <v>0</v>
      </c>
      <c r="R111" s="45" t="n">
        <v>0</v>
      </c>
      <c r="S111" s="45" t="n">
        <v>718791.7636340572</v>
      </c>
      <c r="T111" s="45" t="n">
        <v>623285.567</v>
      </c>
      <c r="U111" s="15" t="n">
        <v>15.32</v>
      </c>
      <c r="V111" s="15" t="n">
        <v>11.34</v>
      </c>
      <c r="W111" s="49" t="n">
        <v>86.71299999999999</v>
      </c>
    </row>
    <row r="112">
      <c r="A112" s="44" t="inlineStr">
        <is>
          <t>TL Cinsi Kuponsuz Senetler</t>
        </is>
      </c>
      <c r="B112" s="44" t="n">
        <v>2014</v>
      </c>
      <c r="C112" s="44" t="inlineStr">
        <is>
          <t>TRT150715T17</t>
        </is>
      </c>
      <c r="D112" s="44" t="inlineStr">
        <is>
          <t>09.04.2014</t>
        </is>
      </c>
      <c r="E112" s="44" t="inlineStr">
        <is>
          <t>15.07.2015</t>
        </is>
      </c>
      <c r="F112" s="44" t="n">
        <v>462</v>
      </c>
      <c r="G112" s="44" t="n"/>
      <c r="H112" s="15" t="n"/>
      <c r="I112" s="45" t="n">
        <v>2107750</v>
      </c>
      <c r="J112" s="45" t="n">
        <v>1864343.3515</v>
      </c>
      <c r="K112" s="45" t="n">
        <v>626000</v>
      </c>
      <c r="L112" s="45" t="n">
        <v>554941.38</v>
      </c>
      <c r="M112" s="45" t="n">
        <v>219968.6403681936</v>
      </c>
      <c r="N112" s="45" t="n">
        <v>195000</v>
      </c>
      <c r="O112" s="45" t="n">
        <v>174677.6613385374</v>
      </c>
      <c r="P112" s="45" t="n">
        <v>154850</v>
      </c>
      <c r="Q112" s="45" t="n">
        <v>43005.504</v>
      </c>
      <c r="R112" s="45" t="n">
        <v>38123.94924096</v>
      </c>
      <c r="S112" s="45" t="n">
        <v>1063651.805706731</v>
      </c>
      <c r="T112" s="45" t="n">
        <v>942915.32924096</v>
      </c>
      <c r="U112" s="15" t="n">
        <v>12.8</v>
      </c>
      <c r="V112" s="15" t="n">
        <v>9.960000000000001</v>
      </c>
      <c r="W112" s="49" t="n">
        <v>88.649</v>
      </c>
    </row>
    <row r="113">
      <c r="A113" s="44" t="inlineStr">
        <is>
          <t>TL Cinsi Kuponsuz Senetler</t>
        </is>
      </c>
      <c r="B113" s="44" t="n">
        <v>2014</v>
      </c>
      <c r="C113" s="44" t="inlineStr">
        <is>
          <t>TRT150715T17</t>
        </is>
      </c>
      <c r="D113" s="44" t="inlineStr">
        <is>
          <t>28.05.2014</t>
        </is>
      </c>
      <c r="E113" s="44" t="inlineStr">
        <is>
          <t>15.07.2015</t>
        </is>
      </c>
      <c r="F113" s="44" t="n">
        <v>413</v>
      </c>
      <c r="G113" s="44" t="n"/>
      <c r="H113" s="15" t="n"/>
      <c r="I113" s="45" t="n">
        <v>2903800</v>
      </c>
      <c r="J113" s="45" t="n">
        <v>2637549.92</v>
      </c>
      <c r="K113" s="45" t="n">
        <v>890000</v>
      </c>
      <c r="L113" s="45" t="n">
        <v>809412.75</v>
      </c>
      <c r="M113" s="45" t="n">
        <v>0</v>
      </c>
      <c r="N113" s="45" t="n">
        <v>0</v>
      </c>
      <c r="O113" s="45" t="n">
        <v>462004.9260000441</v>
      </c>
      <c r="P113" s="45" t="n">
        <v>420175.0000000001</v>
      </c>
      <c r="Q113" s="45" t="n">
        <v>0</v>
      </c>
      <c r="R113" s="45" t="n">
        <v>0</v>
      </c>
      <c r="S113" s="45" t="n">
        <v>1352004.926000044</v>
      </c>
      <c r="T113" s="45" t="n">
        <v>1229587.75</v>
      </c>
      <c r="U113" s="15" t="n">
        <v>9.960000000000001</v>
      </c>
      <c r="V113" s="15" t="n">
        <v>8.720000000000001</v>
      </c>
      <c r="W113" s="49" t="n">
        <v>90.946</v>
      </c>
    </row>
    <row r="114">
      <c r="A114" s="44" t="inlineStr">
        <is>
          <t>TL Cinsi Kuponsuz Senetler</t>
        </is>
      </c>
      <c r="B114" s="44" t="n">
        <v>2014</v>
      </c>
      <c r="C114" s="44" t="inlineStr">
        <is>
          <t>TRT190815T12</t>
        </is>
      </c>
      <c r="D114" s="44" t="inlineStr">
        <is>
          <t>11.06.2014</t>
        </is>
      </c>
      <c r="E114" s="44" t="inlineStr">
        <is>
          <t>19.08.2015</t>
        </is>
      </c>
      <c r="F114" s="44" t="n">
        <v>434</v>
      </c>
      <c r="G114" s="44" t="n"/>
      <c r="H114" s="15" t="n"/>
      <c r="I114" s="45" t="n">
        <v>1830179</v>
      </c>
      <c r="J114" s="45" t="n">
        <v>1660498.10068</v>
      </c>
      <c r="K114" s="45" t="n">
        <v>563278</v>
      </c>
      <c r="L114" s="45" t="n">
        <v>511784.78868</v>
      </c>
      <c r="M114" s="45" t="n">
        <v>0</v>
      </c>
      <c r="N114" s="45" t="n">
        <v>0</v>
      </c>
      <c r="O114" s="45" t="n">
        <v>450703.2952519316</v>
      </c>
      <c r="P114" s="45" t="n">
        <v>409500</v>
      </c>
      <c r="Q114" s="45" t="n">
        <v>45182.304</v>
      </c>
      <c r="R114" s="45" t="n">
        <v>41051.73776832</v>
      </c>
      <c r="S114" s="45" t="n">
        <v>1059163.599251932</v>
      </c>
      <c r="T114" s="45" t="n">
        <v>962336.52644832</v>
      </c>
      <c r="U114" s="15" t="n">
        <v>10.06</v>
      </c>
      <c r="V114" s="15" t="n">
        <v>8.369999999999999</v>
      </c>
      <c r="W114" s="49" t="n">
        <v>90.858</v>
      </c>
    </row>
    <row r="115">
      <c r="A115" s="44" t="inlineStr">
        <is>
          <t>TL Cinsi Kuponsuz Senetler</t>
        </is>
      </c>
      <c r="B115" s="44" t="n">
        <v>2014</v>
      </c>
      <c r="C115" s="44" t="inlineStr">
        <is>
          <t>TRT190815T12</t>
        </is>
      </c>
      <c r="D115" s="44" t="inlineStr">
        <is>
          <t>23.07.2014</t>
        </is>
      </c>
      <c r="E115" s="44" t="inlineStr">
        <is>
          <t>19.08.2015</t>
        </is>
      </c>
      <c r="F115" s="44" t="n">
        <v>392</v>
      </c>
      <c r="G115" s="44" t="n"/>
      <c r="H115" s="15" t="n"/>
      <c r="I115" s="45" t="n">
        <v>1187000</v>
      </c>
      <c r="J115" s="45" t="n">
        <v>1088151.479</v>
      </c>
      <c r="K115" s="45" t="n">
        <v>460700</v>
      </c>
      <c r="L115" s="45" t="n">
        <v>422648.464</v>
      </c>
      <c r="M115" s="45" t="n">
        <v>0</v>
      </c>
      <c r="N115" s="45" t="n">
        <v>0</v>
      </c>
      <c r="O115" s="45" t="n">
        <v>308273.3812949641</v>
      </c>
      <c r="P115" s="45" t="n">
        <v>282810</v>
      </c>
      <c r="Q115" s="45" t="n">
        <v>87501.60400000001</v>
      </c>
      <c r="R115" s="45" t="n">
        <v>80273.9715096</v>
      </c>
      <c r="S115" s="45" t="n">
        <v>856474.9852949642</v>
      </c>
      <c r="T115" s="45" t="n">
        <v>785732.4355096</v>
      </c>
      <c r="U115" s="15" t="n">
        <v>9</v>
      </c>
      <c r="V115" s="15" t="n">
        <v>8.33</v>
      </c>
      <c r="W115" s="49" t="n">
        <v>91.73999999999999</v>
      </c>
    </row>
    <row r="116">
      <c r="A116" s="44" t="inlineStr">
        <is>
          <t>TL Cinsi Kuponsuz Senetler</t>
        </is>
      </c>
      <c r="B116" s="44" t="n">
        <v>2014</v>
      </c>
      <c r="C116" s="44" t="inlineStr">
        <is>
          <t>TRT190815T12</t>
        </is>
      </c>
      <c r="D116" s="44" t="inlineStr">
        <is>
          <t>13.08.2014</t>
        </is>
      </c>
      <c r="E116" s="44" t="inlineStr">
        <is>
          <t>19.08.2015</t>
        </is>
      </c>
      <c r="F116" s="44" t="n">
        <v>371</v>
      </c>
      <c r="G116" s="44" t="n"/>
      <c r="H116" s="15" t="n"/>
      <c r="I116" s="45" t="n">
        <v>1638997.01</v>
      </c>
      <c r="J116" s="45" t="n">
        <v>1492024.90625</v>
      </c>
      <c r="K116" s="45" t="n">
        <v>755997.01</v>
      </c>
      <c r="L116" s="45" t="n">
        <v>688862.10625</v>
      </c>
      <c r="M116" s="45" t="n">
        <v>0</v>
      </c>
      <c r="N116" s="45" t="n">
        <v>0</v>
      </c>
      <c r="O116" s="45" t="n">
        <v>394863.9157155399</v>
      </c>
      <c r="P116" s="45" t="n">
        <v>359800</v>
      </c>
      <c r="Q116" s="45" t="n">
        <v>20000</v>
      </c>
      <c r="R116" s="45" t="n">
        <v>18224</v>
      </c>
      <c r="S116" s="45" t="n">
        <v>1170860.92571554</v>
      </c>
      <c r="T116" s="45" t="n">
        <v>1066886.10625</v>
      </c>
      <c r="U116" s="15" t="n">
        <v>9.75</v>
      </c>
      <c r="V116" s="15" t="n">
        <v>9.550000000000001</v>
      </c>
      <c r="W116" s="49" t="n">
        <v>91.12</v>
      </c>
    </row>
    <row r="117">
      <c r="A117" s="44" t="inlineStr">
        <is>
          <t>TL Cinsi Kuponsuz Senetler</t>
        </is>
      </c>
      <c r="B117" s="44" t="n">
        <v>2014</v>
      </c>
      <c r="C117" s="44" t="inlineStr">
        <is>
          <t>TRT181115T18</t>
        </is>
      </c>
      <c r="D117" s="44" t="inlineStr">
        <is>
          <t>17.09.2014</t>
        </is>
      </c>
      <c r="E117" s="44" t="inlineStr">
        <is>
          <t>18.11.2015</t>
        </is>
      </c>
      <c r="F117" s="44" t="n">
        <v>427</v>
      </c>
      <c r="G117" s="44" t="n"/>
      <c r="H117" s="15" t="n"/>
      <c r="I117" s="45" t="n">
        <v>2729797.25</v>
      </c>
      <c r="J117" s="45" t="n">
        <v>2458773.82048</v>
      </c>
      <c r="K117" s="45" t="n">
        <v>878740</v>
      </c>
      <c r="L117" s="45" t="n">
        <v>792334.5014</v>
      </c>
      <c r="M117" s="45" t="n">
        <v>364878.5032217996</v>
      </c>
      <c r="N117" s="45" t="n">
        <v>329000</v>
      </c>
      <c r="O117" s="45" t="n">
        <v>215599.9423292335</v>
      </c>
      <c r="P117" s="45" t="n">
        <v>194400</v>
      </c>
      <c r="Q117" s="45" t="n">
        <v>205948.06</v>
      </c>
      <c r="R117" s="45" t="n">
        <v>185697.1872602</v>
      </c>
      <c r="S117" s="45" t="n">
        <v>1665166.505551033</v>
      </c>
      <c r="T117" s="45" t="n">
        <v>1501431.6886602</v>
      </c>
      <c r="U117" s="15" t="n">
        <v>10.91</v>
      </c>
      <c r="V117" s="15" t="n">
        <v>9.220000000000001</v>
      </c>
      <c r="W117" s="49" t="n">
        <v>90.167</v>
      </c>
    </row>
    <row r="118">
      <c r="A118" s="44" t="inlineStr">
        <is>
          <t>TL Cinsi Kuponsuz Senetler</t>
        </is>
      </c>
      <c r="B118" s="44" t="n">
        <v>2014</v>
      </c>
      <c r="C118" s="44" t="inlineStr">
        <is>
          <t>TRT181115T18</t>
        </is>
      </c>
      <c r="D118" s="44" t="inlineStr">
        <is>
          <t>22.10.2014</t>
        </is>
      </c>
      <c r="E118" s="44" t="inlineStr">
        <is>
          <t>18.11.2015</t>
        </is>
      </c>
      <c r="F118" s="44" t="n">
        <v>392</v>
      </c>
      <c r="G118" s="44" t="n"/>
      <c r="H118" s="15" t="n"/>
      <c r="I118" s="45" t="n">
        <v>2075480</v>
      </c>
      <c r="J118" s="45" t="n">
        <v>1893339.2724</v>
      </c>
      <c r="K118" s="45" t="n">
        <v>695180</v>
      </c>
      <c r="L118" s="45" t="n">
        <v>634801.6224</v>
      </c>
      <c r="M118" s="45" t="n">
        <v>0</v>
      </c>
      <c r="N118" s="45" t="n">
        <v>0</v>
      </c>
      <c r="O118" s="45" t="n">
        <v>380682.253737064</v>
      </c>
      <c r="P118" s="45" t="n">
        <v>347620</v>
      </c>
      <c r="Q118" s="45" t="n">
        <v>0</v>
      </c>
      <c r="R118" s="45" t="n">
        <v>0</v>
      </c>
      <c r="S118" s="45" t="n">
        <v>1075862.253737064</v>
      </c>
      <c r="T118" s="45" t="n">
        <v>982421.6224</v>
      </c>
      <c r="U118" s="15" t="n">
        <v>9.51</v>
      </c>
      <c r="V118" s="15" t="n">
        <v>8.800000000000001</v>
      </c>
      <c r="W118" s="49" t="n">
        <v>91.315</v>
      </c>
    </row>
    <row r="119">
      <c r="A119" s="44" t="inlineStr">
        <is>
          <t>TL Cinsi Kuponsuz Senetler</t>
        </is>
      </c>
      <c r="B119" s="44" t="n">
        <v>2014</v>
      </c>
      <c r="C119" s="44" t="inlineStr">
        <is>
          <t>TRT161215T19</t>
        </is>
      </c>
      <c r="D119" s="44" t="inlineStr">
        <is>
          <t>17.12.2014</t>
        </is>
      </c>
      <c r="E119" s="44" t="inlineStr">
        <is>
          <t>16.12.2015</t>
        </is>
      </c>
      <c r="F119" s="44" t="n">
        <v>364</v>
      </c>
      <c r="G119" s="44" t="n"/>
      <c r="H119" s="15" t="n"/>
      <c r="I119" s="45" t="n">
        <v>1618610</v>
      </c>
      <c r="J119" s="45" t="n">
        <v>1484183.28085</v>
      </c>
      <c r="K119" s="45" t="n">
        <v>388505</v>
      </c>
      <c r="L119" s="45" t="n">
        <v>357040.54865</v>
      </c>
      <c r="M119" s="45" t="n">
        <v>488569.2212271902</v>
      </c>
      <c r="N119" s="45" t="n">
        <v>449000</v>
      </c>
      <c r="O119" s="45" t="n">
        <v>309071.7184796684</v>
      </c>
      <c r="P119" s="45" t="n">
        <v>284040</v>
      </c>
      <c r="Q119" s="45" t="n">
        <v>0</v>
      </c>
      <c r="R119" s="45" t="n">
        <v>0</v>
      </c>
      <c r="S119" s="45" t="n">
        <v>1186145.939706859</v>
      </c>
      <c r="T119" s="45" t="n">
        <v>1090080.54865</v>
      </c>
      <c r="U119" s="15" t="n">
        <v>8.81</v>
      </c>
      <c r="V119" s="15" t="n">
        <v>8.81</v>
      </c>
      <c r="W119" s="49" t="n">
        <v>91.901</v>
      </c>
    </row>
    <row r="120">
      <c r="A120" s="44" t="inlineStr">
        <is>
          <t>TL Cinsi Kuponsuz Senetler</t>
        </is>
      </c>
      <c r="B120" s="44" t="n">
        <v>2013</v>
      </c>
      <c r="C120" s="44" t="inlineStr">
        <is>
          <t>TRT090414T19</t>
        </is>
      </c>
      <c r="D120" s="44" t="inlineStr">
        <is>
          <t>nan</t>
        </is>
      </c>
      <c r="E120" s="44" t="inlineStr">
        <is>
          <t>nan</t>
        </is>
      </c>
      <c r="F120" s="44" t="n"/>
      <c r="G120" s="44" t="n"/>
      <c r="H120" s="15" t="n"/>
      <c r="I120" s="45" t="n">
        <v>4346600</v>
      </c>
      <c r="J120" s="45" t="n">
        <v>4031774.018</v>
      </c>
      <c r="K120" s="45" t="n">
        <v>964500</v>
      </c>
      <c r="L120" s="45" t="n">
        <v>895708.905</v>
      </c>
      <c r="M120" s="45" t="n">
        <v>0</v>
      </c>
      <c r="N120" s="45" t="n">
        <v>0</v>
      </c>
      <c r="O120" s="45" t="n">
        <v>409290.6060214498</v>
      </c>
      <c r="P120" s="45" t="n">
        <v>380100</v>
      </c>
      <c r="Q120" s="45" t="n">
        <v>186121.666</v>
      </c>
      <c r="R120" s="45" t="n">
        <v>172847.46878088</v>
      </c>
      <c r="S120" s="45" t="n">
        <v>1559912.27202145</v>
      </c>
      <c r="T120" s="45" t="n">
        <v>1448656.37378088</v>
      </c>
      <c r="U120" s="15" t="n">
        <v>7.68</v>
      </c>
      <c r="V120" s="15" t="n">
        <v>6.196383113224679</v>
      </c>
      <c r="W120" s="49" t="n">
        <v>92.86799999999999</v>
      </c>
    </row>
    <row r="121">
      <c r="A121" s="44" t="inlineStr">
        <is>
          <t>TL Cinsi Kuponsuz Senetler</t>
        </is>
      </c>
      <c r="B121" s="44" t="n">
        <v>2013</v>
      </c>
      <c r="C121" s="44" t="inlineStr">
        <is>
          <t>TRT090414T19</t>
        </is>
      </c>
      <c r="D121" s="44" t="inlineStr">
        <is>
          <t>nan</t>
        </is>
      </c>
      <c r="E121" s="44" t="inlineStr">
        <is>
          <t>nan</t>
        </is>
      </c>
      <c r="F121" s="44" t="n"/>
      <c r="G121" s="44" t="n"/>
      <c r="H121" s="15" t="n"/>
      <c r="I121" s="45" t="n">
        <v>2552700</v>
      </c>
      <c r="J121" s="45" t="n">
        <v>2391197.835</v>
      </c>
      <c r="K121" s="45" t="n">
        <v>696800</v>
      </c>
      <c r="L121" s="45" t="n">
        <v>653284.915</v>
      </c>
      <c r="M121" s="45" t="n">
        <v>0</v>
      </c>
      <c r="N121" s="45" t="n">
        <v>0</v>
      </c>
      <c r="O121" s="45" t="n">
        <v>656498.3200895953</v>
      </c>
      <c r="P121" s="45" t="n">
        <v>615500</v>
      </c>
      <c r="Q121" s="45" t="n">
        <v>24000</v>
      </c>
      <c r="R121" s="45" t="n">
        <v>22501.2</v>
      </c>
      <c r="S121" s="45" t="n">
        <v>1377298.320089595</v>
      </c>
      <c r="T121" s="45" t="n">
        <v>1291286.115</v>
      </c>
      <c r="U121" s="15" t="n">
        <v>6.66</v>
      </c>
      <c r="V121" s="15" t="n">
        <v>5.746995123464682</v>
      </c>
      <c r="W121" s="49" t="n">
        <v>93.755</v>
      </c>
    </row>
    <row r="122">
      <c r="A122" s="44" t="inlineStr">
        <is>
          <t>TL Cinsi Kuponsuz Senetler</t>
        </is>
      </c>
      <c r="B122" s="44" t="n">
        <v>2013</v>
      </c>
      <c r="C122" s="44" t="inlineStr">
        <is>
          <t>TRT110614T13</t>
        </is>
      </c>
      <c r="D122" s="44" t="inlineStr">
        <is>
          <t>nan</t>
        </is>
      </c>
      <c r="E122" s="44" t="inlineStr">
        <is>
          <t>nan</t>
        </is>
      </c>
      <c r="F122" s="44" t="n"/>
      <c r="G122" s="44" t="n"/>
      <c r="H122" s="15" t="n"/>
      <c r="I122" s="45" t="n">
        <v>2467194.687</v>
      </c>
      <c r="J122" s="45" t="n">
        <v>2300587.1088</v>
      </c>
      <c r="K122" s="45" t="n">
        <v>1202807</v>
      </c>
      <c r="L122" s="45" t="n">
        <v>1122177.93244</v>
      </c>
      <c r="M122" s="45" t="n">
        <v>0</v>
      </c>
      <c r="N122" s="45" t="n">
        <v>0</v>
      </c>
      <c r="O122" s="45" t="n">
        <v>430024.5452694084</v>
      </c>
      <c r="P122" s="45" t="n">
        <v>401200</v>
      </c>
      <c r="Q122" s="45" t="n">
        <v>95204.99400000001</v>
      </c>
      <c r="R122" s="45" t="n">
        <v>88823.40325218</v>
      </c>
      <c r="S122" s="45" t="n">
        <v>1728036.539269408</v>
      </c>
      <c r="T122" s="45" t="n">
        <v>1612201.33569218</v>
      </c>
      <c r="U122" s="15" t="n">
        <v>7.19</v>
      </c>
      <c r="V122" s="15" t="n">
        <v>5.71</v>
      </c>
      <c r="W122" s="49" t="n">
        <v>93.297</v>
      </c>
    </row>
    <row r="123">
      <c r="A123" s="44" t="inlineStr">
        <is>
          <t>TL Cinsi Kuponsuz Senetler</t>
        </is>
      </c>
      <c r="B123" s="44" t="n">
        <v>2013</v>
      </c>
      <c r="C123" s="44" t="inlineStr">
        <is>
          <t>TRT110614T13</t>
        </is>
      </c>
      <c r="D123" s="44" t="inlineStr">
        <is>
          <t>nan</t>
        </is>
      </c>
      <c r="E123" s="44" t="inlineStr">
        <is>
          <t>nan</t>
        </is>
      </c>
      <c r="F123" s="44" t="n"/>
      <c r="G123" s="44" t="n"/>
      <c r="H123" s="15" t="n"/>
      <c r="I123" s="45" t="n">
        <v>2034900</v>
      </c>
      <c r="J123" s="45" t="n">
        <v>1884112.176</v>
      </c>
      <c r="K123" s="45" t="n">
        <v>1020400</v>
      </c>
      <c r="L123" s="45" t="n">
        <v>945511.446</v>
      </c>
      <c r="M123" s="45" t="n">
        <v>0</v>
      </c>
      <c r="N123" s="45" t="n">
        <v>0</v>
      </c>
      <c r="O123" s="45" t="n">
        <v>282319.4224107229</v>
      </c>
      <c r="P123" s="45" t="n">
        <v>261600</v>
      </c>
      <c r="Q123" s="45" t="n">
        <v>152117.372</v>
      </c>
      <c r="R123" s="45" t="n">
        <v>140953.47807</v>
      </c>
      <c r="S123" s="45" t="n">
        <v>1454836.794410723</v>
      </c>
      <c r="T123" s="45" t="n">
        <v>1348064.92407</v>
      </c>
      <c r="U123" s="15" t="n">
        <v>7.92</v>
      </c>
      <c r="V123" s="15" t="n">
        <v>6.6</v>
      </c>
      <c r="W123" s="49" t="n">
        <v>92.661</v>
      </c>
    </row>
    <row r="124">
      <c r="A124" s="44" t="inlineStr">
        <is>
          <t>TL Cinsi Kuponsuz Senetler</t>
        </is>
      </c>
      <c r="B124" s="44" t="n">
        <v>2013</v>
      </c>
      <c r="C124" s="44" t="inlineStr">
        <is>
          <t>TRT060814T34</t>
        </is>
      </c>
      <c r="D124" s="44" t="inlineStr">
        <is>
          <t>nan</t>
        </is>
      </c>
      <c r="E124" s="44" t="inlineStr">
        <is>
          <t>nan</t>
        </is>
      </c>
      <c r="F124" s="44" t="n"/>
      <c r="G124" s="44" t="n"/>
      <c r="H124" s="15" t="n"/>
      <c r="I124" s="45" t="n">
        <v>2214300</v>
      </c>
      <c r="J124" s="45" t="n">
        <v>2080849.381</v>
      </c>
      <c r="K124" s="45" t="n">
        <v>490400</v>
      </c>
      <c r="L124" s="45" t="n">
        <v>461852.656</v>
      </c>
      <c r="M124" s="45" t="n">
        <v>0</v>
      </c>
      <c r="N124" s="45" t="n">
        <v>0</v>
      </c>
      <c r="O124" s="45" t="n">
        <v>258284.755624927</v>
      </c>
      <c r="P124" s="45" t="n">
        <v>243250</v>
      </c>
      <c r="Q124" s="45" t="n">
        <v>0</v>
      </c>
      <c r="R124" s="45" t="n">
        <v>0</v>
      </c>
      <c r="S124" s="45" t="n">
        <v>748684.755624927</v>
      </c>
      <c r="T124" s="45" t="n">
        <v>705102.656</v>
      </c>
      <c r="U124" s="15" t="n">
        <v>6.18</v>
      </c>
      <c r="V124" s="15" t="n">
        <v>5.07</v>
      </c>
      <c r="W124" s="49" t="n">
        <v>94.179</v>
      </c>
    </row>
    <row r="125">
      <c r="A125" s="44" t="inlineStr">
        <is>
          <t>TL Cinsi Kuponsuz Senetler</t>
        </is>
      </c>
      <c r="B125" s="44" t="n">
        <v>2013</v>
      </c>
      <c r="C125" s="44" t="inlineStr">
        <is>
          <t>TRT060814T34</t>
        </is>
      </c>
      <c r="D125" s="44" t="inlineStr">
        <is>
          <t>nan</t>
        </is>
      </c>
      <c r="E125" s="44" t="inlineStr">
        <is>
          <t>nan</t>
        </is>
      </c>
      <c r="F125" s="44" t="n"/>
      <c r="G125" s="44" t="n"/>
      <c r="H125" s="15" t="n"/>
      <c r="I125" s="45" t="n">
        <v>2794242.56</v>
      </c>
      <c r="J125" s="45" t="n">
        <v>2589806.99438</v>
      </c>
      <c r="K125" s="45" t="n">
        <v>742325</v>
      </c>
      <c r="L125" s="45" t="n">
        <v>689193.373</v>
      </c>
      <c r="M125" s="45" t="n">
        <v>207877.8152364745</v>
      </c>
      <c r="N125" s="45" t="n">
        <v>193000</v>
      </c>
      <c r="O125" s="45" t="n">
        <v>456027.9180982949</v>
      </c>
      <c r="P125" s="45" t="n">
        <v>423390</v>
      </c>
      <c r="Q125" s="45" t="n">
        <v>0</v>
      </c>
      <c r="R125" s="45" t="n">
        <v>0</v>
      </c>
      <c r="S125" s="45" t="n">
        <v>1406230.733334769</v>
      </c>
      <c r="T125" s="45" t="n">
        <v>1305583.373</v>
      </c>
      <c r="U125" s="15" t="n">
        <v>7.71</v>
      </c>
      <c r="V125" s="15" t="n">
        <v>6.76</v>
      </c>
      <c r="W125" s="49" t="n">
        <v>92.843</v>
      </c>
    </row>
    <row r="126">
      <c r="A126" s="44" t="inlineStr">
        <is>
          <t>TL Cinsi Kuponsuz Senetler</t>
        </is>
      </c>
      <c r="B126" s="44" t="n">
        <v>2013</v>
      </c>
      <c r="C126" s="44" t="inlineStr">
        <is>
          <t>TRT060814T34</t>
        </is>
      </c>
      <c r="D126" s="44" t="inlineStr">
        <is>
          <t>nan</t>
        </is>
      </c>
      <c r="E126" s="44" t="inlineStr">
        <is>
          <t>nan</t>
        </is>
      </c>
      <c r="F126" s="44" t="n"/>
      <c r="G126" s="44" t="n"/>
      <c r="H126" s="15" t="n"/>
      <c r="I126" s="45" t="n">
        <v>920740.8199999999</v>
      </c>
      <c r="J126" s="45" t="n">
        <v>843746.53967</v>
      </c>
      <c r="K126" s="45" t="n">
        <v>269340.82</v>
      </c>
      <c r="L126" s="45" t="n">
        <v>247469.03067</v>
      </c>
      <c r="M126" s="45" t="n">
        <v>0</v>
      </c>
      <c r="N126" s="45" t="n">
        <v>0</v>
      </c>
      <c r="O126" s="45" t="n">
        <v>209185.8946451894</v>
      </c>
      <c r="P126" s="45" t="n">
        <v>192200</v>
      </c>
      <c r="Q126" s="45" t="n">
        <v>4003.09</v>
      </c>
      <c r="R126" s="45" t="n">
        <v>3678.039092</v>
      </c>
      <c r="S126" s="45" t="n">
        <v>482529.8046451894</v>
      </c>
      <c r="T126" s="45" t="n">
        <v>443347.069762</v>
      </c>
      <c r="U126" s="15" t="n">
        <v>8.84</v>
      </c>
      <c r="V126" s="15" t="n">
        <v>8.5</v>
      </c>
      <c r="W126" s="49" t="n">
        <v>91.88</v>
      </c>
    </row>
    <row r="127">
      <c r="A127" s="44" t="inlineStr">
        <is>
          <t>TL Cinsi Kuponsuz Senetler</t>
        </is>
      </c>
      <c r="B127" s="44" t="n">
        <v>2013</v>
      </c>
      <c r="C127" s="44" t="inlineStr">
        <is>
          <t>TRT191114T18</t>
        </is>
      </c>
      <c r="D127" s="44" t="inlineStr">
        <is>
          <t>nan</t>
        </is>
      </c>
      <c r="E127" s="44" t="inlineStr">
        <is>
          <t>nan</t>
        </is>
      </c>
      <c r="F127" s="44" t="n"/>
      <c r="G127" s="44" t="n"/>
      <c r="H127" s="15" t="n"/>
      <c r="I127" s="45" t="n">
        <v>1816642.724</v>
      </c>
      <c r="J127" s="45" t="n">
        <v>1609903.17735</v>
      </c>
      <c r="K127" s="45" t="n">
        <v>499095.29</v>
      </c>
      <c r="L127" s="45" t="n">
        <v>443946.28898</v>
      </c>
      <c r="M127" s="45" t="n">
        <v>562113.5469364811</v>
      </c>
      <c r="N127" s="45" t="n">
        <v>500000</v>
      </c>
      <c r="O127" s="45" t="n">
        <v>292861.1579539067</v>
      </c>
      <c r="P127" s="45" t="n">
        <v>260500</v>
      </c>
      <c r="Q127" s="45" t="n">
        <v>20001.483</v>
      </c>
      <c r="R127" s="45" t="n">
        <v>17791.3191285</v>
      </c>
      <c r="S127" s="45" t="n">
        <v>1374071.477890388</v>
      </c>
      <c r="T127" s="45" t="n">
        <v>1222237.6081085</v>
      </c>
      <c r="U127" s="15" t="n">
        <v>12.42</v>
      </c>
      <c r="V127" s="15" t="n">
        <v>9.98</v>
      </c>
      <c r="W127" s="49" t="n">
        <v>88.95</v>
      </c>
    </row>
    <row r="128">
      <c r="A128" s="44" t="inlineStr">
        <is>
          <t>TL Cinsi Kuponsuz Senetler</t>
        </is>
      </c>
      <c r="B128" s="44" t="n">
        <v>2013</v>
      </c>
      <c r="C128" s="44" t="inlineStr">
        <is>
          <t>TRT191114T18</t>
        </is>
      </c>
      <c r="D128" s="44" t="inlineStr">
        <is>
          <t>nan</t>
        </is>
      </c>
      <c r="E128" s="44" t="inlineStr">
        <is>
          <t>nan</t>
        </is>
      </c>
      <c r="F128" s="44" t="n"/>
      <c r="G128" s="44" t="n"/>
      <c r="H128" s="15" t="n"/>
      <c r="I128" s="45" t="n">
        <v>1336300</v>
      </c>
      <c r="J128" s="45" t="n">
        <v>1232811.468</v>
      </c>
      <c r="K128" s="45" t="n">
        <v>326600</v>
      </c>
      <c r="L128" s="45" t="n">
        <v>301674.091</v>
      </c>
      <c r="M128" s="45" t="n">
        <v>0</v>
      </c>
      <c r="N128" s="45" t="n">
        <v>0</v>
      </c>
      <c r="O128" s="45" t="n">
        <v>292525.549974017</v>
      </c>
      <c r="P128" s="45" t="n">
        <v>270200</v>
      </c>
      <c r="Q128" s="45" t="n">
        <v>45202.238</v>
      </c>
      <c r="R128" s="45" t="n">
        <v>41752.40319583999</v>
      </c>
      <c r="S128" s="45" t="n">
        <v>664327.7879740171</v>
      </c>
      <c r="T128" s="45" t="n">
        <v>613626.49419584</v>
      </c>
      <c r="U128" s="15" t="n">
        <v>8.26</v>
      </c>
      <c r="V128" s="15" t="n">
        <v>7.65</v>
      </c>
      <c r="W128" s="49" t="n">
        <v>92.36799999999999</v>
      </c>
    </row>
    <row r="129">
      <c r="A129" s="44" t="inlineStr">
        <is>
          <t>TL Cinsi Kuponsuz Senetler</t>
        </is>
      </c>
      <c r="B129" s="44" t="n">
        <v>2013</v>
      </c>
      <c r="C129" s="44" t="inlineStr">
        <is>
          <t>TRT191114T18</t>
        </is>
      </c>
      <c r="D129" s="44" t="inlineStr">
        <is>
          <t>nan</t>
        </is>
      </c>
      <c r="E129" s="44" t="inlineStr">
        <is>
          <t>nan</t>
        </is>
      </c>
      <c r="F129" s="44" t="n"/>
      <c r="G129" s="44" t="n"/>
      <c r="H129" s="15" t="n"/>
      <c r="I129" s="45" t="n">
        <v>1303410.82</v>
      </c>
      <c r="J129" s="45" t="n">
        <v>1193544.55378</v>
      </c>
      <c r="K129" s="45" t="n">
        <v>495209.82</v>
      </c>
      <c r="L129" s="45" t="n">
        <v>454103.31699</v>
      </c>
      <c r="M129" s="45" t="n">
        <v>0</v>
      </c>
      <c r="N129" s="45" t="n">
        <v>0</v>
      </c>
      <c r="O129" s="45" t="n">
        <v>589292.14059041</v>
      </c>
      <c r="P129" s="45" t="n">
        <v>540375</v>
      </c>
      <c r="Q129" s="45" t="n">
        <v>87609.85799999999</v>
      </c>
      <c r="R129" s="45" t="n">
        <v>80337.36368741999</v>
      </c>
      <c r="S129" s="45" t="n">
        <v>1172111.81859041</v>
      </c>
      <c r="T129" s="45" t="n">
        <v>1074815.68067742</v>
      </c>
      <c r="U129" s="15" t="n">
        <v>9.050000000000001</v>
      </c>
      <c r="V129" s="15" t="n">
        <v>8.869999999999999</v>
      </c>
      <c r="W129" s="49" t="n">
        <v>91.699</v>
      </c>
    </row>
    <row r="130">
      <c r="A130" s="44" t="inlineStr">
        <is>
          <t>TL Cinsi Kuponsuz Senetler</t>
        </is>
      </c>
      <c r="B130" s="44" t="n">
        <v>2012</v>
      </c>
      <c r="C130" s="44" t="inlineStr">
        <is>
          <t>TRT200313T16</t>
        </is>
      </c>
      <c r="D130" s="44" t="inlineStr">
        <is>
          <t>nan</t>
        </is>
      </c>
      <c r="E130" s="44" t="inlineStr">
        <is>
          <t>nan</t>
        </is>
      </c>
      <c r="F130" s="44" t="n"/>
      <c r="G130" s="44" t="n"/>
      <c r="H130" s="15" t="n"/>
      <c r="I130" s="45" t="n">
        <v>6925649.684</v>
      </c>
      <c r="J130" s="45" t="n">
        <v>6122636.03854</v>
      </c>
      <c r="K130" s="45" t="n">
        <v>1890918.794</v>
      </c>
      <c r="L130" s="45" t="n">
        <v>1674083.6117</v>
      </c>
      <c r="M130" s="45" t="n">
        <v>406628.0370031514</v>
      </c>
      <c r="N130" s="45" t="n">
        <v>360000</v>
      </c>
      <c r="O130" s="45" t="n">
        <v>1893406.978188924</v>
      </c>
      <c r="P130" s="45" t="n">
        <v>1676290</v>
      </c>
      <c r="Q130" s="45" t="n">
        <v>359296.982</v>
      </c>
      <c r="R130" s="45" t="n">
        <v>318096.39707406</v>
      </c>
      <c r="S130" s="45" t="n">
        <v>4550250.791192075</v>
      </c>
      <c r="T130" s="45" t="n">
        <v>4028470.00877406</v>
      </c>
      <c r="U130" s="15" t="n">
        <v>12.9524703</v>
      </c>
      <c r="V130" s="15" t="n">
        <v>10.94083874444298</v>
      </c>
      <c r="W130" s="49" t="n">
        <v>88.533</v>
      </c>
    </row>
    <row r="131">
      <c r="A131" s="44" t="inlineStr">
        <is>
          <t>TL Cinsi Kuponsuz Senetler</t>
        </is>
      </c>
      <c r="B131" s="44" t="n">
        <v>2012</v>
      </c>
      <c r="C131" s="44" t="inlineStr">
        <is>
          <t>TRT200313T16</t>
        </is>
      </c>
      <c r="D131" s="44" t="inlineStr">
        <is>
          <t>nan</t>
        </is>
      </c>
      <c r="E131" s="44" t="inlineStr">
        <is>
          <t>nan</t>
        </is>
      </c>
      <c r="F131" s="44" t="n"/>
      <c r="G131" s="44" t="n"/>
      <c r="H131" s="15" t="n"/>
      <c r="I131" s="45" t="n">
        <v>3749649.138</v>
      </c>
      <c r="J131" s="45" t="n">
        <v>3395545.62038</v>
      </c>
      <c r="K131" s="45" t="n">
        <v>1086000</v>
      </c>
      <c r="L131" s="45" t="n">
        <v>984238.74</v>
      </c>
      <c r="M131" s="45" t="n">
        <v>1103387.3993159</v>
      </c>
      <c r="N131" s="45" t="n">
        <v>1000000</v>
      </c>
      <c r="O131" s="45" t="n">
        <v>642171.4664018536</v>
      </c>
      <c r="P131" s="45" t="n">
        <v>582000</v>
      </c>
      <c r="Q131" s="45" t="n">
        <v>226033.122</v>
      </c>
      <c r="R131" s="45" t="n">
        <v>204853.8184686</v>
      </c>
      <c r="S131" s="45" t="n">
        <v>3057591.987717753</v>
      </c>
      <c r="T131" s="45" t="n">
        <v>2771092.5584686</v>
      </c>
      <c r="U131" s="15" t="n">
        <v>10.34</v>
      </c>
      <c r="V131" s="15" t="n">
        <v>9.391725466863621</v>
      </c>
      <c r="W131" s="49" t="n">
        <v>90.63</v>
      </c>
    </row>
    <row r="132">
      <c r="A132" s="44" t="inlineStr">
        <is>
          <t>TL Cinsi Kuponsuz Senetler</t>
        </is>
      </c>
      <c r="B132" s="44" t="n">
        <v>2012</v>
      </c>
      <c r="C132" s="44" t="inlineStr">
        <is>
          <t>TRT200313T16</t>
        </is>
      </c>
      <c r="D132" s="44" t="inlineStr">
        <is>
          <t>nan</t>
        </is>
      </c>
      <c r="E132" s="44" t="inlineStr">
        <is>
          <t>nan</t>
        </is>
      </c>
      <c r="F132" s="44" t="n"/>
      <c r="G132" s="44" t="n"/>
      <c r="H132" s="15" t="n"/>
      <c r="I132" s="45" t="n">
        <v>1697908.44</v>
      </c>
      <c r="J132" s="45" t="n">
        <v>1557437.47575</v>
      </c>
      <c r="K132" s="45" t="n">
        <v>602343.4399999999</v>
      </c>
      <c r="L132" s="45" t="n">
        <v>552890.7983</v>
      </c>
      <c r="M132" s="45" t="n">
        <v>0</v>
      </c>
      <c r="N132" s="45" t="n">
        <v>0</v>
      </c>
      <c r="O132" s="45" t="n">
        <v>301993.681228892</v>
      </c>
      <c r="P132" s="45" t="n">
        <v>277200</v>
      </c>
      <c r="Q132" s="45" t="n">
        <v>112000.784</v>
      </c>
      <c r="R132" s="45" t="n">
        <v>102805.5196336</v>
      </c>
      <c r="S132" s="45" t="n">
        <v>1016337.905228892</v>
      </c>
      <c r="T132" s="45" t="n">
        <v>932896.3179336</v>
      </c>
      <c r="U132" s="15" t="n">
        <v>8.94</v>
      </c>
      <c r="V132" s="15" t="n">
        <v>9.936896875995217</v>
      </c>
      <c r="W132" s="49" t="n">
        <v>91.79000000000001</v>
      </c>
    </row>
    <row r="133">
      <c r="A133" s="44" t="inlineStr">
        <is>
          <t>TL Cinsi Kuponsuz Senetler</t>
        </is>
      </c>
      <c r="B133" s="44" t="n">
        <v>2012</v>
      </c>
      <c r="C133" s="44" t="inlineStr">
        <is>
          <t>TRT110913T11</t>
        </is>
      </c>
      <c r="D133" s="44" t="inlineStr">
        <is>
          <t>nan</t>
        </is>
      </c>
      <c r="E133" s="44" t="inlineStr">
        <is>
          <t>nan</t>
        </is>
      </c>
      <c r="F133" s="44" t="n"/>
      <c r="G133" s="44" t="n"/>
      <c r="H133" s="15" t="n"/>
      <c r="I133" s="45" t="n">
        <v>5129472</v>
      </c>
      <c r="J133" s="45" t="n">
        <v>4712536.71638</v>
      </c>
      <c r="K133" s="45" t="n">
        <v>2177500</v>
      </c>
      <c r="L133" s="45" t="n">
        <v>2002857.9406</v>
      </c>
      <c r="M133" s="45" t="n">
        <v>0</v>
      </c>
      <c r="N133" s="45" t="n">
        <v>0</v>
      </c>
      <c r="O133" s="45" t="n">
        <v>810746.9015003261</v>
      </c>
      <c r="P133" s="45" t="n">
        <v>745725</v>
      </c>
      <c r="Q133" s="45" t="n">
        <v>209059.188</v>
      </c>
      <c r="R133" s="45" t="n">
        <v>192292.6411224</v>
      </c>
      <c r="S133" s="45" t="n">
        <v>3197306.089500326</v>
      </c>
      <c r="T133" s="45" t="n">
        <v>2940875.5817224</v>
      </c>
      <c r="U133" s="15" t="n">
        <v>8.720000000000001</v>
      </c>
      <c r="V133" s="15" t="n">
        <v>8.072677695408647</v>
      </c>
      <c r="W133" s="49" t="n">
        <v>91.98</v>
      </c>
    </row>
    <row r="134">
      <c r="A134" s="44" t="inlineStr">
        <is>
          <t>TL Cinsi Kuponsuz Senetler</t>
        </is>
      </c>
      <c r="B134" s="44" t="n">
        <v>2012</v>
      </c>
      <c r="C134" s="44" t="inlineStr">
        <is>
          <t>TRT110913T11</t>
        </is>
      </c>
      <c r="D134" s="44" t="inlineStr">
        <is>
          <t>nan</t>
        </is>
      </c>
      <c r="E134" s="44" t="inlineStr">
        <is>
          <t>nan</t>
        </is>
      </c>
      <c r="F134" s="44" t="n"/>
      <c r="G134" s="44" t="n"/>
      <c r="H134" s="15" t="n"/>
      <c r="I134" s="45" t="n">
        <v>2404804.78</v>
      </c>
      <c r="J134" s="45" t="n">
        <v>2248194.77657</v>
      </c>
      <c r="K134" s="45" t="n">
        <v>953404.78</v>
      </c>
      <c r="L134" s="45" t="n">
        <v>891724.51957</v>
      </c>
      <c r="M134" s="45" t="n">
        <v>0</v>
      </c>
      <c r="N134" s="45" t="n">
        <v>0</v>
      </c>
      <c r="O134" s="45" t="n">
        <v>482406.9025242967</v>
      </c>
      <c r="P134" s="45" t="n">
        <v>451200</v>
      </c>
      <c r="Q134" s="45" t="n">
        <v>40402.39</v>
      </c>
      <c r="R134" s="45" t="n">
        <v>37788.7593909</v>
      </c>
      <c r="S134" s="45" t="n">
        <v>1476214.072524297</v>
      </c>
      <c r="T134" s="45" t="n">
        <v>1380713.2789609</v>
      </c>
      <c r="U134" s="15" t="n">
        <v>6.92</v>
      </c>
      <c r="V134" s="15" t="n">
        <v>7.206546994531693</v>
      </c>
      <c r="W134" s="49" t="n">
        <v>93.53100000000001</v>
      </c>
    </row>
    <row r="135">
      <c r="A135" s="44" t="inlineStr">
        <is>
          <t>TL Cinsi Kuponsuz Senetler</t>
        </is>
      </c>
      <c r="B135" s="44" t="n">
        <v>2012</v>
      </c>
      <c r="C135" s="44" t="inlineStr">
        <is>
          <t>TRT110913T11</t>
        </is>
      </c>
      <c r="D135" s="44" t="inlineStr">
        <is>
          <t>nan</t>
        </is>
      </c>
      <c r="E135" s="44" t="inlineStr">
        <is>
          <t>nan</t>
        </is>
      </c>
      <c r="F135" s="44" t="n"/>
      <c r="G135" s="44" t="n"/>
      <c r="H135" s="15" t="n"/>
      <c r="I135" s="45" t="n">
        <v>2560400</v>
      </c>
      <c r="J135" s="45" t="n">
        <v>2443061.459</v>
      </c>
      <c r="K135" s="45" t="n">
        <v>869500</v>
      </c>
      <c r="L135" s="45" t="n">
        <v>830164.475</v>
      </c>
      <c r="M135" s="45" t="n">
        <v>0</v>
      </c>
      <c r="N135" s="45" t="n">
        <v>0</v>
      </c>
      <c r="O135" s="45" t="n">
        <v>565979.9321295404</v>
      </c>
      <c r="P135" s="45" t="n">
        <v>540375</v>
      </c>
      <c r="Q135" s="45" t="n">
        <v>0</v>
      </c>
      <c r="R135" s="45" t="n">
        <v>0</v>
      </c>
      <c r="S135" s="45" t="n">
        <v>1435479.93212954</v>
      </c>
      <c r="T135" s="45" t="n">
        <v>1370539.475</v>
      </c>
      <c r="U135" s="15" t="n">
        <v>4.74</v>
      </c>
      <c r="V135" s="15" t="n">
        <v>5.901296402653178</v>
      </c>
      <c r="W135" s="49" t="n">
        <v>95.476</v>
      </c>
    </row>
    <row r="136">
      <c r="A136" s="44" t="inlineStr">
        <is>
          <t>TL Cinsi Kuponsuz Senetler</t>
        </is>
      </c>
      <c r="B136" s="44" t="n">
        <v>2011</v>
      </c>
      <c r="C136" s="44" t="inlineStr">
        <is>
          <t>TRT071112T14</t>
        </is>
      </c>
      <c r="D136" s="44" t="inlineStr">
        <is>
          <t>nan</t>
        </is>
      </c>
      <c r="E136" s="44" t="inlineStr">
        <is>
          <t>nan</t>
        </is>
      </c>
      <c r="F136" s="44" t="n"/>
      <c r="G136" s="44" t="n"/>
      <c r="H136" s="15" t="n"/>
      <c r="I136" s="45" t="n">
        <v>6342038.91</v>
      </c>
      <c r="J136" s="45" t="n">
        <v>5603340.77536</v>
      </c>
      <c r="K136" s="45" t="n">
        <v>3176900</v>
      </c>
      <c r="L136" s="45" t="n">
        <v>2808742.642</v>
      </c>
      <c r="M136" s="45" t="n">
        <v>1922837.655947789</v>
      </c>
      <c r="N136" s="45" t="n">
        <v>1700000</v>
      </c>
      <c r="O136" s="45" t="n">
        <v>2678399.746637862</v>
      </c>
      <c r="P136" s="45" t="n">
        <v>2368000</v>
      </c>
      <c r="Q136" s="45" t="n">
        <v>0</v>
      </c>
      <c r="R136" s="45" t="n">
        <v>0</v>
      </c>
      <c r="S136" s="45" t="n">
        <v>7778137.402585652</v>
      </c>
      <c r="T136" s="45" t="n">
        <v>6876742.642</v>
      </c>
      <c r="U136" s="15" t="n">
        <v>13.1075504</v>
      </c>
      <c r="V136" s="15" t="n">
        <v>6.98</v>
      </c>
      <c r="W136" s="49" t="n">
        <v>88.411</v>
      </c>
    </row>
    <row r="137">
      <c r="A137" s="44" t="inlineStr">
        <is>
          <t>TL Cinsi Kuponsuz Senetler</t>
        </is>
      </c>
      <c r="B137" s="44" t="n">
        <v>2011</v>
      </c>
      <c r="C137" s="44" t="inlineStr">
        <is>
          <t>TRT140312T15</t>
        </is>
      </c>
      <c r="D137" s="44" t="inlineStr">
        <is>
          <t>nan</t>
        </is>
      </c>
      <c r="E137" s="44" t="inlineStr">
        <is>
          <t>nan</t>
        </is>
      </c>
      <c r="F137" s="44" t="n"/>
      <c r="G137" s="44" t="n"/>
      <c r="H137" s="15" t="n"/>
      <c r="I137" s="45" t="n">
        <v>2775688.875</v>
      </c>
      <c r="J137" s="45" t="n">
        <v>2555415.00637</v>
      </c>
      <c r="K137" s="45" t="n">
        <v>1959688.875</v>
      </c>
      <c r="L137" s="45" t="n">
        <v>1804833.24637</v>
      </c>
      <c r="M137" s="45" t="n">
        <v>0</v>
      </c>
      <c r="N137" s="45" t="n">
        <v>0</v>
      </c>
      <c r="O137" s="45" t="n">
        <v>334448.0879063606</v>
      </c>
      <c r="P137" s="45" t="n">
        <v>308020</v>
      </c>
      <c r="Q137" s="45" t="n">
        <v>79955.65399999999</v>
      </c>
      <c r="R137" s="45" t="n">
        <v>73637.55822091999</v>
      </c>
      <c r="S137" s="45" t="n">
        <v>2374092.616906361</v>
      </c>
      <c r="T137" s="45" t="n">
        <v>2186490.80459092</v>
      </c>
      <c r="U137" s="15" t="n">
        <v>8.580051900000001</v>
      </c>
      <c r="V137" s="15" t="n">
        <v>7.39</v>
      </c>
      <c r="W137" s="49" t="n">
        <v>92.098</v>
      </c>
    </row>
    <row r="138">
      <c r="A138" s="44" t="inlineStr">
        <is>
          <t>TL Cinsi Kuponsuz Senetler</t>
        </is>
      </c>
      <c r="B138" s="44" t="n">
        <v>2011</v>
      </c>
      <c r="C138" s="44" t="inlineStr">
        <is>
          <t>TRT071112T14</t>
        </is>
      </c>
      <c r="D138" s="44" t="inlineStr">
        <is>
          <t>nan</t>
        </is>
      </c>
      <c r="E138" s="44" t="inlineStr">
        <is>
          <t>nan</t>
        </is>
      </c>
      <c r="F138" s="44" t="n"/>
      <c r="G138" s="44" t="n"/>
      <c r="H138" s="15" t="n"/>
      <c r="I138" s="45" t="n">
        <v>7016395.315</v>
      </c>
      <c r="J138" s="45" t="n">
        <v>6096785.767</v>
      </c>
      <c r="K138" s="45" t="n">
        <v>2706578.335</v>
      </c>
      <c r="L138" s="45" t="n">
        <v>2358068.92694</v>
      </c>
      <c r="M138" s="45" t="n">
        <v>1606905.100775906</v>
      </c>
      <c r="N138" s="45" t="n">
        <v>1400000</v>
      </c>
      <c r="O138" s="45" t="n">
        <v>1981084.431385152</v>
      </c>
      <c r="P138" s="45" t="n">
        <v>1726000</v>
      </c>
      <c r="Q138" s="45" t="n">
        <v>578996.464</v>
      </c>
      <c r="R138" s="45" t="n">
        <v>504444.87929536</v>
      </c>
      <c r="S138" s="45" t="n">
        <v>6873564.331161058</v>
      </c>
      <c r="T138" s="45" t="n">
        <v>5988513.80623536</v>
      </c>
      <c r="U138" s="15" t="n">
        <v>14.7794411</v>
      </c>
      <c r="V138" s="15" t="n">
        <v>8.1</v>
      </c>
      <c r="W138" s="49" t="n">
        <v>87.124</v>
      </c>
    </row>
    <row r="139">
      <c r="A139" s="44" t="inlineStr">
        <is>
          <t>TL Cinsi Kuponsuz Senetler</t>
        </is>
      </c>
      <c r="B139" s="44" t="n">
        <v>2011</v>
      </c>
      <c r="C139" s="44" t="inlineStr">
        <is>
          <t>TRB070911T19</t>
        </is>
      </c>
      <c r="D139" s="44" t="inlineStr">
        <is>
          <t>nan</t>
        </is>
      </c>
      <c r="E139" s="44" t="inlineStr">
        <is>
          <t>nan</t>
        </is>
      </c>
      <c r="F139" s="44" t="n"/>
      <c r="G139" s="44" t="n"/>
      <c r="H139" s="15" t="n"/>
      <c r="I139" s="45" t="n">
        <v>1550915.185</v>
      </c>
      <c r="J139" s="45" t="n">
        <v>1489795.17273</v>
      </c>
      <c r="K139" s="45" t="n">
        <v>754426.08</v>
      </c>
      <c r="L139" s="45" t="n">
        <v>724999.99956</v>
      </c>
      <c r="M139" s="45" t="n">
        <v>0</v>
      </c>
      <c r="N139" s="45" t="n">
        <v>0</v>
      </c>
      <c r="O139" s="45" t="n">
        <v>0</v>
      </c>
      <c r="P139" s="45" t="n">
        <v>0</v>
      </c>
      <c r="Q139" s="45" t="n">
        <v>0</v>
      </c>
      <c r="R139" s="45" t="n">
        <v>0</v>
      </c>
      <c r="S139" s="45" t="n">
        <v>754426.08</v>
      </c>
      <c r="T139" s="45" t="n">
        <v>724999.99956</v>
      </c>
      <c r="U139" s="15" t="n">
        <v>4.0587697</v>
      </c>
      <c r="V139" s="15" t="n">
        <v>8.279999999999999</v>
      </c>
      <c r="W139" s="49" t="n">
        <v>96.09999999999999</v>
      </c>
    </row>
    <row r="140">
      <c r="A140" s="44" t="inlineStr">
        <is>
          <t>TL Cinsi Kuponsuz Senetler</t>
        </is>
      </c>
      <c r="B140" s="44" t="n">
        <v>2011</v>
      </c>
      <c r="C140" s="44" t="inlineStr">
        <is>
          <t>TRT071112T14</t>
        </is>
      </c>
      <c r="D140" s="44" t="inlineStr">
        <is>
          <t>nan</t>
        </is>
      </c>
      <c r="E140" s="44" t="inlineStr">
        <is>
          <t>nan</t>
        </is>
      </c>
      <c r="F140" s="44" t="n"/>
      <c r="G140" s="44" t="n"/>
      <c r="H140" s="15" t="n"/>
      <c r="I140" s="45" t="n">
        <v>3372659.953</v>
      </c>
      <c r="J140" s="45" t="n">
        <v>2917840.30334</v>
      </c>
      <c r="K140" s="45" t="n">
        <v>2345235.603</v>
      </c>
      <c r="L140" s="45" t="n">
        <v>2029965.47278</v>
      </c>
      <c r="M140" s="45" t="n">
        <v>479452.846101413</v>
      </c>
      <c r="N140" s="45" t="n">
        <v>415000</v>
      </c>
      <c r="O140" s="45" t="n">
        <v>475237.1269799092</v>
      </c>
      <c r="P140" s="45" t="n">
        <v>411351</v>
      </c>
      <c r="Q140" s="45" t="n">
        <v>346018.069</v>
      </c>
      <c r="R140" s="45" t="n">
        <v>299502.85998433</v>
      </c>
      <c r="S140" s="45" t="n">
        <v>3645943.645081323</v>
      </c>
      <c r="T140" s="45" t="n">
        <v>3155819.33276433</v>
      </c>
      <c r="U140" s="15" t="n">
        <v>15.5308124</v>
      </c>
      <c r="V140" s="15" t="n">
        <v>9.01</v>
      </c>
      <c r="W140" s="49" t="n">
        <v>86.557</v>
      </c>
    </row>
    <row r="141">
      <c r="A141" s="44" t="inlineStr">
        <is>
          <t>TL Cinsi Kuponsuz Senetler</t>
        </is>
      </c>
      <c r="B141" s="44" t="n">
        <v>2011</v>
      </c>
      <c r="C141" s="44" t="inlineStr">
        <is>
          <t>TRT200213T25</t>
        </is>
      </c>
      <c r="D141" s="44" t="inlineStr">
        <is>
          <t>nan</t>
        </is>
      </c>
      <c r="E141" s="44" t="inlineStr">
        <is>
          <t>nan</t>
        </is>
      </c>
      <c r="F141" s="44" t="n"/>
      <c r="G141" s="44" t="n"/>
      <c r="H141" s="15" t="n"/>
      <c r="I141" s="45" t="n">
        <v>5866801.56</v>
      </c>
      <c r="J141" s="45" t="n">
        <v>5000484.53641</v>
      </c>
      <c r="K141" s="45" t="n">
        <v>1873363.085</v>
      </c>
      <c r="L141" s="45" t="n">
        <v>1598588.26004</v>
      </c>
      <c r="M141" s="45" t="n">
        <v>1458990.074179977</v>
      </c>
      <c r="N141" s="45" t="n">
        <v>1245000</v>
      </c>
      <c r="O141" s="45" t="n">
        <v>777576.6526431744</v>
      </c>
      <c r="P141" s="45" t="n">
        <v>663529.485</v>
      </c>
      <c r="Q141" s="45" t="n">
        <v>440177.351</v>
      </c>
      <c r="R141" s="45" t="n">
        <v>375616.53892883</v>
      </c>
      <c r="S141" s="45" t="n">
        <v>4550107.162823152</v>
      </c>
      <c r="T141" s="45" t="n">
        <v>3882734.28396883</v>
      </c>
      <c r="U141" s="15" t="n">
        <v>17.1885927</v>
      </c>
      <c r="V141" s="15" t="n">
        <v>8.880000000000001</v>
      </c>
      <c r="W141" s="49" t="n">
        <v>85.333</v>
      </c>
    </row>
    <row r="142">
      <c r="A142" s="44" t="inlineStr">
        <is>
          <t>TL Cinsi Kuponsuz Senetler</t>
        </is>
      </c>
      <c r="B142" s="44" t="n">
        <v>2011</v>
      </c>
      <c r="C142" s="44" t="inlineStr">
        <is>
          <t>TRT200213T25</t>
        </is>
      </c>
      <c r="D142" s="44" t="inlineStr">
        <is>
          <t>nan</t>
        </is>
      </c>
      <c r="E142" s="44" t="inlineStr">
        <is>
          <t>nan</t>
        </is>
      </c>
      <c r="F142" s="44" t="n"/>
      <c r="G142" s="44" t="n"/>
      <c r="H142" s="15" t="n"/>
      <c r="I142" s="45" t="n">
        <v>3334059.561</v>
      </c>
      <c r="J142" s="45" t="n">
        <v>2889671.91699</v>
      </c>
      <c r="K142" s="45" t="n">
        <v>1898879.775</v>
      </c>
      <c r="L142" s="45" t="n">
        <v>1646447.83479</v>
      </c>
      <c r="M142" s="45" t="n">
        <v>1689617.788849676</v>
      </c>
      <c r="N142" s="45" t="n">
        <v>1465000</v>
      </c>
      <c r="O142" s="45" t="n">
        <v>865222.7066177657</v>
      </c>
      <c r="P142" s="45" t="n">
        <v>750200</v>
      </c>
      <c r="Q142" s="45" t="n">
        <v>0</v>
      </c>
      <c r="R142" s="45" t="n">
        <v>0</v>
      </c>
      <c r="S142" s="45" t="n">
        <v>4453720.270467442</v>
      </c>
      <c r="T142" s="45" t="n">
        <v>3861647.83479</v>
      </c>
      <c r="U142" s="15" t="n">
        <v>15.3319124</v>
      </c>
      <c r="V142" s="15" t="n">
        <v>8.300000000000001</v>
      </c>
      <c r="W142" s="49" t="n">
        <v>86.706</v>
      </c>
    </row>
    <row r="143">
      <c r="A143" s="44" t="inlineStr">
        <is>
          <t>TL Cinsi Kuponsuz Senetler</t>
        </is>
      </c>
      <c r="B143" s="44" t="n">
        <v>2011</v>
      </c>
      <c r="C143" s="44" t="inlineStr">
        <is>
          <t>TRT200213T25</t>
        </is>
      </c>
      <c r="D143" s="44" t="inlineStr">
        <is>
          <t>nan</t>
        </is>
      </c>
      <c r="E143" s="44" t="inlineStr">
        <is>
          <t>nan</t>
        </is>
      </c>
      <c r="F143" s="44" t="n"/>
      <c r="G143" s="44" t="n"/>
      <c r="H143" s="15" t="n"/>
      <c r="I143" s="45" t="n">
        <v>4788791.688</v>
      </c>
      <c r="J143" s="45" t="n">
        <v>4128414.3871</v>
      </c>
      <c r="K143" s="45" t="n">
        <v>1095172.463</v>
      </c>
      <c r="L143" s="45" t="n">
        <v>945629.5996899999</v>
      </c>
      <c r="M143" s="45" t="n">
        <v>1326075.626000348</v>
      </c>
      <c r="N143" s="45" t="n">
        <v>1144999.99927</v>
      </c>
      <c r="O143" s="45" t="n">
        <v>683467.4850888876</v>
      </c>
      <c r="P143" s="45" t="n">
        <v>590140</v>
      </c>
      <c r="Q143" s="45" t="n">
        <v>140000.602</v>
      </c>
      <c r="R143" s="45" t="n">
        <v>120883.0535339</v>
      </c>
      <c r="S143" s="45" t="n">
        <v>3244715.636089235</v>
      </c>
      <c r="T143" s="45" t="n">
        <v>2801652.6524939</v>
      </c>
      <c r="U143" s="15" t="n">
        <v>15.8141056</v>
      </c>
      <c r="V143" s="15" t="n">
        <v>8.946685989424319</v>
      </c>
      <c r="W143" s="49" t="n">
        <v>86.345</v>
      </c>
    </row>
    <row r="144">
      <c r="A144" s="44" t="inlineStr">
        <is>
          <t>TL Cinsi Kuponsuz Senetler</t>
        </is>
      </c>
      <c r="B144" s="44" t="n">
        <v>2011</v>
      </c>
      <c r="C144" s="44" t="inlineStr">
        <is>
          <t>TRT150513T11</t>
        </is>
      </c>
      <c r="D144" s="44" t="inlineStr">
        <is>
          <t>nan</t>
        </is>
      </c>
      <c r="E144" s="44" t="inlineStr">
        <is>
          <t>nan</t>
        </is>
      </c>
      <c r="F144" s="44" t="n"/>
      <c r="G144" s="44" t="n"/>
      <c r="H144" s="15" t="n"/>
      <c r="I144" s="45" t="n">
        <v>5783637.57</v>
      </c>
      <c r="J144" s="45" t="n">
        <v>4951949.88729</v>
      </c>
      <c r="K144" s="45" t="n">
        <v>1590400</v>
      </c>
      <c r="L144" s="45" t="n">
        <v>1363020.386</v>
      </c>
      <c r="M144" s="45" t="n">
        <v>723428.5847636606</v>
      </c>
      <c r="N144" s="45" t="n">
        <v>620000</v>
      </c>
      <c r="O144" s="45" t="n">
        <v>958163.6582149983</v>
      </c>
      <c r="P144" s="45" t="n">
        <v>821175</v>
      </c>
      <c r="Q144" s="45" t="n">
        <v>275362.998</v>
      </c>
      <c r="R144" s="45" t="n">
        <v>235994.35017594</v>
      </c>
      <c r="S144" s="45" t="n">
        <v>3547355.240978659</v>
      </c>
      <c r="T144" s="45" t="n">
        <v>3040189.73617594</v>
      </c>
      <c r="U144" s="15" t="n">
        <v>16.6820406</v>
      </c>
      <c r="V144" s="15" t="n">
        <v>8.81177185776345</v>
      </c>
      <c r="W144" s="49" t="n">
        <v>85.703</v>
      </c>
    </row>
    <row r="145">
      <c r="A145" s="44" t="inlineStr">
        <is>
          <t>TL Cinsi Kuponsuz Senetler</t>
        </is>
      </c>
      <c r="B145" s="44" t="n">
        <v>2011</v>
      </c>
      <c r="C145" s="44" t="inlineStr">
        <is>
          <t>TRT150513T11</t>
        </is>
      </c>
      <c r="D145" s="44" t="inlineStr">
        <is>
          <t>nan</t>
        </is>
      </c>
      <c r="E145" s="44" t="inlineStr">
        <is>
          <t>nan</t>
        </is>
      </c>
      <c r="F145" s="44" t="n"/>
      <c r="G145" s="44" t="n"/>
      <c r="H145" s="15" t="n"/>
      <c r="I145" s="45" t="n">
        <v>5880121.515</v>
      </c>
      <c r="J145" s="45" t="n">
        <v>5061319.96286</v>
      </c>
      <c r="K145" s="45" t="n">
        <v>4150000</v>
      </c>
      <c r="L145" s="45" t="n">
        <v>3573361.11</v>
      </c>
      <c r="M145" s="45" t="n">
        <v>203240.229951803</v>
      </c>
      <c r="N145" s="45" t="n">
        <v>175000</v>
      </c>
      <c r="O145" s="45" t="n">
        <v>2457316.648278265</v>
      </c>
      <c r="P145" s="45" t="n">
        <v>2115872.5</v>
      </c>
      <c r="Q145" s="45" t="n">
        <v>720211.914</v>
      </c>
      <c r="R145" s="45" t="n">
        <v>620138.4685497</v>
      </c>
      <c r="S145" s="45" t="n">
        <v>7530768.792230067</v>
      </c>
      <c r="T145" s="45" t="n">
        <v>6484372.0785497</v>
      </c>
      <c r="U145" s="15" t="n">
        <v>16.1371569</v>
      </c>
      <c r="V145" s="15" t="n">
        <v>8.734639724822447</v>
      </c>
      <c r="W145" s="49" t="n">
        <v>86.105</v>
      </c>
    </row>
    <row r="146">
      <c r="A146" s="44" t="inlineStr">
        <is>
          <t>TL Cinsi Kuponsuz Senetler</t>
        </is>
      </c>
      <c r="B146" s="44" t="n">
        <v>2011</v>
      </c>
      <c r="C146" s="44" t="inlineStr">
        <is>
          <t>TRT150513T11</t>
        </is>
      </c>
      <c r="D146" s="44" t="inlineStr">
        <is>
          <t>nan</t>
        </is>
      </c>
      <c r="E146" s="44" t="inlineStr">
        <is>
          <t>nan</t>
        </is>
      </c>
      <c r="F146" s="44" t="n"/>
      <c r="G146" s="44" t="n"/>
      <c r="H146" s="15" t="n"/>
      <c r="I146" s="45" t="n">
        <v>2065113</v>
      </c>
      <c r="J146" s="45" t="n">
        <v>1820957.20221</v>
      </c>
      <c r="K146" s="45" t="n">
        <v>1719613</v>
      </c>
      <c r="L146" s="45" t="n">
        <v>1516852.96721</v>
      </c>
      <c r="M146" s="45" t="n">
        <v>646192.5653844846</v>
      </c>
      <c r="N146" s="45" t="n">
        <v>570000</v>
      </c>
      <c r="O146" s="45" t="n">
        <v>1542699.724517906</v>
      </c>
      <c r="P146" s="45" t="n">
        <v>1360800</v>
      </c>
      <c r="Q146" s="45" t="n">
        <v>0</v>
      </c>
      <c r="R146" s="45" t="n">
        <v>0</v>
      </c>
      <c r="S146" s="45" t="n">
        <v>3908505.289902391</v>
      </c>
      <c r="T146" s="45" t="n">
        <v>3447652.96721</v>
      </c>
      <c r="U146" s="15" t="n">
        <v>13.3671514</v>
      </c>
      <c r="V146" s="15" t="n">
        <v>7.695362396392413</v>
      </c>
      <c r="W146" s="49" t="n">
        <v>88.209</v>
      </c>
    </row>
    <row r="147">
      <c r="A147" s="44" t="inlineStr">
        <is>
          <t>TL Cinsi Kuponsuz Senetler</t>
        </is>
      </c>
      <c r="B147" s="44" t="n">
        <v>2011</v>
      </c>
      <c r="C147" s="44" t="inlineStr">
        <is>
          <t>TRT170713T17</t>
        </is>
      </c>
      <c r="D147" s="44" t="inlineStr">
        <is>
          <t>nan</t>
        </is>
      </c>
      <c r="E147" s="44" t="inlineStr">
        <is>
          <t>nan</t>
        </is>
      </c>
      <c r="F147" s="44" t="n"/>
      <c r="G147" s="44" t="n"/>
      <c r="H147" s="15" t="n"/>
      <c r="I147" s="45" t="n">
        <v>4864789.54</v>
      </c>
      <c r="J147" s="45" t="n">
        <v>4220859.62853</v>
      </c>
      <c r="K147" s="45" t="n">
        <v>2174368</v>
      </c>
      <c r="L147" s="45" t="n">
        <v>1887849.0348</v>
      </c>
      <c r="M147" s="45" t="n">
        <v>446886.1937505039</v>
      </c>
      <c r="N147" s="45" t="n">
        <v>388000</v>
      </c>
      <c r="O147" s="45" t="n">
        <v>838861.822328185</v>
      </c>
      <c r="P147" s="45" t="n">
        <v>728325</v>
      </c>
      <c r="Q147" s="45" t="n">
        <v>20000</v>
      </c>
      <c r="R147" s="45" t="n">
        <v>17364.6</v>
      </c>
      <c r="S147" s="45" t="n">
        <v>3480116.016078689</v>
      </c>
      <c r="T147" s="45" t="n">
        <v>3021538.6348</v>
      </c>
      <c r="U147" s="15" t="n">
        <v>15.1770062</v>
      </c>
      <c r="V147" s="15" t="n">
        <v>8.324103460177936</v>
      </c>
      <c r="W147" s="49" t="n">
        <v>86.82299999999999</v>
      </c>
    </row>
    <row r="148">
      <c r="A148" s="44" t="inlineStr">
        <is>
          <t>TL Cinsi Kuponsuz Senetler</t>
        </is>
      </c>
      <c r="B148" s="44" t="n">
        <v>2011</v>
      </c>
      <c r="C148" s="44" t="inlineStr">
        <is>
          <t>TRT170713T17</t>
        </is>
      </c>
      <c r="D148" s="44" t="inlineStr">
        <is>
          <t>nan</t>
        </is>
      </c>
      <c r="E148" s="44" t="inlineStr">
        <is>
          <t>nan</t>
        </is>
      </c>
      <c r="F148" s="44" t="n"/>
      <c r="G148" s="44" t="n"/>
      <c r="H148" s="15" t="n"/>
      <c r="I148" s="45" t="n">
        <v>3377201.272</v>
      </c>
      <c r="J148" s="45" t="n">
        <v>2851971.90125</v>
      </c>
      <c r="K148" s="45" t="n">
        <v>2685129.77</v>
      </c>
      <c r="L148" s="45" t="n">
        <v>2268985.30407</v>
      </c>
      <c r="M148" s="45" t="n">
        <v>591701.9715509693</v>
      </c>
      <c r="N148" s="45" t="n">
        <v>500000</v>
      </c>
      <c r="O148" s="45" t="n">
        <v>2011310.383186197</v>
      </c>
      <c r="P148" s="45" t="n">
        <v>1699597.5</v>
      </c>
      <c r="Q148" s="45" t="n">
        <v>485805.176</v>
      </c>
      <c r="R148" s="45" t="n">
        <v>410515.08982352</v>
      </c>
      <c r="S148" s="45" t="n">
        <v>5773947.300737166</v>
      </c>
      <c r="T148" s="45" t="n">
        <v>4879097.893893519</v>
      </c>
      <c r="U148" s="15" t="n">
        <v>18.3405536</v>
      </c>
      <c r="V148" s="15" t="n">
        <v>10.58902642300144</v>
      </c>
      <c r="W148" s="49" t="n">
        <v>84.502</v>
      </c>
    </row>
    <row r="149">
      <c r="A149" s="44" t="inlineStr">
        <is>
          <t>TL Cinsi Kuponsuz Senetler</t>
        </is>
      </c>
      <c r="B149" s="44" t="n">
        <v>2010</v>
      </c>
      <c r="C149" s="44" t="inlineStr">
        <is>
          <t>TRB140710T13</t>
        </is>
      </c>
      <c r="D149" s="44" t="inlineStr">
        <is>
          <t>nan</t>
        </is>
      </c>
      <c r="E149" s="44" t="inlineStr">
        <is>
          <t>nan</t>
        </is>
      </c>
      <c r="F149" s="44" t="n"/>
      <c r="G149" s="44" t="n"/>
      <c r="H149" s="15" t="n"/>
      <c r="I149" s="45" t="n">
        <v>6832509.555</v>
      </c>
      <c r="J149" s="45" t="n">
        <v>6590496.12435</v>
      </c>
      <c r="K149" s="45" t="n">
        <v>3024543.493</v>
      </c>
      <c r="L149" s="45" t="n">
        <v>2919000</v>
      </c>
      <c r="M149" s="45" t="n">
        <v>0</v>
      </c>
      <c r="N149" s="45" t="n">
        <v>0</v>
      </c>
      <c r="O149" s="45" t="n">
        <v>0</v>
      </c>
      <c r="P149" s="45" t="n">
        <v>0</v>
      </c>
      <c r="Q149" s="45" t="n">
        <v>0</v>
      </c>
      <c r="R149" s="45" t="n">
        <v>0</v>
      </c>
      <c r="S149" s="45" t="n">
        <v>3024543.493</v>
      </c>
      <c r="T149" s="45" t="n">
        <v>2919000</v>
      </c>
      <c r="U149" s="15" t="n">
        <v>3.6157415</v>
      </c>
      <c r="V149" s="15" t="n">
        <v>7.361218865948211</v>
      </c>
      <c r="W149" s="49" t="n">
        <v>96.51000000000001</v>
      </c>
    </row>
    <row r="150">
      <c r="A150" s="44" t="inlineStr">
        <is>
          <t>TL Cinsi Kuponsuz Senetler</t>
        </is>
      </c>
      <c r="B150" s="44" t="n">
        <v>2010</v>
      </c>
      <c r="C150" s="44" t="inlineStr">
        <is>
          <t>TRT130411T16</t>
        </is>
      </c>
      <c r="D150" s="44" t="inlineStr">
        <is>
          <t>nan</t>
        </is>
      </c>
      <c r="E150" s="44" t="inlineStr">
        <is>
          <t>nan</t>
        </is>
      </c>
      <c r="F150" s="44" t="n"/>
      <c r="G150" s="44" t="n"/>
      <c r="H150" s="15" t="n"/>
      <c r="I150" s="45" t="n">
        <v>5161202.2</v>
      </c>
      <c r="J150" s="45" t="n">
        <v>4681852.223264</v>
      </c>
      <c r="K150" s="45" t="n">
        <v>1550000</v>
      </c>
      <c r="L150" s="45" t="n">
        <v>1407803.5</v>
      </c>
      <c r="M150" s="45" t="n">
        <v>0</v>
      </c>
      <c r="N150" s="45" t="n">
        <v>0</v>
      </c>
      <c r="O150" s="45" t="n">
        <v>899824.9399951557</v>
      </c>
      <c r="P150" s="45" t="n">
        <v>817275</v>
      </c>
      <c r="Q150" s="45" t="n">
        <v>200000</v>
      </c>
      <c r="R150" s="45" t="n">
        <v>181652</v>
      </c>
      <c r="S150" s="45" t="n">
        <v>2649824.939995156</v>
      </c>
      <c r="T150" s="45" t="n">
        <v>2406730.5</v>
      </c>
      <c r="U150" s="15" t="n">
        <v>10.1005929</v>
      </c>
      <c r="V150" s="15" t="n">
        <v>8.130965424470567</v>
      </c>
      <c r="W150" s="49" t="n">
        <v>90.82599999999999</v>
      </c>
    </row>
    <row r="151">
      <c r="A151" s="44" t="inlineStr">
        <is>
          <t>TL Cinsi Kuponsuz Senetler</t>
        </is>
      </c>
      <c r="B151" s="44" t="n">
        <v>2010</v>
      </c>
      <c r="C151" s="44" t="inlineStr">
        <is>
          <t>TRT161111T14</t>
        </is>
      </c>
      <c r="D151" s="44" t="inlineStr">
        <is>
          <t>nan</t>
        </is>
      </c>
      <c r="E151" s="44" t="inlineStr">
        <is>
          <t>nan</t>
        </is>
      </c>
      <c r="F151" s="44" t="n"/>
      <c r="G151" s="44" t="n"/>
      <c r="H151" s="15" t="n"/>
      <c r="I151" s="45" t="n">
        <v>4030197.455</v>
      </c>
      <c r="J151" s="45" t="n">
        <v>3470350.66135</v>
      </c>
      <c r="K151" s="45" t="n">
        <v>1865697.455</v>
      </c>
      <c r="L151" s="45" t="n">
        <v>1608383.33335</v>
      </c>
      <c r="M151" s="45" t="n">
        <v>231997.0304380104</v>
      </c>
      <c r="N151" s="45" t="n">
        <v>200000</v>
      </c>
      <c r="O151" s="45" t="n">
        <v>1421967.798812175</v>
      </c>
      <c r="P151" s="45" t="n">
        <v>1225850</v>
      </c>
      <c r="Q151" s="45" t="n">
        <v>0</v>
      </c>
      <c r="R151" s="45" t="n">
        <v>0</v>
      </c>
      <c r="S151" s="45" t="n">
        <v>3519662.284250186</v>
      </c>
      <c r="T151" s="45" t="n">
        <v>3034233.33335</v>
      </c>
      <c r="U151" s="15" t="n">
        <v>15.9983081</v>
      </c>
      <c r="V151" s="15" t="n">
        <v>8.461297729264702</v>
      </c>
      <c r="W151" s="49" t="n">
        <v>86.208</v>
      </c>
    </row>
    <row r="152">
      <c r="A152" s="44" t="inlineStr">
        <is>
          <t>TL Cinsi Kuponsuz Senetler</t>
        </is>
      </c>
      <c r="B152" s="44" t="n">
        <v>2010</v>
      </c>
      <c r="C152" s="44" t="inlineStr">
        <is>
          <t>TRT130411T16</t>
        </is>
      </c>
      <c r="D152" s="44" t="inlineStr">
        <is>
          <t>nan</t>
        </is>
      </c>
      <c r="E152" s="44" t="inlineStr">
        <is>
          <t>nan</t>
        </is>
      </c>
      <c r="F152" s="44" t="n"/>
      <c r="G152" s="44" t="n"/>
      <c r="H152" s="15" t="n"/>
      <c r="I152" s="45" t="n">
        <v>2983106.65</v>
      </c>
      <c r="J152" s="45" t="n">
        <v>2721063.7899</v>
      </c>
      <c r="K152" s="45" t="n">
        <v>924509.5</v>
      </c>
      <c r="L152" s="45" t="n">
        <v>843683.50674</v>
      </c>
      <c r="M152" s="45" t="n">
        <v>1314967.618922384</v>
      </c>
      <c r="N152" s="45" t="n">
        <v>1200000</v>
      </c>
      <c r="O152" s="45" t="n">
        <v>1198866.936235029</v>
      </c>
      <c r="P152" s="45" t="n">
        <v>1094050</v>
      </c>
      <c r="Q152" s="45" t="n">
        <v>202037.257</v>
      </c>
      <c r="R152" s="45" t="n">
        <v>184373.13962049</v>
      </c>
      <c r="S152" s="45" t="n">
        <v>3640381.312157413</v>
      </c>
      <c r="T152" s="45" t="n">
        <v>3322106.64636049</v>
      </c>
      <c r="U152" s="15" t="n">
        <v>9.580132000000001</v>
      </c>
      <c r="V152" s="15" t="n">
        <v>8.109965914299851</v>
      </c>
      <c r="W152" s="49" t="n">
        <v>91.25700000000001</v>
      </c>
    </row>
    <row r="153">
      <c r="A153" s="44" t="inlineStr">
        <is>
          <t>TL Cinsi Kuponsuz Senetler</t>
        </is>
      </c>
      <c r="B153" s="44" t="n">
        <v>2010</v>
      </c>
      <c r="C153" s="44" t="inlineStr">
        <is>
          <t>TRB180810T18</t>
        </is>
      </c>
      <c r="D153" s="44" t="inlineStr">
        <is>
          <t>nan</t>
        </is>
      </c>
      <c r="E153" s="44" t="inlineStr">
        <is>
          <t>nan</t>
        </is>
      </c>
      <c r="F153" s="44" t="n"/>
      <c r="G153" s="44" t="n"/>
      <c r="H153" s="15" t="n"/>
      <c r="I153" s="45" t="n">
        <v>4540143.094</v>
      </c>
      <c r="J153" s="45" t="n">
        <v>4383605.20151</v>
      </c>
      <c r="K153" s="45" t="n">
        <v>3174504.944</v>
      </c>
      <c r="L153" s="45" t="n">
        <v>3065999.99898</v>
      </c>
      <c r="M153" s="45" t="n">
        <v>0</v>
      </c>
      <c r="N153" s="45" t="n">
        <v>0</v>
      </c>
      <c r="O153" s="45" t="n">
        <v>0</v>
      </c>
      <c r="P153" s="45" t="n">
        <v>0</v>
      </c>
      <c r="Q153" s="45" t="n">
        <v>0</v>
      </c>
      <c r="R153" s="45" t="n">
        <v>0</v>
      </c>
      <c r="S153" s="45" t="n">
        <v>3174504.944</v>
      </c>
      <c r="T153" s="45" t="n">
        <v>3065999.99898</v>
      </c>
      <c r="U153" s="15" t="n">
        <v>3.5389741</v>
      </c>
      <c r="V153" s="15" t="n">
        <v>7.203191576804691</v>
      </c>
      <c r="W153" s="49" t="n">
        <v>96.58199999999999</v>
      </c>
    </row>
    <row r="154">
      <c r="A154" s="44" t="inlineStr">
        <is>
          <t>TL Cinsi Kuponsuz Senetler</t>
        </is>
      </c>
      <c r="B154" s="44" t="n">
        <v>2010</v>
      </c>
      <c r="C154" s="44" t="inlineStr">
        <is>
          <t>TRT161111T14</t>
        </is>
      </c>
      <c r="D154" s="44" t="inlineStr">
        <is>
          <t>nan</t>
        </is>
      </c>
      <c r="E154" s="44" t="inlineStr">
        <is>
          <t>nan</t>
        </is>
      </c>
      <c r="F154" s="44" t="n"/>
      <c r="G154" s="44" t="n"/>
      <c r="H154" s="15" t="n"/>
      <c r="I154" s="45" t="n">
        <v>2049356.24</v>
      </c>
      <c r="J154" s="45" t="n">
        <v>1767357.12584</v>
      </c>
      <c r="K154" s="45" t="n">
        <v>1318931.57</v>
      </c>
      <c r="L154" s="45" t="n">
        <v>1138268.73944</v>
      </c>
      <c r="M154" s="45" t="n">
        <v>695233.0189335125</v>
      </c>
      <c r="N154" s="45" t="n">
        <v>600000</v>
      </c>
      <c r="O154" s="45" t="n">
        <v>864406.3868740005</v>
      </c>
      <c r="P154" s="45" t="n">
        <v>746000</v>
      </c>
      <c r="Q154" s="45" t="n">
        <v>30000</v>
      </c>
      <c r="R154" s="45" t="n">
        <v>25890.6</v>
      </c>
      <c r="S154" s="45" t="n">
        <v>2908570.975807513</v>
      </c>
      <c r="T154" s="45" t="n">
        <v>2510159.33944</v>
      </c>
      <c r="U154" s="15" t="n">
        <v>15.8717203</v>
      </c>
      <c r="V154" s="15" t="n">
        <v>8.781377317149483</v>
      </c>
      <c r="W154" s="49" t="n">
        <v>86.30200000000001</v>
      </c>
    </row>
    <row r="155">
      <c r="A155" s="44" t="inlineStr">
        <is>
          <t>TL Cinsi Kuponsuz Senetler</t>
        </is>
      </c>
      <c r="B155" s="44" t="n">
        <v>2010</v>
      </c>
      <c r="C155" s="44" t="inlineStr">
        <is>
          <t>TRT161111T14</t>
        </is>
      </c>
      <c r="D155" s="44" t="inlineStr">
        <is>
          <t>nan</t>
        </is>
      </c>
      <c r="E155" s="44" t="inlineStr">
        <is>
          <t>nan</t>
        </is>
      </c>
      <c r="F155" s="44" t="n"/>
      <c r="G155" s="44" t="n"/>
      <c r="H155" s="15" t="n"/>
      <c r="I155" s="45" t="n">
        <v>3868812.63</v>
      </c>
      <c r="J155" s="45" t="n">
        <v>3338839.16642</v>
      </c>
      <c r="K155" s="45" t="n">
        <v>1531345.53</v>
      </c>
      <c r="L155" s="45" t="n">
        <v>1322288.7358</v>
      </c>
      <c r="M155" s="45" t="n">
        <v>254782.9712326863</v>
      </c>
      <c r="N155" s="45" t="n">
        <v>220000</v>
      </c>
      <c r="O155" s="45" t="n">
        <v>1997504.284986334</v>
      </c>
      <c r="P155" s="45" t="n">
        <v>1724805</v>
      </c>
      <c r="Q155" s="45" t="n">
        <v>70200</v>
      </c>
      <c r="R155" s="45" t="n">
        <v>60616.29599999999</v>
      </c>
      <c r="S155" s="45" t="n">
        <v>3853832.786219021</v>
      </c>
      <c r="T155" s="45" t="n">
        <v>3327710.0318</v>
      </c>
      <c r="U155" s="15" t="n">
        <v>15.8102227</v>
      </c>
      <c r="V155" s="15" t="n">
        <v>8.953551642575126</v>
      </c>
      <c r="W155" s="49" t="n">
        <v>86.348</v>
      </c>
    </row>
    <row r="156">
      <c r="A156" s="44" t="inlineStr">
        <is>
          <t>TL Cinsi Kuponsuz Senetler</t>
        </is>
      </c>
      <c r="B156" s="44" t="n">
        <v>2010</v>
      </c>
      <c r="C156" s="44" t="inlineStr">
        <is>
          <t>TRB080910T19</t>
        </is>
      </c>
      <c r="D156" s="44" t="inlineStr">
        <is>
          <t>nan</t>
        </is>
      </c>
      <c r="E156" s="44" t="inlineStr">
        <is>
          <t>nan</t>
        </is>
      </c>
      <c r="F156" s="44" t="n"/>
      <c r="G156" s="44" t="n"/>
      <c r="H156" s="15" t="n"/>
      <c r="I156" s="45" t="n">
        <v>3309404</v>
      </c>
      <c r="J156" s="45" t="n">
        <v>3195435.22038</v>
      </c>
      <c r="K156" s="45" t="n">
        <v>2104860.758</v>
      </c>
      <c r="L156" s="45" t="n">
        <v>2033000.00041</v>
      </c>
      <c r="M156" s="45" t="n">
        <v>0</v>
      </c>
      <c r="N156" s="45" t="n">
        <v>0</v>
      </c>
      <c r="O156" s="45" t="n">
        <v>0</v>
      </c>
      <c r="P156" s="45" t="n">
        <v>0</v>
      </c>
      <c r="Q156" s="45" t="n">
        <v>0</v>
      </c>
      <c r="R156" s="45" t="n">
        <v>0</v>
      </c>
      <c r="S156" s="45" t="n">
        <v>2104860.758</v>
      </c>
      <c r="T156" s="45" t="n">
        <v>2033000.00041</v>
      </c>
      <c r="U156" s="15" t="n">
        <v>3.5347151</v>
      </c>
      <c r="V156" s="15" t="n">
        <v>7.194372308381691</v>
      </c>
      <c r="W156" s="49" t="n">
        <v>96.586</v>
      </c>
    </row>
    <row r="157">
      <c r="A157" s="44" t="inlineStr">
        <is>
          <t>TL Cinsi Kuponsuz Senetler</t>
        </is>
      </c>
      <c r="B157" s="44" t="n">
        <v>2010</v>
      </c>
      <c r="C157" s="44" t="inlineStr">
        <is>
          <t>TRT080611T11</t>
        </is>
      </c>
      <c r="D157" s="44" t="inlineStr">
        <is>
          <t>nan</t>
        </is>
      </c>
      <c r="E157" s="44" t="inlineStr">
        <is>
          <t>nan</t>
        </is>
      </c>
      <c r="F157" s="44" t="n"/>
      <c r="G157" s="44" t="n"/>
      <c r="H157" s="15" t="n"/>
      <c r="I157" s="45" t="n">
        <v>2436813.17</v>
      </c>
      <c r="J157" s="45" t="n">
        <v>2221708.46064</v>
      </c>
      <c r="K157" s="45" t="n">
        <v>1952300</v>
      </c>
      <c r="L157" s="45" t="n">
        <v>1780495.719</v>
      </c>
      <c r="M157" s="45" t="n">
        <v>1096491.228070176</v>
      </c>
      <c r="N157" s="45" t="n">
        <v>1000000</v>
      </c>
      <c r="O157" s="45" t="n">
        <v>479462.7192982456</v>
      </c>
      <c r="P157" s="45" t="n">
        <v>437270</v>
      </c>
      <c r="Q157" s="45" t="n">
        <v>296073.111</v>
      </c>
      <c r="R157" s="45" t="n">
        <v>270018.677232</v>
      </c>
      <c r="S157" s="45" t="n">
        <v>3824327.058368421</v>
      </c>
      <c r="T157" s="45" t="n">
        <v>3487784.396232</v>
      </c>
      <c r="U157" s="15" t="n">
        <v>9.6492386</v>
      </c>
      <c r="V157" s="15" t="n">
        <v>8.309743632418416</v>
      </c>
      <c r="W157" s="49" t="n">
        <v>91.2</v>
      </c>
    </row>
    <row r="158">
      <c r="A158" s="44" t="inlineStr">
        <is>
          <t>TL Cinsi Kuponsuz Senetler</t>
        </is>
      </c>
      <c r="B158" s="44" t="n">
        <v>2010</v>
      </c>
      <c r="C158" s="44" t="inlineStr">
        <is>
          <t>TRT250112T14</t>
        </is>
      </c>
      <c r="D158" s="44" t="inlineStr">
        <is>
          <t>nan</t>
        </is>
      </c>
      <c r="E158" s="44" t="inlineStr">
        <is>
          <t>nan</t>
        </is>
      </c>
      <c r="F158" s="44" t="n"/>
      <c r="G158" s="44" t="n"/>
      <c r="H158" s="15" t="n"/>
      <c r="I158" s="45" t="n">
        <v>2160445.13</v>
      </c>
      <c r="J158" s="45" t="n">
        <v>1845940.68779</v>
      </c>
      <c r="K158" s="45" t="n">
        <v>1361618.86</v>
      </c>
      <c r="L158" s="45" t="n">
        <v>1164352.39178</v>
      </c>
      <c r="M158" s="45" t="n">
        <v>877069.8849284311</v>
      </c>
      <c r="N158" s="45" t="n">
        <v>750000</v>
      </c>
      <c r="O158" s="45" t="n">
        <v>1116087.917485265</v>
      </c>
      <c r="P158" s="45" t="n">
        <v>954389.1</v>
      </c>
      <c r="Q158" s="45" t="n">
        <v>232258.588</v>
      </c>
      <c r="R158" s="45" t="n">
        <v>198608.96377056</v>
      </c>
      <c r="S158" s="45" t="n">
        <v>3587035.250413697</v>
      </c>
      <c r="T158" s="45" t="n">
        <v>3067350.45555056</v>
      </c>
      <c r="U158" s="15" t="n">
        <v>16.942162</v>
      </c>
      <c r="V158" s="15" t="n">
        <v>9.144379863700033</v>
      </c>
      <c r="W158" s="49" t="n">
        <v>85.512</v>
      </c>
    </row>
    <row r="159">
      <c r="A159" s="44" t="inlineStr">
        <is>
          <t>TL Cinsi Kuponsuz Senetler</t>
        </is>
      </c>
      <c r="B159" s="44" t="n">
        <v>2010</v>
      </c>
      <c r="C159" s="44" t="inlineStr">
        <is>
          <t>TRT250112T14</t>
        </is>
      </c>
      <c r="D159" s="44" t="inlineStr">
        <is>
          <t>nan</t>
        </is>
      </c>
      <c r="E159" s="44" t="inlineStr">
        <is>
          <t>nan</t>
        </is>
      </c>
      <c r="F159" s="44" t="n"/>
      <c r="G159" s="44" t="n"/>
      <c r="H159" s="15" t="n"/>
      <c r="I159" s="45" t="n">
        <v>3617634.42</v>
      </c>
      <c r="J159" s="45" t="n">
        <v>3089273.29018</v>
      </c>
      <c r="K159" s="45" t="n">
        <v>2023831.42</v>
      </c>
      <c r="L159" s="45" t="n">
        <v>1729344.69782</v>
      </c>
      <c r="M159" s="45" t="n">
        <v>0</v>
      </c>
      <c r="N159" s="45" t="n">
        <v>0</v>
      </c>
      <c r="O159" s="45" t="n">
        <v>1608678.861075027</v>
      </c>
      <c r="P159" s="45" t="n">
        <v>1374600</v>
      </c>
      <c r="Q159" s="45" t="n">
        <v>0</v>
      </c>
      <c r="R159" s="45" t="n">
        <v>0</v>
      </c>
      <c r="S159" s="45" t="n">
        <v>3632510.281075027</v>
      </c>
      <c r="T159" s="45" t="n">
        <v>3103944.69782</v>
      </c>
      <c r="U159" s="15" t="n">
        <v>17.0288042</v>
      </c>
      <c r="V159" s="15" t="n">
        <v>9.510075311008366</v>
      </c>
      <c r="W159" s="49" t="n">
        <v>85.449</v>
      </c>
    </row>
    <row r="160">
      <c r="A160" s="44" t="inlineStr">
        <is>
          <t>TL Cinsi Kuponsuz Senetler</t>
        </is>
      </c>
      <c r="B160" s="44" t="n">
        <v>2010</v>
      </c>
      <c r="C160" s="44" t="inlineStr">
        <is>
          <t>TRT250112T14</t>
        </is>
      </c>
      <c r="D160" s="44" t="inlineStr">
        <is>
          <t>nan</t>
        </is>
      </c>
      <c r="E160" s="44" t="inlineStr">
        <is>
          <t>nan</t>
        </is>
      </c>
      <c r="F160" s="44" t="n"/>
      <c r="G160" s="44" t="n"/>
      <c r="H160" s="15" t="n"/>
      <c r="I160" s="45" t="n">
        <v>3944846.88</v>
      </c>
      <c r="J160" s="45" t="n">
        <v>3444671.6205</v>
      </c>
      <c r="K160" s="45" t="n">
        <v>1230216.88</v>
      </c>
      <c r="L160" s="45" t="n">
        <v>1075334.32</v>
      </c>
      <c r="M160" s="45" t="n">
        <v>1716050.795103535</v>
      </c>
      <c r="N160" s="45" t="n">
        <v>1500000</v>
      </c>
      <c r="O160" s="45" t="n">
        <v>821530.7173092323</v>
      </c>
      <c r="P160" s="45" t="n">
        <v>718100</v>
      </c>
      <c r="Q160" s="45" t="n">
        <v>232054.181</v>
      </c>
      <c r="R160" s="45" t="n">
        <v>202838.5596121</v>
      </c>
      <c r="S160" s="45" t="n">
        <v>3999852.573412767</v>
      </c>
      <c r="T160" s="45" t="n">
        <v>3496272.8796121</v>
      </c>
      <c r="U160" s="15" t="n">
        <v>14.4032007</v>
      </c>
      <c r="V160" s="15" t="n">
        <v>8.794734543014501</v>
      </c>
      <c r="W160" s="49" t="n">
        <v>87.41</v>
      </c>
    </row>
    <row r="161">
      <c r="A161" s="44" t="inlineStr">
        <is>
          <t>TL Cinsi Kuponsuz Senetler</t>
        </is>
      </c>
      <c r="B161" s="44" t="n">
        <v>2010</v>
      </c>
      <c r="C161" s="44" t="inlineStr">
        <is>
          <t>TRT080611T11</t>
        </is>
      </c>
      <c r="D161" s="44" t="inlineStr">
        <is>
          <t>nan</t>
        </is>
      </c>
      <c r="E161" s="44" t="inlineStr">
        <is>
          <t>nan</t>
        </is>
      </c>
      <c r="F161" s="44" t="n"/>
      <c r="G161" s="44" t="n"/>
      <c r="H161" s="15" t="n"/>
      <c r="I161" s="45" t="n">
        <v>1515696.71</v>
      </c>
      <c r="J161" s="45" t="n">
        <v>1404028.11643</v>
      </c>
      <c r="K161" s="45" t="n">
        <v>559700</v>
      </c>
      <c r="L161" s="45" t="n">
        <v>518753.794</v>
      </c>
      <c r="M161" s="45" t="n">
        <v>204242.3719304303</v>
      </c>
      <c r="N161" s="45" t="n">
        <v>189300</v>
      </c>
      <c r="O161" s="45" t="n">
        <v>489081.179060032</v>
      </c>
      <c r="P161" s="45" t="n">
        <v>453300</v>
      </c>
      <c r="Q161" s="45" t="n">
        <v>22801.475</v>
      </c>
      <c r="R161" s="45" t="n">
        <v>21133.319089</v>
      </c>
      <c r="S161" s="45" t="n">
        <v>1275825.025990462</v>
      </c>
      <c r="T161" s="45" t="n">
        <v>1182487.113089</v>
      </c>
      <c r="U161" s="15" t="n">
        <v>7.8931868</v>
      </c>
      <c r="V161" s="15" t="n">
        <v>8.394201343300834</v>
      </c>
      <c r="W161" s="49" t="n">
        <v>92.684</v>
      </c>
    </row>
    <row r="162">
      <c r="A162" s="44" t="inlineStr">
        <is>
          <t>TL Cinsi Kuponsuz Senetler</t>
        </is>
      </c>
      <c r="B162" s="44" t="n">
        <v>2010</v>
      </c>
      <c r="C162" s="44" t="inlineStr">
        <is>
          <t>TRB120111T10</t>
        </is>
      </c>
      <c r="D162" s="44" t="inlineStr">
        <is>
          <t>nan</t>
        </is>
      </c>
      <c r="E162" s="44" t="inlineStr">
        <is>
          <t>nan</t>
        </is>
      </c>
      <c r="F162" s="44" t="n"/>
      <c r="G162" s="44" t="n"/>
      <c r="H162" s="15" t="n"/>
      <c r="I162" s="45" t="n">
        <v>3135691.5</v>
      </c>
      <c r="J162" s="45" t="n">
        <v>3016837.337</v>
      </c>
      <c r="K162" s="45" t="n">
        <v>1802605.118</v>
      </c>
      <c r="L162" s="45" t="n">
        <v>1734999.99941</v>
      </c>
      <c r="M162" s="45" t="n">
        <v>0</v>
      </c>
      <c r="N162" s="45" t="n">
        <v>0</v>
      </c>
      <c r="O162" s="45" t="n">
        <v>0</v>
      </c>
      <c r="P162" s="45" t="n">
        <v>0</v>
      </c>
      <c r="Q162" s="45" t="n">
        <v>0</v>
      </c>
      <c r="R162" s="45" t="n">
        <v>0</v>
      </c>
      <c r="S162" s="45" t="n">
        <v>1802605.118</v>
      </c>
      <c r="T162" s="45" t="n">
        <v>1734999.99941</v>
      </c>
      <c r="U162" s="15" t="n">
        <v>3.8965486</v>
      </c>
      <c r="V162" s="15" t="n">
        <v>7.944928109921601</v>
      </c>
      <c r="W162" s="49" t="n">
        <v>96.25</v>
      </c>
    </row>
    <row r="163">
      <c r="A163" s="44" t="inlineStr">
        <is>
          <t>TL Cinsi Kuponsuz Senetler</t>
        </is>
      </c>
      <c r="B163" s="44" t="n">
        <v>2010</v>
      </c>
      <c r="C163" s="44" t="inlineStr">
        <is>
          <t>TRT250412T11</t>
        </is>
      </c>
      <c r="D163" s="44" t="inlineStr">
        <is>
          <t>nan</t>
        </is>
      </c>
      <c r="E163" s="44" t="inlineStr">
        <is>
          <t>nan</t>
        </is>
      </c>
      <c r="F163" s="44" t="n"/>
      <c r="G163" s="44" t="n"/>
      <c r="H163" s="15" t="n"/>
      <c r="I163" s="45" t="n">
        <v>6452488.675</v>
      </c>
      <c r="J163" s="45" t="n">
        <v>5571686.99866</v>
      </c>
      <c r="K163" s="45" t="n">
        <v>3129254.335</v>
      </c>
      <c r="L163" s="45" t="n">
        <v>2703991.86476</v>
      </c>
      <c r="M163" s="45" t="n">
        <v>705936.8128688809</v>
      </c>
      <c r="N163" s="45" t="n">
        <v>610000</v>
      </c>
      <c r="O163" s="45" t="n">
        <v>1065443.814373336</v>
      </c>
      <c r="P163" s="45" t="n">
        <v>920650</v>
      </c>
      <c r="Q163" s="45" t="n">
        <v>503007.508</v>
      </c>
      <c r="R163" s="45" t="n">
        <v>434648.7876628</v>
      </c>
      <c r="S163" s="45" t="n">
        <v>5403642.470242218</v>
      </c>
      <c r="T163" s="45" t="n">
        <v>4669290.652422801</v>
      </c>
      <c r="U163" s="15" t="n">
        <v>15.7272097</v>
      </c>
      <c r="V163" s="15" t="n">
        <v>8.508884634094478</v>
      </c>
      <c r="W163" s="49" t="n">
        <v>86.41</v>
      </c>
    </row>
    <row r="164">
      <c r="A164" s="44" t="inlineStr">
        <is>
          <t>TL Cinsi Kuponsuz Senetler</t>
        </is>
      </c>
      <c r="B164" s="44" t="n">
        <v>2010</v>
      </c>
      <c r="C164" s="44" t="inlineStr">
        <is>
          <t>TRB200711T14</t>
        </is>
      </c>
      <c r="D164" s="44" t="inlineStr">
        <is>
          <t>nan</t>
        </is>
      </c>
      <c r="E164" s="44" t="inlineStr">
        <is>
          <t>nan</t>
        </is>
      </c>
      <c r="F164" s="44" t="n"/>
      <c r="G164" s="44" t="n"/>
      <c r="H164" s="15" t="n"/>
      <c r="I164" s="45" t="n">
        <v>4911136.176</v>
      </c>
      <c r="J164" s="45" t="n">
        <v>4558638.25295</v>
      </c>
      <c r="K164" s="45" t="n">
        <v>806700</v>
      </c>
      <c r="L164" s="45" t="n">
        <v>749449.96</v>
      </c>
      <c r="M164" s="45" t="n">
        <v>0</v>
      </c>
      <c r="N164" s="45" t="n">
        <v>0</v>
      </c>
      <c r="O164" s="45" t="n">
        <v>633617.8594878529</v>
      </c>
      <c r="P164" s="45" t="n">
        <v>588650</v>
      </c>
      <c r="Q164" s="45" t="n">
        <v>32004.951</v>
      </c>
      <c r="R164" s="45" t="n">
        <v>29733.55962753</v>
      </c>
      <c r="S164" s="45" t="n">
        <v>1472322.810487853</v>
      </c>
      <c r="T164" s="45" t="n">
        <v>1367833.51962753</v>
      </c>
      <c r="U164" s="15" t="n">
        <v>7.638941</v>
      </c>
      <c r="V164" s="15" t="n">
        <v>7.795416907217605</v>
      </c>
      <c r="W164" s="49" t="n">
        <v>92.90300000000001</v>
      </c>
    </row>
    <row r="165">
      <c r="A165" s="44" t="inlineStr">
        <is>
          <t>TL Cinsi Kuponsuz Senetler</t>
        </is>
      </c>
      <c r="B165" s="44" t="n">
        <v>2010</v>
      </c>
      <c r="C165" s="44" t="inlineStr">
        <is>
          <t>TRB200711T14</t>
        </is>
      </c>
      <c r="D165" s="44" t="inlineStr">
        <is>
          <t>nan</t>
        </is>
      </c>
      <c r="E165" s="44" t="inlineStr">
        <is>
          <t>nan</t>
        </is>
      </c>
      <c r="F165" s="44" t="n"/>
      <c r="G165" s="44" t="n"/>
      <c r="H165" s="15" t="n"/>
      <c r="I165" s="45" t="n">
        <v>7731847.81</v>
      </c>
      <c r="J165" s="45" t="n">
        <v>7210885.1624</v>
      </c>
      <c r="K165" s="45" t="n">
        <v>1600042.81</v>
      </c>
      <c r="L165" s="45" t="n">
        <v>1492957.03805</v>
      </c>
      <c r="M165" s="45" t="n">
        <v>0</v>
      </c>
      <c r="N165" s="45" t="n">
        <v>0</v>
      </c>
      <c r="O165" s="45" t="n">
        <v>979146.794988586</v>
      </c>
      <c r="P165" s="45" t="n">
        <v>913612.5</v>
      </c>
      <c r="Q165" s="45" t="n">
        <v>240004.286</v>
      </c>
      <c r="R165" s="45" t="n">
        <v>223940.79913802</v>
      </c>
      <c r="S165" s="45" t="n">
        <v>2819193.890988586</v>
      </c>
      <c r="T165" s="45" t="n">
        <v>2630510.33718802</v>
      </c>
      <c r="U165" s="15" t="n">
        <v>7.1727296</v>
      </c>
      <c r="V165" s="15" t="n">
        <v>7.794187965879667</v>
      </c>
      <c r="W165" s="49" t="n">
        <v>93.307</v>
      </c>
    </row>
    <row r="166">
      <c r="A166" s="44" t="inlineStr">
        <is>
          <t>TL Cinsi Kuponsuz Senetler</t>
        </is>
      </c>
      <c r="B166" s="44" t="n">
        <v>2010</v>
      </c>
      <c r="C166" s="44" t="inlineStr">
        <is>
          <t>TRT250412T11</t>
        </is>
      </c>
      <c r="D166" s="44" t="inlineStr">
        <is>
          <t>nan</t>
        </is>
      </c>
      <c r="E166" s="44" t="inlineStr">
        <is>
          <t>nan</t>
        </is>
      </c>
      <c r="F166" s="44" t="n"/>
      <c r="G166" s="44" t="n"/>
      <c r="H166" s="15" t="n"/>
      <c r="I166" s="45" t="n">
        <v>3705632</v>
      </c>
      <c r="J166" s="45" t="n">
        <v>3248027.00856</v>
      </c>
      <c r="K166" s="45" t="n">
        <v>2396032</v>
      </c>
      <c r="L166" s="45" t="n">
        <v>2101152.09556</v>
      </c>
      <c r="M166" s="45" t="n">
        <v>798239.3121457814</v>
      </c>
      <c r="N166" s="45" t="n">
        <v>700000</v>
      </c>
      <c r="O166" s="45" t="n">
        <v>1359167.778499994</v>
      </c>
      <c r="P166" s="45" t="n">
        <v>1191895</v>
      </c>
      <c r="Q166" s="45" t="n">
        <v>460234.998</v>
      </c>
      <c r="R166" s="45" t="n">
        <v>403593.8768</v>
      </c>
      <c r="S166" s="45" t="n">
        <v>5013674.088645775</v>
      </c>
      <c r="T166" s="45" t="n">
        <v>4396640.97236</v>
      </c>
      <c r="U166" s="15" t="n">
        <v>14.0342008</v>
      </c>
      <c r="V166" s="15" t="n">
        <v>8.068358323544031</v>
      </c>
      <c r="W166" s="49" t="n">
        <v>87.693</v>
      </c>
    </row>
    <row r="167">
      <c r="A167" s="44" t="inlineStr">
        <is>
          <t>TL Cinsi Kuponsuz Senetler</t>
        </is>
      </c>
      <c r="B167" s="44" t="n">
        <v>2010</v>
      </c>
      <c r="C167" s="44" t="inlineStr">
        <is>
          <t>TRB090311T13</t>
        </is>
      </c>
      <c r="D167" s="44" t="inlineStr">
        <is>
          <t>nan</t>
        </is>
      </c>
      <c r="E167" s="44" t="inlineStr">
        <is>
          <t>nan</t>
        </is>
      </c>
      <c r="F167" s="44" t="n"/>
      <c r="G167" s="44" t="n"/>
      <c r="H167" s="15" t="n"/>
      <c r="I167" s="45" t="n">
        <v>5761300</v>
      </c>
      <c r="J167" s="45" t="n">
        <v>5554906.476</v>
      </c>
      <c r="K167" s="45" t="n">
        <v>2010807.559</v>
      </c>
      <c r="L167" s="45" t="n">
        <v>1939999.99977</v>
      </c>
      <c r="M167" s="45" t="n">
        <v>0</v>
      </c>
      <c r="N167" s="45" t="n">
        <v>0</v>
      </c>
      <c r="O167" s="45" t="n">
        <v>0</v>
      </c>
      <c r="P167" s="45" t="n">
        <v>0</v>
      </c>
      <c r="Q167" s="45" t="n">
        <v>0</v>
      </c>
      <c r="R167" s="45" t="n">
        <v>0</v>
      </c>
      <c r="S167" s="45" t="n">
        <v>2010807.559</v>
      </c>
      <c r="T167" s="45" t="n">
        <v>1939999.99977</v>
      </c>
      <c r="U167" s="15" t="n">
        <v>3.6498742</v>
      </c>
      <c r="V167" s="15" t="n">
        <v>7.432964216758253</v>
      </c>
      <c r="W167" s="49" t="n">
        <v>96.479</v>
      </c>
    </row>
    <row r="168">
      <c r="A168" s="44" t="inlineStr">
        <is>
          <t>TL Cinsi Kuponsuz Senetler</t>
        </is>
      </c>
      <c r="B168" s="44" t="n">
        <v>2010</v>
      </c>
      <c r="C168" s="44" t="inlineStr">
        <is>
          <t>TRT250412T11</t>
        </is>
      </c>
      <c r="D168" s="44" t="inlineStr">
        <is>
          <t>nan</t>
        </is>
      </c>
      <c r="E168" s="44" t="inlineStr">
        <is>
          <t>nan</t>
        </is>
      </c>
      <c r="F168" s="44" t="n"/>
      <c r="G168" s="44" t="n"/>
      <c r="H168" s="15" t="n"/>
      <c r="I168" s="45" t="n">
        <v>6808287.213</v>
      </c>
      <c r="J168" s="45" t="n">
        <v>5988360.23424</v>
      </c>
      <c r="K168" s="45" t="n">
        <v>2117000</v>
      </c>
      <c r="L168" s="45" t="n">
        <v>1863014.38</v>
      </c>
      <c r="M168" s="45" t="n">
        <v>0</v>
      </c>
      <c r="N168" s="45" t="n"/>
      <c r="O168" s="45" t="n">
        <v>1989932.161403588</v>
      </c>
      <c r="P168" s="45" t="n">
        <v>1751200</v>
      </c>
      <c r="Q168" s="45" t="n">
        <v>256322.726</v>
      </c>
      <c r="R168" s="45" t="n">
        <v>225571.68856</v>
      </c>
      <c r="S168" s="45" t="n">
        <v>4363254.887403589</v>
      </c>
      <c r="T168" s="45" t="n">
        <v>3839786.06856</v>
      </c>
      <c r="U168" s="15" t="n">
        <v>13.6330467</v>
      </c>
      <c r="V168" s="15" t="n">
        <v>8.131386116899238</v>
      </c>
      <c r="W168" s="49" t="n">
        <v>88.003</v>
      </c>
    </row>
    <row r="169">
      <c r="A169" s="44" t="inlineStr">
        <is>
          <t>TL Cinsi Kuponsuz Senetler</t>
        </is>
      </c>
      <c r="B169" s="44" t="n">
        <v>2010</v>
      </c>
      <c r="C169" s="44" t="inlineStr">
        <is>
          <t>TRT121011T19</t>
        </is>
      </c>
      <c r="D169" s="44" t="inlineStr">
        <is>
          <t>nan</t>
        </is>
      </c>
      <c r="E169" s="44" t="inlineStr">
        <is>
          <t>nan</t>
        </is>
      </c>
      <c r="F169" s="44" t="n"/>
      <c r="G169" s="44" t="n"/>
      <c r="H169" s="15" t="n"/>
      <c r="I169" s="45" t="n">
        <v>7837406.5</v>
      </c>
      <c r="J169" s="45" t="n">
        <v>7261133.10254</v>
      </c>
      <c r="K169" s="45" t="n">
        <v>1410000</v>
      </c>
      <c r="L169" s="45" t="n">
        <v>1307560.8</v>
      </c>
      <c r="M169" s="45" t="n">
        <v>0</v>
      </c>
      <c r="N169" s="45" t="n">
        <v>0</v>
      </c>
      <c r="O169" s="45" t="n">
        <v>809510.9721248719</v>
      </c>
      <c r="P169" s="45" t="n">
        <v>750700</v>
      </c>
      <c r="Q169" s="45" t="n">
        <v>324891.012</v>
      </c>
      <c r="R169" s="45" t="n">
        <v>301287.67998</v>
      </c>
      <c r="S169" s="45" t="n">
        <v>2544401.984124872</v>
      </c>
      <c r="T169" s="45" t="n">
        <v>2359548.47998</v>
      </c>
      <c r="U169" s="15" t="n">
        <v>7.8343737</v>
      </c>
      <c r="V169" s="15" t="n">
        <v>7.532551618258749</v>
      </c>
      <c r="W169" s="49" t="n">
        <v>92.735</v>
      </c>
    </row>
    <row r="170">
      <c r="A170" s="44" t="inlineStr">
        <is>
          <t>TL Cinsi Kuponsuz Senetler</t>
        </is>
      </c>
      <c r="B170" s="44" t="n">
        <v>2010</v>
      </c>
      <c r="C170" s="44" t="inlineStr">
        <is>
          <t>TRT080812T26</t>
        </is>
      </c>
      <c r="D170" s="44" t="inlineStr">
        <is>
          <t>nan</t>
        </is>
      </c>
      <c r="E170" s="44" t="inlineStr">
        <is>
          <t>nan</t>
        </is>
      </c>
      <c r="F170" s="44" t="n"/>
      <c r="G170" s="44" t="n"/>
      <c r="H170" s="15" t="n"/>
      <c r="I170" s="45" t="n">
        <v>6654814</v>
      </c>
      <c r="J170" s="45" t="n">
        <v>5834563.08446</v>
      </c>
      <c r="K170" s="45" t="n">
        <v>2035600</v>
      </c>
      <c r="L170" s="45" t="n">
        <v>1787105.223</v>
      </c>
      <c r="M170" s="45" t="n">
        <v>341712.8928274463</v>
      </c>
      <c r="N170" s="45" t="n">
        <v>300000</v>
      </c>
      <c r="O170" s="45" t="n">
        <v>1428974.975225815</v>
      </c>
      <c r="P170" s="45" t="n">
        <v>1254540</v>
      </c>
      <c r="Q170" s="45" t="n">
        <v>0</v>
      </c>
      <c r="R170" s="45" t="n">
        <v>0</v>
      </c>
      <c r="S170" s="45" t="n">
        <v>3806287.868053262</v>
      </c>
      <c r="T170" s="45" t="n">
        <v>3341645.223</v>
      </c>
      <c r="U170" s="15" t="n">
        <v>13.9048767</v>
      </c>
      <c r="V170" s="15" t="n">
        <v>7.551150296974818</v>
      </c>
      <c r="W170" s="49" t="n">
        <v>87.79300000000001</v>
      </c>
    </row>
    <row r="171">
      <c r="A171" s="44" t="inlineStr">
        <is>
          <t>TL Cinsi Kuponsuz Senetler</t>
        </is>
      </c>
      <c r="B171" s="44" t="n">
        <v>2010</v>
      </c>
      <c r="C171" s="44" t="inlineStr">
        <is>
          <t>TRT080812T26</t>
        </is>
      </c>
      <c r="D171" s="44" t="inlineStr">
        <is>
          <t>nan</t>
        </is>
      </c>
      <c r="E171" s="44" t="inlineStr">
        <is>
          <t>nan</t>
        </is>
      </c>
      <c r="F171" s="44" t="n"/>
      <c r="G171" s="44" t="n"/>
      <c r="H171" s="15" t="n"/>
      <c r="I171" s="45" t="n">
        <v>3021214.26</v>
      </c>
      <c r="J171" s="45" t="n">
        <v>2653639.6399</v>
      </c>
      <c r="K171" s="45" t="n">
        <v>2271092.6</v>
      </c>
      <c r="L171" s="45" t="n">
        <v>1995063.7944</v>
      </c>
      <c r="M171" s="45" t="n">
        <v>1195273.546888874</v>
      </c>
      <c r="N171" s="45" t="n">
        <v>1050000</v>
      </c>
      <c r="O171" s="45" t="n">
        <v>1651469.617284794</v>
      </c>
      <c r="P171" s="45" t="n">
        <v>1450750</v>
      </c>
      <c r="Q171" s="45" t="n">
        <v>10000</v>
      </c>
      <c r="R171" s="45" t="n">
        <v>8784.6</v>
      </c>
      <c r="S171" s="45" t="n">
        <v>5127835.764173668</v>
      </c>
      <c r="T171" s="45" t="n">
        <v>4504598.3944</v>
      </c>
      <c r="U171" s="15" t="n">
        <v>13.8355879</v>
      </c>
      <c r="V171" s="15" t="n">
        <v>7.599272580540317</v>
      </c>
      <c r="W171" s="49" t="n">
        <v>87.846</v>
      </c>
    </row>
    <row r="172">
      <c r="A172" s="44" t="inlineStr">
        <is>
          <t>TL Cinsi Kuponsuz Senetler</t>
        </is>
      </c>
      <c r="B172" s="44" t="n">
        <v>2010</v>
      </c>
      <c r="C172" s="44" t="inlineStr">
        <is>
          <t>TRT121011T19</t>
        </is>
      </c>
      <c r="D172" s="44" t="inlineStr">
        <is>
          <t>nan</t>
        </is>
      </c>
      <c r="E172" s="44" t="inlineStr">
        <is>
          <t>nan</t>
        </is>
      </c>
      <c r="F172" s="44" t="n"/>
      <c r="G172" s="44" t="n"/>
      <c r="H172" s="15" t="n"/>
      <c r="I172" s="45" t="n">
        <v>621630</v>
      </c>
      <c r="J172" s="45" t="n">
        <v>583538.6459999999</v>
      </c>
      <c r="K172" s="45" t="n">
        <v>212730</v>
      </c>
      <c r="L172" s="45" t="n">
        <v>199843.942</v>
      </c>
      <c r="M172" s="45" t="n">
        <v>0</v>
      </c>
      <c r="N172" s="45" t="n">
        <v>0</v>
      </c>
      <c r="O172" s="45" t="n">
        <v>487157.1059046443</v>
      </c>
      <c r="P172" s="45" t="n">
        <v>457650</v>
      </c>
      <c r="Q172" s="45" t="n">
        <v>12000</v>
      </c>
      <c r="R172" s="45" t="n">
        <v>11273.16</v>
      </c>
      <c r="S172" s="45" t="n">
        <v>711887.1059046444</v>
      </c>
      <c r="T172" s="45" t="n">
        <v>668767.1020000001</v>
      </c>
      <c r="U172" s="15" t="n">
        <v>6.4480604</v>
      </c>
      <c r="V172" s="15" t="n">
        <v>7.318208097702056</v>
      </c>
      <c r="W172" s="49" t="n">
        <v>93.943</v>
      </c>
    </row>
    <row r="173">
      <c r="A173" s="44" t="inlineStr">
        <is>
          <t>TL Cinsi Kuponsuz Senetler</t>
        </is>
      </c>
      <c r="B173" s="44" t="n">
        <v>2010</v>
      </c>
      <c r="C173" s="44" t="inlineStr">
        <is>
          <t>TRT080812T26</t>
        </is>
      </c>
      <c r="D173" s="44" t="inlineStr">
        <is>
          <t>nan</t>
        </is>
      </c>
      <c r="E173" s="44" t="inlineStr">
        <is>
          <t>nan</t>
        </is>
      </c>
      <c r="F173" s="44" t="n"/>
      <c r="G173" s="44" t="n"/>
      <c r="H173" s="15" t="n"/>
      <c r="I173" s="45" t="n">
        <v>2151204</v>
      </c>
      <c r="J173" s="45" t="n">
        <v>1899984.55464</v>
      </c>
      <c r="K173" s="45" t="n">
        <v>1502704</v>
      </c>
      <c r="L173" s="45" t="n">
        <v>1327666.33464</v>
      </c>
      <c r="M173" s="45" t="n">
        <v>0</v>
      </c>
      <c r="N173" s="45" t="n">
        <v>0</v>
      </c>
      <c r="O173" s="45" t="n">
        <v>2589245.291561028</v>
      </c>
      <c r="P173" s="45" t="n">
        <v>2287650</v>
      </c>
      <c r="Q173" s="45" t="n">
        <v>386039.817</v>
      </c>
      <c r="R173" s="45" t="n">
        <v>341073.89911584</v>
      </c>
      <c r="S173" s="45" t="n">
        <v>4477989.108561029</v>
      </c>
      <c r="T173" s="45" t="n">
        <v>3956390.23375584</v>
      </c>
      <c r="U173" s="15" t="n">
        <v>13.1838596</v>
      </c>
      <c r="V173" s="15" t="n">
        <v>7.68297788817931</v>
      </c>
      <c r="W173" s="49" t="n">
        <v>88.352</v>
      </c>
    </row>
    <row r="174">
      <c r="A174" s="44" t="inlineStr">
        <is>
          <t>TL Cinsi Kuponsuz Senetler</t>
        </is>
      </c>
      <c r="B174" s="44" t="n">
        <v>2009</v>
      </c>
      <c r="C174" s="44" t="inlineStr">
        <is>
          <t>TRB150709T15</t>
        </is>
      </c>
      <c r="D174" s="44" t="inlineStr">
        <is>
          <t>nan</t>
        </is>
      </c>
      <c r="E174" s="44" t="inlineStr">
        <is>
          <t>nan</t>
        </is>
      </c>
      <c r="F174" s="44" t="n"/>
      <c r="G174" s="44" t="n"/>
      <c r="H174" s="15" t="n"/>
      <c r="I174" s="45" t="n">
        <v>3263426.196</v>
      </c>
      <c r="J174" s="45" t="n">
        <v>3025742.71402</v>
      </c>
      <c r="K174" s="45" t="n">
        <v>1069260.57</v>
      </c>
      <c r="L174" s="45" t="n">
        <v>991999.9961700001</v>
      </c>
      <c r="M174" s="45" t="n">
        <v>0</v>
      </c>
      <c r="N174" s="45" t="n">
        <v>0</v>
      </c>
      <c r="O174" s="45" t="n">
        <v>0</v>
      </c>
      <c r="P174" s="45" t="n">
        <v>0</v>
      </c>
      <c r="Q174" s="45" t="n">
        <v>0</v>
      </c>
      <c r="R174" s="45" t="n">
        <v>0</v>
      </c>
      <c r="S174" s="45" t="n">
        <v>1069260.57</v>
      </c>
      <c r="T174" s="45" t="n">
        <v>991999.9961700001</v>
      </c>
      <c r="U174" s="15" t="n">
        <v>7.7883643</v>
      </c>
      <c r="V174" s="15" t="n">
        <v>16.18331478469515</v>
      </c>
      <c r="W174" s="49" t="n">
        <v>92.774</v>
      </c>
    </row>
    <row r="175">
      <c r="A175" s="44" t="inlineStr">
        <is>
          <t>TL Cinsi Kuponsuz Senetler</t>
        </is>
      </c>
      <c r="B175" s="44" t="n">
        <v>2009</v>
      </c>
      <c r="C175" s="44" t="inlineStr">
        <is>
          <t>TRT031110T10</t>
        </is>
      </c>
      <c r="D175" s="44" t="inlineStr">
        <is>
          <t>nan</t>
        </is>
      </c>
      <c r="E175" s="44" t="inlineStr">
        <is>
          <t>nan</t>
        </is>
      </c>
      <c r="F175" s="44" t="n"/>
      <c r="G175" s="44" t="n"/>
      <c r="H175" s="15" t="n"/>
      <c r="I175" s="45" t="n">
        <v>3644289.373</v>
      </c>
      <c r="J175" s="45" t="n">
        <v>2777339.34255</v>
      </c>
      <c r="K175" s="45" t="n">
        <v>1796100.521</v>
      </c>
      <c r="L175" s="45" t="n">
        <v>1370132.98054</v>
      </c>
      <c r="M175" s="45" t="n">
        <v>235960.3586597451</v>
      </c>
      <c r="N175" s="45" t="n">
        <v>180000</v>
      </c>
      <c r="O175" s="45" t="n">
        <v>2369706.360442556</v>
      </c>
      <c r="P175" s="45" t="n">
        <v>1807706.8</v>
      </c>
      <c r="Q175" s="45" t="n">
        <v>207732.924</v>
      </c>
      <c r="R175" s="45" t="n">
        <v>158466.98374416</v>
      </c>
      <c r="S175" s="45" t="n">
        <v>4928039.851102301</v>
      </c>
      <c r="T175" s="45" t="n">
        <v>3759301.579115239</v>
      </c>
      <c r="U175" s="15" t="n">
        <v>31.0895035</v>
      </c>
      <c r="V175" s="15" t="n">
        <v>16.15590982237877</v>
      </c>
      <c r="W175" s="49" t="n">
        <v>76.28400000000001</v>
      </c>
    </row>
    <row r="176">
      <c r="A176" s="44" t="inlineStr">
        <is>
          <t>TL Cinsi Kuponsuz Senetler</t>
        </is>
      </c>
      <c r="B176" s="44" t="n">
        <v>2009</v>
      </c>
      <c r="C176" s="44" t="inlineStr">
        <is>
          <t>TRT030310T10</t>
        </is>
      </c>
      <c r="D176" s="44" t="inlineStr">
        <is>
          <t>nan</t>
        </is>
      </c>
      <c r="E176" s="44" t="inlineStr">
        <is>
          <t>nan</t>
        </is>
      </c>
      <c r="F176" s="44" t="n"/>
      <c r="G176" s="44" t="n"/>
      <c r="H176" s="15" t="n"/>
      <c r="I176" s="45" t="n">
        <v>4357713.069</v>
      </c>
      <c r="J176" s="45" t="n">
        <v>3753949.16452</v>
      </c>
      <c r="K176" s="45" t="n">
        <v>2622011.683</v>
      </c>
      <c r="L176" s="45" t="n">
        <v>2260340.85429</v>
      </c>
      <c r="M176" s="45" t="n">
        <v>0</v>
      </c>
      <c r="N176" s="45" t="n">
        <v>0</v>
      </c>
      <c r="O176" s="45" t="n">
        <v>3048233.301626337</v>
      </c>
      <c r="P176" s="45" t="n">
        <v>2627760</v>
      </c>
      <c r="Q176" s="45" t="n">
        <v>250490.164</v>
      </c>
      <c r="R176" s="45" t="n">
        <v>215937.55077784</v>
      </c>
      <c r="S176" s="45" t="n">
        <v>6152414.990626337</v>
      </c>
      <c r="T176" s="45" t="n">
        <v>5303760.32966236</v>
      </c>
      <c r="U176" s="15" t="n">
        <v>16.0007208</v>
      </c>
      <c r="V176" s="15" t="n">
        <v>14.77739216167631</v>
      </c>
      <c r="W176" s="49" t="n">
        <v>86.206</v>
      </c>
    </row>
    <row r="177">
      <c r="A177" s="44" t="inlineStr">
        <is>
          <t>TL Cinsi Kuponsuz Senetler</t>
        </is>
      </c>
      <c r="B177" s="44" t="n">
        <v>2009</v>
      </c>
      <c r="C177" s="44" t="inlineStr">
        <is>
          <t>TRT031110T10</t>
        </is>
      </c>
      <c r="D177" s="44" t="inlineStr">
        <is>
          <t>nan</t>
        </is>
      </c>
      <c r="E177" s="44" t="inlineStr">
        <is>
          <t>nan</t>
        </is>
      </c>
      <c r="F177" s="44" t="n"/>
      <c r="G177" s="44" t="n"/>
      <c r="H177" s="15" t="n"/>
      <c r="I177" s="45" t="n">
        <v>5241662.577</v>
      </c>
      <c r="J177" s="45" t="n">
        <v>4078160.72123</v>
      </c>
      <c r="K177" s="45" t="n">
        <v>2626911.761</v>
      </c>
      <c r="L177" s="45" t="n">
        <v>2045236.80151</v>
      </c>
      <c r="M177" s="45" t="n">
        <v>1862388.73832796</v>
      </c>
      <c r="N177" s="45" t="n">
        <v>1450000</v>
      </c>
      <c r="O177" s="45" t="n">
        <v>6063920.947377885</v>
      </c>
      <c r="P177" s="45" t="n">
        <v>4721186.932</v>
      </c>
      <c r="Q177" s="45" t="n">
        <v>427118.676</v>
      </c>
      <c r="R177" s="45" t="n">
        <v>332541.78757332</v>
      </c>
      <c r="S177" s="45" t="n">
        <v>11403921.21270584</v>
      </c>
      <c r="T177" s="45" t="n">
        <v>8878753.050324621</v>
      </c>
      <c r="U177" s="15" t="n">
        <v>28.44047</v>
      </c>
      <c r="V177" s="15" t="n">
        <v>15.37696952074038</v>
      </c>
      <c r="W177" s="49" t="n">
        <v>77.857</v>
      </c>
    </row>
    <row r="178">
      <c r="A178" s="44" t="inlineStr">
        <is>
          <t>TL Cinsi Kuponsuz Senetler</t>
        </is>
      </c>
      <c r="B178" s="44" t="n">
        <v>2009</v>
      </c>
      <c r="C178" s="44" t="inlineStr">
        <is>
          <t>TRB190809T10</t>
        </is>
      </c>
      <c r="D178" s="44" t="inlineStr">
        <is>
          <t>nan</t>
        </is>
      </c>
      <c r="E178" s="44" t="inlineStr">
        <is>
          <t>nan</t>
        </is>
      </c>
      <c r="F178" s="44" t="n"/>
      <c r="G178" s="44" t="n"/>
      <c r="H178" s="15" t="n"/>
      <c r="I178" s="45" t="n">
        <v>5455440.583</v>
      </c>
      <c r="J178" s="45" t="n">
        <v>5087837.97205</v>
      </c>
      <c r="K178" s="45" t="n">
        <v>3680995.568</v>
      </c>
      <c r="L178" s="45" t="n">
        <v>3442999.99567</v>
      </c>
      <c r="M178" s="45" t="n">
        <v>0</v>
      </c>
      <c r="N178" s="45" t="n">
        <v>0</v>
      </c>
      <c r="O178" s="45" t="n">
        <v>0</v>
      </c>
      <c r="P178" s="45" t="n">
        <v>0</v>
      </c>
      <c r="Q178" s="45" t="n">
        <v>0</v>
      </c>
      <c r="R178" s="45" t="n">
        <v>0</v>
      </c>
      <c r="S178" s="45" t="n">
        <v>3680995.568</v>
      </c>
      <c r="T178" s="45" t="n">
        <v>3442999.99567</v>
      </c>
      <c r="U178" s="15" t="n">
        <v>6.9124477</v>
      </c>
      <c r="V178" s="15" t="n">
        <v>14.30271473205234</v>
      </c>
      <c r="W178" s="49" t="n">
        <v>93.53400000000001</v>
      </c>
    </row>
    <row r="179">
      <c r="A179" s="44" t="inlineStr">
        <is>
          <t>TL Cinsi Kuponsuz Senetler</t>
        </is>
      </c>
      <c r="B179" s="44" t="n">
        <v>2009</v>
      </c>
      <c r="C179" s="44" t="inlineStr">
        <is>
          <t>TRB090909T11</t>
        </is>
      </c>
      <c r="D179" s="44" t="inlineStr">
        <is>
          <t>nan</t>
        </is>
      </c>
      <c r="E179" s="44" t="inlineStr">
        <is>
          <t>nan</t>
        </is>
      </c>
      <c r="F179" s="44" t="n"/>
      <c r="G179" s="44" t="n"/>
      <c r="H179" s="15" t="n"/>
      <c r="I179" s="45" t="n">
        <v>1796807.113</v>
      </c>
      <c r="J179" s="45" t="n">
        <v>1687152.28548</v>
      </c>
      <c r="K179" s="45" t="n">
        <v>655104.601</v>
      </c>
      <c r="L179" s="45" t="n">
        <v>616000.0003</v>
      </c>
      <c r="M179" s="45" t="n">
        <v>0</v>
      </c>
      <c r="N179" s="45" t="n">
        <v>0</v>
      </c>
      <c r="O179" s="45" t="n">
        <v>0</v>
      </c>
      <c r="P179" s="45" t="n">
        <v>0</v>
      </c>
      <c r="Q179" s="45" t="n">
        <v>0</v>
      </c>
      <c r="R179" s="45" t="n">
        <v>0</v>
      </c>
      <c r="S179" s="45" t="n">
        <v>655104.601</v>
      </c>
      <c r="T179" s="45" t="n">
        <v>616000.0003</v>
      </c>
      <c r="U179" s="15" t="n">
        <v>6.3481495</v>
      </c>
      <c r="V179" s="15" t="n">
        <v>13.09928902074351</v>
      </c>
      <c r="W179" s="49" t="n">
        <v>94.03100000000001</v>
      </c>
    </row>
    <row r="180">
      <c r="A180" s="44" t="inlineStr">
        <is>
          <t>TL Cinsi Kuponsuz Senetler</t>
        </is>
      </c>
      <c r="B180" s="44" t="n">
        <v>2009</v>
      </c>
      <c r="C180" s="44" t="inlineStr">
        <is>
          <t>TRT030310T10</t>
        </is>
      </c>
      <c r="D180" s="44" t="inlineStr">
        <is>
          <t>nan</t>
        </is>
      </c>
      <c r="E180" s="44" t="inlineStr">
        <is>
          <t>nan</t>
        </is>
      </c>
      <c r="F180" s="44" t="n"/>
      <c r="G180" s="44" t="n"/>
      <c r="H180" s="15" t="n"/>
      <c r="I180" s="45" t="n">
        <v>5726774.673</v>
      </c>
      <c r="J180" s="45" t="n">
        <v>5009867.19382</v>
      </c>
      <c r="K180" s="45" t="n">
        <v>1618752.86</v>
      </c>
      <c r="L180" s="45" t="n">
        <v>1416960.0141</v>
      </c>
      <c r="M180" s="45" t="n">
        <v>514085.9551717047</v>
      </c>
      <c r="N180" s="45" t="n">
        <v>450000</v>
      </c>
      <c r="O180" s="45" t="n">
        <v>1162268.375716864</v>
      </c>
      <c r="P180" s="45" t="n">
        <v>1017380</v>
      </c>
      <c r="Q180" s="45" t="n">
        <v>138928.291</v>
      </c>
      <c r="R180" s="45" t="n">
        <v>121609.49024394</v>
      </c>
      <c r="S180" s="45" t="n">
        <v>3717222.331888569</v>
      </c>
      <c r="T180" s="45" t="n">
        <v>3253834.28162294</v>
      </c>
      <c r="U180" s="15" t="n">
        <v>14.241252</v>
      </c>
      <c r="V180" s="15" t="n">
        <v>14.53988359673879</v>
      </c>
      <c r="W180" s="49" t="n">
        <v>87.53400000000001</v>
      </c>
    </row>
    <row r="181">
      <c r="A181" s="44" t="inlineStr">
        <is>
          <t>TL Cinsi Kuponsuz Senetler</t>
        </is>
      </c>
      <c r="B181" s="44" t="n">
        <v>2009</v>
      </c>
      <c r="C181" s="44" t="inlineStr">
        <is>
          <t>TRT020211T11</t>
        </is>
      </c>
      <c r="D181" s="44" t="inlineStr">
        <is>
          <t>nan</t>
        </is>
      </c>
      <c r="E181" s="44" t="inlineStr">
        <is>
          <t>nan</t>
        </is>
      </c>
      <c r="F181" s="44" t="n"/>
      <c r="G181" s="44" t="n"/>
      <c r="H181" s="15" t="n"/>
      <c r="I181" s="45" t="n">
        <v>4342718.733</v>
      </c>
      <c r="J181" s="45" t="n">
        <v>3448380.69329</v>
      </c>
      <c r="K181" s="45" t="n">
        <v>1231397.575</v>
      </c>
      <c r="L181" s="45" t="n">
        <v>979501.9725</v>
      </c>
      <c r="M181" s="45" t="n">
        <v>251433.1690636629</v>
      </c>
      <c r="N181" s="45" t="n">
        <v>200000</v>
      </c>
      <c r="O181" s="45" t="n">
        <v>1977961.88273157</v>
      </c>
      <c r="P181" s="45" t="n">
        <v>1573350</v>
      </c>
      <c r="Q181" s="45" t="n">
        <v>96224.946</v>
      </c>
      <c r="R181" s="45" t="n">
        <v>76541.17104623999</v>
      </c>
      <c r="S181" s="45" t="n">
        <v>3741547.115795233</v>
      </c>
      <c r="T181" s="45" t="n">
        <v>2976175.32323016</v>
      </c>
      <c r="U181" s="15" t="n">
        <v>25.7167019</v>
      </c>
      <c r="V181" s="15" t="n">
        <v>13.3455770944237</v>
      </c>
      <c r="W181" s="49" t="n">
        <v>79.544</v>
      </c>
    </row>
    <row r="182">
      <c r="A182" s="44" t="inlineStr">
        <is>
          <t>TL Cinsi Kuponsuz Senetler</t>
        </is>
      </c>
      <c r="B182" s="44" t="n">
        <v>2009</v>
      </c>
      <c r="C182" s="44" t="inlineStr">
        <is>
          <t>TRT050510T16</t>
        </is>
      </c>
      <c r="D182" s="44" t="inlineStr">
        <is>
          <t>nan</t>
        </is>
      </c>
      <c r="E182" s="44" t="inlineStr">
        <is>
          <t>nan</t>
        </is>
      </c>
      <c r="F182" s="44" t="n"/>
      <c r="G182" s="44" t="n"/>
      <c r="H182" s="15" t="n"/>
      <c r="I182" s="45" t="n">
        <v>3954558.786</v>
      </c>
      <c r="J182" s="45" t="n">
        <v>3546067.55557</v>
      </c>
      <c r="K182" s="45" t="n">
        <v>1899966.455</v>
      </c>
      <c r="L182" s="45" t="n">
        <v>1705189.14021</v>
      </c>
      <c r="M182" s="45" t="n">
        <v>222846.1915585863</v>
      </c>
      <c r="N182" s="45" t="n">
        <v>200000</v>
      </c>
      <c r="O182" s="45" t="n">
        <v>2914727.904800107</v>
      </c>
      <c r="P182" s="45" t="n">
        <v>2615910</v>
      </c>
      <c r="Q182" s="45" t="n">
        <v>0</v>
      </c>
      <c r="R182" s="45" t="n">
        <v>0</v>
      </c>
      <c r="S182" s="45" t="n">
        <v>5639414.259358693</v>
      </c>
      <c r="T182" s="45" t="n">
        <v>5061268.75566584</v>
      </c>
      <c r="U182" s="15" t="n">
        <v>11.4226223</v>
      </c>
      <c r="V182" s="15" t="n">
        <v>11.4226223</v>
      </c>
      <c r="W182" s="49" t="n">
        <v>89.748</v>
      </c>
    </row>
    <row r="183">
      <c r="A183" s="44" t="inlineStr">
        <is>
          <t>TL Cinsi Kuponsuz Senetler</t>
        </is>
      </c>
      <c r="B183" s="44" t="n">
        <v>2009</v>
      </c>
      <c r="C183" s="44" t="inlineStr">
        <is>
          <t>TRT020211T11</t>
        </is>
      </c>
      <c r="D183" s="44" t="inlineStr">
        <is>
          <t>nan</t>
        </is>
      </c>
      <c r="E183" s="44" t="inlineStr">
        <is>
          <t>nan</t>
        </is>
      </c>
      <c r="F183" s="44" t="n"/>
      <c r="G183" s="44" t="n"/>
      <c r="H183" s="15" t="n"/>
      <c r="I183" s="45" t="n">
        <v>4789055.85</v>
      </c>
      <c r="J183" s="45" t="n">
        <v>3932684.9425</v>
      </c>
      <c r="K183" s="45" t="n">
        <v>1576456.72</v>
      </c>
      <c r="L183" s="45" t="n">
        <v>1298553.11466</v>
      </c>
      <c r="M183" s="45" t="n">
        <v>2428009.51779731</v>
      </c>
      <c r="N183" s="45" t="n">
        <v>2000000</v>
      </c>
      <c r="O183" s="45" t="n">
        <v>3481826.348759287</v>
      </c>
      <c r="P183" s="45" t="n">
        <v>2868050</v>
      </c>
      <c r="Q183" s="45" t="n">
        <v>0</v>
      </c>
      <c r="R183" s="45" t="n">
        <v>0</v>
      </c>
      <c r="S183" s="45" t="n">
        <v>7538337.795556596</v>
      </c>
      <c r="T183" s="45" t="n">
        <v>6209473.79421748</v>
      </c>
      <c r="U183" s="15" t="n">
        <v>21.4010195</v>
      </c>
      <c r="V183" s="15" t="n">
        <v>11.71900212491597</v>
      </c>
      <c r="W183" s="49" t="n">
        <v>82.372</v>
      </c>
    </row>
    <row r="184">
      <c r="A184" s="44" t="inlineStr">
        <is>
          <t>TL Cinsi Kuponsuz Senetler</t>
        </is>
      </c>
      <c r="B184" s="44" t="n">
        <v>2009</v>
      </c>
      <c r="C184" s="44" t="inlineStr">
        <is>
          <t>TRT020211T11</t>
        </is>
      </c>
      <c r="D184" s="44" t="inlineStr">
        <is>
          <t>nan</t>
        </is>
      </c>
      <c r="E184" s="44" t="inlineStr">
        <is>
          <t>nan</t>
        </is>
      </c>
      <c r="F184" s="44" t="n"/>
      <c r="G184" s="44" t="n"/>
      <c r="H184" s="15" t="n"/>
      <c r="I184" s="45" t="n">
        <v>1524693.354</v>
      </c>
      <c r="J184" s="45" t="n">
        <v>1267085.93765</v>
      </c>
      <c r="K184" s="45" t="n">
        <v>1029571.085</v>
      </c>
      <c r="L184" s="45" t="n">
        <v>856174.1967</v>
      </c>
      <c r="M184" s="45" t="n">
        <v>240506.0246759181</v>
      </c>
      <c r="N184" s="45" t="n">
        <v>200000</v>
      </c>
      <c r="O184" s="45" t="n">
        <v>2080497.36645903</v>
      </c>
      <c r="P184" s="45" t="n">
        <v>1730100</v>
      </c>
      <c r="Q184" s="45" t="n">
        <v>0</v>
      </c>
      <c r="R184" s="45" t="n">
        <v>0</v>
      </c>
      <c r="S184" s="45" t="n">
        <v>3350574.476134948</v>
      </c>
      <c r="T184" s="45" t="n">
        <v>2786274.1967</v>
      </c>
      <c r="U184" s="15" t="n">
        <v>20.2525244</v>
      </c>
      <c r="V184" s="15" t="n">
        <v>12.09393757346626</v>
      </c>
      <c r="W184" s="49" t="n">
        <v>83.158</v>
      </c>
    </row>
    <row r="185">
      <c r="A185" s="44" t="inlineStr">
        <is>
          <t>TL Cinsi Kuponsuz Senetler</t>
        </is>
      </c>
      <c r="B185" s="44" t="n">
        <v>2009</v>
      </c>
      <c r="C185" s="44" t="inlineStr">
        <is>
          <t>TRB130110T10</t>
        </is>
      </c>
      <c r="D185" s="44" t="inlineStr">
        <is>
          <t>nan</t>
        </is>
      </c>
      <c r="E185" s="44" t="inlineStr">
        <is>
          <t>nan</t>
        </is>
      </c>
      <c r="F185" s="44" t="n"/>
      <c r="G185" s="44" t="n"/>
      <c r="H185" s="15" t="n"/>
      <c r="I185" s="45" t="n">
        <v>4390912.27</v>
      </c>
      <c r="J185" s="45" t="n">
        <v>4192512.09108</v>
      </c>
      <c r="K185" s="45" t="n">
        <v>1513742.763</v>
      </c>
      <c r="L185" s="45" t="n">
        <v>1446000.00001</v>
      </c>
      <c r="M185" s="45" t="n">
        <v>0</v>
      </c>
      <c r="N185" s="45" t="n">
        <v>0</v>
      </c>
      <c r="O185" s="45" t="n">
        <v>0</v>
      </c>
      <c r="P185" s="45" t="n">
        <v>0</v>
      </c>
      <c r="Q185" s="45" t="n">
        <v>0</v>
      </c>
      <c r="R185" s="45" t="n">
        <v>0</v>
      </c>
      <c r="S185" s="45" t="n">
        <v>1513742.763</v>
      </c>
      <c r="T185" s="45" t="n">
        <v>1446000.00001</v>
      </c>
      <c r="U185" s="15" t="n">
        <v>4.6848384</v>
      </c>
      <c r="V185" s="15" t="n">
        <v>9.589153908341142</v>
      </c>
      <c r="W185" s="49" t="n">
        <v>95.52500000000001</v>
      </c>
    </row>
    <row r="186">
      <c r="A186" s="44" t="inlineStr">
        <is>
          <t>TL Cinsi Kuponsuz Senetler</t>
        </is>
      </c>
      <c r="B186" s="44" t="n">
        <v>2009</v>
      </c>
      <c r="C186" s="44" t="inlineStr">
        <is>
          <t>TRT110511T17</t>
        </is>
      </c>
      <c r="D186" s="44" t="inlineStr">
        <is>
          <t>nan</t>
        </is>
      </c>
      <c r="E186" s="44" t="inlineStr">
        <is>
          <t>nan</t>
        </is>
      </c>
      <c r="F186" s="44" t="n"/>
      <c r="G186" s="44" t="n"/>
      <c r="H186" s="15" t="n"/>
      <c r="I186" s="45" t="n">
        <v>3284013.533</v>
      </c>
      <c r="J186" s="45" t="n">
        <v>2682755.88106</v>
      </c>
      <c r="K186" s="45" t="n">
        <v>1167874.558</v>
      </c>
      <c r="L186" s="45" t="n">
        <v>955582.64908</v>
      </c>
      <c r="M186" s="45" t="n">
        <v>244433.0375693579</v>
      </c>
      <c r="N186" s="45" t="n">
        <v>200000</v>
      </c>
      <c r="O186" s="45" t="n">
        <v>2926496.541272518</v>
      </c>
      <c r="P186" s="45" t="n">
        <v>2394518</v>
      </c>
      <c r="Q186" s="45" t="n">
        <v>0</v>
      </c>
      <c r="R186" s="45" t="n">
        <v>0</v>
      </c>
      <c r="S186" s="45" t="n">
        <v>4508579.966841877</v>
      </c>
      <c r="T186" s="45" t="n">
        <v>3689014.6287026</v>
      </c>
      <c r="U186" s="15" t="n">
        <v>22.2159652</v>
      </c>
      <c r="V186" s="15" t="n">
        <v>11.60690994697526</v>
      </c>
      <c r="W186" s="49" t="n">
        <v>81.822</v>
      </c>
    </row>
    <row r="187">
      <c r="A187" s="44" t="inlineStr">
        <is>
          <t>TL Cinsi Kuponsuz Senetler</t>
        </is>
      </c>
      <c r="B187" s="44" t="n">
        <v>2009</v>
      </c>
      <c r="C187" s="44" t="inlineStr">
        <is>
          <t>TRB280710T17</t>
        </is>
      </c>
      <c r="D187" s="44" t="inlineStr">
        <is>
          <t>nan</t>
        </is>
      </c>
      <c r="E187" s="44" t="inlineStr">
        <is>
          <t>nan</t>
        </is>
      </c>
      <c r="F187" s="44" t="n"/>
      <c r="G187" s="44" t="n"/>
      <c r="H187" s="15" t="n"/>
      <c r="I187" s="45" t="n">
        <v>6841959.18</v>
      </c>
      <c r="J187" s="45" t="n">
        <v>6250380.99736</v>
      </c>
      <c r="K187" s="45" t="n">
        <v>1770000</v>
      </c>
      <c r="L187" s="45" t="n">
        <v>1618717.35</v>
      </c>
      <c r="M187" s="45" t="n">
        <v>218691.5683465824</v>
      </c>
      <c r="N187" s="45" t="n">
        <v>200000</v>
      </c>
      <c r="O187" s="45" t="n">
        <v>3745694.509748177</v>
      </c>
      <c r="P187" s="45" t="n">
        <v>3425550</v>
      </c>
      <c r="Q187" s="45" t="n">
        <v>0</v>
      </c>
      <c r="R187" s="45" t="n">
        <v>0</v>
      </c>
      <c r="S187" s="45" t="n">
        <v>5812418.881094759</v>
      </c>
      <c r="T187" s="45" t="n">
        <v>5315630.689327589</v>
      </c>
      <c r="U187" s="15" t="n">
        <v>9.3458348</v>
      </c>
      <c r="V187" s="15" t="n">
        <v>9.537562593982729</v>
      </c>
      <c r="W187" s="49" t="n">
        <v>91.453</v>
      </c>
    </row>
    <row r="188">
      <c r="A188" s="44" t="inlineStr">
        <is>
          <t>TL Cinsi Kuponsuz Senetler</t>
        </is>
      </c>
      <c r="B188" s="44" t="n">
        <v>2009</v>
      </c>
      <c r="C188" s="44" t="inlineStr">
        <is>
          <t>TRT110511T17</t>
        </is>
      </c>
      <c r="D188" s="44" t="inlineStr">
        <is>
          <t>nan</t>
        </is>
      </c>
      <c r="E188" s="44" t="inlineStr">
        <is>
          <t>nan</t>
        </is>
      </c>
      <c r="F188" s="44" t="n"/>
      <c r="G188" s="44" t="n"/>
      <c r="H188" s="15" t="n"/>
      <c r="I188" s="45" t="n">
        <v>4806883.494</v>
      </c>
      <c r="J188" s="45" t="n">
        <v>4048784.02551</v>
      </c>
      <c r="K188" s="45" t="n">
        <v>1000011.75</v>
      </c>
      <c r="L188" s="45" t="n">
        <v>843464.98362</v>
      </c>
      <c r="M188" s="45" t="n">
        <v>2371185.355559244</v>
      </c>
      <c r="N188" s="45" t="n">
        <v>2000000</v>
      </c>
      <c r="O188" s="45" t="n">
        <v>1156673.612263771</v>
      </c>
      <c r="P188" s="45" t="n">
        <v>975607.925</v>
      </c>
      <c r="Q188" s="45" t="n">
        <v>0</v>
      </c>
      <c r="R188" s="45" t="n">
        <v>0</v>
      </c>
      <c r="S188" s="45" t="n">
        <v>4527870.717823015</v>
      </c>
      <c r="T188" s="45" t="n">
        <v>3819072.90862</v>
      </c>
      <c r="U188" s="15" t="n">
        <v>18.5599603</v>
      </c>
      <c r="V188" s="15" t="n">
        <v>10.10095069928256</v>
      </c>
      <c r="W188" s="49" t="n">
        <v>84.346</v>
      </c>
    </row>
    <row r="189">
      <c r="A189" s="44" t="inlineStr">
        <is>
          <t>TL Cinsi Kuponsuz Senetler</t>
        </is>
      </c>
      <c r="B189" s="44" t="n">
        <v>2009</v>
      </c>
      <c r="C189" s="44" t="inlineStr">
        <is>
          <t>TRB170210T15</t>
        </is>
      </c>
      <c r="D189" s="44" t="inlineStr">
        <is>
          <t>nan</t>
        </is>
      </c>
      <c r="E189" s="44" t="inlineStr">
        <is>
          <t>nan</t>
        </is>
      </c>
      <c r="F189" s="44" t="n"/>
      <c r="G189" s="44" t="n"/>
      <c r="H189" s="15" t="n"/>
      <c r="I189" s="45" t="n">
        <v>7069485.905</v>
      </c>
      <c r="J189" s="45" t="n">
        <v>6774250.92541</v>
      </c>
      <c r="K189" s="45" t="n">
        <v>3647706.336</v>
      </c>
      <c r="L189" s="45" t="n">
        <v>3498000.0003</v>
      </c>
      <c r="M189" s="45" t="n">
        <v>0</v>
      </c>
      <c r="N189" s="45" t="n">
        <v>0</v>
      </c>
      <c r="O189" s="45" t="n">
        <v>0</v>
      </c>
      <c r="P189" s="45" t="n">
        <v>0</v>
      </c>
      <c r="Q189" s="45" t="n">
        <v>0</v>
      </c>
      <c r="R189" s="45" t="n">
        <v>0</v>
      </c>
      <c r="S189" s="45" t="n">
        <v>3647706.336</v>
      </c>
      <c r="T189" s="45" t="n">
        <v>3498000.0003</v>
      </c>
      <c r="U189" s="15" t="n">
        <v>4.2797695</v>
      </c>
      <c r="V189" s="15" t="n">
        <v>8.742703269731301</v>
      </c>
      <c r="W189" s="49" t="n">
        <v>95.896</v>
      </c>
    </row>
    <row r="190">
      <c r="A190" s="44" t="inlineStr">
        <is>
          <t>TL Cinsi Kuponsuz Senetler</t>
        </is>
      </c>
      <c r="B190" s="44" t="n">
        <v>2009</v>
      </c>
      <c r="C190" s="44" t="inlineStr">
        <is>
          <t>TRB100310T11</t>
        </is>
      </c>
      <c r="D190" s="44" t="inlineStr">
        <is>
          <t>nan</t>
        </is>
      </c>
      <c r="E190" s="44" t="inlineStr">
        <is>
          <t>nan</t>
        </is>
      </c>
      <c r="F190" s="44" t="n"/>
      <c r="G190" s="44" t="n"/>
      <c r="H190" s="15" t="n"/>
      <c r="I190" s="45" t="n">
        <v>1940891.04</v>
      </c>
      <c r="J190" s="45" t="n">
        <v>1863487.19552</v>
      </c>
      <c r="K190" s="45" t="n">
        <v>799632.966</v>
      </c>
      <c r="L190" s="45" t="n">
        <v>767999.99959</v>
      </c>
      <c r="M190" s="45" t="n">
        <v>0</v>
      </c>
      <c r="N190" s="45" t="n">
        <v>0</v>
      </c>
      <c r="O190" s="45" t="n">
        <v>0</v>
      </c>
      <c r="P190" s="45" t="n">
        <v>0</v>
      </c>
      <c r="Q190" s="45" t="n"/>
      <c r="R190" s="45" t="n">
        <v>0</v>
      </c>
      <c r="S190" s="45" t="n">
        <v>799632.966</v>
      </c>
      <c r="T190" s="45" t="n">
        <v>767999.99959</v>
      </c>
      <c r="U190" s="15" t="n">
        <v>4.1188758</v>
      </c>
      <c r="V190" s="15" t="n">
        <v>8.407402978558288</v>
      </c>
      <c r="W190" s="49" t="n">
        <v>96.044</v>
      </c>
    </row>
    <row r="191">
      <c r="A191" s="44" t="inlineStr">
        <is>
          <t>TL Cinsi Kuponsuz Senetler</t>
        </is>
      </c>
      <c r="B191" s="44" t="n">
        <v>2009</v>
      </c>
      <c r="C191" s="44" t="inlineStr">
        <is>
          <t>TRT110511T17</t>
        </is>
      </c>
      <c r="D191" s="44" t="inlineStr">
        <is>
          <t>nan</t>
        </is>
      </c>
      <c r="E191" s="44" t="inlineStr">
        <is>
          <t>nan</t>
        </is>
      </c>
      <c r="F191" s="44" t="n"/>
      <c r="G191" s="44" t="n"/>
      <c r="H191" s="15" t="n"/>
      <c r="I191" s="45" t="n">
        <v>2406854.18</v>
      </c>
      <c r="J191" s="45" t="n">
        <v>2069806.56811</v>
      </c>
      <c r="K191" s="45" t="n">
        <v>963654.1800000001</v>
      </c>
      <c r="L191" s="45" t="n">
        <v>829343.90811</v>
      </c>
      <c r="M191" s="45" t="n">
        <v>174292.9515930376</v>
      </c>
      <c r="N191" s="45" t="n">
        <v>150000</v>
      </c>
      <c r="O191" s="45" t="n">
        <v>1322372.243266482</v>
      </c>
      <c r="P191" s="45" t="n">
        <v>1138060</v>
      </c>
      <c r="Q191" s="45" t="n">
        <v>0</v>
      </c>
      <c r="R191" s="45" t="n">
        <v>0</v>
      </c>
      <c r="S191" s="45" t="n">
        <v>2646362.16485952</v>
      </c>
      <c r="T191" s="45" t="n">
        <v>2277516.0540398</v>
      </c>
      <c r="U191" s="15" t="n">
        <v>16.194762</v>
      </c>
      <c r="V191" s="15" t="n">
        <v>9.376084337444878</v>
      </c>
      <c r="W191" s="49" t="n">
        <v>86.062</v>
      </c>
    </row>
    <row r="192">
      <c r="A192" s="44" t="inlineStr">
        <is>
          <t>TL Cinsi Kuponsuz Senetler</t>
        </is>
      </c>
      <c r="B192" s="44" t="n">
        <v>2009</v>
      </c>
      <c r="C192" s="44" t="inlineStr">
        <is>
          <t>TRT081210T14</t>
        </is>
      </c>
      <c r="D192" s="44" t="inlineStr">
        <is>
          <t>nan</t>
        </is>
      </c>
      <c r="E192" s="44" t="inlineStr">
        <is>
          <t>nan</t>
        </is>
      </c>
      <c r="F192" s="44" t="n"/>
      <c r="G192" s="44" t="n"/>
      <c r="H192" s="15" t="n"/>
      <c r="I192" s="45" t="n">
        <v>6322701</v>
      </c>
      <c r="J192" s="45" t="n">
        <v>5802601.16229</v>
      </c>
      <c r="K192" s="45" t="n">
        <v>2425000</v>
      </c>
      <c r="L192" s="45" t="n">
        <v>2230756.2</v>
      </c>
      <c r="M192" s="45" t="n">
        <v>217414.9364061311</v>
      </c>
      <c r="N192" s="45" t="n">
        <v>200000</v>
      </c>
      <c r="O192" s="45" t="n">
        <v>2608461.631699098</v>
      </c>
      <c r="P192" s="45" t="n">
        <v>2399523.855</v>
      </c>
      <c r="Q192" s="45" t="n">
        <v>0</v>
      </c>
      <c r="R192" s="45" t="n">
        <v>0</v>
      </c>
      <c r="S192" s="45" t="n">
        <v>5250876.568105228</v>
      </c>
      <c r="T192" s="45" t="n">
        <v>4830280.055</v>
      </c>
      <c r="U192" s="15" t="n">
        <v>8.707531599999999</v>
      </c>
      <c r="V192" s="15" t="n">
        <v>7.376650451702882</v>
      </c>
      <c r="W192" s="49" t="n">
        <v>91.98999999999999</v>
      </c>
    </row>
    <row r="193">
      <c r="A193" s="44" t="inlineStr">
        <is>
          <t>TL Cinsi Kuponsuz Senetler</t>
        </is>
      </c>
      <c r="B193" s="44" t="n">
        <v>2009</v>
      </c>
      <c r="C193" s="44" t="inlineStr">
        <is>
          <t>TRT030811T14</t>
        </is>
      </c>
      <c r="D193" s="44" t="inlineStr">
        <is>
          <t>nan</t>
        </is>
      </c>
      <c r="E193" s="44" t="inlineStr">
        <is>
          <t>nan</t>
        </is>
      </c>
      <c r="F193" s="44" t="n"/>
      <c r="G193" s="44" t="n"/>
      <c r="H193" s="15" t="n"/>
      <c r="I193" s="45" t="n">
        <v>1750912.218</v>
      </c>
      <c r="J193" s="45" t="n">
        <v>1527018.41477</v>
      </c>
      <c r="K193" s="45" t="n">
        <v>1107412.218</v>
      </c>
      <c r="L193" s="45" t="n">
        <v>966697.95677</v>
      </c>
      <c r="M193" s="45" t="n">
        <v>0</v>
      </c>
      <c r="N193" s="45" t="n">
        <v>0</v>
      </c>
      <c r="O193" s="45" t="n">
        <v>3439777.530844397</v>
      </c>
      <c r="P193" s="45" t="n">
        <v>3002685</v>
      </c>
      <c r="Q193" s="45" t="n">
        <v>0</v>
      </c>
      <c r="R193" s="45" t="n">
        <v>0</v>
      </c>
      <c r="S193" s="45" t="n">
        <v>4547189.748844397</v>
      </c>
      <c r="T193" s="45" t="n">
        <v>3969382.95677</v>
      </c>
      <c r="U193" s="15" t="n">
        <v>14.5561765</v>
      </c>
      <c r="V193" s="15" t="n">
        <v>7.722114228385224</v>
      </c>
      <c r="W193" s="49" t="n">
        <v>87.29300000000001</v>
      </c>
    </row>
    <row r="194">
      <c r="A194" s="44" t="inlineStr">
        <is>
          <t>TL Cinsi Kuponsuz Senetler</t>
        </is>
      </c>
      <c r="B194" s="44" t="n">
        <v>2009</v>
      </c>
      <c r="C194" s="44" t="inlineStr">
        <is>
          <t>TRT081210T14</t>
        </is>
      </c>
      <c r="D194" s="44" t="inlineStr">
        <is>
          <t>nan</t>
        </is>
      </c>
      <c r="E194" s="44" t="inlineStr">
        <is>
          <t>nan</t>
        </is>
      </c>
      <c r="F194" s="44" t="n"/>
      <c r="G194" s="44" t="n"/>
      <c r="H194" s="15" t="n"/>
      <c r="I194" s="45" t="n">
        <v>4066674</v>
      </c>
      <c r="J194" s="45" t="n">
        <v>3739514.18264</v>
      </c>
      <c r="K194" s="45" t="n">
        <v>1130674</v>
      </c>
      <c r="L194" s="45" t="n">
        <v>1040701.28314</v>
      </c>
      <c r="M194" s="45" t="n">
        <v>0</v>
      </c>
      <c r="N194" s="45" t="n">
        <v>0</v>
      </c>
      <c r="O194" s="45" t="n">
        <v>1845740.577773432</v>
      </c>
      <c r="P194" s="45" t="n">
        <v>1698875</v>
      </c>
      <c r="Q194" s="45" t="n">
        <v>0</v>
      </c>
      <c r="R194" s="45" t="n">
        <v>0</v>
      </c>
      <c r="S194" s="45" t="n">
        <v>3015615.845773432</v>
      </c>
      <c r="T194" s="45" t="n">
        <v>2775658.30624524</v>
      </c>
      <c r="U194" s="15" t="n">
        <v>8.6453931</v>
      </c>
      <c r="V194" s="15" t="n">
        <v>8.155114653977623</v>
      </c>
      <c r="W194" s="49" t="n">
        <v>92.04300000000001</v>
      </c>
    </row>
    <row r="195">
      <c r="A195" s="44" t="inlineStr">
        <is>
          <t>TL Cinsi Kuponsuz Senetler</t>
        </is>
      </c>
      <c r="B195" s="44" t="n">
        <v>2009</v>
      </c>
      <c r="C195" s="44" t="inlineStr">
        <is>
          <t>TRT030811T14</t>
        </is>
      </c>
      <c r="D195" s="44" t="inlineStr">
        <is>
          <t>nan</t>
        </is>
      </c>
      <c r="E195" s="44" t="inlineStr">
        <is>
          <t>nan</t>
        </is>
      </c>
      <c r="F195" s="44" t="n"/>
      <c r="G195" s="44" t="n"/>
      <c r="H195" s="15" t="n"/>
      <c r="I195" s="45" t="n">
        <v>8670670.408</v>
      </c>
      <c r="J195" s="45" t="n">
        <v>7501977.5062</v>
      </c>
      <c r="K195" s="45" t="n">
        <v>2405000</v>
      </c>
      <c r="L195" s="45" t="n">
        <v>2083148.9</v>
      </c>
      <c r="M195" s="45" t="n">
        <v>525301.0379024902</v>
      </c>
      <c r="N195" s="45" t="n">
        <v>455000</v>
      </c>
      <c r="O195" s="45" t="n">
        <v>1328838.449726959</v>
      </c>
      <c r="P195" s="45" t="n">
        <v>1151000</v>
      </c>
      <c r="Q195" s="45" t="n">
        <v>0</v>
      </c>
      <c r="R195" s="45" t="n">
        <v>0</v>
      </c>
      <c r="S195" s="45" t="n">
        <v>4519199.487629449</v>
      </c>
      <c r="T195" s="45" t="n">
        <v>3914405.0702</v>
      </c>
      <c r="U195" s="15" t="n">
        <v>15.4502206</v>
      </c>
      <c r="V195" s="15" t="n">
        <v>8.756536776039713</v>
      </c>
      <c r="W195" s="49" t="n">
        <v>86.617</v>
      </c>
    </row>
    <row r="196">
      <c r="A196" s="44" t="inlineStr">
        <is>
          <t>TL Cinsi Kuponsuz Senetler</t>
        </is>
      </c>
      <c r="B196" s="44" t="n">
        <v>2009</v>
      </c>
      <c r="C196" s="44" t="inlineStr">
        <is>
          <t>TRT030811T14</t>
        </is>
      </c>
      <c r="D196" s="44" t="inlineStr">
        <is>
          <t>nan</t>
        </is>
      </c>
      <c r="E196" s="44" t="inlineStr">
        <is>
          <t>nan</t>
        </is>
      </c>
      <c r="F196" s="44" t="n"/>
      <c r="G196" s="44" t="n"/>
      <c r="H196" s="15" t="n"/>
      <c r="I196" s="45" t="n">
        <v>3094745.425</v>
      </c>
      <c r="J196" s="45" t="n">
        <v>2681374.953</v>
      </c>
      <c r="K196" s="45" t="n">
        <v>1018594.27</v>
      </c>
      <c r="L196" s="45" t="n">
        <v>883240.11538</v>
      </c>
      <c r="M196" s="45" t="n">
        <v>57662.14595442384</v>
      </c>
      <c r="N196" s="45" t="n">
        <v>50000</v>
      </c>
      <c r="O196" s="45" t="n">
        <v>664267.9213949626</v>
      </c>
      <c r="P196" s="45" t="n">
        <v>576000</v>
      </c>
      <c r="Q196" s="45" t="n">
        <v>0</v>
      </c>
      <c r="R196" s="45" t="n">
        <v>0</v>
      </c>
      <c r="S196" s="45" t="n">
        <v>1790024.337349386</v>
      </c>
      <c r="T196" s="45" t="n">
        <v>1552162.55538</v>
      </c>
      <c r="U196" s="15" t="n">
        <v>15.3247291</v>
      </c>
      <c r="V196" s="15" t="n">
        <v>9.003759594123828</v>
      </c>
      <c r="W196" s="49" t="n">
        <v>86.712</v>
      </c>
    </row>
    <row r="197">
      <c r="A197" s="44" t="inlineStr">
        <is>
          <t>TL Cinsi Kuponsuz Senetler</t>
        </is>
      </c>
      <c r="B197" s="44" t="n">
        <v>2008</v>
      </c>
      <c r="C197" s="44" t="inlineStr">
        <is>
          <t>TRB020408T14</t>
        </is>
      </c>
      <c r="D197" s="44" t="inlineStr">
        <is>
          <t>nan</t>
        </is>
      </c>
      <c r="E197" s="44" t="inlineStr">
        <is>
          <t>nan</t>
        </is>
      </c>
      <c r="F197" s="44" t="n"/>
      <c r="G197" s="44" t="n"/>
      <c r="H197" s="15" t="n"/>
      <c r="I197" s="45" t="n">
        <v>1405916.33</v>
      </c>
      <c r="J197" s="45" t="n">
        <v>1353374.4013</v>
      </c>
      <c r="K197" s="45" t="n">
        <v>664606.279</v>
      </c>
      <c r="L197" s="45" t="n">
        <v>640000.00003</v>
      </c>
      <c r="M197" s="45" t="n">
        <v>0</v>
      </c>
      <c r="N197" s="45" t="n">
        <v>0</v>
      </c>
      <c r="O197" s="45" t="n">
        <v>0</v>
      </c>
      <c r="P197" s="45" t="n">
        <v>0</v>
      </c>
      <c r="Q197" s="45" t="n">
        <v>0</v>
      </c>
      <c r="R197" s="45" t="n">
        <v>0</v>
      </c>
      <c r="S197" s="45" t="n">
        <v>664606.279</v>
      </c>
      <c r="T197" s="45" t="n">
        <v>640000.00003</v>
      </c>
      <c r="U197" s="15" t="n">
        <v>3.8447311</v>
      </c>
      <c r="V197" s="15" t="n">
        <v>16.28879340041249</v>
      </c>
      <c r="W197" s="49" t="n">
        <v>96.298</v>
      </c>
    </row>
    <row r="198">
      <c r="A198" s="44" t="inlineStr">
        <is>
          <t>TL Cinsi Kuponsuz Senetler</t>
        </is>
      </c>
      <c r="B198" s="44" t="n">
        <v>2008</v>
      </c>
      <c r="C198" s="44" t="inlineStr">
        <is>
          <t>TRB160708T15</t>
        </is>
      </c>
      <c r="D198" s="44" t="inlineStr">
        <is>
          <t>nan</t>
        </is>
      </c>
      <c r="E198" s="44" t="inlineStr">
        <is>
          <t>nan</t>
        </is>
      </c>
      <c r="F198" s="44" t="n"/>
      <c r="G198" s="44" t="n"/>
      <c r="H198" s="15" t="n"/>
      <c r="I198" s="45" t="n">
        <v>3308987.785</v>
      </c>
      <c r="J198" s="45" t="n">
        <v>3067238.20376</v>
      </c>
      <c r="K198" s="45" t="n">
        <v>1036414.378</v>
      </c>
      <c r="L198" s="45" t="n">
        <v>961000.0006</v>
      </c>
      <c r="M198" s="45" t="n">
        <v>0</v>
      </c>
      <c r="N198" s="45" t="n">
        <v>0</v>
      </c>
      <c r="O198" s="45" t="n">
        <v>0</v>
      </c>
      <c r="P198" s="45" t="n">
        <v>0</v>
      </c>
      <c r="Q198" s="45" t="n">
        <v>0</v>
      </c>
      <c r="R198" s="45" t="n">
        <v>0</v>
      </c>
      <c r="S198" s="45" t="n">
        <v>1036414.378</v>
      </c>
      <c r="T198" s="45" t="n">
        <v>961000.0006</v>
      </c>
      <c r="U198" s="15" t="n">
        <v>7.8474898</v>
      </c>
      <c r="V198" s="15" t="n">
        <v>16.31081056161106</v>
      </c>
      <c r="W198" s="49" t="n">
        <v>92.724</v>
      </c>
    </row>
    <row r="199">
      <c r="A199" s="44" t="inlineStr">
        <is>
          <t>TL Cinsi Kuponsuz Senetler</t>
        </is>
      </c>
      <c r="B199" s="44" t="n">
        <v>2008</v>
      </c>
      <c r="C199" s="44" t="inlineStr">
        <is>
          <t>TRT071009T51</t>
        </is>
      </c>
      <c r="D199" s="44" t="inlineStr">
        <is>
          <t>nan</t>
        </is>
      </c>
      <c r="E199" s="44" t="inlineStr">
        <is>
          <t>nan</t>
        </is>
      </c>
      <c r="F199" s="44" t="n"/>
      <c r="G199" s="44" t="n"/>
      <c r="H199" s="15" t="n"/>
      <c r="I199" s="45" t="n">
        <v>5872876.5</v>
      </c>
      <c r="J199" s="45" t="n">
        <v>4525000.93005</v>
      </c>
      <c r="K199" s="45" t="n">
        <v>2157000</v>
      </c>
      <c r="L199" s="45" t="n">
        <v>1663362.668</v>
      </c>
      <c r="M199" s="45" t="n">
        <v>661349.93191986</v>
      </c>
      <c r="N199" s="45" t="n">
        <v>510000</v>
      </c>
      <c r="O199" s="45" t="n">
        <v>1622330.285936588</v>
      </c>
      <c r="P199" s="45" t="n">
        <v>1251060</v>
      </c>
      <c r="Q199" s="45" t="n">
        <v>0</v>
      </c>
      <c r="R199" s="45" t="n">
        <v>0</v>
      </c>
      <c r="S199" s="45" t="n">
        <v>4440680.217856448</v>
      </c>
      <c r="T199" s="45" t="n">
        <v>3424422.668</v>
      </c>
      <c r="U199" s="15" t="n">
        <v>29.67707</v>
      </c>
      <c r="V199" s="15" t="n">
        <v>16.20099388977714</v>
      </c>
      <c r="W199" s="49" t="n">
        <v>77.11499999999999</v>
      </c>
    </row>
    <row r="200">
      <c r="A200" s="44" t="inlineStr">
        <is>
          <t>TL Cinsi Kuponsuz Senetler</t>
        </is>
      </c>
      <c r="B200" s="44" t="n">
        <v>2008</v>
      </c>
      <c r="C200" s="44" t="inlineStr">
        <is>
          <t>TRB200808T18</t>
        </is>
      </c>
      <c r="D200" s="44" t="inlineStr">
        <is>
          <t>nan</t>
        </is>
      </c>
      <c r="E200" s="44" t="inlineStr">
        <is>
          <t>nan</t>
        </is>
      </c>
      <c r="F200" s="44" t="n"/>
      <c r="G200" s="44" t="n"/>
      <c r="H200" s="15" t="n"/>
      <c r="I200" s="45" t="n">
        <v>2701960.335</v>
      </c>
      <c r="J200" s="45" t="n">
        <v>2499031.96124</v>
      </c>
      <c r="K200" s="45" t="n">
        <v>989013.205</v>
      </c>
      <c r="L200" s="45" t="n">
        <v>915000.0023000001</v>
      </c>
      <c r="M200" s="45" t="n">
        <v>0</v>
      </c>
      <c r="N200" s="45" t="n">
        <v>0</v>
      </c>
      <c r="O200" s="45" t="n">
        <v>0</v>
      </c>
      <c r="P200" s="45" t="n">
        <v>0</v>
      </c>
      <c r="Q200" s="45" t="n">
        <v>0</v>
      </c>
      <c r="R200" s="45" t="n">
        <v>0</v>
      </c>
      <c r="S200" s="45" t="n">
        <v>989013.3050000001</v>
      </c>
      <c r="T200" s="45" t="n">
        <v>915000.0023000001</v>
      </c>
      <c r="U200" s="15" t="n">
        <v>8.0888746</v>
      </c>
      <c r="V200" s="15" t="n">
        <v>16.83204812294527</v>
      </c>
      <c r="W200" s="49" t="n">
        <v>92.51600000000001</v>
      </c>
    </row>
    <row r="201">
      <c r="A201" s="44" t="inlineStr">
        <is>
          <t>TL Cinsi Kuponsuz Senetler</t>
        </is>
      </c>
      <c r="B201" s="44" t="n">
        <v>2008</v>
      </c>
      <c r="C201" s="44" t="inlineStr">
        <is>
          <t>TRT071009T51</t>
        </is>
      </c>
      <c r="D201" s="44" t="inlineStr">
        <is>
          <t>nan</t>
        </is>
      </c>
      <c r="E201" s="44" t="inlineStr">
        <is>
          <t>nan</t>
        </is>
      </c>
      <c r="F201" s="44" t="n"/>
      <c r="G201" s="44" t="n"/>
      <c r="H201" s="15" t="n"/>
      <c r="I201" s="45" t="n">
        <v>3258996</v>
      </c>
      <c r="J201" s="45" t="n">
        <v>2530248.059</v>
      </c>
      <c r="K201" s="45" t="n">
        <v>834551.95</v>
      </c>
      <c r="L201" s="45" t="n">
        <v>648637.78764</v>
      </c>
      <c r="M201" s="45" t="n">
        <v>771972.2604634407</v>
      </c>
      <c r="N201" s="45" t="n">
        <v>600000</v>
      </c>
      <c r="O201" s="45" t="n">
        <v>1163757.960963936</v>
      </c>
      <c r="P201" s="45" t="n">
        <v>904507.6</v>
      </c>
      <c r="Q201" s="45" t="n">
        <v>97669.63800000001</v>
      </c>
      <c r="R201" s="45" t="n">
        <v>75911.77274274</v>
      </c>
      <c r="S201" s="45" t="n">
        <v>2867951.80942738</v>
      </c>
      <c r="T201" s="45" t="n">
        <v>2229057.16038274</v>
      </c>
      <c r="U201" s="15" t="n">
        <v>28.66225</v>
      </c>
      <c r="V201" s="15" t="n">
        <v>16.66977105699065</v>
      </c>
      <c r="W201" s="49" t="n">
        <v>77.723</v>
      </c>
    </row>
    <row r="202">
      <c r="A202" s="44" t="inlineStr">
        <is>
          <t>TL Cinsi Kuponsuz Senetler</t>
        </is>
      </c>
      <c r="B202" s="44" t="n">
        <v>2008</v>
      </c>
      <c r="C202" s="44" t="inlineStr">
        <is>
          <t>TRB100908T19</t>
        </is>
      </c>
      <c r="D202" s="44" t="inlineStr">
        <is>
          <t>nan</t>
        </is>
      </c>
      <c r="E202" s="44" t="inlineStr">
        <is>
          <t>nan</t>
        </is>
      </c>
      <c r="F202" s="44" t="n"/>
      <c r="G202" s="44" t="n"/>
      <c r="H202" s="15" t="n"/>
      <c r="I202" s="45" t="n">
        <v>1556205.205</v>
      </c>
      <c r="J202" s="45" t="n">
        <v>1437467.50838</v>
      </c>
      <c r="K202" s="45" t="n">
        <v>899452.583</v>
      </c>
      <c r="L202" s="45" t="n">
        <v>831000.00066</v>
      </c>
      <c r="M202" s="45" t="n">
        <v>0</v>
      </c>
      <c r="N202" s="45" t="n">
        <v>0</v>
      </c>
      <c r="O202" s="45" t="n">
        <v>0</v>
      </c>
      <c r="P202" s="45" t="n">
        <v>0</v>
      </c>
      <c r="Q202" s="45" t="n">
        <v>0</v>
      </c>
      <c r="R202" s="45" t="n">
        <v>0</v>
      </c>
      <c r="S202" s="45" t="n">
        <v>899452.583</v>
      </c>
      <c r="T202" s="45" t="n">
        <v>831000.00066</v>
      </c>
      <c r="U202" s="15" t="n">
        <v>8.2373745</v>
      </c>
      <c r="V202" s="15" t="n">
        <v>17.15329238653249</v>
      </c>
      <c r="W202" s="49" t="n">
        <v>92.39</v>
      </c>
    </row>
    <row r="203">
      <c r="A203" s="44" t="inlineStr">
        <is>
          <t>TL Cinsi Kuponsuz Senetler</t>
        </is>
      </c>
      <c r="B203" s="44" t="n">
        <v>2008</v>
      </c>
      <c r="C203" s="44" t="inlineStr">
        <is>
          <t>TRT071009T51</t>
        </is>
      </c>
      <c r="D203" s="44" t="inlineStr">
        <is>
          <t>nan</t>
        </is>
      </c>
      <c r="E203" s="44" t="inlineStr">
        <is>
          <t>nan</t>
        </is>
      </c>
      <c r="F203" s="44" t="n"/>
      <c r="G203" s="44" t="n"/>
      <c r="H203" s="15" t="n"/>
      <c r="I203" s="45" t="n">
        <v>3645750.6</v>
      </c>
      <c r="J203" s="45" t="n">
        <v>2820454.71609</v>
      </c>
      <c r="K203" s="45" t="n">
        <v>1452000</v>
      </c>
      <c r="L203" s="45" t="n">
        <v>1124375.34</v>
      </c>
      <c r="M203" s="45" t="n">
        <v>129138.9018027791</v>
      </c>
      <c r="N203" s="45" t="n">
        <v>100000</v>
      </c>
      <c r="O203" s="45" t="n">
        <v>1386790.381734594</v>
      </c>
      <c r="P203" s="45" t="n">
        <v>1073875</v>
      </c>
      <c r="Q203" s="45" t="n">
        <v>141871.029</v>
      </c>
      <c r="R203" s="45" t="n">
        <v>109859.25001644</v>
      </c>
      <c r="S203" s="45" t="n">
        <v>3314800.312537373</v>
      </c>
      <c r="T203" s="45" t="n">
        <v>2566853.39001644</v>
      </c>
      <c r="U203" s="15" t="n">
        <v>29.13837</v>
      </c>
      <c r="V203" s="15" t="n">
        <v>17.60487169491272</v>
      </c>
      <c r="W203" s="49" t="n">
        <v>77.43600000000001</v>
      </c>
    </row>
    <row r="204">
      <c r="A204" s="44" t="inlineStr">
        <is>
          <t>TL Cinsi Kuponsuz Senetler</t>
        </is>
      </c>
      <c r="B204" s="44" t="n">
        <v>2008</v>
      </c>
      <c r="C204" s="44" t="inlineStr">
        <is>
          <t>TRB020708T11</t>
        </is>
      </c>
      <c r="D204" s="44" t="inlineStr">
        <is>
          <t>nan</t>
        </is>
      </c>
      <c r="E204" s="44" t="inlineStr">
        <is>
          <t>nan</t>
        </is>
      </c>
      <c r="F204" s="44" t="n"/>
      <c r="G204" s="44" t="n"/>
      <c r="H204" s="15" t="n"/>
      <c r="I204" s="45" t="n">
        <v>2027434.17</v>
      </c>
      <c r="J204" s="45" t="n">
        <v>1945985.39747</v>
      </c>
      <c r="K204" s="45" t="n">
        <v>1334327.151</v>
      </c>
      <c r="L204" s="45" t="n">
        <v>1280999.99848</v>
      </c>
      <c r="M204" s="45" t="n">
        <v>0</v>
      </c>
      <c r="N204" s="45" t="n">
        <v>0</v>
      </c>
      <c r="O204" s="45" t="n">
        <v>0</v>
      </c>
      <c r="P204" s="45" t="n">
        <v>0</v>
      </c>
      <c r="Q204" s="45" t="n">
        <v>0</v>
      </c>
      <c r="R204" s="45" t="n">
        <v>0</v>
      </c>
      <c r="S204" s="45" t="n">
        <v>1334327.151</v>
      </c>
      <c r="T204" s="45" t="n">
        <v>1280999.99848</v>
      </c>
      <c r="U204" s="15" t="n">
        <v>4.1629315</v>
      </c>
      <c r="V204" s="15" t="n">
        <v>17.72068368822504</v>
      </c>
      <c r="W204" s="49" t="n">
        <v>96.003</v>
      </c>
    </row>
    <row r="205">
      <c r="A205" s="44" t="inlineStr">
        <is>
          <t>TL Cinsi Kuponsuz Senetler</t>
        </is>
      </c>
      <c r="B205" s="44" t="n">
        <v>2008</v>
      </c>
      <c r="C205" s="44" t="inlineStr">
        <is>
          <t>TRT080409T17</t>
        </is>
      </c>
      <c r="D205" s="44" t="inlineStr">
        <is>
          <t>nan</t>
        </is>
      </c>
      <c r="E205" s="44" t="inlineStr">
        <is>
          <t>nan</t>
        </is>
      </c>
      <c r="F205" s="44" t="n"/>
      <c r="G205" s="44" t="n"/>
      <c r="H205" s="15" t="n"/>
      <c r="I205" s="45" t="n">
        <v>2307951.954</v>
      </c>
      <c r="J205" s="45" t="n">
        <v>1950661.6743</v>
      </c>
      <c r="K205" s="45" t="n">
        <v>1416699.425</v>
      </c>
      <c r="L205" s="45" t="n">
        <v>1197920.62164</v>
      </c>
      <c r="M205" s="45" t="n">
        <v>0</v>
      </c>
      <c r="N205" s="45" t="n">
        <v>0</v>
      </c>
      <c r="O205" s="45" t="n">
        <v>842531.8595976677</v>
      </c>
      <c r="P205" s="45" t="n">
        <v>712419.66452</v>
      </c>
      <c r="Q205" s="45" t="n">
        <v>101270.381</v>
      </c>
      <c r="R205" s="45" t="n">
        <v>85631.19606217001</v>
      </c>
      <c r="S205" s="45" t="n">
        <v>2404503.273597668</v>
      </c>
      <c r="T205" s="45" t="n">
        <v>2033177.92189873</v>
      </c>
      <c r="U205" s="15" t="n">
        <v>18.2632137</v>
      </c>
      <c r="V205" s="15" t="n">
        <v>18.26321370000002</v>
      </c>
      <c r="W205" s="49" t="n">
        <v>84.557</v>
      </c>
    </row>
    <row r="206">
      <c r="A206" s="44" t="inlineStr">
        <is>
          <t>TL Cinsi Kuponsuz Senetler</t>
        </is>
      </c>
      <c r="B206" s="44" t="n">
        <v>2008</v>
      </c>
      <c r="C206" s="44" t="inlineStr">
        <is>
          <t>TRT130110T10</t>
        </is>
      </c>
      <c r="D206" s="44" t="inlineStr">
        <is>
          <t>nan</t>
        </is>
      </c>
      <c r="E206" s="44" t="inlineStr">
        <is>
          <t>nan</t>
        </is>
      </c>
      <c r="F206" s="44" t="n"/>
      <c r="G206" s="44" t="n"/>
      <c r="H206" s="15" t="n"/>
      <c r="I206" s="45" t="n">
        <v>5363947.697</v>
      </c>
      <c r="J206" s="45" t="n">
        <v>3973579.29734</v>
      </c>
      <c r="K206" s="45" t="n">
        <v>3317323.18</v>
      </c>
      <c r="L206" s="45" t="n">
        <v>2458631.10228</v>
      </c>
      <c r="M206" s="45" t="n">
        <v>809552.7221210282</v>
      </c>
      <c r="N206" s="45" t="n">
        <v>600000</v>
      </c>
      <c r="O206" s="45" t="n">
        <v>1314127.706941915</v>
      </c>
      <c r="P206" s="45" t="n">
        <v>973965.75</v>
      </c>
      <c r="Q206" s="45" t="n">
        <v>224199.207</v>
      </c>
      <c r="R206" s="45" t="n">
        <v>166165.24226805</v>
      </c>
      <c r="S206" s="45" t="n">
        <v>6004470.615062944</v>
      </c>
      <c r="T206" s="45" t="n">
        <v>4450210.4237769</v>
      </c>
      <c r="U206" s="15" t="n">
        <v>34.9256168</v>
      </c>
      <c r="V206" s="15" t="n">
        <v>18.44906154479982</v>
      </c>
      <c r="W206" s="49" t="n">
        <v>74.11499999999999</v>
      </c>
    </row>
    <row r="207">
      <c r="A207" s="44" t="inlineStr">
        <is>
          <t>TL Cinsi Kuponsuz Senetler</t>
        </is>
      </c>
      <c r="B207" s="44" t="n">
        <v>2008</v>
      </c>
      <c r="C207" s="44" t="inlineStr">
        <is>
          <t>TRT130110T10</t>
        </is>
      </c>
      <c r="D207" s="44" t="inlineStr">
        <is>
          <t>nan</t>
        </is>
      </c>
      <c r="E207" s="44" t="inlineStr">
        <is>
          <t>nan</t>
        </is>
      </c>
      <c r="F207" s="44" t="n"/>
      <c r="G207" s="44" t="n"/>
      <c r="H207" s="15" t="n"/>
      <c r="I207" s="45" t="n">
        <v>1711082.671</v>
      </c>
      <c r="J207" s="45" t="n">
        <v>1263468.29939</v>
      </c>
      <c r="K207" s="45" t="n">
        <v>1022593.951</v>
      </c>
      <c r="L207" s="45" t="n">
        <v>755641.19293</v>
      </c>
      <c r="M207" s="45" t="n">
        <v>135327.1533933284</v>
      </c>
      <c r="N207" s="45" t="n">
        <v>100000</v>
      </c>
      <c r="O207" s="45" t="n">
        <v>920729.4139928276</v>
      </c>
      <c r="P207" s="45" t="n">
        <v>680373.00047</v>
      </c>
      <c r="Q207" s="45" t="n">
        <v>74850.234</v>
      </c>
      <c r="R207" s="45" t="n">
        <v>55310.58041429999</v>
      </c>
      <c r="S207" s="45" t="n">
        <v>2153500.752386156</v>
      </c>
      <c r="T207" s="45" t="n">
        <v>1591324.7738143</v>
      </c>
      <c r="U207" s="15" t="n">
        <v>35.3279785</v>
      </c>
      <c r="V207" s="15" t="n">
        <v>19.57437622696141</v>
      </c>
      <c r="W207" s="49" t="n">
        <v>73.895</v>
      </c>
    </row>
    <row r="208">
      <c r="A208" s="44" t="inlineStr">
        <is>
          <t>TL Cinsi Kuponsuz Senetler</t>
        </is>
      </c>
      <c r="B208" s="44" t="n">
        <v>2008</v>
      </c>
      <c r="C208" s="44" t="inlineStr">
        <is>
          <t>TRT130110T10</t>
        </is>
      </c>
      <c r="D208" s="44" t="inlineStr">
        <is>
          <t>nan</t>
        </is>
      </c>
      <c r="E208" s="44" t="inlineStr">
        <is>
          <t>nan</t>
        </is>
      </c>
      <c r="F208" s="44" t="n"/>
      <c r="G208" s="44" t="n"/>
      <c r="H208" s="15" t="n"/>
      <c r="I208" s="45" t="n">
        <v>1746680.86</v>
      </c>
      <c r="J208" s="45" t="n">
        <v>1278756.114</v>
      </c>
      <c r="K208" s="45" t="n">
        <v>1259411.28</v>
      </c>
      <c r="L208" s="45" t="n">
        <v>922441.93045</v>
      </c>
      <c r="M208" s="45" t="n">
        <v>136529.9546720551</v>
      </c>
      <c r="N208" s="45" t="n">
        <v>100000</v>
      </c>
      <c r="O208" s="45" t="n">
        <v>948541.8600841025</v>
      </c>
      <c r="P208" s="45" t="n">
        <v>694750</v>
      </c>
      <c r="Q208" s="45" t="n">
        <v>90503.25599999999</v>
      </c>
      <c r="R208" s="45" t="n">
        <v>66288.20482463999</v>
      </c>
      <c r="S208" s="45" t="n">
        <v>2434986.350756158</v>
      </c>
      <c r="T208" s="45" t="n">
        <v>1783480.13527464</v>
      </c>
      <c r="U208" s="15" t="n">
        <v>36.5301423</v>
      </c>
      <c r="V208" s="15" t="n">
        <v>21.54063380016051</v>
      </c>
      <c r="W208" s="49" t="n">
        <v>73.244</v>
      </c>
    </row>
    <row r="209">
      <c r="A209" s="44" t="inlineStr">
        <is>
          <t>TL Cinsi Kuponsuz Senetler</t>
        </is>
      </c>
      <c r="B209" s="44" t="n">
        <v>2008</v>
      </c>
      <c r="C209" s="44" t="inlineStr">
        <is>
          <t>TRB140109T12</t>
        </is>
      </c>
      <c r="D209" s="44" t="inlineStr">
        <is>
          <t>nan</t>
        </is>
      </c>
      <c r="E209" s="44" t="inlineStr">
        <is>
          <t>nan</t>
        </is>
      </c>
      <c r="F209" s="44" t="n"/>
      <c r="G209" s="44" t="n"/>
      <c r="H209" s="15" t="n"/>
      <c r="I209" s="45" t="n">
        <v>7616437.91</v>
      </c>
      <c r="J209" s="45" t="n">
        <v>6961076.6206</v>
      </c>
      <c r="K209" s="45" t="n">
        <v>3839933.357</v>
      </c>
      <c r="L209" s="45" t="n">
        <v>3518999.99971</v>
      </c>
      <c r="M209" s="45" t="n">
        <v>0</v>
      </c>
      <c r="N209" s="45" t="n">
        <v>0</v>
      </c>
      <c r="O209" s="45" t="n">
        <v>0</v>
      </c>
      <c r="P209" s="45" t="n">
        <v>0</v>
      </c>
      <c r="Q209" s="45" t="n">
        <v>0</v>
      </c>
      <c r="R209" s="45" t="n">
        <v>0</v>
      </c>
      <c r="S209" s="45" t="n">
        <v>3839933.357</v>
      </c>
      <c r="T209" s="45" t="n">
        <v>3518999.99971</v>
      </c>
      <c r="U209" s="15" t="n">
        <v>9.120015799999999</v>
      </c>
      <c r="V209" s="15" t="n">
        <v>19.07177848192248</v>
      </c>
      <c r="W209" s="49" t="n">
        <v>91.642</v>
      </c>
    </row>
    <row r="210">
      <c r="A210" s="44" t="inlineStr">
        <is>
          <t>TL Cinsi Kuponsuz Senetler</t>
        </is>
      </c>
      <c r="B210" s="44" t="n">
        <v>2008</v>
      </c>
      <c r="C210" s="44" t="inlineStr">
        <is>
          <t>TRT150709T15</t>
        </is>
      </c>
      <c r="D210" s="44" t="inlineStr">
        <is>
          <t>nan</t>
        </is>
      </c>
      <c r="E210" s="44" t="inlineStr">
        <is>
          <t>nan</t>
        </is>
      </c>
      <c r="F210" s="44" t="n"/>
      <c r="G210" s="44" t="n"/>
      <c r="H210" s="15" t="n"/>
      <c r="I210" s="45" t="n">
        <v>1779806.903</v>
      </c>
      <c r="J210" s="45" t="n">
        <v>1476548.31744</v>
      </c>
      <c r="K210" s="45" t="n">
        <v>1117630.36</v>
      </c>
      <c r="L210" s="45" t="n">
        <v>928355.6219</v>
      </c>
      <c r="M210" s="45" t="n">
        <v>0</v>
      </c>
      <c r="N210" s="45" t="n">
        <v>0</v>
      </c>
      <c r="O210" s="45" t="n">
        <v>1080733.160777704</v>
      </c>
      <c r="P210" s="45" t="n">
        <v>897711</v>
      </c>
      <c r="Q210" s="45" t="n">
        <v>105254.402</v>
      </c>
      <c r="R210" s="45" t="n">
        <v>87429.56902130001</v>
      </c>
      <c r="S210" s="45" t="n">
        <v>2518840.890777704</v>
      </c>
      <c r="T210" s="45" t="n">
        <v>2092271.1492905</v>
      </c>
      <c r="U210" s="15" t="n">
        <v>20.3881717</v>
      </c>
      <c r="V210" s="15" t="n">
        <v>20.3881717</v>
      </c>
      <c r="W210" s="49" t="n">
        <v>83.065</v>
      </c>
    </row>
    <row r="211">
      <c r="A211" s="44" t="inlineStr">
        <is>
          <t>TL Cinsi Kuponsuz Senetler</t>
        </is>
      </c>
      <c r="B211" s="44" t="n">
        <v>2008</v>
      </c>
      <c r="C211" s="44" t="inlineStr">
        <is>
          <t>TRT140410T16</t>
        </is>
      </c>
      <c r="D211" s="44" t="inlineStr">
        <is>
          <t>nan</t>
        </is>
      </c>
      <c r="E211" s="44" t="inlineStr">
        <is>
          <t>nan</t>
        </is>
      </c>
      <c r="F211" s="44" t="n"/>
      <c r="G211" s="44" t="n"/>
      <c r="H211" s="15" t="n"/>
      <c r="I211" s="45" t="n">
        <v>4096475.36543</v>
      </c>
      <c r="J211" s="45" t="n">
        <v>2903249.25343</v>
      </c>
      <c r="K211" s="45" t="n">
        <v>2741625.809</v>
      </c>
      <c r="L211" s="45" t="n">
        <v>1945789.46007</v>
      </c>
      <c r="M211" s="45" t="n">
        <v>2254410.189934059</v>
      </c>
      <c r="N211" s="45" t="n">
        <v>1600000</v>
      </c>
      <c r="O211" s="45" t="n">
        <v>1228794.454150933</v>
      </c>
      <c r="P211" s="45" t="n">
        <v>872100</v>
      </c>
      <c r="Q211" s="45" t="n">
        <v>172796.983</v>
      </c>
      <c r="R211" s="45" t="n">
        <v>122637.47477476</v>
      </c>
      <c r="S211" s="45" t="n">
        <v>6880128.325084992</v>
      </c>
      <c r="T211" s="45" t="n">
        <v>4882967.465785841</v>
      </c>
      <c r="U211" s="15" t="n">
        <v>40.9004348</v>
      </c>
      <c r="V211" s="15" t="n">
        <v>21.64457961335278</v>
      </c>
      <c r="W211" s="49" t="n">
        <v>70.97199999999999</v>
      </c>
    </row>
    <row r="212">
      <c r="A212" s="44" t="inlineStr">
        <is>
          <t>TL Cinsi Kuponsuz Senetler</t>
        </is>
      </c>
      <c r="B212" s="44" t="n">
        <v>2008</v>
      </c>
      <c r="C212" s="44" t="inlineStr">
        <is>
          <t>TRT150709T15</t>
        </is>
      </c>
      <c r="D212" s="44" t="inlineStr">
        <is>
          <t>nan</t>
        </is>
      </c>
      <c r="E212" s="44" t="inlineStr">
        <is>
          <t>nan</t>
        </is>
      </c>
      <c r="F212" s="44" t="n"/>
      <c r="G212" s="44" t="n"/>
      <c r="H212" s="15" t="n"/>
      <c r="I212" s="45" t="n">
        <v>2254887.243</v>
      </c>
      <c r="J212" s="45" t="n">
        <v>1916302.59072</v>
      </c>
      <c r="K212" s="45" t="n">
        <v>1252395.103</v>
      </c>
      <c r="L212" s="45" t="n">
        <v>1064721.34751</v>
      </c>
      <c r="M212" s="45" t="n">
        <v>0</v>
      </c>
      <c r="N212" s="45" t="n">
        <v>0</v>
      </c>
      <c r="O212" s="45" t="n">
        <v>1000298.064988532</v>
      </c>
      <c r="P212" s="45" t="n">
        <v>850403.39995</v>
      </c>
      <c r="Q212" s="45" t="n">
        <v>109948.228</v>
      </c>
      <c r="R212" s="45" t="n">
        <v>93472.4860342</v>
      </c>
      <c r="S212" s="45" t="n">
        <v>2558040.953988532</v>
      </c>
      <c r="T212" s="45" t="n">
        <v>2174716.1677279</v>
      </c>
      <c r="U212" s="15" t="n">
        <v>17.6265608</v>
      </c>
      <c r="V212" s="15" t="n">
        <v>19.22871109655608</v>
      </c>
      <c r="W212" s="49" t="n">
        <v>85.015</v>
      </c>
    </row>
    <row r="213">
      <c r="A213" s="44" t="inlineStr">
        <is>
          <t>TL Cinsi Kuponsuz Senetler</t>
        </is>
      </c>
      <c r="B213" s="44" t="n">
        <v>2008</v>
      </c>
      <c r="C213" s="44" t="inlineStr">
        <is>
          <t>TRT140410T16</t>
        </is>
      </c>
      <c r="D213" s="44" t="inlineStr">
        <is>
          <t>nan</t>
        </is>
      </c>
      <c r="E213" s="44" t="inlineStr">
        <is>
          <t>nan</t>
        </is>
      </c>
      <c r="F213" s="44" t="n"/>
      <c r="G213" s="44" t="n"/>
      <c r="H213" s="15" t="n"/>
      <c r="I213" s="45" t="n">
        <v>6336850.689</v>
      </c>
      <c r="J213" s="45" t="n">
        <v>4746017.14876</v>
      </c>
      <c r="K213" s="45" t="n">
        <v>2678534.89</v>
      </c>
      <c r="L213" s="45" t="n">
        <v>2007901.43406</v>
      </c>
      <c r="M213" s="45" t="n">
        <v>1600789.722929979</v>
      </c>
      <c r="N213" s="45" t="n">
        <v>1200000</v>
      </c>
      <c r="O213" s="45" t="n">
        <v>1534758.280751838</v>
      </c>
      <c r="P213" s="45" t="n">
        <v>1150500.85</v>
      </c>
      <c r="Q213" s="45" t="n">
        <v>209851.214</v>
      </c>
      <c r="R213" s="45" t="n">
        <v>157310.76555082</v>
      </c>
      <c r="S213" s="45" t="n">
        <v>6499974.552681817</v>
      </c>
      <c r="T213" s="45" t="n">
        <v>4872567.248396169</v>
      </c>
      <c r="U213" s="15" t="n">
        <v>33.39972</v>
      </c>
      <c r="V213" s="15" t="n">
        <v>18.79693568541647</v>
      </c>
      <c r="W213" s="49" t="n">
        <v>74.96299999999999</v>
      </c>
    </row>
    <row r="214">
      <c r="A214" s="44" t="inlineStr">
        <is>
          <t>TL Cinsi Kuponsuz Senetler</t>
        </is>
      </c>
      <c r="B214" s="44" t="n">
        <v>2008</v>
      </c>
      <c r="C214" s="44" t="inlineStr">
        <is>
          <t>TRB180209T17</t>
        </is>
      </c>
      <c r="D214" s="44" t="inlineStr">
        <is>
          <t>nan</t>
        </is>
      </c>
      <c r="E214" s="44" t="inlineStr">
        <is>
          <t>nan</t>
        </is>
      </c>
      <c r="F214" s="44" t="n"/>
      <c r="G214" s="44" t="n"/>
      <c r="H214" s="15" t="n"/>
      <c r="I214" s="45" t="n">
        <v>4985605.115</v>
      </c>
      <c r="J214" s="45" t="n">
        <v>4567385.25256</v>
      </c>
      <c r="K214" s="45" t="n">
        <v>2974527.858</v>
      </c>
      <c r="L214" s="45" t="n">
        <v>2727000.0049</v>
      </c>
      <c r="M214" s="45" t="n">
        <v>0</v>
      </c>
      <c r="N214" s="45" t="n">
        <v>0</v>
      </c>
      <c r="O214" s="45" t="n">
        <v>0</v>
      </c>
      <c r="P214" s="45" t="n">
        <v>0</v>
      </c>
      <c r="Q214" s="45" t="n">
        <v>0</v>
      </c>
      <c r="R214" s="45" t="n">
        <v>0</v>
      </c>
      <c r="S214" s="45" t="n">
        <v>2974527.858</v>
      </c>
      <c r="T214" s="45" t="n">
        <v>2727000.0049</v>
      </c>
      <c r="U214" s="15" t="n">
        <v>9.076929</v>
      </c>
      <c r="V214" s="15" t="n">
        <v>18.9777644007104</v>
      </c>
      <c r="W214" s="49" t="n">
        <v>91.678</v>
      </c>
    </row>
    <row r="215">
      <c r="A215" s="44" t="inlineStr">
        <is>
          <t>TL Cinsi Kuponsuz Senetler</t>
        </is>
      </c>
      <c r="B215" s="44" t="n">
        <v>2008</v>
      </c>
      <c r="C215" s="44" t="inlineStr">
        <is>
          <t>TRB110309T13</t>
        </is>
      </c>
      <c r="D215" s="44" t="inlineStr">
        <is>
          <t>nan</t>
        </is>
      </c>
      <c r="E215" s="44" t="inlineStr">
        <is>
          <t>nan</t>
        </is>
      </c>
      <c r="F215" s="44" t="n"/>
      <c r="G215" s="44" t="n"/>
      <c r="H215" s="15" t="n"/>
      <c r="I215" s="45" t="n">
        <v>1823977.355</v>
      </c>
      <c r="J215" s="45" t="n">
        <v>1671950.25548</v>
      </c>
      <c r="K215" s="45" t="n">
        <v>711083.827</v>
      </c>
      <c r="L215" s="45" t="n">
        <v>651999.98996</v>
      </c>
      <c r="M215" s="45" t="n">
        <v>0</v>
      </c>
      <c r="N215" s="45" t="n">
        <v>0</v>
      </c>
      <c r="O215" s="45" t="n">
        <v>0</v>
      </c>
      <c r="P215" s="45" t="n">
        <v>0</v>
      </c>
      <c r="Q215" s="45" t="n">
        <v>0</v>
      </c>
      <c r="R215" s="45" t="n">
        <v>0</v>
      </c>
      <c r="S215" s="45" t="n">
        <v>711083.827</v>
      </c>
      <c r="T215" s="45" t="n">
        <v>651999.98996</v>
      </c>
      <c r="U215" s="15" t="n">
        <v>9.0619383</v>
      </c>
      <c r="V215" s="15" t="n">
        <v>18.94506385753005</v>
      </c>
      <c r="W215" s="49" t="n">
        <v>91.691</v>
      </c>
    </row>
    <row r="216">
      <c r="A216" s="44" t="inlineStr">
        <is>
          <t>TL Cinsi Kuponsuz Senetler</t>
        </is>
      </c>
      <c r="B216" s="44" t="n">
        <v>2008</v>
      </c>
      <c r="C216" s="44" t="inlineStr">
        <is>
          <t>TRT140410T16</t>
        </is>
      </c>
      <c r="D216" s="44" t="inlineStr">
        <is>
          <t>nan</t>
        </is>
      </c>
      <c r="E216" s="44" t="inlineStr">
        <is>
          <t>nan</t>
        </is>
      </c>
      <c r="F216" s="44" t="n"/>
      <c r="G216" s="44" t="n"/>
      <c r="H216" s="15" t="n"/>
      <c r="I216" s="45" t="n">
        <v>2282764.77</v>
      </c>
      <c r="J216" s="45" t="n">
        <v>1735806.60318</v>
      </c>
      <c r="K216" s="45" t="n">
        <v>1092130.98</v>
      </c>
      <c r="L216" s="45" t="n">
        <v>831014.06736</v>
      </c>
      <c r="M216" s="45" t="n">
        <v>131421.5873099316</v>
      </c>
      <c r="N216" s="45" t="n">
        <v>100000</v>
      </c>
      <c r="O216" s="45" t="n">
        <v>876687.1240094099</v>
      </c>
      <c r="P216" s="45" t="n">
        <v>667079.99953</v>
      </c>
      <c r="Q216" s="45" t="n">
        <v>94314.84299999999</v>
      </c>
      <c r="R216" s="45" t="n">
        <v>71765.10718712998</v>
      </c>
      <c r="S216" s="45" t="n">
        <v>2194554.534319342</v>
      </c>
      <c r="T216" s="45" t="n">
        <v>1669859.17407713</v>
      </c>
      <c r="U216" s="15" t="n">
        <v>31.4214792</v>
      </c>
      <c r="V216" s="15" t="n">
        <v>18.67115896323568</v>
      </c>
      <c r="W216" s="49" t="n">
        <v>76.09099999999999</v>
      </c>
    </row>
    <row r="217">
      <c r="A217" s="44" t="inlineStr">
        <is>
          <t>TL Cinsi Kuponsuz Senetler</t>
        </is>
      </c>
      <c r="B217" s="44" t="n">
        <v>2008</v>
      </c>
      <c r="C217" s="44" t="inlineStr">
        <is>
          <t>TRT181109T16</t>
        </is>
      </c>
      <c r="D217" s="44" t="inlineStr">
        <is>
          <t>nan</t>
        </is>
      </c>
      <c r="E217" s="44" t="inlineStr">
        <is>
          <t>nan</t>
        </is>
      </c>
      <c r="F217" s="44" t="n"/>
      <c r="G217" s="44" t="n"/>
      <c r="H217" s="15" t="n"/>
      <c r="I217" s="45" t="n">
        <v>433616.284</v>
      </c>
      <c r="J217" s="45" t="n">
        <v>351936.64655</v>
      </c>
      <c r="K217" s="45" t="n">
        <v>223130.494</v>
      </c>
      <c r="L217" s="45" t="n">
        <v>181267.32716</v>
      </c>
      <c r="M217" s="45" t="n">
        <v>0</v>
      </c>
      <c r="N217" s="45" t="n">
        <v>0</v>
      </c>
      <c r="O217" s="45" t="n">
        <v>457987.641251631</v>
      </c>
      <c r="P217" s="45" t="n">
        <v>372060</v>
      </c>
      <c r="Q217" s="45" t="n">
        <v>33678.569</v>
      </c>
      <c r="R217" s="45" t="n">
        <v>27359.79588422</v>
      </c>
      <c r="S217" s="45" t="n">
        <v>718956.8572516311</v>
      </c>
      <c r="T217" s="45" t="n">
        <v>584066.74813836</v>
      </c>
      <c r="U217" s="15" t="n">
        <v>23.0947118</v>
      </c>
      <c r="V217" s="15" t="n">
        <v>20.46703920548616</v>
      </c>
      <c r="W217" s="49" t="n">
        <v>81.238</v>
      </c>
    </row>
    <row r="218">
      <c r="A218" s="44" t="inlineStr">
        <is>
          <t>TL Cinsi Kuponsuz Senetler</t>
        </is>
      </c>
      <c r="B218" s="44" t="n">
        <v>2008</v>
      </c>
      <c r="C218" s="44" t="inlineStr">
        <is>
          <t>TRT230610T13</t>
        </is>
      </c>
      <c r="D218" s="44" t="inlineStr">
        <is>
          <t>nan</t>
        </is>
      </c>
      <c r="E218" s="44" t="inlineStr">
        <is>
          <t>nan</t>
        </is>
      </c>
      <c r="F218" s="44" t="n"/>
      <c r="G218" s="44" t="n"/>
      <c r="H218" s="15" t="n"/>
      <c r="I218" s="45" t="n">
        <v>2246012.598</v>
      </c>
      <c r="J218" s="45" t="n">
        <v>1627814.1341</v>
      </c>
      <c r="K218" s="45" t="n">
        <v>1110329.38</v>
      </c>
      <c r="L218" s="45" t="n">
        <v>805840.20334</v>
      </c>
      <c r="M218" s="45" t="n">
        <v>1618970.197169902</v>
      </c>
      <c r="N218" s="45" t="n">
        <v>1175000</v>
      </c>
      <c r="O218" s="45" t="n">
        <v>522493.3518883393</v>
      </c>
      <c r="P218" s="45" t="n">
        <v>379210</v>
      </c>
      <c r="Q218" s="45" t="n">
        <v>80845.507</v>
      </c>
      <c r="R218" s="45" t="n">
        <v>58675.24361539</v>
      </c>
      <c r="S218" s="45" t="n">
        <v>3332638.436058242</v>
      </c>
      <c r="T218" s="45" t="n">
        <v>2418725.44695539</v>
      </c>
      <c r="U218" s="15" t="n">
        <v>37.7853048</v>
      </c>
      <c r="V218" s="15" t="n">
        <v>20.59575816800416</v>
      </c>
      <c r="W218" s="49" t="n">
        <v>72.577</v>
      </c>
    </row>
    <row r="219">
      <c r="A219" s="44" t="inlineStr">
        <is>
          <t>TL Cinsi Kuponsuz Senetler</t>
        </is>
      </c>
      <c r="B219" s="44" t="n">
        <v>2008</v>
      </c>
      <c r="C219" s="44" t="inlineStr">
        <is>
          <t>TRT181109T16</t>
        </is>
      </c>
      <c r="D219" s="44" t="inlineStr">
        <is>
          <t>nan</t>
        </is>
      </c>
      <c r="E219" s="44" t="inlineStr">
        <is>
          <t>nan</t>
        </is>
      </c>
      <c r="F219" s="44" t="n"/>
      <c r="G219" s="44" t="n"/>
      <c r="H219" s="15" t="n"/>
      <c r="I219" s="45" t="n">
        <v>2811499.88</v>
      </c>
      <c r="J219" s="45" t="n">
        <v>2274780.54174</v>
      </c>
      <c r="K219" s="45" t="n">
        <v>933389.23</v>
      </c>
      <c r="L219" s="45" t="n">
        <v>757166.57915</v>
      </c>
      <c r="M219" s="45" t="n">
        <v>258875.7396449704</v>
      </c>
      <c r="N219" s="45" t="n">
        <v>210000</v>
      </c>
      <c r="O219" s="45" t="n">
        <v>209621.5483234714</v>
      </c>
      <c r="P219" s="45" t="n">
        <v>170045</v>
      </c>
      <c r="Q219" s="45" t="n">
        <v>55936.427</v>
      </c>
      <c r="R219" s="45" t="n">
        <v>45375.6295824</v>
      </c>
      <c r="S219" s="45" t="n">
        <v>1457822.944968442</v>
      </c>
      <c r="T219" s="45" t="n">
        <v>1182587.2087324</v>
      </c>
      <c r="U219" s="15" t="n">
        <v>23.2739605</v>
      </c>
      <c r="V219" s="15" t="n">
        <v>22.778245910266</v>
      </c>
      <c r="W219" s="49" t="n">
        <v>81.12</v>
      </c>
    </row>
    <row r="220">
      <c r="A220" s="44" t="inlineStr">
        <is>
          <t>TL Cinsi Kuponsuz Senetler</t>
        </is>
      </c>
      <c r="B220" s="44" t="n">
        <v>2008</v>
      </c>
      <c r="C220" s="44" t="inlineStr">
        <is>
          <t>TRB240609T15</t>
        </is>
      </c>
      <c r="D220" s="44" t="inlineStr">
        <is>
          <t>nan</t>
        </is>
      </c>
      <c r="E220" s="44" t="inlineStr">
        <is>
          <t>nan</t>
        </is>
      </c>
      <c r="F220" s="44" t="n"/>
      <c r="G220" s="44" t="n"/>
      <c r="H220" s="15" t="n"/>
      <c r="I220" s="45" t="n">
        <v>1993128.45</v>
      </c>
      <c r="J220" s="45" t="n">
        <v>1786965.66642</v>
      </c>
      <c r="K220" s="45" t="n">
        <v>1385366.72</v>
      </c>
      <c r="L220" s="45" t="n">
        <v>1242674.35731</v>
      </c>
      <c r="M220" s="45" t="n">
        <v>0</v>
      </c>
      <c r="N220" s="45" t="n">
        <v>0</v>
      </c>
      <c r="O220" s="45" t="n">
        <v>2046571.905016722</v>
      </c>
      <c r="P220" s="45" t="n">
        <v>1835774.9988</v>
      </c>
      <c r="Q220" s="45" t="n">
        <v>124580.9</v>
      </c>
      <c r="R220" s="45" t="n">
        <v>111749.0673</v>
      </c>
      <c r="S220" s="45" t="n">
        <v>3640513.728016722</v>
      </c>
      <c r="T220" s="45" t="n">
        <v>3265541.223501</v>
      </c>
      <c r="U220" s="15" t="n">
        <v>11.4826834</v>
      </c>
      <c r="V220" s="15" t="n">
        <v>20.73305323761119</v>
      </c>
      <c r="W220" s="49" t="n">
        <v>89.7</v>
      </c>
    </row>
    <row r="221">
      <c r="A221" s="44" t="inlineStr">
        <is>
          <t>TL Cinsi Kuponsuz Senetler</t>
        </is>
      </c>
      <c r="B221" s="44" t="n">
        <v>2008</v>
      </c>
      <c r="C221" s="44" t="inlineStr">
        <is>
          <t>TRT230610T13</t>
        </is>
      </c>
      <c r="D221" s="44" t="inlineStr">
        <is>
          <t>nan</t>
        </is>
      </c>
      <c r="E221" s="44" t="inlineStr">
        <is>
          <t>nan</t>
        </is>
      </c>
      <c r="F221" s="44" t="n"/>
      <c r="G221" s="44" t="n"/>
      <c r="H221" s="15" t="n"/>
      <c r="I221" s="45" t="n">
        <v>1845558.469</v>
      </c>
      <c r="J221" s="45" t="n">
        <v>1351389.29153</v>
      </c>
      <c r="K221" s="45" t="n">
        <v>916640.558</v>
      </c>
      <c r="L221" s="45" t="n">
        <v>673344.18064</v>
      </c>
      <c r="M221" s="45" t="n">
        <v>2926842.549484059</v>
      </c>
      <c r="N221" s="45" t="n">
        <v>2150000</v>
      </c>
      <c r="O221" s="45" t="n">
        <v>1845768.724985706</v>
      </c>
      <c r="P221" s="45" t="n">
        <v>1355864.79</v>
      </c>
      <c r="Q221" s="45" t="n">
        <v>130486.292</v>
      </c>
      <c r="R221" s="45" t="n">
        <v>95852.62043</v>
      </c>
      <c r="S221" s="45" t="n">
        <v>6018779.174469765</v>
      </c>
      <c r="T221" s="45" t="n">
        <v>4421273.165579</v>
      </c>
      <c r="U221" s="15" t="n">
        <v>36.1325433</v>
      </c>
      <c r="V221" s="15" t="n">
        <v>21.60401503243117</v>
      </c>
      <c r="W221" s="49" t="n">
        <v>73.458</v>
      </c>
    </row>
    <row r="222">
      <c r="A222" s="44" t="inlineStr">
        <is>
          <t>TL Cinsi Kuponsuz Senetler</t>
        </is>
      </c>
      <c r="B222" s="44" t="n">
        <v>2008</v>
      </c>
      <c r="C222" s="44" t="inlineStr">
        <is>
          <t>TRT181109T16</t>
        </is>
      </c>
      <c r="D222" s="44" t="inlineStr">
        <is>
          <t>nan</t>
        </is>
      </c>
      <c r="E222" s="44" t="inlineStr">
        <is>
          <t>nan</t>
        </is>
      </c>
      <c r="F222" s="44" t="n"/>
      <c r="G222" s="44" t="n"/>
      <c r="H222" s="15" t="n"/>
      <c r="I222" s="45" t="n">
        <v>1342384.277</v>
      </c>
      <c r="J222" s="45" t="n">
        <v>1144664.05174</v>
      </c>
      <c r="K222" s="45" t="n">
        <v>509591.559</v>
      </c>
      <c r="L222" s="45" t="n">
        <v>434824.72075</v>
      </c>
      <c r="M222" s="45" t="n">
        <v>0</v>
      </c>
      <c r="N222" s="45" t="n">
        <v>0</v>
      </c>
      <c r="O222" s="45" t="n">
        <v>1286271.800018751</v>
      </c>
      <c r="P222" s="45" t="n">
        <v>1097550.00152</v>
      </c>
      <c r="Q222" s="45" t="n">
        <v>43609.698</v>
      </c>
      <c r="R222" s="45" t="n">
        <v>37211.28310944</v>
      </c>
      <c r="S222" s="45" t="n">
        <v>1922045.755018751</v>
      </c>
      <c r="T222" s="45" t="n">
        <v>1640043.63712888</v>
      </c>
      <c r="U222" s="15" t="n">
        <v>17.1947074</v>
      </c>
      <c r="V222" s="15" t="n">
        <v>18.75457023608991</v>
      </c>
      <c r="W222" s="49" t="n">
        <v>85.328</v>
      </c>
    </row>
    <row r="223">
      <c r="A223" s="44" t="inlineStr">
        <is>
          <t>TL Cinsi Kuponsuz Senetler</t>
        </is>
      </c>
      <c r="B223" s="44" t="n">
        <v>2008</v>
      </c>
      <c r="C223" s="44" t="inlineStr">
        <is>
          <t>TRT230610T13</t>
        </is>
      </c>
      <c r="D223" s="44" t="inlineStr">
        <is>
          <t>nan</t>
        </is>
      </c>
      <c r="E223" s="44" t="inlineStr">
        <is>
          <t>nan</t>
        </is>
      </c>
      <c r="F223" s="44" t="n"/>
      <c r="G223" s="44" t="n"/>
      <c r="H223" s="15" t="n"/>
      <c r="I223" s="45" t="n">
        <v>2074185.62</v>
      </c>
      <c r="J223" s="45" t="n">
        <v>1599190.93381</v>
      </c>
      <c r="K223" s="45" t="n">
        <v>1227284.32</v>
      </c>
      <c r="L223" s="45" t="n">
        <v>947918.65926</v>
      </c>
      <c r="M223" s="45" t="n">
        <v>129471.6262930979</v>
      </c>
      <c r="N223" s="45" t="n">
        <v>100000</v>
      </c>
      <c r="O223" s="45" t="n">
        <v>546078.9638385748</v>
      </c>
      <c r="P223" s="45" t="n">
        <v>421775.0093</v>
      </c>
      <c r="Q223" s="45" t="n">
        <v>88024.128</v>
      </c>
      <c r="R223" s="45" t="n">
        <v>67987.19574335999</v>
      </c>
      <c r="S223" s="45" t="n">
        <v>2141553.092131673</v>
      </c>
      <c r="T223" s="45" t="n">
        <v>1654072.43079134</v>
      </c>
      <c r="U223" s="15" t="n">
        <v>29.4714803</v>
      </c>
      <c r="V223" s="15" t="n">
        <v>18.53214001040655</v>
      </c>
      <c r="W223" s="49" t="n">
        <v>77.23699999999999</v>
      </c>
    </row>
    <row r="224">
      <c r="A224" s="44" t="inlineStr">
        <is>
          <t>TL Cinsi Kuponsuz Senetler</t>
        </is>
      </c>
      <c r="B224" s="44" t="n">
        <v>2007</v>
      </c>
      <c r="C224" s="44" t="inlineStr">
        <is>
          <t>TRB040407T13</t>
        </is>
      </c>
      <c r="D224" s="44" t="inlineStr">
        <is>
          <t>nan</t>
        </is>
      </c>
      <c r="E224" s="44" t="inlineStr">
        <is>
          <t>nan</t>
        </is>
      </c>
      <c r="F224" s="44" t="n"/>
      <c r="G224" s="44" t="n"/>
      <c r="H224" s="15" t="n"/>
      <c r="I224" s="45" t="n">
        <v>4015909.859</v>
      </c>
      <c r="J224" s="45" t="n">
        <v>3835126.98696</v>
      </c>
      <c r="K224" s="45" t="n">
        <v>1701513.573</v>
      </c>
      <c r="L224" s="45" t="n">
        <v>1625999.99868</v>
      </c>
      <c r="M224" s="45" t="n">
        <v>0</v>
      </c>
      <c r="N224" s="45" t="n">
        <v>0</v>
      </c>
      <c r="O224" s="45" t="n">
        <v>0</v>
      </c>
      <c r="P224" s="45" t="n">
        <v>0</v>
      </c>
      <c r="Q224" s="45" t="n">
        <v>0</v>
      </c>
      <c r="R224" s="45" t="n">
        <v>0</v>
      </c>
      <c r="S224" s="45" t="n">
        <v>1701513.573</v>
      </c>
      <c r="T224" s="45" t="n">
        <v>1625999.99868</v>
      </c>
      <c r="U224" s="15" t="n">
        <v>4.6441313</v>
      </c>
      <c r="V224" s="15" t="n">
        <v>20.1533060362457</v>
      </c>
      <c r="W224" s="49" t="n">
        <v>95.562</v>
      </c>
    </row>
    <row r="225">
      <c r="A225" s="44" t="inlineStr">
        <is>
          <t>TL Cinsi Kuponsuz Senetler</t>
        </is>
      </c>
      <c r="B225" s="44" t="n">
        <v>2007</v>
      </c>
      <c r="C225" s="44" t="inlineStr">
        <is>
          <t>TRB180707T14</t>
        </is>
      </c>
      <c r="D225" s="44" t="inlineStr">
        <is>
          <t>nan</t>
        </is>
      </c>
      <c r="E225" s="44" t="inlineStr">
        <is>
          <t>nan</t>
        </is>
      </c>
      <c r="F225" s="44" t="n"/>
      <c r="G225" s="44" t="n"/>
      <c r="H225" s="15" t="n"/>
      <c r="I225" s="45" t="n">
        <v>7340770.07</v>
      </c>
      <c r="J225" s="45" t="n">
        <v>6684448.89959</v>
      </c>
      <c r="K225" s="45" t="n">
        <v>2675107.564</v>
      </c>
      <c r="L225" s="45" t="n">
        <v>2437999.99956</v>
      </c>
      <c r="M225" s="45" t="n">
        <v>0</v>
      </c>
      <c r="N225" s="45" t="n">
        <v>0</v>
      </c>
      <c r="O225" s="45" t="n">
        <v>0</v>
      </c>
      <c r="P225" s="45" t="n">
        <v>0</v>
      </c>
      <c r="Q225" s="45" t="n">
        <v>0</v>
      </c>
      <c r="R225" s="45" t="n">
        <v>0</v>
      </c>
      <c r="S225" s="45" t="n">
        <v>2675107.564</v>
      </c>
      <c r="T225" s="45" t="n">
        <v>2437999.99956</v>
      </c>
      <c r="U225" s="15" t="n">
        <v>9.725494899999999</v>
      </c>
      <c r="V225" s="15" t="n">
        <v>20.39684231049927</v>
      </c>
      <c r="W225" s="49" t="n">
        <v>91.137</v>
      </c>
    </row>
    <row r="226">
      <c r="A226" s="44" t="inlineStr">
        <is>
          <t>TL Cinsi Kuponsuz Senetler</t>
        </is>
      </c>
      <c r="B226" s="44" t="n">
        <v>2007</v>
      </c>
      <c r="C226" s="44" t="inlineStr">
        <is>
          <t>TRT261108T17</t>
        </is>
      </c>
      <c r="D226" s="44" t="inlineStr">
        <is>
          <t>nan</t>
        </is>
      </c>
      <c r="E226" s="44" t="inlineStr">
        <is>
          <t>nan</t>
        </is>
      </c>
      <c r="F226" s="44" t="n"/>
      <c r="G226" s="44" t="n"/>
      <c r="H226" s="15" t="n"/>
      <c r="I226" s="45" t="n">
        <v>15396895.612</v>
      </c>
      <c r="J226" s="45" t="n">
        <v>10907152.02036</v>
      </c>
      <c r="K226" s="45" t="n">
        <v>3616780.782</v>
      </c>
      <c r="L226" s="45" t="n">
        <v>2567319.51198</v>
      </c>
      <c r="M226" s="45" t="n">
        <v>2900653.668432323</v>
      </c>
      <c r="N226" s="45" t="n">
        <v>2059000</v>
      </c>
      <c r="O226" s="45" t="n">
        <v>2459089.231376085</v>
      </c>
      <c r="P226" s="45" t="n">
        <v>1745559.9</v>
      </c>
      <c r="Q226" s="45" t="n">
        <v>303773.932</v>
      </c>
      <c r="R226" s="45" t="n">
        <v>215630.88789088</v>
      </c>
      <c r="S226" s="45" t="n">
        <v>10098615.32880841</v>
      </c>
      <c r="T226" s="45" t="n">
        <v>7168384.946686479</v>
      </c>
      <c r="U226" s="15" t="n">
        <v>40.877704</v>
      </c>
      <c r="V226" s="15" t="n">
        <v>20.39900380115647</v>
      </c>
      <c r="W226" s="49" t="n">
        <v>70.98399999999999</v>
      </c>
    </row>
    <row r="227">
      <c r="A227" s="44" t="inlineStr">
        <is>
          <t>TL Cinsi Kuponsuz Senetler</t>
        </is>
      </c>
      <c r="B227" s="44" t="n">
        <v>2007</v>
      </c>
      <c r="C227" s="44" t="inlineStr">
        <is>
          <t>TRB220807T17</t>
        </is>
      </c>
      <c r="D227" s="44" t="inlineStr">
        <is>
          <t>nan</t>
        </is>
      </c>
      <c r="E227" s="44" t="inlineStr">
        <is>
          <t>nan</t>
        </is>
      </c>
      <c r="F227" s="44" t="n"/>
      <c r="G227" s="44" t="n"/>
      <c r="H227" s="15" t="n"/>
      <c r="I227" s="45" t="n">
        <v>5226170.898</v>
      </c>
      <c r="J227" s="45" t="n">
        <v>4784590.56312</v>
      </c>
      <c r="K227" s="45" t="n">
        <v>977715.977</v>
      </c>
      <c r="L227" s="45" t="n">
        <v>896000.0009</v>
      </c>
      <c r="M227" s="45" t="n">
        <v>0</v>
      </c>
      <c r="N227" s="45" t="n">
        <v>0</v>
      </c>
      <c r="O227" s="45" t="n">
        <v>0</v>
      </c>
      <c r="P227" s="45" t="n">
        <v>0</v>
      </c>
      <c r="Q227" s="45" t="n">
        <v>0</v>
      </c>
      <c r="R227" s="45" t="n">
        <v>0</v>
      </c>
      <c r="S227" s="45" t="n">
        <v>977715.977</v>
      </c>
      <c r="T227" s="45" t="n">
        <v>896000.0009</v>
      </c>
      <c r="U227" s="15" t="n">
        <v>9.1200866</v>
      </c>
      <c r="V227" s="15" t="n">
        <v>19.07193299591501</v>
      </c>
      <c r="W227" s="49" t="n">
        <v>91.642</v>
      </c>
    </row>
    <row r="228">
      <c r="A228" s="44" t="inlineStr">
        <is>
          <t>TL Cinsi Kuponsuz Senetler</t>
        </is>
      </c>
      <c r="B228" s="44" t="n">
        <v>2007</v>
      </c>
      <c r="C228" s="44" t="inlineStr">
        <is>
          <t>TRT261108T17</t>
        </is>
      </c>
      <c r="D228" s="44" t="inlineStr">
        <is>
          <t>nan</t>
        </is>
      </c>
      <c r="E228" s="44" t="inlineStr">
        <is>
          <t>nan</t>
        </is>
      </c>
      <c r="F228" s="44" t="n"/>
      <c r="G228" s="44" t="n"/>
      <c r="H228" s="15" t="n"/>
      <c r="I228" s="45" t="n">
        <v>2570414.221</v>
      </c>
      <c r="J228" s="45" t="n">
        <v>1892425.19645</v>
      </c>
      <c r="K228" s="45" t="n">
        <v>538178.2</v>
      </c>
      <c r="L228" s="45" t="n">
        <v>397302.77208</v>
      </c>
      <c r="M228" s="45" t="n">
        <v>1192024.273948851</v>
      </c>
      <c r="N228" s="45" t="n">
        <v>880000</v>
      </c>
      <c r="O228" s="45" t="n">
        <v>295823.5126788036</v>
      </c>
      <c r="P228" s="45" t="n">
        <v>218388.75</v>
      </c>
      <c r="Q228" s="45" t="n">
        <v>37214.943</v>
      </c>
      <c r="R228" s="45" t="n">
        <v>27473.55952032</v>
      </c>
      <c r="S228" s="45" t="n">
        <v>2063240.929627655</v>
      </c>
      <c r="T228" s="45" t="n">
        <v>1523165.08160032</v>
      </c>
      <c r="U228" s="15" t="n">
        <v>35.4579524</v>
      </c>
      <c r="V228" s="15" t="n">
        <v>18.71297789009006</v>
      </c>
      <c r="W228" s="49" t="n">
        <v>73.824</v>
      </c>
    </row>
    <row r="229">
      <c r="A229" s="44" t="inlineStr">
        <is>
          <t>TL Cinsi Kuponsuz Senetler</t>
        </is>
      </c>
      <c r="B229" s="44" t="n">
        <v>2007</v>
      </c>
      <c r="C229" s="44" t="inlineStr">
        <is>
          <t>TRT261108T17</t>
        </is>
      </c>
      <c r="D229" s="44" t="inlineStr">
        <is>
          <t>nan</t>
        </is>
      </c>
      <c r="E229" s="44" t="inlineStr">
        <is>
          <t>nan</t>
        </is>
      </c>
      <c r="F229" s="44" t="n"/>
      <c r="G229" s="44" t="n"/>
      <c r="H229" s="15" t="n"/>
      <c r="I229" s="45" t="n">
        <v>3600034.608</v>
      </c>
      <c r="J229" s="45" t="n">
        <v>2614979.41254</v>
      </c>
      <c r="K229" s="45" t="n">
        <v>1208044.432</v>
      </c>
      <c r="L229" s="45" t="n">
        <v>878624.1953500001</v>
      </c>
      <c r="M229" s="45" t="n">
        <v>529347.8709216153</v>
      </c>
      <c r="N229" s="45" t="n">
        <v>385000</v>
      </c>
      <c r="O229" s="45" t="n">
        <v>2427905.569839546</v>
      </c>
      <c r="P229" s="45" t="n">
        <v>1765840</v>
      </c>
      <c r="Q229" s="45" t="n">
        <v>178365.515</v>
      </c>
      <c r="R229" s="45" t="n">
        <v>129727.02271465</v>
      </c>
      <c r="S229" s="45" t="n">
        <v>4486391.156761161</v>
      </c>
      <c r="T229" s="45" t="n">
        <v>3262998.55173604</v>
      </c>
      <c r="U229" s="15" t="n">
        <v>37.4927345</v>
      </c>
      <c r="V229" s="15" t="n">
        <v>20.19737034043889</v>
      </c>
      <c r="W229" s="49" t="n">
        <v>72.73099999999999</v>
      </c>
    </row>
    <row r="230">
      <c r="A230" s="44" t="inlineStr">
        <is>
          <t>TL Cinsi Kuponsuz Senetler</t>
        </is>
      </c>
      <c r="B230" s="44" t="n">
        <v>2007</v>
      </c>
      <c r="C230" s="44" t="inlineStr">
        <is>
          <t>TRB120907T18</t>
        </is>
      </c>
      <c r="D230" s="44" t="inlineStr">
        <is>
          <t>nan</t>
        </is>
      </c>
      <c r="E230" s="44" t="inlineStr">
        <is>
          <t>nan</t>
        </is>
      </c>
      <c r="F230" s="44" t="n"/>
      <c r="G230" s="44" t="n"/>
      <c r="H230" s="15" t="n"/>
      <c r="I230" s="45" t="n">
        <v>6064993.483</v>
      </c>
      <c r="J230" s="45" t="n">
        <v>5548977.17357</v>
      </c>
      <c r="K230" s="45" t="n">
        <v>2471266.581</v>
      </c>
      <c r="L230" s="45" t="n">
        <v>2262999.99964</v>
      </c>
      <c r="M230" s="45" t="n">
        <v>0</v>
      </c>
      <c r="N230" s="45" t="n">
        <v>0</v>
      </c>
      <c r="O230" s="45" t="n">
        <v>0</v>
      </c>
      <c r="P230" s="45" t="n">
        <v>0</v>
      </c>
      <c r="Q230" s="45" t="n">
        <v>0</v>
      </c>
      <c r="R230" s="45" t="n">
        <v>0</v>
      </c>
      <c r="S230" s="45" t="n">
        <v>2471266.581</v>
      </c>
      <c r="T230" s="45" t="n">
        <v>2262999.99964</v>
      </c>
      <c r="U230" s="15" t="n">
        <v>9.2031189</v>
      </c>
      <c r="V230" s="15" t="n">
        <v>19.25321177487538</v>
      </c>
      <c r="W230" s="49" t="n">
        <v>91.572</v>
      </c>
    </row>
    <row r="231">
      <c r="A231" s="44" t="inlineStr">
        <is>
          <t>TL Cinsi Kuponsuz Senetler</t>
        </is>
      </c>
      <c r="B231" s="44" t="n">
        <v>2007</v>
      </c>
      <c r="C231" s="44" t="inlineStr">
        <is>
          <t>TRB040707T10</t>
        </is>
      </c>
      <c r="D231" s="44" t="inlineStr">
        <is>
          <t>nan</t>
        </is>
      </c>
      <c r="E231" s="44" t="inlineStr">
        <is>
          <t>nan</t>
        </is>
      </c>
      <c r="F231" s="44" t="n"/>
      <c r="G231" s="44" t="n"/>
      <c r="H231" s="15" t="n"/>
      <c r="I231" s="45" t="n">
        <v>2529616.787</v>
      </c>
      <c r="J231" s="45" t="n">
        <v>2420895.408</v>
      </c>
      <c r="K231" s="45" t="n">
        <v>1145987.911</v>
      </c>
      <c r="L231" s="45" t="n">
        <v>1097000.01192</v>
      </c>
      <c r="M231" s="45" t="n">
        <v>0</v>
      </c>
      <c r="N231" s="45" t="n">
        <v>0</v>
      </c>
      <c r="O231" s="45" t="n">
        <v>0</v>
      </c>
      <c r="P231" s="45" t="n">
        <v>0</v>
      </c>
      <c r="Q231" s="45" t="n">
        <v>0</v>
      </c>
      <c r="R231" s="45" t="n">
        <v>0</v>
      </c>
      <c r="S231" s="45" t="n">
        <v>1145987.911</v>
      </c>
      <c r="T231" s="45" t="n">
        <v>1097000.01192</v>
      </c>
      <c r="U231" s="15" t="n">
        <v>4.4656243</v>
      </c>
      <c r="V231" s="15" t="n">
        <v>19.09502393408842</v>
      </c>
      <c r="W231" s="49" t="n">
        <v>95.72499999999999</v>
      </c>
    </row>
    <row r="232">
      <c r="A232" s="44" t="inlineStr">
        <is>
          <t>TL Cinsi Kuponsuz Senetler</t>
        </is>
      </c>
      <c r="B232" s="44" t="n">
        <v>2007</v>
      </c>
      <c r="C232" s="44" t="inlineStr">
        <is>
          <t>TRT040209T13</t>
        </is>
      </c>
      <c r="D232" s="44" t="inlineStr">
        <is>
          <t>nan</t>
        </is>
      </c>
      <c r="E232" s="44" t="inlineStr">
        <is>
          <t>nan</t>
        </is>
      </c>
      <c r="F232" s="44" t="n"/>
      <c r="G232" s="44" t="n"/>
      <c r="H232" s="15" t="n"/>
      <c r="I232" s="45" t="n">
        <v>5486364.461</v>
      </c>
      <c r="J232" s="45" t="n">
        <v>3995116.99435</v>
      </c>
      <c r="K232" s="45" t="n">
        <v>1922039.646</v>
      </c>
      <c r="L232" s="45" t="n">
        <v>1401268.57081</v>
      </c>
      <c r="M232" s="45" t="n">
        <v>998559.7695631301</v>
      </c>
      <c r="N232" s="45" t="n">
        <v>728000</v>
      </c>
      <c r="O232" s="45" t="n">
        <v>1620938.399286743</v>
      </c>
      <c r="P232" s="45" t="n">
        <v>1181745.14</v>
      </c>
      <c r="Q232" s="45" t="n">
        <v>175432.638</v>
      </c>
      <c r="R232" s="45" t="n">
        <v>127899.1647339</v>
      </c>
      <c r="S232" s="45" t="n">
        <v>5085948.555849873</v>
      </c>
      <c r="T232" s="45" t="n">
        <v>3707916.36153605</v>
      </c>
      <c r="U232" s="15" t="n">
        <v>37.1642586</v>
      </c>
      <c r="V232" s="15" t="n">
        <v>19.10240503434652</v>
      </c>
      <c r="W232" s="49" t="n">
        <v>72.905</v>
      </c>
    </row>
    <row r="233">
      <c r="A233" s="44" t="inlineStr">
        <is>
          <t>TL Cinsi Kuponsuz Senetler</t>
        </is>
      </c>
      <c r="B233" s="44" t="n">
        <v>2007</v>
      </c>
      <c r="C233" s="44" t="inlineStr">
        <is>
          <t>TRT040209T13</t>
        </is>
      </c>
      <c r="D233" s="44" t="inlineStr">
        <is>
          <t>nan</t>
        </is>
      </c>
      <c r="E233" s="44" t="inlineStr">
        <is>
          <t>nan</t>
        </is>
      </c>
      <c r="F233" s="44" t="n"/>
      <c r="G233" s="44" t="n"/>
      <c r="H233" s="15" t="n"/>
      <c r="I233" s="45" t="n">
        <v>3717043.217</v>
      </c>
      <c r="J233" s="45" t="n">
        <v>2745654.24841</v>
      </c>
      <c r="K233" s="45" t="n">
        <v>1028310.542</v>
      </c>
      <c r="L233" s="45" t="n">
        <v>760540.80791</v>
      </c>
      <c r="M233" s="45" t="n">
        <v>0</v>
      </c>
      <c r="N233" s="45" t="n">
        <v>0</v>
      </c>
      <c r="O233" s="45" t="n">
        <v>3047744.997295836</v>
      </c>
      <c r="P233" s="45" t="n">
        <v>2254112.2</v>
      </c>
      <c r="Q233" s="45" t="n">
        <v>190000.257</v>
      </c>
      <c r="R233" s="45" t="n">
        <v>140524.1900772</v>
      </c>
      <c r="S233" s="45" t="n">
        <v>4266055.796295837</v>
      </c>
      <c r="T233" s="45" t="n">
        <v>3155177.1979872</v>
      </c>
      <c r="U233" s="15" t="n">
        <v>35.2078062</v>
      </c>
      <c r="V233" s="15" t="n">
        <v>18.81141060732237</v>
      </c>
      <c r="W233" s="49" t="n">
        <v>73.95999999999999</v>
      </c>
    </row>
    <row r="234">
      <c r="A234" s="44" t="inlineStr">
        <is>
          <t>TL Cinsi Kuponsuz Senetler</t>
        </is>
      </c>
      <c r="B234" s="44" t="n">
        <v>2007</v>
      </c>
      <c r="C234" s="44" t="inlineStr">
        <is>
          <t>TRT110608T11</t>
        </is>
      </c>
      <c r="D234" s="44" t="inlineStr">
        <is>
          <t>nan</t>
        </is>
      </c>
      <c r="E234" s="44" t="inlineStr">
        <is>
          <t>nan</t>
        </is>
      </c>
      <c r="F234" s="44" t="n"/>
      <c r="G234" s="44" t="n"/>
      <c r="H234" s="15" t="n"/>
      <c r="I234" s="45" t="n">
        <v>5145288.748</v>
      </c>
      <c r="J234" s="45" t="n">
        <v>4332525.75818</v>
      </c>
      <c r="K234" s="45" t="n">
        <v>1742067.59</v>
      </c>
      <c r="L234" s="45" t="n">
        <v>1468253.2038</v>
      </c>
      <c r="M234" s="45" t="n">
        <v>0</v>
      </c>
      <c r="N234" s="45" t="n">
        <v>0</v>
      </c>
      <c r="O234" s="45" t="n">
        <v>1950641.893002064</v>
      </c>
      <c r="P234" s="45" t="n">
        <v>1644040.00026</v>
      </c>
      <c r="Q234" s="45" t="n">
        <v>165241.884</v>
      </c>
      <c r="R234" s="45" t="n">
        <v>139269.16467288</v>
      </c>
      <c r="S234" s="45" t="n">
        <v>3857951.367002065</v>
      </c>
      <c r="T234" s="45" t="n">
        <v>3251562.36793288</v>
      </c>
      <c r="U234" s="15" t="n">
        <v>18.6489895</v>
      </c>
      <c r="V234" s="15" t="n">
        <v>18.6489895</v>
      </c>
      <c r="W234" s="49" t="n">
        <v>84.282</v>
      </c>
    </row>
    <row r="235">
      <c r="A235" s="44" t="inlineStr">
        <is>
          <t>TL Cinsi Kuponsuz Senetler</t>
        </is>
      </c>
      <c r="B235" s="44" t="n">
        <v>2007</v>
      </c>
      <c r="C235" s="44" t="inlineStr">
        <is>
          <t>TRT040209T13</t>
        </is>
      </c>
      <c r="D235" s="44" t="inlineStr">
        <is>
          <t>nan</t>
        </is>
      </c>
      <c r="E235" s="44" t="inlineStr">
        <is>
          <t>nan</t>
        </is>
      </c>
      <c r="F235" s="44" t="n"/>
      <c r="G235" s="44" t="n"/>
      <c r="H235" s="15" t="n"/>
      <c r="I235" s="45" t="n">
        <v>5731863.978</v>
      </c>
      <c r="J235" s="45" t="n">
        <v>4357659.61156</v>
      </c>
      <c r="K235" s="45" t="n">
        <v>2972407.703</v>
      </c>
      <c r="L235" s="45" t="n">
        <v>2261766.4303</v>
      </c>
      <c r="M235" s="45" t="n">
        <v>1022446.510999842</v>
      </c>
      <c r="N235" s="45" t="n">
        <v>777999.99915</v>
      </c>
      <c r="O235" s="45" t="n">
        <v>1926553.605990117</v>
      </c>
      <c r="P235" s="45" t="n">
        <v>1465953.16987</v>
      </c>
      <c r="Q235" s="45" t="n">
        <v>224517.491</v>
      </c>
      <c r="R235" s="45" t="n">
        <v>170839.84925172</v>
      </c>
      <c r="S235" s="45" t="n">
        <v>6295925.310989961</v>
      </c>
      <c r="T235" s="45" t="n">
        <v>4790697.44857172</v>
      </c>
      <c r="U235" s="15" t="n">
        <v>31.4197462</v>
      </c>
      <c r="V235" s="15" t="n">
        <v>18.42859496506517</v>
      </c>
      <c r="W235" s="49" t="n">
        <v>76.092</v>
      </c>
    </row>
    <row r="236">
      <c r="A236" s="44" t="inlineStr">
        <is>
          <t>TL Cinsi Kuponsuz Senetler</t>
        </is>
      </c>
      <c r="B236" s="44" t="n">
        <v>2007</v>
      </c>
      <c r="C236" s="44" t="inlineStr">
        <is>
          <t>TRB031007T16</t>
        </is>
      </c>
      <c r="D236" s="44" t="inlineStr">
        <is>
          <t>nan</t>
        </is>
      </c>
      <c r="E236" s="44" t="inlineStr">
        <is>
          <t>nan</t>
        </is>
      </c>
      <c r="F236" s="44" t="n"/>
      <c r="G236" s="44" t="n"/>
      <c r="H236" s="15" t="n"/>
      <c r="I236" s="45" t="n">
        <v>2684537.669</v>
      </c>
      <c r="J236" s="45" t="n">
        <v>2579038.70041</v>
      </c>
      <c r="K236" s="45" t="n">
        <v>1507404.382</v>
      </c>
      <c r="L236" s="45" t="n">
        <v>1448999.9998</v>
      </c>
      <c r="M236" s="45" t="n">
        <v>0</v>
      </c>
      <c r="N236" s="45" t="n">
        <v>0</v>
      </c>
      <c r="O236" s="45" t="n">
        <v>0</v>
      </c>
      <c r="P236" s="45" t="n">
        <v>0</v>
      </c>
      <c r="Q236" s="45" t="n">
        <v>0</v>
      </c>
      <c r="R236" s="45" t="n">
        <v>0</v>
      </c>
      <c r="S236" s="45" t="n">
        <v>1507404.382</v>
      </c>
      <c r="T236" s="45" t="n">
        <v>1448999.9998</v>
      </c>
      <c r="U236" s="15" t="n">
        <v>4.0306682</v>
      </c>
      <c r="V236" s="15" t="n">
        <v>17.12390726568536</v>
      </c>
      <c r="W236" s="49" t="n">
        <v>96.126</v>
      </c>
    </row>
    <row r="237">
      <c r="A237" s="44" t="inlineStr">
        <is>
          <t>TL Cinsi Kuponsuz Senetler</t>
        </is>
      </c>
      <c r="B237" s="44" t="n">
        <v>2007</v>
      </c>
      <c r="C237" s="44" t="inlineStr">
        <is>
          <t>TRT060509T18</t>
        </is>
      </c>
      <c r="D237" s="44" t="inlineStr">
        <is>
          <t>nan</t>
        </is>
      </c>
      <c r="E237" s="44" t="inlineStr">
        <is>
          <t>nan</t>
        </is>
      </c>
      <c r="F237" s="44" t="n"/>
      <c r="G237" s="44" t="n"/>
      <c r="H237" s="15" t="n"/>
      <c r="I237" s="45" t="n">
        <v>3639356.902</v>
      </c>
      <c r="J237" s="45" t="n">
        <v>2685959.01815</v>
      </c>
      <c r="K237" s="45" t="n">
        <v>1826643.1</v>
      </c>
      <c r="L237" s="45" t="n">
        <v>1349823.64533</v>
      </c>
      <c r="M237" s="45" t="n">
        <v>2655082.81909711</v>
      </c>
      <c r="N237" s="45" t="n">
        <v>1962000</v>
      </c>
      <c r="O237" s="45" t="n">
        <v>2713562.489850601</v>
      </c>
      <c r="P237" s="45" t="n">
        <v>2005214.1375</v>
      </c>
      <c r="Q237" s="45" t="n">
        <v>186012.407</v>
      </c>
      <c r="R237" s="45" t="n">
        <v>137455.72827672</v>
      </c>
      <c r="S237" s="45" t="n">
        <v>7599029.49794771</v>
      </c>
      <c r="T237" s="45" t="n">
        <v>5615386.29795744</v>
      </c>
      <c r="U237" s="15" t="n">
        <v>35.32457</v>
      </c>
      <c r="V237" s="15" t="n">
        <v>17.80462881370661</v>
      </c>
      <c r="W237" s="49" t="n">
        <v>73.896</v>
      </c>
    </row>
    <row r="238">
      <c r="A238" s="44" t="inlineStr">
        <is>
          <t>TL Cinsi Kuponsuz Senetler</t>
        </is>
      </c>
      <c r="B238" s="44" t="n">
        <v>2007</v>
      </c>
      <c r="C238" s="44" t="inlineStr">
        <is>
          <t>TRB160108T11</t>
        </is>
      </c>
      <c r="D238" s="44" t="inlineStr">
        <is>
          <t>nan</t>
        </is>
      </c>
      <c r="E238" s="44" t="inlineStr">
        <is>
          <t>nan</t>
        </is>
      </c>
      <c r="F238" s="44" t="n"/>
      <c r="G238" s="44" t="n"/>
      <c r="H238" s="15" t="n"/>
      <c r="I238" s="45" t="n">
        <v>5012516.529</v>
      </c>
      <c r="J238" s="45" t="n">
        <v>4623072.11633</v>
      </c>
      <c r="K238" s="45" t="n">
        <v>2352832.581</v>
      </c>
      <c r="L238" s="45" t="n">
        <v>2172999.99991</v>
      </c>
      <c r="M238" s="45" t="n">
        <v>0</v>
      </c>
      <c r="N238" s="45" t="n">
        <v>0</v>
      </c>
      <c r="O238" s="45" t="n">
        <v>0</v>
      </c>
      <c r="P238" s="45" t="n">
        <v>0</v>
      </c>
      <c r="Q238" s="45" t="n">
        <v>0</v>
      </c>
      <c r="R238" s="45" t="n">
        <v>0</v>
      </c>
      <c r="S238" s="45" t="n">
        <v>2352832.581</v>
      </c>
      <c r="T238" s="45" t="n">
        <v>2172999.99981</v>
      </c>
      <c r="U238" s="15" t="n">
        <v>8.2757746</v>
      </c>
      <c r="V238" s="15" t="n">
        <v>17.23643365230005</v>
      </c>
      <c r="W238" s="49" t="n">
        <v>92.357</v>
      </c>
    </row>
    <row r="239">
      <c r="A239" s="44" t="inlineStr">
        <is>
          <t>TL Cinsi Kuponsuz Senetler</t>
        </is>
      </c>
      <c r="B239" s="44" t="n">
        <v>2007</v>
      </c>
      <c r="C239" s="44" t="inlineStr">
        <is>
          <t>TRB200208T14</t>
        </is>
      </c>
      <c r="D239" s="44" t="inlineStr">
        <is>
          <t>nan</t>
        </is>
      </c>
      <c r="E239" s="44" t="inlineStr">
        <is>
          <t>nan</t>
        </is>
      </c>
      <c r="F239" s="44" t="n"/>
      <c r="G239" s="44" t="n"/>
      <c r="H239" s="15" t="n"/>
      <c r="I239" s="45" t="n">
        <v>2335116.394</v>
      </c>
      <c r="J239" s="45" t="n">
        <v>2141962.84569</v>
      </c>
      <c r="K239" s="45" t="n">
        <v>861342.465</v>
      </c>
      <c r="L239" s="45" t="n">
        <v>791000.0004200001</v>
      </c>
      <c r="M239" s="45" t="n">
        <v>0</v>
      </c>
      <c r="N239" s="45" t="n">
        <v>0</v>
      </c>
      <c r="O239" s="45" t="n">
        <v>0</v>
      </c>
      <c r="P239" s="45" t="n">
        <v>0</v>
      </c>
      <c r="Q239" s="45" t="n">
        <v>0</v>
      </c>
      <c r="R239" s="45" t="n">
        <v>0</v>
      </c>
      <c r="S239" s="45" t="n">
        <v>861342.465</v>
      </c>
      <c r="T239" s="45" t="n">
        <v>791000.0004200001</v>
      </c>
      <c r="U239" s="15" t="n">
        <v>8.892852700000001</v>
      </c>
      <c r="V239" s="15" t="n">
        <v>18.57653369143897</v>
      </c>
      <c r="W239" s="49" t="n">
        <v>91.833</v>
      </c>
    </row>
    <row r="240">
      <c r="A240" s="44" t="inlineStr">
        <is>
          <t>TL Cinsi Kuponsuz Senetler</t>
        </is>
      </c>
      <c r="B240" s="44" t="n">
        <v>2007</v>
      </c>
      <c r="C240" s="44" t="inlineStr">
        <is>
          <t>TRT081008T10</t>
        </is>
      </c>
      <c r="D240" s="44" t="inlineStr">
        <is>
          <t>nan</t>
        </is>
      </c>
      <c r="E240" s="44" t="inlineStr">
        <is>
          <t>nan</t>
        </is>
      </c>
      <c r="F240" s="44" t="n"/>
      <c r="G240" s="44" t="n"/>
      <c r="H240" s="15" t="n"/>
      <c r="I240" s="45" t="n">
        <v>2592569.285</v>
      </c>
      <c r="J240" s="45" t="n">
        <v>2151933.42326</v>
      </c>
      <c r="K240" s="45" t="n">
        <v>1159456.315</v>
      </c>
      <c r="L240" s="45" t="n">
        <v>963044.16114</v>
      </c>
      <c r="M240" s="45" t="n">
        <v>1444738.743077294</v>
      </c>
      <c r="N240" s="45" t="n">
        <v>1200000</v>
      </c>
      <c r="O240" s="45" t="n">
        <v>798796.0510474356</v>
      </c>
      <c r="P240" s="45" t="n">
        <v>663480</v>
      </c>
      <c r="Q240" s="45" t="n">
        <v>67933.842</v>
      </c>
      <c r="R240" s="45" t="n">
        <v>56425.8491652</v>
      </c>
      <c r="S240" s="45" t="n">
        <v>3680780.191124729</v>
      </c>
      <c r="T240" s="45" t="n">
        <v>3057255.7726492</v>
      </c>
      <c r="U240" s="15" t="n">
        <v>20.39493</v>
      </c>
      <c r="V240" s="15" t="n">
        <v>18.45061063802911</v>
      </c>
      <c r="W240" s="49" t="n">
        <v>83.06</v>
      </c>
    </row>
    <row r="241">
      <c r="A241" s="44" t="inlineStr">
        <is>
          <t>TL Cinsi Kuponsuz Senetler</t>
        </is>
      </c>
      <c r="B241" s="44" t="n">
        <v>2007</v>
      </c>
      <c r="C241" s="44" t="inlineStr">
        <is>
          <t>TRT060509T18</t>
        </is>
      </c>
      <c r="D241" s="44" t="inlineStr">
        <is>
          <t>nan</t>
        </is>
      </c>
      <c r="E241" s="44" t="inlineStr">
        <is>
          <t>nan</t>
        </is>
      </c>
      <c r="F241" s="44" t="n"/>
      <c r="G241" s="44" t="n"/>
      <c r="H241" s="15" t="n"/>
      <c r="I241" s="45" t="n">
        <v>3579322.091</v>
      </c>
      <c r="J241" s="45" t="n">
        <v>2707392.76162</v>
      </c>
      <c r="K241" s="45" t="n">
        <v>1664491.25</v>
      </c>
      <c r="L241" s="45" t="n">
        <v>1260019.14701</v>
      </c>
      <c r="M241" s="45" t="n">
        <v>1585204.755614267</v>
      </c>
      <c r="N241" s="45" t="n">
        <v>1200000</v>
      </c>
      <c r="O241" s="45" t="n">
        <v>1175132.100396301</v>
      </c>
      <c r="P241" s="45" t="n">
        <v>889575</v>
      </c>
      <c r="Q241" s="45" t="n">
        <v>79576.92</v>
      </c>
      <c r="R241" s="45" t="n">
        <v>60239.72844000001</v>
      </c>
      <c r="S241" s="45" t="n">
        <v>4630405.026010567</v>
      </c>
      <c r="T241" s="45" t="n">
        <v>3505215.87545</v>
      </c>
      <c r="U241" s="15" t="n">
        <v>32.10047</v>
      </c>
      <c r="V241" s="15" t="n">
        <v>18.10401899969636</v>
      </c>
      <c r="W241" s="49" t="n">
        <v>75.7</v>
      </c>
    </row>
    <row r="242">
      <c r="A242" s="44" t="inlineStr">
        <is>
          <t>TL Cinsi Kuponsuz Senetler</t>
        </is>
      </c>
      <c r="B242" s="44" t="n">
        <v>2007</v>
      </c>
      <c r="C242" s="44" t="inlineStr">
        <is>
          <t>TRB120308T13</t>
        </is>
      </c>
      <c r="D242" s="44" t="inlineStr">
        <is>
          <t>nan</t>
        </is>
      </c>
      <c r="E242" s="44" t="inlineStr">
        <is>
          <t>nan</t>
        </is>
      </c>
      <c r="F242" s="44" t="n"/>
      <c r="G242" s="44" t="n"/>
      <c r="H242" s="15" t="n"/>
      <c r="I242" s="45" t="n">
        <v>3497535.996</v>
      </c>
      <c r="J242" s="45" t="n">
        <v>3214823.83403</v>
      </c>
      <c r="K242" s="45" t="n">
        <v>2469105.212</v>
      </c>
      <c r="L242" s="45" t="n">
        <v>2270999.99984</v>
      </c>
      <c r="M242" s="45" t="n">
        <v>0</v>
      </c>
      <c r="N242" s="45" t="n">
        <v>0</v>
      </c>
      <c r="O242" s="45" t="n">
        <v>0</v>
      </c>
      <c r="P242" s="45" t="n">
        <v>0</v>
      </c>
      <c r="Q242" s="45" t="n">
        <v>0</v>
      </c>
      <c r="R242" s="45" t="n">
        <v>0</v>
      </c>
      <c r="S242" s="45" t="n">
        <v>2469105.212</v>
      </c>
      <c r="T242" s="45" t="n">
        <v>2270999.99984</v>
      </c>
      <c r="U242" s="15" t="n">
        <v>8.723259000000001</v>
      </c>
      <c r="V242" s="15" t="n">
        <v>18.20747047581079</v>
      </c>
      <c r="W242" s="49" t="n">
        <v>91.977</v>
      </c>
    </row>
    <row r="243">
      <c r="A243" s="44" t="inlineStr">
        <is>
          <t>TL Cinsi Kuponsuz Senetler</t>
        </is>
      </c>
      <c r="B243" s="44" t="n">
        <v>2007</v>
      </c>
      <c r="C243" s="44" t="inlineStr">
        <is>
          <t>TRB020108T17</t>
        </is>
      </c>
      <c r="D243" s="44" t="inlineStr">
        <is>
          <t>nan</t>
        </is>
      </c>
      <c r="E243" s="44" t="inlineStr">
        <is>
          <t>nan</t>
        </is>
      </c>
      <c r="F243" s="44" t="n"/>
      <c r="G243" s="44" t="n"/>
      <c r="H243" s="15" t="n"/>
      <c r="I243" s="45" t="n">
        <v>2023442.915</v>
      </c>
      <c r="J243" s="45" t="n">
        <v>1944433.97976</v>
      </c>
      <c r="K243" s="45" t="n">
        <v>935262.672</v>
      </c>
      <c r="L243" s="45" t="n">
        <v>898999.9994</v>
      </c>
      <c r="M243" s="45" t="n">
        <v>0</v>
      </c>
      <c r="N243" s="45" t="n">
        <v>0</v>
      </c>
      <c r="O243" s="45" t="n">
        <v>0</v>
      </c>
      <c r="P243" s="45" t="n">
        <v>0</v>
      </c>
      <c r="Q243" s="45" t="n">
        <v>0</v>
      </c>
      <c r="R243" s="45" t="n">
        <v>0</v>
      </c>
      <c r="S243" s="45" t="n">
        <v>935262.672</v>
      </c>
      <c r="T243" s="45" t="n">
        <v>898999.9994</v>
      </c>
      <c r="U243" s="15" t="n">
        <v>4.0336677</v>
      </c>
      <c r="V243" s="15" t="n">
        <v>17.13741591117428</v>
      </c>
      <c r="W243" s="49" t="n">
        <v>96.123</v>
      </c>
    </row>
    <row r="244">
      <c r="A244" s="44" t="inlineStr">
        <is>
          <t>TL Cinsi Kuponsuz Senetler</t>
        </is>
      </c>
      <c r="B244" s="44" t="n">
        <v>2007</v>
      </c>
      <c r="C244" s="44" t="inlineStr">
        <is>
          <t>TRT050809T16</t>
        </is>
      </c>
      <c r="D244" s="44" t="inlineStr">
        <is>
          <t>nan</t>
        </is>
      </c>
      <c r="E244" s="44" t="inlineStr">
        <is>
          <t>nan</t>
        </is>
      </c>
      <c r="F244" s="44" t="n"/>
      <c r="G244" s="44" t="n"/>
      <c r="H244" s="15" t="n"/>
      <c r="I244" s="45" t="n">
        <v>4259889.767</v>
      </c>
      <c r="J244" s="45" t="n">
        <v>3243411.68069</v>
      </c>
      <c r="K244" s="45" t="n">
        <v>1764247.481</v>
      </c>
      <c r="L244" s="45" t="n">
        <v>1344653.46058</v>
      </c>
      <c r="M244" s="45" t="n">
        <v>1312043.244945353</v>
      </c>
      <c r="N244" s="45" t="n">
        <v>1000000</v>
      </c>
      <c r="O244" s="45" t="n">
        <v>1167430.166498288</v>
      </c>
      <c r="P244" s="45" t="n">
        <v>889780.25</v>
      </c>
      <c r="Q244" s="45" t="n">
        <v>12729.738</v>
      </c>
      <c r="R244" s="45" t="n">
        <v>9702.22441146</v>
      </c>
      <c r="S244" s="45" t="n">
        <v>4533648.102443641</v>
      </c>
      <c r="T244" s="45" t="n">
        <v>3455407.5322257</v>
      </c>
      <c r="U244" s="15" t="n">
        <v>31.20462</v>
      </c>
      <c r="V244" s="15" t="n">
        <v>16.21132520615449</v>
      </c>
      <c r="W244" s="49" t="n">
        <v>76.217</v>
      </c>
    </row>
    <row r="245">
      <c r="A245" s="44" t="inlineStr">
        <is>
          <t>TL Cinsi Kuponsuz Senetler</t>
        </is>
      </c>
      <c r="B245" s="44" t="n">
        <v>2007</v>
      </c>
      <c r="C245" s="44" t="inlineStr">
        <is>
          <t>TRT050809T16</t>
        </is>
      </c>
      <c r="D245" s="44" t="inlineStr">
        <is>
          <t>nan</t>
        </is>
      </c>
      <c r="E245" s="44" t="inlineStr">
        <is>
          <t>nan</t>
        </is>
      </c>
      <c r="F245" s="44" t="n"/>
      <c r="G245" s="44" t="n"/>
      <c r="H245" s="15" t="n"/>
      <c r="I245" s="45" t="n">
        <v>3702402.758</v>
      </c>
      <c r="J245" s="45" t="n">
        <v>2844561.96809</v>
      </c>
      <c r="K245" s="45" t="n">
        <v>1527347.73</v>
      </c>
      <c r="L245" s="45" t="n">
        <v>1174226.69573</v>
      </c>
      <c r="M245" s="45" t="n">
        <v>1300728.407908429</v>
      </c>
      <c r="N245" s="45" t="n">
        <v>1000000</v>
      </c>
      <c r="O245" s="45" t="n">
        <v>1545647.762747139</v>
      </c>
      <c r="P245" s="45" t="n">
        <v>1188294</v>
      </c>
      <c r="Q245" s="45" t="n">
        <v>0</v>
      </c>
      <c r="R245" s="45" t="n">
        <v>0</v>
      </c>
      <c r="S245" s="45" t="n">
        <v>4373723.900655568</v>
      </c>
      <c r="T245" s="45" t="n">
        <v>3362520.69573</v>
      </c>
      <c r="U245" s="15" t="n">
        <v>30.07265</v>
      </c>
      <c r="V245" s="15" t="n">
        <v>16.21150784072576</v>
      </c>
      <c r="W245" s="49" t="n">
        <v>76.88</v>
      </c>
    </row>
    <row r="246">
      <c r="A246" s="44" t="inlineStr">
        <is>
          <t>TL Cinsi Kuponsuz Senetler</t>
        </is>
      </c>
      <c r="B246" s="44" t="n">
        <v>2007</v>
      </c>
      <c r="C246" s="44" t="inlineStr">
        <is>
          <t>TRT171208T17</t>
        </is>
      </c>
      <c r="D246" s="44" t="inlineStr">
        <is>
          <t>nan</t>
        </is>
      </c>
      <c r="E246" s="44" t="inlineStr">
        <is>
          <t>nan</t>
        </is>
      </c>
      <c r="F246" s="44" t="n"/>
      <c r="G246" s="44" t="n"/>
      <c r="H246" s="15" t="n"/>
      <c r="I246" s="45" t="n">
        <v>3188343.339</v>
      </c>
      <c r="J246" s="45" t="n">
        <v>2722961.0686</v>
      </c>
      <c r="K246" s="45" t="n">
        <v>1267855.061</v>
      </c>
      <c r="L246" s="45" t="n">
        <v>1083610.88917</v>
      </c>
      <c r="M246" s="45" t="n">
        <v>0</v>
      </c>
      <c r="N246" s="45" t="n">
        <v>0</v>
      </c>
      <c r="O246" s="45" t="n">
        <v>635579.9648991434</v>
      </c>
      <c r="P246" s="45" t="n">
        <v>543217.4844</v>
      </c>
      <c r="Q246" s="45" t="n">
        <v>0</v>
      </c>
      <c r="R246" s="45" t="n">
        <v>0</v>
      </c>
      <c r="S246" s="45" t="n">
        <v>2045641.135899143</v>
      </c>
      <c r="T246" s="45" t="n">
        <v>1748369.0916648</v>
      </c>
      <c r="U246" s="15" t="n">
        <v>17.0028</v>
      </c>
      <c r="V246" s="15" t="n">
        <v>16.65665871785695</v>
      </c>
      <c r="W246" s="49" t="n">
        <v>85.468</v>
      </c>
    </row>
    <row r="247">
      <c r="A247" s="44" t="inlineStr">
        <is>
          <t>TL Cinsi Kuponsuz Senetler</t>
        </is>
      </c>
      <c r="B247" s="44" t="n">
        <v>2007</v>
      </c>
      <c r="C247" s="44" t="inlineStr">
        <is>
          <t>TRT050809T16</t>
        </is>
      </c>
      <c r="D247" s="44" t="inlineStr">
        <is>
          <t>nan</t>
        </is>
      </c>
      <c r="E247" s="44" t="inlineStr">
        <is>
          <t>nan</t>
        </is>
      </c>
      <c r="F247" s="44" t="n"/>
      <c r="G247" s="44" t="n"/>
      <c r="H247" s="15" t="n"/>
      <c r="I247" s="45" t="n">
        <v>2816564.527</v>
      </c>
      <c r="J247" s="45" t="n">
        <v>2188400.81111</v>
      </c>
      <c r="K247" s="45" t="n">
        <v>1286392.02</v>
      </c>
      <c r="L247" s="45" t="n">
        <v>1000047.03979</v>
      </c>
      <c r="M247" s="45" t="n">
        <v>1543606.894777464</v>
      </c>
      <c r="N247" s="45" t="n">
        <v>1200000</v>
      </c>
      <c r="O247" s="45" t="n">
        <v>1216041.683817854</v>
      </c>
      <c r="P247" s="45" t="n">
        <v>945350.8049999999</v>
      </c>
      <c r="Q247" s="45" t="n">
        <v>0</v>
      </c>
      <c r="R247" s="45" t="n">
        <v>0</v>
      </c>
      <c r="S247" s="45" t="n">
        <v>4190860.325595317</v>
      </c>
      <c r="T247" s="45" t="n">
        <v>3257980.7005598</v>
      </c>
      <c r="U247" s="15" t="n">
        <v>28.63315</v>
      </c>
      <c r="V247" s="15" t="n">
        <v>16.4448701928559</v>
      </c>
      <c r="W247" s="49" t="n">
        <v>77.73999999999999</v>
      </c>
    </row>
    <row r="248">
      <c r="A248" s="44" t="inlineStr">
        <is>
          <t>TL Cinsi Kuponsuz Senetler</t>
        </is>
      </c>
      <c r="B248" s="44" t="n">
        <v>2006</v>
      </c>
      <c r="C248" s="44" t="inlineStr">
        <is>
          <t>TRB190706T14</t>
        </is>
      </c>
      <c r="D248" s="44" t="inlineStr">
        <is>
          <t>nan</t>
        </is>
      </c>
      <c r="E248" s="44" t="inlineStr">
        <is>
          <t>nan</t>
        </is>
      </c>
      <c r="F248" s="44" t="n"/>
      <c r="G248" s="44" t="n"/>
      <c r="H248" s="15" t="n"/>
      <c r="I248" s="45" t="n">
        <v>5560405.985</v>
      </c>
      <c r="J248" s="45" t="n">
        <v>5183982.01611</v>
      </c>
      <c r="K248" s="45" t="n">
        <v>1986960.514</v>
      </c>
      <c r="L248" s="45" t="n">
        <v>1855000.00308</v>
      </c>
      <c r="M248" s="45" t="n">
        <v>0</v>
      </c>
      <c r="N248" s="45" t="n">
        <v>0</v>
      </c>
      <c r="O248" s="45" t="n">
        <v>0</v>
      </c>
      <c r="P248" s="45" t="n">
        <v>0</v>
      </c>
      <c r="Q248" s="45" t="n">
        <v>0</v>
      </c>
      <c r="R248" s="45" t="n">
        <v>0</v>
      </c>
      <c r="S248" s="45" t="n">
        <v>1986960.514</v>
      </c>
      <c r="T248" s="45" t="n">
        <v>1855000.00308</v>
      </c>
      <c r="U248" s="15" t="n">
        <v>7.1137742</v>
      </c>
      <c r="V248" s="15" t="n">
        <v>14.73360623368583</v>
      </c>
      <c r="W248" s="49" t="n">
        <v>93.35899999999999</v>
      </c>
    </row>
    <row r="249">
      <c r="A249" s="44" t="inlineStr">
        <is>
          <t>TL Cinsi Kuponsuz Senetler</t>
        </is>
      </c>
      <c r="B249" s="44" t="n">
        <v>2006</v>
      </c>
      <c r="C249" s="44" t="inlineStr">
        <is>
          <t>TRT050907T17</t>
        </is>
      </c>
      <c r="D249" s="44" t="inlineStr">
        <is>
          <t>nan</t>
        </is>
      </c>
      <c r="E249" s="44" t="inlineStr">
        <is>
          <t>nan</t>
        </is>
      </c>
      <c r="F249" s="44" t="n"/>
      <c r="G249" s="44" t="n"/>
      <c r="H249" s="15" t="n"/>
      <c r="I249" s="45" t="n">
        <v>4715858.631</v>
      </c>
      <c r="J249" s="45" t="n">
        <v>3819777.45452</v>
      </c>
      <c r="K249" s="45" t="n">
        <v>1555512.32</v>
      </c>
      <c r="L249" s="45" t="n">
        <v>1263511.72256</v>
      </c>
      <c r="M249" s="45" t="n">
        <v>467818.9786773034</v>
      </c>
      <c r="N249" s="45" t="n">
        <v>380000</v>
      </c>
      <c r="O249" s="45" t="n">
        <v>1553996.158959965</v>
      </c>
      <c r="P249" s="45" t="n">
        <v>1262280</v>
      </c>
      <c r="Q249" s="45" t="n">
        <v>0</v>
      </c>
      <c r="R249" s="45" t="n">
        <v>0</v>
      </c>
      <c r="S249" s="45" t="n">
        <v>3577327.457637268</v>
      </c>
      <c r="T249" s="45" t="n">
        <v>2905791.72256</v>
      </c>
      <c r="U249" s="15" t="n">
        <v>23.1102405</v>
      </c>
      <c r="V249" s="15" t="n">
        <v>13.56350611537918</v>
      </c>
      <c r="W249" s="49" t="n">
        <v>81.22799999999999</v>
      </c>
    </row>
    <row r="250">
      <c r="A250" s="44" t="inlineStr">
        <is>
          <t>TL Cinsi Kuponsuz Senetler</t>
        </is>
      </c>
      <c r="B250" s="44" t="n">
        <v>2006</v>
      </c>
      <c r="C250" s="44" t="inlineStr">
        <is>
          <t>TRB131206T13</t>
        </is>
      </c>
      <c r="D250" s="44" t="inlineStr">
        <is>
          <t>nan</t>
        </is>
      </c>
      <c r="E250" s="44" t="inlineStr">
        <is>
          <t>nan</t>
        </is>
      </c>
      <c r="F250" s="44" t="n"/>
      <c r="G250" s="44" t="n"/>
      <c r="H250" s="15" t="n"/>
      <c r="I250" s="45" t="n">
        <v>3414283.037</v>
      </c>
      <c r="J250" s="45" t="n">
        <v>3041812.31096</v>
      </c>
      <c r="K250" s="45" t="n">
        <v>1047928.037</v>
      </c>
      <c r="L250" s="45" t="n">
        <v>934906.3354100001</v>
      </c>
      <c r="M250" s="45" t="n">
        <v>0</v>
      </c>
      <c r="N250" s="45" t="n">
        <v>0</v>
      </c>
      <c r="O250" s="45" t="n">
        <v>778307.2353303817</v>
      </c>
      <c r="P250" s="45" t="n">
        <v>694366.8</v>
      </c>
      <c r="Q250" s="45" t="n">
        <v>13464.595</v>
      </c>
      <c r="R250" s="45" t="n">
        <v>12012.43842925</v>
      </c>
      <c r="S250" s="45" t="n">
        <v>1839699.867330382</v>
      </c>
      <c r="T250" s="45" t="n">
        <v>1641285.57383925</v>
      </c>
      <c r="U250" s="15" t="n">
        <v>12.0890936</v>
      </c>
      <c r="V250" s="15" t="n">
        <v>14.4392167686364</v>
      </c>
      <c r="W250" s="49" t="n">
        <v>89.215</v>
      </c>
    </row>
    <row r="251">
      <c r="A251" s="44" t="inlineStr">
        <is>
          <t>TL Cinsi Kuponsuz Senetler</t>
        </is>
      </c>
      <c r="B251" s="44" t="n">
        <v>2006</v>
      </c>
      <c r="C251" s="44" t="inlineStr">
        <is>
          <t>TRB230806T17</t>
        </is>
      </c>
      <c r="D251" s="44" t="inlineStr">
        <is>
          <t>nan</t>
        </is>
      </c>
      <c r="E251" s="44" t="inlineStr">
        <is>
          <t>nan</t>
        </is>
      </c>
      <c r="F251" s="44" t="n"/>
      <c r="G251" s="44" t="n"/>
      <c r="H251" s="15" t="n"/>
      <c r="I251" s="45" t="n">
        <v>5871137.295</v>
      </c>
      <c r="J251" s="45" t="n">
        <v>5486040.86179</v>
      </c>
      <c r="K251" s="45" t="n">
        <v>2421673.118</v>
      </c>
      <c r="L251" s="45" t="n">
        <v>2264000.00008</v>
      </c>
      <c r="M251" s="45" t="n">
        <v>0</v>
      </c>
      <c r="N251" s="45" t="n">
        <v>0</v>
      </c>
      <c r="O251" s="45" t="n">
        <v>0</v>
      </c>
      <c r="P251" s="45" t="n">
        <v>0</v>
      </c>
      <c r="Q251" s="45" t="n">
        <v>0</v>
      </c>
      <c r="R251" s="45" t="n">
        <v>0</v>
      </c>
      <c r="S251" s="45" t="n">
        <v>2421673.118</v>
      </c>
      <c r="T251" s="45" t="n">
        <v>2264000.00008</v>
      </c>
      <c r="U251" s="15" t="n">
        <v>6.9643603</v>
      </c>
      <c r="V251" s="15" t="n">
        <v>14.41374374388218</v>
      </c>
      <c r="W251" s="49" t="n">
        <v>93.489</v>
      </c>
    </row>
    <row r="252">
      <c r="A252" s="44" t="inlineStr">
        <is>
          <t>TL Cinsi Kuponsuz Senetler</t>
        </is>
      </c>
      <c r="B252" s="44" t="n">
        <v>2006</v>
      </c>
      <c r="C252" s="44" t="inlineStr">
        <is>
          <t>TRT050907T17</t>
        </is>
      </c>
      <c r="D252" s="44" t="inlineStr">
        <is>
          <t>nan</t>
        </is>
      </c>
      <c r="E252" s="44" t="inlineStr">
        <is>
          <t>nan</t>
        </is>
      </c>
      <c r="F252" s="44" t="n"/>
      <c r="G252" s="44" t="n"/>
      <c r="H252" s="15" t="n"/>
      <c r="I252" s="45" t="n">
        <v>1973202.021</v>
      </c>
      <c r="J252" s="45" t="n">
        <v>1622033.00394</v>
      </c>
      <c r="K252" s="45" t="n">
        <v>1463977.11</v>
      </c>
      <c r="L252" s="45" t="n">
        <v>1204264.81923</v>
      </c>
      <c r="M252" s="45" t="n">
        <v>1235716.022368101</v>
      </c>
      <c r="N252" s="45" t="n">
        <v>1016500</v>
      </c>
      <c r="O252" s="45" t="n">
        <v>2177671.298322392</v>
      </c>
      <c r="P252" s="45" t="n">
        <v>1791352.41</v>
      </c>
      <c r="Q252" s="45" t="n">
        <v>0</v>
      </c>
      <c r="R252" s="45" t="n">
        <v>0</v>
      </c>
      <c r="S252" s="45" t="n">
        <v>4877364.430690493</v>
      </c>
      <c r="T252" s="45" t="n">
        <v>4012117.22923</v>
      </c>
      <c r="U252" s="15" t="n">
        <v>21.5660448</v>
      </c>
      <c r="V252" s="15" t="n">
        <v>13.53453525326869</v>
      </c>
      <c r="W252" s="49" t="n">
        <v>82.26000000000001</v>
      </c>
    </row>
    <row r="253">
      <c r="A253" s="44" t="inlineStr">
        <is>
          <t>TL Cinsi Kuponsuz Senetler</t>
        </is>
      </c>
      <c r="B253" s="44" t="n">
        <v>2006</v>
      </c>
      <c r="C253" s="44" t="inlineStr">
        <is>
          <t>TRB140606T10</t>
        </is>
      </c>
      <c r="D253" s="44" t="inlineStr">
        <is>
          <t>nan</t>
        </is>
      </c>
      <c r="E253" s="44" t="inlineStr">
        <is>
          <t>nan</t>
        </is>
      </c>
      <c r="F253" s="44" t="n"/>
      <c r="G253" s="44" t="n"/>
      <c r="H253" s="15" t="n"/>
      <c r="I253" s="45" t="n">
        <v>2590728.428</v>
      </c>
      <c r="J253" s="45" t="n">
        <v>2505039.42681</v>
      </c>
      <c r="K253" s="45" t="n">
        <v>978070.651</v>
      </c>
      <c r="L253" s="45" t="n">
        <v>945999.99975</v>
      </c>
      <c r="M253" s="45" t="n">
        <v>0</v>
      </c>
      <c r="N253" s="45" t="n">
        <v>0</v>
      </c>
      <c r="O253" s="45" t="n">
        <v>0</v>
      </c>
      <c r="P253" s="45" t="n">
        <v>0</v>
      </c>
      <c r="Q253" s="45" t="n">
        <v>0</v>
      </c>
      <c r="R253" s="45" t="n">
        <v>0</v>
      </c>
      <c r="S253" s="45" t="n">
        <v>978070.651</v>
      </c>
      <c r="T253" s="45" t="n">
        <v>945999.99975</v>
      </c>
      <c r="U253" s="15" t="n">
        <v>3.3901323</v>
      </c>
      <c r="V253" s="15" t="n">
        <v>14.26582622182753</v>
      </c>
      <c r="W253" s="49" t="n">
        <v>96.721</v>
      </c>
    </row>
    <row r="254">
      <c r="A254" s="44" t="inlineStr">
        <is>
          <t>TL Cinsi Kuponsuz Senetler</t>
        </is>
      </c>
      <c r="B254" s="44" t="n">
        <v>2006</v>
      </c>
      <c r="C254" s="44" t="inlineStr">
        <is>
          <t>TRT050907T17</t>
        </is>
      </c>
      <c r="D254" s="44" t="inlineStr">
        <is>
          <t>nan</t>
        </is>
      </c>
      <c r="E254" s="44" t="inlineStr">
        <is>
          <t>nan</t>
        </is>
      </c>
      <c r="F254" s="44" t="n"/>
      <c r="G254" s="44" t="n"/>
      <c r="H254" s="15" t="n"/>
      <c r="I254" s="45" t="n">
        <v>3801401.288</v>
      </c>
      <c r="J254" s="45" t="n">
        <v>3136989.417</v>
      </c>
      <c r="K254" s="45" t="n">
        <v>3183443.118</v>
      </c>
      <c r="L254" s="45" t="n">
        <v>2628322.19969</v>
      </c>
      <c r="M254" s="45" t="n">
        <v>499018.9189942104</v>
      </c>
      <c r="N254" s="45" t="n">
        <v>411999.9999</v>
      </c>
      <c r="O254" s="45" t="n">
        <v>1175498.412998716</v>
      </c>
      <c r="P254" s="45" t="n">
        <v>970514.99974</v>
      </c>
      <c r="Q254" s="45" t="n">
        <v>0</v>
      </c>
      <c r="R254" s="45" t="n">
        <v>0</v>
      </c>
      <c r="S254" s="45" t="n">
        <v>5475239.477992927</v>
      </c>
      <c r="T254" s="45" t="n">
        <v>4520475.11042736</v>
      </c>
      <c r="U254" s="15" t="n">
        <v>21.1207332</v>
      </c>
      <c r="V254" s="15" t="n">
        <v>13.81499942097577</v>
      </c>
      <c r="W254" s="49" t="n">
        <v>82.562</v>
      </c>
    </row>
    <row r="255">
      <c r="A255" s="44" t="inlineStr">
        <is>
          <t>TL Cinsi Kuponsuz Senetler</t>
        </is>
      </c>
      <c r="B255" s="44" t="n">
        <v>2006</v>
      </c>
      <c r="C255" s="44" t="inlineStr">
        <is>
          <t>TRT180407T17</t>
        </is>
      </c>
      <c r="D255" s="44" t="inlineStr">
        <is>
          <t>nan</t>
        </is>
      </c>
      <c r="E255" s="44" t="inlineStr">
        <is>
          <t>nan</t>
        </is>
      </c>
      <c r="F255" s="44" t="n"/>
      <c r="G255" s="44" t="n"/>
      <c r="H255" s="15" t="n"/>
      <c r="I255" s="45" t="n">
        <v>4643406.76</v>
      </c>
      <c r="J255" s="45" t="n">
        <v>4048578.22679</v>
      </c>
      <c r="K255" s="45" t="n">
        <v>2480260.727</v>
      </c>
      <c r="L255" s="45" t="n">
        <v>2163477.90741</v>
      </c>
      <c r="M255" s="45" t="n">
        <v>0</v>
      </c>
      <c r="N255" s="45" t="n">
        <v>0</v>
      </c>
      <c r="O255" s="45" t="n">
        <v>1006836.394277067</v>
      </c>
      <c r="P255" s="45" t="n">
        <v>878243.25</v>
      </c>
      <c r="Q255" s="45" t="n">
        <v>0</v>
      </c>
      <c r="R255" s="45" t="n">
        <v>0</v>
      </c>
      <c r="S255" s="45" t="n">
        <v>3877204.282277067</v>
      </c>
      <c r="T255" s="45" t="n">
        <v>3382003.83180708</v>
      </c>
      <c r="U255" s="15" t="n">
        <v>14.6422951</v>
      </c>
      <c r="V255" s="15" t="n">
        <v>14.06355779499084</v>
      </c>
      <c r="W255" s="49" t="n">
        <v>87.22799999999999</v>
      </c>
    </row>
    <row r="256">
      <c r="A256" s="44" t="inlineStr">
        <is>
          <t>TL Cinsi Kuponsuz Senetler</t>
        </is>
      </c>
      <c r="B256" s="44" t="n">
        <v>2006</v>
      </c>
      <c r="C256" s="44" t="inlineStr">
        <is>
          <t>TRT090408T17</t>
        </is>
      </c>
      <c r="D256" s="44" t="inlineStr">
        <is>
          <t>nan</t>
        </is>
      </c>
      <c r="E256" s="44" t="inlineStr">
        <is>
          <t>nan</t>
        </is>
      </c>
      <c r="F256" s="44" t="n"/>
      <c r="G256" s="44" t="n"/>
      <c r="H256" s="15" t="n"/>
      <c r="I256" s="45" t="n">
        <v>4106447.531</v>
      </c>
      <c r="J256" s="45" t="n">
        <v>3170286.30069</v>
      </c>
      <c r="K256" s="45" t="n">
        <v>3000509.375</v>
      </c>
      <c r="L256" s="45" t="n">
        <v>2317962.97681</v>
      </c>
      <c r="M256" s="45" t="n">
        <v>1440739.397996169</v>
      </c>
      <c r="N256" s="45" t="n">
        <v>1112999.99974</v>
      </c>
      <c r="O256" s="45" t="n">
        <v>2577294.255164915</v>
      </c>
      <c r="P256" s="45" t="n">
        <v>1991011.358</v>
      </c>
      <c r="Q256" s="45" t="n">
        <v>252904.028</v>
      </c>
      <c r="R256" s="45" t="n">
        <v>195373.41971056</v>
      </c>
      <c r="S256" s="45" t="n">
        <v>7271447.056161083</v>
      </c>
      <c r="T256" s="45" t="n">
        <v>5617347.75426056</v>
      </c>
      <c r="U256" s="15" t="n">
        <v>29.4459577</v>
      </c>
      <c r="V256" s="15" t="n">
        <v>13.77431946621346</v>
      </c>
      <c r="W256" s="49" t="n">
        <v>77.252</v>
      </c>
    </row>
    <row r="257">
      <c r="A257" s="44" t="inlineStr">
        <is>
          <t>TL Cinsi Kuponsuz Senetler</t>
        </is>
      </c>
      <c r="B257" s="44" t="n">
        <v>2006</v>
      </c>
      <c r="C257" s="44" t="inlineStr">
        <is>
          <t>TRT160507T18</t>
        </is>
      </c>
      <c r="D257" s="44" t="inlineStr">
        <is>
          <t>nan</t>
        </is>
      </c>
      <c r="E257" s="44" t="inlineStr">
        <is>
          <t>nan</t>
        </is>
      </c>
      <c r="F257" s="44" t="n"/>
      <c r="G257" s="44" t="n"/>
      <c r="H257" s="15" t="n"/>
      <c r="I257" s="45" t="n">
        <v>3133043.662</v>
      </c>
      <c r="J257" s="45" t="n">
        <v>2731496.536</v>
      </c>
      <c r="K257" s="45" t="n">
        <v>1597903.057</v>
      </c>
      <c r="L257" s="45" t="n">
        <v>1393763.22873</v>
      </c>
      <c r="M257" s="45" t="n">
        <v>0</v>
      </c>
      <c r="N257" s="45" t="n">
        <v>0</v>
      </c>
      <c r="O257" s="45" t="n">
        <v>756072.2269991402</v>
      </c>
      <c r="P257" s="45" t="n">
        <v>659484</v>
      </c>
      <c r="Q257" s="45" t="n">
        <v>0</v>
      </c>
      <c r="R257" s="45" t="n">
        <v>0</v>
      </c>
      <c r="S257" s="45" t="n">
        <v>2479689.557999141</v>
      </c>
      <c r="T257" s="45" t="n">
        <v>2162901.5042265</v>
      </c>
      <c r="U257" s="15" t="n">
        <v>14.6466648</v>
      </c>
      <c r="V257" s="15" t="n">
        <v>14.06774440917731</v>
      </c>
      <c r="W257" s="49" t="n">
        <v>87.22499999999999</v>
      </c>
    </row>
    <row r="258">
      <c r="A258" s="44" t="inlineStr">
        <is>
          <t>TL Cinsi Kuponsuz Senetler</t>
        </is>
      </c>
      <c r="B258" s="44" t="n">
        <v>2006</v>
      </c>
      <c r="C258" s="44" t="inlineStr">
        <is>
          <t>TRT090408T17</t>
        </is>
      </c>
      <c r="D258" s="44" t="inlineStr">
        <is>
          <t>nan</t>
        </is>
      </c>
      <c r="E258" s="44" t="inlineStr">
        <is>
          <t>nan</t>
        </is>
      </c>
      <c r="F258" s="44" t="n"/>
      <c r="G258" s="44" t="n"/>
      <c r="H258" s="15" t="n"/>
      <c r="I258" s="45" t="n">
        <v>1560043.948</v>
      </c>
      <c r="J258" s="45" t="n">
        <v>1178592.72004</v>
      </c>
      <c r="K258" s="45" t="n">
        <v>928344.603</v>
      </c>
      <c r="L258" s="45" t="n">
        <v>701890.25789</v>
      </c>
      <c r="M258" s="45" t="n">
        <v>0</v>
      </c>
      <c r="N258" s="45" t="n">
        <v>0</v>
      </c>
      <c r="O258" s="45" t="n">
        <v>1537526.287248535</v>
      </c>
      <c r="P258" s="45" t="n">
        <v>1162477.5</v>
      </c>
      <c r="Q258" s="45" t="n">
        <v>121113.283</v>
      </c>
      <c r="R258" s="45" t="n">
        <v>91570.11987780999</v>
      </c>
      <c r="S258" s="45" t="n">
        <v>2586984.173248535</v>
      </c>
      <c r="T258" s="45" t="n">
        <v>1955937.87776781</v>
      </c>
      <c r="U258" s="15" t="n">
        <v>32.2634974</v>
      </c>
      <c r="V258" s="15" t="n">
        <v>15.99454142986281</v>
      </c>
      <c r="W258" s="49" t="n">
        <v>75.607</v>
      </c>
    </row>
    <row r="259">
      <c r="A259" s="44" t="inlineStr">
        <is>
          <t>TL Cinsi Kuponsuz Senetler</t>
        </is>
      </c>
      <c r="B259" s="44" t="n">
        <v>2006</v>
      </c>
      <c r="C259" s="44" t="inlineStr">
        <is>
          <t>TRT130607T10</t>
        </is>
      </c>
      <c r="D259" s="44" t="inlineStr">
        <is>
          <t>nan</t>
        </is>
      </c>
      <c r="E259" s="44" t="inlineStr">
        <is>
          <t>nan</t>
        </is>
      </c>
      <c r="F259" s="44" t="n"/>
      <c r="G259" s="44" t="n"/>
      <c r="H259" s="15" t="n"/>
      <c r="I259" s="45" t="n">
        <v>1653589.774</v>
      </c>
      <c r="J259" s="45" t="n">
        <v>1388712.39022</v>
      </c>
      <c r="K259" s="45" t="n">
        <v>1048540.004</v>
      </c>
      <c r="L259" s="45" t="n">
        <v>881260.38726</v>
      </c>
      <c r="M259" s="45" t="n">
        <v>0</v>
      </c>
      <c r="N259" s="45" t="n">
        <v>0</v>
      </c>
      <c r="O259" s="45" t="n">
        <v>676147.5858458462</v>
      </c>
      <c r="P259" s="45" t="n">
        <v>568275</v>
      </c>
      <c r="Q259" s="45" t="n">
        <v>77973.351</v>
      </c>
      <c r="R259" s="45" t="n">
        <v>65533.48258146</v>
      </c>
      <c r="S259" s="45" t="n">
        <v>1816660.940845846</v>
      </c>
      <c r="T259" s="45" t="n">
        <v>1526835.30984146</v>
      </c>
      <c r="U259" s="15" t="n">
        <v>18.9818604</v>
      </c>
      <c r="V259" s="15" t="n">
        <v>18.59232680097316</v>
      </c>
      <c r="W259" s="49" t="n">
        <v>84.04600000000001</v>
      </c>
    </row>
    <row r="260">
      <c r="A260" s="44" t="inlineStr">
        <is>
          <t>TL Cinsi Kuponsuz Senetler</t>
        </is>
      </c>
      <c r="B260" s="44" t="n">
        <v>2006</v>
      </c>
      <c r="C260" s="44" t="inlineStr">
        <is>
          <t>TRB130906T18</t>
        </is>
      </c>
      <c r="D260" s="44" t="inlineStr">
        <is>
          <t>nan</t>
        </is>
      </c>
      <c r="E260" s="44" t="inlineStr">
        <is>
          <t>nan</t>
        </is>
      </c>
      <c r="F260" s="44" t="n"/>
      <c r="G260" s="44" t="n"/>
      <c r="H260" s="15" t="n"/>
      <c r="I260" s="45" t="n">
        <v>1741082.403</v>
      </c>
      <c r="J260" s="45" t="n">
        <v>1673613.87845</v>
      </c>
      <c r="K260" s="45" t="n">
        <v>1023814.304</v>
      </c>
      <c r="L260" s="45" t="n">
        <v>984999.99963</v>
      </c>
      <c r="M260" s="45" t="n">
        <v>0</v>
      </c>
      <c r="N260" s="45" t="n">
        <v>0</v>
      </c>
      <c r="O260" s="45" t="n">
        <v>0</v>
      </c>
      <c r="P260" s="45" t="n">
        <v>0</v>
      </c>
      <c r="Q260" s="45" t="n">
        <v>0</v>
      </c>
      <c r="R260" s="45" t="n">
        <v>0</v>
      </c>
      <c r="S260" s="45" t="n">
        <v>1023814.304</v>
      </c>
      <c r="T260" s="45" t="n">
        <v>984999.99963</v>
      </c>
      <c r="U260" s="15" t="n">
        <v>3.9405385</v>
      </c>
      <c r="V260" s="15" t="n">
        <v>16.7185409604494</v>
      </c>
      <c r="W260" s="49" t="n">
        <v>96.209</v>
      </c>
    </row>
    <row r="261">
      <c r="A261" s="44" t="inlineStr">
        <is>
          <t>TL Cinsi Kuponsuz Senetler</t>
        </is>
      </c>
      <c r="B261" s="44" t="n">
        <v>2006</v>
      </c>
      <c r="C261" s="44" t="inlineStr">
        <is>
          <t>TRT090408T17</t>
        </is>
      </c>
      <c r="D261" s="44" t="inlineStr">
        <is>
          <t>nan</t>
        </is>
      </c>
      <c r="E261" s="44" t="inlineStr">
        <is>
          <t>nan</t>
        </is>
      </c>
      <c r="F261" s="44" t="n"/>
      <c r="G261" s="44" t="n"/>
      <c r="H261" s="15" t="n"/>
      <c r="I261" s="45" t="n">
        <v>697432.461</v>
      </c>
      <c r="J261" s="45" t="n">
        <v>506846.03508</v>
      </c>
      <c r="K261" s="45" t="n">
        <v>549903.55</v>
      </c>
      <c r="L261" s="45" t="n">
        <v>400381.80058</v>
      </c>
      <c r="M261" s="45" t="n">
        <v>0</v>
      </c>
      <c r="N261" s="45" t="n">
        <v>0</v>
      </c>
      <c r="O261" s="45" t="n">
        <v>405169.690560233</v>
      </c>
      <c r="P261" s="45" t="n">
        <v>295000</v>
      </c>
      <c r="Q261" s="45" t="n">
        <v>47345.949</v>
      </c>
      <c r="R261" s="45" t="n">
        <v>34472.11200741</v>
      </c>
      <c r="S261" s="45" t="n">
        <v>1002419.189560233</v>
      </c>
      <c r="T261" s="45" t="n">
        <v>729853.9125874101</v>
      </c>
      <c r="U261" s="15" t="n">
        <v>37.3447917</v>
      </c>
      <c r="V261" s="15" t="n">
        <v>18.96906368522613</v>
      </c>
      <c r="W261" s="49" t="n">
        <v>72.809</v>
      </c>
    </row>
    <row r="262">
      <c r="A262" s="44" t="inlineStr">
        <is>
          <t>TL Cinsi Kuponsuz Senetler</t>
        </is>
      </c>
      <c r="B262" s="44" t="n">
        <v>2006</v>
      </c>
      <c r="C262" s="44" t="inlineStr">
        <is>
          <t>TRB041006T24</t>
        </is>
      </c>
      <c r="D262" s="44" t="inlineStr">
        <is>
          <t>nan</t>
        </is>
      </c>
      <c r="E262" s="44" t="inlineStr">
        <is>
          <t>nan</t>
        </is>
      </c>
      <c r="F262" s="44" t="n"/>
      <c r="G262" s="44" t="n"/>
      <c r="H262" s="15" t="n"/>
      <c r="I262" s="45" t="n">
        <v>1432120.844</v>
      </c>
      <c r="J262" s="45" t="n">
        <v>1360744.88456</v>
      </c>
      <c r="K262" s="45" t="n">
        <v>1309620.844</v>
      </c>
      <c r="L262" s="45" t="n">
        <v>1244710.75956</v>
      </c>
      <c r="M262" s="45" t="n">
        <v>0</v>
      </c>
      <c r="N262" s="45" t="n">
        <v>0</v>
      </c>
      <c r="O262" s="45" t="n">
        <v>0</v>
      </c>
      <c r="P262" s="45" t="n">
        <v>0</v>
      </c>
      <c r="Q262" s="45" t="n">
        <v>0</v>
      </c>
      <c r="R262" s="45" t="n">
        <v>0</v>
      </c>
      <c r="S262" s="45" t="n">
        <v>1309620.844</v>
      </c>
      <c r="T262" s="45" t="n">
        <v>1244710.75956</v>
      </c>
      <c r="U262" s="15" t="n">
        <v>5.2148729</v>
      </c>
      <c r="V262" s="15" t="n">
        <v>22.5486523018235</v>
      </c>
      <c r="W262" s="49" t="n">
        <v>95.044</v>
      </c>
    </row>
    <row r="263">
      <c r="A263" s="44" t="inlineStr">
        <is>
          <t>TL Cinsi Kuponsuz Senetler</t>
        </is>
      </c>
      <c r="B263" s="44" t="n">
        <v>2006</v>
      </c>
      <c r="C263" s="44" t="inlineStr">
        <is>
          <t>TRT040707T10</t>
        </is>
      </c>
      <c r="D263" s="44" t="inlineStr">
        <is>
          <t>nan</t>
        </is>
      </c>
      <c r="E263" s="44" t="inlineStr">
        <is>
          <t>nan</t>
        </is>
      </c>
      <c r="F263" s="44" t="n"/>
      <c r="G263" s="44" t="n"/>
      <c r="H263" s="15" t="n"/>
      <c r="I263" s="45" t="n">
        <v>2364597.93</v>
      </c>
      <c r="J263" s="45" t="n">
        <v>1944912.02022</v>
      </c>
      <c r="K263" s="45" t="n">
        <v>939804</v>
      </c>
      <c r="L263" s="45" t="n">
        <v>775525.687</v>
      </c>
      <c r="M263" s="45" t="n">
        <v>1165030.897855325</v>
      </c>
      <c r="N263" s="45" t="n">
        <v>961500</v>
      </c>
      <c r="O263" s="45" t="n">
        <v>730542.6039016115</v>
      </c>
      <c r="P263" s="45" t="n">
        <v>602916.811</v>
      </c>
      <c r="Q263" s="45" t="n">
        <v>82617.92200000001</v>
      </c>
      <c r="R263" s="45" t="n">
        <v>68184.57102660001</v>
      </c>
      <c r="S263" s="45" t="n">
        <v>3064231.016756937</v>
      </c>
      <c r="T263" s="45" t="n">
        <v>2528815.3039295</v>
      </c>
      <c r="U263" s="15" t="n">
        <v>21.1680601</v>
      </c>
      <c r="V263" s="15" t="n">
        <v>21.16806010000001</v>
      </c>
      <c r="W263" s="49" t="n">
        <v>82.53</v>
      </c>
    </row>
    <row r="264">
      <c r="A264" s="44" t="inlineStr">
        <is>
          <t>TL Cinsi Kuponsuz Senetler</t>
        </is>
      </c>
      <c r="B264" s="44" t="n">
        <v>2006</v>
      </c>
      <c r="C264" s="44" t="inlineStr">
        <is>
          <t>TRB170107T11</t>
        </is>
      </c>
      <c r="D264" s="44" t="inlineStr">
        <is>
          <t>nan</t>
        </is>
      </c>
      <c r="E264" s="44" t="inlineStr">
        <is>
          <t>nan</t>
        </is>
      </c>
      <c r="F264" s="44" t="n"/>
      <c r="G264" s="44" t="n"/>
      <c r="H264" s="15" t="n"/>
      <c r="I264" s="45" t="n">
        <v>2765138.568</v>
      </c>
      <c r="J264" s="45" t="n">
        <v>2494061.69189</v>
      </c>
      <c r="K264" s="45" t="n">
        <v>2321960.153</v>
      </c>
      <c r="L264" s="45" t="n">
        <v>2097000.00005</v>
      </c>
      <c r="M264" s="45" t="n">
        <v>0</v>
      </c>
      <c r="N264" s="45" t="n">
        <v>0</v>
      </c>
      <c r="O264" s="45" t="n">
        <v>0</v>
      </c>
      <c r="P264" s="45" t="n">
        <v>0</v>
      </c>
      <c r="Q264" s="45" t="n">
        <v>0</v>
      </c>
      <c r="R264" s="45" t="n">
        <v>0</v>
      </c>
      <c r="S264" s="45" t="n">
        <v>2321960.153</v>
      </c>
      <c r="T264" s="45" t="n">
        <v>2097000.00005</v>
      </c>
      <c r="U264" s="15" t="n">
        <v>10.7277135</v>
      </c>
      <c r="V264" s="15" t="n">
        <v>22.6062653693808</v>
      </c>
      <c r="W264" s="49" t="n">
        <v>90.312</v>
      </c>
    </row>
    <row r="265">
      <c r="A265" s="44" t="inlineStr">
        <is>
          <t>TL Cinsi Kuponsuz Senetler</t>
        </is>
      </c>
      <c r="B265" s="44" t="n">
        <v>2006</v>
      </c>
      <c r="C265" s="44" t="inlineStr">
        <is>
          <t>TRT160708T15</t>
        </is>
      </c>
      <c r="D265" s="44" t="inlineStr">
        <is>
          <t>nan</t>
        </is>
      </c>
      <c r="E265" s="44" t="inlineStr">
        <is>
          <t>nan</t>
        </is>
      </c>
      <c r="F265" s="44" t="n"/>
      <c r="G265" s="44" t="n"/>
      <c r="H265" s="15" t="n"/>
      <c r="I265" s="45" t="n">
        <v>2141599.361</v>
      </c>
      <c r="J265" s="45" t="n">
        <v>1474667.25861</v>
      </c>
      <c r="K265" s="45" t="n">
        <v>1462701.861</v>
      </c>
      <c r="L265" s="45" t="n">
        <v>1010006.90156</v>
      </c>
      <c r="M265" s="45" t="n">
        <v>485148.6582381139</v>
      </c>
      <c r="N265" s="45" t="n">
        <v>335000</v>
      </c>
      <c r="O265" s="45" t="n">
        <v>1260098.268236521</v>
      </c>
      <c r="P265" s="45" t="n">
        <v>870110.4552</v>
      </c>
      <c r="Q265" s="45" t="n">
        <v>135165.544</v>
      </c>
      <c r="R265" s="45" t="n">
        <v>93333.15978744</v>
      </c>
      <c r="S265" s="45" t="n">
        <v>3343114.331474635</v>
      </c>
      <c r="T265" s="45" t="n">
        <v>2308450.51654744</v>
      </c>
      <c r="U265" s="15" t="n">
        <v>44.8209768</v>
      </c>
      <c r="V265" s="15" t="n">
        <v>20.34158749160657</v>
      </c>
      <c r="W265" s="49" t="n">
        <v>69.051</v>
      </c>
    </row>
    <row r="266">
      <c r="A266" s="44" t="inlineStr">
        <is>
          <t>TL Cinsi Kuponsuz Senetler</t>
        </is>
      </c>
      <c r="B266" s="44" t="n">
        <v>2006</v>
      </c>
      <c r="C266" s="44" t="inlineStr">
        <is>
          <t>TRT040707T10</t>
        </is>
      </c>
      <c r="D266" s="44" t="inlineStr">
        <is>
          <t>nan</t>
        </is>
      </c>
      <c r="E266" s="44" t="inlineStr">
        <is>
          <t>nan</t>
        </is>
      </c>
      <c r="F266" s="44" t="n"/>
      <c r="G266" s="44" t="n"/>
      <c r="H266" s="15" t="n"/>
      <c r="I266" s="45" t="n">
        <v>2462085.829</v>
      </c>
      <c r="J266" s="45" t="n">
        <v>2069369.93715</v>
      </c>
      <c r="K266" s="45" t="n">
        <v>1275431.837</v>
      </c>
      <c r="L266" s="45" t="n">
        <v>1073399.29086</v>
      </c>
      <c r="M266" s="45" t="n">
        <v>594106.463878327</v>
      </c>
      <c r="N266" s="45" t="n">
        <v>500000</v>
      </c>
      <c r="O266" s="45" t="n">
        <v>472319.6292775666</v>
      </c>
      <c r="P266" s="45" t="n">
        <v>397504.2</v>
      </c>
      <c r="Q266" s="45" t="n">
        <v>84138.969</v>
      </c>
      <c r="R266" s="45" t="n">
        <v>70811.35631039999</v>
      </c>
      <c r="S266" s="45" t="n">
        <v>2649221.581155894</v>
      </c>
      <c r="T266" s="45" t="n">
        <v>2229580.7395416</v>
      </c>
      <c r="U266" s="15" t="n">
        <v>18.8217514</v>
      </c>
      <c r="V266" s="15" t="n">
        <v>21.02179877622557</v>
      </c>
      <c r="W266" s="49" t="n">
        <v>84.16</v>
      </c>
    </row>
    <row r="267">
      <c r="A267" s="44" t="inlineStr">
        <is>
          <t>TL Cinsi Kuponsuz Senetler</t>
        </is>
      </c>
      <c r="B267" s="44" t="n">
        <v>2006</v>
      </c>
      <c r="C267" s="44" t="inlineStr">
        <is>
          <t>TRT160708T15</t>
        </is>
      </c>
      <c r="D267" s="44" t="inlineStr">
        <is>
          <t>nan</t>
        </is>
      </c>
      <c r="E267" s="44" t="inlineStr">
        <is>
          <t>nan</t>
        </is>
      </c>
      <c r="F267" s="44" t="n"/>
      <c r="G267" s="44" t="n"/>
      <c r="H267" s="15" t="n"/>
      <c r="I267" s="45" t="n">
        <v>3385062.755</v>
      </c>
      <c r="J267" s="45" t="n">
        <v>2375477.52486</v>
      </c>
      <c r="K267" s="45" t="n">
        <v>1973100.32</v>
      </c>
      <c r="L267" s="45" t="n">
        <v>1387065.06064</v>
      </c>
      <c r="M267" s="45" t="n">
        <v>712670.1660052063</v>
      </c>
      <c r="N267" s="45" t="n">
        <v>501000</v>
      </c>
      <c r="O267" s="45" t="n">
        <v>2729377.3737891</v>
      </c>
      <c r="P267" s="45" t="n">
        <v>1918725</v>
      </c>
      <c r="Q267" s="45" t="n">
        <v>231484.859</v>
      </c>
      <c r="R267" s="45" t="n">
        <v>162731.54102841</v>
      </c>
      <c r="S267" s="45" t="n">
        <v>5922144.879794308</v>
      </c>
      <c r="T267" s="45" t="n">
        <v>4163203.8957298</v>
      </c>
      <c r="U267" s="15" t="n">
        <v>42.2500196</v>
      </c>
      <c r="V267" s="15" t="n">
        <v>19.89448924868016</v>
      </c>
      <c r="W267" s="49" t="n">
        <v>70.29900000000001</v>
      </c>
    </row>
    <row r="268">
      <c r="A268" s="44" t="inlineStr">
        <is>
          <t>TL Cinsi Kuponsuz Senetler</t>
        </is>
      </c>
      <c r="B268" s="44" t="n">
        <v>2006</v>
      </c>
      <c r="C268" s="44" t="inlineStr">
        <is>
          <t>TRB210207T14</t>
        </is>
      </c>
      <c r="D268" s="44" t="inlineStr">
        <is>
          <t>nan</t>
        </is>
      </c>
      <c r="E268" s="44" t="inlineStr">
        <is>
          <t>nan</t>
        </is>
      </c>
      <c r="F268" s="44" t="n"/>
      <c r="G268" s="44" t="n"/>
      <c r="H268" s="15" t="n"/>
      <c r="I268" s="45" t="n">
        <v>7729769.517</v>
      </c>
      <c r="J268" s="45" t="n">
        <v>7009891.56946</v>
      </c>
      <c r="K268" s="45" t="n">
        <v>2120252.697</v>
      </c>
      <c r="L268" s="45" t="n">
        <v>1926999.99984</v>
      </c>
      <c r="M268" s="45" t="n">
        <v>0</v>
      </c>
      <c r="N268" s="45" t="n">
        <v>0</v>
      </c>
      <c r="O268" s="45" t="n">
        <v>0</v>
      </c>
      <c r="P268" s="45" t="n">
        <v>0</v>
      </c>
      <c r="Q268" s="45" t="n">
        <v>0</v>
      </c>
      <c r="R268" s="45" t="n">
        <v>0</v>
      </c>
      <c r="S268" s="45" t="n">
        <v>2120252.697</v>
      </c>
      <c r="T268" s="45" t="n">
        <v>1926999.99984</v>
      </c>
      <c r="U268" s="15" t="n">
        <v>10.0286817</v>
      </c>
      <c r="V268" s="15" t="n">
        <v>21.06310796639914</v>
      </c>
      <c r="W268" s="49" t="n">
        <v>90.88500000000001</v>
      </c>
    </row>
    <row r="269">
      <c r="A269" s="44" t="inlineStr">
        <is>
          <t>TL Cinsi Kuponsuz Senetler</t>
        </is>
      </c>
      <c r="B269" s="44" t="n">
        <v>2006</v>
      </c>
      <c r="C269" s="44" t="inlineStr">
        <is>
          <t>TRB140307T12</t>
        </is>
      </c>
      <c r="D269" s="44" t="inlineStr">
        <is>
          <t>nan</t>
        </is>
      </c>
      <c r="E269" s="44" t="inlineStr">
        <is>
          <t>nan</t>
        </is>
      </c>
      <c r="F269" s="44" t="n"/>
      <c r="G269" s="44" t="n"/>
      <c r="H269" s="15" t="n"/>
      <c r="I269" s="45" t="n">
        <v>9102169.82</v>
      </c>
      <c r="J269" s="45" t="n">
        <v>8228057.63885</v>
      </c>
      <c r="K269" s="45" t="n">
        <v>2773567.376</v>
      </c>
      <c r="L269" s="45" t="n">
        <v>2513000.00245</v>
      </c>
      <c r="M269" s="45" t="n">
        <v>0</v>
      </c>
      <c r="N269" s="45" t="n">
        <v>0</v>
      </c>
      <c r="O269" s="45" t="n">
        <v>0</v>
      </c>
      <c r="P269" s="45" t="n">
        <v>0</v>
      </c>
      <c r="Q269" s="45" t="n">
        <v>0</v>
      </c>
      <c r="R269" s="45" t="n">
        <v>0</v>
      </c>
      <c r="S269" s="45" t="n">
        <v>2773567.376</v>
      </c>
      <c r="T269" s="45" t="n">
        <v>2513000.00245</v>
      </c>
      <c r="U269" s="15" t="n">
        <v>10.3687773</v>
      </c>
      <c r="V269" s="15" t="n">
        <v>21.81267002696998</v>
      </c>
      <c r="W269" s="49" t="n">
        <v>90.605</v>
      </c>
    </row>
    <row r="270">
      <c r="A270" s="44" t="inlineStr">
        <is>
          <t>TL Cinsi Kuponsuz Senetler</t>
        </is>
      </c>
      <c r="B270" s="44" t="n">
        <v>2006</v>
      </c>
      <c r="C270" s="44" t="inlineStr">
        <is>
          <t>TRT160708T15</t>
        </is>
      </c>
      <c r="D270" s="44" t="inlineStr">
        <is>
          <t>nan</t>
        </is>
      </c>
      <c r="E270" s="44" t="inlineStr">
        <is>
          <t>nan</t>
        </is>
      </c>
      <c r="F270" s="44" t="n"/>
      <c r="G270" s="44" t="n"/>
      <c r="H270" s="15" t="n"/>
      <c r="I270" s="45" t="n">
        <v>6481934.559</v>
      </c>
      <c r="J270" s="45" t="n">
        <v>4611802.31028</v>
      </c>
      <c r="K270" s="45" t="n">
        <v>2111061.934</v>
      </c>
      <c r="L270" s="45" t="n">
        <v>1504565.70955</v>
      </c>
      <c r="M270" s="45" t="n">
        <v>0</v>
      </c>
      <c r="N270" s="45" t="n">
        <v>0</v>
      </c>
      <c r="O270" s="45" t="n">
        <v>2533773.97538971</v>
      </c>
      <c r="P270" s="45" t="n">
        <v>1805846.05</v>
      </c>
      <c r="Q270" s="45" t="n">
        <v>230209.188</v>
      </c>
      <c r="R270" s="45" t="n">
        <v>164072.39037948</v>
      </c>
      <c r="S270" s="45" t="n">
        <v>5262767.09938971</v>
      </c>
      <c r="T270" s="45" t="n">
        <v>3750817.4979749</v>
      </c>
      <c r="U270" s="15" t="n">
        <v>40.3103846</v>
      </c>
      <c r="V270" s="15" t="n">
        <v>20.13613335092792</v>
      </c>
      <c r="W270" s="49" t="n">
        <v>71.271</v>
      </c>
    </row>
    <row r="271">
      <c r="A271" s="44" t="inlineStr">
        <is>
          <t>TL Cinsi Kuponsuz Senetler</t>
        </is>
      </c>
      <c r="B271" s="44" t="n">
        <v>2006</v>
      </c>
      <c r="C271" s="44" t="inlineStr">
        <is>
          <t>TRT071107T11</t>
        </is>
      </c>
      <c r="D271" s="44" t="inlineStr">
        <is>
          <t>nan</t>
        </is>
      </c>
      <c r="E271" s="44" t="inlineStr">
        <is>
          <t>nan</t>
        </is>
      </c>
      <c r="F271" s="44" t="n"/>
      <c r="G271" s="44" t="n"/>
      <c r="H271" s="15" t="n"/>
      <c r="I271" s="45" t="n">
        <v>2957271.743</v>
      </c>
      <c r="J271" s="45" t="n">
        <v>2369821.99506</v>
      </c>
      <c r="K271" s="45" t="n">
        <v>1301843.932</v>
      </c>
      <c r="L271" s="45" t="n">
        <v>1044843.0837</v>
      </c>
      <c r="M271" s="45" t="n">
        <v>1108909.9041852</v>
      </c>
      <c r="N271" s="45" t="n">
        <v>890000</v>
      </c>
      <c r="O271" s="45" t="n">
        <v>632740.2852016595</v>
      </c>
      <c r="P271" s="45" t="n">
        <v>507831.0255</v>
      </c>
      <c r="Q271" s="45" t="n">
        <v>95340.887</v>
      </c>
      <c r="R271" s="45" t="n">
        <v>76519.64249733</v>
      </c>
      <c r="S271" s="45" t="n">
        <v>3371185.04638686</v>
      </c>
      <c r="T271" s="45" t="n">
        <v>2705675.56869575</v>
      </c>
      <c r="U271" s="15" t="n">
        <v>24.5970761</v>
      </c>
      <c r="V271" s="15" t="n">
        <v>21.79451445900666</v>
      </c>
      <c r="W271" s="49" t="n">
        <v>80.259</v>
      </c>
    </row>
    <row r="272">
      <c r="A272" s="44" t="inlineStr">
        <is>
          <t>TL Cinsi Kuponsuz Senetler</t>
        </is>
      </c>
      <c r="B272" s="44" t="n">
        <v>2006</v>
      </c>
      <c r="C272" s="44" t="inlineStr">
        <is>
          <t>TRB030107T17</t>
        </is>
      </c>
      <c r="D272" s="44" t="inlineStr">
        <is>
          <t>nan</t>
        </is>
      </c>
      <c r="E272" s="44" t="inlineStr">
        <is>
          <t>nan</t>
        </is>
      </c>
      <c r="F272" s="44" t="n"/>
      <c r="G272" s="44" t="n"/>
      <c r="H272" s="15" t="n"/>
      <c r="I272" s="45" t="n">
        <v>2833445.563</v>
      </c>
      <c r="J272" s="45" t="n">
        <v>2706338.14235</v>
      </c>
      <c r="K272" s="45" t="n">
        <v>865002.1189999999</v>
      </c>
      <c r="L272" s="45" t="n">
        <v>827000.00035</v>
      </c>
      <c r="M272" s="45" t="n">
        <v>0</v>
      </c>
      <c r="N272" s="45" t="n">
        <v>0</v>
      </c>
      <c r="O272" s="45" t="n">
        <v>0</v>
      </c>
      <c r="P272" s="45" t="n">
        <v>0</v>
      </c>
      <c r="Q272" s="45" t="n">
        <v>0</v>
      </c>
      <c r="R272" s="45" t="n">
        <v>0</v>
      </c>
      <c r="S272" s="45" t="n">
        <v>865002.1189999999</v>
      </c>
      <c r="T272" s="45" t="n">
        <v>827000.00035</v>
      </c>
      <c r="U272" s="15" t="n">
        <v>4.5951776</v>
      </c>
      <c r="V272" s="15" t="n">
        <v>19.68690777945543</v>
      </c>
      <c r="W272" s="49" t="n">
        <v>95.607</v>
      </c>
    </row>
    <row r="273">
      <c r="A273" s="44" t="inlineStr">
        <is>
          <t>TL Cinsi Kuponsuz Senetler</t>
        </is>
      </c>
      <c r="B273" s="44" t="n">
        <v>2006</v>
      </c>
      <c r="C273" s="44" t="inlineStr">
        <is>
          <t>TRT130808T17</t>
        </is>
      </c>
      <c r="D273" s="44" t="inlineStr">
        <is>
          <t>nan</t>
        </is>
      </c>
      <c r="E273" s="44" t="inlineStr">
        <is>
          <t>nan</t>
        </is>
      </c>
      <c r="F273" s="44" t="n"/>
      <c r="G273" s="44" t="n"/>
      <c r="H273" s="15" t="n"/>
      <c r="I273" s="45" t="n">
        <v>4054901.38</v>
      </c>
      <c r="J273" s="45" t="n">
        <v>2768934.71811</v>
      </c>
      <c r="K273" s="45" t="n">
        <v>2506145.7</v>
      </c>
      <c r="L273" s="45" t="n">
        <v>1713925.85401</v>
      </c>
      <c r="M273" s="45" t="n">
        <v>0</v>
      </c>
      <c r="N273" s="45" t="n">
        <v>0</v>
      </c>
      <c r="O273" s="45" t="n">
        <v>1638732.106011201</v>
      </c>
      <c r="P273" s="45" t="n">
        <v>1120712.49998</v>
      </c>
      <c r="Q273" s="45" t="n">
        <v>206259.623</v>
      </c>
      <c r="R273" s="45" t="n">
        <v>141058.89357347</v>
      </c>
      <c r="S273" s="45" t="n">
        <v>4351137.429011201</v>
      </c>
      <c r="T273" s="45" t="n">
        <v>2975697.24751347</v>
      </c>
      <c r="U273" s="15" t="n">
        <v>46.2225273</v>
      </c>
      <c r="V273" s="15" t="n">
        <v>22.59175622205314</v>
      </c>
      <c r="W273" s="49" t="n">
        <v>68.389</v>
      </c>
    </row>
    <row r="274">
      <c r="A274" s="44" t="inlineStr">
        <is>
          <t>TL Cinsi Kuponsuz Senetler</t>
        </is>
      </c>
      <c r="B274" s="44" t="n">
        <v>2006</v>
      </c>
      <c r="C274" s="44" t="inlineStr">
        <is>
          <t>TRT121207T13</t>
        </is>
      </c>
      <c r="D274" s="44" t="inlineStr">
        <is>
          <t>nan</t>
        </is>
      </c>
      <c r="E274" s="44" t="inlineStr">
        <is>
          <t>nan</t>
        </is>
      </c>
      <c r="F274" s="44" t="n"/>
      <c r="G274" s="44" t="n"/>
      <c r="H274" s="15" t="n"/>
      <c r="I274" s="45" t="n">
        <v>4271973.318</v>
      </c>
      <c r="J274" s="45" t="n">
        <v>3469460.36737</v>
      </c>
      <c r="K274" s="45" t="n">
        <v>1188447.55</v>
      </c>
      <c r="L274" s="45" t="n">
        <v>966394.49335</v>
      </c>
      <c r="M274" s="45" t="n">
        <v>645629.3964287471</v>
      </c>
      <c r="N274" s="45" t="n">
        <v>525000</v>
      </c>
      <c r="O274" s="45" t="n">
        <v>713782.8859019135</v>
      </c>
      <c r="P274" s="45" t="n">
        <v>580419.6915</v>
      </c>
      <c r="Q274" s="45" t="n">
        <v>94033.879</v>
      </c>
      <c r="R274" s="45" t="n">
        <v>76464.58904764001</v>
      </c>
      <c r="S274" s="45" t="n">
        <v>2808590.709330661</v>
      </c>
      <c r="T274" s="45" t="n">
        <v>2283830.10479132</v>
      </c>
      <c r="U274" s="15" t="n">
        <v>22.9774754</v>
      </c>
      <c r="V274" s="15" t="n">
        <v>20.76640461574208</v>
      </c>
      <c r="W274" s="49" t="n">
        <v>81.316</v>
      </c>
    </row>
    <row r="275">
      <c r="A275" s="44" t="inlineStr">
        <is>
          <t>TL Cinsi Kuponsuz Senetler</t>
        </is>
      </c>
      <c r="B275" s="44" t="n">
        <v>2006</v>
      </c>
      <c r="C275" s="44" t="inlineStr">
        <is>
          <t>TRT130808T17</t>
        </is>
      </c>
      <c r="D275" s="44" t="inlineStr">
        <is>
          <t>nan</t>
        </is>
      </c>
      <c r="E275" s="44" t="inlineStr">
        <is>
          <t>nan</t>
        </is>
      </c>
      <c r="F275" s="44" t="n"/>
      <c r="G275" s="44" t="n"/>
      <c r="H275" s="15" t="n"/>
      <c r="I275" s="45" t="n">
        <v>6494205.342</v>
      </c>
      <c r="J275" s="45" t="n">
        <v>4637103.25118</v>
      </c>
      <c r="K275" s="45" t="n">
        <v>1793803.049</v>
      </c>
      <c r="L275" s="45" t="n">
        <v>1282401.05268</v>
      </c>
      <c r="M275" s="45" t="n">
        <v>1089647.647955687</v>
      </c>
      <c r="N275" s="45" t="n">
        <v>779000</v>
      </c>
      <c r="O275" s="45" t="n">
        <v>3674276.955141207</v>
      </c>
      <c r="P275" s="45" t="n">
        <v>2626777.338</v>
      </c>
      <c r="Q275" s="45" t="n">
        <v>273234.629</v>
      </c>
      <c r="R275" s="45" t="n">
        <v>195338.16861839</v>
      </c>
      <c r="S275" s="45" t="n">
        <v>6992004.380096894</v>
      </c>
      <c r="T275" s="45" t="n">
        <v>4998647.166294481</v>
      </c>
      <c r="U275" s="15" t="n">
        <v>39.878476</v>
      </c>
      <c r="V275" s="15" t="n">
        <v>20.88737268959346</v>
      </c>
      <c r="W275" s="49" t="n">
        <v>71.491</v>
      </c>
    </row>
    <row r="276">
      <c r="A276" s="44" t="inlineStr">
        <is>
          <t>TL Cinsi Kuponsuz Senetler</t>
        </is>
      </c>
      <c r="B276" s="44" t="n">
        <v>2006</v>
      </c>
      <c r="C276" s="44" t="inlineStr">
        <is>
          <t>TRT121207T13</t>
        </is>
      </c>
      <c r="D276" s="44" t="inlineStr">
        <is>
          <t>nan</t>
        </is>
      </c>
      <c r="E276" s="44" t="inlineStr">
        <is>
          <t>nan</t>
        </is>
      </c>
      <c r="F276" s="44" t="n"/>
      <c r="G276" s="44" t="n"/>
      <c r="H276" s="15" t="n"/>
      <c r="I276" s="45" t="n">
        <v>1402088.917</v>
      </c>
      <c r="J276" s="45" t="n">
        <v>1152643.81248</v>
      </c>
      <c r="K276" s="45" t="n">
        <v>630058.281</v>
      </c>
      <c r="L276" s="45" t="n">
        <v>518716.90007</v>
      </c>
      <c r="M276" s="45" t="n">
        <v>30366.33899766786</v>
      </c>
      <c r="N276" s="45" t="n">
        <v>24999.99957</v>
      </c>
      <c r="O276" s="45" t="n">
        <v>945078.3160042755</v>
      </c>
      <c r="P276" s="45" t="n">
        <v>778064.076</v>
      </c>
      <c r="Q276" s="45" t="n">
        <v>77241.048</v>
      </c>
      <c r="R276" s="45" t="n">
        <v>63591.00999744</v>
      </c>
      <c r="S276" s="45" t="n">
        <v>1763369.359001943</v>
      </c>
      <c r="T276" s="45" t="n">
        <v>1451749.24436744</v>
      </c>
      <c r="U276" s="15" t="n">
        <v>21.4647683</v>
      </c>
      <c r="V276" s="15" t="n">
        <v>21.01993732768723</v>
      </c>
      <c r="W276" s="49" t="n">
        <v>82.328</v>
      </c>
    </row>
    <row r="277">
      <c r="A277" s="44" t="inlineStr">
        <is>
          <t>TL Cinsi Kuponsuz Senetler</t>
        </is>
      </c>
      <c r="B277" s="44" t="n">
        <v>2006</v>
      </c>
      <c r="C277" s="44" t="inlineStr">
        <is>
          <t>TRT130808T17</t>
        </is>
      </c>
      <c r="D277" s="44" t="inlineStr">
        <is>
          <t>nan</t>
        </is>
      </c>
      <c r="E277" s="44" t="inlineStr">
        <is>
          <t>nan</t>
        </is>
      </c>
      <c r="F277" s="44" t="n"/>
      <c r="G277" s="44" t="n"/>
      <c r="H277" s="15" t="n"/>
      <c r="I277" s="45" t="n">
        <v>3071046.795</v>
      </c>
      <c r="J277" s="45" t="n">
        <v>2201296.2217</v>
      </c>
      <c r="K277" s="45" t="n">
        <v>1959502.995</v>
      </c>
      <c r="L277" s="45" t="n">
        <v>1405616.4757</v>
      </c>
      <c r="M277" s="45" t="n">
        <v>13940.58500271841</v>
      </c>
      <c r="N277" s="45" t="n">
        <v>9999.99984</v>
      </c>
      <c r="O277" s="45" t="n">
        <v>1682795.922044248</v>
      </c>
      <c r="P277" s="45" t="n">
        <v>1207119.99876</v>
      </c>
      <c r="Q277" s="45" t="n">
        <v>182003.353</v>
      </c>
      <c r="R277" s="45" t="n">
        <v>130556.46520749</v>
      </c>
      <c r="S277" s="45" t="n">
        <v>4269080.317046965</v>
      </c>
      <c r="T277" s="45" t="n">
        <v>3062345.57612395</v>
      </c>
      <c r="U277" s="15" t="n">
        <v>39.4052381</v>
      </c>
      <c r="V277" s="15" t="n">
        <v>21.6902623518062</v>
      </c>
      <c r="W277" s="49" t="n">
        <v>71.733</v>
      </c>
    </row>
    <row r="278">
      <c r="A278" s="44" t="inlineStr">
        <is>
          <t>TL Cinsi Kuponsuz Senetler</t>
        </is>
      </c>
      <c r="B278" s="44" t="n">
        <v>2005</v>
      </c>
      <c r="C278" s="44" t="inlineStr">
        <is>
          <t>TRB200405T15</t>
        </is>
      </c>
      <c r="D278" s="44" t="inlineStr">
        <is>
          <t>nan</t>
        </is>
      </c>
      <c r="E278" s="44" t="inlineStr">
        <is>
          <t>nan</t>
        </is>
      </c>
      <c r="F278" s="44" t="n"/>
      <c r="G278" s="44" t="n"/>
      <c r="H278" s="15" t="n"/>
      <c r="I278" s="45" t="n">
        <v>3939869.065</v>
      </c>
      <c r="J278" s="45" t="n">
        <v>3775878.50372</v>
      </c>
      <c r="K278" s="45" t="n">
        <v>2250007.776</v>
      </c>
      <c r="L278" s="45" t="n">
        <v>2157000.00012</v>
      </c>
      <c r="M278" s="45" t="n">
        <v>0</v>
      </c>
      <c r="N278" s="45" t="n">
        <v>0</v>
      </c>
      <c r="O278" s="45" t="n">
        <v>0</v>
      </c>
      <c r="P278" s="45" t="n">
        <v>0</v>
      </c>
      <c r="Q278" s="45" t="n">
        <v>0</v>
      </c>
      <c r="R278" s="45" t="n">
        <v>0</v>
      </c>
      <c r="S278" s="45" t="n">
        <v>2250007.776</v>
      </c>
      <c r="T278" s="45" t="n">
        <v>2157000.00012</v>
      </c>
      <c r="U278" s="15" t="n">
        <v>4.3119043</v>
      </c>
      <c r="V278" s="15" t="n">
        <v>18.39558166781174</v>
      </c>
      <c r="W278" s="49" t="n">
        <v>95.866</v>
      </c>
    </row>
    <row r="279">
      <c r="A279" s="44" t="inlineStr">
        <is>
          <t>TL Cinsi Kuponsuz Senetler</t>
        </is>
      </c>
      <c r="B279" s="44" t="n">
        <v>2005</v>
      </c>
      <c r="C279" s="44" t="inlineStr">
        <is>
          <t>TRB091105T11</t>
        </is>
      </c>
      <c r="D279" s="44" t="inlineStr">
        <is>
          <t>nan</t>
        </is>
      </c>
      <c r="E279" s="44" t="inlineStr">
        <is>
          <t>nan</t>
        </is>
      </c>
      <c r="F279" s="44" t="n"/>
      <c r="G279" s="44" t="n"/>
      <c r="H279" s="15" t="n"/>
      <c r="I279" s="45" t="n">
        <v>2081218.603</v>
      </c>
      <c r="J279" s="45" t="n">
        <v>1805668.58991</v>
      </c>
      <c r="K279" s="45" t="n">
        <v>1279480.547</v>
      </c>
      <c r="L279" s="45" t="n">
        <v>1110770.77368</v>
      </c>
      <c r="M279" s="45" t="n">
        <v>437717.4188494943</v>
      </c>
      <c r="N279" s="45" t="n">
        <v>380000</v>
      </c>
      <c r="O279" s="45" t="n">
        <v>1927108.223328035</v>
      </c>
      <c r="P279" s="45" t="n">
        <v>1672999.733</v>
      </c>
      <c r="Q279" s="45" t="n">
        <v>0</v>
      </c>
      <c r="R279" s="45" t="n">
        <v>0</v>
      </c>
      <c r="S279" s="45" t="n">
        <v>3847532.636177529</v>
      </c>
      <c r="T279" s="45" t="n">
        <v>3340199.51437858</v>
      </c>
      <c r="U279" s="15" t="n">
        <v>15.1885319</v>
      </c>
      <c r="V279" s="15" t="n">
        <v>19.64233868989012</v>
      </c>
      <c r="W279" s="49" t="n">
        <v>86.81399999999999</v>
      </c>
    </row>
    <row r="280">
      <c r="A280" s="44" t="inlineStr">
        <is>
          <t>TL Cinsi Kuponsuz Senetler</t>
        </is>
      </c>
      <c r="B280" s="44" t="n">
        <v>2005</v>
      </c>
      <c r="C280" s="44" t="inlineStr">
        <is>
          <t>TRT090806T15</t>
        </is>
      </c>
      <c r="D280" s="44" t="inlineStr">
        <is>
          <t>nan</t>
        </is>
      </c>
      <c r="E280" s="44" t="inlineStr">
        <is>
          <t>nan</t>
        </is>
      </c>
      <c r="F280" s="44" t="n"/>
      <c r="G280" s="44" t="n"/>
      <c r="H280" s="15" t="n"/>
      <c r="I280" s="45" t="n">
        <v>6082747.55</v>
      </c>
      <c r="J280" s="45" t="n">
        <v>4605430.93386</v>
      </c>
      <c r="K280" s="45" t="n">
        <v>3296794.842</v>
      </c>
      <c r="L280" s="45" t="n">
        <v>2498756.30664</v>
      </c>
      <c r="M280" s="45" t="n">
        <v>1054832.836372272</v>
      </c>
      <c r="N280" s="45" t="n">
        <v>799500</v>
      </c>
      <c r="O280" s="45" t="n">
        <v>1537326.864923345</v>
      </c>
      <c r="P280" s="45" t="n">
        <v>1165201.524</v>
      </c>
      <c r="Q280" s="45" t="n">
        <v>0</v>
      </c>
      <c r="R280" s="45" t="n">
        <v>0</v>
      </c>
      <c r="S280" s="45" t="n">
        <v>6358571.609295617</v>
      </c>
      <c r="T280" s="45" t="n">
        <v>4819399.38964404</v>
      </c>
      <c r="U280" s="15" t="n">
        <v>31.9374296</v>
      </c>
      <c r="V280" s="15" t="n">
        <v>19.73998855443691</v>
      </c>
      <c r="W280" s="49" t="n">
        <v>75.794</v>
      </c>
    </row>
    <row r="281">
      <c r="A281" s="44" t="inlineStr">
        <is>
          <t>TL Cinsi Kuponsuz Senetler</t>
        </is>
      </c>
      <c r="B281" s="44" t="n">
        <v>2005</v>
      </c>
      <c r="C281" s="44" t="inlineStr">
        <is>
          <t>TRB110505T15</t>
        </is>
      </c>
      <c r="D281" s="44" t="inlineStr">
        <is>
          <t>nan</t>
        </is>
      </c>
      <c r="E281" s="44" t="inlineStr">
        <is>
          <t>nan</t>
        </is>
      </c>
      <c r="F281" s="44" t="n"/>
      <c r="G281" s="44" t="n"/>
      <c r="H281" s="15" t="n"/>
      <c r="I281" s="45" t="n">
        <v>3278866.707</v>
      </c>
      <c r="J281" s="45" t="n">
        <v>3149965.23942</v>
      </c>
      <c r="K281" s="45" t="n">
        <v>1931663.752</v>
      </c>
      <c r="L281" s="45" t="n">
        <v>1855999.99917</v>
      </c>
      <c r="M281" s="45" t="n">
        <v>0</v>
      </c>
      <c r="N281" s="45" t="n">
        <v>0</v>
      </c>
      <c r="O281" s="45" t="n">
        <v>0</v>
      </c>
      <c r="P281" s="45" t="n">
        <v>0</v>
      </c>
      <c r="Q281" s="45" t="n">
        <v>0</v>
      </c>
      <c r="R281" s="45" t="n">
        <v>0</v>
      </c>
      <c r="S281" s="45" t="n">
        <v>1931663.752</v>
      </c>
      <c r="T281" s="45" t="n">
        <v>1855999.99917</v>
      </c>
      <c r="U281" s="15" t="n">
        <v>4.0767108</v>
      </c>
      <c r="V281" s="15" t="n">
        <v>17.3313949406968</v>
      </c>
      <c r="W281" s="49" t="n">
        <v>96.083</v>
      </c>
    </row>
    <row r="282">
      <c r="A282" s="44" t="inlineStr">
        <is>
          <t>TL Cinsi Kuponsuz Senetler</t>
        </is>
      </c>
      <c r="B282" s="44" t="n">
        <v>2005</v>
      </c>
      <c r="C282" s="44" t="inlineStr">
        <is>
          <t>TRT270906T12</t>
        </is>
      </c>
      <c r="D282" s="44" t="inlineStr">
        <is>
          <t>nan</t>
        </is>
      </c>
      <c r="E282" s="44" t="inlineStr">
        <is>
          <t>nan</t>
        </is>
      </c>
      <c r="F282" s="44" t="n"/>
      <c r="G282" s="44" t="n"/>
      <c r="H282" s="15" t="n"/>
      <c r="I282" s="45" t="n">
        <v>4563063.333</v>
      </c>
      <c r="J282" s="45" t="n">
        <v>3494219.97132</v>
      </c>
      <c r="K282" s="45" t="n">
        <v>1293425.291</v>
      </c>
      <c r="L282" s="45" t="n">
        <v>992069.71641</v>
      </c>
      <c r="M282" s="45" t="n">
        <v>544321.4560435979</v>
      </c>
      <c r="N282" s="45" t="n">
        <v>417500</v>
      </c>
      <c r="O282" s="45" t="n">
        <v>2602406.487529498</v>
      </c>
      <c r="P282" s="45" t="n">
        <v>1996071.8</v>
      </c>
      <c r="Q282" s="45" t="n">
        <v>0</v>
      </c>
      <c r="R282" s="45" t="n">
        <v>0</v>
      </c>
      <c r="S282" s="45" t="n">
        <v>4681965.953573096</v>
      </c>
      <c r="T282" s="45" t="n">
        <v>3591114.29001019</v>
      </c>
      <c r="U282" s="15" t="n">
        <v>30.3764513</v>
      </c>
      <c r="V282" s="15" t="n">
        <v>17.61826741427037</v>
      </c>
      <c r="W282" s="49" t="n">
        <v>76.70099999999999</v>
      </c>
    </row>
    <row r="283">
      <c r="A283" s="44" t="inlineStr">
        <is>
          <t>TL Cinsi Kuponsuz Senetler</t>
        </is>
      </c>
      <c r="B283" s="44" t="n">
        <v>2005</v>
      </c>
      <c r="C283" s="44" t="inlineStr">
        <is>
          <t>TRB240805T17</t>
        </is>
      </c>
      <c r="D283" s="44" t="inlineStr">
        <is>
          <t>nan</t>
        </is>
      </c>
      <c r="E283" s="44" t="inlineStr">
        <is>
          <t>nan</t>
        </is>
      </c>
      <c r="F283" s="44" t="n"/>
      <c r="G283" s="44" t="n"/>
      <c r="H283" s="15" t="n"/>
      <c r="I283" s="45" t="n">
        <v>2226651.099</v>
      </c>
      <c r="J283" s="45" t="n">
        <v>2051540.74486</v>
      </c>
      <c r="K283" s="45" t="n">
        <v>2014114.413</v>
      </c>
      <c r="L283" s="45" t="n">
        <v>1855999.99993</v>
      </c>
      <c r="M283" s="45" t="n">
        <v>0</v>
      </c>
      <c r="N283" s="45" t="n">
        <v>0</v>
      </c>
      <c r="O283" s="45" t="n">
        <v>0</v>
      </c>
      <c r="P283" s="45" t="n">
        <v>0</v>
      </c>
      <c r="Q283" s="45" t="n">
        <v>0</v>
      </c>
      <c r="R283" s="45" t="n">
        <v>0</v>
      </c>
      <c r="S283" s="45" t="n">
        <v>2014114.413</v>
      </c>
      <c r="T283" s="45" t="n">
        <v>1855999.99993</v>
      </c>
      <c r="U283" s="15" t="n">
        <v>8.519095500000001</v>
      </c>
      <c r="V283" s="15" t="n">
        <v>17.76394088138122</v>
      </c>
      <c r="W283" s="49" t="n">
        <v>92.15000000000001</v>
      </c>
    </row>
    <row r="284">
      <c r="A284" s="44" t="inlineStr">
        <is>
          <t>TL Cinsi Kuponsuz Senetler</t>
        </is>
      </c>
      <c r="B284" s="44" t="n">
        <v>2005</v>
      </c>
      <c r="C284" s="44" t="inlineStr">
        <is>
          <t>TRB150605T10</t>
        </is>
      </c>
      <c r="D284" s="44" t="inlineStr">
        <is>
          <t>nan</t>
        </is>
      </c>
      <c r="E284" s="44" t="inlineStr">
        <is>
          <t>nan</t>
        </is>
      </c>
      <c r="F284" s="44" t="n"/>
      <c r="G284" s="44" t="n"/>
      <c r="H284" s="15" t="n"/>
      <c r="I284" s="45" t="n">
        <v>2165560.6</v>
      </c>
      <c r="J284" s="45" t="n">
        <v>2085088.164</v>
      </c>
      <c r="K284" s="45" t="n">
        <v>1128685.213</v>
      </c>
      <c r="L284" s="45" t="n">
        <v>1086999.96608</v>
      </c>
      <c r="M284" s="45" t="n">
        <v>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n">
        <v>0</v>
      </c>
      <c r="S284" s="45" t="n">
        <v>1128685.213</v>
      </c>
      <c r="T284" s="45" t="n">
        <v>1086999.96608</v>
      </c>
      <c r="U284" s="15" t="n">
        <v>3.8348894</v>
      </c>
      <c r="V284" s="15" t="n">
        <v>16.24471541139329</v>
      </c>
      <c r="W284" s="49" t="n">
        <v>96.307</v>
      </c>
    </row>
    <row r="285">
      <c r="A285" s="44" t="inlineStr">
        <is>
          <t>TL Cinsi Kuponsuz Senetler</t>
        </is>
      </c>
      <c r="B285" s="44" t="n">
        <v>2005</v>
      </c>
      <c r="C285" s="44" t="inlineStr">
        <is>
          <t>TRB091105T11</t>
        </is>
      </c>
      <c r="D285" s="44" t="inlineStr">
        <is>
          <t>nan</t>
        </is>
      </c>
      <c r="E285" s="44" t="inlineStr">
        <is>
          <t>nan</t>
        </is>
      </c>
      <c r="F285" s="44" t="n"/>
      <c r="G285" s="44" t="n"/>
      <c r="H285" s="15" t="n"/>
      <c r="I285" s="45" t="n">
        <v>951950.829</v>
      </c>
      <c r="J285" s="45" t="n">
        <v>858956.09814</v>
      </c>
      <c r="K285" s="45" t="n">
        <v>361669.651</v>
      </c>
      <c r="L285" s="45" t="n">
        <v>326568.36965</v>
      </c>
      <c r="M285" s="45" t="n">
        <v>115178.0275762778</v>
      </c>
      <c r="N285" s="45" t="n">
        <v>104000</v>
      </c>
      <c r="O285" s="45" t="n">
        <v>540084.9437953375</v>
      </c>
      <c r="P285" s="45" t="n">
        <v>487669.7</v>
      </c>
      <c r="Q285" s="45" t="n">
        <v>0</v>
      </c>
      <c r="R285" s="45" t="n">
        <v>0</v>
      </c>
      <c r="S285" s="45" t="n">
        <v>1016932.622371615</v>
      </c>
      <c r="T285" s="45" t="n">
        <v>918238.06965</v>
      </c>
      <c r="U285" s="15" t="n">
        <v>10.7485245</v>
      </c>
      <c r="V285" s="15" t="n">
        <v>17.45347185092161</v>
      </c>
      <c r="W285" s="49" t="n">
        <v>90.295</v>
      </c>
    </row>
    <row r="286">
      <c r="A286" s="44" t="inlineStr">
        <is>
          <t>TL Cinsi Kuponsuz Senetler</t>
        </is>
      </c>
      <c r="B286" s="44" t="n">
        <v>2005</v>
      </c>
      <c r="C286" s="44" t="inlineStr">
        <is>
          <t>TRT270906T12</t>
        </is>
      </c>
      <c r="D286" s="44" t="inlineStr">
        <is>
          <t>nan</t>
        </is>
      </c>
      <c r="E286" s="44" t="inlineStr">
        <is>
          <t>nan</t>
        </is>
      </c>
      <c r="F286" s="44" t="n"/>
      <c r="G286" s="44" t="n"/>
      <c r="H286" s="15" t="n"/>
      <c r="I286" s="45" t="n">
        <v>2347529.482</v>
      </c>
      <c r="J286" s="45" t="n">
        <v>1841268.47762</v>
      </c>
      <c r="K286" s="45" t="n">
        <v>1050745.029</v>
      </c>
      <c r="L286" s="45" t="n">
        <v>825280.69559</v>
      </c>
      <c r="M286" s="45" t="n">
        <v>509281.6582210792</v>
      </c>
      <c r="N286" s="45" t="n">
        <v>400000</v>
      </c>
      <c r="O286" s="45" t="n">
        <v>926562.1158106491</v>
      </c>
      <c r="P286" s="45" t="n">
        <v>727740.417</v>
      </c>
      <c r="Q286" s="45" t="n">
        <v>0</v>
      </c>
      <c r="R286" s="45" t="n">
        <v>0</v>
      </c>
      <c r="S286" s="45" t="n">
        <v>2486588.803031728</v>
      </c>
      <c r="T286" s="45" t="n">
        <v>1953021.11259</v>
      </c>
      <c r="U286" s="15" t="n">
        <v>27.3197149</v>
      </c>
      <c r="V286" s="15" t="n">
        <v>17.23174860531913</v>
      </c>
      <c r="W286" s="49" t="n">
        <v>78.542</v>
      </c>
    </row>
    <row r="287">
      <c r="A287" s="44" t="inlineStr">
        <is>
          <t>TL Cinsi Kuponsuz Senetler</t>
        </is>
      </c>
      <c r="B287" s="44" t="n">
        <v>2005</v>
      </c>
      <c r="C287" s="44" t="inlineStr">
        <is>
          <t>TRB040106T17</t>
        </is>
      </c>
      <c r="D287" s="44" t="inlineStr">
        <is>
          <t>nan</t>
        </is>
      </c>
      <c r="E287" s="44" t="inlineStr">
        <is>
          <t>nan</t>
        </is>
      </c>
      <c r="F287" s="44" t="n"/>
      <c r="G287" s="44" t="n"/>
      <c r="H287" s="15" t="n"/>
      <c r="I287" s="45" t="n">
        <v>2188171.637</v>
      </c>
      <c r="J287" s="45" t="n">
        <v>1930586.68935</v>
      </c>
      <c r="K287" s="45" t="n">
        <v>751594.493</v>
      </c>
      <c r="L287" s="45" t="n">
        <v>663958.12047</v>
      </c>
      <c r="M287" s="45" t="n">
        <v>20941.81567886801</v>
      </c>
      <c r="N287" s="45" t="n">
        <v>18499.99937</v>
      </c>
      <c r="O287" s="45" t="n">
        <v>1114920.760697306</v>
      </c>
      <c r="P287" s="45" t="n">
        <v>984921</v>
      </c>
      <c r="Q287" s="45" t="n">
        <v>13759.59</v>
      </c>
      <c r="R287" s="45" t="n">
        <v>12155.221806</v>
      </c>
      <c r="S287" s="45" t="n">
        <v>2019695.800376174</v>
      </c>
      <c r="T287" s="45" t="n">
        <v>1784198.814816</v>
      </c>
      <c r="U287" s="15" t="n">
        <v>13.1990814</v>
      </c>
      <c r="V287" s="15" t="n">
        <v>17.97514962209412</v>
      </c>
      <c r="W287" s="49" t="n">
        <v>88.34</v>
      </c>
    </row>
    <row r="288">
      <c r="A288" s="44" t="inlineStr">
        <is>
          <t>TL Cinsi Kuponsuz Senetler</t>
        </is>
      </c>
      <c r="B288" s="44" t="n">
        <v>2005</v>
      </c>
      <c r="C288" s="44" t="inlineStr">
        <is>
          <t>TRB200705T12</t>
        </is>
      </c>
      <c r="D288" s="44" t="inlineStr">
        <is>
          <t>nan</t>
        </is>
      </c>
      <c r="E288" s="44" t="inlineStr">
        <is>
          <t>nan</t>
        </is>
      </c>
      <c r="F288" s="44" t="n"/>
      <c r="G288" s="44" t="n"/>
      <c r="H288" s="15" t="n"/>
      <c r="I288" s="45" t="n">
        <v>3334812.52</v>
      </c>
      <c r="J288" s="45" t="n">
        <v>3214427.00559</v>
      </c>
      <c r="K288" s="45" t="n">
        <v>2265200.106</v>
      </c>
      <c r="L288" s="45" t="n">
        <v>2184000</v>
      </c>
      <c r="M288" s="45" t="n">
        <v>0</v>
      </c>
      <c r="N288" s="45" t="n">
        <v>0</v>
      </c>
      <c r="O288" s="45" t="n">
        <v>0</v>
      </c>
      <c r="P288" s="45" t="n">
        <v>0</v>
      </c>
      <c r="Q288" s="45" t="n">
        <v>0</v>
      </c>
      <c r="R288" s="45" t="n">
        <v>0</v>
      </c>
      <c r="S288" s="45" t="n">
        <v>2265200.106</v>
      </c>
      <c r="T288" s="45" t="n">
        <v>2184000</v>
      </c>
      <c r="U288" s="15" t="n">
        <v>3.7179536</v>
      </c>
      <c r="V288" s="15" t="n">
        <v>15.72195379379064</v>
      </c>
      <c r="W288" s="49" t="n">
        <v>96.41500000000001</v>
      </c>
    </row>
    <row r="289">
      <c r="A289" s="44" t="inlineStr">
        <is>
          <t>TL Cinsi Kuponsuz Senetler</t>
        </is>
      </c>
      <c r="B289" s="44" t="n">
        <v>2005</v>
      </c>
      <c r="C289" s="44" t="inlineStr">
        <is>
          <t>TRT081106T11</t>
        </is>
      </c>
      <c r="D289" s="44" t="inlineStr">
        <is>
          <t>nan</t>
        </is>
      </c>
      <c r="E289" s="44" t="inlineStr">
        <is>
          <t>nan</t>
        </is>
      </c>
      <c r="F289" s="44" t="n"/>
      <c r="G289" s="44" t="n"/>
      <c r="H289" s="15" t="n"/>
      <c r="I289" s="45" t="n">
        <v>2929283.262</v>
      </c>
      <c r="J289" s="45" t="n">
        <v>2260195.05432</v>
      </c>
      <c r="K289" s="45" t="n">
        <v>945099.6767</v>
      </c>
      <c r="L289" s="45" t="n">
        <v>730464.08533</v>
      </c>
      <c r="M289" s="45" t="n">
        <v>137792.7286841765</v>
      </c>
      <c r="N289" s="45" t="n">
        <v>106500</v>
      </c>
      <c r="O289" s="45" t="n">
        <v>865669.2989908138</v>
      </c>
      <c r="P289" s="45" t="n">
        <v>669075.80119</v>
      </c>
      <c r="Q289" s="45" t="n">
        <v>89413.79700000001</v>
      </c>
      <c r="R289" s="45" t="n">
        <v>69107.92370130001</v>
      </c>
      <c r="S289" s="45" t="n">
        <v>2139067.97937499</v>
      </c>
      <c r="T289" s="45" t="n">
        <v>1653282.1864675</v>
      </c>
      <c r="U289" s="15" t="n">
        <v>29.3834558</v>
      </c>
      <c r="V289" s="15" t="n">
        <v>17.98407528420718</v>
      </c>
      <c r="W289" s="49" t="n">
        <v>77.29000000000001</v>
      </c>
    </row>
    <row r="290">
      <c r="A290" s="44" t="inlineStr">
        <is>
          <t>TL Cinsi Kuponsuz Senetler</t>
        </is>
      </c>
      <c r="B290" s="44" t="n">
        <v>2005</v>
      </c>
      <c r="C290" s="44" t="inlineStr">
        <is>
          <t>TRB231105T13</t>
        </is>
      </c>
      <c r="D290" s="44" t="inlineStr">
        <is>
          <t>nan</t>
        </is>
      </c>
      <c r="E290" s="44" t="inlineStr">
        <is>
          <t>nan</t>
        </is>
      </c>
      <c r="F290" s="44" t="n"/>
      <c r="G290" s="44" t="n"/>
      <c r="H290" s="15" t="n"/>
      <c r="I290" s="45" t="n">
        <v>2424260.865</v>
      </c>
      <c r="J290" s="45" t="n">
        <v>2217477.37802</v>
      </c>
      <c r="K290" s="45" t="n">
        <v>1559198.758</v>
      </c>
      <c r="L290" s="45" t="n">
        <v>1426831.26725</v>
      </c>
      <c r="M290" s="45" t="n">
        <v>32782.94412693556</v>
      </c>
      <c r="N290" s="45" t="n">
        <v>30000</v>
      </c>
      <c r="O290" s="45" t="n">
        <v>1008076.296838632</v>
      </c>
      <c r="P290" s="45" t="n">
        <v>922500.7</v>
      </c>
      <c r="Q290" s="45" t="n">
        <v>0</v>
      </c>
      <c r="R290" s="45" t="n">
        <v>0</v>
      </c>
      <c r="S290" s="45" t="n">
        <v>2736436.967965567</v>
      </c>
      <c r="T290" s="45" t="n">
        <v>2504133.72557159</v>
      </c>
      <c r="U290" s="15" t="n">
        <v>9.2770248</v>
      </c>
      <c r="V290" s="15" t="n">
        <v>16.62277237488483</v>
      </c>
      <c r="W290" s="49" t="n">
        <v>91.511</v>
      </c>
    </row>
    <row r="291">
      <c r="A291" s="44" t="inlineStr">
        <is>
          <t>TL Cinsi Kuponsuz Senetler</t>
        </is>
      </c>
      <c r="B291" s="44" t="n">
        <v>2005</v>
      </c>
      <c r="C291" s="44" t="inlineStr">
        <is>
          <t>TRT081106T11</t>
        </is>
      </c>
      <c r="D291" s="44" t="inlineStr">
        <is>
          <t>nan</t>
        </is>
      </c>
      <c r="E291" s="44" t="inlineStr">
        <is>
          <t>nan</t>
        </is>
      </c>
      <c r="F291" s="44" t="n"/>
      <c r="G291" s="44" t="n"/>
      <c r="H291" s="15" t="n"/>
      <c r="I291" s="45" t="n">
        <v>4457910.89</v>
      </c>
      <c r="J291" s="45" t="n">
        <v>3465045.5</v>
      </c>
      <c r="K291" s="45" t="n">
        <v>1559763.349</v>
      </c>
      <c r="L291" s="45" t="n">
        <v>1213922.341</v>
      </c>
      <c r="M291" s="45" t="n">
        <v>711835.2242794917</v>
      </c>
      <c r="N291" s="45" t="n">
        <v>554000</v>
      </c>
      <c r="O291" s="45" t="n">
        <v>1742672.995875467</v>
      </c>
      <c r="P291" s="45" t="n">
        <v>1356270.1125</v>
      </c>
      <c r="Q291" s="45" t="n">
        <v>163765.001</v>
      </c>
      <c r="R291" s="45" t="n">
        <v>127453.38732827</v>
      </c>
      <c r="S291" s="45" t="n">
        <v>4202038.970154959</v>
      </c>
      <c r="T291" s="45" t="n">
        <v>3270326.18867627</v>
      </c>
      <c r="U291" s="15" t="n">
        <v>28.4895073</v>
      </c>
      <c r="V291" s="15" t="n">
        <v>17.69661741723119</v>
      </c>
      <c r="W291" s="49" t="n">
        <v>77.827</v>
      </c>
    </row>
    <row r="292">
      <c r="A292" s="44" t="inlineStr">
        <is>
          <t>TL Cinsi Kuponsuz Senetler</t>
        </is>
      </c>
      <c r="B292" s="44" t="n">
        <v>2005</v>
      </c>
      <c r="C292" s="44" t="inlineStr">
        <is>
          <t>TRB080206T12</t>
        </is>
      </c>
      <c r="D292" s="44" t="inlineStr">
        <is>
          <t>nan</t>
        </is>
      </c>
      <c r="E292" s="44" t="inlineStr">
        <is>
          <t>nan</t>
        </is>
      </c>
      <c r="F292" s="44" t="n"/>
      <c r="G292" s="44" t="n"/>
      <c r="H292" s="15" t="n"/>
      <c r="I292" s="45" t="n">
        <v>1545820.137</v>
      </c>
      <c r="J292" s="45" t="n">
        <v>1372665.09225</v>
      </c>
      <c r="K292" s="45" t="n">
        <v>1245752.427</v>
      </c>
      <c r="L292" s="45" t="n">
        <v>1107775.19083</v>
      </c>
      <c r="M292" s="45" t="n">
        <v>28113.89500022491</v>
      </c>
      <c r="N292" s="45" t="n">
        <v>24999.99999</v>
      </c>
      <c r="O292" s="45" t="n">
        <v>450883.9008591606</v>
      </c>
      <c r="P292" s="45" t="n">
        <v>400944</v>
      </c>
      <c r="Q292" s="45" t="n">
        <v>0</v>
      </c>
      <c r="R292" s="45" t="n">
        <v>0</v>
      </c>
      <c r="S292" s="45" t="n">
        <v>1724750.222859385</v>
      </c>
      <c r="T292" s="45" t="n">
        <v>1533719.1908306</v>
      </c>
      <c r="U292" s="15" t="n">
        <v>12.4553463</v>
      </c>
      <c r="V292" s="15" t="n">
        <v>16.94279685074247</v>
      </c>
      <c r="W292" s="49" t="n">
        <v>88.92400000000001</v>
      </c>
    </row>
    <row r="293">
      <c r="A293" s="44" t="inlineStr">
        <is>
          <t>TL Cinsi Kuponsuz Senetler</t>
        </is>
      </c>
      <c r="B293" s="44" t="n">
        <v>2005</v>
      </c>
      <c r="C293" s="44" t="inlineStr">
        <is>
          <t>TRT081106T11</t>
        </is>
      </c>
      <c r="D293" s="44" t="inlineStr">
        <is>
          <t>nan</t>
        </is>
      </c>
      <c r="E293" s="44" t="inlineStr">
        <is>
          <t>nan</t>
        </is>
      </c>
      <c r="F293" s="44" t="n"/>
      <c r="G293" s="44" t="n"/>
      <c r="H293" s="15" t="n"/>
      <c r="I293" s="45" t="n">
        <v>2245861.522</v>
      </c>
      <c r="J293" s="45" t="n">
        <v>1766667.3645</v>
      </c>
      <c r="K293" s="45" t="n">
        <v>833586.637</v>
      </c>
      <c r="L293" s="45" t="n">
        <v>656459.72857</v>
      </c>
      <c r="M293" s="45" t="n">
        <v>610785.8939949969</v>
      </c>
      <c r="N293" s="45" t="n">
        <v>480999.99938</v>
      </c>
      <c r="O293" s="45" t="n">
        <v>552955.5180251679</v>
      </c>
      <c r="P293" s="45" t="n">
        <v>435458</v>
      </c>
      <c r="Q293" s="45" t="n">
        <v>57165.469</v>
      </c>
      <c r="R293" s="45" t="n">
        <v>45018.37849219</v>
      </c>
      <c r="S293" s="45" t="n">
        <v>2054493.518020165</v>
      </c>
      <c r="T293" s="45" t="n">
        <v>1617936.10644219</v>
      </c>
      <c r="U293" s="15" t="n">
        <v>26.9821439</v>
      </c>
      <c r="V293" s="15" t="n">
        <v>17.26320773424293</v>
      </c>
      <c r="W293" s="49" t="n">
        <v>78.751</v>
      </c>
    </row>
    <row r="294">
      <c r="A294" s="44" t="inlineStr">
        <is>
          <t>TL Cinsi Kuponsuz Senetler</t>
        </is>
      </c>
      <c r="B294" s="44" t="n">
        <v>2005</v>
      </c>
      <c r="C294" s="44" t="inlineStr">
        <is>
          <t>TRB231105T13</t>
        </is>
      </c>
      <c r="D294" s="44" t="inlineStr">
        <is>
          <t>nan</t>
        </is>
      </c>
      <c r="E294" s="44" t="inlineStr">
        <is>
          <t>nan</t>
        </is>
      </c>
      <c r="F294" s="44" t="n"/>
      <c r="G294" s="44" t="n"/>
      <c r="H294" s="15" t="n"/>
      <c r="I294" s="45" t="n">
        <v>913200.3199999999</v>
      </c>
      <c r="J294" s="45" t="n">
        <v>846245.4710200001</v>
      </c>
      <c r="K294" s="45" t="n">
        <v>708163.135</v>
      </c>
      <c r="L294" s="45" t="n">
        <v>656366.26399</v>
      </c>
      <c r="M294" s="45" t="n">
        <v>29130.61300520035</v>
      </c>
      <c r="N294" s="45" t="n">
        <v>26999.99997</v>
      </c>
      <c r="O294" s="45" t="n">
        <v>521170.4032971538</v>
      </c>
      <c r="P294" s="45" t="n">
        <v>483052</v>
      </c>
      <c r="Q294" s="45" t="n">
        <v>0</v>
      </c>
      <c r="R294" s="45" t="n">
        <v>0</v>
      </c>
      <c r="S294" s="45" t="n">
        <v>1326071.826302354</v>
      </c>
      <c r="T294" s="45" t="n">
        <v>1229081.1136105</v>
      </c>
      <c r="U294" s="15" t="n">
        <v>7.8914585</v>
      </c>
      <c r="V294" s="15" t="n">
        <v>16.40566817257221</v>
      </c>
      <c r="W294" s="49" t="n">
        <v>92.68600000000001</v>
      </c>
    </row>
    <row r="295">
      <c r="A295" s="44" t="inlineStr">
        <is>
          <t>TL Cinsi Kuponsuz Senetler</t>
        </is>
      </c>
      <c r="B295" s="44" t="n">
        <v>2005</v>
      </c>
      <c r="C295" s="44" t="inlineStr">
        <is>
          <t>TRT240107T12</t>
        </is>
      </c>
      <c r="D295" s="44" t="inlineStr">
        <is>
          <t>nan</t>
        </is>
      </c>
      <c r="E295" s="44" t="inlineStr">
        <is>
          <t>nan</t>
        </is>
      </c>
      <c r="F295" s="44" t="n"/>
      <c r="G295" s="44" t="n"/>
      <c r="H295" s="15" t="n"/>
      <c r="I295" s="45" t="n">
        <v>3494411.106</v>
      </c>
      <c r="J295" s="45" t="n">
        <v>2658323.21034</v>
      </c>
      <c r="K295" s="45" t="n">
        <v>2666255.828</v>
      </c>
      <c r="L295" s="45" t="n">
        <v>2029622.10598</v>
      </c>
      <c r="M295" s="45" t="n">
        <v>734337.8469976223</v>
      </c>
      <c r="N295" s="45" t="n">
        <v>558999.99927</v>
      </c>
      <c r="O295" s="45" t="n">
        <v>2017765.983999579</v>
      </c>
      <c r="P295" s="45" t="n">
        <v>1535984</v>
      </c>
      <c r="Q295" s="45" t="n">
        <v>207848.924</v>
      </c>
      <c r="R295" s="45" t="n">
        <v>158220.83641652</v>
      </c>
      <c r="S295" s="45" t="n">
        <v>5835074.620997202</v>
      </c>
      <c r="T295" s="45" t="n">
        <v>4441822.035773261</v>
      </c>
      <c r="U295" s="15" t="n">
        <v>31.3671062</v>
      </c>
      <c r="V295" s="15" t="n">
        <v>17.71169051762624</v>
      </c>
      <c r="W295" s="49" t="n">
        <v>76.123</v>
      </c>
    </row>
    <row r="296">
      <c r="A296" s="44" t="inlineStr">
        <is>
          <t>TL Cinsi Kuponsuz Senetler</t>
        </is>
      </c>
      <c r="B296" s="44" t="n">
        <v>2005</v>
      </c>
      <c r="C296" s="44" t="inlineStr">
        <is>
          <t>TRB140905T18</t>
        </is>
      </c>
      <c r="D296" s="44" t="inlineStr">
        <is>
          <t>nan</t>
        </is>
      </c>
      <c r="E296" s="44" t="inlineStr">
        <is>
          <t>nan</t>
        </is>
      </c>
      <c r="F296" s="44" t="n"/>
      <c r="G296" s="44" t="n"/>
      <c r="H296" s="15" t="n"/>
      <c r="I296" s="45" t="n">
        <v>2290456.479</v>
      </c>
      <c r="J296" s="45" t="n">
        <v>2211684.36352</v>
      </c>
      <c r="K296" s="45" t="n">
        <v>1335557.244</v>
      </c>
      <c r="L296" s="45" t="n">
        <v>1290000.00832</v>
      </c>
      <c r="M296" s="45" t="n">
        <v>0</v>
      </c>
      <c r="N296" s="45" t="n">
        <v>0</v>
      </c>
      <c r="O296" s="45" t="n">
        <v>0</v>
      </c>
      <c r="P296" s="45" t="n">
        <v>0</v>
      </c>
      <c r="Q296" s="45" t="n">
        <v>0</v>
      </c>
      <c r="R296" s="45" t="n">
        <v>0</v>
      </c>
      <c r="S296" s="45" t="n">
        <v>1335557.244</v>
      </c>
      <c r="T296" s="45" t="n">
        <v>1290000.00832</v>
      </c>
      <c r="U296" s="15" t="n">
        <v>3.5315686</v>
      </c>
      <c r="V296" s="15" t="n">
        <v>14.89236681342059</v>
      </c>
      <c r="W296" s="49" t="n">
        <v>96.589</v>
      </c>
    </row>
    <row r="297">
      <c r="A297" s="44" t="inlineStr">
        <is>
          <t>TL Cinsi Kuponsuz Senetler</t>
        </is>
      </c>
      <c r="B297" s="44" t="n">
        <v>2005</v>
      </c>
      <c r="C297" s="44" t="inlineStr">
        <is>
          <t>TRB050406T13</t>
        </is>
      </c>
      <c r="D297" s="44" t="inlineStr">
        <is>
          <t>nan</t>
        </is>
      </c>
      <c r="E297" s="44" t="inlineStr">
        <is>
          <t>nan</t>
        </is>
      </c>
      <c r="F297" s="44" t="n"/>
      <c r="G297" s="44" t="n"/>
      <c r="H297" s="15" t="n"/>
      <c r="I297" s="45" t="n">
        <v>1587364.29</v>
      </c>
      <c r="J297" s="45" t="n">
        <v>1412959.99035</v>
      </c>
      <c r="K297" s="45" t="n">
        <v>452764.921</v>
      </c>
      <c r="L297" s="45" t="n">
        <v>403349.25866</v>
      </c>
      <c r="M297" s="45" t="n">
        <v>78575.75799788968</v>
      </c>
      <c r="N297" s="45" t="n">
        <v>69999.99976999999</v>
      </c>
      <c r="O297" s="45" t="n">
        <v>1184018.836854276</v>
      </c>
      <c r="P297" s="45" t="n">
        <v>1054795.021</v>
      </c>
      <c r="Q297" s="45" t="n">
        <v>0</v>
      </c>
      <c r="R297" s="45" t="n">
        <v>0</v>
      </c>
      <c r="S297" s="45" t="n">
        <v>1738959.746852165</v>
      </c>
      <c r="T297" s="45" t="n">
        <v>1549168.78121866</v>
      </c>
      <c r="U297" s="15" t="n">
        <v>12.2513334</v>
      </c>
      <c r="V297" s="15" t="n">
        <v>16.21146099904658</v>
      </c>
      <c r="W297" s="49" t="n">
        <v>89.086</v>
      </c>
    </row>
    <row r="298">
      <c r="A298" s="44" t="inlineStr">
        <is>
          <t>TL Cinsi Kuponsuz Senetler</t>
        </is>
      </c>
      <c r="B298" s="44" t="n">
        <v>2005</v>
      </c>
      <c r="C298" s="44" t="inlineStr">
        <is>
          <t>TRB050406T13</t>
        </is>
      </c>
      <c r="D298" s="44" t="inlineStr">
        <is>
          <t>nan</t>
        </is>
      </c>
      <c r="E298" s="44" t="inlineStr">
        <is>
          <t>nan</t>
        </is>
      </c>
      <c r="F298" s="44" t="n"/>
      <c r="G298" s="44" t="n"/>
      <c r="H298" s="15" t="n"/>
      <c r="I298" s="45" t="n">
        <v>1376895.367</v>
      </c>
      <c r="J298" s="45" t="n">
        <v>1230060.90906</v>
      </c>
      <c r="K298" s="45" t="n">
        <v>987300.307</v>
      </c>
      <c r="L298" s="45" t="n">
        <v>882249.89373</v>
      </c>
      <c r="M298" s="45" t="n">
        <v>33572.06799462847</v>
      </c>
      <c r="N298" s="45" t="n">
        <v>29999.99996</v>
      </c>
      <c r="O298" s="45" t="n">
        <v>748247.5380483437</v>
      </c>
      <c r="P298" s="45" t="n">
        <v>668634</v>
      </c>
      <c r="Q298" s="45" t="n"/>
      <c r="R298" s="45" t="n">
        <v>0</v>
      </c>
      <c r="S298" s="45" t="n">
        <v>1875959.913042972</v>
      </c>
      <c r="T298" s="45" t="n">
        <v>1676356.11769</v>
      </c>
      <c r="U298" s="15" t="n">
        <v>11.9071041</v>
      </c>
      <c r="V298" s="15" t="n">
        <v>16.18325595616064</v>
      </c>
      <c r="W298" s="49" t="n">
        <v>89.36</v>
      </c>
    </row>
    <row r="299">
      <c r="A299" s="44" t="inlineStr">
        <is>
          <t>TL Cinsi Kuponsuz Senetler</t>
        </is>
      </c>
      <c r="B299" s="44" t="n">
        <v>2005</v>
      </c>
      <c r="C299" s="44" t="inlineStr">
        <is>
          <t>TRT240107T12</t>
        </is>
      </c>
      <c r="D299" s="44" t="inlineStr">
        <is>
          <t>nan</t>
        </is>
      </c>
      <c r="E299" s="44" t="inlineStr">
        <is>
          <t>nan</t>
        </is>
      </c>
      <c r="F299" s="44" t="n"/>
      <c r="G299" s="44" t="n"/>
      <c r="H299" s="15" t="n"/>
      <c r="I299" s="45" t="n">
        <v>3282281.736</v>
      </c>
      <c r="J299" s="45" t="n">
        <v>2604122.86746</v>
      </c>
      <c r="K299" s="45" t="n">
        <v>1533013.684</v>
      </c>
      <c r="L299" s="45" t="n">
        <v>1217127.81352</v>
      </c>
      <c r="M299" s="45" t="n">
        <v>1536640.048001108</v>
      </c>
      <c r="N299" s="45" t="n">
        <v>1219999.99971</v>
      </c>
      <c r="O299" s="45" t="n">
        <v>813702.0744640653</v>
      </c>
      <c r="P299" s="45" t="n">
        <v>646030.625</v>
      </c>
      <c r="Q299" s="45" t="n">
        <v>810.023</v>
      </c>
      <c r="R299" s="45" t="n">
        <v>643.1096606200001</v>
      </c>
      <c r="S299" s="45" t="n">
        <v>3956813.296465173</v>
      </c>
      <c r="T299" s="45" t="n">
        <v>3141479.2778406</v>
      </c>
      <c r="U299" s="15" t="n">
        <v>25.9533853</v>
      </c>
      <c r="V299" s="15" t="n">
        <v>15.96641885660421</v>
      </c>
      <c r="W299" s="49" t="n">
        <v>79.39400000000001</v>
      </c>
    </row>
    <row r="300">
      <c r="A300" s="44" t="inlineStr">
        <is>
          <t>TL Cinsi Kuponsuz Senetler</t>
        </is>
      </c>
      <c r="B300" s="44" t="n">
        <v>2005</v>
      </c>
      <c r="C300" s="44" t="inlineStr">
        <is>
          <t>TRB191005T10</t>
        </is>
      </c>
      <c r="D300" s="44" t="inlineStr">
        <is>
          <t>nan</t>
        </is>
      </c>
      <c r="E300" s="44" t="inlineStr">
        <is>
          <t>nan</t>
        </is>
      </c>
      <c r="F300" s="44" t="n"/>
      <c r="G300" s="44" t="n"/>
      <c r="H300" s="15" t="n"/>
      <c r="I300" s="45" t="n">
        <v>3174877.119</v>
      </c>
      <c r="J300" s="45" t="n">
        <v>3064358.27536</v>
      </c>
      <c r="K300" s="45" t="n">
        <v>2386744.016</v>
      </c>
      <c r="L300" s="45" t="n">
        <v>2304000.00116</v>
      </c>
      <c r="M300" s="45" t="n">
        <v>0</v>
      </c>
      <c r="N300" s="45" t="n">
        <v>0</v>
      </c>
      <c r="O300" s="45" t="n">
        <v>0</v>
      </c>
      <c r="P300" s="45" t="n">
        <v>0</v>
      </c>
      <c r="Q300" s="45" t="n">
        <v>0</v>
      </c>
      <c r="R300" s="45" t="n">
        <v>0</v>
      </c>
      <c r="S300" s="45" t="n">
        <v>2386744.016</v>
      </c>
      <c r="T300" s="45" t="n">
        <v>2304000.00116</v>
      </c>
      <c r="U300" s="15" t="n">
        <v>3.5913201</v>
      </c>
      <c r="V300" s="15" t="n">
        <v>15.1578292866166</v>
      </c>
      <c r="W300" s="49" t="n">
        <v>96.533</v>
      </c>
    </row>
    <row r="301">
      <c r="A301" s="44" t="inlineStr">
        <is>
          <t>TL Cinsi Kuponsuz Senetler</t>
        </is>
      </c>
      <c r="B301" s="44" t="n">
        <v>2005</v>
      </c>
      <c r="C301" s="44" t="inlineStr">
        <is>
          <t>TRB030506T14</t>
        </is>
      </c>
      <c r="D301" s="44" t="inlineStr">
        <is>
          <t>nan</t>
        </is>
      </c>
      <c r="E301" s="44" t="inlineStr">
        <is>
          <t>nan</t>
        </is>
      </c>
      <c r="F301" s="44" t="n"/>
      <c r="G301" s="44" t="n"/>
      <c r="H301" s="15" t="n"/>
      <c r="I301" s="45" t="n">
        <v>1591035.995</v>
      </c>
      <c r="J301" s="45" t="n">
        <v>1415054.09665</v>
      </c>
      <c r="K301" s="45" t="n">
        <v>1100278.299</v>
      </c>
      <c r="L301" s="45" t="n">
        <v>978786.39355</v>
      </c>
      <c r="M301" s="45" t="n">
        <v>53958.04699970773</v>
      </c>
      <c r="N301" s="45" t="n">
        <v>47999.99945</v>
      </c>
      <c r="O301" s="45" t="n">
        <v>826674.7060410531</v>
      </c>
      <c r="P301" s="45" t="n">
        <v>735393.285</v>
      </c>
      <c r="Q301" s="45" t="n">
        <v>28438.298</v>
      </c>
      <c r="R301" s="45" t="n">
        <v>25298.14113484</v>
      </c>
      <c r="S301" s="45" t="n">
        <v>2038625.848040761</v>
      </c>
      <c r="T301" s="45" t="n">
        <v>1813521.60622568</v>
      </c>
      <c r="U301" s="15" t="n">
        <v>12.4125045</v>
      </c>
      <c r="V301" s="15" t="n">
        <v>16.42842189611424</v>
      </c>
      <c r="W301" s="49" t="n">
        <v>88.958</v>
      </c>
    </row>
    <row r="302">
      <c r="A302" s="44" t="inlineStr">
        <is>
          <t>TL Cinsi Kuponsuz Senetler</t>
        </is>
      </c>
      <c r="B302" s="44" t="n">
        <v>2005</v>
      </c>
      <c r="C302" s="44" t="inlineStr">
        <is>
          <t>TRT070307T11</t>
        </is>
      </c>
      <c r="D302" s="44" t="inlineStr">
        <is>
          <t>nan</t>
        </is>
      </c>
      <c r="E302" s="44" t="inlineStr">
        <is>
          <t>nan</t>
        </is>
      </c>
      <c r="F302" s="44" t="n"/>
      <c r="G302" s="44" t="n"/>
      <c r="H302" s="15" t="n"/>
      <c r="I302" s="45" t="n">
        <v>3484634.64</v>
      </c>
      <c r="J302" s="45" t="n">
        <v>2725982.21167</v>
      </c>
      <c r="K302" s="45" t="n">
        <v>1405860.06</v>
      </c>
      <c r="L302" s="45" t="n">
        <v>1100673.08956</v>
      </c>
      <c r="M302" s="45" t="n">
        <v>403617.2260001022</v>
      </c>
      <c r="N302" s="45" t="n">
        <v>315999.99858</v>
      </c>
      <c r="O302" s="45" t="n">
        <v>2233159.869463036</v>
      </c>
      <c r="P302" s="45" t="n">
        <v>1748385.525</v>
      </c>
      <c r="Q302" s="45" t="n">
        <v>176928.702</v>
      </c>
      <c r="R302" s="45" t="n">
        <v>138521.01936984</v>
      </c>
      <c r="S302" s="45" t="n">
        <v>4466902.479463138</v>
      </c>
      <c r="T302" s="45" t="n">
        <v>3497224.42060608</v>
      </c>
      <c r="U302" s="15" t="n">
        <v>27.7273037</v>
      </c>
      <c r="V302" s="15" t="n">
        <v>16.35758500498252</v>
      </c>
      <c r="W302" s="49" t="n">
        <v>78.292</v>
      </c>
    </row>
    <row r="303">
      <c r="A303" s="44" t="inlineStr">
        <is>
          <t>TL Cinsi Kuponsuz Senetler</t>
        </is>
      </c>
      <c r="B303" s="44" t="n">
        <v>2005</v>
      </c>
      <c r="C303" s="44" t="inlineStr">
        <is>
          <t>TRT070307T11</t>
        </is>
      </c>
      <c r="D303" s="44" t="inlineStr">
        <is>
          <t>nan</t>
        </is>
      </c>
      <c r="E303" s="44" t="inlineStr">
        <is>
          <t>nan</t>
        </is>
      </c>
      <c r="F303" s="44" t="n"/>
      <c r="G303" s="44" t="n"/>
      <c r="H303" s="15" t="n"/>
      <c r="I303" s="45" t="n">
        <v>2510033.097</v>
      </c>
      <c r="J303" s="45" t="n">
        <v>1980547.83547</v>
      </c>
      <c r="K303" s="45" t="n">
        <v>766519.624</v>
      </c>
      <c r="L303" s="45" t="n">
        <v>605777.2511399999</v>
      </c>
      <c r="M303" s="45" t="n">
        <v>0</v>
      </c>
      <c r="N303" s="45" t="n">
        <v>0</v>
      </c>
      <c r="O303" s="45" t="n">
        <v>948304.5362520561</v>
      </c>
      <c r="P303" s="45" t="n">
        <v>749445.075</v>
      </c>
      <c r="Q303" s="45" t="n">
        <v>82133.819</v>
      </c>
      <c r="R303" s="45" t="n">
        <v>64910.3571557</v>
      </c>
      <c r="S303" s="45" t="n">
        <v>1796957.979252056</v>
      </c>
      <c r="T303" s="45" t="n">
        <v>1420132.6832957</v>
      </c>
      <c r="U303" s="15" t="n">
        <v>26.5348975</v>
      </c>
      <c r="V303" s="15" t="n">
        <v>16.09574397900173</v>
      </c>
      <c r="W303" s="49" t="n">
        <v>79.03</v>
      </c>
    </row>
    <row r="304">
      <c r="A304" s="44" t="inlineStr">
        <is>
          <t>TL Cinsi Kuponsuz Senetler</t>
        </is>
      </c>
      <c r="B304" s="44" t="n">
        <v>2005</v>
      </c>
      <c r="C304" s="44" t="inlineStr">
        <is>
          <t>TRB220206T14</t>
        </is>
      </c>
      <c r="D304" s="44" t="inlineStr">
        <is>
          <t>nan</t>
        </is>
      </c>
      <c r="E304" s="44" t="inlineStr">
        <is>
          <t>nan</t>
        </is>
      </c>
      <c r="F304" s="44" t="n"/>
      <c r="G304" s="44" t="n"/>
      <c r="H304" s="15" t="n"/>
      <c r="I304" s="45" t="n">
        <v>3399970.636</v>
      </c>
      <c r="J304" s="45" t="n">
        <v>3157863.89657</v>
      </c>
      <c r="K304" s="45" t="n">
        <v>2277511.048</v>
      </c>
      <c r="L304" s="45" t="n">
        <v>2115999.99582</v>
      </c>
      <c r="M304" s="45" t="n">
        <v>0</v>
      </c>
      <c r="N304" s="45" t="n">
        <v>0</v>
      </c>
      <c r="O304" s="45" t="n">
        <v>0</v>
      </c>
      <c r="P304" s="45" t="n">
        <v>0</v>
      </c>
      <c r="Q304" s="45" t="n">
        <v>0</v>
      </c>
      <c r="R304" s="45" t="n">
        <v>0</v>
      </c>
      <c r="S304" s="45" t="n">
        <v>2277511.048</v>
      </c>
      <c r="T304" s="45" t="n">
        <v>2115999.99582</v>
      </c>
      <c r="U304" s="15" t="n">
        <v>7.6328475</v>
      </c>
      <c r="V304" s="15" t="n">
        <v>15.84829860958255</v>
      </c>
      <c r="W304" s="49" t="n">
        <v>92.908</v>
      </c>
    </row>
    <row r="305">
      <c r="A305" s="44" t="inlineStr">
        <is>
          <t>TL Cinsi Kuponsuz Senetler</t>
        </is>
      </c>
      <c r="B305" s="44" t="n">
        <v>2005</v>
      </c>
      <c r="C305" s="44" t="inlineStr">
        <is>
          <t>TRT070307T11</t>
        </is>
      </c>
      <c r="D305" s="44" t="inlineStr">
        <is>
          <t>nan</t>
        </is>
      </c>
      <c r="E305" s="44" t="inlineStr">
        <is>
          <t>nan</t>
        </is>
      </c>
      <c r="F305" s="44" t="n"/>
      <c r="G305" s="44" t="n"/>
      <c r="H305" s="15" t="n"/>
      <c r="I305" s="45" t="n">
        <v>3755066.083</v>
      </c>
      <c r="J305" s="45" t="n">
        <v>2975010.31156</v>
      </c>
      <c r="K305" s="45" t="n">
        <v>1525885.135</v>
      </c>
      <c r="L305" s="45" t="n">
        <v>1209826.07175</v>
      </c>
      <c r="M305" s="45" t="n">
        <v>0</v>
      </c>
      <c r="N305" s="45" t="n">
        <v>0</v>
      </c>
      <c r="O305" s="45" t="n">
        <v>821959.4640231058</v>
      </c>
      <c r="P305" s="45" t="n">
        <v>651707.00024</v>
      </c>
      <c r="Q305" s="45" t="n">
        <v>109481.895</v>
      </c>
      <c r="R305" s="45" t="n">
        <v>86804.91008865001</v>
      </c>
      <c r="S305" s="45" t="n">
        <v>2457326.494023106</v>
      </c>
      <c r="T305" s="45" t="n">
        <v>1948337.98207865</v>
      </c>
      <c r="U305" s="15" t="n">
        <v>26.1243389</v>
      </c>
      <c r="V305" s="15" t="n">
        <v>16.28381910230157</v>
      </c>
      <c r="W305" s="49" t="n">
        <v>79.28700000000001</v>
      </c>
    </row>
    <row r="306">
      <c r="A306" s="44" t="inlineStr">
        <is>
          <t>TL Cinsi Kuponsuz Senetler</t>
        </is>
      </c>
      <c r="B306" s="44" t="n">
        <v>2005</v>
      </c>
      <c r="C306" s="44" t="inlineStr">
        <is>
          <t>TRB141205T13</t>
        </is>
      </c>
      <c r="D306" s="44" t="inlineStr">
        <is>
          <t>nan</t>
        </is>
      </c>
      <c r="E306" s="44" t="inlineStr">
        <is>
          <t>nan</t>
        </is>
      </c>
      <c r="F306" s="44" t="n"/>
      <c r="G306" s="44" t="n"/>
      <c r="H306" s="15" t="n"/>
      <c r="I306" s="45" t="n">
        <v>1499924.301</v>
      </c>
      <c r="J306" s="45" t="n">
        <v>1450751.67249</v>
      </c>
      <c r="K306" s="45" t="n">
        <v>1312872.679</v>
      </c>
      <c r="L306" s="45" t="n">
        <v>1270000.00075</v>
      </c>
      <c r="M306" s="45" t="n">
        <v>0</v>
      </c>
      <c r="N306" s="45" t="n">
        <v>0</v>
      </c>
      <c r="O306" s="45" t="n">
        <v>0</v>
      </c>
      <c r="P306" s="45" t="n">
        <v>0</v>
      </c>
      <c r="Q306" s="45" t="n">
        <v>0</v>
      </c>
      <c r="R306" s="45" t="n">
        <v>0</v>
      </c>
      <c r="S306" s="45" t="n">
        <v>1312872.679</v>
      </c>
      <c r="T306" s="45" t="n">
        <v>1270000.00075</v>
      </c>
      <c r="U306" s="15" t="n">
        <v>3.3758014</v>
      </c>
      <c r="V306" s="15" t="n">
        <v>14.20248587563786</v>
      </c>
      <c r="W306" s="49" t="n">
        <v>96.73399999999999</v>
      </c>
    </row>
    <row r="307">
      <c r="A307" s="44" t="inlineStr">
        <is>
          <t>TL Cinsi Kuponsuz Senetler</t>
        </is>
      </c>
      <c r="B307" s="44" t="n">
        <v>2005</v>
      </c>
      <c r="C307" s="44" t="inlineStr">
        <is>
          <t>TRT090507T17</t>
        </is>
      </c>
      <c r="D307" s="44" t="inlineStr">
        <is>
          <t>nan</t>
        </is>
      </c>
      <c r="E307" s="44" t="inlineStr">
        <is>
          <t>nan</t>
        </is>
      </c>
      <c r="F307" s="44" t="n"/>
      <c r="G307" s="44" t="n"/>
      <c r="H307" s="15" t="n"/>
      <c r="I307" s="45" t="n">
        <v>3594532.577</v>
      </c>
      <c r="J307" s="45" t="n">
        <v>2862699.38779</v>
      </c>
      <c r="K307" s="45" t="n">
        <v>1201854.835</v>
      </c>
      <c r="L307" s="45" t="n">
        <v>958173.43187</v>
      </c>
      <c r="M307" s="45" t="n">
        <v>440012.5420006271</v>
      </c>
      <c r="N307" s="45" t="n">
        <v>350799.99911</v>
      </c>
      <c r="O307" s="45" t="n">
        <v>2961637.098777046</v>
      </c>
      <c r="P307" s="45" t="n">
        <v>2361165.177</v>
      </c>
      <c r="Q307" s="45" t="n">
        <v>3135.779</v>
      </c>
      <c r="R307" s="45" t="n">
        <v>2499.99980775</v>
      </c>
      <c r="S307" s="45" t="n">
        <v>4606640.254777674</v>
      </c>
      <c r="T307" s="45" t="n">
        <v>3672638.60778775</v>
      </c>
      <c r="U307" s="15" t="n">
        <v>25.4318681</v>
      </c>
      <c r="V307" s="15" t="n">
        <v>15.05862249436611</v>
      </c>
      <c r="W307" s="49" t="n">
        <v>79.72499999999999</v>
      </c>
    </row>
    <row r="308">
      <c r="A308" s="44" t="inlineStr">
        <is>
          <t>TL Cinsi Kuponsuz Senetler</t>
        </is>
      </c>
      <c r="B308" s="44" t="n">
        <v>2005</v>
      </c>
      <c r="C308" s="44" t="inlineStr">
        <is>
          <t>TRT090507T17</t>
        </is>
      </c>
      <c r="D308" s="44" t="inlineStr">
        <is>
          <t>nan</t>
        </is>
      </c>
      <c r="E308" s="44" t="inlineStr">
        <is>
          <t>nan</t>
        </is>
      </c>
      <c r="F308" s="44" t="n"/>
      <c r="G308" s="44" t="n"/>
      <c r="H308" s="15" t="n"/>
      <c r="I308" s="45" t="n">
        <v>3190396.613</v>
      </c>
      <c r="J308" s="45" t="n">
        <v>2565486.85316</v>
      </c>
      <c r="K308" s="45" t="n">
        <v>1139536.999</v>
      </c>
      <c r="L308" s="45" t="n">
        <v>917122.88803</v>
      </c>
      <c r="M308" s="45" t="n">
        <v>1030043.983996422</v>
      </c>
      <c r="N308" s="45" t="n">
        <v>828999.9992</v>
      </c>
      <c r="O308" s="45" t="n">
        <v>2789322.146566934</v>
      </c>
      <c r="P308" s="45" t="n">
        <v>2244902.25</v>
      </c>
      <c r="Q308" s="45" t="n">
        <v>0</v>
      </c>
      <c r="R308" s="45" t="n">
        <v>0</v>
      </c>
      <c r="S308" s="45" t="n">
        <v>5025153.034563356</v>
      </c>
      <c r="T308" s="45" t="n">
        <v>4044344.3857721</v>
      </c>
      <c r="U308" s="15" t="n">
        <v>24.2512878</v>
      </c>
      <c r="V308" s="15" t="n">
        <v>14.57241860929912</v>
      </c>
      <c r="W308" s="49" t="n">
        <v>80.482</v>
      </c>
    </row>
    <row r="309">
      <c r="A309" s="44" t="inlineStr">
        <is>
          <t>TL Cinsi Kuponsuz Senetler</t>
        </is>
      </c>
      <c r="B309" s="44" t="n">
        <v>2005</v>
      </c>
      <c r="C309" s="44" t="inlineStr">
        <is>
          <t>TRB180106T11</t>
        </is>
      </c>
      <c r="D309" s="44" t="inlineStr">
        <is>
          <t>nan</t>
        </is>
      </c>
      <c r="E309" s="44" t="inlineStr">
        <is>
          <t>nan</t>
        </is>
      </c>
      <c r="F309" s="44" t="n"/>
      <c r="G309" s="44" t="n"/>
      <c r="H309" s="15" t="n"/>
      <c r="I309" s="45" t="n">
        <v>2120153.923</v>
      </c>
      <c r="J309" s="45" t="n">
        <v>2049304.30088</v>
      </c>
      <c r="K309" s="45" t="n">
        <v>1917153.923</v>
      </c>
      <c r="L309" s="45" t="n">
        <v>1853279.34088</v>
      </c>
      <c r="M309" s="45" t="n">
        <v>0</v>
      </c>
      <c r="N309" s="45" t="n">
        <v>0</v>
      </c>
      <c r="O309" s="45" t="n">
        <v>0</v>
      </c>
      <c r="P309" s="45" t="n">
        <v>0</v>
      </c>
      <c r="Q309" s="45" t="n">
        <v>0</v>
      </c>
      <c r="R309" s="45" t="n">
        <v>0</v>
      </c>
      <c r="S309" s="45" t="n">
        <v>1917153.923</v>
      </c>
      <c r="T309" s="45" t="n">
        <v>1853279.34088</v>
      </c>
      <c r="U309" s="15" t="n">
        <v>3.4465707</v>
      </c>
      <c r="V309" s="15" t="n">
        <v>14.51553140045232</v>
      </c>
      <c r="W309" s="49" t="n">
        <v>96.66800000000001</v>
      </c>
    </row>
    <row r="310">
      <c r="A310" s="44" t="inlineStr">
        <is>
          <t>TL Cinsi Kuponsuz Senetler</t>
        </is>
      </c>
      <c r="B310" s="44" t="n">
        <v>2005</v>
      </c>
      <c r="C310" s="44" t="inlineStr">
        <is>
          <t>TRB041006T16</t>
        </is>
      </c>
      <c r="D310" s="44" t="inlineStr">
        <is>
          <t>nan</t>
        </is>
      </c>
      <c r="E310" s="44" t="inlineStr">
        <is>
          <t>nan</t>
        </is>
      </c>
      <c r="F310" s="44" t="n"/>
      <c r="G310" s="44" t="n"/>
      <c r="H310" s="15" t="n"/>
      <c r="I310" s="45" t="n">
        <v>2358814.732</v>
      </c>
      <c r="J310" s="45" t="n">
        <v>2089897.95423</v>
      </c>
      <c r="K310" s="45" t="n">
        <v>1640270.54</v>
      </c>
      <c r="L310" s="45" t="n">
        <v>1453801.87179</v>
      </c>
      <c r="M310" s="45" t="n">
        <v>0</v>
      </c>
      <c r="N310" s="45" t="n">
        <v>0</v>
      </c>
      <c r="O310" s="45" t="n">
        <v>1129940.485987002</v>
      </c>
      <c r="P310" s="45" t="n">
        <v>1001488.85154</v>
      </c>
      <c r="Q310" s="45" t="n">
        <v>0</v>
      </c>
      <c r="R310" s="45" t="n">
        <v>0</v>
      </c>
      <c r="S310" s="45" t="n">
        <v>2770211.025987002</v>
      </c>
      <c r="T310" s="45" t="n">
        <v>2455290.72333</v>
      </c>
      <c r="U310" s="15" t="n">
        <v>12.8262779</v>
      </c>
      <c r="V310" s="15" t="n">
        <v>14.28410219085423</v>
      </c>
      <c r="W310" s="49" t="n">
        <v>88.63200000000001</v>
      </c>
    </row>
    <row r="311">
      <c r="A311" s="44" t="inlineStr">
        <is>
          <t>TL Cinsi Kuponsuz Senetler</t>
        </is>
      </c>
      <c r="B311" s="44" t="n">
        <v>2005</v>
      </c>
      <c r="C311" s="44" t="inlineStr">
        <is>
          <t>TRT270607T14</t>
        </is>
      </c>
      <c r="D311" s="44" t="inlineStr">
        <is>
          <t>nan</t>
        </is>
      </c>
      <c r="E311" s="44" t="inlineStr">
        <is>
          <t>nan</t>
        </is>
      </c>
      <c r="F311" s="44" t="n"/>
      <c r="G311" s="44" t="n"/>
      <c r="H311" s="15" t="n"/>
      <c r="I311" s="45" t="n">
        <v>5142406.361</v>
      </c>
      <c r="J311" s="45" t="n">
        <v>4147528.92095</v>
      </c>
      <c r="K311" s="45" t="n">
        <v>1827101.227</v>
      </c>
      <c r="L311" s="45" t="n">
        <v>1474981.16687</v>
      </c>
      <c r="M311" s="45" t="n">
        <v>412496.2829997027</v>
      </c>
      <c r="N311" s="45" t="n">
        <v>332999.99934</v>
      </c>
      <c r="O311" s="45" t="n">
        <v>2936326.307031018</v>
      </c>
      <c r="P311" s="45" t="n">
        <v>2370437.50114</v>
      </c>
      <c r="Q311" s="45" t="n">
        <v>103427.749</v>
      </c>
      <c r="R311" s="45" t="n">
        <v>83495.15321271999</v>
      </c>
      <c r="S311" s="45" t="n">
        <v>5519976.26503072</v>
      </c>
      <c r="T311" s="45" t="n">
        <v>4456165.32757144</v>
      </c>
      <c r="U311" s="15" t="n">
        <v>23.8728513</v>
      </c>
      <c r="V311" s="15" t="n">
        <v>14.17122334734549</v>
      </c>
      <c r="W311" s="49" t="n">
        <v>80.72799999999999</v>
      </c>
    </row>
    <row r="312">
      <c r="A312" s="44" t="inlineStr">
        <is>
          <t>TL Cinsi Kuponsuz Senetler</t>
        </is>
      </c>
      <c r="B312" s="44" t="n">
        <v>2005</v>
      </c>
      <c r="C312" s="44" t="inlineStr">
        <is>
          <t>TRB041006T16</t>
        </is>
      </c>
      <c r="D312" s="44" t="inlineStr">
        <is>
          <t>nan</t>
        </is>
      </c>
      <c r="E312" s="44" t="inlineStr">
        <is>
          <t>nan</t>
        </is>
      </c>
      <c r="F312" s="44" t="n"/>
      <c r="G312" s="44" t="n"/>
      <c r="H312" s="15" t="n"/>
      <c r="I312" s="45" t="n">
        <v>1352800.113</v>
      </c>
      <c r="J312" s="45" t="n">
        <v>1205923.74292</v>
      </c>
      <c r="K312" s="45" t="n">
        <v>1039225.909</v>
      </c>
      <c r="L312" s="45" t="n">
        <v>926596.86298</v>
      </c>
      <c r="M312" s="45" t="n">
        <v>0</v>
      </c>
      <c r="N312" s="45" t="n">
        <v>0</v>
      </c>
      <c r="O312" s="45" t="n">
        <v>1027629.732015881</v>
      </c>
      <c r="P312" s="45" t="n">
        <v>916255.22166</v>
      </c>
      <c r="Q312" s="45" t="n">
        <v>0</v>
      </c>
      <c r="R312" s="45" t="n">
        <v>0</v>
      </c>
      <c r="S312" s="45" t="n">
        <v>2172503.300015881</v>
      </c>
      <c r="T312" s="45" t="n">
        <v>1937049.65035758</v>
      </c>
      <c r="U312" s="15" t="n">
        <v>12.1551292</v>
      </c>
      <c r="V312" s="15" t="n">
        <v>14.1744120888216</v>
      </c>
      <c r="W312" s="49" t="n">
        <v>89.16200000000001</v>
      </c>
    </row>
    <row r="313">
      <c r="A313" s="44" t="inlineStr">
        <is>
          <t>TL Cinsi Kuponsuz Senetler</t>
        </is>
      </c>
      <c r="B313" s="44" t="n">
        <v>2005</v>
      </c>
      <c r="C313" s="44" t="inlineStr">
        <is>
          <t>TRT270607T14</t>
        </is>
      </c>
      <c r="D313" s="44" t="inlineStr">
        <is>
          <t>nan</t>
        </is>
      </c>
      <c r="E313" s="44" t="inlineStr">
        <is>
          <t>nan</t>
        </is>
      </c>
      <c r="F313" s="44" t="n"/>
      <c r="G313" s="44" t="n"/>
      <c r="H313" s="15" t="n"/>
      <c r="I313" s="45" t="n">
        <v>2445555.416</v>
      </c>
      <c r="J313" s="45" t="n">
        <v>1989171.62909</v>
      </c>
      <c r="K313" s="45" t="n">
        <v>1343326.248</v>
      </c>
      <c r="L313" s="45" t="n">
        <v>1093316.27313</v>
      </c>
      <c r="M313" s="45" t="n">
        <v>187248.8899974198</v>
      </c>
      <c r="N313" s="45" t="n">
        <v>152399.99908</v>
      </c>
      <c r="O313" s="45" t="n">
        <v>1789839.535993808</v>
      </c>
      <c r="P313" s="45" t="n">
        <v>1456732.49995</v>
      </c>
      <c r="Q313" s="45" t="n">
        <v>0</v>
      </c>
      <c r="R313" s="45" t="n">
        <v>0</v>
      </c>
      <c r="S313" s="45" t="n">
        <v>3345414.673991228</v>
      </c>
      <c r="T313" s="45" t="n">
        <v>2722796.02216</v>
      </c>
      <c r="U313" s="15" t="n">
        <v>22.8671228</v>
      </c>
      <c r="V313" s="15" t="n">
        <v>13.77111060502836</v>
      </c>
      <c r="W313" s="49" t="n">
        <v>81.389</v>
      </c>
    </row>
    <row r="314">
      <c r="A314" s="44" t="inlineStr">
        <is>
          <t>TL Cinsi Kuponsuz Senetler</t>
        </is>
      </c>
      <c r="B314" s="44" t="n">
        <v>2005</v>
      </c>
      <c r="C314" s="44" t="inlineStr">
        <is>
          <t>TRT061206T12</t>
        </is>
      </c>
      <c r="D314" s="44" t="inlineStr">
        <is>
          <t>nan</t>
        </is>
      </c>
      <c r="E314" s="44" t="inlineStr">
        <is>
          <t>nan</t>
        </is>
      </c>
      <c r="F314" s="44" t="n"/>
      <c r="G314" s="44" t="n"/>
      <c r="H314" s="15" t="n"/>
      <c r="I314" s="45" t="n">
        <v>1970732.066</v>
      </c>
      <c r="J314" s="45" t="n">
        <v>1724928.42</v>
      </c>
      <c r="K314" s="45" t="n">
        <v>1389202.702</v>
      </c>
      <c r="L314" s="45" t="n">
        <v>1216329.53451</v>
      </c>
      <c r="M314" s="45" t="n">
        <v>0</v>
      </c>
      <c r="N314" s="45" t="n">
        <v>0</v>
      </c>
      <c r="O314" s="45" t="n">
        <v>1561579.730983599</v>
      </c>
      <c r="P314" s="45" t="n">
        <v>1367256.74926</v>
      </c>
      <c r="Q314" s="45" t="n">
        <v>67259.629</v>
      </c>
      <c r="R314" s="45" t="n">
        <v>58889.84076724001</v>
      </c>
      <c r="S314" s="45" t="n">
        <v>3068042.061983599</v>
      </c>
      <c r="T314" s="45" t="n">
        <v>2686254.12453724</v>
      </c>
      <c r="U314" s="15" t="n">
        <v>14.2126918</v>
      </c>
      <c r="V314" s="15" t="n">
        <v>14.2126918</v>
      </c>
      <c r="W314" s="49" t="n">
        <v>87.556</v>
      </c>
    </row>
    <row r="315">
      <c r="A315" s="44" t="inlineStr">
        <is>
          <t>TL Cinsi Kuponsuz Senetler</t>
        </is>
      </c>
      <c r="B315" s="44" t="n">
        <v>2005</v>
      </c>
      <c r="C315" s="44" t="inlineStr">
        <is>
          <t>TRT270607T14</t>
        </is>
      </c>
      <c r="D315" s="44" t="inlineStr">
        <is>
          <t>nan</t>
        </is>
      </c>
      <c r="E315" s="44" t="inlineStr">
        <is>
          <t>nan</t>
        </is>
      </c>
      <c r="F315" s="44" t="n"/>
      <c r="G315" s="44" t="n"/>
      <c r="H315" s="15" t="n"/>
      <c r="I315" s="45" t="n">
        <v>2622862.923</v>
      </c>
      <c r="J315" s="45" t="n">
        <v>2141261.35156</v>
      </c>
      <c r="K315" s="45" t="n">
        <v>699685.313</v>
      </c>
      <c r="L315" s="45" t="n">
        <v>571643.55748</v>
      </c>
      <c r="M315" s="45" t="n">
        <v>28151.77400244798</v>
      </c>
      <c r="N315" s="45" t="n">
        <v>22999.99936</v>
      </c>
      <c r="O315" s="45" t="n">
        <v>1970891.2150306</v>
      </c>
      <c r="P315" s="45" t="n">
        <v>1610218.12268</v>
      </c>
      <c r="Q315" s="45" t="n">
        <v>122227.173</v>
      </c>
      <c r="R315" s="45" t="n">
        <v>99859.600341</v>
      </c>
      <c r="S315" s="45" t="n">
        <v>2820955.475033048</v>
      </c>
      <c r="T315" s="45" t="n">
        <v>2304721.279861</v>
      </c>
      <c r="U315" s="15" t="n">
        <v>22.3988802</v>
      </c>
      <c r="V315" s="15" t="n">
        <v>13.85469705626889</v>
      </c>
      <c r="W315" s="49" t="n">
        <v>81.7</v>
      </c>
    </row>
    <row r="316">
      <c r="A316" s="44" t="inlineStr">
        <is>
          <t>TL Cinsi Kuponsuz Senetler</t>
        </is>
      </c>
      <c r="B316" s="44" t="n">
        <v>2005</v>
      </c>
      <c r="C316" s="44" t="inlineStr">
        <is>
          <t>TRB150306T12</t>
        </is>
      </c>
      <c r="D316" s="44" t="inlineStr">
        <is>
          <t>nan</t>
        </is>
      </c>
      <c r="E316" s="44" t="inlineStr">
        <is>
          <t>nan</t>
        </is>
      </c>
      <c r="F316" s="44" t="n"/>
      <c r="G316" s="44" t="n"/>
      <c r="H316" s="15" t="n"/>
      <c r="I316" s="45" t="n">
        <v>2622203.804</v>
      </c>
      <c r="J316" s="45" t="n">
        <v>2532566.02621</v>
      </c>
      <c r="K316" s="45" t="n">
        <v>1451065.516</v>
      </c>
      <c r="L316" s="45" t="n">
        <v>1402000.00805</v>
      </c>
      <c r="M316" s="45" t="n">
        <v>0</v>
      </c>
      <c r="N316" s="45" t="n">
        <v>0</v>
      </c>
      <c r="O316" s="45" t="n">
        <v>0</v>
      </c>
      <c r="P316" s="45" t="n">
        <v>0</v>
      </c>
      <c r="Q316" s="45" t="n">
        <v>0</v>
      </c>
      <c r="R316" s="45" t="n">
        <v>0</v>
      </c>
      <c r="S316" s="45" t="n">
        <v>1451065.516</v>
      </c>
      <c r="T316" s="45" t="n">
        <v>1402000.00805</v>
      </c>
      <c r="U316" s="15" t="n">
        <v>3.4996796</v>
      </c>
      <c r="V316" s="15" t="n">
        <v>14.75087913626945</v>
      </c>
      <c r="W316" s="49" t="n">
        <v>96.619</v>
      </c>
    </row>
    <row r="317">
      <c r="A317" s="44" t="inlineStr">
        <is>
          <t>TL Cinsi Kuponsuz Senetler</t>
        </is>
      </c>
      <c r="B317" s="44" t="n">
        <v>2004</v>
      </c>
      <c r="C317" s="44" t="inlineStr">
        <is>
          <t>TRB210404T15</t>
        </is>
      </c>
      <c r="D317" s="44" t="inlineStr">
        <is>
          <t>nan</t>
        </is>
      </c>
      <c r="E317" s="44" t="inlineStr">
        <is>
          <t>nan</t>
        </is>
      </c>
      <c r="F317" s="44" t="n"/>
      <c r="G317" s="44" t="n"/>
      <c r="H317" s="15" t="n"/>
      <c r="I317" s="45" t="n">
        <v>2610874.855</v>
      </c>
      <c r="J317" s="45" t="n">
        <v>2464395.206</v>
      </c>
      <c r="K317" s="45" t="n">
        <v>2452633.95</v>
      </c>
      <c r="L317" s="45" t="n">
        <v>2306996.546049</v>
      </c>
      <c r="M317" s="45" t="n">
        <v>0</v>
      </c>
      <c r="N317" s="45" t="n">
        <v>0</v>
      </c>
      <c r="O317" s="45" t="n">
        <v>0</v>
      </c>
      <c r="P317" s="45" t="n">
        <v>0</v>
      </c>
      <c r="Q317" s="45" t="n">
        <v>0</v>
      </c>
      <c r="R317" s="45" t="n">
        <v>0</v>
      </c>
      <c r="S317" s="45" t="n">
        <v>2452633.95</v>
      </c>
      <c r="T317" s="45" t="n">
        <v>2306996.546049</v>
      </c>
      <c r="U317" s="15" t="n">
        <v>6.312857476983269</v>
      </c>
      <c r="V317" s="15" t="n">
        <v>27.74478070137432</v>
      </c>
      <c r="W317" s="49" t="n">
        <v>94.062</v>
      </c>
    </row>
    <row r="318">
      <c r="A318" s="44" t="inlineStr">
        <is>
          <t>TL Cinsi Kuponsuz Senetler</t>
        </is>
      </c>
      <c r="B318" s="44" t="n">
        <v>2004</v>
      </c>
      <c r="C318" s="44" t="inlineStr">
        <is>
          <t>TRT230305T13</t>
        </is>
      </c>
      <c r="D318" s="44" t="inlineStr">
        <is>
          <t>nan</t>
        </is>
      </c>
      <c r="E318" s="44" t="inlineStr">
        <is>
          <t>nan</t>
        </is>
      </c>
      <c r="F318" s="44" t="n"/>
      <c r="G318" s="44" t="n"/>
      <c r="H318" s="15" t="n"/>
      <c r="I318" s="45" t="n">
        <v>3138944.945</v>
      </c>
      <c r="J318" s="45" t="n">
        <v>2425596.417</v>
      </c>
      <c r="K318" s="45" t="n">
        <v>2285772.725</v>
      </c>
      <c r="L318" s="45" t="n">
        <v>1762650.7791565</v>
      </c>
      <c r="M318" s="45" t="n">
        <v>259356.2777187022</v>
      </c>
      <c r="N318" s="45" t="n">
        <v>200000</v>
      </c>
      <c r="O318" s="45" t="n">
        <v>142645.9527452862</v>
      </c>
      <c r="P318" s="45" t="n">
        <v>110000</v>
      </c>
      <c r="Q318" s="45" t="n">
        <v>0</v>
      </c>
      <c r="R318" s="45" t="n">
        <v>0</v>
      </c>
      <c r="S318" s="45" t="n">
        <v>3121679.160463989</v>
      </c>
      <c r="T318" s="45" t="n">
        <v>2407251.6678002</v>
      </c>
      <c r="U318" s="15" t="n">
        <v>29.67813885935109</v>
      </c>
      <c r="V318" s="15" t="n">
        <v>24.79991650559368</v>
      </c>
      <c r="W318" s="49" t="n">
        <v>77.114</v>
      </c>
    </row>
    <row r="319">
      <c r="A319" s="44" t="inlineStr">
        <is>
          <t>TL Cinsi Kuponsuz Senetler</t>
        </is>
      </c>
      <c r="B319" s="44" t="n">
        <v>2004</v>
      </c>
      <c r="C319" s="44" t="inlineStr">
        <is>
          <t>TRB110804T13</t>
        </is>
      </c>
      <c r="D319" s="44" t="inlineStr">
        <is>
          <t>nan</t>
        </is>
      </c>
      <c r="E319" s="44" t="inlineStr">
        <is>
          <t>nan</t>
        </is>
      </c>
      <c r="F319" s="44" t="n"/>
      <c r="G319" s="44" t="n"/>
      <c r="H319" s="15" t="n"/>
      <c r="I319" s="45" t="n">
        <v>1846287.85</v>
      </c>
      <c r="J319" s="45" t="n">
        <v>1642885.247</v>
      </c>
      <c r="K319" s="45" t="n">
        <v>1419191.825</v>
      </c>
      <c r="L319" s="45" t="n">
        <v>1253657.290532</v>
      </c>
      <c r="M319" s="45" t="n">
        <v>628282.9197609129</v>
      </c>
      <c r="N319" s="45" t="n">
        <v>555000</v>
      </c>
      <c r="O319" s="45" t="n">
        <v>424515.4863249411</v>
      </c>
      <c r="P319" s="45" t="n">
        <v>375000</v>
      </c>
      <c r="Q319" s="45" t="n">
        <v>15210.135</v>
      </c>
      <c r="R319" s="45" t="n">
        <v>13436.0248536</v>
      </c>
      <c r="S319" s="45" t="n">
        <v>2487200.366085854</v>
      </c>
      <c r="T319" s="45" t="n">
        <v>2197093.3153856</v>
      </c>
      <c r="U319" s="15" t="n">
        <v>13.20412968665097</v>
      </c>
      <c r="V319" s="15" t="n">
        <v>25.90121764535982</v>
      </c>
      <c r="W319" s="49" t="n">
        <v>88.336</v>
      </c>
    </row>
    <row r="320">
      <c r="A320" s="44" t="inlineStr">
        <is>
          <t>TL Cinsi Kuponsuz Senetler</t>
        </is>
      </c>
      <c r="B320" s="44" t="n">
        <v>2004</v>
      </c>
      <c r="C320" s="44" t="inlineStr">
        <is>
          <t>TRT230305T13</t>
        </is>
      </c>
      <c r="D320" s="44" t="inlineStr">
        <is>
          <t>nan</t>
        </is>
      </c>
      <c r="E320" s="44" t="inlineStr">
        <is>
          <t>nan</t>
        </is>
      </c>
      <c r="F320" s="44" t="n"/>
      <c r="G320" s="44" t="n"/>
      <c r="H320" s="15" t="n"/>
      <c r="I320" s="45" t="n">
        <v>2216937.37</v>
      </c>
      <c r="J320" s="45" t="n">
        <v>1734829.542</v>
      </c>
      <c r="K320" s="45" t="n">
        <v>1643993.75</v>
      </c>
      <c r="L320" s="45" t="n">
        <v>1283416.6008125</v>
      </c>
      <c r="M320" s="45" t="n">
        <v>1551231.634365353</v>
      </c>
      <c r="N320" s="45" t="n">
        <v>1211000</v>
      </c>
      <c r="O320" s="45" t="n">
        <v>257471.1465792204</v>
      </c>
      <c r="P320" s="45" t="n">
        <v>201000</v>
      </c>
      <c r="Q320" s="45" t="n">
        <v>7867.705</v>
      </c>
      <c r="R320" s="45" t="n">
        <v>6142.08126235</v>
      </c>
      <c r="S320" s="45" t="n">
        <v>3460564.235944573</v>
      </c>
      <c r="T320" s="45" t="n">
        <v>2701558.68207485</v>
      </c>
      <c r="U320" s="15" t="n">
        <v>28.09509780060717</v>
      </c>
      <c r="V320" s="15" t="n">
        <v>23.93524843161703</v>
      </c>
      <c r="W320" s="49" t="n">
        <v>78.06699999999999</v>
      </c>
    </row>
    <row r="321">
      <c r="A321" s="44" t="inlineStr">
        <is>
          <t>TL Cinsi Kuponsuz Senetler</t>
        </is>
      </c>
      <c r="B321" s="44" t="n">
        <v>2004</v>
      </c>
      <c r="C321" s="44" t="inlineStr">
        <is>
          <t>TRB120504T15</t>
        </is>
      </c>
      <c r="D321" s="44" t="inlineStr">
        <is>
          <t>nan</t>
        </is>
      </c>
      <c r="E321" s="44" t="inlineStr">
        <is>
          <t>nan</t>
        </is>
      </c>
      <c r="F321" s="44" t="n"/>
      <c r="G321" s="44" t="n"/>
      <c r="H321" s="15" t="n"/>
      <c r="I321" s="45" t="n">
        <v>2895096.84</v>
      </c>
      <c r="J321" s="45" t="n">
        <v>2732879.4674</v>
      </c>
      <c r="K321" s="45" t="n">
        <v>1651934.655</v>
      </c>
      <c r="L321" s="45" t="n">
        <v>1561000.0029</v>
      </c>
      <c r="M321" s="45" t="n">
        <v>0</v>
      </c>
      <c r="N321" s="45" t="n">
        <v>0</v>
      </c>
      <c r="O321" s="45" t="n">
        <v>0</v>
      </c>
      <c r="P321" s="45" t="n">
        <v>0</v>
      </c>
      <c r="Q321" s="45" t="n">
        <v>0</v>
      </c>
      <c r="R321" s="45" t="n">
        <v>0</v>
      </c>
      <c r="S321" s="45" t="n">
        <v>1651934.655</v>
      </c>
      <c r="T321" s="45" t="n">
        <v>1561000.0029</v>
      </c>
      <c r="U321" s="15" t="n">
        <v>5.8254101</v>
      </c>
      <c r="V321" s="15" t="n">
        <v>25.41799123692117</v>
      </c>
      <c r="W321" s="49" t="n">
        <v>94.495</v>
      </c>
    </row>
    <row r="322">
      <c r="A322" s="44" t="inlineStr">
        <is>
          <t>TL Cinsi Kuponsuz Senetler</t>
        </is>
      </c>
      <c r="B322" s="44" t="n">
        <v>2004</v>
      </c>
      <c r="C322" s="44" t="inlineStr">
        <is>
          <t>TRB080904T17</t>
        </is>
      </c>
      <c r="D322" s="44" t="inlineStr">
        <is>
          <t>nan</t>
        </is>
      </c>
      <c r="E322" s="44" t="inlineStr">
        <is>
          <t>nan</t>
        </is>
      </c>
      <c r="F322" s="44" t="n"/>
      <c r="G322" s="44" t="n"/>
      <c r="H322" s="15" t="n"/>
      <c r="I322" s="45" t="n">
        <v>1477154</v>
      </c>
      <c r="J322" s="45" t="n">
        <v>1306406.2556</v>
      </c>
      <c r="K322" s="45" t="n">
        <v>1258503.605</v>
      </c>
      <c r="L322" s="45" t="n">
        <v>1113403.3168</v>
      </c>
      <c r="M322" s="45" t="n">
        <v>27127.83994574432</v>
      </c>
      <c r="N322" s="45" t="n">
        <v>24000</v>
      </c>
      <c r="O322" s="45" t="n">
        <v>431041.0308579179</v>
      </c>
      <c r="P322" s="45" t="n">
        <v>381342</v>
      </c>
      <c r="Q322" s="45" t="n">
        <v>8163.525</v>
      </c>
      <c r="R322" s="45" t="n">
        <v>7222.2705675</v>
      </c>
      <c r="S322" s="45" t="n">
        <v>1724836.000803662</v>
      </c>
      <c r="T322" s="45" t="n">
        <v>1525967.5873675</v>
      </c>
      <c r="U322" s="15" t="n">
        <v>13.0321408</v>
      </c>
      <c r="V322" s="15" t="n">
        <v>24.56516441047274</v>
      </c>
      <c r="W322" s="49" t="n">
        <v>88.47</v>
      </c>
    </row>
    <row r="323">
      <c r="A323" s="44" t="inlineStr">
        <is>
          <t>TL Cinsi Kuponsuz Senetler</t>
        </is>
      </c>
      <c r="B323" s="44" t="n">
        <v>2004</v>
      </c>
      <c r="C323" s="44" t="inlineStr">
        <is>
          <t>TRT270405T18</t>
        </is>
      </c>
      <c r="D323" s="44" t="inlineStr">
        <is>
          <t>nan</t>
        </is>
      </c>
      <c r="E323" s="44" t="inlineStr">
        <is>
          <t>nan</t>
        </is>
      </c>
      <c r="F323" s="44" t="n"/>
      <c r="G323" s="44" t="n"/>
      <c r="H323" s="15" t="n"/>
      <c r="I323" s="45" t="n">
        <v>4896220.07</v>
      </c>
      <c r="J323" s="45" t="n">
        <v>3808928.9667</v>
      </c>
      <c r="K323" s="45" t="n">
        <v>4108399.275</v>
      </c>
      <c r="L323" s="45" t="n">
        <v>3204290.852</v>
      </c>
      <c r="M323" s="45" t="n">
        <v>282072.9799728184</v>
      </c>
      <c r="N323" s="45" t="n">
        <v>220000</v>
      </c>
      <c r="O323" s="45" t="n">
        <v>484869.3489242762</v>
      </c>
      <c r="P323" s="45" t="n">
        <v>378169</v>
      </c>
      <c r="Q323" s="45" t="n">
        <v>22911.26</v>
      </c>
      <c r="R323" s="45" t="n">
        <v>17869.4081244</v>
      </c>
      <c r="S323" s="45" t="n">
        <v>4898252.863897095</v>
      </c>
      <c r="T323" s="45" t="n">
        <v>3820329.2601244</v>
      </c>
      <c r="U323" s="15" t="n">
        <v>28.2155542</v>
      </c>
      <c r="V323" s="15" t="n">
        <v>23.17736836750481</v>
      </c>
      <c r="W323" s="49" t="n">
        <v>77.994</v>
      </c>
    </row>
    <row r="324">
      <c r="A324" s="44" t="inlineStr">
        <is>
          <t>TL Cinsi Kuponsuz Senetler</t>
        </is>
      </c>
      <c r="B324" s="44" t="n">
        <v>2004</v>
      </c>
      <c r="C324" s="44" t="inlineStr">
        <is>
          <t>TRT240805T17</t>
        </is>
      </c>
      <c r="D324" s="44" t="inlineStr">
        <is>
          <t>nan</t>
        </is>
      </c>
      <c r="E324" s="44" t="inlineStr">
        <is>
          <t>nan</t>
        </is>
      </c>
      <c r="F324" s="44" t="n"/>
      <c r="G324" s="44" t="n"/>
      <c r="H324" s="15" t="n"/>
      <c r="I324" s="45" t="n">
        <v>4274032.02</v>
      </c>
      <c r="J324" s="45" t="n">
        <v>3089286.7697</v>
      </c>
      <c r="K324" s="45" t="n">
        <v>2906996.96</v>
      </c>
      <c r="L324" s="45" t="n">
        <v>2103906.1667</v>
      </c>
      <c r="M324" s="45" t="n">
        <v>397932.9593500429</v>
      </c>
      <c r="N324" s="45" t="n">
        <v>288000</v>
      </c>
      <c r="O324" s="45" t="n">
        <v>437684.8039351148</v>
      </c>
      <c r="P324" s="45" t="n">
        <v>316770</v>
      </c>
      <c r="Q324" s="45" t="n">
        <v>114821.305</v>
      </c>
      <c r="R324" s="45" t="n">
        <v>83100.77128070001</v>
      </c>
      <c r="S324" s="45" t="n">
        <v>4364184.568285157</v>
      </c>
      <c r="T324" s="45" t="n">
        <v>3158531.1263203</v>
      </c>
      <c r="U324" s="15" t="n">
        <v>38.1714169</v>
      </c>
      <c r="V324" s="15" t="n">
        <v>24.40214904712865</v>
      </c>
      <c r="W324" s="49" t="n">
        <v>72.374</v>
      </c>
    </row>
    <row r="325">
      <c r="A325" s="44" t="inlineStr">
        <is>
          <t>TL Cinsi Kuponsuz Senetler</t>
        </is>
      </c>
      <c r="B325" s="44" t="n">
        <v>2004</v>
      </c>
      <c r="C325" s="44" t="inlineStr">
        <is>
          <t>TRB131004T17</t>
        </is>
      </c>
      <c r="D325" s="44" t="inlineStr">
        <is>
          <t>nan</t>
        </is>
      </c>
      <c r="E325" s="44" t="inlineStr">
        <is>
          <t>nan</t>
        </is>
      </c>
      <c r="F325" s="44" t="n"/>
      <c r="G325" s="44" t="n"/>
      <c r="H325" s="15" t="n"/>
      <c r="I325" s="45" t="n">
        <v>2017047.14</v>
      </c>
      <c r="J325" s="45" t="n">
        <v>1760208.467</v>
      </c>
      <c r="K325" s="45" t="n">
        <v>1867053.36</v>
      </c>
      <c r="L325" s="45" t="n">
        <v>1629546.946</v>
      </c>
      <c r="M325" s="45" t="n">
        <v>171805.359823096</v>
      </c>
      <c r="N325" s="45" t="n">
        <v>149950</v>
      </c>
      <c r="O325" s="45" t="n">
        <v>690636.3730106899</v>
      </c>
      <c r="P325" s="45" t="n">
        <v>602780.52</v>
      </c>
      <c r="Q325" s="45" t="n">
        <v>15301.925</v>
      </c>
      <c r="R325" s="45" t="n">
        <v>13355.36712075</v>
      </c>
      <c r="S325" s="45" t="n">
        <v>2870986.522833786</v>
      </c>
      <c r="T325" s="45" t="n">
        <v>2505769.7711897</v>
      </c>
      <c r="U325" s="15" t="n">
        <v>14.5749967</v>
      </c>
      <c r="V325" s="15" t="n">
        <v>24.744386590193</v>
      </c>
      <c r="W325" s="49" t="n">
        <v>87.279</v>
      </c>
    </row>
    <row r="326">
      <c r="A326" s="44" t="inlineStr">
        <is>
          <t>TL Cinsi Kuponsuz Senetler</t>
        </is>
      </c>
      <c r="B326" s="44" t="n">
        <v>2004</v>
      </c>
      <c r="C326" s="44" t="inlineStr">
        <is>
          <t>TRT270405T18</t>
        </is>
      </c>
      <c r="D326" s="44" t="inlineStr">
        <is>
          <t>nan</t>
        </is>
      </c>
      <c r="E326" s="44" t="inlineStr">
        <is>
          <t>nan</t>
        </is>
      </c>
      <c r="F326" s="44" t="n"/>
      <c r="G326" s="44" t="n"/>
      <c r="H326" s="15" t="n"/>
      <c r="I326" s="45" t="n">
        <v>3284089.59</v>
      </c>
      <c r="J326" s="45" t="n">
        <v>2550456.8167</v>
      </c>
      <c r="K326" s="45" t="n">
        <v>2544820.82</v>
      </c>
      <c r="L326" s="45" t="n">
        <v>1977204.3675</v>
      </c>
      <c r="M326" s="45" t="n">
        <v>128708.411094665</v>
      </c>
      <c r="N326" s="45" t="n">
        <v>100000</v>
      </c>
      <c r="O326" s="45" t="n">
        <v>406996.149945299</v>
      </c>
      <c r="P326" s="45" t="n">
        <v>316215.6587</v>
      </c>
      <c r="Q326" s="45" t="n">
        <v>103749.275</v>
      </c>
      <c r="R326" s="45" t="n">
        <v>80607.99921125</v>
      </c>
      <c r="S326" s="45" t="n">
        <v>3468897.231039964</v>
      </c>
      <c r="T326" s="45" t="n">
        <v>2695165.5350575</v>
      </c>
      <c r="U326" s="15" t="n">
        <v>28.7080315</v>
      </c>
      <c r="V326" s="15" t="n">
        <v>24.44904312350176</v>
      </c>
      <c r="W326" s="49" t="n">
        <v>77.69499999999999</v>
      </c>
    </row>
    <row r="327">
      <c r="A327" s="44" t="inlineStr">
        <is>
          <t>TL Cinsi Kuponsuz Senetler</t>
        </is>
      </c>
      <c r="B327" s="44" t="n">
        <v>2004</v>
      </c>
      <c r="C327" s="44" t="inlineStr">
        <is>
          <t>TRB160604T10</t>
        </is>
      </c>
      <c r="D327" s="44" t="inlineStr">
        <is>
          <t>nan</t>
        </is>
      </c>
      <c r="E327" s="44" t="inlineStr">
        <is>
          <t>nan</t>
        </is>
      </c>
      <c r="F327" s="44" t="n"/>
      <c r="G327" s="44" t="n"/>
      <c r="H327" s="15" t="n"/>
      <c r="I327" s="45" t="n">
        <v>1492817.05</v>
      </c>
      <c r="J327" s="45" t="n">
        <v>1414598.3842</v>
      </c>
      <c r="K327" s="45" t="n">
        <v>1405464.235</v>
      </c>
      <c r="L327" s="45" t="n">
        <v>1332000.004</v>
      </c>
      <c r="M327" s="45" t="n">
        <v>0</v>
      </c>
      <c r="N327" s="45" t="n">
        <v>0</v>
      </c>
      <c r="O327" s="45" t="n">
        <v>0</v>
      </c>
      <c r="P327" s="45" t="n">
        <v>0</v>
      </c>
      <c r="Q327" s="45" t="n">
        <v>0</v>
      </c>
      <c r="R327" s="45" t="n">
        <v>0</v>
      </c>
      <c r="S327" s="45" t="n">
        <v>1405464.235</v>
      </c>
      <c r="T327" s="45" t="n">
        <v>1332000.004</v>
      </c>
      <c r="U327" s="15" t="n">
        <v>5.5153326</v>
      </c>
      <c r="V327" s="15" t="n">
        <v>23.95449745681726</v>
      </c>
      <c r="W327" s="49" t="n">
        <v>94.773</v>
      </c>
    </row>
    <row r="328">
      <c r="A328" s="44" t="inlineStr">
        <is>
          <t>TL Cinsi Kuponsuz Senetler</t>
        </is>
      </c>
      <c r="B328" s="44" t="n">
        <v>2004</v>
      </c>
      <c r="C328" s="44" t="inlineStr">
        <is>
          <t>TRB241104T13</t>
        </is>
      </c>
      <c r="D328" s="44" t="inlineStr">
        <is>
          <t>nan</t>
        </is>
      </c>
      <c r="E328" s="44" t="inlineStr">
        <is>
          <t>nan</t>
        </is>
      </c>
      <c r="F328" s="44" t="n"/>
      <c r="G328" s="44" t="n"/>
      <c r="H328" s="15" t="n"/>
      <c r="I328" s="45" t="n">
        <v>2406434.9</v>
      </c>
      <c r="J328" s="45" t="n">
        <v>2104078.4116</v>
      </c>
      <c r="K328" s="45" t="n">
        <v>1705388.92</v>
      </c>
      <c r="L328" s="45" t="n">
        <v>1493031.4213</v>
      </c>
      <c r="M328" s="45" t="n">
        <v>77671.67725133641</v>
      </c>
      <c r="N328" s="45" t="n">
        <v>68000</v>
      </c>
      <c r="O328" s="45" t="n">
        <v>362930.0749965733</v>
      </c>
      <c r="P328" s="45" t="n">
        <v>317738.022058</v>
      </c>
      <c r="Q328" s="45" t="n">
        <v>0</v>
      </c>
      <c r="R328" s="45" t="n">
        <v>0</v>
      </c>
      <c r="S328" s="45" t="n">
        <v>2373037.58724791</v>
      </c>
      <c r="T328" s="45" t="n">
        <v>2077544.4765022</v>
      </c>
      <c r="U328" s="15" t="n">
        <v>14.2232438</v>
      </c>
      <c r="V328" s="15" t="n">
        <v>23.31249195434506</v>
      </c>
      <c r="W328" s="49" t="n">
        <v>87.548</v>
      </c>
    </row>
    <row r="329">
      <c r="A329" s="44" t="inlineStr">
        <is>
          <t>TL Cinsi Kuponsuz Senetler</t>
        </is>
      </c>
      <c r="B329" s="44" t="n">
        <v>2004</v>
      </c>
      <c r="C329" s="44" t="inlineStr">
        <is>
          <t>TRT240805T17</t>
        </is>
      </c>
      <c r="D329" s="44" t="inlineStr">
        <is>
          <t>nan</t>
        </is>
      </c>
      <c r="E329" s="44" t="inlineStr">
        <is>
          <t>nan</t>
        </is>
      </c>
      <c r="F329" s="44" t="n"/>
      <c r="G329" s="44" t="n"/>
      <c r="H329" s="15" t="n"/>
      <c r="I329" s="45" t="n">
        <v>4242657.485</v>
      </c>
      <c r="J329" s="45" t="n">
        <v>3221967.093</v>
      </c>
      <c r="K329" s="45" t="n">
        <v>2652681.095</v>
      </c>
      <c r="L329" s="45" t="n">
        <v>2017342.0933</v>
      </c>
      <c r="M329" s="45" t="n">
        <v>310326.2370313876</v>
      </c>
      <c r="N329" s="45" t="n">
        <v>236000</v>
      </c>
      <c r="O329" s="45" t="n">
        <v>484891.3449933596</v>
      </c>
      <c r="P329" s="45" t="n">
        <v>368755.018954</v>
      </c>
      <c r="Q329" s="45" t="n">
        <v>0</v>
      </c>
      <c r="R329" s="45" t="n">
        <v>0</v>
      </c>
      <c r="S329" s="45" t="n">
        <v>3580479.012024747</v>
      </c>
      <c r="T329" s="45" t="n">
        <v>2722923.13121815</v>
      </c>
      <c r="U329" s="15" t="n">
        <v>31.4938653</v>
      </c>
      <c r="V329" s="15" t="n">
        <v>21.86421309673994</v>
      </c>
      <c r="W329" s="49" t="n">
        <v>76.04900000000001</v>
      </c>
    </row>
    <row r="330">
      <c r="A330" s="44" t="inlineStr">
        <is>
          <t>TL Cinsi Kuponsuz Senetler</t>
        </is>
      </c>
      <c r="B330" s="44" t="n">
        <v>2004</v>
      </c>
      <c r="C330" s="44" t="inlineStr">
        <is>
          <t>TRB210704T20</t>
        </is>
      </c>
      <c r="D330" s="44" t="inlineStr">
        <is>
          <t>nan</t>
        </is>
      </c>
      <c r="E330" s="44" t="inlineStr">
        <is>
          <t>nan</t>
        </is>
      </c>
      <c r="F330" s="44" t="n"/>
      <c r="G330" s="44" t="n"/>
      <c r="H330" s="15" t="n"/>
      <c r="I330" s="45" t="n">
        <v>4950572.34</v>
      </c>
      <c r="J330" s="45" t="n">
        <v>4693491.3265</v>
      </c>
      <c r="K330" s="45" t="n">
        <v>2304934.615</v>
      </c>
      <c r="L330" s="45" t="n">
        <v>2187000.0079</v>
      </c>
      <c r="M330" s="45" t="n">
        <v>0</v>
      </c>
      <c r="N330" s="45" t="n">
        <v>0</v>
      </c>
      <c r="O330" s="45" t="n">
        <v>0</v>
      </c>
      <c r="P330" s="45" t="n">
        <v>0</v>
      </c>
      <c r="Q330" s="45" t="n">
        <v>0</v>
      </c>
      <c r="R330" s="45" t="n">
        <v>0</v>
      </c>
      <c r="S330" s="45" t="n">
        <v>2304934.615</v>
      </c>
      <c r="T330" s="45" t="n">
        <v>2187000.0079</v>
      </c>
      <c r="U330" s="15" t="n">
        <v>5.3925289</v>
      </c>
      <c r="V330" s="15" t="n">
        <v>23.37844781867804</v>
      </c>
      <c r="W330" s="49" t="n">
        <v>94.883</v>
      </c>
    </row>
    <row r="331">
      <c r="A331" s="44" t="inlineStr">
        <is>
          <t>TL Cinsi Kuponsuz Senetler</t>
        </is>
      </c>
      <c r="B331" s="44" t="n">
        <v>2004</v>
      </c>
      <c r="C331" s="44" t="inlineStr">
        <is>
          <t>TRB241104T13</t>
        </is>
      </c>
      <c r="D331" s="44" t="inlineStr">
        <is>
          <t>nan</t>
        </is>
      </c>
      <c r="E331" s="44" t="inlineStr">
        <is>
          <t>nan</t>
        </is>
      </c>
      <c r="F331" s="44" t="n"/>
      <c r="G331" s="44" t="n"/>
      <c r="H331" s="15" t="n"/>
      <c r="I331" s="45" t="n">
        <v>1116967.605</v>
      </c>
      <c r="J331" s="45" t="n">
        <v>985350.884</v>
      </c>
      <c r="K331" s="45" t="n">
        <v>941748.155</v>
      </c>
      <c r="L331" s="45" t="n">
        <v>831093.5484</v>
      </c>
      <c r="M331" s="45" t="n">
        <v>113314.447592068</v>
      </c>
      <c r="N331" s="45" t="n">
        <v>100000</v>
      </c>
      <c r="O331" s="45" t="n">
        <v>155080.1076487252</v>
      </c>
      <c r="P331" s="45" t="n">
        <v>136858.195</v>
      </c>
      <c r="Q331" s="45" t="n">
        <v>0</v>
      </c>
      <c r="R331" s="45" t="n">
        <v>0</v>
      </c>
      <c r="S331" s="45" t="n">
        <v>1235084.465240793</v>
      </c>
      <c r="T331" s="45" t="n">
        <v>1089962.8421875</v>
      </c>
      <c r="U331" s="15" t="n">
        <v>13.3143383</v>
      </c>
      <c r="V331" s="15" t="n">
        <v>24.1920424694376</v>
      </c>
      <c r="W331" s="49" t="n">
        <v>88.25</v>
      </c>
    </row>
    <row r="332">
      <c r="A332" s="44" t="inlineStr">
        <is>
          <t>TL Cinsi Kuponsuz Senetler</t>
        </is>
      </c>
      <c r="B332" s="44" t="n">
        <v>2004</v>
      </c>
      <c r="C332" s="44" t="inlineStr">
        <is>
          <t>TRT051005T16</t>
        </is>
      </c>
      <c r="D332" s="44" t="inlineStr">
        <is>
          <t>nan</t>
        </is>
      </c>
      <c r="E332" s="44" t="inlineStr">
        <is>
          <t>nan</t>
        </is>
      </c>
      <c r="F332" s="44" t="n"/>
      <c r="G332" s="44" t="n"/>
      <c r="H332" s="15" t="n"/>
      <c r="I332" s="45" t="n">
        <v>3415716.63</v>
      </c>
      <c r="J332" s="45" t="n">
        <v>2509868.7368</v>
      </c>
      <c r="K332" s="45" t="n">
        <v>2763943.3</v>
      </c>
      <c r="L332" s="45" t="n">
        <v>2033346.5044</v>
      </c>
      <c r="M332" s="45" t="n">
        <v>550518.5749045088</v>
      </c>
      <c r="N332" s="45" t="n">
        <v>405000</v>
      </c>
      <c r="O332" s="45" t="n">
        <v>228798.2383405603</v>
      </c>
      <c r="P332" s="45" t="n">
        <v>168320</v>
      </c>
      <c r="Q332" s="45" t="n">
        <v>119081.495</v>
      </c>
      <c r="R332" s="45" t="n">
        <v>87604.68542665</v>
      </c>
      <c r="S332" s="45" t="n">
        <v>3751141.608245069</v>
      </c>
      <c r="T332" s="45" t="n">
        <v>2759598.68582665</v>
      </c>
      <c r="U332" s="15" t="n">
        <v>35.9307572</v>
      </c>
      <c r="V332" s="15" t="n">
        <v>23.71821072389764</v>
      </c>
      <c r="W332" s="49" t="n">
        <v>73.56699999999999</v>
      </c>
    </row>
    <row r="333">
      <c r="A333" s="44" t="inlineStr">
        <is>
          <t>TL Cinsi Kuponsuz Senetler</t>
        </is>
      </c>
      <c r="B333" s="44" t="n">
        <v>2004</v>
      </c>
      <c r="C333" s="44" t="inlineStr">
        <is>
          <t>TRB241104T13</t>
        </is>
      </c>
      <c r="D333" s="44" t="inlineStr">
        <is>
          <t>nan</t>
        </is>
      </c>
      <c r="E333" s="44" t="inlineStr">
        <is>
          <t>nan</t>
        </is>
      </c>
      <c r="F333" s="44" t="n"/>
      <c r="G333" s="44" t="n"/>
      <c r="H333" s="15" t="n"/>
      <c r="I333" s="45" t="n">
        <v>935206.675</v>
      </c>
      <c r="J333" s="45" t="n">
        <v>820133.7781</v>
      </c>
      <c r="K333" s="45" t="n">
        <v>768938.64</v>
      </c>
      <c r="L333" s="45" t="n">
        <v>674596.22</v>
      </c>
      <c r="M333" s="45" t="n">
        <v>31801.75764553009</v>
      </c>
      <c r="N333" s="45" t="n">
        <v>27900</v>
      </c>
      <c r="O333" s="45" t="n">
        <v>51660.18853084998</v>
      </c>
      <c r="P333" s="45" t="n">
        <v>45322</v>
      </c>
      <c r="Q333" s="45" t="n">
        <v>1349.835</v>
      </c>
      <c r="R333" s="45" t="n">
        <v>1184.22374385</v>
      </c>
      <c r="S333" s="45" t="n">
        <v>944774.43617638</v>
      </c>
      <c r="T333" s="45" t="n">
        <v>828858.7223435</v>
      </c>
      <c r="U333" s="15" t="n">
        <v>13.9850206</v>
      </c>
      <c r="V333" s="15" t="n">
        <v>26.45440254549407</v>
      </c>
      <c r="W333" s="49" t="n">
        <v>87.73099999999999</v>
      </c>
    </row>
    <row r="334">
      <c r="A334" s="44" t="inlineStr">
        <is>
          <t>TL Cinsi Kuponsuz Senetler</t>
        </is>
      </c>
      <c r="B334" s="44" t="n">
        <v>2004</v>
      </c>
      <c r="C334" s="44" t="inlineStr">
        <is>
          <t>TRB110804T21</t>
        </is>
      </c>
      <c r="D334" s="44" t="inlineStr">
        <is>
          <t>nan</t>
        </is>
      </c>
      <c r="E334" s="44" t="inlineStr">
        <is>
          <t>nan</t>
        </is>
      </c>
      <c r="F334" s="44" t="n"/>
      <c r="G334" s="44" t="n"/>
      <c r="H334" s="15" t="n"/>
      <c r="I334" s="45" t="n">
        <v>3073301.705</v>
      </c>
      <c r="J334" s="45" t="n">
        <v>2893145.1736</v>
      </c>
      <c r="K334" s="45" t="n">
        <v>1777569.9</v>
      </c>
      <c r="L334" s="45" t="n">
        <v>1675000.0059</v>
      </c>
      <c r="M334" s="45" t="n">
        <v>0</v>
      </c>
      <c r="N334" s="45" t="n">
        <v>0</v>
      </c>
      <c r="O334" s="45" t="n">
        <v>0</v>
      </c>
      <c r="P334" s="45" t="n">
        <v>0</v>
      </c>
      <c r="Q334" s="45" t="n">
        <v>0</v>
      </c>
      <c r="R334" s="45" t="n">
        <v>0</v>
      </c>
      <c r="S334" s="45" t="n">
        <v>1777569.9</v>
      </c>
      <c r="T334" s="45" t="n">
        <v>1675000.0059</v>
      </c>
      <c r="U334" s="15" t="n">
        <v>6.1235757</v>
      </c>
      <c r="V334" s="15" t="n">
        <v>26.83744885062629</v>
      </c>
      <c r="W334" s="49" t="n">
        <v>94.23</v>
      </c>
    </row>
    <row r="335">
      <c r="A335" s="44" t="inlineStr">
        <is>
          <t>TL Cinsi Kuponsuz Senetler</t>
        </is>
      </c>
      <c r="B335" s="44" t="n">
        <v>2004</v>
      </c>
      <c r="C335" s="44" t="inlineStr">
        <is>
          <t>TRB241104T13</t>
        </is>
      </c>
      <c r="D335" s="44" t="inlineStr">
        <is>
          <t>nan</t>
        </is>
      </c>
      <c r="E335" s="44" t="inlineStr">
        <is>
          <t>nan</t>
        </is>
      </c>
      <c r="F335" s="44" t="n"/>
      <c r="G335" s="44" t="n"/>
      <c r="H335" s="15" t="n"/>
      <c r="I335" s="45" t="n">
        <v>884364.755</v>
      </c>
      <c r="J335" s="45" t="n">
        <v>767238.2023</v>
      </c>
      <c r="K335" s="45" t="n">
        <v>372727.595</v>
      </c>
      <c r="L335" s="45" t="n">
        <v>324370.7522</v>
      </c>
      <c r="M335" s="45" t="n">
        <v>59752.25794590123</v>
      </c>
      <c r="N335" s="45" t="n">
        <v>52000</v>
      </c>
      <c r="O335" s="45" t="n">
        <v>58789.32732746535</v>
      </c>
      <c r="P335" s="45" t="n">
        <v>51162</v>
      </c>
      <c r="Q335" s="45" t="n">
        <v>1986.445</v>
      </c>
      <c r="R335" s="45" t="n">
        <v>1728.7236257</v>
      </c>
      <c r="S335" s="45" t="n">
        <v>502781.8152733666</v>
      </c>
      <c r="T335" s="45" t="n">
        <v>437551.7379351</v>
      </c>
      <c r="U335" s="15" t="n">
        <v>14.9078924</v>
      </c>
      <c r="V335" s="15" t="n">
        <v>29.44292249565528</v>
      </c>
      <c r="W335" s="49" t="n">
        <v>87.026</v>
      </c>
    </row>
    <row r="336">
      <c r="A336" s="44" t="inlineStr">
        <is>
          <t>TL Cinsi Kuponsuz Senetler</t>
        </is>
      </c>
      <c r="B336" s="44" t="n">
        <v>2004</v>
      </c>
      <c r="C336" s="44" t="inlineStr">
        <is>
          <t>TRT051005T16</t>
        </is>
      </c>
      <c r="D336" s="44" t="inlineStr">
        <is>
          <t>nan</t>
        </is>
      </c>
      <c r="E336" s="44" t="inlineStr">
        <is>
          <t>nan</t>
        </is>
      </c>
      <c r="F336" s="44" t="n"/>
      <c r="G336" s="44" t="n"/>
      <c r="H336" s="15" t="n"/>
      <c r="I336" s="45" t="n">
        <v>4623663.185</v>
      </c>
      <c r="J336" s="45" t="n">
        <v>3145763.8104</v>
      </c>
      <c r="K336" s="45" t="n">
        <v>1456813.695</v>
      </c>
      <c r="L336" s="45" t="n">
        <v>997821.532</v>
      </c>
      <c r="M336" s="45" t="n">
        <v>77380.17023637451</v>
      </c>
      <c r="N336" s="45" t="n">
        <v>53000</v>
      </c>
      <c r="O336" s="45" t="n">
        <v>56275.82380681238</v>
      </c>
      <c r="P336" s="45" t="n">
        <v>38545</v>
      </c>
      <c r="Q336" s="45" t="n">
        <v>71762.675</v>
      </c>
      <c r="R336" s="45" t="n">
        <v>49152.40898775</v>
      </c>
      <c r="S336" s="45" t="n">
        <v>1841739.659043187</v>
      </c>
      <c r="T336" s="45" t="n">
        <v>1261468.8725521</v>
      </c>
      <c r="U336" s="15" t="n">
        <v>45.9994246</v>
      </c>
      <c r="V336" s="15" t="n">
        <v>30.9399129648356</v>
      </c>
      <c r="W336" s="49" t="n">
        <v>68.49299999999999</v>
      </c>
    </row>
    <row r="337">
      <c r="A337" s="44" t="inlineStr">
        <is>
          <t>TL Cinsi Kuponsuz Senetler</t>
        </is>
      </c>
      <c r="B337" s="44" t="n">
        <v>2004</v>
      </c>
      <c r="C337" s="44" t="inlineStr">
        <is>
          <t>TRB101104T19</t>
        </is>
      </c>
      <c r="D337" s="44" t="inlineStr">
        <is>
          <t>nan</t>
        </is>
      </c>
      <c r="E337" s="44" t="inlineStr">
        <is>
          <t>nan</t>
        </is>
      </c>
      <c r="F337" s="44" t="n"/>
      <c r="G337" s="44" t="n"/>
      <c r="H337" s="15" t="n"/>
      <c r="I337" s="45" t="n">
        <v>3595355.435</v>
      </c>
      <c r="J337" s="45" t="n">
        <v>3196638.7251</v>
      </c>
      <c r="K337" s="45" t="n">
        <v>2262790.855</v>
      </c>
      <c r="L337" s="45" t="n">
        <v>2013632.7436</v>
      </c>
      <c r="M337" s="45" t="n">
        <v>29217.09424760364</v>
      </c>
      <c r="N337" s="45" t="n">
        <v>26000</v>
      </c>
      <c r="O337" s="45" t="n">
        <v>425566.6430682444</v>
      </c>
      <c r="P337" s="45" t="n">
        <v>378707.5</v>
      </c>
      <c r="Q337" s="45" t="n">
        <v>49776.265</v>
      </c>
      <c r="R337" s="45" t="n">
        <v>44295.40046085</v>
      </c>
      <c r="S337" s="45" t="n">
        <v>3137458.107315848</v>
      </c>
      <c r="T337" s="45" t="n">
        <v>2791990.38476335</v>
      </c>
      <c r="U337" s="15" t="n">
        <v>12.3735628</v>
      </c>
      <c r="V337" s="15" t="n">
        <v>28.75743777768998</v>
      </c>
      <c r="W337" s="49" t="n">
        <v>88.989</v>
      </c>
    </row>
    <row r="338">
      <c r="A338" s="44" t="inlineStr">
        <is>
          <t>TL Cinsi Kuponsuz Senetler</t>
        </is>
      </c>
      <c r="B338" s="44" t="n">
        <v>2004</v>
      </c>
      <c r="C338" s="44" t="inlineStr">
        <is>
          <t>TRT250505T19</t>
        </is>
      </c>
      <c r="D338" s="44" t="inlineStr">
        <is>
          <t>nan</t>
        </is>
      </c>
      <c r="E338" s="44" t="inlineStr">
        <is>
          <t>nan</t>
        </is>
      </c>
      <c r="F338" s="44" t="n"/>
      <c r="G338" s="44" t="n"/>
      <c r="H338" s="15" t="n"/>
      <c r="I338" s="45" t="n">
        <v>4223513.49</v>
      </c>
      <c r="J338" s="45" t="n">
        <v>3250981.244</v>
      </c>
      <c r="K338" s="45" t="n">
        <v>2478039.085</v>
      </c>
      <c r="L338" s="45" t="n">
        <v>1910536.2115</v>
      </c>
      <c r="M338" s="45" t="n">
        <v>228277.9283778</v>
      </c>
      <c r="N338" s="45" t="n">
        <v>176000</v>
      </c>
      <c r="O338" s="45" t="n">
        <v>485298.7717091013</v>
      </c>
      <c r="P338" s="45" t="n">
        <v>374160.5</v>
      </c>
      <c r="Q338" s="45" t="n">
        <v>122372.06</v>
      </c>
      <c r="R338" s="45" t="n">
        <v>94347.63453939999</v>
      </c>
      <c r="S338" s="45" t="n">
        <v>3698393.910086901</v>
      </c>
      <c r="T338" s="45" t="n">
        <v>2851417.57809375</v>
      </c>
      <c r="U338" s="15" t="n">
        <v>29.7038533</v>
      </c>
      <c r="V338" s="15" t="n">
        <v>29.70385330000001</v>
      </c>
      <c r="W338" s="49" t="n">
        <v>77.099</v>
      </c>
    </row>
    <row r="339">
      <c r="A339" s="44" t="inlineStr">
        <is>
          <t>TL Cinsi Kuponsuz Senetler</t>
        </is>
      </c>
      <c r="B339" s="44" t="n">
        <v>2004</v>
      </c>
      <c r="C339" s="44" t="inlineStr">
        <is>
          <t>TRB101104T19</t>
        </is>
      </c>
      <c r="D339" s="44" t="inlineStr">
        <is>
          <t>nan</t>
        </is>
      </c>
      <c r="E339" s="44" t="inlineStr">
        <is>
          <t>nan</t>
        </is>
      </c>
      <c r="F339" s="44" t="n"/>
      <c r="G339" s="44" t="n"/>
      <c r="H339" s="15" t="n"/>
      <c r="I339" s="45" t="n">
        <v>2461437.8</v>
      </c>
      <c r="J339" s="45" t="n">
        <v>2221230.923</v>
      </c>
      <c r="K339" s="45" t="n">
        <v>1408290.41</v>
      </c>
      <c r="L339" s="45" t="n">
        <v>1271449.9362</v>
      </c>
      <c r="M339" s="45" t="n">
        <v>150637.4400496217</v>
      </c>
      <c r="N339" s="45" t="n">
        <v>136000</v>
      </c>
      <c r="O339" s="45" t="n">
        <v>375297.0769690861</v>
      </c>
      <c r="P339" s="45" t="n">
        <v>338829.46</v>
      </c>
      <c r="Q339" s="45" t="n">
        <v>32672.395</v>
      </c>
      <c r="R339" s="45" t="n">
        <v>29497.6185</v>
      </c>
      <c r="S339" s="45" t="n">
        <v>2047566.947018708</v>
      </c>
      <c r="T339" s="45" t="n">
        <v>1848607.97223875</v>
      </c>
      <c r="U339" s="15" t="n">
        <v>10.762553</v>
      </c>
      <c r="V339" s="15" t="n">
        <v>27.32943393235565</v>
      </c>
      <c r="W339" s="49" t="n">
        <v>90.283</v>
      </c>
    </row>
    <row r="340">
      <c r="A340" s="44" t="inlineStr">
        <is>
          <t>TL Cinsi Kuponsuz Senetler</t>
        </is>
      </c>
      <c r="B340" s="44" t="n">
        <v>2004</v>
      </c>
      <c r="C340" s="44" t="inlineStr">
        <is>
          <t>TRT250505T19</t>
        </is>
      </c>
      <c r="D340" s="44" t="inlineStr">
        <is>
          <t>nan</t>
        </is>
      </c>
      <c r="E340" s="44" t="inlineStr">
        <is>
          <t>nan</t>
        </is>
      </c>
      <c r="F340" s="44" t="n"/>
      <c r="G340" s="44" t="n"/>
      <c r="H340" s="15" t="n"/>
      <c r="I340" s="45" t="n">
        <v>4298070.52</v>
      </c>
      <c r="J340" s="45" t="n">
        <v>3383528.4997</v>
      </c>
      <c r="K340" s="45" t="n">
        <v>1759103.035</v>
      </c>
      <c r="L340" s="45" t="n">
        <v>1386842.4918</v>
      </c>
      <c r="M340" s="45" t="n">
        <v>162764.1492681194</v>
      </c>
      <c r="N340" s="45" t="n">
        <v>128320</v>
      </c>
      <c r="O340" s="45" t="n">
        <v>450322.8392399604</v>
      </c>
      <c r="P340" s="45" t="n">
        <v>355025.52</v>
      </c>
      <c r="Q340" s="45" t="n">
        <v>85716.75</v>
      </c>
      <c r="R340" s="45" t="n">
        <v>67577.3716</v>
      </c>
      <c r="S340" s="45" t="n">
        <v>2457906.77350808</v>
      </c>
      <c r="T340" s="45" t="n">
        <v>1937765.3834</v>
      </c>
      <c r="U340" s="15" t="n">
        <v>26.8423087</v>
      </c>
      <c r="V340" s="15" t="n">
        <v>28.05445841211878</v>
      </c>
      <c r="W340" s="49" t="n">
        <v>78.83799999999999</v>
      </c>
    </row>
    <row r="341">
      <c r="A341" s="44" t="inlineStr">
        <is>
          <t>TL Cinsi Kuponsuz Senetler</t>
        </is>
      </c>
      <c r="B341" s="44" t="n">
        <v>2004</v>
      </c>
      <c r="C341" s="44" t="inlineStr">
        <is>
          <t>TRB150904T18</t>
        </is>
      </c>
      <c r="D341" s="44" t="inlineStr">
        <is>
          <t>nan</t>
        </is>
      </c>
      <c r="E341" s="44" t="inlineStr">
        <is>
          <t>nan</t>
        </is>
      </c>
      <c r="F341" s="44" t="n"/>
      <c r="G341" s="44" t="n"/>
      <c r="H341" s="15" t="n"/>
      <c r="I341" s="45" t="n">
        <v>1499537.935</v>
      </c>
      <c r="J341" s="45" t="n">
        <v>1416947.187</v>
      </c>
      <c r="K341" s="45" t="n">
        <v>964204.91</v>
      </c>
      <c r="L341" s="45" t="n">
        <v>912000.0021</v>
      </c>
      <c r="M341" s="45" t="n">
        <v>0</v>
      </c>
      <c r="N341" s="45" t="n">
        <v>0</v>
      </c>
      <c r="O341" s="45" t="n">
        <v>0</v>
      </c>
      <c r="P341" s="45" t="n">
        <v>0</v>
      </c>
      <c r="Q341" s="45" t="n">
        <v>0</v>
      </c>
      <c r="R341" s="45" t="n">
        <v>0</v>
      </c>
      <c r="S341" s="45" t="n">
        <v>964204.91</v>
      </c>
      <c r="T341" s="45" t="n">
        <v>912000.0021</v>
      </c>
      <c r="U341" s="15" t="n">
        <v>5.7242223</v>
      </c>
      <c r="V341" s="15" t="n">
        <v>24.93899171227081</v>
      </c>
      <c r="W341" s="49" t="n">
        <v>94.586</v>
      </c>
    </row>
    <row r="342">
      <c r="A342" s="44" t="inlineStr">
        <is>
          <t>TL Cinsi Kuponsuz Senetler</t>
        </is>
      </c>
      <c r="B342" s="44" t="n">
        <v>2004</v>
      </c>
      <c r="C342" s="44" t="inlineStr">
        <is>
          <t>TRT060705T10</t>
        </is>
      </c>
      <c r="D342" s="44" t="inlineStr">
        <is>
          <t>nan</t>
        </is>
      </c>
      <c r="E342" s="44" t="inlineStr">
        <is>
          <t>nan</t>
        </is>
      </c>
      <c r="F342" s="44" t="n"/>
      <c r="G342" s="44" t="n"/>
      <c r="H342" s="15" t="n"/>
      <c r="I342" s="45" t="n">
        <v>1554322.15</v>
      </c>
      <c r="J342" s="45" t="n">
        <v>1179600.742</v>
      </c>
      <c r="K342" s="45" t="n">
        <v>676856.915</v>
      </c>
      <c r="L342" s="45" t="n">
        <v>515014.4307</v>
      </c>
      <c r="M342" s="45" t="n">
        <v>76226.52420192143</v>
      </c>
      <c r="N342" s="45" t="n">
        <v>58000</v>
      </c>
      <c r="O342" s="45" t="n">
        <v>189160.0799944802</v>
      </c>
      <c r="P342" s="45" t="n">
        <v>143930.013267</v>
      </c>
      <c r="Q342" s="45" t="n">
        <v>27985.65</v>
      </c>
      <c r="R342" s="45" t="n">
        <v>21294.0015</v>
      </c>
      <c r="S342" s="45" t="n">
        <v>1044081.259196402</v>
      </c>
      <c r="T342" s="45" t="n">
        <v>794431.7622271</v>
      </c>
      <c r="U342" s="15" t="n">
        <v>31.4248446</v>
      </c>
      <c r="V342" s="15" t="n">
        <v>29.48043670712199</v>
      </c>
      <c r="W342" s="49" t="n">
        <v>76.089</v>
      </c>
    </row>
    <row r="343">
      <c r="A343" s="44" t="inlineStr">
        <is>
          <t>TL Cinsi Kuponsuz Senetler</t>
        </is>
      </c>
      <c r="B343" s="44" t="n">
        <v>2004</v>
      </c>
      <c r="C343" s="44" t="inlineStr">
        <is>
          <t>TRB090205T12</t>
        </is>
      </c>
      <c r="D343" s="44" t="inlineStr">
        <is>
          <t>nan</t>
        </is>
      </c>
      <c r="E343" s="44" t="inlineStr">
        <is>
          <t>nan</t>
        </is>
      </c>
      <c r="F343" s="44" t="n"/>
      <c r="G343" s="44" t="n"/>
      <c r="H343" s="15" t="n"/>
      <c r="I343" s="45" t="n">
        <v>2432080.71</v>
      </c>
      <c r="J343" s="45" t="n">
        <v>2111915.1554</v>
      </c>
      <c r="K343" s="45" t="n">
        <v>1755330.245</v>
      </c>
      <c r="L343" s="45" t="n">
        <v>1524921.555</v>
      </c>
      <c r="M343" s="45" t="n">
        <v>360867.4632225982</v>
      </c>
      <c r="N343" s="45" t="n">
        <v>313500</v>
      </c>
      <c r="O343" s="45" t="n">
        <v>694244.0430968988</v>
      </c>
      <c r="P343" s="45" t="n">
        <v>603117.5699999999</v>
      </c>
      <c r="Q343" s="45" t="n">
        <v>0</v>
      </c>
      <c r="R343" s="45" t="n">
        <v>0</v>
      </c>
      <c r="S343" s="45" t="n">
        <v>2916778.401319497</v>
      </c>
      <c r="T343" s="45" t="n">
        <v>2533918.026321</v>
      </c>
      <c r="U343" s="15" t="n">
        <v>15.1095438</v>
      </c>
      <c r="V343" s="15" t="n">
        <v>26.62204763691298</v>
      </c>
      <c r="W343" s="49" t="n">
        <v>86.874</v>
      </c>
    </row>
    <row r="344">
      <c r="A344" s="44" t="inlineStr">
        <is>
          <t>TL Cinsi Kuponsuz Senetler</t>
        </is>
      </c>
      <c r="B344" s="44" t="n">
        <v>2004</v>
      </c>
      <c r="C344" s="44" t="inlineStr">
        <is>
          <t>TRT071205T12</t>
        </is>
      </c>
      <c r="D344" s="44" t="inlineStr">
        <is>
          <t>nan</t>
        </is>
      </c>
      <c r="E344" s="44" t="inlineStr">
        <is>
          <t>nan</t>
        </is>
      </c>
      <c r="F344" s="44" t="n"/>
      <c r="G344" s="44" t="n"/>
      <c r="H344" s="15" t="n"/>
      <c r="I344" s="45" t="n">
        <v>5532513.785</v>
      </c>
      <c r="J344" s="45" t="n">
        <v>3971258.2819</v>
      </c>
      <c r="K344" s="45" t="n">
        <v>2838665.18</v>
      </c>
      <c r="L344" s="45" t="n">
        <v>2041853.4015</v>
      </c>
      <c r="M344" s="45" t="n">
        <v>355901.5709717781</v>
      </c>
      <c r="N344" s="45" t="n">
        <v>256000</v>
      </c>
      <c r="O344" s="45" t="n">
        <v>683635.4789378563</v>
      </c>
      <c r="P344" s="45" t="n">
        <v>491739</v>
      </c>
      <c r="Q344" s="45" t="n">
        <v>136755.345</v>
      </c>
      <c r="R344" s="45" t="n">
        <v>98368.1198</v>
      </c>
      <c r="S344" s="45" t="n">
        <v>4210155.534909635</v>
      </c>
      <c r="T344" s="45" t="n">
        <v>3028366.413928</v>
      </c>
      <c r="U344" s="15" t="n">
        <v>39.0239465</v>
      </c>
      <c r="V344" s="15" t="n">
        <v>26.0519178090022</v>
      </c>
      <c r="W344" s="49" t="n">
        <v>71.93000000000001</v>
      </c>
    </row>
    <row r="345">
      <c r="A345" s="44" t="inlineStr">
        <is>
          <t>TL Cinsi Kuponsuz Senetler</t>
        </is>
      </c>
      <c r="B345" s="44" t="n">
        <v>2004</v>
      </c>
      <c r="C345" s="44" t="inlineStr">
        <is>
          <t>TRB201004T18</t>
        </is>
      </c>
      <c r="D345" s="44" t="inlineStr">
        <is>
          <t>nan</t>
        </is>
      </c>
      <c r="E345" s="44" t="inlineStr">
        <is>
          <t>nan</t>
        </is>
      </c>
      <c r="F345" s="44" t="n"/>
      <c r="G345" s="44" t="n"/>
      <c r="H345" s="15" t="n"/>
      <c r="I345" s="45" t="n">
        <v>3688407.72</v>
      </c>
      <c r="J345" s="45" t="n">
        <v>3485328.726</v>
      </c>
      <c r="K345" s="45" t="n">
        <v>2083483.745</v>
      </c>
      <c r="L345" s="45" t="n">
        <v>1970000.03551</v>
      </c>
      <c r="M345" s="45" t="n">
        <v>0</v>
      </c>
      <c r="N345" s="45" t="n">
        <v>0</v>
      </c>
      <c r="O345" s="45" t="n">
        <v>0</v>
      </c>
      <c r="P345" s="45" t="n">
        <v>0</v>
      </c>
      <c r="Q345" s="45" t="n">
        <v>0</v>
      </c>
      <c r="R345" s="45" t="n">
        <v>0</v>
      </c>
      <c r="S345" s="45" t="n">
        <v>2083483.745</v>
      </c>
      <c r="T345" s="45" t="n">
        <v>1970000.03551</v>
      </c>
      <c r="U345" s="15" t="n">
        <v>5.7605943</v>
      </c>
      <c r="V345" s="15" t="n">
        <v>25.11101006263217</v>
      </c>
      <c r="W345" s="49" t="n">
        <v>94.553</v>
      </c>
    </row>
    <row r="346">
      <c r="A346" s="44" t="inlineStr">
        <is>
          <t>TL Cinsi Kuponsuz Senetler</t>
        </is>
      </c>
      <c r="B346" s="44" t="n">
        <v>2004</v>
      </c>
      <c r="C346" s="44" t="inlineStr">
        <is>
          <t>TRT060705T10</t>
        </is>
      </c>
      <c r="D346" s="44" t="inlineStr">
        <is>
          <t>nan</t>
        </is>
      </c>
      <c r="E346" s="44" t="inlineStr">
        <is>
          <t>nan</t>
        </is>
      </c>
      <c r="F346" s="44" t="n"/>
      <c r="G346" s="44" t="n"/>
      <c r="H346" s="15" t="n"/>
      <c r="I346" s="45" t="n">
        <v>2257762.125</v>
      </c>
      <c r="J346" s="45" t="n">
        <v>1783942.9547</v>
      </c>
      <c r="K346" s="45" t="n">
        <v>1391090.615</v>
      </c>
      <c r="L346" s="45" t="n">
        <v>1099977.8512</v>
      </c>
      <c r="M346" s="45" t="n">
        <v>215623.537743604</v>
      </c>
      <c r="N346" s="45" t="n">
        <v>170500</v>
      </c>
      <c r="O346" s="45" t="n">
        <v>522346.4393661553</v>
      </c>
      <c r="P346" s="45" t="n">
        <v>413035</v>
      </c>
      <c r="Q346" s="45" t="n">
        <v>56627.32</v>
      </c>
      <c r="R346" s="45" t="n">
        <v>44776.92105</v>
      </c>
      <c r="S346" s="45" t="n">
        <v>2294312.277109759</v>
      </c>
      <c r="T346" s="45" t="n">
        <v>1814182.31638645</v>
      </c>
      <c r="U346" s="15" t="n">
        <v>26.4653296</v>
      </c>
      <c r="V346" s="15" t="n">
        <v>27.65867705074822</v>
      </c>
      <c r="W346" s="49" t="n">
        <v>79.07299999999999</v>
      </c>
    </row>
    <row r="347">
      <c r="A347" s="44" t="inlineStr">
        <is>
          <t>TL Cinsi Kuponsuz Senetler</t>
        </is>
      </c>
      <c r="B347" s="44" t="n">
        <v>2004</v>
      </c>
      <c r="C347" s="44" t="inlineStr">
        <is>
          <t>TRB101104T27</t>
        </is>
      </c>
      <c r="D347" s="44" t="inlineStr">
        <is>
          <t>nan</t>
        </is>
      </c>
      <c r="E347" s="44" t="inlineStr">
        <is>
          <t>nan</t>
        </is>
      </c>
      <c r="F347" s="44" t="n"/>
      <c r="G347" s="44" t="n"/>
      <c r="H347" s="15" t="n"/>
      <c r="I347" s="45" t="n">
        <v>5332228.695</v>
      </c>
      <c r="J347" s="45" t="n">
        <v>5045053.63291</v>
      </c>
      <c r="K347" s="45" t="n">
        <v>2724360.995</v>
      </c>
      <c r="L347" s="45" t="n">
        <v>2579000.00578</v>
      </c>
      <c r="M347" s="45" t="n">
        <v>0</v>
      </c>
      <c r="N347" s="45" t="n">
        <v>0</v>
      </c>
      <c r="O347" s="45" t="n">
        <v>0</v>
      </c>
      <c r="P347" s="45" t="n">
        <v>0</v>
      </c>
      <c r="Q347" s="45" t="n">
        <v>0</v>
      </c>
      <c r="R347" s="45" t="n">
        <v>0</v>
      </c>
      <c r="S347" s="45" t="n">
        <v>2724360.995</v>
      </c>
      <c r="T347" s="45" t="n">
        <v>2579000.00578</v>
      </c>
      <c r="U347" s="15" t="n">
        <v>5.6363315</v>
      </c>
      <c r="V347" s="15" t="n">
        <v>24.52405170372951</v>
      </c>
      <c r="W347" s="49" t="n">
        <v>94.664</v>
      </c>
    </row>
    <row r="348">
      <c r="A348" s="44" t="inlineStr">
        <is>
          <t>TL Cinsi Kuponsuz Senetler</t>
        </is>
      </c>
      <c r="B348" s="44" t="n">
        <v>2004</v>
      </c>
      <c r="C348" s="44" t="inlineStr">
        <is>
          <t>TRT060705T10</t>
        </is>
      </c>
      <c r="D348" s="44" t="inlineStr">
        <is>
          <t>nan</t>
        </is>
      </c>
      <c r="E348" s="44" t="inlineStr">
        <is>
          <t>nan</t>
        </is>
      </c>
      <c r="F348" s="44" t="n"/>
      <c r="G348" s="44" t="n"/>
      <c r="H348" s="15" t="n"/>
      <c r="I348" s="45" t="n">
        <v>2501797.64</v>
      </c>
      <c r="J348" s="45" t="n">
        <v>2024555.2856</v>
      </c>
      <c r="K348" s="45" t="n">
        <v>765691.51</v>
      </c>
      <c r="L348" s="45" t="n">
        <v>620307.9052</v>
      </c>
      <c r="M348" s="45" t="n">
        <v>917136.7558293113</v>
      </c>
      <c r="N348" s="45" t="n">
        <v>743000</v>
      </c>
      <c r="O348" s="45" t="n">
        <v>365396.9116067791</v>
      </c>
      <c r="P348" s="45" t="n">
        <v>296019</v>
      </c>
      <c r="Q348" s="45" t="n">
        <v>27856.49</v>
      </c>
      <c r="R348" s="45" t="n">
        <v>22567.37845</v>
      </c>
      <c r="S348" s="45" t="n">
        <v>2149782.982436091</v>
      </c>
      <c r="T348" s="45" t="n">
        <v>1741601.92997095</v>
      </c>
      <c r="U348" s="15" t="n">
        <v>23.437329</v>
      </c>
      <c r="V348" s="15" t="n">
        <v>26.23357109606523</v>
      </c>
      <c r="W348" s="49" t="n">
        <v>81.01300000000001</v>
      </c>
    </row>
    <row r="349">
      <c r="A349" s="44" t="inlineStr">
        <is>
          <t>TL Cinsi Kuponsuz Senetler</t>
        </is>
      </c>
      <c r="B349" s="44" t="n">
        <v>2004</v>
      </c>
      <c r="C349" s="44" t="inlineStr">
        <is>
          <t>TRT220206T14</t>
        </is>
      </c>
      <c r="D349" s="44" t="inlineStr">
        <is>
          <t>nan</t>
        </is>
      </c>
      <c r="E349" s="44" t="inlineStr">
        <is>
          <t>nan</t>
        </is>
      </c>
      <c r="F349" s="44" t="n"/>
      <c r="G349" s="44" t="n"/>
      <c r="H349" s="15" t="n"/>
      <c r="I349" s="45" t="n">
        <v>4700926.245</v>
      </c>
      <c r="J349" s="45" t="n">
        <v>3325153.1523</v>
      </c>
      <c r="K349" s="45" t="n">
        <v>1301810.285</v>
      </c>
      <c r="L349" s="45" t="n">
        <v>922865.5035</v>
      </c>
      <c r="M349" s="45" t="n">
        <v>1551590.380139643</v>
      </c>
      <c r="N349" s="45" t="n">
        <v>1100000</v>
      </c>
      <c r="O349" s="45" t="n">
        <v>750632.6257140842</v>
      </c>
      <c r="P349" s="45" t="n">
        <v>532161</v>
      </c>
      <c r="Q349" s="45" t="n">
        <v>63882.265</v>
      </c>
      <c r="R349" s="45" t="n">
        <v>45289.332</v>
      </c>
      <c r="S349" s="45" t="n">
        <v>3798963.810853727</v>
      </c>
      <c r="T349" s="45" t="n">
        <v>2693222.49588225</v>
      </c>
      <c r="U349" s="15" t="n">
        <v>41.0538004</v>
      </c>
      <c r="V349" s="15" t="n">
        <v>25.05472763481744</v>
      </c>
      <c r="W349" s="49" t="n">
        <v>70.895</v>
      </c>
    </row>
    <row r="350">
      <c r="A350" s="44" t="inlineStr">
        <is>
          <t>TL Cinsi Kuponsuz Senetler</t>
        </is>
      </c>
      <c r="B350" s="44" t="n">
        <v>2004</v>
      </c>
      <c r="C350" s="44" t="inlineStr">
        <is>
          <t>TRB230205T14</t>
        </is>
      </c>
      <c r="D350" s="44" t="inlineStr">
        <is>
          <t>nan</t>
        </is>
      </c>
      <c r="E350" s="44" t="inlineStr">
        <is>
          <t>nan</t>
        </is>
      </c>
      <c r="F350" s="44" t="n"/>
      <c r="G350" s="44" t="n"/>
      <c r="H350" s="15" t="n"/>
      <c r="I350" s="45" t="n">
        <v>2648956.465</v>
      </c>
      <c r="J350" s="45" t="n">
        <v>2364512.9292</v>
      </c>
      <c r="K350" s="45" t="n">
        <v>1728008.95</v>
      </c>
      <c r="L350" s="45" t="n">
        <v>1543572.5025</v>
      </c>
      <c r="M350" s="45" t="n">
        <v>615715.293248402</v>
      </c>
      <c r="N350" s="45" t="n">
        <v>550000</v>
      </c>
      <c r="O350" s="45" t="n">
        <v>1615648.873241013</v>
      </c>
      <c r="P350" s="45" t="n">
        <v>1443210.669</v>
      </c>
      <c r="Q350" s="45" t="n">
        <v>0</v>
      </c>
      <c r="R350" s="45" t="n">
        <v>0</v>
      </c>
      <c r="S350" s="45" t="n">
        <v>4246629.681489415</v>
      </c>
      <c r="T350" s="45" t="n">
        <v>3793380.84331755</v>
      </c>
      <c r="U350" s="15" t="n">
        <v>11.9486741</v>
      </c>
      <c r="V350" s="15" t="n">
        <v>24.28161119218102</v>
      </c>
      <c r="W350" s="49" t="n">
        <v>89.327</v>
      </c>
    </row>
    <row r="351">
      <c r="A351" s="44" t="inlineStr">
        <is>
          <t>TL Cinsi Kuponsuz Senetler</t>
        </is>
      </c>
      <c r="B351" s="44" t="n">
        <v>2004</v>
      </c>
      <c r="C351" s="44" t="inlineStr">
        <is>
          <t>TRT220206T14</t>
        </is>
      </c>
      <c r="D351" s="44" t="inlineStr">
        <is>
          <t>nan</t>
        </is>
      </c>
      <c r="E351" s="44" t="inlineStr">
        <is>
          <t>nan</t>
        </is>
      </c>
      <c r="F351" s="44" t="n"/>
      <c r="G351" s="44" t="n"/>
      <c r="H351" s="15" t="n"/>
      <c r="I351" s="45" t="n">
        <v>4303173.555</v>
      </c>
      <c r="J351" s="45" t="n">
        <v>3066524.6195</v>
      </c>
      <c r="K351" s="45" t="n">
        <v>2185396.36</v>
      </c>
      <c r="L351" s="45" t="n">
        <v>1559268.8134</v>
      </c>
      <c r="M351" s="45" t="n">
        <v>761047.8072572846</v>
      </c>
      <c r="N351" s="45" t="n">
        <v>543000</v>
      </c>
      <c r="O351" s="45" t="n">
        <v>694780.0235462305</v>
      </c>
      <c r="P351" s="45" t="n">
        <v>495718.599</v>
      </c>
      <c r="Q351" s="45" t="n">
        <v>106587.67</v>
      </c>
      <c r="R351" s="45" t="n">
        <v>76049.23695000001</v>
      </c>
      <c r="S351" s="45" t="n">
        <v>4000204.430803515</v>
      </c>
      <c r="T351" s="45" t="n">
        <v>2854116.2241193</v>
      </c>
      <c r="U351" s="15" t="n">
        <v>40.1552023</v>
      </c>
      <c r="V351" s="15" t="n">
        <v>24.88269809477308</v>
      </c>
      <c r="W351" s="49" t="n">
        <v>71.349</v>
      </c>
    </row>
    <row r="352">
      <c r="A352" s="44" t="inlineStr">
        <is>
          <t>TL Cinsi Kuponsuz Senetler</t>
        </is>
      </c>
      <c r="B352" s="44" t="n">
        <v>2004</v>
      </c>
      <c r="C352" s="44" t="inlineStr">
        <is>
          <t>TRT071205T12</t>
        </is>
      </c>
      <c r="D352" s="44" t="inlineStr">
        <is>
          <t>nan</t>
        </is>
      </c>
      <c r="E352" s="44" t="inlineStr">
        <is>
          <t>nan</t>
        </is>
      </c>
      <c r="F352" s="44" t="n"/>
      <c r="G352" s="44" t="n"/>
      <c r="H352" s="15" t="n"/>
      <c r="I352" s="45" t="n">
        <v>3709125.16</v>
      </c>
      <c r="J352" s="45" t="n">
        <v>2769858.8424</v>
      </c>
      <c r="K352" s="45" t="n">
        <v>1454758.03</v>
      </c>
      <c r="L352" s="45" t="n">
        <v>1087538.148</v>
      </c>
      <c r="M352" s="45" t="n">
        <v>87617.21310378962</v>
      </c>
      <c r="N352" s="45" t="n">
        <v>65500</v>
      </c>
      <c r="O352" s="45" t="n">
        <v>747321.3210803001</v>
      </c>
      <c r="P352" s="45" t="n">
        <v>558675</v>
      </c>
      <c r="Q352" s="45" t="n">
        <v>108378.475</v>
      </c>
      <c r="R352" s="45" t="n">
        <v>81020.49679999999</v>
      </c>
      <c r="S352" s="45" t="n">
        <v>2640015.04918409</v>
      </c>
      <c r="T352" s="45" t="n">
        <v>1973600.7380757</v>
      </c>
      <c r="U352" s="15" t="n">
        <v>33.766161</v>
      </c>
      <c r="V352" s="15" t="n">
        <v>26.20513061348981</v>
      </c>
      <c r="W352" s="49" t="n">
        <v>74.75700000000001</v>
      </c>
    </row>
    <row r="353">
      <c r="A353" s="44" t="inlineStr">
        <is>
          <t>TL Cinsi Kuponsuz Senetler</t>
        </is>
      </c>
      <c r="B353" s="44" t="n">
        <v>2004</v>
      </c>
      <c r="C353" s="44" t="inlineStr">
        <is>
          <t>TRB151204T13</t>
        </is>
      </c>
      <c r="D353" s="44" t="inlineStr">
        <is>
          <t>nan</t>
        </is>
      </c>
      <c r="E353" s="44" t="inlineStr">
        <is>
          <t>nan</t>
        </is>
      </c>
      <c r="F353" s="44" t="n"/>
      <c r="G353" s="44" t="n"/>
      <c r="H353" s="15" t="n"/>
      <c r="I353" s="45" t="n">
        <v>2675757.725</v>
      </c>
      <c r="J353" s="45" t="n">
        <v>2551253.3046</v>
      </c>
      <c r="K353" s="45" t="n">
        <v>1494388.54</v>
      </c>
      <c r="L353" s="45" t="n">
        <v>1426000.0063</v>
      </c>
      <c r="M353" s="45" t="n">
        <v>0</v>
      </c>
      <c r="N353" s="45" t="n">
        <v>0</v>
      </c>
      <c r="O353" s="45" t="n">
        <v>0</v>
      </c>
      <c r="P353" s="45" t="n">
        <v>0</v>
      </c>
      <c r="Q353" s="45" t="n">
        <v>0</v>
      </c>
      <c r="R353" s="45" t="n">
        <v>0</v>
      </c>
      <c r="S353" s="45" t="n">
        <v>1494388.54</v>
      </c>
      <c r="T353" s="45" t="n">
        <v>1426000.0063</v>
      </c>
      <c r="U353" s="15" t="n">
        <v>4.7958298</v>
      </c>
      <c r="V353" s="15" t="n">
        <v>20.60796880992479</v>
      </c>
      <c r="W353" s="49" t="n">
        <v>95.42400000000001</v>
      </c>
    </row>
    <row r="354">
      <c r="A354" s="44" t="inlineStr">
        <is>
          <t>TL Cinsi Kuponsuz Senetler</t>
        </is>
      </c>
      <c r="B354" s="44" t="n">
        <v>2004</v>
      </c>
      <c r="C354" s="44" t="inlineStr">
        <is>
          <t>TRB060405T13</t>
        </is>
      </c>
      <c r="D354" s="44" t="inlineStr">
        <is>
          <t>nan</t>
        </is>
      </c>
      <c r="E354" s="44" t="inlineStr">
        <is>
          <t>nan</t>
        </is>
      </c>
      <c r="F354" s="44" t="n"/>
      <c r="G354" s="44" t="n"/>
      <c r="H354" s="15" t="n"/>
      <c r="I354" s="45" t="n">
        <v>1452479.9</v>
      </c>
      <c r="J354" s="45" t="n">
        <v>1277137.7655</v>
      </c>
      <c r="K354" s="45" t="n">
        <v>1295041.18</v>
      </c>
      <c r="L354" s="45" t="n">
        <v>1139126.8058</v>
      </c>
      <c r="M354" s="45" t="n">
        <v>17050</v>
      </c>
      <c r="N354" s="45" t="n">
        <v>14997.3505</v>
      </c>
      <c r="O354" s="45" t="n">
        <v>284280.5449949409</v>
      </c>
      <c r="P354" s="45" t="n">
        <v>250056.010183</v>
      </c>
      <c r="Q354" s="45" t="n">
        <v>25876.91</v>
      </c>
      <c r="R354" s="45" t="n">
        <v>22761.58895</v>
      </c>
      <c r="S354" s="45" t="n">
        <v>1827086.409994941</v>
      </c>
      <c r="T354" s="45" t="n">
        <v>1607119.11070075</v>
      </c>
      <c r="U354" s="15" t="n">
        <v>13.6871833</v>
      </c>
      <c r="V354" s="15" t="n">
        <v>26.90076101094825</v>
      </c>
      <c r="W354" s="49" t="n">
        <v>87.961</v>
      </c>
    </row>
    <row r="355">
      <c r="A355" s="44" t="inlineStr">
        <is>
          <t>TL Cinsi Kuponsuz Senetler</t>
        </is>
      </c>
      <c r="B355" s="44" t="n">
        <v>2004</v>
      </c>
      <c r="C355" s="44" t="inlineStr">
        <is>
          <t>TRT120406T14</t>
        </is>
      </c>
      <c r="D355" s="44" t="inlineStr">
        <is>
          <t>nan</t>
        </is>
      </c>
      <c r="E355" s="44" t="inlineStr">
        <is>
          <t>nan</t>
        </is>
      </c>
      <c r="F355" s="44" t="n"/>
      <c r="G355" s="44" t="n"/>
      <c r="H355" s="15" t="n"/>
      <c r="I355" s="45" t="n">
        <v>4399988.29</v>
      </c>
      <c r="J355" s="45" t="n">
        <v>3036276.6589</v>
      </c>
      <c r="K355" s="45" t="n">
        <v>1396275.94</v>
      </c>
      <c r="L355" s="45" t="n">
        <v>966561.3074</v>
      </c>
      <c r="M355" s="45" t="n">
        <v>400150.2369120536</v>
      </c>
      <c r="N355" s="45" t="n">
        <v>277000</v>
      </c>
      <c r="O355" s="45" t="n">
        <v>1337044.2599922</v>
      </c>
      <c r="P355" s="45" t="n">
        <v>925555.5185370001</v>
      </c>
      <c r="Q355" s="45" t="n">
        <v>131912.225</v>
      </c>
      <c r="R355" s="45" t="n">
        <v>91314.9189</v>
      </c>
      <c r="S355" s="45" t="n">
        <v>3480373.166904253</v>
      </c>
      <c r="T355" s="45" t="n">
        <v>2409256.7720182</v>
      </c>
      <c r="U355" s="15" t="n">
        <v>44.4580834</v>
      </c>
      <c r="V355" s="15" t="n">
        <v>26.63399922347967</v>
      </c>
      <c r="W355" s="49" t="n">
        <v>69.224</v>
      </c>
    </row>
    <row r="356">
      <c r="A356" s="44" t="inlineStr">
        <is>
          <t>TL Cinsi Kuponsuz Senetler</t>
        </is>
      </c>
      <c r="B356" s="44" t="n">
        <v>2004</v>
      </c>
      <c r="C356" s="44" t="inlineStr">
        <is>
          <t>TRB270705T15</t>
        </is>
      </c>
      <c r="D356" s="44" t="inlineStr">
        <is>
          <t>nan</t>
        </is>
      </c>
      <c r="E356" s="44" t="inlineStr">
        <is>
          <t>nan</t>
        </is>
      </c>
      <c r="F356" s="44" t="n"/>
      <c r="G356" s="44" t="n"/>
      <c r="H356" s="15" t="n"/>
      <c r="I356" s="45" t="n">
        <v>3451864.97</v>
      </c>
      <c r="J356" s="45" t="n">
        <v>2911458.4675</v>
      </c>
      <c r="K356" s="45" t="n">
        <v>1121467.723</v>
      </c>
      <c r="L356" s="45" t="n">
        <v>946986.1395</v>
      </c>
      <c r="M356" s="45" t="n">
        <v>246441.3400914237</v>
      </c>
      <c r="N356" s="45" t="n">
        <v>208099.9964</v>
      </c>
      <c r="O356" s="45" t="n">
        <v>979551.4299957367</v>
      </c>
      <c r="P356" s="45" t="n">
        <v>827152.8185169999</v>
      </c>
      <c r="Q356" s="45" t="n">
        <v>0</v>
      </c>
      <c r="R356" s="45" t="n">
        <v>0</v>
      </c>
      <c r="S356" s="45" t="n">
        <v>2513380.423087161</v>
      </c>
      <c r="T356" s="45" t="n">
        <v>2122345.0617076</v>
      </c>
      <c r="U356" s="15" t="n">
        <v>18.4249353</v>
      </c>
      <c r="V356" s="15" t="n">
        <v>23.92171567593051</v>
      </c>
      <c r="W356" s="49" t="n">
        <v>84.44199999999999</v>
      </c>
    </row>
    <row r="357">
      <c r="A357" s="44" t="inlineStr">
        <is>
          <t>TL Cinsi Kuponsuz Senetler</t>
        </is>
      </c>
      <c r="B357" s="44" t="n">
        <v>2004</v>
      </c>
      <c r="C357" s="44" t="inlineStr">
        <is>
          <t>TRB190105T11</t>
        </is>
      </c>
      <c r="D357" s="44" t="inlineStr">
        <is>
          <t>nan</t>
        </is>
      </c>
      <c r="E357" s="44" t="inlineStr">
        <is>
          <t>nan</t>
        </is>
      </c>
      <c r="F357" s="44" t="n"/>
      <c r="G357" s="44" t="n"/>
      <c r="H357" s="15" t="n"/>
      <c r="I357" s="45" t="n">
        <v>2866738.18</v>
      </c>
      <c r="J357" s="45" t="n">
        <v>2731992.8</v>
      </c>
      <c r="K357" s="45" t="n">
        <v>2072761.61</v>
      </c>
      <c r="L357" s="45" t="n">
        <v>1976000.02995</v>
      </c>
      <c r="M357" s="45" t="n">
        <v>0</v>
      </c>
      <c r="N357" s="45" t="n">
        <v>0</v>
      </c>
      <c r="O357" s="45" t="n">
        <v>0</v>
      </c>
      <c r="P357" s="45" t="n">
        <v>0</v>
      </c>
      <c r="Q357" s="45" t="n">
        <v>0</v>
      </c>
      <c r="R357" s="45" t="n">
        <v>0</v>
      </c>
      <c r="S357" s="45" t="n">
        <v>2072761.61</v>
      </c>
      <c r="T357" s="45" t="n">
        <v>1976000.02995</v>
      </c>
      <c r="U357" s="15" t="n">
        <v>4.896841</v>
      </c>
      <c r="V357" s="15" t="n">
        <v>21.0736507432387</v>
      </c>
      <c r="W357" s="49" t="n">
        <v>95.33199999999999</v>
      </c>
    </row>
    <row r="358">
      <c r="A358" s="44" t="inlineStr">
        <is>
          <t>TL Cinsi Kuponsuz Senetler</t>
        </is>
      </c>
      <c r="B358" s="44" t="n">
        <v>2004</v>
      </c>
      <c r="C358" s="44" t="inlineStr">
        <is>
          <t>TRB100805T13</t>
        </is>
      </c>
      <c r="D358" s="44" t="inlineStr">
        <is>
          <t>nan</t>
        </is>
      </c>
      <c r="E358" s="44" t="inlineStr">
        <is>
          <t>nan</t>
        </is>
      </c>
      <c r="F358" s="44" t="n"/>
      <c r="G358" s="44" t="n"/>
      <c r="H358" s="15" t="n"/>
      <c r="I358" s="45" t="n">
        <v>2270808.65</v>
      </c>
      <c r="J358" s="45" t="n">
        <v>1922805.5314</v>
      </c>
      <c r="K358" s="45" t="n">
        <v>1385390.483</v>
      </c>
      <c r="L358" s="45" t="n">
        <v>1173769.9003</v>
      </c>
      <c r="M358" s="45" t="n">
        <v>47211.5668338743</v>
      </c>
      <c r="N358" s="45" t="n">
        <v>40000</v>
      </c>
      <c r="O358" s="45" t="n">
        <v>1483973.43759221</v>
      </c>
      <c r="P358" s="45" t="n">
        <v>1257296.495</v>
      </c>
      <c r="Q358" s="45" t="n">
        <v>0</v>
      </c>
      <c r="R358" s="45" t="n">
        <v>0</v>
      </c>
      <c r="S358" s="45" t="n">
        <v>3089115.217426084</v>
      </c>
      <c r="T358" s="45" t="n">
        <v>2617250.6815425</v>
      </c>
      <c r="U358" s="15" t="n">
        <v>18.0291369</v>
      </c>
      <c r="V358" s="15" t="n">
        <v>23.39666301076488</v>
      </c>
      <c r="W358" s="49" t="n">
        <v>84.72499999999999</v>
      </c>
    </row>
    <row r="359">
      <c r="A359" s="44" t="inlineStr">
        <is>
          <t>TL Cinsi Kuponsuz Senetler</t>
        </is>
      </c>
      <c r="B359" s="44" t="n">
        <v>2004</v>
      </c>
      <c r="C359" s="44" t="inlineStr">
        <is>
          <t>TRT120406T14</t>
        </is>
      </c>
      <c r="D359" s="44" t="inlineStr">
        <is>
          <t>nan</t>
        </is>
      </c>
      <c r="E359" s="44" t="inlineStr">
        <is>
          <t>nan</t>
        </is>
      </c>
      <c r="F359" s="44" t="n"/>
      <c r="G359" s="44" t="n"/>
      <c r="H359" s="15" t="n"/>
      <c r="I359" s="45" t="n">
        <v>2805592.15</v>
      </c>
      <c r="J359" s="45" t="n">
        <v>2079818.9134</v>
      </c>
      <c r="K359" s="45" t="n">
        <v>1783514.535</v>
      </c>
      <c r="L359" s="45" t="n">
        <v>1324257.4404</v>
      </c>
      <c r="M359" s="45" t="n">
        <v>889987.87010101</v>
      </c>
      <c r="N359" s="45" t="n">
        <v>660815.9935499999</v>
      </c>
      <c r="O359" s="45" t="n">
        <v>1141491.784511785</v>
      </c>
      <c r="P359" s="45" t="n">
        <v>847557.65</v>
      </c>
      <c r="Q359" s="45" t="n">
        <v>126299.08</v>
      </c>
      <c r="R359" s="45" t="n">
        <v>93777.06690000001</v>
      </c>
      <c r="S359" s="45" t="n">
        <v>4221198.279612795</v>
      </c>
      <c r="T359" s="45" t="n">
        <v>3134237.620775</v>
      </c>
      <c r="U359" s="15" t="n">
        <v>34.6803484</v>
      </c>
      <c r="V359" s="15" t="n">
        <v>22.59459297203663</v>
      </c>
      <c r="W359" s="49" t="n">
        <v>74.25</v>
      </c>
    </row>
    <row r="360">
      <c r="A360" s="44" t="inlineStr">
        <is>
          <t>TL Cinsi Kuponsuz Senetler</t>
        </is>
      </c>
      <c r="B360" s="44" t="n">
        <v>2004</v>
      </c>
      <c r="C360" s="44" t="inlineStr">
        <is>
          <t>TRB090205T20</t>
        </is>
      </c>
      <c r="D360" s="44" t="inlineStr">
        <is>
          <t>nan</t>
        </is>
      </c>
      <c r="E360" s="44" t="inlineStr">
        <is>
          <t>nan</t>
        </is>
      </c>
      <c r="F360" s="44" t="n"/>
      <c r="G360" s="44" t="n"/>
      <c r="H360" s="15" t="n"/>
      <c r="I360" s="45" t="n">
        <v>3918288.69</v>
      </c>
      <c r="J360" s="45" t="n">
        <v>3734520.221</v>
      </c>
      <c r="K360" s="45" t="n">
        <v>2334979.44</v>
      </c>
      <c r="L360" s="45" t="n">
        <v>2226000.00268</v>
      </c>
      <c r="M360" s="45" t="n">
        <v>0</v>
      </c>
      <c r="N360" s="45" t="n">
        <v>0</v>
      </c>
      <c r="O360" s="45" t="n">
        <v>0</v>
      </c>
      <c r="P360" s="45" t="n">
        <v>0</v>
      </c>
      <c r="Q360" s="45" t="n">
        <v>0</v>
      </c>
      <c r="R360" s="45" t="n">
        <v>0</v>
      </c>
      <c r="S360" s="45" t="n">
        <v>2334979.44</v>
      </c>
      <c r="T360" s="45" t="n">
        <v>2226000.00268</v>
      </c>
      <c r="U360" s="15" t="n">
        <v>4.8957519</v>
      </c>
      <c r="V360" s="15" t="n">
        <v>21.06862259336528</v>
      </c>
      <c r="W360" s="49" t="n">
        <v>95.333</v>
      </c>
    </row>
    <row r="361">
      <c r="A361" s="44" t="inlineStr">
        <is>
          <t>TL Cinsi Kuponsuz Senetler</t>
        </is>
      </c>
      <c r="B361" s="44" t="n">
        <v>2004</v>
      </c>
      <c r="C361" s="44" t="inlineStr">
        <is>
          <t>TRB280905T12</t>
        </is>
      </c>
      <c r="D361" s="44" t="inlineStr">
        <is>
          <t>nan</t>
        </is>
      </c>
      <c r="E361" s="44" t="inlineStr">
        <is>
          <t>nan</t>
        </is>
      </c>
      <c r="F361" s="44" t="n"/>
      <c r="G361" s="44" t="n"/>
      <c r="H361" s="15" t="n"/>
      <c r="I361" s="45" t="n">
        <v>2438122.885</v>
      </c>
      <c r="J361" s="45" t="n">
        <v>2019721.4103</v>
      </c>
      <c r="K361" s="45" t="n">
        <v>1368796.075</v>
      </c>
      <c r="L361" s="45" t="n">
        <v>1134671.918</v>
      </c>
      <c r="M361" s="45" t="n">
        <v>180949.6200057904</v>
      </c>
      <c r="N361" s="45" t="n">
        <v>149999.997</v>
      </c>
      <c r="O361" s="45" t="n">
        <v>786133.999996381</v>
      </c>
      <c r="P361" s="45" t="n">
        <v>651673.640637</v>
      </c>
      <c r="Q361" s="45" t="n">
        <v>98641.77499999999</v>
      </c>
      <c r="R361" s="45" t="n">
        <v>81770.085804</v>
      </c>
      <c r="S361" s="45" t="n">
        <v>2434521.470002171</v>
      </c>
      <c r="T361" s="45" t="n">
        <v>2018115.641441</v>
      </c>
      <c r="U361" s="15" t="n">
        <v>20.6336434</v>
      </c>
      <c r="V361" s="15" t="n">
        <v>23.62171479587061</v>
      </c>
      <c r="W361" s="49" t="n">
        <v>82.896</v>
      </c>
    </row>
    <row r="362">
      <c r="A362" s="44" t="inlineStr">
        <is>
          <t>TL Cinsi Kuponsuz Senetler</t>
        </is>
      </c>
      <c r="B362" s="44" t="n">
        <v>2004</v>
      </c>
      <c r="C362" s="44" t="inlineStr">
        <is>
          <t>TRT240506T19</t>
        </is>
      </c>
      <c r="D362" s="44" t="inlineStr">
        <is>
          <t>nan</t>
        </is>
      </c>
      <c r="E362" s="44" t="inlineStr">
        <is>
          <t>nan</t>
        </is>
      </c>
      <c r="F362" s="44" t="n"/>
      <c r="G362" s="44" t="n"/>
      <c r="H362" s="15" t="n"/>
      <c r="I362" s="45" t="n">
        <v>3465980.285</v>
      </c>
      <c r="J362" s="45" t="n">
        <v>2512630.0006</v>
      </c>
      <c r="K362" s="45" t="n">
        <v>3145924.505</v>
      </c>
      <c r="L362" s="45" t="n">
        <v>2281785.3233</v>
      </c>
      <c r="M362" s="45" t="n">
        <v>301939.8600598365</v>
      </c>
      <c r="N362" s="45" t="n">
        <v>218999.9999</v>
      </c>
      <c r="O362" s="45" t="n">
        <v>1231116.379990625</v>
      </c>
      <c r="P362" s="45" t="n">
        <v>892941.021571</v>
      </c>
      <c r="Q362" s="45" t="n">
        <v>190030.16</v>
      </c>
      <c r="R362" s="45" t="n">
        <v>137830.7753496</v>
      </c>
      <c r="S362" s="45" t="n">
        <v>4869010.905050461</v>
      </c>
      <c r="T362" s="45" t="n">
        <v>3531557.1201206</v>
      </c>
      <c r="U362" s="15" t="n">
        <v>37.8711868</v>
      </c>
      <c r="V362" s="15" t="n">
        <v>23.21335525424733</v>
      </c>
      <c r="W362" s="49" t="n">
        <v>72.53100000000001</v>
      </c>
    </row>
    <row r="363">
      <c r="A363" s="44" t="inlineStr">
        <is>
          <t>TL Cinsi Kuponsuz Senetler</t>
        </is>
      </c>
      <c r="B363" s="44" t="n">
        <v>2004</v>
      </c>
      <c r="C363" s="44" t="inlineStr">
        <is>
          <t>TRB290605T14</t>
        </is>
      </c>
      <c r="D363" s="44" t="inlineStr">
        <is>
          <t>nan</t>
        </is>
      </c>
      <c r="E363" s="44" t="inlineStr">
        <is>
          <t>nan</t>
        </is>
      </c>
      <c r="F363" s="44" t="n"/>
      <c r="G363" s="44" t="n"/>
      <c r="H363" s="15" t="n"/>
      <c r="I363" s="45" t="n">
        <v>2506374.695</v>
      </c>
      <c r="J363" s="45" t="n">
        <v>2213981.1674</v>
      </c>
      <c r="K363" s="45" t="n">
        <v>1381069.835</v>
      </c>
      <c r="L363" s="45" t="n">
        <v>1220640.6947</v>
      </c>
      <c r="M363" s="45" t="n">
        <v>113142.6500271542</v>
      </c>
      <c r="N363" s="45" t="n">
        <v>99999.99980000001</v>
      </c>
      <c r="O363" s="45" t="n">
        <v>1600243.819992306</v>
      </c>
      <c r="P363" s="45" t="n">
        <v>1414359.497862</v>
      </c>
      <c r="Q363" s="45" t="n">
        <v>0</v>
      </c>
      <c r="R363" s="45" t="n">
        <v>0</v>
      </c>
      <c r="S363" s="45" t="n">
        <v>3313295.180019461</v>
      </c>
      <c r="T363" s="45" t="n">
        <v>2928418.743642</v>
      </c>
      <c r="U363" s="15" t="n">
        <v>13.1430273</v>
      </c>
      <c r="V363" s="15" t="n">
        <v>23.01449860517326</v>
      </c>
      <c r="W363" s="49" t="n">
        <v>88.384</v>
      </c>
    </row>
    <row r="364">
      <c r="A364" s="44" t="inlineStr">
        <is>
          <t>TL Cinsi Kuponsuz Senetler</t>
        </is>
      </c>
      <c r="B364" s="44" t="n">
        <v>2004</v>
      </c>
      <c r="C364" s="44" t="inlineStr">
        <is>
          <t>TRT240506T19</t>
        </is>
      </c>
      <c r="D364" s="44" t="inlineStr">
        <is>
          <t>nan</t>
        </is>
      </c>
      <c r="E364" s="44" t="inlineStr">
        <is>
          <t>nan</t>
        </is>
      </c>
      <c r="F364" s="44" t="n"/>
      <c r="G364" s="44" t="n"/>
      <c r="H364" s="15" t="n"/>
      <c r="I364" s="45" t="n">
        <v>3965337.2</v>
      </c>
      <c r="J364" s="45" t="n">
        <v>2895941.8874</v>
      </c>
      <c r="K364" s="45" t="n">
        <v>2070401.26</v>
      </c>
      <c r="L364" s="45" t="n">
        <v>1513258.1617</v>
      </c>
      <c r="M364" s="45" t="n">
        <v>409180.4551238199</v>
      </c>
      <c r="N364" s="45" t="n">
        <v>299069.99465</v>
      </c>
      <c r="O364" s="45" t="n">
        <v>568959.7399972636</v>
      </c>
      <c r="P364" s="45" t="n">
        <v>415852.673964</v>
      </c>
      <c r="Q364" s="45" t="n">
        <v>119734.525</v>
      </c>
      <c r="R364" s="45" t="n">
        <v>87513.9643225</v>
      </c>
      <c r="S364" s="45" t="n">
        <v>3564501.525121083</v>
      </c>
      <c r="T364" s="45" t="n">
        <v>2605296.045477</v>
      </c>
      <c r="U364" s="15" t="n">
        <v>36.8174521</v>
      </c>
      <c r="V364" s="15" t="n">
        <v>23.24264174207393</v>
      </c>
      <c r="W364" s="49" t="n">
        <v>73.09</v>
      </c>
    </row>
    <row r="365">
      <c r="A365" s="44" t="inlineStr">
        <is>
          <t>TL Cinsi Kuponsuz Senetler</t>
        </is>
      </c>
      <c r="B365" s="44" t="n">
        <v>2004</v>
      </c>
      <c r="C365" s="44" t="inlineStr">
        <is>
          <t>TRB160305T12</t>
        </is>
      </c>
      <c r="D365" s="44" t="inlineStr">
        <is>
          <t>nan</t>
        </is>
      </c>
      <c r="E365" s="44" t="inlineStr">
        <is>
          <t>nan</t>
        </is>
      </c>
      <c r="F365" s="44" t="n"/>
      <c r="G365" s="44" t="n"/>
      <c r="H365" s="15" t="n"/>
      <c r="I365" s="45" t="n">
        <v>2738172.905</v>
      </c>
      <c r="J365" s="45" t="n">
        <v>2607854.29332</v>
      </c>
      <c r="K365" s="45" t="n">
        <v>1434908.815</v>
      </c>
      <c r="L365" s="45" t="n">
        <v>1366999.9854</v>
      </c>
      <c r="M365" s="45" t="n">
        <v>0</v>
      </c>
      <c r="N365" s="45" t="n">
        <v>0</v>
      </c>
      <c r="O365" s="45" t="n">
        <v>0</v>
      </c>
      <c r="P365" s="45" t="n">
        <v>0</v>
      </c>
      <c r="Q365" s="45" t="n">
        <v>0</v>
      </c>
      <c r="R365" s="45" t="n">
        <v>0</v>
      </c>
      <c r="S365" s="45" t="n">
        <v>1434908.815</v>
      </c>
      <c r="T365" s="45" t="n">
        <v>1366999.9854</v>
      </c>
      <c r="U365" s="15" t="n">
        <v>4.9677272</v>
      </c>
      <c r="V365" s="15" t="n">
        <v>21.4012546829325</v>
      </c>
      <c r="W365" s="49" t="n">
        <v>95.267</v>
      </c>
    </row>
    <row r="366">
      <c r="A366" s="44" t="inlineStr">
        <is>
          <t>TL Cinsi Kuponsuz Senetler</t>
        </is>
      </c>
      <c r="B366" s="44" t="n">
        <v>2004</v>
      </c>
      <c r="C366" s="44" t="inlineStr">
        <is>
          <t>TRB270705T15</t>
        </is>
      </c>
      <c r="D366" s="44" t="inlineStr">
        <is>
          <t>nan</t>
        </is>
      </c>
      <c r="E366" s="44" t="inlineStr">
        <is>
          <t>nan</t>
        </is>
      </c>
      <c r="F366" s="44" t="n"/>
      <c r="G366" s="44" t="n"/>
      <c r="H366" s="15" t="n"/>
      <c r="I366" s="45" t="n">
        <v>1320038.88</v>
      </c>
      <c r="J366" s="45" t="n">
        <v>1157839.0717</v>
      </c>
      <c r="K366" s="45" t="n">
        <v>995323.17</v>
      </c>
      <c r="L366" s="45" t="n">
        <v>873237.893</v>
      </c>
      <c r="M366" s="45" t="n">
        <v>45592.35501629927</v>
      </c>
      <c r="N366" s="45" t="n">
        <v>39999.99675</v>
      </c>
      <c r="O366" s="45" t="n">
        <v>603729.4749948708</v>
      </c>
      <c r="P366" s="45" t="n">
        <v>529676.017592</v>
      </c>
      <c r="Q366" s="45" t="n">
        <v>34845.83</v>
      </c>
      <c r="R366" s="45" t="n">
        <v>30571.6404922</v>
      </c>
      <c r="S366" s="45" t="n">
        <v>1848071.20501117</v>
      </c>
      <c r="T366" s="45" t="n">
        <v>1621387.8540367</v>
      </c>
      <c r="U366" s="15" t="n">
        <v>13.980758</v>
      </c>
      <c r="V366" s="15" t="n">
        <v>23.69474619586738</v>
      </c>
      <c r="W366" s="49" t="n">
        <v>87.73399999999999</v>
      </c>
    </row>
    <row r="367">
      <c r="A367" s="44" t="inlineStr">
        <is>
          <t>TL Cinsi Kuponsuz Senetler</t>
        </is>
      </c>
      <c r="B367" s="44" t="n">
        <v>2004</v>
      </c>
      <c r="C367" s="44" t="inlineStr">
        <is>
          <t>TRT050706T10</t>
        </is>
      </c>
      <c r="D367" s="44" t="inlineStr">
        <is>
          <t>nan</t>
        </is>
      </c>
      <c r="E367" s="44" t="inlineStr">
        <is>
          <t>nan</t>
        </is>
      </c>
      <c r="F367" s="44" t="n"/>
      <c r="G367" s="44" t="n"/>
      <c r="H367" s="15" t="n"/>
      <c r="I367" s="45" t="n">
        <v>4732097.255</v>
      </c>
      <c r="J367" s="45" t="n">
        <v>3409941.5185</v>
      </c>
      <c r="K367" s="45" t="n">
        <v>3753721.21</v>
      </c>
      <c r="L367" s="45" t="n">
        <v>2706703.6018</v>
      </c>
      <c r="M367" s="45" t="n">
        <v>1789701.415951295</v>
      </c>
      <c r="N367" s="45" t="n">
        <v>1290500</v>
      </c>
      <c r="O367" s="45" t="n">
        <v>1941104.219991124</v>
      </c>
      <c r="P367" s="45" t="n">
        <v>1399672.019909</v>
      </c>
      <c r="Q367" s="45" t="n">
        <v>277823.57</v>
      </c>
      <c r="R367" s="45" t="n">
        <v>200330.2416199</v>
      </c>
      <c r="S367" s="45" t="n">
        <v>8357682.73594242</v>
      </c>
      <c r="T367" s="45" t="n">
        <v>6026482.139311301</v>
      </c>
      <c r="U367" s="15" t="n">
        <v>38.6823887</v>
      </c>
      <c r="V367" s="15" t="n">
        <v>23.3599476858928</v>
      </c>
      <c r="W367" s="49" t="n">
        <v>72.107</v>
      </c>
    </row>
    <row r="368">
      <c r="A368" s="44" t="inlineStr">
        <is>
          <t>TL Cinsi Kuponsuz Senetler</t>
        </is>
      </c>
      <c r="B368" s="44" t="n">
        <v>2003</v>
      </c>
      <c r="C368" s="44" t="inlineStr">
        <is>
          <t>TRB180603T19</t>
        </is>
      </c>
      <c r="D368" s="44" t="inlineStr">
        <is>
          <t>nan</t>
        </is>
      </c>
      <c r="E368" s="44" t="inlineStr">
        <is>
          <t>nan</t>
        </is>
      </c>
      <c r="F368" s="44" t="n"/>
      <c r="G368" s="44" t="n"/>
      <c r="H368" s="15" t="n"/>
      <c r="I368" s="45" t="n">
        <v>1162495.445</v>
      </c>
      <c r="J368" s="45" t="n">
        <v>955586.394</v>
      </c>
      <c r="K368" s="45" t="n">
        <v>1052233.9</v>
      </c>
      <c r="L368" s="45" t="n">
        <v>861674.3407099999</v>
      </c>
      <c r="M368" s="45" t="n">
        <v>134326.5355965319</v>
      </c>
      <c r="N368" s="45" t="n">
        <v>110000</v>
      </c>
      <c r="O368" s="45" t="n">
        <v>0</v>
      </c>
      <c r="P368" s="45" t="n">
        <v>0</v>
      </c>
      <c r="Q368" s="45" t="n">
        <v>14051.825</v>
      </c>
      <c r="R368" s="45" t="n">
        <v>11507.039493</v>
      </c>
      <c r="S368" s="45" t="n">
        <v>1369368.190596532</v>
      </c>
      <c r="T368" s="45" t="n">
        <v>1121375.61128</v>
      </c>
      <c r="U368" s="15" t="n">
        <v>22.11503236048358</v>
      </c>
      <c r="V368" s="15" t="n">
        <v>57.09909481577864</v>
      </c>
      <c r="W368" s="49" t="n">
        <v>81.89</v>
      </c>
    </row>
    <row r="369">
      <c r="A369" s="44" t="inlineStr">
        <is>
          <t>TL Cinsi Kuponsuz Senetler</t>
        </is>
      </c>
      <c r="B369" s="44" t="n">
        <v>2003</v>
      </c>
      <c r="C369" s="44" t="inlineStr">
        <is>
          <t>TRB081003T15</t>
        </is>
      </c>
      <c r="D369" s="44" t="inlineStr">
        <is>
          <t>nan</t>
        </is>
      </c>
      <c r="E369" s="44" t="inlineStr">
        <is>
          <t>nan</t>
        </is>
      </c>
      <c r="F369" s="44" t="n"/>
      <c r="G369" s="44" t="n"/>
      <c r="H369" s="15" t="n"/>
      <c r="I369" s="45" t="n">
        <v>1013277.35</v>
      </c>
      <c r="J369" s="45" t="n">
        <v>719787.5550000001</v>
      </c>
      <c r="K369" s="45" t="n">
        <v>896666.47</v>
      </c>
      <c r="L369" s="45" t="n">
        <v>631459.4281681</v>
      </c>
      <c r="M369" s="45" t="n">
        <v>511196.6261022678</v>
      </c>
      <c r="N369" s="45" t="n">
        <v>360000</v>
      </c>
      <c r="O369" s="45" t="n">
        <v>0</v>
      </c>
      <c r="P369" s="45" t="n">
        <v>0</v>
      </c>
      <c r="Q369" s="45" t="n">
        <v>31104.72</v>
      </c>
      <c r="R369" s="45" t="n">
        <v>21904.876966</v>
      </c>
      <c r="S369" s="45" t="n">
        <v>1553084.991102268</v>
      </c>
      <c r="T369" s="45" t="n">
        <v>1093729.04328435</v>
      </c>
      <c r="U369" s="15" t="n">
        <v>41.99906280618548</v>
      </c>
      <c r="V369" s="15" t="n">
        <v>59.60529824705063</v>
      </c>
      <c r="W369" s="49" t="n">
        <v>70.423</v>
      </c>
    </row>
    <row r="370">
      <c r="A370" s="44" t="inlineStr">
        <is>
          <t>TL Cinsi Kuponsuz Senetler</t>
        </is>
      </c>
      <c r="B370" s="44" t="n">
        <v>2003</v>
      </c>
      <c r="C370" s="44" t="inlineStr">
        <is>
          <t>TRB180603T19</t>
        </is>
      </c>
      <c r="D370" s="44" t="inlineStr">
        <is>
          <t>nan</t>
        </is>
      </c>
      <c r="E370" s="44" t="inlineStr">
        <is>
          <t>nan</t>
        </is>
      </c>
      <c r="F370" s="44" t="n"/>
      <c r="G370" s="44" t="n"/>
      <c r="H370" s="15" t="n"/>
      <c r="I370" s="45" t="n">
        <v>1615874.41</v>
      </c>
      <c r="J370" s="45" t="n">
        <v>1335993.874</v>
      </c>
      <c r="K370" s="45" t="n">
        <v>1091371.955</v>
      </c>
      <c r="L370" s="45" t="n">
        <v>901756.9915383001</v>
      </c>
      <c r="M370" s="45" t="n">
        <v>121027.2795488103</v>
      </c>
      <c r="N370" s="45" t="n">
        <v>100000</v>
      </c>
      <c r="O370" s="45" t="n">
        <v>0</v>
      </c>
      <c r="P370" s="45" t="n">
        <v>0</v>
      </c>
      <c r="Q370" s="45" t="n">
        <v>41746.69</v>
      </c>
      <c r="R370" s="45" t="n">
        <v>34493.620079</v>
      </c>
      <c r="S370" s="45" t="n">
        <v>1254145.92454881</v>
      </c>
      <c r="T370" s="45" t="n">
        <v>1036250.6116173</v>
      </c>
      <c r="U370" s="15" t="n">
        <v>21.0272795488103</v>
      </c>
      <c r="V370" s="15" t="n">
        <v>57.00226363416658</v>
      </c>
      <c r="W370" s="49" t="n">
        <v>82.626</v>
      </c>
    </row>
    <row r="371">
      <c r="A371" s="44" t="inlineStr">
        <is>
          <t>TL Cinsi Kuponsuz Senetler</t>
        </is>
      </c>
      <c r="B371" s="44" t="n">
        <v>2003</v>
      </c>
      <c r="C371" s="44" t="inlineStr">
        <is>
          <t>TRB240403T13</t>
        </is>
      </c>
      <c r="D371" s="44" t="inlineStr">
        <is>
          <t>nan</t>
        </is>
      </c>
      <c r="E371" s="44" t="inlineStr">
        <is>
          <t>nan</t>
        </is>
      </c>
      <c r="F371" s="44" t="n"/>
      <c r="G371" s="44" t="n"/>
      <c r="H371" s="15" t="n"/>
      <c r="I371" s="45" t="n">
        <v>2346807.89</v>
      </c>
      <c r="J371" s="45" t="n">
        <v>2119006.774</v>
      </c>
      <c r="K371" s="45" t="n">
        <v>1626439.96</v>
      </c>
      <c r="L371" s="45" t="n">
        <v>1467000.0507212</v>
      </c>
      <c r="M371" s="45" t="n">
        <v>0</v>
      </c>
      <c r="N371" s="45" t="n">
        <v>0</v>
      </c>
      <c r="O371" s="45" t="n">
        <v>0</v>
      </c>
      <c r="P371" s="45" t="n">
        <v>0</v>
      </c>
      <c r="Q371" s="45" t="n">
        <v>0</v>
      </c>
      <c r="R371" s="45" t="n">
        <v>0</v>
      </c>
      <c r="S371" s="45" t="n">
        <v>1626439.96</v>
      </c>
      <c r="T371" s="45" t="n">
        <v>1467000.0507212</v>
      </c>
      <c r="U371" s="15" t="n">
        <v>10.86843243123385</v>
      </c>
      <c r="V371" s="15" t="n">
        <v>50.41233678745136</v>
      </c>
      <c r="W371" s="49" t="n">
        <v>90.197</v>
      </c>
    </row>
    <row r="372">
      <c r="A372" s="44" t="inlineStr">
        <is>
          <t>TL Cinsi Kuponsuz Senetler</t>
        </is>
      </c>
      <c r="B372" s="44" t="n">
        <v>2003</v>
      </c>
      <c r="C372" s="44" t="inlineStr">
        <is>
          <t>TRT280104T11</t>
        </is>
      </c>
      <c r="D372" s="44" t="inlineStr">
        <is>
          <t>nan</t>
        </is>
      </c>
      <c r="E372" s="44" t="inlineStr">
        <is>
          <t>nan</t>
        </is>
      </c>
      <c r="F372" s="44" t="n"/>
      <c r="G372" s="44" t="n"/>
      <c r="H372" s="15" t="n"/>
      <c r="I372" s="45" t="n">
        <v>5763509.27</v>
      </c>
      <c r="J372" s="45" t="n">
        <v>3606803.537</v>
      </c>
      <c r="K372" s="45" t="n">
        <v>4380353.855</v>
      </c>
      <c r="L372" s="45" t="n">
        <v>2739254.28322425</v>
      </c>
      <c r="M372" s="45" t="n">
        <v>799552.2507395858</v>
      </c>
      <c r="N372" s="45" t="n">
        <v>500000</v>
      </c>
      <c r="O372" s="45" t="n">
        <v>0</v>
      </c>
      <c r="P372" s="45" t="n">
        <v>0</v>
      </c>
      <c r="Q372" s="45" t="n">
        <v>174951.9</v>
      </c>
      <c r="R372" s="45" t="n">
        <v>109406.170668</v>
      </c>
      <c r="S372" s="45" t="n">
        <v>5598983.005739586</v>
      </c>
      <c r="T372" s="45" t="n">
        <v>3501324.02264225</v>
      </c>
      <c r="U372" s="15" t="n">
        <v>59.91045014791716</v>
      </c>
      <c r="V372" s="15" t="n">
        <v>58.50030887459088</v>
      </c>
      <c r="W372" s="49" t="n">
        <v>62.535</v>
      </c>
    </row>
    <row r="373">
      <c r="A373" s="44" t="inlineStr">
        <is>
          <t>TL Cinsi Kuponsuz Senetler</t>
        </is>
      </c>
      <c r="B373" s="44" t="n">
        <v>2003</v>
      </c>
      <c r="C373" s="44" t="inlineStr">
        <is>
          <t>TRB140503T14</t>
        </is>
      </c>
      <c r="D373" s="44" t="inlineStr">
        <is>
          <t>nan</t>
        </is>
      </c>
      <c r="E373" s="44" t="inlineStr">
        <is>
          <t>nan</t>
        </is>
      </c>
      <c r="F373" s="44" t="n"/>
      <c r="G373" s="44" t="n"/>
      <c r="H373" s="15" t="n"/>
      <c r="I373" s="45" t="n">
        <v>1886914.65</v>
      </c>
      <c r="J373" s="45" t="n">
        <v>1701337.897</v>
      </c>
      <c r="K373" s="45" t="n">
        <v>1059380.79</v>
      </c>
      <c r="L373" s="45" t="n">
        <v>955000</v>
      </c>
      <c r="M373" s="45" t="n">
        <v>0</v>
      </c>
      <c r="N373" s="45" t="n">
        <v>0</v>
      </c>
      <c r="O373" s="45" t="n">
        <v>0</v>
      </c>
      <c r="P373" s="45" t="n">
        <v>0</v>
      </c>
      <c r="Q373" s="45" t="n">
        <v>0</v>
      </c>
      <c r="R373" s="45" t="n">
        <v>0</v>
      </c>
      <c r="S373" s="45" t="n">
        <v>1059380.79</v>
      </c>
      <c r="T373" s="45" t="n">
        <v>955000</v>
      </c>
      <c r="U373" s="15" t="n">
        <v>10.92992556601995</v>
      </c>
      <c r="V373" s="15" t="n">
        <v>47.00219616061552</v>
      </c>
      <c r="W373" s="49" t="n">
        <v>90.14700000000001</v>
      </c>
    </row>
    <row r="374">
      <c r="A374" s="44" t="inlineStr">
        <is>
          <t>TL Cinsi Kuponsuz Senetler</t>
        </is>
      </c>
      <c r="B374" s="44" t="n">
        <v>2003</v>
      </c>
      <c r="C374" s="44" t="inlineStr">
        <is>
          <t>TRT280104T11</t>
        </is>
      </c>
      <c r="D374" s="44" t="inlineStr">
        <is>
          <t>nan</t>
        </is>
      </c>
      <c r="E374" s="44" t="inlineStr">
        <is>
          <t>nan</t>
        </is>
      </c>
      <c r="F374" s="44" t="n"/>
      <c r="G374" s="44" t="n"/>
      <c r="H374" s="15" t="n"/>
      <c r="I374" s="45" t="n">
        <v>3980361.3</v>
      </c>
      <c r="J374" s="45" t="n">
        <v>2485383.739</v>
      </c>
      <c r="K374" s="45" t="n">
        <v>3780227.725</v>
      </c>
      <c r="L374" s="45" t="n">
        <v>2406303.95834875</v>
      </c>
      <c r="M374" s="45" t="n">
        <v>942581.1012489198</v>
      </c>
      <c r="N374" s="45" t="n">
        <v>600000</v>
      </c>
      <c r="O374" s="45" t="n">
        <v>0</v>
      </c>
      <c r="P374" s="45" t="n">
        <v>0</v>
      </c>
      <c r="Q374" s="45" t="n">
        <v>166535.87</v>
      </c>
      <c r="R374" s="45" t="n">
        <v>106008.408049</v>
      </c>
      <c r="S374" s="45" t="n">
        <v>4889344.69624892</v>
      </c>
      <c r="T374" s="45" t="n">
        <v>3112312.36639775</v>
      </c>
      <c r="U374" s="15" t="n">
        <v>57.09685020815331</v>
      </c>
      <c r="V374" s="15" t="n">
        <v>58.49439143340409</v>
      </c>
      <c r="W374" s="49" t="n">
        <v>63.655</v>
      </c>
    </row>
    <row r="375">
      <c r="A375" s="44" t="inlineStr">
        <is>
          <t>TL Cinsi Kuponsuz Senetler</t>
        </is>
      </c>
      <c r="B375" s="44" t="n">
        <v>2003</v>
      </c>
      <c r="C375" s="44" t="inlineStr">
        <is>
          <t>TRB160703T10</t>
        </is>
      </c>
      <c r="D375" s="44" t="inlineStr">
        <is>
          <t>nan</t>
        </is>
      </c>
      <c r="E375" s="44" t="inlineStr">
        <is>
          <t>nan</t>
        </is>
      </c>
      <c r="F375" s="44" t="n"/>
      <c r="G375" s="44" t="n"/>
      <c r="H375" s="15" t="n"/>
      <c r="I375" s="45" t="n">
        <v>1758325.64</v>
      </c>
      <c r="J375" s="45" t="n">
        <v>1456238.798</v>
      </c>
      <c r="K375" s="45" t="n">
        <v>1423066.97</v>
      </c>
      <c r="L375" s="45" t="n">
        <v>1178014.837766</v>
      </c>
      <c r="M375" s="45" t="n">
        <v>449383.9091568012</v>
      </c>
      <c r="N375" s="45" t="n">
        <v>372000</v>
      </c>
      <c r="O375" s="45" t="n">
        <v>0</v>
      </c>
      <c r="P375" s="45" t="n">
        <v>0</v>
      </c>
      <c r="Q375" s="45" t="n">
        <v>0</v>
      </c>
      <c r="R375" s="45" t="n">
        <v>0</v>
      </c>
      <c r="S375" s="45" t="n">
        <v>1872450.879156801</v>
      </c>
      <c r="T375" s="45" t="n">
        <v>1550014.837766</v>
      </c>
      <c r="U375" s="15" t="n">
        <v>20.80212611741967</v>
      </c>
      <c r="V375" s="15" t="n">
        <v>53.30626933334226</v>
      </c>
      <c r="W375" s="49" t="n">
        <v>82.78</v>
      </c>
    </row>
    <row r="376">
      <c r="A376" s="44" t="inlineStr">
        <is>
          <t>TL Cinsi Kuponsuz Senetler</t>
        </is>
      </c>
      <c r="B376" s="44" t="n">
        <v>2003</v>
      </c>
      <c r="C376" s="44" t="inlineStr">
        <is>
          <t>TRT030304T26</t>
        </is>
      </c>
      <c r="D376" s="44" t="inlineStr">
        <is>
          <t>nan</t>
        </is>
      </c>
      <c r="E376" s="44" t="inlineStr">
        <is>
          <t>nan</t>
        </is>
      </c>
      <c r="F376" s="44" t="n"/>
      <c r="G376" s="44" t="n"/>
      <c r="H376" s="15" t="n"/>
      <c r="I376" s="45" t="n">
        <v>2715833.015</v>
      </c>
      <c r="J376" s="45" t="n">
        <v>1730058.097</v>
      </c>
      <c r="K376" s="45" t="n">
        <v>2261597.13</v>
      </c>
      <c r="L376" s="45" t="n">
        <v>1437471.135828</v>
      </c>
      <c r="M376" s="45" t="n">
        <v>0</v>
      </c>
      <c r="N376" s="45" t="n">
        <v>0</v>
      </c>
      <c r="O376" s="45" t="n">
        <v>0</v>
      </c>
      <c r="P376" s="45" t="n">
        <v>0</v>
      </c>
      <c r="Q376" s="45" t="n">
        <v>96086.855</v>
      </c>
      <c r="R376" s="45" t="n">
        <v>61072.803038</v>
      </c>
      <c r="S376" s="45" t="n">
        <v>2847912.52</v>
      </c>
      <c r="T376" s="45" t="n">
        <v>1810133.195712</v>
      </c>
      <c r="U376" s="15" t="n">
        <v>57.33165512901195</v>
      </c>
      <c r="V376" s="15" t="n">
        <v>55.99209829315863</v>
      </c>
      <c r="W376" s="49" t="n">
        <v>63.56</v>
      </c>
    </row>
    <row r="377">
      <c r="A377" s="44" t="inlineStr">
        <is>
          <t>TL Cinsi Kuponsuz Senetler</t>
        </is>
      </c>
      <c r="B377" s="44" t="n">
        <v>2003</v>
      </c>
      <c r="C377" s="44" t="inlineStr">
        <is>
          <t>TRB081003T15</t>
        </is>
      </c>
      <c r="D377" s="44" t="inlineStr">
        <is>
          <t>nan</t>
        </is>
      </c>
      <c r="E377" s="44" t="inlineStr">
        <is>
          <t>nan</t>
        </is>
      </c>
      <c r="F377" s="44" t="n"/>
      <c r="G377" s="44" t="n"/>
      <c r="H377" s="15" t="n"/>
      <c r="I377" s="45" t="n">
        <v>589737.215</v>
      </c>
      <c r="J377" s="45" t="n">
        <v>451049.919</v>
      </c>
      <c r="K377" s="45" t="n">
        <v>477658.385</v>
      </c>
      <c r="L377" s="45" t="n">
        <v>362972.6067615</v>
      </c>
      <c r="M377" s="45" t="n">
        <v>30239.50519805237</v>
      </c>
      <c r="N377" s="45" t="n">
        <v>22979</v>
      </c>
      <c r="O377" s="45" t="n">
        <v>0</v>
      </c>
      <c r="P377" s="45" t="n">
        <v>0</v>
      </c>
      <c r="Q377" s="45" t="n">
        <v>4622.63</v>
      </c>
      <c r="R377" s="45" t="n">
        <v>3512.736537</v>
      </c>
      <c r="S377" s="45" t="n">
        <v>618716.9151980524</v>
      </c>
      <c r="T377" s="45" t="n">
        <v>470162.983859</v>
      </c>
      <c r="U377" s="15" t="n">
        <v>31.59626266614028</v>
      </c>
      <c r="V377" s="15" t="n">
        <v>58.49714653855953</v>
      </c>
      <c r="W377" s="49" t="n">
        <v>75.98999999999999</v>
      </c>
    </row>
    <row r="378">
      <c r="A378" s="44" t="inlineStr">
        <is>
          <t>TL Cinsi Kuponsuz Senetler</t>
        </is>
      </c>
      <c r="B378" s="44" t="n">
        <v>2003</v>
      </c>
      <c r="C378" s="44" t="inlineStr">
        <is>
          <t>TRT030304T26</t>
        </is>
      </c>
      <c r="D378" s="44" t="inlineStr">
        <is>
          <t>nan</t>
        </is>
      </c>
      <c r="E378" s="44" t="inlineStr">
        <is>
          <t>nan</t>
        </is>
      </c>
      <c r="F378" s="44" t="n"/>
      <c r="G378" s="44" t="n"/>
      <c r="H378" s="15" t="n"/>
      <c r="I378" s="45" t="n">
        <v>3702851.005</v>
      </c>
      <c r="J378" s="45" t="n">
        <v>2286974.601</v>
      </c>
      <c r="K378" s="45" t="n">
        <v>2682085.025</v>
      </c>
      <c r="L378" s="45" t="n">
        <v>1650501.4826845</v>
      </c>
      <c r="M378" s="45" t="n">
        <v>470116.025870194</v>
      </c>
      <c r="N378" s="45" t="n">
        <v>289300</v>
      </c>
      <c r="O378" s="45" t="n">
        <v>0</v>
      </c>
      <c r="P378" s="45" t="n">
        <v>0</v>
      </c>
      <c r="Q378" s="45" t="n">
        <v>109457.08</v>
      </c>
      <c r="R378" s="45" t="n">
        <v>67357.69789</v>
      </c>
      <c r="S378" s="45" t="n">
        <v>3862448.585870194</v>
      </c>
      <c r="T378" s="45" t="n">
        <v>2376873.6107724</v>
      </c>
      <c r="U378" s="15" t="n">
        <v>62.5012187591407</v>
      </c>
      <c r="V378" s="15" t="n">
        <v>62.5012187591407</v>
      </c>
      <c r="W378" s="49" t="n">
        <v>61.538</v>
      </c>
    </row>
    <row r="379">
      <c r="A379" s="44" t="inlineStr">
        <is>
          <t>TL Cinsi Kuponsuz Senetler</t>
        </is>
      </c>
      <c r="B379" s="44" t="n">
        <v>2003</v>
      </c>
      <c r="C379" s="44" t="inlineStr">
        <is>
          <t>TRB180603T27</t>
        </is>
      </c>
      <c r="D379" s="44" t="inlineStr">
        <is>
          <t>nan</t>
        </is>
      </c>
      <c r="E379" s="44" t="inlineStr">
        <is>
          <t>nan</t>
        </is>
      </c>
      <c r="F379" s="44" t="n"/>
      <c r="G379" s="44" t="n"/>
      <c r="H379" s="15" t="n"/>
      <c r="I379" s="45" t="n">
        <v>1269318.575</v>
      </c>
      <c r="J379" s="45" t="n">
        <v>1140068.493</v>
      </c>
      <c r="K379" s="45" t="n">
        <v>1193003.455</v>
      </c>
      <c r="L379" s="45" t="n">
        <v>1063514.8599943</v>
      </c>
      <c r="M379" s="45" t="n">
        <v>0</v>
      </c>
      <c r="N379" s="45" t="n">
        <v>0</v>
      </c>
      <c r="O379" s="45" t="n">
        <v>0</v>
      </c>
      <c r="P379" s="45" t="n">
        <v>0</v>
      </c>
      <c r="Q379" s="45" t="n">
        <v>0</v>
      </c>
      <c r="R379" s="45" t="n">
        <v>0</v>
      </c>
      <c r="S379" s="45" t="n">
        <v>1193003.455</v>
      </c>
      <c r="T379" s="45" t="n">
        <v>1063514.8599943</v>
      </c>
      <c r="U379" s="15" t="n">
        <v>12.17553227290063</v>
      </c>
      <c r="V379" s="15" t="n">
        <v>58.34069824700037</v>
      </c>
      <c r="W379" s="49" t="n">
        <v>89.146</v>
      </c>
    </row>
    <row r="380">
      <c r="A380" s="44" t="inlineStr">
        <is>
          <t>TL Cinsi Kuponsuz Senetler</t>
        </is>
      </c>
      <c r="B380" s="44" t="n">
        <v>2003</v>
      </c>
      <c r="C380" s="44" t="inlineStr">
        <is>
          <t>TRB130803T12</t>
        </is>
      </c>
      <c r="D380" s="44" t="inlineStr">
        <is>
          <t>nan</t>
        </is>
      </c>
      <c r="E380" s="44" t="inlineStr">
        <is>
          <t>nan</t>
        </is>
      </c>
      <c r="F380" s="44" t="n"/>
      <c r="G380" s="44" t="n"/>
      <c r="H380" s="15" t="n"/>
      <c r="I380" s="45" t="n">
        <v>1033052.475</v>
      </c>
      <c r="J380" s="45" t="n">
        <v>867865.616</v>
      </c>
      <c r="K380" s="45" t="n">
        <v>975069.26</v>
      </c>
      <c r="L380" s="45" t="n">
        <v>815908.7046902</v>
      </c>
      <c r="M380" s="45" t="n">
        <v>41349.47476606475</v>
      </c>
      <c r="N380" s="45" t="n">
        <v>34600</v>
      </c>
      <c r="O380" s="45" t="n">
        <v>0</v>
      </c>
      <c r="P380" s="45" t="n">
        <v>0</v>
      </c>
      <c r="Q380" s="45" t="n">
        <v>4153.64</v>
      </c>
      <c r="R380" s="45" t="n">
        <v>3475.6413438</v>
      </c>
      <c r="S380" s="45" t="n">
        <v>1020572.374766065</v>
      </c>
      <c r="T380" s="45" t="n">
        <v>853984.346034</v>
      </c>
      <c r="U380" s="15" t="n">
        <v>19.50715250307731</v>
      </c>
      <c r="V380" s="15" t="n">
        <v>55.46836618643878</v>
      </c>
      <c r="W380" s="49" t="n">
        <v>83.67700000000001</v>
      </c>
    </row>
    <row r="381">
      <c r="A381" s="44" t="inlineStr">
        <is>
          <t>TL Cinsi Kuponsuz Senetler</t>
        </is>
      </c>
      <c r="B381" s="44" t="n">
        <v>2003</v>
      </c>
      <c r="C381" s="44" t="inlineStr">
        <is>
          <t>TRT030304T26</t>
        </is>
      </c>
      <c r="D381" s="44" t="inlineStr">
        <is>
          <t>nan</t>
        </is>
      </c>
      <c r="E381" s="44" t="inlineStr">
        <is>
          <t>nan</t>
        </is>
      </c>
      <c r="F381" s="44" t="n"/>
      <c r="G381" s="44" t="n"/>
      <c r="H381" s="15" t="n"/>
      <c r="I381" s="45" t="n">
        <v>4984227.025</v>
      </c>
      <c r="J381" s="45" t="n">
        <v>3184436.341</v>
      </c>
      <c r="K381" s="45" t="n">
        <v>4096309.01</v>
      </c>
      <c r="L381" s="45" t="n">
        <v>2607669.3526759</v>
      </c>
      <c r="M381" s="45" t="n">
        <v>895395.7806437424</v>
      </c>
      <c r="N381" s="45" t="n">
        <v>570000</v>
      </c>
      <c r="O381" s="45" t="n">
        <v>0</v>
      </c>
      <c r="P381" s="45" t="n">
        <v>0</v>
      </c>
      <c r="Q381" s="45" t="n">
        <v>180194.44</v>
      </c>
      <c r="R381" s="45" t="n">
        <v>114709.97856</v>
      </c>
      <c r="S381" s="45" t="n">
        <v>5171899.230643743</v>
      </c>
      <c r="T381" s="45" t="n">
        <v>3292379.3312359</v>
      </c>
      <c r="U381" s="15" t="n">
        <v>57.08697906030569</v>
      </c>
      <c r="V381" s="15" t="n">
        <v>59.95057121599252</v>
      </c>
      <c r="W381" s="49" t="n">
        <v>63.659</v>
      </c>
    </row>
    <row r="382">
      <c r="A382" s="44" t="inlineStr">
        <is>
          <t>TL Cinsi Kuponsuz Senetler</t>
        </is>
      </c>
      <c r="B382" s="44" t="n">
        <v>2003</v>
      </c>
      <c r="C382" s="44" t="inlineStr">
        <is>
          <t>TRB130803T12</t>
        </is>
      </c>
      <c r="D382" s="44" t="inlineStr">
        <is>
          <t>nan</t>
        </is>
      </c>
      <c r="E382" s="44" t="inlineStr">
        <is>
          <t>nan</t>
        </is>
      </c>
      <c r="F382" s="44" t="n"/>
      <c r="G382" s="44" t="n"/>
      <c r="H382" s="15" t="n"/>
      <c r="I382" s="45" t="n">
        <v>1694153.945</v>
      </c>
      <c r="J382" s="45" t="n">
        <v>1434742.764</v>
      </c>
      <c r="K382" s="45" t="n">
        <v>1626831.88</v>
      </c>
      <c r="L382" s="45" t="n">
        <v>1393267.6269884</v>
      </c>
      <c r="M382" s="45" t="n">
        <v>3502.913256191399</v>
      </c>
      <c r="N382" s="45" t="n">
        <v>3000</v>
      </c>
      <c r="O382" s="45" t="n">
        <v>0</v>
      </c>
      <c r="P382" s="45" t="n">
        <v>0</v>
      </c>
      <c r="Q382" s="45" t="n">
        <v>0</v>
      </c>
      <c r="R382" s="45" t="n">
        <v>0</v>
      </c>
      <c r="S382" s="45" t="n">
        <v>1914745.443256191</v>
      </c>
      <c r="T382" s="45" t="n">
        <v>1639845.4399679</v>
      </c>
      <c r="U382" s="15" t="n">
        <v>16.76377520637997</v>
      </c>
      <c r="V382" s="15" t="n">
        <v>56.47526781813232</v>
      </c>
      <c r="W382" s="49" t="n">
        <v>85.643</v>
      </c>
    </row>
    <row r="383">
      <c r="A383" s="44" t="inlineStr">
        <is>
          <t>TL Cinsi Kuponsuz Senetler</t>
        </is>
      </c>
      <c r="B383" s="44" t="n">
        <v>2003</v>
      </c>
      <c r="C383" s="44" t="inlineStr">
        <is>
          <t>TRB081003T15</t>
        </is>
      </c>
      <c r="D383" s="44" t="inlineStr">
        <is>
          <t>nan</t>
        </is>
      </c>
      <c r="E383" s="44" t="inlineStr">
        <is>
          <t>nan</t>
        </is>
      </c>
      <c r="F383" s="44" t="n"/>
      <c r="G383" s="44" t="n"/>
      <c r="H383" s="15" t="n"/>
      <c r="I383" s="45" t="n">
        <v>1146135.245</v>
      </c>
      <c r="J383" s="45" t="n">
        <v>918119.075</v>
      </c>
      <c r="K383" s="45" t="n">
        <v>1004186.795</v>
      </c>
      <c r="L383" s="45" t="n">
        <v>801461.5648254</v>
      </c>
      <c r="M383" s="45" t="n">
        <v>375883.3258156668</v>
      </c>
      <c r="N383" s="45" t="n">
        <v>300000</v>
      </c>
      <c r="O383" s="45" t="n">
        <v>0</v>
      </c>
      <c r="P383" s="45" t="n">
        <v>0</v>
      </c>
      <c r="Q383" s="45" t="n">
        <v>9416.719999999999</v>
      </c>
      <c r="R383" s="45" t="n">
        <v>7515.672566</v>
      </c>
      <c r="S383" s="45" t="n">
        <v>1458562.840815667</v>
      </c>
      <c r="T383" s="45" t="n">
        <v>1164108.1745114</v>
      </c>
      <c r="U383" s="15" t="n">
        <v>25.29444193855561</v>
      </c>
      <c r="V383" s="15" t="n">
        <v>56.98697180694084</v>
      </c>
      <c r="W383" s="49" t="n">
        <v>79.812</v>
      </c>
    </row>
    <row r="384">
      <c r="A384" s="44" t="inlineStr">
        <is>
          <t>TL Cinsi Kuponsuz Senetler</t>
        </is>
      </c>
      <c r="B384" s="44" t="n">
        <v>2003</v>
      </c>
      <c r="C384" s="44" t="inlineStr">
        <is>
          <t>TRT280404T18</t>
        </is>
      </c>
      <c r="D384" s="44" t="inlineStr">
        <is>
          <t>nan</t>
        </is>
      </c>
      <c r="E384" s="44" t="inlineStr">
        <is>
          <t>nan</t>
        </is>
      </c>
      <c r="F384" s="44" t="n"/>
      <c r="G384" s="44" t="n"/>
      <c r="H384" s="15" t="n"/>
      <c r="I384" s="45" t="n">
        <v>4684171.905</v>
      </c>
      <c r="J384" s="45" t="n">
        <v>2812235.045</v>
      </c>
      <c r="K384" s="45" t="n">
        <v>4112672.77</v>
      </c>
      <c r="L384" s="45" t="n">
        <v>2456376.0653379</v>
      </c>
      <c r="M384" s="45" t="n">
        <v>600398.4750615299</v>
      </c>
      <c r="N384" s="45" t="n">
        <v>358599.9972</v>
      </c>
      <c r="O384" s="45" t="n">
        <v>0</v>
      </c>
      <c r="P384" s="45" t="n">
        <v>0</v>
      </c>
      <c r="Q384" s="45" t="n">
        <v>182460.42</v>
      </c>
      <c r="R384" s="45" t="n">
        <v>108978.135054</v>
      </c>
      <c r="S384" s="45" t="n">
        <v>5511471.36506153</v>
      </c>
      <c r="T384" s="45" t="n">
        <v>3291836.5022109</v>
      </c>
      <c r="U384" s="15" t="n">
        <v>67.42846618782126</v>
      </c>
      <c r="V384" s="15" t="n">
        <v>62.78726545992161</v>
      </c>
      <c r="W384" s="49" t="n">
        <v>59.727</v>
      </c>
    </row>
    <row r="385">
      <c r="A385" s="44" t="inlineStr">
        <is>
          <t>TL Cinsi Kuponsuz Senetler</t>
        </is>
      </c>
      <c r="B385" s="44" t="n">
        <v>2003</v>
      </c>
      <c r="C385" s="44" t="inlineStr">
        <is>
          <t>TRB180204T12</t>
        </is>
      </c>
      <c r="D385" s="44" t="inlineStr">
        <is>
          <t>nan</t>
        </is>
      </c>
      <c r="E385" s="44" t="inlineStr">
        <is>
          <t>nan</t>
        </is>
      </c>
      <c r="F385" s="44" t="n"/>
      <c r="G385" s="44" t="n"/>
      <c r="H385" s="15" t="n"/>
      <c r="I385" s="45" t="n">
        <v>3126691.545</v>
      </c>
      <c r="J385" s="45" t="n">
        <v>2170536.627</v>
      </c>
      <c r="K385" s="45" t="n">
        <v>2901965.115</v>
      </c>
      <c r="L385" s="45" t="n">
        <v>2006476.7198133</v>
      </c>
      <c r="M385" s="45" t="n">
        <v>7231.494605305024</v>
      </c>
      <c r="N385" s="45" t="n">
        <v>5000</v>
      </c>
      <c r="O385" s="45" t="n">
        <v>0</v>
      </c>
      <c r="P385" s="45" t="n">
        <v>0</v>
      </c>
      <c r="Q385" s="45" t="n">
        <v>105972.525</v>
      </c>
      <c r="R385" s="45" t="n">
        <v>73271.5232353</v>
      </c>
      <c r="S385" s="45" t="n">
        <v>3469722.144605305</v>
      </c>
      <c r="T385" s="45" t="n">
        <v>2399035.2852228</v>
      </c>
      <c r="U385" s="15" t="n">
        <v>44.62989210610048</v>
      </c>
      <c r="V385" s="15" t="n">
        <v>56.4755363392228</v>
      </c>
      <c r="W385" s="49" t="n">
        <v>69.142</v>
      </c>
    </row>
    <row r="386">
      <c r="A386" s="44" t="inlineStr">
        <is>
          <t>TL Cinsi Kuponsuz Senetler</t>
        </is>
      </c>
      <c r="B386" s="44" t="n">
        <v>2003</v>
      </c>
      <c r="C386" s="44" t="inlineStr">
        <is>
          <t>TRB230703T11</t>
        </is>
      </c>
      <c r="D386" s="44" t="inlineStr">
        <is>
          <t>nan</t>
        </is>
      </c>
      <c r="E386" s="44" t="inlineStr">
        <is>
          <t>nan</t>
        </is>
      </c>
      <c r="F386" s="44" t="n"/>
      <c r="G386" s="44" t="n"/>
      <c r="H386" s="15" t="n"/>
      <c r="I386" s="45" t="n">
        <v>2014619.715</v>
      </c>
      <c r="J386" s="45" t="n">
        <v>1834340.277</v>
      </c>
      <c r="K386" s="45" t="n">
        <v>1253735.935</v>
      </c>
      <c r="L386" s="45" t="n">
        <v>1140999.9997248</v>
      </c>
      <c r="M386" s="45" t="n">
        <v>0</v>
      </c>
      <c r="N386" s="45" t="n">
        <v>0</v>
      </c>
      <c r="O386" s="45" t="n">
        <v>0</v>
      </c>
      <c r="P386" s="45" t="n">
        <v>0</v>
      </c>
      <c r="Q386" s="45" t="n">
        <v>0</v>
      </c>
      <c r="R386" s="45" t="n">
        <v>0</v>
      </c>
      <c r="S386" s="45" t="n">
        <v>1253735.935</v>
      </c>
      <c r="T386" s="45" t="n">
        <v>1140999.9997248</v>
      </c>
      <c r="U386" s="15" t="n">
        <v>9.880450070323498</v>
      </c>
      <c r="V386" s="15" t="n">
        <v>46.38629001444185</v>
      </c>
      <c r="W386" s="49" t="n">
        <v>91.008</v>
      </c>
    </row>
    <row r="387">
      <c r="A387" s="44" t="inlineStr">
        <is>
          <t>TL Cinsi Kuponsuz Senetler</t>
        </is>
      </c>
      <c r="B387" s="44" t="n">
        <v>2003</v>
      </c>
      <c r="C387" s="44" t="inlineStr">
        <is>
          <t>TRB051103T17</t>
        </is>
      </c>
      <c r="D387" s="44" t="inlineStr">
        <is>
          <t>nan</t>
        </is>
      </c>
      <c r="E387" s="44" t="inlineStr">
        <is>
          <t>nan</t>
        </is>
      </c>
      <c r="F387" s="44" t="n"/>
      <c r="G387" s="44" t="n"/>
      <c r="H387" s="15" t="n"/>
      <c r="I387" s="45" t="n">
        <v>1269109.64</v>
      </c>
      <c r="J387" s="45" t="n">
        <v>1043366.96</v>
      </c>
      <c r="K387" s="45" t="n">
        <v>1072965.01</v>
      </c>
      <c r="L387" s="45" t="n">
        <v>878404.2647367</v>
      </c>
      <c r="M387" s="45" t="n">
        <v>30537.33494570462</v>
      </c>
      <c r="N387" s="45" t="n">
        <v>25000</v>
      </c>
      <c r="O387" s="45" t="n">
        <v>0</v>
      </c>
      <c r="P387" s="45" t="n">
        <v>0</v>
      </c>
      <c r="Q387" s="45" t="n">
        <v>0</v>
      </c>
      <c r="R387" s="45" t="n">
        <v>0</v>
      </c>
      <c r="S387" s="45" t="n">
        <v>1254738.274945704</v>
      </c>
      <c r="T387" s="45" t="n">
        <v>1027216.5835498</v>
      </c>
      <c r="U387" s="15" t="n">
        <v>22.14933978281848</v>
      </c>
      <c r="V387" s="15" t="n">
        <v>49.20461209378442</v>
      </c>
      <c r="W387" s="49" t="n">
        <v>81.867</v>
      </c>
    </row>
    <row r="388">
      <c r="A388" s="44" t="inlineStr">
        <is>
          <t>TL Cinsi Kuponsuz Senetler</t>
        </is>
      </c>
      <c r="B388" s="44" t="n">
        <v>2003</v>
      </c>
      <c r="C388" s="44" t="inlineStr">
        <is>
          <t>TRB180204T12</t>
        </is>
      </c>
      <c r="D388" s="44" t="inlineStr">
        <is>
          <t>nan</t>
        </is>
      </c>
      <c r="E388" s="44" t="inlineStr">
        <is>
          <t>nan</t>
        </is>
      </c>
      <c r="F388" s="44" t="n"/>
      <c r="G388" s="44" t="n"/>
      <c r="H388" s="15" t="n"/>
      <c r="I388" s="45" t="n">
        <v>2564003.565</v>
      </c>
      <c r="J388" s="45" t="n">
        <v>1825447.74</v>
      </c>
      <c r="K388" s="45" t="n">
        <v>2070819.035</v>
      </c>
      <c r="L388" s="45" t="n">
        <v>1470281.51485</v>
      </c>
      <c r="M388" s="45" t="n">
        <v>181690.1408450704</v>
      </c>
      <c r="N388" s="45" t="n">
        <v>129000</v>
      </c>
      <c r="O388" s="45" t="n">
        <v>0</v>
      </c>
      <c r="P388" s="45" t="n">
        <v>0</v>
      </c>
      <c r="Q388" s="45" t="n">
        <v>0</v>
      </c>
      <c r="R388" s="45" t="n">
        <v>0</v>
      </c>
      <c r="S388" s="45" t="n">
        <v>2694890.50084507</v>
      </c>
      <c r="T388" s="45" t="n">
        <v>1913372.2556</v>
      </c>
      <c r="U388" s="15" t="n">
        <v>40.8450704225352</v>
      </c>
      <c r="V388" s="15" t="n">
        <v>54.40023178668309</v>
      </c>
      <c r="W388" s="49" t="n">
        <v>71</v>
      </c>
    </row>
    <row r="389">
      <c r="A389" s="44" t="inlineStr">
        <is>
          <t>TL Cinsi Kuponsuz Senetler</t>
        </is>
      </c>
      <c r="B389" s="44" t="n">
        <v>2003</v>
      </c>
      <c r="C389" s="44" t="inlineStr">
        <is>
          <t>TRT260504T19</t>
        </is>
      </c>
      <c r="D389" s="44" t="inlineStr">
        <is>
          <t>nan</t>
        </is>
      </c>
      <c r="E389" s="44" t="inlineStr">
        <is>
          <t>nan</t>
        </is>
      </c>
      <c r="F389" s="44" t="n"/>
      <c r="G389" s="44" t="n"/>
      <c r="H389" s="15" t="n"/>
      <c r="I389" s="45" t="n">
        <v>5068793.82</v>
      </c>
      <c r="J389" s="45" t="n">
        <v>3226679.069</v>
      </c>
      <c r="K389" s="45" t="n">
        <v>3830539.095</v>
      </c>
      <c r="L389" s="45" t="n">
        <v>2432966.90618925</v>
      </c>
      <c r="M389" s="45" t="n">
        <v>37786.34968117768</v>
      </c>
      <c r="N389" s="45" t="n">
        <v>24000</v>
      </c>
      <c r="O389" s="45" t="n">
        <v>0</v>
      </c>
      <c r="P389" s="45" t="n">
        <v>0</v>
      </c>
      <c r="Q389" s="45" t="n">
        <v>19047.035</v>
      </c>
      <c r="R389" s="45" t="n">
        <v>12097.72428025</v>
      </c>
      <c r="S389" s="45" t="n">
        <v>4672361.139681178</v>
      </c>
      <c r="T389" s="45" t="n">
        <v>2967650.1778685</v>
      </c>
      <c r="U389" s="15" t="n">
        <v>57.44312367157364</v>
      </c>
      <c r="V389" s="15" t="n">
        <v>53.5930257150733</v>
      </c>
      <c r="W389" s="49" t="n">
        <v>63.515</v>
      </c>
    </row>
    <row r="390">
      <c r="A390" s="44" t="inlineStr">
        <is>
          <t>TL Cinsi Kuponsuz Senetler</t>
        </is>
      </c>
      <c r="B390" s="44" t="n">
        <v>2003</v>
      </c>
      <c r="C390" s="44" t="inlineStr">
        <is>
          <t>TRB130803T20</t>
        </is>
      </c>
      <c r="D390" s="44" t="inlineStr">
        <is>
          <t>nan</t>
        </is>
      </c>
      <c r="E390" s="44" t="inlineStr">
        <is>
          <t>nan</t>
        </is>
      </c>
      <c r="F390" s="44" t="n"/>
      <c r="G390" s="44" t="n"/>
      <c r="H390" s="15" t="n"/>
      <c r="I390" s="45" t="n">
        <v>1891565.065</v>
      </c>
      <c r="J390" s="45" t="n">
        <v>1735752.596</v>
      </c>
      <c r="K390" s="45" t="n">
        <v>1676617.95</v>
      </c>
      <c r="L390" s="45" t="n">
        <v>1536000.0025335</v>
      </c>
      <c r="M390" s="45" t="n">
        <v>0</v>
      </c>
      <c r="N390" s="45" t="n">
        <v>0</v>
      </c>
      <c r="O390" s="45" t="n">
        <v>0</v>
      </c>
      <c r="P390" s="45" t="n">
        <v>0</v>
      </c>
      <c r="Q390" s="45" t="n">
        <v>0</v>
      </c>
      <c r="R390" s="45" t="n">
        <v>0</v>
      </c>
      <c r="S390" s="45" t="n">
        <v>1676617.95</v>
      </c>
      <c r="T390" s="45" t="n">
        <v>1536000.0025335</v>
      </c>
      <c r="U390" s="15" t="n">
        <v>9.154814273083511</v>
      </c>
      <c r="V390" s="15" t="n">
        <v>41.96182705567579</v>
      </c>
      <c r="W390" s="49" t="n">
        <v>91.613</v>
      </c>
    </row>
    <row r="391">
      <c r="A391" s="44" t="inlineStr">
        <is>
          <t>TL Cinsi Kuponsuz Senetler</t>
        </is>
      </c>
      <c r="B391" s="44" t="n">
        <v>2003</v>
      </c>
      <c r="C391" s="44" t="inlineStr">
        <is>
          <t>TRB051103T17</t>
        </is>
      </c>
      <c r="D391" s="44" t="inlineStr">
        <is>
          <t>nan</t>
        </is>
      </c>
      <c r="E391" s="44" t="inlineStr">
        <is>
          <t>nan</t>
        </is>
      </c>
      <c r="F391" s="44" t="n"/>
      <c r="G391" s="44" t="n"/>
      <c r="H391" s="15" t="n"/>
      <c r="I391" s="45" t="n">
        <v>853100.52</v>
      </c>
      <c r="J391" s="45" t="n">
        <v>715592.3</v>
      </c>
      <c r="K391" s="45" t="n">
        <v>774288.05</v>
      </c>
      <c r="L391" s="45" t="n">
        <v>647568.0677370001</v>
      </c>
      <c r="M391" s="45" t="n">
        <v>51115.57500538059</v>
      </c>
      <c r="N391" s="45" t="n">
        <v>42750</v>
      </c>
      <c r="O391" s="45" t="n">
        <v>0</v>
      </c>
      <c r="P391" s="45" t="n">
        <v>0</v>
      </c>
      <c r="Q391" s="45" t="n">
        <v>0</v>
      </c>
      <c r="R391" s="45" t="n">
        <v>0</v>
      </c>
      <c r="S391" s="45" t="n">
        <v>926603.8600053806</v>
      </c>
      <c r="T391" s="45" t="n">
        <v>774955.8722769001</v>
      </c>
      <c r="U391" s="15" t="n">
        <v>19.56859650381424</v>
      </c>
      <c r="V391" s="15" t="n">
        <v>47.28904681780255</v>
      </c>
      <c r="W391" s="49" t="n">
        <v>83.634</v>
      </c>
    </row>
    <row r="392">
      <c r="A392" s="44" t="inlineStr">
        <is>
          <t>TL Cinsi Kuponsuz Senetler</t>
        </is>
      </c>
      <c r="B392" s="44" t="n">
        <v>2003</v>
      </c>
      <c r="C392" s="44" t="inlineStr">
        <is>
          <t>TRT070704T10</t>
        </is>
      </c>
      <c r="D392" s="44" t="inlineStr">
        <is>
          <t>nan</t>
        </is>
      </c>
      <c r="E392" s="44" t="inlineStr">
        <is>
          <t>nan</t>
        </is>
      </c>
      <c r="F392" s="44" t="n"/>
      <c r="G392" s="44" t="n"/>
      <c r="H392" s="15" t="n"/>
      <c r="I392" s="45" t="n">
        <v>4557370.815</v>
      </c>
      <c r="J392" s="45" t="n">
        <v>2818221.772</v>
      </c>
      <c r="K392" s="45" t="n">
        <v>3103044.4</v>
      </c>
      <c r="L392" s="45" t="n">
        <v>1915292.095012</v>
      </c>
      <c r="M392" s="45" t="n">
        <v>492118.0111141714</v>
      </c>
      <c r="N392" s="45" t="n">
        <v>303750</v>
      </c>
      <c r="O392" s="45" t="n">
        <v>0</v>
      </c>
      <c r="P392" s="45" t="n">
        <v>0</v>
      </c>
      <c r="Q392" s="45" t="n">
        <v>55498.045</v>
      </c>
      <c r="R392" s="45" t="n">
        <v>34255.05831535</v>
      </c>
      <c r="S392" s="45" t="n">
        <v>4266866.356114171</v>
      </c>
      <c r="T392" s="45" t="n">
        <v>2633637.92098435</v>
      </c>
      <c r="U392" s="15" t="n">
        <v>62.01416003758729</v>
      </c>
      <c r="V392" s="15" t="n">
        <v>52.99976238461394</v>
      </c>
      <c r="W392" s="49" t="n">
        <v>61.723</v>
      </c>
    </row>
    <row r="393">
      <c r="A393" s="44" t="inlineStr">
        <is>
          <t>TL Cinsi Kuponsuz Senetler</t>
        </is>
      </c>
      <c r="B393" s="44" t="n">
        <v>2003</v>
      </c>
      <c r="C393" s="44" t="inlineStr">
        <is>
          <t>TRB051103T17</t>
        </is>
      </c>
      <c r="D393" s="44" t="inlineStr">
        <is>
          <t>nan</t>
        </is>
      </c>
      <c r="E393" s="44" t="inlineStr">
        <is>
          <t>nan</t>
        </is>
      </c>
      <c r="F393" s="44" t="n"/>
      <c r="G393" s="44" t="n"/>
      <c r="H393" s="15" t="n"/>
      <c r="I393" s="45" t="n">
        <v>465873.19</v>
      </c>
      <c r="J393" s="45" t="n">
        <v>397752.962</v>
      </c>
      <c r="K393" s="45" t="n">
        <v>393668.505</v>
      </c>
      <c r="L393" s="45" t="n">
        <v>335476.4265909001</v>
      </c>
      <c r="M393" s="45" t="n">
        <v>56326.12828275716</v>
      </c>
      <c r="N393" s="45" t="n">
        <v>48000</v>
      </c>
      <c r="O393" s="45" t="n">
        <v>0</v>
      </c>
      <c r="P393" s="45" t="n">
        <v>0</v>
      </c>
      <c r="Q393" s="45" t="n">
        <v>0</v>
      </c>
      <c r="R393" s="45" t="n">
        <v>0</v>
      </c>
      <c r="S393" s="45" t="n">
        <v>505374.1232827572</v>
      </c>
      <c r="T393" s="45" t="n">
        <v>430669.7203791001</v>
      </c>
      <c r="U393" s="15" t="n">
        <v>17.34610058907742</v>
      </c>
      <c r="V393" s="15" t="n">
        <v>45.94817104506943</v>
      </c>
      <c r="W393" s="49" t="n">
        <v>85.218</v>
      </c>
    </row>
    <row r="394">
      <c r="A394" s="44" t="inlineStr">
        <is>
          <t>TL Cinsi Kuponsuz Senetler</t>
        </is>
      </c>
      <c r="B394" s="44" t="n">
        <v>2003</v>
      </c>
      <c r="C394" s="44" t="inlineStr">
        <is>
          <t>TRT070704T10</t>
        </is>
      </c>
      <c r="D394" s="44" t="inlineStr">
        <is>
          <t>nan</t>
        </is>
      </c>
      <c r="E394" s="44" t="inlineStr">
        <is>
          <t>nan</t>
        </is>
      </c>
      <c r="F394" s="44" t="n"/>
      <c r="G394" s="44" t="n"/>
      <c r="H394" s="15" t="n"/>
      <c r="I394" s="45" t="n">
        <v>3813745.48</v>
      </c>
      <c r="J394" s="45" t="n">
        <v>2495864.991</v>
      </c>
      <c r="K394" s="45" t="n">
        <v>2534823.595</v>
      </c>
      <c r="L394" s="45" t="n">
        <v>1656963.4875796</v>
      </c>
      <c r="M394" s="45" t="n">
        <v>229470.0771019459</v>
      </c>
      <c r="N394" s="45" t="n">
        <v>150000</v>
      </c>
      <c r="O394" s="45" t="n">
        <v>0</v>
      </c>
      <c r="P394" s="45" t="n">
        <v>0</v>
      </c>
      <c r="Q394" s="45" t="n">
        <v>50183.47</v>
      </c>
      <c r="R394" s="45" t="n">
        <v>32803.9306696</v>
      </c>
      <c r="S394" s="45" t="n">
        <v>2979841.742101946</v>
      </c>
      <c r="T394" s="45" t="n">
        <v>1947862.9499772</v>
      </c>
      <c r="U394" s="15" t="n">
        <v>52.98005140129727</v>
      </c>
      <c r="V394" s="15" t="n">
        <v>48.4043401734835</v>
      </c>
      <c r="W394" s="49" t="n">
        <v>65.36799999999999</v>
      </c>
    </row>
    <row r="395">
      <c r="A395" s="44" t="inlineStr">
        <is>
          <t>TL Cinsi Kuponsuz Senetler</t>
        </is>
      </c>
      <c r="B395" s="44" t="n">
        <v>2003</v>
      </c>
      <c r="C395" s="44" t="inlineStr">
        <is>
          <t>TRB170903T17</t>
        </is>
      </c>
      <c r="D395" s="44" t="inlineStr">
        <is>
          <t>nan</t>
        </is>
      </c>
      <c r="E395" s="44" t="inlineStr">
        <is>
          <t>nan</t>
        </is>
      </c>
      <c r="F395" s="44" t="n"/>
      <c r="G395" s="44" t="n"/>
      <c r="H395" s="15" t="n"/>
      <c r="I395" s="45" t="n">
        <v>2261005.075</v>
      </c>
      <c r="J395" s="45" t="n">
        <v>2082639.222</v>
      </c>
      <c r="K395" s="45" t="n">
        <v>1723613.29</v>
      </c>
      <c r="L395" s="45" t="n">
        <v>1586000.0049264</v>
      </c>
      <c r="M395" s="45" t="n">
        <v>0</v>
      </c>
      <c r="N395" s="45" t="n">
        <v>0</v>
      </c>
      <c r="O395" s="45" t="n">
        <v>0</v>
      </c>
      <c r="P395" s="45" t="n">
        <v>0</v>
      </c>
      <c r="Q395" s="45" t="n">
        <v>0</v>
      </c>
      <c r="R395" s="45" t="n">
        <v>0</v>
      </c>
      <c r="S395" s="45" t="n">
        <v>1723613.29</v>
      </c>
      <c r="T395" s="45" t="n">
        <v>1586000.0049264</v>
      </c>
      <c r="U395" s="15" t="n">
        <v>8.676751869240128</v>
      </c>
      <c r="V395" s="15" t="n">
        <v>39.49113209855988</v>
      </c>
      <c r="W395" s="49" t="n">
        <v>92.01600000000001</v>
      </c>
    </row>
    <row r="396">
      <c r="A396" s="44" t="inlineStr">
        <is>
          <t>TL Cinsi Kuponsuz Senetler</t>
        </is>
      </c>
      <c r="B396" s="44" t="n">
        <v>2003</v>
      </c>
      <c r="C396" s="44" t="inlineStr">
        <is>
          <t>TRB090604T19</t>
        </is>
      </c>
      <c r="D396" s="44" t="inlineStr">
        <is>
          <t>nan</t>
        </is>
      </c>
      <c r="E396" s="44" t="inlineStr">
        <is>
          <t>nan</t>
        </is>
      </c>
      <c r="F396" s="44" t="n"/>
      <c r="G396" s="44" t="n"/>
      <c r="H396" s="15" t="n"/>
      <c r="I396" s="45" t="n">
        <v>3605977.235</v>
      </c>
      <c r="J396" s="45" t="n">
        <v>2440115.871</v>
      </c>
      <c r="K396" s="45" t="n">
        <v>2751881.09</v>
      </c>
      <c r="L396" s="45" t="n">
        <v>1856804.2466666</v>
      </c>
      <c r="M396" s="45" t="n">
        <v>75584.66965053206</v>
      </c>
      <c r="N396" s="45" t="n">
        <v>51000</v>
      </c>
      <c r="O396" s="45" t="n">
        <v>0</v>
      </c>
      <c r="P396" s="45" t="n">
        <v>0</v>
      </c>
      <c r="Q396" s="45" t="n">
        <v>41311.505</v>
      </c>
      <c r="R396" s="45" t="n">
        <v>27874.5248837</v>
      </c>
      <c r="S396" s="45" t="n">
        <v>3303117.989650532</v>
      </c>
      <c r="T396" s="45" t="n">
        <v>2228745.8323368</v>
      </c>
      <c r="U396" s="15" t="n">
        <v>48.20523460888639</v>
      </c>
      <c r="V396" s="15" t="n">
        <v>49.35295123641487</v>
      </c>
      <c r="W396" s="49" t="n">
        <v>67.474</v>
      </c>
    </row>
    <row r="397">
      <c r="A397" s="44" t="inlineStr">
        <is>
          <t>TL Cinsi Kuponsuz Senetler</t>
        </is>
      </c>
      <c r="B397" s="44" t="n">
        <v>2003</v>
      </c>
      <c r="C397" s="44" t="inlineStr">
        <is>
          <t>TRB051103T17</t>
        </is>
      </c>
      <c r="D397" s="44" t="inlineStr">
        <is>
          <t>nan</t>
        </is>
      </c>
      <c r="E397" s="44" t="inlineStr">
        <is>
          <t>nan</t>
        </is>
      </c>
      <c r="F397" s="44" t="n"/>
      <c r="G397" s="44" t="n"/>
      <c r="H397" s="15" t="n"/>
      <c r="I397" s="45" t="n">
        <v>1426942.165</v>
      </c>
      <c r="J397" s="45" t="n">
        <v>1240403.468</v>
      </c>
      <c r="K397" s="45" t="n">
        <v>1161256.15</v>
      </c>
      <c r="L397" s="45" t="n">
        <v>1007958.7256385</v>
      </c>
      <c r="M397" s="45" t="n">
        <v>34562.61016831992</v>
      </c>
      <c r="N397" s="45" t="n">
        <v>30000</v>
      </c>
      <c r="O397" s="45" t="n">
        <v>0</v>
      </c>
      <c r="P397" s="45" t="n">
        <v>0</v>
      </c>
      <c r="Q397" s="45" t="n">
        <v>0</v>
      </c>
      <c r="R397" s="45" t="n">
        <v>0</v>
      </c>
      <c r="S397" s="45" t="n">
        <v>1293447.90016832</v>
      </c>
      <c r="T397" s="45" t="n">
        <v>1122699.8428671</v>
      </c>
      <c r="U397" s="15" t="n">
        <v>15.20870056106638</v>
      </c>
      <c r="V397" s="15" t="n">
        <v>44.49796252995151</v>
      </c>
      <c r="W397" s="49" t="n">
        <v>86.79900000000001</v>
      </c>
    </row>
    <row r="398">
      <c r="A398" s="44" t="inlineStr">
        <is>
          <t>TL Cinsi Kuponsuz Senetler</t>
        </is>
      </c>
      <c r="B398" s="44" t="n">
        <v>2003</v>
      </c>
      <c r="C398" s="44" t="inlineStr">
        <is>
          <t>TRB191103T11</t>
        </is>
      </c>
      <c r="D398" s="44" t="inlineStr">
        <is>
          <t>nan</t>
        </is>
      </c>
      <c r="E398" s="44" t="inlineStr">
        <is>
          <t>nan</t>
        </is>
      </c>
      <c r="F398" s="44" t="n"/>
      <c r="G398" s="44" t="n"/>
      <c r="H398" s="15" t="n"/>
      <c r="I398" s="45" t="n">
        <v>2241606.9</v>
      </c>
      <c r="J398" s="45" t="n">
        <v>1951271.002</v>
      </c>
      <c r="K398" s="45" t="n">
        <v>2194618.23</v>
      </c>
      <c r="L398" s="45" t="n">
        <v>1904884.7312754</v>
      </c>
      <c r="M398" s="45" t="n">
        <v>0</v>
      </c>
      <c r="N398" s="45" t="n">
        <v>0</v>
      </c>
      <c r="O398" s="45" t="n">
        <v>144012.5348510334</v>
      </c>
      <c r="P398" s="45" t="n">
        <v>125000</v>
      </c>
      <c r="Q398" s="45" t="n">
        <v>0</v>
      </c>
      <c r="R398" s="45" t="n">
        <v>0</v>
      </c>
      <c r="S398" s="45" t="n">
        <v>2411019.444851033</v>
      </c>
      <c r="T398" s="45" t="n">
        <v>2092716.6577418</v>
      </c>
      <c r="U398" s="15" t="n">
        <v>15.21002788082675</v>
      </c>
      <c r="V398" s="15" t="n">
        <v>44.50229094956126</v>
      </c>
      <c r="W398" s="49" t="n">
        <v>86.798</v>
      </c>
    </row>
    <row r="399">
      <c r="A399" s="44" t="inlineStr">
        <is>
          <t>TL Cinsi Kuponsuz Senetler</t>
        </is>
      </c>
      <c r="B399" s="44" t="n">
        <v>2003</v>
      </c>
      <c r="C399" s="44" t="inlineStr">
        <is>
          <t>TRT180804T16</t>
        </is>
      </c>
      <c r="D399" s="44" t="inlineStr">
        <is>
          <t>nan</t>
        </is>
      </c>
      <c r="E399" s="44" t="inlineStr">
        <is>
          <t>nan</t>
        </is>
      </c>
      <c r="F399" s="44" t="n"/>
      <c r="G399" s="44" t="n"/>
      <c r="H399" s="15" t="n"/>
      <c r="I399" s="45" t="n">
        <v>7587775.59</v>
      </c>
      <c r="J399" s="45" t="n">
        <v>4774942.75</v>
      </c>
      <c r="K399" s="45" t="n">
        <v>6667321.605</v>
      </c>
      <c r="L399" s="45" t="n">
        <v>4178343.77663745</v>
      </c>
      <c r="M399" s="45" t="n">
        <v>1021238.570904275</v>
      </c>
      <c r="N399" s="45" t="n">
        <v>640000</v>
      </c>
      <c r="O399" s="45" t="n">
        <v>0</v>
      </c>
      <c r="P399" s="45" t="n">
        <v>0</v>
      </c>
      <c r="Q399" s="45" t="n">
        <v>313195.15</v>
      </c>
      <c r="R399" s="45" t="n">
        <v>196276.2685535</v>
      </c>
      <c r="S399" s="45" t="n">
        <v>8704627.685904276</v>
      </c>
      <c r="T399" s="45" t="n">
        <v>5455103.124479351</v>
      </c>
      <c r="U399" s="15" t="n">
        <v>59.56852670379293</v>
      </c>
      <c r="V399" s="15" t="n">
        <v>50.96238542105762</v>
      </c>
      <c r="W399" s="49" t="n">
        <v>62.669</v>
      </c>
    </row>
    <row r="400">
      <c r="A400" s="44" t="inlineStr">
        <is>
          <t>TL Cinsi Kuponsuz Senetler</t>
        </is>
      </c>
      <c r="B400" s="44" t="n">
        <v>2003</v>
      </c>
      <c r="C400" s="44" t="inlineStr">
        <is>
          <t>TRB191103T11</t>
        </is>
      </c>
      <c r="D400" s="44" t="inlineStr">
        <is>
          <t>nan</t>
        </is>
      </c>
      <c r="E400" s="44" t="inlineStr">
        <is>
          <t>nan</t>
        </is>
      </c>
      <c r="F400" s="44" t="n"/>
      <c r="G400" s="44" t="n"/>
      <c r="H400" s="15" t="n"/>
      <c r="I400" s="45" t="n">
        <v>1908799.965</v>
      </c>
      <c r="J400" s="45" t="n">
        <v>1685516.694</v>
      </c>
      <c r="K400" s="45" t="n">
        <v>1472702.725</v>
      </c>
      <c r="L400" s="45" t="n">
        <v>1299512.88454</v>
      </c>
      <c r="M400" s="45" t="n">
        <v>175657.2982774252</v>
      </c>
      <c r="N400" s="45" t="n">
        <v>155000</v>
      </c>
      <c r="O400" s="45" t="n">
        <v>20398.91205802357</v>
      </c>
      <c r="P400" s="45" t="n">
        <v>18000</v>
      </c>
      <c r="Q400" s="45" t="n">
        <v>0</v>
      </c>
      <c r="R400" s="45" t="n">
        <v>0</v>
      </c>
      <c r="S400" s="45" t="n">
        <v>1976205.320335449</v>
      </c>
      <c r="T400" s="45" t="n">
        <v>1743803.574664</v>
      </c>
      <c r="U400" s="15" t="n">
        <v>13.32728921124207</v>
      </c>
      <c r="V400" s="15" t="n">
        <v>43.53781634242164</v>
      </c>
      <c r="W400" s="49" t="n">
        <v>88.23999999999999</v>
      </c>
    </row>
    <row r="401">
      <c r="A401" s="44" t="inlineStr">
        <is>
          <t>TL Cinsi Kuponsuz Senetler</t>
        </is>
      </c>
      <c r="B401" s="44" t="n">
        <v>2003</v>
      </c>
      <c r="C401" s="44" t="inlineStr">
        <is>
          <t>TRB221003T17</t>
        </is>
      </c>
      <c r="D401" s="44" t="inlineStr">
        <is>
          <t>nan</t>
        </is>
      </c>
      <c r="E401" s="44" t="inlineStr">
        <is>
          <t>nan</t>
        </is>
      </c>
      <c r="F401" s="44" t="n"/>
      <c r="G401" s="44" t="n"/>
      <c r="H401" s="15" t="n"/>
      <c r="I401" s="45" t="n">
        <v>2187390.965</v>
      </c>
      <c r="J401" s="45" t="n">
        <v>2032326.24</v>
      </c>
      <c r="K401" s="45" t="n">
        <v>1940751.495</v>
      </c>
      <c r="L401" s="45" t="n">
        <v>1797000.03176535</v>
      </c>
      <c r="M401" s="45" t="n">
        <v>0</v>
      </c>
      <c r="N401" s="45" t="n">
        <v>0</v>
      </c>
      <c r="O401" s="45" t="n">
        <v>0</v>
      </c>
      <c r="P401" s="45" t="n">
        <v>0</v>
      </c>
      <c r="Q401" s="45" t="n">
        <v>0</v>
      </c>
      <c r="R401" s="45" t="n">
        <v>0</v>
      </c>
      <c r="S401" s="45" t="n">
        <v>1940751.495</v>
      </c>
      <c r="T401" s="45" t="n">
        <v>1797000.03176535</v>
      </c>
      <c r="U401" s="15" t="n">
        <v>7.999524802090874</v>
      </c>
      <c r="V401" s="15" t="n">
        <v>36.04650156576925</v>
      </c>
      <c r="W401" s="49" t="n">
        <v>92.593</v>
      </c>
    </row>
    <row r="402">
      <c r="A402" s="44" t="inlineStr">
        <is>
          <t>TL Cinsi Kuponsuz Senetler</t>
        </is>
      </c>
      <c r="B402" s="44" t="n">
        <v>2003</v>
      </c>
      <c r="C402" s="44" t="inlineStr">
        <is>
          <t>TRB121103T18</t>
        </is>
      </c>
      <c r="D402" s="44" t="inlineStr">
        <is>
          <t>nan</t>
        </is>
      </c>
      <c r="E402" s="44" t="inlineStr">
        <is>
          <t>nan</t>
        </is>
      </c>
      <c r="F402" s="44" t="n"/>
      <c r="G402" s="44" t="n"/>
      <c r="H402" s="15" t="n"/>
      <c r="I402" s="45" t="n">
        <v>2551535.165</v>
      </c>
      <c r="J402" s="45" t="n">
        <v>2373744.035</v>
      </c>
      <c r="K402" s="45" t="n">
        <v>1932309.955</v>
      </c>
      <c r="L402" s="45" t="n">
        <v>1795000.0095977</v>
      </c>
      <c r="M402" s="45" t="n">
        <v>0</v>
      </c>
      <c r="N402" s="45" t="n">
        <v>0</v>
      </c>
      <c r="O402" s="45" t="n">
        <v>0</v>
      </c>
      <c r="P402" s="45" t="n">
        <v>0</v>
      </c>
      <c r="Q402" s="45" t="n">
        <v>0</v>
      </c>
      <c r="R402" s="45" t="n">
        <v>0</v>
      </c>
      <c r="S402" s="45" t="n">
        <v>1932309.955</v>
      </c>
      <c r="T402" s="45" t="n">
        <v>1795000.0095977</v>
      </c>
      <c r="U402" s="15" t="n">
        <v>7.649579090145764</v>
      </c>
      <c r="V402" s="15" t="n">
        <v>34.29175339766471</v>
      </c>
      <c r="W402" s="49" t="n">
        <v>92.89400000000001</v>
      </c>
    </row>
    <row r="403">
      <c r="A403" s="44" t="inlineStr">
        <is>
          <t>TL Cinsi Kuponsuz Senetler</t>
        </is>
      </c>
      <c r="B403" s="44" t="n">
        <v>2003</v>
      </c>
      <c r="C403" s="44" t="inlineStr">
        <is>
          <t>TRB070404T13</t>
        </is>
      </c>
      <c r="D403" s="44" t="inlineStr">
        <is>
          <t>nan</t>
        </is>
      </c>
      <c r="E403" s="44" t="inlineStr">
        <is>
          <t>nan</t>
        </is>
      </c>
      <c r="F403" s="44" t="n"/>
      <c r="G403" s="44" t="n"/>
      <c r="H403" s="15" t="n"/>
      <c r="I403" s="45" t="n">
        <v>1703103.315</v>
      </c>
      <c r="J403" s="45" t="n">
        <v>1358268.933</v>
      </c>
      <c r="K403" s="45" t="n">
        <v>1119941.165</v>
      </c>
      <c r="L403" s="45" t="n">
        <v>892111.5338040501</v>
      </c>
      <c r="M403" s="45" t="n">
        <v>230410.3845236451</v>
      </c>
      <c r="N403" s="45" t="n">
        <v>183538</v>
      </c>
      <c r="O403" s="45" t="n">
        <v>0</v>
      </c>
      <c r="P403" s="45" t="n">
        <v>0</v>
      </c>
      <c r="Q403" s="45" t="n">
        <v>0</v>
      </c>
      <c r="R403" s="45" t="n">
        <v>0</v>
      </c>
      <c r="S403" s="45" t="n">
        <v>1596898.079523645</v>
      </c>
      <c r="T403" s="45" t="n">
        <v>1272041.10320615</v>
      </c>
      <c r="U403" s="15" t="n">
        <v>25.53824522640822</v>
      </c>
      <c r="V403" s="15" t="n">
        <v>41.60195804465798</v>
      </c>
      <c r="W403" s="49" t="n">
        <v>79.657</v>
      </c>
    </row>
    <row r="404">
      <c r="A404" s="44" t="inlineStr">
        <is>
          <t>TL Cinsi Kuponsuz Senetler</t>
        </is>
      </c>
      <c r="B404" s="44" t="n">
        <v>2003</v>
      </c>
      <c r="C404" s="44" t="inlineStr">
        <is>
          <t>TRT220904T27</t>
        </is>
      </c>
      <c r="D404" s="44" t="inlineStr">
        <is>
          <t>nan</t>
        </is>
      </c>
      <c r="E404" s="44" t="inlineStr">
        <is>
          <t>nan</t>
        </is>
      </c>
      <c r="F404" s="44" t="n"/>
      <c r="G404" s="44" t="n"/>
      <c r="H404" s="15" t="n"/>
      <c r="I404" s="45" t="n">
        <v>5325840.595</v>
      </c>
      <c r="J404" s="45" t="n">
        <v>3607196.153</v>
      </c>
      <c r="K404" s="45" t="n">
        <v>2045502.075</v>
      </c>
      <c r="L404" s="45" t="n">
        <v>1385541.285522</v>
      </c>
      <c r="M404" s="45" t="n">
        <v>515973.7750605291</v>
      </c>
      <c r="N404" s="45" t="n">
        <v>349499.996275</v>
      </c>
      <c r="O404" s="45" t="n">
        <v>0</v>
      </c>
      <c r="P404" s="45" t="n">
        <v>0</v>
      </c>
      <c r="Q404" s="45" t="n">
        <v>32296.64</v>
      </c>
      <c r="R404" s="45" t="n">
        <v>21876.4520704</v>
      </c>
      <c r="S404" s="45" t="n">
        <v>3069725.33006053</v>
      </c>
      <c r="T404" s="45" t="n">
        <v>2079309.1495698</v>
      </c>
      <c r="U404" s="15" t="n">
        <v>47.63198299279556</v>
      </c>
      <c r="V404" s="15" t="n">
        <v>41.80091297814577</v>
      </c>
      <c r="W404" s="49" t="n">
        <v>67.736</v>
      </c>
    </row>
    <row r="405">
      <c r="A405" s="44" t="inlineStr">
        <is>
          <t>TL Cinsi Kuponsuz Senetler</t>
        </is>
      </c>
      <c r="B405" s="44" t="n">
        <v>2003</v>
      </c>
      <c r="C405" s="44" t="inlineStr">
        <is>
          <t>TRB070404T13</t>
        </is>
      </c>
      <c r="D405" s="44" t="inlineStr">
        <is>
          <t>nan</t>
        </is>
      </c>
      <c r="E405" s="44" t="inlineStr">
        <is>
          <t>nan</t>
        </is>
      </c>
      <c r="F405" s="44" t="n"/>
      <c r="G405" s="44" t="n"/>
      <c r="H405" s="15" t="n"/>
      <c r="I405" s="45" t="n">
        <v>1227322.025</v>
      </c>
      <c r="J405" s="45" t="n">
        <v>1008350.266</v>
      </c>
      <c r="K405" s="45" t="n">
        <v>818489.42</v>
      </c>
      <c r="L405" s="45" t="n">
        <v>671742.4518882</v>
      </c>
      <c r="M405" s="45" t="n">
        <v>35700.79565254475</v>
      </c>
      <c r="N405" s="45" t="n">
        <v>29300</v>
      </c>
      <c r="O405" s="45" t="n">
        <v>121845.7189506647</v>
      </c>
      <c r="P405" s="45" t="n">
        <v>100000</v>
      </c>
      <c r="Q405" s="45" t="n"/>
      <c r="R405" s="45" t="n">
        <v>0</v>
      </c>
      <c r="S405" s="45" t="n">
        <v>976035.9346032094</v>
      </c>
      <c r="T405" s="45" t="n">
        <v>801042.4518882</v>
      </c>
      <c r="U405" s="15" t="n">
        <v>21.84571895066467</v>
      </c>
      <c r="V405" s="15" t="n">
        <v>37.86108641602753</v>
      </c>
      <c r="W405" s="49" t="n">
        <v>82.071</v>
      </c>
    </row>
    <row r="406">
      <c r="A406" s="44" t="inlineStr">
        <is>
          <t>TL Cinsi Kuponsuz Senetler</t>
        </is>
      </c>
      <c r="B406" s="44" t="n">
        <v>2003</v>
      </c>
      <c r="C406" s="44" t="inlineStr">
        <is>
          <t>TRT220904T27</t>
        </is>
      </c>
      <c r="D406" s="44" t="inlineStr">
        <is>
          <t>nan</t>
        </is>
      </c>
      <c r="E406" s="44" t="inlineStr">
        <is>
          <t>nan</t>
        </is>
      </c>
      <c r="F406" s="44" t="n"/>
      <c r="G406" s="44" t="n"/>
      <c r="H406" s="15" t="n"/>
      <c r="I406" s="45" t="n">
        <v>3370960.895</v>
      </c>
      <c r="J406" s="45" t="n">
        <v>2384902.399</v>
      </c>
      <c r="K406" s="45" t="n">
        <v>2173262.08</v>
      </c>
      <c r="L406" s="45" t="n">
        <v>1536278.964352</v>
      </c>
      <c r="M406" s="45" t="n">
        <v>233413.4955439242</v>
      </c>
      <c r="N406" s="45" t="n">
        <v>165000</v>
      </c>
      <c r="O406" s="45" t="n">
        <v>236242.7500353657</v>
      </c>
      <c r="P406" s="45" t="n">
        <v>167000</v>
      </c>
      <c r="Q406" s="45" t="n">
        <v>0</v>
      </c>
      <c r="R406" s="45" t="n">
        <v>0</v>
      </c>
      <c r="S406" s="45" t="n">
        <v>2642918.32557929</v>
      </c>
      <c r="T406" s="45" t="n">
        <v>1868278.964352</v>
      </c>
      <c r="U406" s="15" t="n">
        <v>41.46272457207525</v>
      </c>
      <c r="V406" s="15" t="n">
        <v>38.00088583568977</v>
      </c>
      <c r="W406" s="49" t="n">
        <v>70.69</v>
      </c>
    </row>
    <row r="407">
      <c r="A407" s="44" t="inlineStr">
        <is>
          <t>TL Cinsi Kuponsuz Senetler</t>
        </is>
      </c>
      <c r="B407" s="44" t="n">
        <v>2003</v>
      </c>
      <c r="C407" s="44" t="inlineStr">
        <is>
          <t>TRB171203T12</t>
        </is>
      </c>
      <c r="D407" s="44" t="inlineStr">
        <is>
          <t>nan</t>
        </is>
      </c>
      <c r="E407" s="44" t="inlineStr">
        <is>
          <t>nan</t>
        </is>
      </c>
      <c r="F407" s="44" t="n"/>
      <c r="G407" s="44" t="n"/>
      <c r="H407" s="15" t="n"/>
      <c r="I407" s="45" t="n">
        <v>1751271.29</v>
      </c>
      <c r="J407" s="45" t="n">
        <v>1639077.111</v>
      </c>
      <c r="K407" s="45" t="n">
        <v>1240416.185</v>
      </c>
      <c r="L407" s="45" t="n">
        <v>1160000.00372645</v>
      </c>
      <c r="M407" s="45" t="n">
        <v>0</v>
      </c>
      <c r="N407" s="45" t="n">
        <v>0</v>
      </c>
      <c r="O407" s="45" t="n">
        <v>0</v>
      </c>
      <c r="P407" s="45" t="n">
        <v>0</v>
      </c>
      <c r="Q407" s="45" t="n">
        <v>0</v>
      </c>
      <c r="R407" s="45" t="n">
        <v>0</v>
      </c>
      <c r="S407" s="45" t="n">
        <v>1240416.185</v>
      </c>
      <c r="T407" s="45" t="n">
        <v>1160000.00372645</v>
      </c>
      <c r="U407" s="15" t="n">
        <v>6.932429397863493</v>
      </c>
      <c r="V407" s="15" t="n">
        <v>30.74880693748712</v>
      </c>
      <c r="W407" s="49" t="n">
        <v>93.517</v>
      </c>
    </row>
    <row r="408">
      <c r="A408" s="44" t="inlineStr">
        <is>
          <t>TL Cinsi Kuponsuz Senetler</t>
        </is>
      </c>
      <c r="B408" s="44" t="n">
        <v>2003</v>
      </c>
      <c r="C408" s="44" t="inlineStr">
        <is>
          <t>TRT220904T27</t>
        </is>
      </c>
      <c r="D408" s="44" t="inlineStr">
        <is>
          <t>nan</t>
        </is>
      </c>
      <c r="E408" s="44" t="inlineStr">
        <is>
          <t>nan</t>
        </is>
      </c>
      <c r="F408" s="44" t="n"/>
      <c r="G408" s="44" t="n"/>
      <c r="H408" s="15" t="n"/>
      <c r="I408" s="45" t="n">
        <v>1702311.3</v>
      </c>
      <c r="J408" s="45" t="n">
        <v>1227077.054</v>
      </c>
      <c r="K408" s="45" t="n">
        <v>544873.755</v>
      </c>
      <c r="L408" s="45" t="n">
        <v>400852.7240784</v>
      </c>
      <c r="M408" s="45" t="n">
        <v>0</v>
      </c>
      <c r="N408" s="45" t="n">
        <v>0</v>
      </c>
      <c r="O408" s="45" t="n">
        <v>203892.9969551979</v>
      </c>
      <c r="P408" s="45" t="n">
        <v>150000</v>
      </c>
      <c r="Q408" s="45" t="n">
        <v>9943.045</v>
      </c>
      <c r="R408" s="45" t="n">
        <v>7314.8993456</v>
      </c>
      <c r="S408" s="45" t="n">
        <v>758709.7969551979</v>
      </c>
      <c r="T408" s="45" t="n">
        <v>558167.6234240001</v>
      </c>
      <c r="U408" s="15" t="n">
        <v>35.9286646367986</v>
      </c>
      <c r="V408" s="15" t="n">
        <v>35.14368213573658</v>
      </c>
      <c r="W408" s="49" t="n">
        <v>73.568</v>
      </c>
    </row>
    <row r="409">
      <c r="A409" s="44" t="inlineStr">
        <is>
          <t>TL Cinsi Kuponsuz Senetler</t>
        </is>
      </c>
      <c r="B409" s="44" t="n">
        <v>2003</v>
      </c>
      <c r="C409" s="44" t="inlineStr">
        <is>
          <t>TRB070404T13</t>
        </is>
      </c>
      <c r="D409" s="44" t="inlineStr">
        <is>
          <t>nan</t>
        </is>
      </c>
      <c r="E409" s="44" t="inlineStr">
        <is>
          <t>nan</t>
        </is>
      </c>
      <c r="F409" s="44" t="n"/>
      <c r="G409" s="44" t="n"/>
      <c r="H409" s="15" t="n"/>
      <c r="I409" s="45" t="n">
        <v>1613017.645</v>
      </c>
      <c r="J409" s="45" t="n">
        <v>1416465.81</v>
      </c>
      <c r="K409" s="45" t="n">
        <v>1280479.04</v>
      </c>
      <c r="L409" s="45" t="n">
        <v>1120764.8893408</v>
      </c>
      <c r="M409" s="45" t="n">
        <v>54840.22073188845</v>
      </c>
      <c r="N409" s="45" t="n">
        <v>48000</v>
      </c>
      <c r="O409" s="45" t="n">
        <v>297828.0987580975</v>
      </c>
      <c r="P409" s="45" t="n">
        <v>260680</v>
      </c>
      <c r="Q409" s="45" t="n">
        <v>0</v>
      </c>
      <c r="R409" s="45" t="n">
        <v>0</v>
      </c>
      <c r="S409" s="45" t="n">
        <v>1699215.524489986</v>
      </c>
      <c r="T409" s="45" t="n">
        <v>1487272.37212035</v>
      </c>
      <c r="U409" s="15" t="n">
        <v>14.25045985810094</v>
      </c>
      <c r="V409" s="15" t="n">
        <v>30.53167577787534</v>
      </c>
      <c r="W409" s="49" t="n">
        <v>87.527</v>
      </c>
    </row>
    <row r="410">
      <c r="A410" s="44" t="inlineStr">
        <is>
          <t>TL Cinsi Kuponsuz Senetler</t>
        </is>
      </c>
      <c r="B410" s="44" t="n">
        <v>2003</v>
      </c>
      <c r="C410" s="44" t="inlineStr">
        <is>
          <t>TRT271004T11</t>
        </is>
      </c>
      <c r="D410" s="44" t="inlineStr">
        <is>
          <t>nan</t>
        </is>
      </c>
      <c r="E410" s="44" t="inlineStr">
        <is>
          <t>nan</t>
        </is>
      </c>
      <c r="F410" s="44" t="n"/>
      <c r="G410" s="44" t="n"/>
      <c r="H410" s="15" t="n"/>
      <c r="I410" s="45" t="n">
        <v>3995674.765</v>
      </c>
      <c r="J410" s="45" t="n">
        <v>3027957.264</v>
      </c>
      <c r="K410" s="45" t="n">
        <v>2048767.235</v>
      </c>
      <c r="L410" s="45" t="n">
        <v>1548683.64060885</v>
      </c>
      <c r="M410" s="45" t="n">
        <v>601321.5197576431</v>
      </c>
      <c r="N410" s="45" t="n">
        <v>454544.95</v>
      </c>
      <c r="O410" s="45" t="n">
        <v>856616.5284226958</v>
      </c>
      <c r="P410" s="45" t="n">
        <v>647525</v>
      </c>
      <c r="Q410" s="45" t="n">
        <v>23427.935</v>
      </c>
      <c r="R410" s="45" t="n">
        <v>17709.4041275</v>
      </c>
      <c r="S410" s="45" t="n">
        <v>3804726.428180339</v>
      </c>
      <c r="T410" s="45" t="n">
        <v>2876030.74810745</v>
      </c>
      <c r="U410" s="15" t="n">
        <v>32.29088118955961</v>
      </c>
      <c r="V410" s="15" t="n">
        <v>30.28697631916753</v>
      </c>
      <c r="W410" s="49" t="n">
        <v>75.59099999999999</v>
      </c>
    </row>
    <row r="411">
      <c r="A411" s="44" t="inlineStr">
        <is>
          <t>TL Cinsi Kuponsuz Senetler</t>
        </is>
      </c>
      <c r="B411" s="44" t="n">
        <v>2003</v>
      </c>
      <c r="C411" s="44" t="inlineStr">
        <is>
          <t>TRB210104T18</t>
        </is>
      </c>
      <c r="D411" s="44" t="inlineStr">
        <is>
          <t>nan</t>
        </is>
      </c>
      <c r="E411" s="44" t="inlineStr">
        <is>
          <t>nan</t>
        </is>
      </c>
      <c r="F411" s="44" t="n"/>
      <c r="G411" s="44" t="n"/>
      <c r="H411" s="15" t="n"/>
      <c r="I411" s="45" t="n">
        <v>2181281.89</v>
      </c>
      <c r="J411" s="45" t="n">
        <v>2060269.79</v>
      </c>
      <c r="K411" s="45" t="n">
        <v>1585014.41</v>
      </c>
      <c r="L411" s="45" t="n">
        <v>1496000.0007344</v>
      </c>
      <c r="M411" s="45" t="n">
        <v>0</v>
      </c>
      <c r="N411" s="45" t="n">
        <v>0</v>
      </c>
      <c r="O411" s="45" t="n">
        <v>0</v>
      </c>
      <c r="P411" s="45" t="n">
        <v>0</v>
      </c>
      <c r="Q411" s="45" t="n">
        <v>0</v>
      </c>
      <c r="R411" s="45" t="n">
        <v>0</v>
      </c>
      <c r="S411" s="45" t="n">
        <v>1585014.41</v>
      </c>
      <c r="T411" s="45" t="n">
        <v>1496000.0007344</v>
      </c>
      <c r="U411" s="15" t="n">
        <v>5.950161044244795</v>
      </c>
      <c r="V411" s="15" t="n">
        <v>26.01042742865827</v>
      </c>
      <c r="W411" s="49" t="n">
        <v>94.384</v>
      </c>
    </row>
    <row r="412">
      <c r="A412" s="44" t="inlineStr">
        <is>
          <t>TL Cinsi Kuponsuz Senetler</t>
        </is>
      </c>
      <c r="B412" s="44" t="n">
        <v>2003</v>
      </c>
      <c r="C412" s="44" t="inlineStr">
        <is>
          <t>TRB210704T12</t>
        </is>
      </c>
      <c r="D412" s="44" t="inlineStr">
        <is>
          <t>nan</t>
        </is>
      </c>
      <c r="E412" s="44" t="inlineStr">
        <is>
          <t>nan</t>
        </is>
      </c>
      <c r="F412" s="44" t="n"/>
      <c r="G412" s="44" t="n"/>
      <c r="H412" s="15" t="n"/>
      <c r="I412" s="45" t="n">
        <v>2065994.22</v>
      </c>
      <c r="J412" s="45" t="n">
        <v>1720844.576</v>
      </c>
      <c r="K412" s="45" t="n">
        <v>1875962.25</v>
      </c>
      <c r="L412" s="45" t="n">
        <v>1557348.82146</v>
      </c>
      <c r="M412" s="45" t="n">
        <v>54687.02418810831</v>
      </c>
      <c r="N412" s="45" t="n">
        <v>45398.98</v>
      </c>
      <c r="O412" s="45" t="n">
        <v>313192.6375638432</v>
      </c>
      <c r="P412" s="45" t="n">
        <v>260000</v>
      </c>
      <c r="Q412" s="45" t="n">
        <v>35121.24</v>
      </c>
      <c r="R412" s="45" t="n">
        <v>29156.2485984</v>
      </c>
      <c r="S412" s="45" t="n">
        <v>2392639.451751952</v>
      </c>
      <c r="T412" s="45" t="n">
        <v>1986273.5672664</v>
      </c>
      <c r="U412" s="15" t="n">
        <v>20.45870675532429</v>
      </c>
      <c r="V412" s="15" t="n">
        <v>29.90038492991498</v>
      </c>
      <c r="W412" s="49" t="n">
        <v>83.01600000000001</v>
      </c>
    </row>
    <row r="413">
      <c r="A413" s="44" t="inlineStr">
        <is>
          <t>TL Cinsi Kuponsuz Senetler</t>
        </is>
      </c>
      <c r="B413" s="44" t="n">
        <v>2003</v>
      </c>
      <c r="C413" s="44" t="inlineStr">
        <is>
          <t>TRT151204T13</t>
        </is>
      </c>
      <c r="D413" s="44" t="inlineStr">
        <is>
          <t>nan</t>
        </is>
      </c>
      <c r="E413" s="44" t="inlineStr">
        <is>
          <t>nan</t>
        </is>
      </c>
      <c r="F413" s="44" t="n"/>
      <c r="G413" s="44" t="n"/>
      <c r="H413" s="15" t="n"/>
      <c r="I413" s="45" t="n">
        <v>4951840.23</v>
      </c>
      <c r="J413" s="45" t="n">
        <v>3715981.8</v>
      </c>
      <c r="K413" s="45" t="n">
        <v>3219517.11</v>
      </c>
      <c r="L413" s="45" t="n">
        <v>2407909.0417401</v>
      </c>
      <c r="M413" s="45" t="n">
        <v>474656.0415023198</v>
      </c>
      <c r="N413" s="45" t="n">
        <v>355000</v>
      </c>
      <c r="O413" s="45" t="n">
        <v>317551.5770614111</v>
      </c>
      <c r="P413" s="45" t="n">
        <v>237500</v>
      </c>
      <c r="Q413" s="45" t="n">
        <v>100451.335</v>
      </c>
      <c r="R413" s="45" t="n">
        <v>75128.55795985</v>
      </c>
      <c r="S413" s="45" t="n">
        <v>4694542.748563731</v>
      </c>
      <c r="T413" s="45" t="n">
        <v>3511095.4670783</v>
      </c>
      <c r="U413" s="15" t="n">
        <v>33.70592718375205</v>
      </c>
      <c r="V413" s="15" t="n">
        <v>29.74797596492817</v>
      </c>
      <c r="W413" s="49" t="n">
        <v>74.791</v>
      </c>
    </row>
    <row r="414">
      <c r="A414" s="44" t="inlineStr">
        <is>
          <t>TL Cinsi Kuponsuz Senetler</t>
        </is>
      </c>
      <c r="B414" s="44" t="n">
        <v>2003</v>
      </c>
      <c r="C414" s="44" t="inlineStr">
        <is>
          <t>TRB110204T19</t>
        </is>
      </c>
      <c r="D414" s="44" t="inlineStr">
        <is>
          <t>nan</t>
        </is>
      </c>
      <c r="E414" s="44" t="inlineStr">
        <is>
          <t>nan</t>
        </is>
      </c>
      <c r="F414" s="44" t="n"/>
      <c r="G414" s="44" t="n"/>
      <c r="H414" s="15" t="n"/>
      <c r="I414" s="45" t="n">
        <v>2423217.88</v>
      </c>
      <c r="J414" s="45" t="n">
        <v>2290157.616</v>
      </c>
      <c r="K414" s="45" t="n">
        <v>1934404.005</v>
      </c>
      <c r="L414" s="45" t="n">
        <v>1826000.0045598</v>
      </c>
      <c r="M414" s="45" t="n">
        <v>0</v>
      </c>
      <c r="N414" s="45" t="n">
        <v>0</v>
      </c>
      <c r="O414" s="45" t="n">
        <v>0</v>
      </c>
      <c r="P414" s="45" t="n">
        <v>0</v>
      </c>
      <c r="Q414" s="45" t="n">
        <v>0</v>
      </c>
      <c r="R414" s="45" t="n">
        <v>0</v>
      </c>
      <c r="S414" s="45" t="n">
        <v>1934404.005</v>
      </c>
      <c r="T414" s="45" t="n">
        <v>1826000.0045598</v>
      </c>
      <c r="U414" s="15" t="n">
        <v>5.93669223272173</v>
      </c>
      <c r="V414" s="15" t="n">
        <v>25.94636383221696</v>
      </c>
      <c r="W414" s="49" t="n">
        <v>94.396</v>
      </c>
    </row>
    <row r="415">
      <c r="A415" s="44" t="inlineStr">
        <is>
          <t>TL Cinsi Kuponsuz Senetler</t>
        </is>
      </c>
      <c r="B415" s="44" t="n">
        <v>2003</v>
      </c>
      <c r="C415" s="44" t="inlineStr">
        <is>
          <t>TRB050504T14</t>
        </is>
      </c>
      <c r="D415" s="44" t="inlineStr">
        <is>
          <t>nan</t>
        </is>
      </c>
      <c r="E415" s="44" t="inlineStr">
        <is>
          <t>nan</t>
        </is>
      </c>
      <c r="F415" s="44" t="n"/>
      <c r="G415" s="44" t="n"/>
      <c r="H415" s="15" t="n"/>
      <c r="I415" s="45" t="n">
        <v>1716168.05</v>
      </c>
      <c r="J415" s="45" t="n">
        <v>1536725.719</v>
      </c>
      <c r="K415" s="45" t="n">
        <v>1457867.44</v>
      </c>
      <c r="L415" s="45" t="n">
        <v>1303246.0193136</v>
      </c>
      <c r="M415" s="45" t="n">
        <v>55932.16546971832</v>
      </c>
      <c r="N415" s="45" t="n">
        <v>50000</v>
      </c>
      <c r="O415" s="45" t="n">
        <v>156610.0633152113</v>
      </c>
      <c r="P415" s="45" t="n">
        <v>140000</v>
      </c>
      <c r="Q415" s="45" t="n">
        <v>0</v>
      </c>
      <c r="R415" s="45" t="n">
        <v>0</v>
      </c>
      <c r="S415" s="45" t="n">
        <v>1731903.50378493</v>
      </c>
      <c r="T415" s="45" t="n">
        <v>1548217.8181735</v>
      </c>
      <c r="U415" s="15" t="n">
        <v>11.86433093943664</v>
      </c>
      <c r="V415" s="15" t="n">
        <v>27.49657859085513</v>
      </c>
      <c r="W415" s="49" t="n">
        <v>89.39400000000001</v>
      </c>
    </row>
    <row r="416">
      <c r="A416" s="44" t="inlineStr">
        <is>
          <t>TL Cinsi Kuponsuz Senetler</t>
        </is>
      </c>
      <c r="B416" s="44" t="n">
        <v>2003</v>
      </c>
      <c r="C416" s="44" t="inlineStr">
        <is>
          <t>TRT151204T13</t>
        </is>
      </c>
      <c r="D416" s="44" t="inlineStr">
        <is>
          <t>nan</t>
        </is>
      </c>
      <c r="E416" s="44" t="inlineStr">
        <is>
          <t>nan</t>
        </is>
      </c>
      <c r="F416" s="44" t="n"/>
      <c r="G416" s="44" t="n"/>
      <c r="H416" s="15" t="n"/>
      <c r="I416" s="45" t="n">
        <v>1617447.375</v>
      </c>
      <c r="J416" s="45" t="n">
        <v>1234503.973</v>
      </c>
      <c r="K416" s="45" t="n">
        <v>914908.54</v>
      </c>
      <c r="L416" s="45" t="n">
        <v>698322.2413258001</v>
      </c>
      <c r="M416" s="45" t="n">
        <v>555504.6051855831</v>
      </c>
      <c r="N416" s="45" t="n">
        <v>424000</v>
      </c>
      <c r="O416" s="45" t="n">
        <v>211196.5621601792</v>
      </c>
      <c r="P416" s="45" t="n">
        <v>161200</v>
      </c>
      <c r="Q416" s="45" t="n">
        <v>7725.565</v>
      </c>
      <c r="R416" s="45" t="n">
        <v>5896.69199755</v>
      </c>
      <c r="S416" s="45" t="n">
        <v>1689335.272345762</v>
      </c>
      <c r="T416" s="45" t="n">
        <v>1289418.93332335</v>
      </c>
      <c r="U416" s="15" t="n">
        <v>31.01523707207148</v>
      </c>
      <c r="V416" s="15" t="n">
        <v>28.51140685311935</v>
      </c>
      <c r="W416" s="49" t="n">
        <v>76.327</v>
      </c>
    </row>
    <row r="417">
      <c r="A417" s="44" t="inlineStr">
        <is>
          <t>TL Cinsi Kuponsuz Senetler</t>
        </is>
      </c>
      <c r="B417" s="44" t="n">
        <v>2003</v>
      </c>
      <c r="C417" s="44" t="inlineStr">
        <is>
          <t>TRB050504T14</t>
        </is>
      </c>
      <c r="D417" s="44" t="inlineStr">
        <is>
          <t>nan</t>
        </is>
      </c>
      <c r="E417" s="44" t="inlineStr">
        <is>
          <t>nan</t>
        </is>
      </c>
      <c r="F417" s="44" t="n"/>
      <c r="G417" s="44" t="n"/>
      <c r="H417" s="15" t="n"/>
      <c r="I417" s="45" t="n">
        <v>833191.91</v>
      </c>
      <c r="J417" s="45" t="n">
        <v>752709.213</v>
      </c>
      <c r="K417" s="45" t="n">
        <v>733437.3199999999</v>
      </c>
      <c r="L417" s="45" t="n">
        <v>661164.4064871999</v>
      </c>
      <c r="M417" s="45" t="n">
        <v>0</v>
      </c>
      <c r="N417" s="45" t="n">
        <v>0</v>
      </c>
      <c r="O417" s="45" t="n">
        <v>44372.46244980365</v>
      </c>
      <c r="P417" s="45" t="n">
        <v>40000</v>
      </c>
      <c r="Q417" s="45" t="n">
        <v>0</v>
      </c>
      <c r="R417" s="45" t="n">
        <v>0</v>
      </c>
      <c r="S417" s="45" t="n">
        <v>777809.7824498035</v>
      </c>
      <c r="T417" s="45" t="n">
        <v>701164.4064871999</v>
      </c>
      <c r="U417" s="15" t="n">
        <v>10.93115612450912</v>
      </c>
      <c r="V417" s="15" t="n">
        <v>27.78803252869197</v>
      </c>
      <c r="W417" s="49" t="n">
        <v>90.146</v>
      </c>
    </row>
    <row r="418">
      <c r="A418" s="44" t="inlineStr">
        <is>
          <t>TL Cinsi Kuponsuz Senetler</t>
        </is>
      </c>
      <c r="B418" s="44" t="n">
        <v>2003</v>
      </c>
      <c r="C418" s="44" t="inlineStr">
        <is>
          <t>TRT260105T12</t>
        </is>
      </c>
      <c r="D418" s="44" t="inlineStr">
        <is>
          <t>nan</t>
        </is>
      </c>
      <c r="E418" s="44" t="inlineStr">
        <is>
          <t>nan</t>
        </is>
      </c>
      <c r="F418" s="44" t="n"/>
      <c r="G418" s="44" t="n"/>
      <c r="H418" s="15" t="n"/>
      <c r="I418" s="45" t="n">
        <v>3444514.265</v>
      </c>
      <c r="J418" s="45" t="n">
        <v>2576641.793</v>
      </c>
      <c r="K418" s="45" t="n">
        <v>2339578.94</v>
      </c>
      <c r="L418" s="45" t="n">
        <v>1745325.88924</v>
      </c>
      <c r="M418" s="45" t="n">
        <v>127345.8445040214</v>
      </c>
      <c r="N418" s="45" t="n">
        <v>95000</v>
      </c>
      <c r="O418" s="45" t="n">
        <v>469510.735</v>
      </c>
      <c r="P418" s="45" t="n">
        <v>350255.00831</v>
      </c>
      <c r="Q418" s="45" t="n">
        <v>92873.28999999999</v>
      </c>
      <c r="R418" s="45" t="n">
        <v>69283.47434</v>
      </c>
      <c r="S418" s="45" t="n">
        <v>3453707.054504022</v>
      </c>
      <c r="T418" s="45" t="n">
        <v>2576465.46266</v>
      </c>
      <c r="U418" s="15" t="n">
        <v>34.04825737265416</v>
      </c>
      <c r="V418" s="15" t="n">
        <v>28.91190201331839</v>
      </c>
      <c r="W418" s="49" t="n">
        <v>74.59999999999999</v>
      </c>
    </row>
    <row r="419">
      <c r="A419" s="44" t="inlineStr">
        <is>
          <t>TL Cinsi Kuponsuz Senetler</t>
        </is>
      </c>
      <c r="B419" s="44" t="n">
        <v>2003</v>
      </c>
      <c r="C419" s="44" t="inlineStr">
        <is>
          <t>TRB170304T12</t>
        </is>
      </c>
      <c r="D419" s="44" t="inlineStr">
        <is>
          <t>nan</t>
        </is>
      </c>
      <c r="E419" s="44" t="inlineStr">
        <is>
          <t>nan</t>
        </is>
      </c>
      <c r="F419" s="44" t="n"/>
      <c r="G419" s="44" t="n"/>
      <c r="H419" s="15" t="n"/>
      <c r="I419" s="45" t="n">
        <v>1258464.3</v>
      </c>
      <c r="J419" s="45" t="n">
        <v>1190067.624</v>
      </c>
      <c r="K419" s="45" t="n">
        <v>1133366.12</v>
      </c>
      <c r="L419" s="45" t="n">
        <v>1070486.9676624</v>
      </c>
      <c r="M419" s="45" t="n">
        <v>0</v>
      </c>
      <c r="N419" s="45" t="n">
        <v>0</v>
      </c>
      <c r="O419" s="45" t="n">
        <v>0</v>
      </c>
      <c r="P419" s="45" t="n">
        <v>0</v>
      </c>
      <c r="Q419" s="45" t="n">
        <v>0</v>
      </c>
      <c r="R419" s="45" t="n">
        <v>0</v>
      </c>
      <c r="S419" s="45" t="n">
        <v>1133366.12</v>
      </c>
      <c r="T419" s="45" t="n">
        <v>1070486.9676624</v>
      </c>
      <c r="U419" s="15" t="n">
        <v>5.873883030534022</v>
      </c>
      <c r="V419" s="15" t="n">
        <v>25.64793812022026</v>
      </c>
      <c r="W419" s="49" t="n">
        <v>94.452</v>
      </c>
    </row>
    <row r="420">
      <c r="A420" s="44" t="inlineStr">
        <is>
          <t>TL Cinsi Kuponsuz Senetler</t>
        </is>
      </c>
      <c r="B420" s="44" t="n">
        <v>2002</v>
      </c>
      <c r="C420" s="44" t="inlineStr">
        <is>
          <t>TRB290502T18</t>
        </is>
      </c>
      <c r="D420" s="44" t="inlineStr">
        <is>
          <t>nan</t>
        </is>
      </c>
      <c r="E420" s="44" t="inlineStr">
        <is>
          <t>nan</t>
        </is>
      </c>
      <c r="F420" s="44" t="n"/>
      <c r="G420" s="44" t="n"/>
      <c r="H420" s="15" t="n"/>
      <c r="I420" s="45" t="n">
        <v>1606463.235</v>
      </c>
      <c r="J420" s="45" t="n">
        <v>1311099.469</v>
      </c>
      <c r="K420" s="45" t="n">
        <v>1501811.08</v>
      </c>
      <c r="L420" s="45" t="n">
        <v>1221843.482079674</v>
      </c>
      <c r="M420" s="45" t="n">
        <v>51304.0949</v>
      </c>
      <c r="N420" s="45" t="n">
        <v>41740</v>
      </c>
      <c r="O420" s="45" t="n">
        <v>0</v>
      </c>
      <c r="P420" s="45" t="n">
        <v>0</v>
      </c>
      <c r="Q420" s="45" t="n">
        <v>0</v>
      </c>
      <c r="R420" s="45" t="n">
        <v>0</v>
      </c>
      <c r="S420" s="45" t="n">
        <v>1553115.1749</v>
      </c>
      <c r="T420" s="45" t="n">
        <v>1263583.482079674</v>
      </c>
      <c r="U420" s="15" t="n">
        <v>22.9135</v>
      </c>
      <c r="V420" s="15" t="n">
        <v>70.98535813049209</v>
      </c>
      <c r="W420" s="49" t="n">
        <v>81.358</v>
      </c>
    </row>
    <row r="421">
      <c r="A421" s="44" t="inlineStr">
        <is>
          <t>TL Cinsi Kuponsuz Senetler</t>
        </is>
      </c>
      <c r="B421" s="44" t="n">
        <v>2002</v>
      </c>
      <c r="C421" s="44" t="inlineStr">
        <is>
          <t>TRB040902T13</t>
        </is>
      </c>
      <c r="D421" s="44" t="inlineStr">
        <is>
          <t>nan</t>
        </is>
      </c>
      <c r="E421" s="44" t="inlineStr">
        <is>
          <t>nan</t>
        </is>
      </c>
      <c r="F421" s="44" t="n"/>
      <c r="G421" s="44" t="n"/>
      <c r="H421" s="15" t="n"/>
      <c r="I421" s="45" t="n">
        <v>3420244.82</v>
      </c>
      <c r="J421" s="45" t="n">
        <v>2412069.882</v>
      </c>
      <c r="K421" s="45" t="n">
        <v>2695803.11</v>
      </c>
      <c r="L421" s="45" t="n">
        <v>1895769.589228542</v>
      </c>
      <c r="M421" s="45" t="n">
        <v>540576.7147234381</v>
      </c>
      <c r="N421" s="45" t="n">
        <v>380149.99534</v>
      </c>
      <c r="O421" s="45" t="n">
        <v>0</v>
      </c>
      <c r="P421" s="45" t="n">
        <v>0</v>
      </c>
      <c r="Q421" s="45" t="n">
        <v>0</v>
      </c>
      <c r="R421" s="45" t="n">
        <v>0</v>
      </c>
      <c r="S421" s="45" t="n">
        <v>3236379.824723438</v>
      </c>
      <c r="T421" s="45" t="n">
        <v>2275919.584568542</v>
      </c>
      <c r="U421" s="15" t="n">
        <v>42.2009</v>
      </c>
      <c r="V421" s="15" t="n">
        <v>71.33679761513656</v>
      </c>
      <c r="W421" s="49" t="n">
        <v>70.32299999999999</v>
      </c>
    </row>
    <row r="422">
      <c r="A422" s="44" t="inlineStr">
        <is>
          <t>TL Cinsi Kuponsuz Senetler</t>
        </is>
      </c>
      <c r="B422" s="44" t="n">
        <v>2002</v>
      </c>
      <c r="C422" s="44" t="inlineStr">
        <is>
          <t>TRB080502T13</t>
        </is>
      </c>
      <c r="D422" s="44" t="inlineStr">
        <is>
          <t>nan</t>
        </is>
      </c>
      <c r="E422" s="44" t="inlineStr">
        <is>
          <t>nan</t>
        </is>
      </c>
      <c r="F422" s="44" t="n"/>
      <c r="G422" s="44" t="n"/>
      <c r="H422" s="15" t="n"/>
      <c r="I422" s="45" t="n">
        <v>997818.53</v>
      </c>
      <c r="J422" s="45" t="n">
        <v>845130.451</v>
      </c>
      <c r="K422" s="45" t="n">
        <v>451989.655</v>
      </c>
      <c r="L422" s="45" t="n">
        <v>383043.1517308481</v>
      </c>
      <c r="M422" s="45" t="n">
        <v>49854.85015562914</v>
      </c>
      <c r="N422" s="45" t="n">
        <v>42249.99117</v>
      </c>
      <c r="O422" s="45" t="n">
        <v>0</v>
      </c>
      <c r="P422" s="45" t="n">
        <v>0</v>
      </c>
      <c r="Q422" s="45" t="n">
        <v>0</v>
      </c>
      <c r="R422" s="45" t="n">
        <v>0</v>
      </c>
      <c r="S422" s="45" t="n">
        <v>501844.5051556292</v>
      </c>
      <c r="T422" s="45" t="n">
        <v>425293.1429008481</v>
      </c>
      <c r="U422" s="15" t="n">
        <v>17.99967</v>
      </c>
      <c r="V422" s="15" t="n">
        <v>71.24290096163304</v>
      </c>
      <c r="W422" s="49" t="n">
        <v>84.746</v>
      </c>
    </row>
    <row r="423">
      <c r="A423" s="44" t="inlineStr">
        <is>
          <t>TL Cinsi Kuponsuz Senetler</t>
        </is>
      </c>
      <c r="B423" s="44" t="n">
        <v>2002</v>
      </c>
      <c r="C423" s="44" t="inlineStr">
        <is>
          <t>TRB240402T14</t>
        </is>
      </c>
      <c r="D423" s="44" t="inlineStr">
        <is>
          <t>nan</t>
        </is>
      </c>
      <c r="E423" s="44" t="inlineStr">
        <is>
          <t>nan</t>
        </is>
      </c>
      <c r="F423" s="44" t="n"/>
      <c r="G423" s="44" t="n"/>
      <c r="H423" s="15" t="n"/>
      <c r="I423" s="45" t="n">
        <v>939116.1899999999</v>
      </c>
      <c r="J423" s="45" t="n">
        <v>824588.588</v>
      </c>
      <c r="K423" s="45" t="n">
        <v>910767.6800000001</v>
      </c>
      <c r="L423" s="45" t="n">
        <v>794999.9979642463</v>
      </c>
      <c r="M423" s="45" t="n">
        <v>0</v>
      </c>
      <c r="N423" s="45" t="n">
        <v>0</v>
      </c>
      <c r="O423" s="45" t="n">
        <v>0</v>
      </c>
      <c r="P423" s="45" t="n">
        <v>0</v>
      </c>
      <c r="Q423" s="45" t="n">
        <v>0</v>
      </c>
      <c r="R423" s="45" t="n">
        <v>0</v>
      </c>
      <c r="S423" s="45" t="n">
        <v>910767.6800000001</v>
      </c>
      <c r="T423" s="45" t="n">
        <v>794999.9979642463</v>
      </c>
      <c r="U423" s="15" t="n">
        <v>14.562</v>
      </c>
      <c r="V423" s="15" t="n">
        <v>72.25123620547507</v>
      </c>
      <c r="W423" s="49" t="n">
        <v>87.289</v>
      </c>
    </row>
    <row r="424">
      <c r="A424" s="44" t="inlineStr">
        <is>
          <t>TL Cinsi Kuponsuz Senetler</t>
        </is>
      </c>
      <c r="B424" s="44" t="n">
        <v>2002</v>
      </c>
      <c r="C424" s="44" t="inlineStr">
        <is>
          <t>TRT050203T18</t>
        </is>
      </c>
      <c r="D424" s="44" t="inlineStr">
        <is>
          <t>nan</t>
        </is>
      </c>
      <c r="E424" s="44" t="inlineStr">
        <is>
          <t>nan</t>
        </is>
      </c>
      <c r="F424" s="44" t="n"/>
      <c r="G424" s="44" t="n"/>
      <c r="H424" s="15" t="n"/>
      <c r="I424" s="45" t="n">
        <v>2499336.255</v>
      </c>
      <c r="J424" s="45" t="n">
        <v>1474204.865</v>
      </c>
      <c r="K424" s="45" t="n">
        <v>1204894.97</v>
      </c>
      <c r="L424" s="45" t="n">
        <v>710671.1394920928</v>
      </c>
      <c r="M424" s="45" t="n">
        <v>111610.02524</v>
      </c>
      <c r="N424" s="45" t="n">
        <v>65830</v>
      </c>
      <c r="O424" s="45" t="n">
        <v>0</v>
      </c>
      <c r="P424" s="45" t="n">
        <v>0</v>
      </c>
      <c r="Q424" s="45" t="n">
        <v>0</v>
      </c>
      <c r="R424" s="45" t="n">
        <v>0</v>
      </c>
      <c r="S424" s="45" t="n">
        <v>1316504.99524</v>
      </c>
      <c r="T424" s="45" t="n">
        <v>776501.1394920928</v>
      </c>
      <c r="U424" s="15" t="n">
        <v>69.5428</v>
      </c>
      <c r="V424" s="15" t="n">
        <v>69.54280000000001</v>
      </c>
      <c r="W424" s="49" t="n">
        <v>58.982</v>
      </c>
    </row>
    <row r="425">
      <c r="A425" s="44" t="inlineStr">
        <is>
          <t>TL Cinsi Kuponsuz Senetler</t>
        </is>
      </c>
      <c r="B425" s="44" t="n">
        <v>2002</v>
      </c>
      <c r="C425" s="44" t="inlineStr">
        <is>
          <t>TRB150502T14</t>
        </is>
      </c>
      <c r="D425" s="44" t="inlineStr">
        <is>
          <t>nan</t>
        </is>
      </c>
      <c r="E425" s="44" t="inlineStr">
        <is>
          <t>nan</t>
        </is>
      </c>
      <c r="F425" s="44" t="n"/>
      <c r="G425" s="44" t="n"/>
      <c r="H425" s="15" t="n"/>
      <c r="I425" s="45" t="n">
        <v>1606350.84</v>
      </c>
      <c r="J425" s="45" t="n">
        <v>1409565.579</v>
      </c>
      <c r="K425" s="45" t="n">
        <v>661081.67</v>
      </c>
      <c r="L425" s="45" t="n">
        <v>579999.9912265002</v>
      </c>
      <c r="M425" s="45" t="n">
        <v>0</v>
      </c>
      <c r="N425" s="45" t="n">
        <v>0</v>
      </c>
      <c r="O425" s="45" t="n">
        <v>0</v>
      </c>
      <c r="P425" s="45" t="n">
        <v>0</v>
      </c>
      <c r="Q425" s="45" t="n">
        <v>0</v>
      </c>
      <c r="R425" s="45" t="n">
        <v>0</v>
      </c>
      <c r="S425" s="45" t="n">
        <v>661081.67</v>
      </c>
      <c r="T425" s="45" t="n">
        <v>579999.9912265002</v>
      </c>
      <c r="U425" s="15" t="n">
        <v>13.9796</v>
      </c>
      <c r="V425" s="15" t="n">
        <v>68.77515445622105</v>
      </c>
      <c r="W425" s="49" t="n">
        <v>87.735</v>
      </c>
    </row>
    <row r="426">
      <c r="A426" s="44" t="inlineStr">
        <is>
          <t>TL Cinsi Kuponsuz Senetler</t>
        </is>
      </c>
      <c r="B426" s="44" t="n">
        <v>2002</v>
      </c>
      <c r="C426" s="44" t="inlineStr">
        <is>
          <t>TRB280802T16</t>
        </is>
      </c>
      <c r="D426" s="44" t="inlineStr">
        <is>
          <t>nan</t>
        </is>
      </c>
      <c r="E426" s="44" t="inlineStr">
        <is>
          <t>nan</t>
        </is>
      </c>
      <c r="F426" s="44" t="n"/>
      <c r="G426" s="44" t="n"/>
      <c r="H426" s="15" t="n"/>
      <c r="I426" s="45" t="n">
        <v>1066111.193</v>
      </c>
      <c r="J426" s="45" t="n">
        <v>814799.834</v>
      </c>
      <c r="K426" s="45" t="n">
        <v>795291.735</v>
      </c>
      <c r="L426" s="45" t="n">
        <v>607300.6613941761</v>
      </c>
      <c r="M426" s="45" t="n">
        <v>0</v>
      </c>
      <c r="N426" s="45" t="n">
        <v>0</v>
      </c>
      <c r="O426" s="45" t="n">
        <v>0</v>
      </c>
      <c r="P426" s="45" t="n">
        <v>0</v>
      </c>
      <c r="Q426" s="45" t="n">
        <v>0</v>
      </c>
      <c r="R426" s="45" t="n">
        <v>0</v>
      </c>
      <c r="S426" s="45" t="n">
        <v>795291.735</v>
      </c>
      <c r="T426" s="45" t="n">
        <v>607300.6613941761</v>
      </c>
      <c r="U426" s="15" t="n">
        <v>30.95519</v>
      </c>
      <c r="V426" s="15" t="n">
        <v>71.49261787936099</v>
      </c>
      <c r="W426" s="49" t="n">
        <v>76.36199999999999</v>
      </c>
    </row>
    <row r="427">
      <c r="A427" s="44" t="inlineStr">
        <is>
          <t>TL Cinsi Kuponsuz Senetler</t>
        </is>
      </c>
      <c r="B427" s="44" t="n">
        <v>2002</v>
      </c>
      <c r="C427" s="44" t="inlineStr">
        <is>
          <t>TRB280802T16</t>
        </is>
      </c>
      <c r="D427" s="44" t="inlineStr">
        <is>
          <t>nan</t>
        </is>
      </c>
      <c r="E427" s="44" t="inlineStr">
        <is>
          <t>nan</t>
        </is>
      </c>
      <c r="F427" s="44" t="n"/>
      <c r="G427" s="44" t="n"/>
      <c r="H427" s="15" t="n"/>
      <c r="I427" s="45" t="n">
        <v>2207691.91</v>
      </c>
      <c r="J427" s="45" t="n">
        <v>1716055.375</v>
      </c>
      <c r="K427" s="45" t="n">
        <v>1903944.94</v>
      </c>
      <c r="L427" s="45" t="n">
        <v>1476052.403856515</v>
      </c>
      <c r="M427" s="45" t="n">
        <v>131749.344172</v>
      </c>
      <c r="N427" s="45" t="n">
        <v>102140</v>
      </c>
      <c r="O427" s="45" t="n">
        <v>0</v>
      </c>
      <c r="P427" s="45" t="n">
        <v>0</v>
      </c>
      <c r="Q427" s="45" t="n">
        <v>0</v>
      </c>
      <c r="R427" s="45" t="n">
        <v>0</v>
      </c>
      <c r="S427" s="45" t="n">
        <v>2035694.284172</v>
      </c>
      <c r="T427" s="45" t="n">
        <v>1578192.403856515</v>
      </c>
      <c r="U427" s="15" t="n">
        <v>28.98898</v>
      </c>
      <c r="V427" s="15" t="n">
        <v>69.80459008140744</v>
      </c>
      <c r="W427" s="49" t="n">
        <v>77.526</v>
      </c>
    </row>
    <row r="428">
      <c r="A428" s="44" t="inlineStr">
        <is>
          <t>TL Cinsi Kuponsuz Senetler</t>
        </is>
      </c>
      <c r="B428" s="44" t="n">
        <v>2002</v>
      </c>
      <c r="C428" s="44" t="inlineStr">
        <is>
          <t>TRT050203T18</t>
        </is>
      </c>
      <c r="D428" s="44" t="inlineStr">
        <is>
          <t>nan</t>
        </is>
      </c>
      <c r="E428" s="44" t="inlineStr">
        <is>
          <t>nan</t>
        </is>
      </c>
      <c r="F428" s="44" t="n"/>
      <c r="G428" s="44" t="n"/>
      <c r="H428" s="15" t="n"/>
      <c r="I428" s="45" t="n">
        <v>2581288.675</v>
      </c>
      <c r="J428" s="45" t="n">
        <v>1599436.416</v>
      </c>
      <c r="K428" s="45" t="n">
        <v>1810657.69</v>
      </c>
      <c r="L428" s="45" t="n">
        <v>1119801.248228767</v>
      </c>
      <c r="M428" s="45" t="n">
        <v>622524.0521499999</v>
      </c>
      <c r="N428" s="45" t="n">
        <v>385000</v>
      </c>
      <c r="O428" s="45" t="n">
        <v>0</v>
      </c>
      <c r="P428" s="45" t="n">
        <v>0</v>
      </c>
      <c r="Q428" s="45" t="n">
        <v>0</v>
      </c>
      <c r="R428" s="45" t="n">
        <v>0</v>
      </c>
      <c r="S428" s="45" t="n">
        <v>2433181.74215</v>
      </c>
      <c r="T428" s="45" t="n">
        <v>1504801.248228767</v>
      </c>
      <c r="U428" s="15" t="n">
        <v>61.694559</v>
      </c>
      <c r="V428" s="15" t="n">
        <v>68.3009975219931</v>
      </c>
      <c r="W428" s="49" t="n">
        <v>61.845</v>
      </c>
    </row>
    <row r="429">
      <c r="A429" s="44" t="inlineStr">
        <is>
          <t>TL Cinsi Kuponsuz Senetler</t>
        </is>
      </c>
      <c r="B429" s="44" t="n">
        <v>2002</v>
      </c>
      <c r="C429" s="44" t="inlineStr">
        <is>
          <t>TRB231002T17</t>
        </is>
      </c>
      <c r="D429" s="44" t="inlineStr">
        <is>
          <t>nan</t>
        </is>
      </c>
      <c r="E429" s="44" t="inlineStr">
        <is>
          <t>nan</t>
        </is>
      </c>
      <c r="F429" s="44" t="n"/>
      <c r="G429" s="44" t="n"/>
      <c r="H429" s="15" t="n"/>
      <c r="I429" s="45" t="n">
        <v>1095047.19</v>
      </c>
      <c r="J429" s="45" t="n">
        <v>795482.959</v>
      </c>
      <c r="K429" s="45" t="n">
        <v>705110.955</v>
      </c>
      <c r="L429" s="45" t="n">
        <v>511931.707730379</v>
      </c>
      <c r="M429" s="45" t="n">
        <v>275.47071</v>
      </c>
      <c r="N429" s="45" t="n">
        <v>200</v>
      </c>
      <c r="O429" s="45" t="n">
        <v>0</v>
      </c>
      <c r="P429" s="45" t="n">
        <v>0</v>
      </c>
      <c r="Q429" s="45" t="n">
        <v>0</v>
      </c>
      <c r="R429" s="45" t="n">
        <v>0</v>
      </c>
      <c r="S429" s="45" t="n">
        <v>705386.42571</v>
      </c>
      <c r="T429" s="45" t="n">
        <v>512131.707730379</v>
      </c>
      <c r="U429" s="15" t="n">
        <v>37.735355</v>
      </c>
      <c r="V429" s="15" t="n">
        <v>68.24758074122106</v>
      </c>
      <c r="W429" s="49" t="n">
        <v>72.60299999999999</v>
      </c>
    </row>
    <row r="430">
      <c r="A430" s="44" t="inlineStr">
        <is>
          <t>TL Cinsi Kuponsuz Senetler</t>
        </is>
      </c>
      <c r="B430" s="44" t="n">
        <v>2002</v>
      </c>
      <c r="C430" s="44" t="inlineStr">
        <is>
          <t>TRB190602T19</t>
        </is>
      </c>
      <c r="D430" s="44" t="inlineStr">
        <is>
          <t>nan</t>
        </is>
      </c>
      <c r="E430" s="44" t="inlineStr">
        <is>
          <t>nan</t>
        </is>
      </c>
      <c r="F430" s="44" t="n"/>
      <c r="G430" s="44" t="n"/>
      <c r="H430" s="15" t="n"/>
      <c r="I430" s="45" t="n">
        <v>1070586.645</v>
      </c>
      <c r="J430" s="45" t="n">
        <v>944630.105</v>
      </c>
      <c r="K430" s="45" t="n">
        <v>846620.9</v>
      </c>
      <c r="L430" s="45" t="n">
        <v>746000.041414052</v>
      </c>
      <c r="M430" s="45" t="n">
        <v>0</v>
      </c>
      <c r="N430" s="45" t="n">
        <v>0</v>
      </c>
      <c r="O430" s="45" t="n">
        <v>0</v>
      </c>
      <c r="P430" s="45" t="n">
        <v>0</v>
      </c>
      <c r="Q430" s="45" t="n">
        <v>0</v>
      </c>
      <c r="R430" s="45" t="n">
        <v>0</v>
      </c>
      <c r="S430" s="45" t="n">
        <v>846620.9</v>
      </c>
      <c r="T430" s="45" t="n">
        <v>746000.041414052</v>
      </c>
      <c r="U430" s="15" t="n">
        <v>13.48805</v>
      </c>
      <c r="V430" s="15" t="n">
        <v>65.8824860285053</v>
      </c>
      <c r="W430" s="49" t="n">
        <v>88.11499999999999</v>
      </c>
    </row>
    <row r="431">
      <c r="A431" s="44" t="inlineStr">
        <is>
          <t>TL Cinsi Kuponsuz Senetler</t>
        </is>
      </c>
      <c r="B431" s="44" t="n">
        <v>2002</v>
      </c>
      <c r="C431" s="44" t="inlineStr">
        <is>
          <t>TRB231002T17</t>
        </is>
      </c>
      <c r="D431" s="44" t="inlineStr">
        <is>
          <t>nan</t>
        </is>
      </c>
      <c r="E431" s="44" t="inlineStr">
        <is>
          <t>nan</t>
        </is>
      </c>
      <c r="F431" s="44" t="n"/>
      <c r="G431" s="44" t="n"/>
      <c r="H431" s="15" t="n"/>
      <c r="I431" s="45" t="n">
        <v>4285871.045</v>
      </c>
      <c r="J431" s="45" t="n">
        <v>3281257.419</v>
      </c>
      <c r="K431" s="45" t="n">
        <v>3460784.295</v>
      </c>
      <c r="L431" s="45" t="n">
        <v>2644419.88851305</v>
      </c>
      <c r="M431" s="45" t="n">
        <v>708529.7402518075</v>
      </c>
      <c r="N431" s="45" t="n">
        <v>541394.66</v>
      </c>
      <c r="O431" s="45" t="n">
        <v>0</v>
      </c>
      <c r="P431" s="45" t="n">
        <v>0</v>
      </c>
      <c r="Q431" s="45" t="n">
        <v>0</v>
      </c>
      <c r="R431" s="45" t="n">
        <v>0</v>
      </c>
      <c r="S431" s="45" t="n">
        <v>4169314.035251807</v>
      </c>
      <c r="T431" s="45" t="n">
        <v>3185814.54851305</v>
      </c>
      <c r="U431" s="15" t="n">
        <v>30.8712096</v>
      </c>
      <c r="V431" s="15" t="n">
        <v>61.99946793331024</v>
      </c>
      <c r="W431" s="49" t="n">
        <v>76.411</v>
      </c>
    </row>
    <row r="432">
      <c r="A432" s="44" t="inlineStr">
        <is>
          <t>TL Cinsi Kuponsuz Senetler</t>
        </is>
      </c>
      <c r="B432" s="44" t="n">
        <v>2002</v>
      </c>
      <c r="C432" s="44" t="inlineStr">
        <is>
          <t>TRT090403T12</t>
        </is>
      </c>
      <c r="D432" s="44" t="inlineStr">
        <is>
          <t>nan</t>
        </is>
      </c>
      <c r="E432" s="44" t="inlineStr">
        <is>
          <t>nan</t>
        </is>
      </c>
      <c r="F432" s="44" t="n"/>
      <c r="G432" s="44" t="n"/>
      <c r="H432" s="15" t="n"/>
      <c r="I432" s="45" t="n">
        <v>3847022.47</v>
      </c>
      <c r="J432" s="45" t="n">
        <v>2436574.525</v>
      </c>
      <c r="K432" s="45" t="n">
        <v>2397805.33</v>
      </c>
      <c r="L432" s="45" t="n">
        <v>1517594.971</v>
      </c>
      <c r="M432" s="45" t="n">
        <v>158000.347643482</v>
      </c>
      <c r="N432" s="45" t="n">
        <v>100000</v>
      </c>
      <c r="O432" s="45" t="n">
        <v>0</v>
      </c>
      <c r="P432" s="45" t="n">
        <v>0</v>
      </c>
      <c r="Q432" s="45" t="n">
        <v>0</v>
      </c>
      <c r="R432" s="45" t="n">
        <v>0</v>
      </c>
      <c r="S432" s="45" t="n">
        <v>2555805.677643482</v>
      </c>
      <c r="T432" s="45" t="n">
        <v>1617594.971</v>
      </c>
      <c r="U432" s="15" t="n">
        <v>58.00034764348203</v>
      </c>
      <c r="V432" s="15" t="n">
        <v>58.00034764348203</v>
      </c>
      <c r="W432" s="49" t="n">
        <v>63.291</v>
      </c>
    </row>
    <row r="433">
      <c r="A433" s="44" t="inlineStr">
        <is>
          <t>TL Cinsi Kuponsuz Senetler</t>
        </is>
      </c>
      <c r="B433" s="44" t="n">
        <v>2002</v>
      </c>
      <c r="C433" s="44" t="inlineStr">
        <is>
          <t>TRB111202T19</t>
        </is>
      </c>
      <c r="D433" s="44" t="inlineStr">
        <is>
          <t>nan</t>
        </is>
      </c>
      <c r="E433" s="44" t="inlineStr">
        <is>
          <t>nan</t>
        </is>
      </c>
      <c r="F433" s="44" t="n"/>
      <c r="G433" s="44" t="n"/>
      <c r="H433" s="15" t="n"/>
      <c r="I433" s="45" t="n">
        <v>2694001.515</v>
      </c>
      <c r="J433" s="45" t="n">
        <v>2013253.811</v>
      </c>
      <c r="K433" s="45" t="n">
        <v>1904345.87</v>
      </c>
      <c r="L433" s="45" t="n">
        <v>1421156.17968271</v>
      </c>
      <c r="M433" s="45" t="n">
        <v>171579.976504829</v>
      </c>
      <c r="N433" s="45" t="n">
        <v>128044.98792</v>
      </c>
      <c r="O433" s="45" t="n">
        <v>0</v>
      </c>
      <c r="P433" s="45" t="n">
        <v>0</v>
      </c>
      <c r="Q433" s="45" t="n">
        <v>0</v>
      </c>
      <c r="R433" s="45" t="n">
        <v>0</v>
      </c>
      <c r="S433" s="45" t="n">
        <v>2075925.846504829</v>
      </c>
      <c r="T433" s="45" t="n">
        <v>1549201.16760271</v>
      </c>
      <c r="U433" s="15" t="n">
        <v>33.99976</v>
      </c>
      <c r="V433" s="15" t="n">
        <v>56.45677871740158</v>
      </c>
      <c r="W433" s="49" t="n">
        <v>74.627</v>
      </c>
    </row>
    <row r="434">
      <c r="A434" s="44" t="inlineStr">
        <is>
          <t>TL Cinsi Kuponsuz Senetler</t>
        </is>
      </c>
      <c r="B434" s="44" t="n">
        <v>2002</v>
      </c>
      <c r="C434" s="44" t="inlineStr">
        <is>
          <t>TRB240702T11</t>
        </is>
      </c>
      <c r="D434" s="44" t="inlineStr">
        <is>
          <t>nan</t>
        </is>
      </c>
      <c r="E434" s="44" t="inlineStr">
        <is>
          <t>nan</t>
        </is>
      </c>
      <c r="F434" s="44" t="n"/>
      <c r="G434" s="44" t="n"/>
      <c r="H434" s="15" t="n"/>
      <c r="I434" s="45" t="n">
        <v>1713112.77</v>
      </c>
      <c r="J434" s="45" t="n">
        <v>1542771.167</v>
      </c>
      <c r="K434" s="45" t="n">
        <v>1091220.235</v>
      </c>
      <c r="L434" s="45" t="n">
        <v>982000</v>
      </c>
      <c r="M434" s="45" t="n">
        <v>0</v>
      </c>
      <c r="N434" s="45" t="n">
        <v>0</v>
      </c>
      <c r="O434" s="45" t="n">
        <v>0</v>
      </c>
      <c r="P434" s="45" t="n">
        <v>0</v>
      </c>
      <c r="Q434" s="45" t="n">
        <v>0</v>
      </c>
      <c r="R434" s="45" t="n">
        <v>0</v>
      </c>
      <c r="S434" s="45" t="n">
        <v>1091220.235</v>
      </c>
      <c r="T434" s="45" t="n">
        <v>982000</v>
      </c>
      <c r="U434" s="15" t="n">
        <v>11.1222235234216</v>
      </c>
      <c r="V434" s="15" t="n">
        <v>52.47677287932222</v>
      </c>
      <c r="W434" s="49" t="n">
        <v>89.991</v>
      </c>
    </row>
    <row r="435">
      <c r="A435" s="44" t="inlineStr">
        <is>
          <t>TL Cinsi Kuponsuz Senetler</t>
        </is>
      </c>
      <c r="B435" s="44" t="n">
        <v>2002</v>
      </c>
      <c r="C435" s="44" t="inlineStr">
        <is>
          <t>TRT090403T12</t>
        </is>
      </c>
      <c r="D435" s="44" t="inlineStr">
        <is>
          <t>nan</t>
        </is>
      </c>
      <c r="E435" s="44" t="inlineStr">
        <is>
          <t>nan</t>
        </is>
      </c>
      <c r="F435" s="44" t="n"/>
      <c r="G435" s="44" t="n"/>
      <c r="H435" s="15" t="n"/>
      <c r="I435" s="45" t="n">
        <v>2875292.035</v>
      </c>
      <c r="J435" s="45" t="n">
        <v>1936321.698</v>
      </c>
      <c r="K435" s="45" t="n">
        <v>2462974.55</v>
      </c>
      <c r="L435" s="45" t="n">
        <v>1655907.049456</v>
      </c>
      <c r="M435" s="45" t="n">
        <v>0</v>
      </c>
      <c r="N435" s="45" t="n">
        <v>0</v>
      </c>
      <c r="O435" s="45" t="n">
        <v>0</v>
      </c>
      <c r="P435" s="45" t="n">
        <v>0</v>
      </c>
      <c r="Q435" s="45" t="n">
        <v>0</v>
      </c>
      <c r="R435" s="45" t="n">
        <v>0</v>
      </c>
      <c r="S435" s="45" t="n">
        <v>2462974.55</v>
      </c>
      <c r="T435" s="45" t="n">
        <v>1655907.049456</v>
      </c>
      <c r="U435" s="15" t="n">
        <v>48.7386958591147</v>
      </c>
      <c r="V435" s="15" t="n">
        <v>53.74203786330067</v>
      </c>
      <c r="W435" s="49" t="n">
        <v>67.232</v>
      </c>
    </row>
    <row r="436">
      <c r="A436" s="44" t="inlineStr">
        <is>
          <t>TL Cinsi Kuponsuz Senetler</t>
        </is>
      </c>
      <c r="B436" s="44" t="n">
        <v>2002</v>
      </c>
      <c r="C436" s="44" t="inlineStr">
        <is>
          <t>TRB061102T17</t>
        </is>
      </c>
      <c r="D436" s="44" t="inlineStr">
        <is>
          <t>nan</t>
        </is>
      </c>
      <c r="E436" s="44" t="inlineStr">
        <is>
          <t>nan</t>
        </is>
      </c>
      <c r="F436" s="44" t="n"/>
      <c r="G436" s="44" t="n"/>
      <c r="H436" s="15" t="n"/>
      <c r="I436" s="45" t="n">
        <v>1310959.85</v>
      </c>
      <c r="J436" s="45" t="n">
        <v>1056378.411</v>
      </c>
      <c r="K436" s="45" t="n">
        <v>1106189.67</v>
      </c>
      <c r="L436" s="45" t="n">
        <v>889752.6276381046</v>
      </c>
      <c r="M436" s="45" t="n">
        <v>55380.8032108924</v>
      </c>
      <c r="N436" s="45" t="n">
        <v>44544.99668</v>
      </c>
      <c r="O436" s="45" t="n">
        <v>0</v>
      </c>
      <c r="P436" s="45" t="n">
        <v>0</v>
      </c>
      <c r="Q436" s="45" t="n">
        <v>0</v>
      </c>
      <c r="R436" s="45" t="n">
        <v>0</v>
      </c>
      <c r="S436" s="45" t="n">
        <v>1161570.473210892</v>
      </c>
      <c r="T436" s="45" t="n">
        <v>934297.6243181046</v>
      </c>
      <c r="U436" s="15" t="n">
        <v>24.32553</v>
      </c>
      <c r="V436" s="15" t="n">
        <v>54.56837409780899</v>
      </c>
      <c r="W436" s="49" t="n">
        <v>80.434</v>
      </c>
    </row>
    <row r="437">
      <c r="A437" s="44" t="inlineStr">
        <is>
          <t>TL Cinsi Kuponsuz Senetler</t>
        </is>
      </c>
      <c r="B437" s="44" t="n">
        <v>2002</v>
      </c>
      <c r="C437" s="44" t="inlineStr">
        <is>
          <t>TRB140802T12</t>
        </is>
      </c>
      <c r="D437" s="44" t="inlineStr">
        <is>
          <t>nan</t>
        </is>
      </c>
      <c r="E437" s="44" t="inlineStr">
        <is>
          <t>nan</t>
        </is>
      </c>
      <c r="F437" s="44" t="n"/>
      <c r="G437" s="44" t="n"/>
      <c r="H437" s="15" t="n"/>
      <c r="I437" s="45" t="n">
        <v>1500415</v>
      </c>
      <c r="J437" s="45" t="n">
        <v>1350574.3</v>
      </c>
      <c r="K437" s="45" t="n">
        <v>1401535.44</v>
      </c>
      <c r="L437" s="45" t="n">
        <v>1255999.9999104</v>
      </c>
      <c r="M437" s="45" t="n">
        <v>0</v>
      </c>
      <c r="N437" s="45" t="n">
        <v>0</v>
      </c>
      <c r="O437" s="45" t="n">
        <v>0</v>
      </c>
      <c r="P437" s="45" t="n">
        <v>0</v>
      </c>
      <c r="Q437" s="45" t="n">
        <v>0</v>
      </c>
      <c r="R437" s="45" t="n">
        <v>0</v>
      </c>
      <c r="S437" s="45" t="n">
        <v>1401535.44</v>
      </c>
      <c r="T437" s="45" t="n">
        <v>1255999.9999104</v>
      </c>
      <c r="U437" s="15" t="n">
        <v>11.58721656846993</v>
      </c>
      <c r="V437" s="15" t="n">
        <v>55.0450047608281</v>
      </c>
      <c r="W437" s="49" t="n">
        <v>89.616</v>
      </c>
    </row>
    <row r="438">
      <c r="A438" s="44" t="inlineStr">
        <is>
          <t>TL Cinsi Kuponsuz Senetler</t>
        </is>
      </c>
      <c r="B438" s="44" t="n">
        <v>2002</v>
      </c>
      <c r="C438" s="44" t="inlineStr">
        <is>
          <t>TRB061102T17</t>
        </is>
      </c>
      <c r="D438" s="44" t="inlineStr">
        <is>
          <t>nan</t>
        </is>
      </c>
      <c r="E438" s="44" t="inlineStr">
        <is>
          <t>nan</t>
        </is>
      </c>
      <c r="F438" s="44" t="n"/>
      <c r="G438" s="44" t="n"/>
      <c r="H438" s="15" t="n"/>
      <c r="I438" s="45" t="n">
        <v>1224300.71</v>
      </c>
      <c r="J438" s="45" t="n">
        <v>1003628.741</v>
      </c>
      <c r="K438" s="45" t="n">
        <v>980551.5549999999</v>
      </c>
      <c r="L438" s="45" t="n">
        <v>801953.8947722975</v>
      </c>
      <c r="M438" s="45" t="n">
        <v>27449.6800674933</v>
      </c>
      <c r="N438" s="45" t="n">
        <v>22449.99534</v>
      </c>
      <c r="O438" s="45" t="n">
        <v>0</v>
      </c>
      <c r="P438" s="45" t="n">
        <v>0</v>
      </c>
      <c r="Q438" s="45" t="n">
        <v>0</v>
      </c>
      <c r="R438" s="45" t="n">
        <v>0</v>
      </c>
      <c r="S438" s="45" t="n">
        <v>1008001.235067493</v>
      </c>
      <c r="T438" s="45" t="n">
        <v>824403.8901122975</v>
      </c>
      <c r="U438" s="15" t="n">
        <v>22.270315212873</v>
      </c>
      <c r="V438" s="15" t="n">
        <v>57.55110853912531</v>
      </c>
      <c r="W438" s="49" t="n">
        <v>81.786</v>
      </c>
    </row>
    <row r="439">
      <c r="A439" s="44" t="inlineStr">
        <is>
          <t>TL Cinsi Kuponsuz Senetler</t>
        </is>
      </c>
      <c r="B439" s="44" t="n">
        <v>2002</v>
      </c>
      <c r="C439" s="44" t="inlineStr">
        <is>
          <t>TRB050303T17</t>
        </is>
      </c>
      <c r="D439" s="44" t="inlineStr">
        <is>
          <t>nan</t>
        </is>
      </c>
      <c r="E439" s="44" t="inlineStr">
        <is>
          <t>nan</t>
        </is>
      </c>
      <c r="F439" s="44" t="n"/>
      <c r="G439" s="44" t="n"/>
      <c r="H439" s="15" t="n"/>
      <c r="I439" s="45" t="n">
        <v>1210670.82</v>
      </c>
      <c r="J439" s="45" t="n">
        <v>850890.112</v>
      </c>
      <c r="K439" s="45" t="n">
        <v>802205.245</v>
      </c>
      <c r="L439" s="45" t="n">
        <v>563019.7291508011</v>
      </c>
      <c r="M439" s="45" t="n">
        <v>38751.4960674797</v>
      </c>
      <c r="N439" s="45" t="n">
        <v>27197.35</v>
      </c>
      <c r="O439" s="45" t="n">
        <v>0</v>
      </c>
      <c r="P439" s="45" t="n">
        <v>0</v>
      </c>
      <c r="Q439" s="45" t="n">
        <v>0</v>
      </c>
      <c r="R439" s="45" t="n">
        <v>0</v>
      </c>
      <c r="S439" s="45" t="n">
        <v>840956.7410674797</v>
      </c>
      <c r="T439" s="45" t="n">
        <v>590217.0791508011</v>
      </c>
      <c r="U439" s="15" t="n">
        <v>42.482617120711</v>
      </c>
      <c r="V439" s="15" t="n">
        <v>58.44934518482556</v>
      </c>
      <c r="W439" s="49" t="n">
        <v>70.184</v>
      </c>
    </row>
    <row r="440">
      <c r="A440" s="44" t="inlineStr">
        <is>
          <t>TL Cinsi Kuponsuz Senetler</t>
        </is>
      </c>
      <c r="B440" s="44" t="n">
        <v>2002</v>
      </c>
      <c r="C440" s="44" t="inlineStr">
        <is>
          <t>TRB180902T17</t>
        </is>
      </c>
      <c r="D440" s="44" t="inlineStr">
        <is>
          <t>nan</t>
        </is>
      </c>
      <c r="E440" s="44" t="inlineStr">
        <is>
          <t>nan</t>
        </is>
      </c>
      <c r="F440" s="44" t="n"/>
      <c r="G440" s="44" t="n"/>
      <c r="H440" s="15" t="n"/>
      <c r="I440" s="45" t="n">
        <v>1722864.63</v>
      </c>
      <c r="J440" s="45" t="n">
        <v>1527491.397</v>
      </c>
      <c r="K440" s="45" t="n">
        <v>1650206.65</v>
      </c>
      <c r="L440" s="45" t="n">
        <v>1445960.5729295</v>
      </c>
      <c r="M440" s="45" t="n">
        <v>0</v>
      </c>
      <c r="N440" s="45" t="n">
        <v>0</v>
      </c>
      <c r="O440" s="45" t="n">
        <v>0</v>
      </c>
      <c r="P440" s="45" t="n">
        <v>0</v>
      </c>
      <c r="Q440" s="45" t="n">
        <v>0</v>
      </c>
      <c r="R440" s="45" t="n">
        <v>0</v>
      </c>
      <c r="S440" s="45" t="n">
        <v>1650206.65</v>
      </c>
      <c r="T440" s="45" t="n">
        <v>1445960.5729295</v>
      </c>
      <c r="U440" s="15" t="n">
        <v>14.12528673978293</v>
      </c>
      <c r="V440" s="15" t="n">
        <v>69.63971213855085</v>
      </c>
      <c r="W440" s="49" t="n">
        <v>87.623</v>
      </c>
    </row>
    <row r="441">
      <c r="A441" s="44" t="inlineStr">
        <is>
          <t>TL Cinsi Kuponsuz Senetler</t>
        </is>
      </c>
      <c r="B441" s="44" t="n">
        <v>2002</v>
      </c>
      <c r="C441" s="44" t="inlineStr">
        <is>
          <t>TRB080103T16</t>
        </is>
      </c>
      <c r="D441" s="44" t="inlineStr">
        <is>
          <t>nan</t>
        </is>
      </c>
      <c r="E441" s="44" t="inlineStr">
        <is>
          <t>nan</t>
        </is>
      </c>
      <c r="F441" s="44" t="n"/>
      <c r="G441" s="44" t="n"/>
      <c r="H441" s="15" t="n"/>
      <c r="I441" s="45" t="n">
        <v>1899107.14</v>
      </c>
      <c r="J441" s="45" t="n">
        <v>1398152.234</v>
      </c>
      <c r="K441" s="45" t="n">
        <v>1589103.415</v>
      </c>
      <c r="L441" s="45" t="n">
        <v>1167164.6762492</v>
      </c>
      <c r="M441" s="45" t="n">
        <v>559096.2313473477</v>
      </c>
      <c r="N441" s="45" t="n">
        <v>410645</v>
      </c>
      <c r="O441" s="45" t="n">
        <v>0</v>
      </c>
      <c r="P441" s="45" t="n">
        <v>0</v>
      </c>
      <c r="Q441" s="45" t="n">
        <v>0</v>
      </c>
      <c r="R441" s="45" t="n">
        <v>0</v>
      </c>
      <c r="S441" s="45" t="n">
        <v>2148199.646347348</v>
      </c>
      <c r="T441" s="45" t="n">
        <v>1577809.6762492</v>
      </c>
      <c r="U441" s="15" t="n">
        <v>36.15074610608866</v>
      </c>
      <c r="V441" s="15" t="n">
        <v>73.90488040909007</v>
      </c>
      <c r="W441" s="49" t="n">
        <v>73.44799999999999</v>
      </c>
    </row>
    <row r="442">
      <c r="A442" s="44" t="inlineStr">
        <is>
          <t>TL Cinsi Kuponsuz Senetler</t>
        </is>
      </c>
      <c r="B442" s="44" t="n">
        <v>2002</v>
      </c>
      <c r="C442" s="44" t="inlineStr">
        <is>
          <t>TRB061102T17</t>
        </is>
      </c>
      <c r="D442" s="44" t="inlineStr">
        <is>
          <t>nan</t>
        </is>
      </c>
      <c r="E442" s="44" t="inlineStr">
        <is>
          <t>nan</t>
        </is>
      </c>
      <c r="F442" s="44" t="n"/>
      <c r="G442" s="44" t="n"/>
      <c r="H442" s="15" t="n"/>
      <c r="I442" s="45" t="n">
        <v>2502193.33</v>
      </c>
      <c r="J442" s="45" t="n">
        <v>2065579.512</v>
      </c>
      <c r="K442" s="45" t="n">
        <v>2318870.98</v>
      </c>
      <c r="L442" s="45" t="n">
        <v>1906204.700399808</v>
      </c>
      <c r="M442" s="45" t="n">
        <v>115566.1499804994</v>
      </c>
      <c r="N442" s="45" t="n">
        <v>94999.99793</v>
      </c>
      <c r="O442" s="45" t="n">
        <v>0</v>
      </c>
      <c r="P442" s="45" t="n">
        <v>0</v>
      </c>
      <c r="Q442" s="45" t="n">
        <v>0</v>
      </c>
      <c r="R442" s="45" t="n">
        <v>0</v>
      </c>
      <c r="S442" s="45" t="n">
        <v>2434437.129980499</v>
      </c>
      <c r="T442" s="45" t="n">
        <v>2001204.698329808</v>
      </c>
      <c r="U442" s="15" t="n">
        <v>21.6485815775</v>
      </c>
      <c r="V442" s="15" t="n">
        <v>70.97182847149203</v>
      </c>
      <c r="W442" s="49" t="n">
        <v>82.20399999999999</v>
      </c>
    </row>
    <row r="443">
      <c r="A443" s="44" t="inlineStr">
        <is>
          <t>TL Cinsi Kuponsuz Senetler</t>
        </is>
      </c>
      <c r="B443" s="44" t="n">
        <v>2002</v>
      </c>
      <c r="C443" s="44" t="inlineStr">
        <is>
          <t>TRB080103T16</t>
        </is>
      </c>
      <c r="D443" s="44" t="inlineStr">
        <is>
          <t>nan</t>
        </is>
      </c>
      <c r="E443" s="44" t="inlineStr">
        <is>
          <t>nan</t>
        </is>
      </c>
      <c r="F443" s="44" t="n"/>
      <c r="G443" s="44" t="n"/>
      <c r="H443" s="15" t="n"/>
      <c r="I443" s="45" t="n">
        <v>1670021.445</v>
      </c>
      <c r="J443" s="45" t="n">
        <v>1240595.41</v>
      </c>
      <c r="K443" s="45" t="n">
        <v>1462823.38</v>
      </c>
      <c r="L443" s="45" t="n">
        <v>1081421.439790157</v>
      </c>
      <c r="M443" s="45" t="n">
        <v>210903.99995857</v>
      </c>
      <c r="N443" s="45" t="n">
        <v>155915</v>
      </c>
      <c r="O443" s="45" t="n">
        <v>0</v>
      </c>
      <c r="P443" s="45" t="n">
        <v>0</v>
      </c>
      <c r="Q443" s="45" t="n">
        <v>0</v>
      </c>
      <c r="R443" s="45" t="n">
        <v>0</v>
      </c>
      <c r="S443" s="45" t="n">
        <v>1673727.37995857</v>
      </c>
      <c r="T443" s="45" t="n">
        <v>1237336.439790157</v>
      </c>
      <c r="U443" s="15" t="n">
        <v>35.2685758</v>
      </c>
      <c r="V443" s="15" t="n">
        <v>75.24733333667638</v>
      </c>
      <c r="W443" s="49" t="n">
        <v>73.92700000000001</v>
      </c>
    </row>
    <row r="444">
      <c r="A444" s="44" t="inlineStr">
        <is>
          <t>TL Cinsi Kuponsuz Senetler</t>
        </is>
      </c>
      <c r="B444" s="44" t="n">
        <v>2002</v>
      </c>
      <c r="C444" s="44" t="inlineStr">
        <is>
          <t>TRB111202T19</t>
        </is>
      </c>
      <c r="D444" s="44" t="inlineStr">
        <is>
          <t>nan</t>
        </is>
      </c>
      <c r="E444" s="44" t="inlineStr">
        <is>
          <t>nan</t>
        </is>
      </c>
      <c r="F444" s="44" t="n"/>
      <c r="G444" s="44" t="n"/>
      <c r="H444" s="15" t="n"/>
      <c r="I444" s="45" t="n">
        <v>521507.58</v>
      </c>
      <c r="J444" s="45" t="n">
        <v>411043.976</v>
      </c>
      <c r="K444" s="45" t="n">
        <v>378388.725</v>
      </c>
      <c r="L444" s="45" t="n">
        <v>297712.4651159442</v>
      </c>
      <c r="M444" s="45" t="n">
        <v>0</v>
      </c>
      <c r="N444" s="45" t="n">
        <v>0</v>
      </c>
      <c r="O444" s="45" t="n">
        <v>0</v>
      </c>
      <c r="P444" s="45" t="n">
        <v>0</v>
      </c>
      <c r="Q444" s="45" t="n">
        <v>0</v>
      </c>
      <c r="R444" s="45" t="n">
        <v>0</v>
      </c>
      <c r="S444" s="45" t="n">
        <v>378388.725</v>
      </c>
      <c r="T444" s="45" t="n">
        <v>297712.4651159442</v>
      </c>
      <c r="U444" s="15" t="n">
        <v>27.0987175</v>
      </c>
      <c r="V444" s="15" t="n">
        <v>71.96877509937798</v>
      </c>
      <c r="W444" s="49" t="n">
        <v>78.679</v>
      </c>
    </row>
    <row r="445">
      <c r="A445" s="44" t="inlineStr">
        <is>
          <t>TL Cinsi Kuponsuz Senetler</t>
        </is>
      </c>
      <c r="B445" s="44" t="n">
        <v>2002</v>
      </c>
      <c r="C445" s="44" t="inlineStr">
        <is>
          <t>TRB111202T19</t>
        </is>
      </c>
      <c r="D445" s="44" t="inlineStr">
        <is>
          <t>nan</t>
        </is>
      </c>
      <c r="E445" s="44" t="inlineStr">
        <is>
          <t>nan</t>
        </is>
      </c>
      <c r="F445" s="44" t="n"/>
      <c r="G445" s="44" t="n"/>
      <c r="H445" s="15" t="n"/>
      <c r="I445" s="45" t="n">
        <v>3245387.69</v>
      </c>
      <c r="J445" s="45" t="n">
        <v>2557844.82</v>
      </c>
      <c r="K445" s="45" t="n">
        <v>2801897.115</v>
      </c>
      <c r="L445" s="45" t="n">
        <v>2203047.64461105</v>
      </c>
      <c r="M445" s="45" t="n">
        <v>509803.2399684587</v>
      </c>
      <c r="N445" s="45" t="n">
        <v>400842.99349</v>
      </c>
      <c r="O445" s="45" t="n">
        <v>0</v>
      </c>
      <c r="P445" s="45" t="n">
        <v>0</v>
      </c>
      <c r="Q445" s="45" t="n">
        <v>0</v>
      </c>
      <c r="R445" s="45" t="n">
        <v>0</v>
      </c>
      <c r="S445" s="45" t="n">
        <v>3311700.354968459</v>
      </c>
      <c r="T445" s="45" t="n">
        <v>2603890.63810105</v>
      </c>
      <c r="U445" s="15" t="n">
        <v>27.18277436504</v>
      </c>
      <c r="V445" s="15" t="n">
        <v>76.53487490430201</v>
      </c>
      <c r="W445" s="49" t="n">
        <v>78.627</v>
      </c>
    </row>
    <row r="446">
      <c r="A446" s="44" t="inlineStr">
        <is>
          <t>TL Cinsi Kuponsuz Senetler</t>
        </is>
      </c>
      <c r="B446" s="44" t="n">
        <v>2002</v>
      </c>
      <c r="C446" s="44" t="inlineStr">
        <is>
          <t>TRB050303T17</t>
        </is>
      </c>
      <c r="D446" s="44" t="inlineStr">
        <is>
          <t>nan</t>
        </is>
      </c>
      <c r="E446" s="44" t="inlineStr">
        <is>
          <t>nan</t>
        </is>
      </c>
      <c r="F446" s="44" t="n"/>
      <c r="G446" s="44" t="n"/>
      <c r="H446" s="15" t="n"/>
      <c r="I446" s="45" t="n">
        <v>1489332.53</v>
      </c>
      <c r="J446" s="45" t="n">
        <v>1015227.033</v>
      </c>
      <c r="K446" s="45" t="n">
        <v>959038.1949999999</v>
      </c>
      <c r="L446" s="45" t="n">
        <v>653805.10867735</v>
      </c>
      <c r="M446" s="45" t="n">
        <v>146685.6380091825</v>
      </c>
      <c r="N446" s="45" t="n">
        <v>100000</v>
      </c>
      <c r="O446" s="45" t="n">
        <v>0</v>
      </c>
      <c r="P446" s="45" t="n">
        <v>0</v>
      </c>
      <c r="Q446" s="45" t="n">
        <v>0</v>
      </c>
      <c r="R446" s="45" t="n">
        <v>0</v>
      </c>
      <c r="S446" s="45" t="n">
        <v>1105723.833009182</v>
      </c>
      <c r="T446" s="45" t="n">
        <v>753805.10867735</v>
      </c>
      <c r="U446" s="15" t="n">
        <v>46.68563800918253</v>
      </c>
      <c r="V446" s="15" t="n">
        <v>79.66982466898918</v>
      </c>
      <c r="W446" s="49" t="n">
        <v>68.173</v>
      </c>
    </row>
    <row r="447">
      <c r="A447" s="44" t="inlineStr">
        <is>
          <t>TL Cinsi Kuponsuz Senetler</t>
        </is>
      </c>
      <c r="B447" s="44" t="n">
        <v>2002</v>
      </c>
      <c r="C447" s="44" t="inlineStr">
        <is>
          <t>TRB231002T25</t>
        </is>
      </c>
      <c r="D447" s="44" t="inlineStr">
        <is>
          <t>nan</t>
        </is>
      </c>
      <c r="E447" s="44" t="inlineStr">
        <is>
          <t>nan</t>
        </is>
      </c>
      <c r="F447" s="44" t="n"/>
      <c r="G447" s="44" t="n"/>
      <c r="H447" s="15" t="n"/>
      <c r="I447" s="45" t="n">
        <v>3276548.8</v>
      </c>
      <c r="J447" s="45" t="n">
        <v>2897731.88</v>
      </c>
      <c r="K447" s="45" t="n">
        <v>1247218.05</v>
      </c>
      <c r="L447" s="45" t="n">
        <v>1104000.0013185</v>
      </c>
      <c r="M447" s="45" t="n">
        <v>0</v>
      </c>
      <c r="N447" s="45" t="n">
        <v>0</v>
      </c>
      <c r="O447" s="45" t="n">
        <v>0</v>
      </c>
      <c r="P447" s="45" t="n">
        <v>0</v>
      </c>
      <c r="Q447" s="45" t="n">
        <v>0</v>
      </c>
      <c r="R447" s="45" t="n">
        <v>0</v>
      </c>
      <c r="S447" s="45" t="n">
        <v>1247218.05</v>
      </c>
      <c r="T447" s="45" t="n">
        <v>1104000.0013185</v>
      </c>
      <c r="U447" s="15" t="n">
        <v>12.97264932159925</v>
      </c>
      <c r="V447" s="15" t="n">
        <v>62.88956145534195</v>
      </c>
      <c r="W447" s="49" t="n">
        <v>88.517</v>
      </c>
    </row>
    <row r="448">
      <c r="A448" s="44" t="inlineStr">
        <is>
          <t>TL Cinsi Kuponsuz Senetler</t>
        </is>
      </c>
      <c r="B448" s="44" t="n">
        <v>2002</v>
      </c>
      <c r="C448" s="44" t="inlineStr">
        <is>
          <t>TRB050303T17</t>
        </is>
      </c>
      <c r="D448" s="44" t="inlineStr">
        <is>
          <t>nan</t>
        </is>
      </c>
      <c r="E448" s="44" t="inlineStr">
        <is>
          <t>nan</t>
        </is>
      </c>
      <c r="F448" s="44" t="n"/>
      <c r="G448" s="44" t="n"/>
      <c r="H448" s="15" t="n"/>
      <c r="I448" s="45" t="n">
        <v>2002430.55</v>
      </c>
      <c r="J448" s="45" t="n">
        <v>1413107.412</v>
      </c>
      <c r="K448" s="45" t="n">
        <v>1556894.52</v>
      </c>
      <c r="L448" s="45" t="n">
        <v>1095602.2426692</v>
      </c>
      <c r="M448" s="45" t="n">
        <v>268995.7449801765</v>
      </c>
      <c r="N448" s="45" t="n">
        <v>189294.9957</v>
      </c>
      <c r="O448" s="45" t="n">
        <v>0</v>
      </c>
      <c r="P448" s="45" t="n">
        <v>0</v>
      </c>
      <c r="Q448" s="45" t="n">
        <v>0</v>
      </c>
      <c r="R448" s="45" t="n">
        <v>0</v>
      </c>
      <c r="S448" s="45" t="n">
        <v>1825890.264980176</v>
      </c>
      <c r="T448" s="45" t="n">
        <v>1284897.2383692</v>
      </c>
      <c r="U448" s="15" t="n">
        <v>42.10399170112689</v>
      </c>
      <c r="V448" s="15" t="n">
        <v>77.0048640475749</v>
      </c>
      <c r="W448" s="49" t="n">
        <v>70.371</v>
      </c>
    </row>
    <row r="449">
      <c r="A449" s="44" t="inlineStr">
        <is>
          <t>TL Cinsi Kuponsuz Senetler</t>
        </is>
      </c>
      <c r="B449" s="44" t="n">
        <v>2002</v>
      </c>
      <c r="C449" s="44" t="inlineStr">
        <is>
          <t>TRB131102T18</t>
        </is>
      </c>
      <c r="D449" s="44" t="inlineStr">
        <is>
          <t>nan</t>
        </is>
      </c>
      <c r="E449" s="44" t="inlineStr">
        <is>
          <t>nan</t>
        </is>
      </c>
      <c r="F449" s="44" t="n"/>
      <c r="G449" s="44" t="n"/>
      <c r="H449" s="15" t="n"/>
      <c r="I449" s="45" t="n">
        <v>1375142.999</v>
      </c>
      <c r="J449" s="45" t="n">
        <v>1197368.244</v>
      </c>
      <c r="K449" s="45" t="n">
        <v>1187142.805</v>
      </c>
      <c r="L449" s="45" t="n">
        <v>1032113.907143999</v>
      </c>
      <c r="M449" s="45" t="n">
        <v>28755.12773814632</v>
      </c>
      <c r="N449" s="45" t="n">
        <v>24999.99757</v>
      </c>
      <c r="O449" s="45" t="n">
        <v>0</v>
      </c>
      <c r="P449" s="45" t="n">
        <v>0</v>
      </c>
      <c r="Q449" s="45" t="n">
        <v>0</v>
      </c>
      <c r="R449" s="45" t="n">
        <v>0</v>
      </c>
      <c r="S449" s="45" t="n">
        <v>1215897.932738146</v>
      </c>
      <c r="T449" s="45" t="n">
        <v>1057113.904713999</v>
      </c>
      <c r="U449" s="15" t="n">
        <v>15.02052213258</v>
      </c>
      <c r="V449" s="15" t="n">
        <v>62.43807234856322</v>
      </c>
      <c r="W449" s="49" t="n">
        <v>86.941</v>
      </c>
    </row>
    <row r="450">
      <c r="A450" s="44" t="inlineStr">
        <is>
          <t>TL Cinsi Kuponsuz Senetler</t>
        </is>
      </c>
      <c r="B450" s="44" t="n">
        <v>2002</v>
      </c>
      <c r="C450" s="44" t="inlineStr">
        <is>
          <t>TRB070503T13</t>
        </is>
      </c>
      <c r="D450" s="44" t="inlineStr">
        <is>
          <t>nan</t>
        </is>
      </c>
      <c r="E450" s="44" t="inlineStr">
        <is>
          <t>nan</t>
        </is>
      </c>
      <c r="F450" s="44" t="n"/>
      <c r="G450" s="44" t="n"/>
      <c r="H450" s="15" t="n"/>
      <c r="I450" s="45" t="n">
        <v>2067931.055</v>
      </c>
      <c r="J450" s="45" t="n">
        <v>1406352.614</v>
      </c>
      <c r="K450" s="45" t="n">
        <v>1162416.07</v>
      </c>
      <c r="L450" s="45" t="n">
        <v>787734.4981569001</v>
      </c>
      <c r="M450" s="45" t="n">
        <v>0</v>
      </c>
      <c r="N450" s="45" t="n">
        <v>0</v>
      </c>
      <c r="O450" s="45" t="n">
        <v>0</v>
      </c>
      <c r="P450" s="45" t="n">
        <v>0</v>
      </c>
      <c r="Q450" s="45" t="n">
        <v>0</v>
      </c>
      <c r="R450" s="45" t="n">
        <v>0</v>
      </c>
      <c r="S450" s="45" t="n">
        <v>1162416.07</v>
      </c>
      <c r="T450" s="45" t="n">
        <v>787734.4981569001</v>
      </c>
      <c r="U450" s="15" t="n">
        <v>47.56444877300161</v>
      </c>
      <c r="V450" s="15" t="n">
        <v>67.99988578993563</v>
      </c>
      <c r="W450" s="49" t="n">
        <v>67.767</v>
      </c>
    </row>
    <row r="451">
      <c r="A451" s="44" t="inlineStr">
        <is>
          <t>TL Cinsi Kuponsuz Senetler</t>
        </is>
      </c>
      <c r="B451" s="44" t="n">
        <v>2002</v>
      </c>
      <c r="C451" s="44" t="inlineStr">
        <is>
          <t>TRB131102T26</t>
        </is>
      </c>
      <c r="D451" s="44" t="inlineStr">
        <is>
          <t>nan</t>
        </is>
      </c>
      <c r="E451" s="44" t="inlineStr">
        <is>
          <t>nan</t>
        </is>
      </c>
      <c r="F451" s="44" t="n"/>
      <c r="G451" s="44" t="n"/>
      <c r="H451" s="15" t="n"/>
      <c r="I451" s="45" t="n">
        <v>2118362.87</v>
      </c>
      <c r="J451" s="45" t="n">
        <v>1888619.792</v>
      </c>
      <c r="K451" s="45" t="n">
        <v>1190943.89</v>
      </c>
      <c r="L451" s="45" t="n">
        <v>1061000.0021621</v>
      </c>
      <c r="M451" s="45" t="n">
        <v>0</v>
      </c>
      <c r="N451" s="45" t="n">
        <v>0</v>
      </c>
      <c r="O451" s="45" t="n">
        <v>0</v>
      </c>
      <c r="P451" s="45" t="n">
        <v>0</v>
      </c>
      <c r="Q451" s="45" t="n">
        <v>0</v>
      </c>
      <c r="R451" s="45" t="n">
        <v>0</v>
      </c>
      <c r="S451" s="45" t="n">
        <v>1190943.89</v>
      </c>
      <c r="T451" s="45" t="n">
        <v>1061000.0021621</v>
      </c>
      <c r="U451" s="15" t="n">
        <v>12.24730325853922</v>
      </c>
      <c r="V451" s="15" t="n">
        <v>58.74631893287719</v>
      </c>
      <c r="W451" s="49" t="n">
        <v>89.089</v>
      </c>
    </row>
    <row r="452">
      <c r="A452" s="44" t="inlineStr">
        <is>
          <t>TL Cinsi Kuponsuz Senetler</t>
        </is>
      </c>
      <c r="B452" s="44" t="n">
        <v>2002</v>
      </c>
      <c r="C452" s="44" t="inlineStr">
        <is>
          <t>TRB070503T13</t>
        </is>
      </c>
      <c r="D452" s="44" t="inlineStr">
        <is>
          <t>nan</t>
        </is>
      </c>
      <c r="E452" s="44" t="inlineStr">
        <is>
          <t>nan</t>
        </is>
      </c>
      <c r="F452" s="44" t="n"/>
      <c r="G452" s="44" t="n"/>
      <c r="H452" s="15" t="n"/>
      <c r="I452" s="45" t="n">
        <v>2766707.11</v>
      </c>
      <c r="J452" s="45" t="n">
        <v>1892273.474</v>
      </c>
      <c r="K452" s="45" t="n">
        <v>1427595.74</v>
      </c>
      <c r="L452" s="45" t="n">
        <v>977546.1829649999</v>
      </c>
      <c r="M452" s="45" t="n">
        <v>331364.7316538883</v>
      </c>
      <c r="N452" s="45" t="n">
        <v>226902</v>
      </c>
      <c r="O452" s="45" t="n">
        <v>0</v>
      </c>
      <c r="P452" s="45" t="n">
        <v>0</v>
      </c>
      <c r="Q452" s="45" t="n">
        <v>0</v>
      </c>
      <c r="R452" s="45" t="n">
        <v>0</v>
      </c>
      <c r="S452" s="45" t="n">
        <v>1758960.471653888</v>
      </c>
      <c r="T452" s="45" t="n">
        <v>1204448.182965</v>
      </c>
      <c r="U452" s="15" t="n">
        <v>46.03870025556773</v>
      </c>
      <c r="V452" s="15" t="n">
        <v>67.90414504264903</v>
      </c>
      <c r="W452" s="49" t="n">
        <v>68.47499999999999</v>
      </c>
    </row>
    <row r="453">
      <c r="A453" s="44" t="inlineStr">
        <is>
          <t>TL Cinsi Kuponsuz Senetler</t>
        </is>
      </c>
      <c r="B453" s="44" t="n">
        <v>2002</v>
      </c>
      <c r="C453" s="44" t="inlineStr">
        <is>
          <t>TRB220103T18</t>
        </is>
      </c>
      <c r="D453" s="44" t="inlineStr">
        <is>
          <t>nan</t>
        </is>
      </c>
      <c r="E453" s="44" t="inlineStr">
        <is>
          <t>nan</t>
        </is>
      </c>
      <c r="F453" s="44" t="n"/>
      <c r="G453" s="44" t="n"/>
      <c r="H453" s="15" t="n"/>
      <c r="I453" s="45" t="n">
        <v>2870717.18</v>
      </c>
      <c r="J453" s="45" t="n">
        <v>2365252.97</v>
      </c>
      <c r="K453" s="45" t="n">
        <v>1536299.86</v>
      </c>
      <c r="L453" s="45" t="n">
        <v>1267508.836070002</v>
      </c>
      <c r="M453" s="45" t="n">
        <v>84238.3399874801</v>
      </c>
      <c r="N453" s="45" t="n">
        <v>69500</v>
      </c>
      <c r="O453" s="45" t="n">
        <v>0</v>
      </c>
      <c r="P453" s="45" t="n">
        <v>0</v>
      </c>
      <c r="Q453" s="45" t="n">
        <v>0</v>
      </c>
      <c r="R453" s="45" t="n">
        <v>0</v>
      </c>
      <c r="S453" s="45" t="n">
        <v>1620538.19998748</v>
      </c>
      <c r="T453" s="45" t="n">
        <v>1337008.836070002</v>
      </c>
      <c r="U453" s="15" t="n">
        <v>21.2062445863023</v>
      </c>
      <c r="V453" s="15" t="n">
        <v>60.99922969467551</v>
      </c>
      <c r="W453" s="49" t="n">
        <v>82.504</v>
      </c>
    </row>
    <row r="454">
      <c r="A454" s="44" t="inlineStr">
        <is>
          <t>TL Cinsi Kuponsuz Senetler</t>
        </is>
      </c>
      <c r="B454" s="44" t="n">
        <v>2002</v>
      </c>
      <c r="C454" s="44" t="inlineStr">
        <is>
          <t>TRB070503T13</t>
        </is>
      </c>
      <c r="D454" s="44" t="inlineStr">
        <is>
          <t>nan</t>
        </is>
      </c>
      <c r="E454" s="44" t="inlineStr">
        <is>
          <t>nan</t>
        </is>
      </c>
      <c r="F454" s="44" t="n"/>
      <c r="G454" s="44" t="n"/>
      <c r="H454" s="15" t="n"/>
      <c r="I454" s="45" t="n">
        <v>2010753.365</v>
      </c>
      <c r="J454" s="45" t="n">
        <v>1410707.801</v>
      </c>
      <c r="K454" s="45" t="n">
        <v>1279646.375</v>
      </c>
      <c r="L454" s="45" t="n">
        <v>897211.2590014301</v>
      </c>
      <c r="M454" s="45" t="n">
        <v>33436.97408444156</v>
      </c>
      <c r="N454" s="45" t="n">
        <v>23444</v>
      </c>
      <c r="O454" s="45" t="n">
        <v>0</v>
      </c>
      <c r="P454" s="45" t="n">
        <v>0</v>
      </c>
      <c r="Q454" s="45" t="n">
        <v>0</v>
      </c>
      <c r="R454" s="45" t="n">
        <v>0</v>
      </c>
      <c r="S454" s="45" t="n">
        <v>1313083.349084442</v>
      </c>
      <c r="T454" s="45" t="n">
        <v>920655.2590014301</v>
      </c>
      <c r="U454" s="15" t="n">
        <v>42.6248681301892</v>
      </c>
      <c r="V454" s="15" t="n">
        <v>67.00384904134815</v>
      </c>
      <c r="W454" s="49" t="n">
        <v>70.114</v>
      </c>
    </row>
    <row r="455">
      <c r="A455" s="44" t="inlineStr">
        <is>
          <t>TL Cinsi Kuponsuz Senetler</t>
        </is>
      </c>
      <c r="B455" s="44" t="n">
        <v>2002</v>
      </c>
      <c r="C455" s="44" t="inlineStr">
        <is>
          <t>TRB220103T18</t>
        </is>
      </c>
      <c r="D455" s="44" t="inlineStr">
        <is>
          <t>nan</t>
        </is>
      </c>
      <c r="E455" s="44" t="inlineStr">
        <is>
          <t>nan</t>
        </is>
      </c>
      <c r="F455" s="44" t="n"/>
      <c r="G455" s="44" t="n"/>
      <c r="H455" s="15" t="n"/>
      <c r="I455" s="45" t="n">
        <v>2261101.37</v>
      </c>
      <c r="J455" s="45" t="n">
        <v>1885436.144</v>
      </c>
      <c r="K455" s="45" t="n">
        <v>1853764.875</v>
      </c>
      <c r="L455" s="45" t="n">
        <v>1541646.48299625</v>
      </c>
      <c r="M455" s="45" t="n">
        <v>118917.0664838931</v>
      </c>
      <c r="N455" s="45" t="n">
        <v>98895</v>
      </c>
      <c r="O455" s="45" t="n">
        <v>24049.15647583661</v>
      </c>
      <c r="P455" s="45" t="n">
        <v>20000</v>
      </c>
      <c r="Q455" s="45" t="n">
        <v>0</v>
      </c>
      <c r="R455" s="45" t="n">
        <v>0</v>
      </c>
      <c r="S455" s="45" t="n">
        <v>1996731.09795973</v>
      </c>
      <c r="T455" s="45" t="n">
        <v>1660541.48299625</v>
      </c>
      <c r="U455" s="15" t="n">
        <v>20.24578237918304</v>
      </c>
      <c r="V455" s="15" t="n">
        <v>61.50338018497552</v>
      </c>
      <c r="W455" s="49" t="n">
        <v>83.163</v>
      </c>
    </row>
    <row r="456">
      <c r="A456" s="44" t="inlineStr">
        <is>
          <t>TL Cinsi Kuponsuz Senetler</t>
        </is>
      </c>
      <c r="B456" s="44" t="n">
        <v>2002</v>
      </c>
      <c r="C456" s="44" t="inlineStr">
        <is>
          <t>TRB020703T16</t>
        </is>
      </c>
      <c r="D456" s="44" t="inlineStr">
        <is>
          <t>nan</t>
        </is>
      </c>
      <c r="E456" s="44" t="inlineStr">
        <is>
          <t>nan</t>
        </is>
      </c>
      <c r="F456" s="44" t="n"/>
      <c r="G456" s="44" t="n"/>
      <c r="H456" s="15" t="n"/>
      <c r="I456" s="45" t="n">
        <v>1504304.46</v>
      </c>
      <c r="J456" s="45" t="n">
        <v>980522.525</v>
      </c>
      <c r="K456" s="45" t="n">
        <v>1147964.59</v>
      </c>
      <c r="L456" s="45" t="n">
        <v>745671.8790804001</v>
      </c>
      <c r="M456" s="45" t="n">
        <v>115462.774801404</v>
      </c>
      <c r="N456" s="45" t="n">
        <v>75000</v>
      </c>
      <c r="O456" s="45" t="n">
        <v>53882.62824065521</v>
      </c>
      <c r="P456" s="45" t="n">
        <v>35000</v>
      </c>
      <c r="Q456" s="45" t="n">
        <v>27672.72</v>
      </c>
      <c r="R456" s="45" t="n">
        <v>17975.092</v>
      </c>
      <c r="S456" s="45" t="n">
        <v>1344982.713042059</v>
      </c>
      <c r="T456" s="45" t="n">
        <v>873646.9710804</v>
      </c>
      <c r="U456" s="15" t="n">
        <v>53.95036640187203</v>
      </c>
      <c r="V456" s="15" t="n">
        <v>68.50001689877585</v>
      </c>
      <c r="W456" s="49" t="n">
        <v>64.956</v>
      </c>
    </row>
    <row r="457">
      <c r="A457" s="44" t="inlineStr">
        <is>
          <t>TL Cinsi Kuponsuz Senetler</t>
        </is>
      </c>
      <c r="B457" s="44" t="n">
        <v>2002</v>
      </c>
      <c r="C457" s="44" t="inlineStr">
        <is>
          <t>TRB181202T12</t>
        </is>
      </c>
      <c r="D457" s="44" t="inlineStr">
        <is>
          <t>nan</t>
        </is>
      </c>
      <c r="E457" s="44" t="inlineStr">
        <is>
          <t>nan</t>
        </is>
      </c>
      <c r="F457" s="44" t="n"/>
      <c r="G457" s="44" t="n"/>
      <c r="H457" s="15" t="n"/>
      <c r="I457" s="45" t="n">
        <v>1658973.82</v>
      </c>
      <c r="J457" s="45" t="n">
        <v>1480746.368</v>
      </c>
      <c r="K457" s="45" t="n">
        <v>1495308.16</v>
      </c>
      <c r="L457" s="45" t="n">
        <v>1331332.6671744</v>
      </c>
      <c r="M457" s="45" t="n">
        <v>0</v>
      </c>
      <c r="N457" s="45" t="n">
        <v>0</v>
      </c>
      <c r="O457" s="45" t="n">
        <v>0</v>
      </c>
      <c r="P457" s="45" t="n">
        <v>0</v>
      </c>
      <c r="Q457" s="45" t="n">
        <v>0</v>
      </c>
      <c r="R457" s="45" t="n">
        <v>0</v>
      </c>
      <c r="S457" s="45" t="n">
        <v>1495308.16</v>
      </c>
      <c r="T457" s="45" t="n">
        <v>1331332.6671744</v>
      </c>
      <c r="U457" s="15" t="n">
        <v>12.31664308017162</v>
      </c>
      <c r="V457" s="15" t="n">
        <v>59.13893933271191</v>
      </c>
      <c r="W457" s="49" t="n">
        <v>89.03400000000001</v>
      </c>
    </row>
    <row r="458">
      <c r="A458" s="44" t="inlineStr">
        <is>
          <t>TL Cinsi Kuponsuz Senetler</t>
        </is>
      </c>
      <c r="B458" s="44" t="n">
        <v>2002</v>
      </c>
      <c r="C458" s="44" t="inlineStr">
        <is>
          <t>TRB020703T16</t>
        </is>
      </c>
      <c r="D458" s="44" t="inlineStr">
        <is>
          <t>nan</t>
        </is>
      </c>
      <c r="E458" s="44" t="inlineStr">
        <is>
          <t>nan</t>
        </is>
      </c>
      <c r="F458" s="44" t="n"/>
      <c r="G458" s="44" t="n"/>
      <c r="H458" s="15" t="n"/>
      <c r="I458" s="45" t="n">
        <v>2631762.06</v>
      </c>
      <c r="J458" s="45" t="n">
        <v>1782454.415</v>
      </c>
      <c r="K458" s="45" t="n">
        <v>2302144.65</v>
      </c>
      <c r="L458" s="45" t="n">
        <v>1558068.4776735</v>
      </c>
      <c r="M458" s="45" t="n">
        <v>0</v>
      </c>
      <c r="N458" s="45" t="n">
        <v>0</v>
      </c>
      <c r="O458" s="45" t="n">
        <v>0</v>
      </c>
      <c r="P458" s="45" t="n">
        <v>0</v>
      </c>
      <c r="Q458" s="45" t="n">
        <v>106476.15</v>
      </c>
      <c r="R458" s="45" t="n">
        <v>72061.993558</v>
      </c>
      <c r="S458" s="45" t="n">
        <v>2938552.995</v>
      </c>
      <c r="T458" s="45" t="n">
        <v>1988783.28148555</v>
      </c>
      <c r="U458" s="15" t="n">
        <v>47.75632027659984</v>
      </c>
      <c r="V458" s="15" t="n">
        <v>70.61232736580752</v>
      </c>
      <c r="W458" s="49" t="n">
        <v>67.679</v>
      </c>
    </row>
    <row r="459">
      <c r="A459" s="44" t="inlineStr">
        <is>
          <t>TL Cinsi Kuponsuz Senetler</t>
        </is>
      </c>
      <c r="B459" s="44" t="n">
        <v>2002</v>
      </c>
      <c r="C459" s="44" t="inlineStr">
        <is>
          <t>TRB220103T26</t>
        </is>
      </c>
      <c r="D459" s="44" t="inlineStr">
        <is>
          <t>nan</t>
        </is>
      </c>
      <c r="E459" s="44" t="inlineStr">
        <is>
          <t>nan</t>
        </is>
      </c>
      <c r="F459" s="44" t="n"/>
      <c r="G459" s="44" t="n"/>
      <c r="H459" s="15" t="n"/>
      <c r="I459" s="45" t="n">
        <v>2778692.58</v>
      </c>
      <c r="J459" s="45" t="n">
        <v>2487586.922</v>
      </c>
      <c r="K459" s="45" t="n">
        <v>1319919.655</v>
      </c>
      <c r="L459" s="45" t="n">
        <v>1181988.0510525</v>
      </c>
      <c r="M459" s="45" t="n">
        <v>0</v>
      </c>
      <c r="N459" s="45" t="n">
        <v>0</v>
      </c>
      <c r="O459" s="45" t="n">
        <v>0</v>
      </c>
      <c r="P459" s="45" t="n">
        <v>0</v>
      </c>
      <c r="Q459" s="45" t="n">
        <v>0</v>
      </c>
      <c r="R459" s="45" t="n">
        <v>0</v>
      </c>
      <c r="S459" s="45" t="n">
        <v>1319919.655</v>
      </c>
      <c r="T459" s="45" t="n">
        <v>1181988.0510525</v>
      </c>
      <c r="U459" s="15" t="n">
        <v>11.66945840312674</v>
      </c>
      <c r="V459" s="15" t="n">
        <v>55.50259442940433</v>
      </c>
      <c r="W459" s="49" t="n">
        <v>89.55</v>
      </c>
    </row>
    <row r="460">
      <c r="A460" s="44" t="inlineStr">
        <is>
          <t>TL Cinsi Kuponsuz Senetler</t>
        </is>
      </c>
      <c r="B460" s="44" t="n">
        <v>2002</v>
      </c>
      <c r="C460" s="44" t="inlineStr">
        <is>
          <t>TRB270803T16</t>
        </is>
      </c>
      <c r="D460" s="44" t="inlineStr">
        <is>
          <t>nan</t>
        </is>
      </c>
      <c r="E460" s="44" t="inlineStr">
        <is>
          <t>nan</t>
        </is>
      </c>
      <c r="F460" s="44" t="n"/>
      <c r="G460" s="44" t="n"/>
      <c r="H460" s="15" t="n"/>
      <c r="I460" s="45" t="n">
        <v>3986228.915</v>
      </c>
      <c r="J460" s="45" t="n">
        <v>2636501.172</v>
      </c>
      <c r="K460" s="45" t="n">
        <v>3730525.42</v>
      </c>
      <c r="L460" s="45" t="n">
        <v>2455842.1892402</v>
      </c>
      <c r="M460" s="45" t="n">
        <v>420014.8866035758</v>
      </c>
      <c r="N460" s="45" t="n">
        <v>276500</v>
      </c>
      <c r="O460" s="45" t="n">
        <v>0</v>
      </c>
      <c r="P460" s="45" t="n">
        <v>0</v>
      </c>
      <c r="Q460" s="45" t="n">
        <v>155787.085</v>
      </c>
      <c r="R460" s="45" t="n">
        <v>102556.195928</v>
      </c>
      <c r="S460" s="45" t="n">
        <v>4446926.036603576</v>
      </c>
      <c r="T460" s="45" t="n">
        <v>2927455.87915815</v>
      </c>
      <c r="U460" s="15" t="n">
        <v>51.90411812064224</v>
      </c>
      <c r="V460" s="15" t="n">
        <v>63.90122246576016</v>
      </c>
      <c r="W460" s="49" t="n">
        <v>65.831</v>
      </c>
    </row>
    <row r="461">
      <c r="A461" s="44" t="inlineStr">
        <is>
          <t>TL Cinsi Kuponsuz Senetler</t>
        </is>
      </c>
      <c r="B461" s="44" t="n">
        <v>2002</v>
      </c>
      <c r="C461" s="44" t="inlineStr">
        <is>
          <t>TRB190303T11</t>
        </is>
      </c>
      <c r="D461" s="44" t="inlineStr">
        <is>
          <t>nan</t>
        </is>
      </c>
      <c r="E461" s="44" t="inlineStr">
        <is>
          <t>nan</t>
        </is>
      </c>
      <c r="F461" s="44" t="n"/>
      <c r="G461" s="44" t="n"/>
      <c r="H461" s="15" t="n"/>
      <c r="I461" s="45" t="n">
        <v>2775277.09</v>
      </c>
      <c r="J461" s="45" t="n">
        <v>2373848.224</v>
      </c>
      <c r="K461" s="45" t="n">
        <v>2552820.265</v>
      </c>
      <c r="L461" s="45" t="n">
        <v>2180236.210593705</v>
      </c>
      <c r="M461" s="45" t="n">
        <v>105380.244</v>
      </c>
      <c r="N461" s="45" t="n">
        <v>90000</v>
      </c>
      <c r="O461" s="45" t="n">
        <v>0</v>
      </c>
      <c r="P461" s="45" t="n">
        <v>0</v>
      </c>
      <c r="Q461" s="45" t="n">
        <v>0</v>
      </c>
      <c r="R461" s="45" t="n">
        <v>0</v>
      </c>
      <c r="S461" s="45" t="n">
        <v>2791084.534</v>
      </c>
      <c r="T461" s="45" t="n">
        <v>2383725.815438423</v>
      </c>
      <c r="U461" s="15" t="n">
        <v>17.08916</v>
      </c>
      <c r="V461" s="15" t="n">
        <v>53.99951856088079</v>
      </c>
      <c r="W461" s="49" t="n">
        <v>85.405</v>
      </c>
    </row>
    <row r="462">
      <c r="A462" s="44" t="inlineStr">
        <is>
          <t>TL Cinsi Kuponsuz Senetler</t>
        </is>
      </c>
      <c r="B462" s="44" t="n">
        <v>2002</v>
      </c>
      <c r="C462" s="44" t="inlineStr">
        <is>
          <t>TRB020703T16</t>
        </is>
      </c>
      <c r="D462" s="44" t="inlineStr">
        <is>
          <t>nan</t>
        </is>
      </c>
      <c r="E462" s="44" t="inlineStr">
        <is>
          <t>nan</t>
        </is>
      </c>
      <c r="F462" s="44" t="n"/>
      <c r="G462" s="44" t="n"/>
      <c r="H462" s="15" t="n"/>
      <c r="I462" s="45" t="n">
        <v>3116871.24</v>
      </c>
      <c r="J462" s="45" t="n">
        <v>2328770.575</v>
      </c>
      <c r="K462" s="45" t="n">
        <v>1492498.305</v>
      </c>
      <c r="L462" s="45" t="n">
        <v>1113612.731685806</v>
      </c>
      <c r="M462" s="45" t="n">
        <v>502586.6249999999</v>
      </c>
      <c r="N462" s="45" t="n">
        <v>375000</v>
      </c>
      <c r="O462" s="45" t="n">
        <v>0</v>
      </c>
      <c r="P462" s="45" t="n">
        <v>0</v>
      </c>
      <c r="Q462" s="45" t="n">
        <v>20341.34</v>
      </c>
      <c r="R462" s="45" t="n">
        <v>15177.487427</v>
      </c>
      <c r="S462" s="45" t="n">
        <v>2015426.27</v>
      </c>
      <c r="T462" s="45" t="n">
        <v>1503790.219112806</v>
      </c>
      <c r="U462" s="15" t="n">
        <v>34.0231</v>
      </c>
      <c r="V462" s="15" t="n">
        <v>56.4984594808184</v>
      </c>
      <c r="W462" s="49" t="n">
        <v>74.614</v>
      </c>
    </row>
    <row r="463">
      <c r="A463" s="44" t="inlineStr">
        <is>
          <t>TL Cinsi Kuponsuz Senetler</t>
        </is>
      </c>
      <c r="B463" s="44" t="n">
        <v>2002</v>
      </c>
      <c r="C463" s="44" t="inlineStr">
        <is>
          <t>TRB050203T18</t>
        </is>
      </c>
      <c r="D463" s="44" t="inlineStr">
        <is>
          <t>nan</t>
        </is>
      </c>
      <c r="E463" s="44" t="inlineStr">
        <is>
          <t>nan</t>
        </is>
      </c>
      <c r="F463" s="44" t="n"/>
      <c r="G463" s="44" t="n"/>
      <c r="H463" s="15" t="n"/>
      <c r="I463" s="45" t="n">
        <v>1903743.385</v>
      </c>
      <c r="J463" s="45" t="n">
        <v>1740159.791</v>
      </c>
      <c r="K463" s="45" t="n">
        <v>1473970.085</v>
      </c>
      <c r="L463" s="45" t="n">
        <v>1346000.0022203</v>
      </c>
      <c r="M463" s="45" t="n">
        <v>0</v>
      </c>
      <c r="N463" s="45" t="n">
        <v>0</v>
      </c>
      <c r="O463" s="45" t="n">
        <v>0</v>
      </c>
      <c r="P463" s="45" t="n">
        <v>0</v>
      </c>
      <c r="Q463" s="45" t="n">
        <v>0</v>
      </c>
      <c r="R463" s="45" t="n">
        <v>0</v>
      </c>
      <c r="S463" s="45" t="n">
        <v>1473970.085</v>
      </c>
      <c r="T463" s="45" t="n">
        <v>1346000.0022203</v>
      </c>
      <c r="U463" s="15" t="n">
        <v>9.507435554874167</v>
      </c>
      <c r="V463" s="15" t="n">
        <v>48.22528862612725</v>
      </c>
      <c r="W463" s="49" t="n">
        <v>91.318</v>
      </c>
    </row>
    <row r="464">
      <c r="A464" s="44" t="inlineStr">
        <is>
          <t>TL Cinsi Kuponsuz Senetler</t>
        </is>
      </c>
      <c r="B464" s="44" t="n">
        <v>2002</v>
      </c>
      <c r="C464" s="44" t="inlineStr">
        <is>
          <t>TRT031203T34</t>
        </is>
      </c>
      <c r="D464" s="44" t="inlineStr">
        <is>
          <t>nan</t>
        </is>
      </c>
      <c r="E464" s="44" t="inlineStr">
        <is>
          <t>nan</t>
        </is>
      </c>
      <c r="F464" s="44" t="n"/>
      <c r="G464" s="44" t="n"/>
      <c r="H464" s="15" t="n"/>
      <c r="I464" s="45" t="n">
        <v>2638417.575</v>
      </c>
      <c r="J464" s="45" t="n">
        <v>1726663.654</v>
      </c>
      <c r="K464" s="45" t="n">
        <v>1390109.285</v>
      </c>
      <c r="L464" s="45" t="n">
        <v>910257.46091085</v>
      </c>
      <c r="M464" s="45" t="n">
        <v>0</v>
      </c>
      <c r="N464" s="45" t="n">
        <v>0</v>
      </c>
      <c r="O464" s="45" t="n">
        <v>0</v>
      </c>
      <c r="P464" s="45" t="n">
        <v>0</v>
      </c>
      <c r="Q464" s="45" t="n">
        <v>0</v>
      </c>
      <c r="R464" s="45" t="n">
        <v>0</v>
      </c>
      <c r="S464" s="45" t="n">
        <v>1562276.08</v>
      </c>
      <c r="T464" s="45" t="n">
        <v>1022993.9999448</v>
      </c>
      <c r="U464" s="15" t="n">
        <v>52.71605503886623</v>
      </c>
      <c r="V464" s="15" t="n">
        <v>51.50088655408867</v>
      </c>
      <c r="W464" s="49" t="n">
        <v>65.48099999999999</v>
      </c>
    </row>
    <row r="465">
      <c r="A465" s="44" t="inlineStr">
        <is>
          <t>TL Cinsi Kuponsuz Senetler</t>
        </is>
      </c>
      <c r="B465" s="44" t="n">
        <v>2002</v>
      </c>
      <c r="C465" s="44" t="inlineStr">
        <is>
          <t>TRB210503T15</t>
        </is>
      </c>
      <c r="D465" s="44" t="inlineStr">
        <is>
          <t>nan</t>
        </is>
      </c>
      <c r="E465" s="44" t="inlineStr">
        <is>
          <t>nan</t>
        </is>
      </c>
      <c r="F465" s="44" t="n"/>
      <c r="G465" s="44" t="n"/>
      <c r="H465" s="15" t="n"/>
      <c r="I465" s="45" t="n">
        <v>1753718.645</v>
      </c>
      <c r="J465" s="45" t="n">
        <v>1459039.802</v>
      </c>
      <c r="K465" s="45" t="n">
        <v>1438447.53</v>
      </c>
      <c r="L465" s="45" t="n">
        <v>1195321.1284794</v>
      </c>
      <c r="M465" s="45" t="n">
        <v>0</v>
      </c>
      <c r="N465" s="45" t="n">
        <v>0</v>
      </c>
      <c r="O465" s="45" t="n">
        <v>0</v>
      </c>
      <c r="P465" s="45" t="n">
        <v>0</v>
      </c>
      <c r="Q465" s="45" t="n">
        <v>0</v>
      </c>
      <c r="R465" s="45" t="n">
        <v>0</v>
      </c>
      <c r="S465" s="45" t="n">
        <v>1578787.365</v>
      </c>
      <c r="T465" s="45" t="n">
        <v>1311940.7245677</v>
      </c>
      <c r="U465" s="15" t="n">
        <v>20.33983970733351</v>
      </c>
      <c r="V465" s="15" t="n">
        <v>49.00112198676621</v>
      </c>
      <c r="W465" s="49" t="n">
        <v>83.098</v>
      </c>
    </row>
    <row r="466">
      <c r="A466" s="44" t="inlineStr">
        <is>
          <t>TL Cinsi Kuponsuz Senetler</t>
        </is>
      </c>
      <c r="B466" s="44" t="n">
        <v>2002</v>
      </c>
      <c r="C466" s="44" t="inlineStr">
        <is>
          <t>TRB210503T15</t>
        </is>
      </c>
      <c r="D466" s="44" t="inlineStr">
        <is>
          <t>nan</t>
        </is>
      </c>
      <c r="E466" s="44" t="inlineStr">
        <is>
          <t>nan</t>
        </is>
      </c>
      <c r="F466" s="44" t="n"/>
      <c r="G466" s="44" t="n"/>
      <c r="H466" s="15" t="n"/>
      <c r="I466" s="45" t="n">
        <v>1708581.325</v>
      </c>
      <c r="J466" s="45" t="n">
        <v>1429358.822</v>
      </c>
      <c r="K466" s="45" t="n">
        <v>1488983.73</v>
      </c>
      <c r="L466" s="45" t="n">
        <v>1241812.43082</v>
      </c>
      <c r="M466" s="45" t="n">
        <v>382822.535</v>
      </c>
      <c r="N466" s="45" t="n">
        <v>319273.99419</v>
      </c>
      <c r="O466" s="45" t="n">
        <v>0</v>
      </c>
      <c r="P466" s="45" t="n">
        <v>0</v>
      </c>
      <c r="Q466" s="45" t="n">
        <v>0</v>
      </c>
      <c r="R466" s="45" t="n">
        <v>0</v>
      </c>
      <c r="S466" s="45" t="n">
        <v>2099133.185</v>
      </c>
      <c r="T466" s="45" t="n">
        <v>1750677.07629</v>
      </c>
      <c r="U466" s="15" t="n">
        <v>19.90407673860912</v>
      </c>
      <c r="V466" s="15" t="n">
        <v>50.74165420748733</v>
      </c>
      <c r="W466" s="49" t="n">
        <v>83.40000000000001</v>
      </c>
    </row>
    <row r="467">
      <c r="A467" s="44" t="inlineStr">
        <is>
          <t>TL Cinsi Kuponsuz Senetler</t>
        </is>
      </c>
      <c r="B467" s="44" t="n">
        <v>2002</v>
      </c>
      <c r="C467" s="44" t="inlineStr">
        <is>
          <t>TRT031203T34</t>
        </is>
      </c>
      <c r="D467" s="44" t="inlineStr">
        <is>
          <t>nan</t>
        </is>
      </c>
      <c r="E467" s="44" t="inlineStr">
        <is>
          <t>nan</t>
        </is>
      </c>
      <c r="F467" s="44" t="n"/>
      <c r="G467" s="44" t="n"/>
      <c r="H467" s="15" t="n"/>
      <c r="I467" s="45" t="n">
        <v>3050174.1</v>
      </c>
      <c r="J467" s="45" t="n">
        <v>2046261.852</v>
      </c>
      <c r="K467" s="45" t="n">
        <v>2890558.875</v>
      </c>
      <c r="L467" s="45" t="n">
        <v>1925401.2666375</v>
      </c>
      <c r="M467" s="45" t="n">
        <v>105089.3249962468</v>
      </c>
      <c r="N467" s="45" t="n">
        <v>69999.99937999999</v>
      </c>
      <c r="O467" s="45" t="n">
        <v>0</v>
      </c>
      <c r="P467" s="45" t="n">
        <v>0</v>
      </c>
      <c r="Q467" s="45" t="n">
        <v>47751.735</v>
      </c>
      <c r="R467" s="45" t="n">
        <v>31807.4306835</v>
      </c>
      <c r="S467" s="45" t="n">
        <v>3573128.034996247</v>
      </c>
      <c r="T467" s="45" t="n">
        <v>2380060.584111</v>
      </c>
      <c r="U467" s="15" t="n">
        <v>50.12760846719713</v>
      </c>
      <c r="V467" s="15" t="n">
        <v>51.32844779248131</v>
      </c>
      <c r="W467" s="49" t="n">
        <v>66.61</v>
      </c>
    </row>
    <row r="468">
      <c r="A468" s="44" t="inlineStr">
        <is>
          <t>TL Cinsi Kuponsuz Senetler</t>
        </is>
      </c>
      <c r="B468" s="44" t="n">
        <v>2002</v>
      </c>
      <c r="C468" s="44" t="inlineStr">
        <is>
          <t>TRB190303T29</t>
        </is>
      </c>
      <c r="D468" s="44" t="inlineStr">
        <is>
          <t>nan</t>
        </is>
      </c>
      <c r="E468" s="44" t="inlineStr">
        <is>
          <t>nan</t>
        </is>
      </c>
      <c r="F468" s="44" t="n"/>
      <c r="G468" s="44" t="n"/>
      <c r="H468" s="15" t="n"/>
      <c r="I468" s="45" t="n">
        <v>1846392.68</v>
      </c>
      <c r="J468" s="45" t="n">
        <v>1685164.22</v>
      </c>
      <c r="K468" s="45" t="n">
        <v>1429842.19</v>
      </c>
      <c r="L468" s="45" t="n">
        <v>1301999.9997921</v>
      </c>
      <c r="M468" s="45" t="n">
        <v>0</v>
      </c>
      <c r="N468" s="45" t="n">
        <v>0</v>
      </c>
      <c r="O468" s="45" t="n">
        <v>0</v>
      </c>
      <c r="P468" s="45" t="n">
        <v>0</v>
      </c>
      <c r="Q468" s="45" t="n">
        <v>0</v>
      </c>
      <c r="R468" s="45" t="n">
        <v>0</v>
      </c>
      <c r="S468" s="45" t="n">
        <v>1429842.19</v>
      </c>
      <c r="T468" s="45" t="n">
        <v>1301999.9997921</v>
      </c>
      <c r="U468" s="15" t="n">
        <v>9.818908619686129</v>
      </c>
      <c r="V468" s="15" t="n">
        <v>45.4482477300352</v>
      </c>
      <c r="W468" s="49" t="n">
        <v>91.059</v>
      </c>
    </row>
    <row r="469">
      <c r="A469" s="44" t="inlineStr">
        <is>
          <t>TL Cinsi Kuponsuz Senetler</t>
        </is>
      </c>
      <c r="B469" s="44" t="n">
        <v>2002</v>
      </c>
      <c r="C469" s="44" t="inlineStr">
        <is>
          <t>TRT031203T34</t>
        </is>
      </c>
      <c r="D469" s="44" t="inlineStr">
        <is>
          <t>nan</t>
        </is>
      </c>
      <c r="E469" s="44" t="inlineStr">
        <is>
          <t>nan</t>
        </is>
      </c>
      <c r="F469" s="44" t="n"/>
      <c r="G469" s="44" t="n"/>
      <c r="H469" s="15" t="n"/>
      <c r="I469" s="45" t="n">
        <v>1814238.15</v>
      </c>
      <c r="J469" s="45" t="n">
        <v>1223102.888</v>
      </c>
      <c r="K469" s="45" t="n">
        <v>1375880.365</v>
      </c>
      <c r="L469" s="45" t="n">
        <v>925733.5859829499</v>
      </c>
      <c r="M469" s="45" t="n">
        <v>0</v>
      </c>
      <c r="N469" s="45" t="n">
        <v>0</v>
      </c>
      <c r="O469" s="45" t="n">
        <v>0</v>
      </c>
      <c r="P469" s="45" t="n">
        <v>0</v>
      </c>
      <c r="Q469" s="45" t="n">
        <v>0</v>
      </c>
      <c r="R469" s="45" t="n">
        <v>0</v>
      </c>
      <c r="S469" s="45" t="n">
        <v>1375880.365</v>
      </c>
      <c r="T469" s="45" t="n">
        <v>925733.5859829499</v>
      </c>
      <c r="U469" s="15" t="n">
        <v>48.62595306392403</v>
      </c>
      <c r="V469" s="15" t="n">
        <v>51.00051853161638</v>
      </c>
      <c r="W469" s="49" t="n">
        <v>67.283</v>
      </c>
    </row>
    <row r="470">
      <c r="A470" s="44" t="inlineStr">
        <is>
          <t>TL Cinsi Kuponsuz Senetler</t>
        </is>
      </c>
      <c r="B470" s="44" t="n">
        <v>2001</v>
      </c>
      <c r="C470" s="44" t="inlineStr">
        <is>
          <t>TRT200202T28</t>
        </is>
      </c>
      <c r="D470" s="44" t="inlineStr">
        <is>
          <t>nan</t>
        </is>
      </c>
      <c r="E470" s="44" t="inlineStr">
        <is>
          <t>nan</t>
        </is>
      </c>
      <c r="F470" s="44" t="n"/>
      <c r="G470" s="44" t="n"/>
      <c r="H470" s="15" t="n"/>
      <c r="I470" s="45" t="n">
        <v>683388.5</v>
      </c>
      <c r="J470" s="45" t="n">
        <v>382294.1197</v>
      </c>
      <c r="K470" s="45" t="n">
        <v>438528.5</v>
      </c>
      <c r="L470" s="45" t="n">
        <v>250176.173</v>
      </c>
      <c r="M470" s="45" t="n">
        <v>497470.955</v>
      </c>
      <c r="N470" s="45" t="n">
        <v>284799.994</v>
      </c>
      <c r="O470" s="45" t="n">
        <v>0</v>
      </c>
      <c r="P470" s="45" t="n">
        <v>0</v>
      </c>
      <c r="Q470" s="45" t="n">
        <v>0</v>
      </c>
      <c r="R470" s="45" t="n">
        <v>0</v>
      </c>
      <c r="S470" s="45" t="n">
        <v>935999.4550000001</v>
      </c>
      <c r="T470" s="45" t="n">
        <v>534976.167</v>
      </c>
      <c r="U470" s="15" t="n">
        <v>75.29000000000001</v>
      </c>
      <c r="V470" s="15" t="n">
        <v>64.9945527028317</v>
      </c>
      <c r="W470" s="49" t="n">
        <v>57049.31992697815</v>
      </c>
    </row>
    <row r="471">
      <c r="A471" s="44" t="inlineStr">
        <is>
          <t>TL Cinsi Kuponsuz Senetler</t>
        </is>
      </c>
      <c r="B471" s="44" t="n">
        <v>2001</v>
      </c>
      <c r="C471" s="44" t="inlineStr">
        <is>
          <t>TRB110701T17</t>
        </is>
      </c>
      <c r="D471" s="44" t="inlineStr">
        <is>
          <t>nan</t>
        </is>
      </c>
      <c r="E471" s="44" t="inlineStr">
        <is>
          <t>nan</t>
        </is>
      </c>
      <c r="F471" s="44" t="n"/>
      <c r="G471" s="44" t="n"/>
      <c r="H471" s="15" t="n"/>
      <c r="I471" s="45" t="n">
        <v>2361066.03</v>
      </c>
      <c r="J471" s="45" t="n">
        <v>1810941.9266</v>
      </c>
      <c r="K471" s="45" t="n">
        <v>1488787</v>
      </c>
      <c r="L471" s="45" t="n">
        <v>1147168.859862535</v>
      </c>
      <c r="M471" s="45" t="n">
        <v>0</v>
      </c>
      <c r="N471" s="45" t="n">
        <v>0</v>
      </c>
      <c r="O471" s="45" t="n">
        <v>0</v>
      </c>
      <c r="P471" s="45" t="n">
        <v>0</v>
      </c>
      <c r="Q471" s="45" t="n">
        <v>0</v>
      </c>
      <c r="R471" s="45" t="n">
        <v>0</v>
      </c>
      <c r="S471" s="45" t="n">
        <v>1488787</v>
      </c>
      <c r="T471" s="45" t="n">
        <v>1147168.859862535</v>
      </c>
      <c r="U471" s="15" t="n">
        <v>29.779</v>
      </c>
      <c r="V471" s="15" t="n">
        <v>183.6727988669777</v>
      </c>
      <c r="W471" s="49" t="n">
        <v>77054.0688401051</v>
      </c>
    </row>
    <row r="472">
      <c r="A472" s="44" t="inlineStr">
        <is>
          <t>TL Cinsi Kuponsuz Senetler</t>
        </is>
      </c>
      <c r="B472" s="44" t="n">
        <v>2001</v>
      </c>
      <c r="C472" s="44" t="inlineStr">
        <is>
          <t>TRB250401T14</t>
        </is>
      </c>
      <c r="D472" s="44" t="inlineStr">
        <is>
          <t>nan</t>
        </is>
      </c>
      <c r="E472" s="44" t="inlineStr">
        <is>
          <t>nan</t>
        </is>
      </c>
      <c r="F472" s="44" t="n"/>
      <c r="G472" s="44" t="n"/>
      <c r="H472" s="15" t="n"/>
      <c r="I472" s="45" t="n">
        <v>830018.6</v>
      </c>
      <c r="J472" s="45" t="n">
        <v>738463.302</v>
      </c>
      <c r="K472" s="45" t="n">
        <v>434546.335</v>
      </c>
      <c r="L472" s="45" t="n">
        <v>387999.9770639332</v>
      </c>
      <c r="M472" s="45" t="n">
        <v>0</v>
      </c>
      <c r="N472" s="45" t="n">
        <v>0</v>
      </c>
      <c r="O472" s="45" t="n">
        <v>0</v>
      </c>
      <c r="P472" s="45" t="n">
        <v>0</v>
      </c>
      <c r="Q472" s="45" t="n">
        <v>0</v>
      </c>
      <c r="R472" s="45" t="n">
        <v>0</v>
      </c>
      <c r="S472" s="45" t="n">
        <v>434546.335</v>
      </c>
      <c r="T472" s="45" t="n">
        <v>387999.9770639332</v>
      </c>
      <c r="U472" s="15" t="n">
        <v>11.99587855</v>
      </c>
      <c r="V472" s="15" t="n">
        <v>57.32877591640686</v>
      </c>
      <c r="W472" s="49" t="n">
        <v>89289.00000133086</v>
      </c>
    </row>
    <row r="473">
      <c r="A473" s="44" t="inlineStr">
        <is>
          <t>TL Cinsi Kuponsuz Senetler</t>
        </is>
      </c>
      <c r="B473" s="44" t="n">
        <v>2001</v>
      </c>
      <c r="C473" s="44" t="inlineStr">
        <is>
          <t>TRB160501T14</t>
        </is>
      </c>
      <c r="D473" s="44" t="inlineStr">
        <is>
          <t>nan</t>
        </is>
      </c>
      <c r="E473" s="44" t="inlineStr">
        <is>
          <t>nan</t>
        </is>
      </c>
      <c r="F473" s="44" t="n"/>
      <c r="G473" s="44" t="n"/>
      <c r="H473" s="15" t="n"/>
      <c r="I473" s="45" t="n">
        <v>1335412.61</v>
      </c>
      <c r="J473" s="45" t="n">
        <v>1163103.126</v>
      </c>
      <c r="K473" s="45" t="n">
        <v>916349.5</v>
      </c>
      <c r="L473" s="45" t="n">
        <v>0</v>
      </c>
      <c r="M473" s="45" t="n">
        <v>0</v>
      </c>
      <c r="N473" s="45" t="n">
        <v>0</v>
      </c>
      <c r="O473" s="45" t="n">
        <v>0</v>
      </c>
      <c r="P473" s="45" t="n">
        <v>0</v>
      </c>
      <c r="Q473" s="45" t="n">
        <v>0</v>
      </c>
      <c r="R473" s="45" t="n">
        <v>0</v>
      </c>
      <c r="S473" s="45" t="n">
        <v>916349.5</v>
      </c>
      <c r="T473" s="45" t="n">
        <v>0</v>
      </c>
      <c r="U473" s="15" t="n">
        <v>14.258</v>
      </c>
      <c r="V473" s="15" t="n">
        <v>70.43016763801621</v>
      </c>
      <c r="W473" s="49" t="n">
        <v>87521.22389679498</v>
      </c>
    </row>
    <row r="474">
      <c r="A474" s="44" t="inlineStr">
        <is>
          <t>TL Cinsi Kuponsuz Senetler</t>
        </is>
      </c>
      <c r="B474" s="44" t="n">
        <v>2001</v>
      </c>
      <c r="C474" s="44" t="inlineStr">
        <is>
          <t>TRB210301T19</t>
        </is>
      </c>
      <c r="D474" s="44" t="inlineStr">
        <is>
          <t>nan</t>
        </is>
      </c>
      <c r="E474" s="44" t="inlineStr">
        <is>
          <t>nan</t>
        </is>
      </c>
      <c r="F474" s="44" t="n"/>
      <c r="G474" s="44" t="n"/>
      <c r="H474" s="15" t="n"/>
      <c r="I474" s="45" t="n">
        <v>1770367.785</v>
      </c>
      <c r="J474" s="45" t="n">
        <v>1647731.144</v>
      </c>
      <c r="K474" s="45" t="n">
        <v>1009385.2</v>
      </c>
      <c r="L474" s="45" t="n">
        <v>940914.4504341331</v>
      </c>
      <c r="M474" s="45" t="n">
        <v>1286877.53</v>
      </c>
      <c r="N474" s="45" t="n">
        <v>1212334.34569</v>
      </c>
      <c r="O474" s="45" t="n">
        <v>0</v>
      </c>
      <c r="P474" s="45" t="n">
        <v>0</v>
      </c>
      <c r="Q474" s="45" t="n">
        <v>0</v>
      </c>
      <c r="R474" s="45" t="n">
        <v>0</v>
      </c>
      <c r="S474" s="45" t="n">
        <v>2296262.73</v>
      </c>
      <c r="T474" s="45" t="n">
        <v>2153248.796124133</v>
      </c>
      <c r="U474" s="15" t="n">
        <v>7.11</v>
      </c>
      <c r="V474" s="15" t="n">
        <v>144.2250746593241</v>
      </c>
      <c r="W474" s="49" t="n">
        <v>93358.96433572963</v>
      </c>
    </row>
    <row r="475">
      <c r="A475" s="44" t="inlineStr">
        <is>
          <t>TL Cinsi Kuponsuz Senetler</t>
        </is>
      </c>
      <c r="B475" s="44" t="n">
        <v>2001</v>
      </c>
      <c r="C475" s="44" t="inlineStr">
        <is>
          <t>TRB270601T10</t>
        </is>
      </c>
      <c r="D475" s="44" t="inlineStr">
        <is>
          <t>nan</t>
        </is>
      </c>
      <c r="E475" s="44" t="inlineStr">
        <is>
          <t>nan</t>
        </is>
      </c>
      <c r="F475" s="44" t="n"/>
      <c r="G475" s="44" t="n"/>
      <c r="H475" s="15" t="n"/>
      <c r="I475" s="45" t="n">
        <v>7391480.525</v>
      </c>
      <c r="J475" s="45" t="n">
        <v>5480992.168</v>
      </c>
      <c r="K475" s="45" t="n">
        <v>2926151.065</v>
      </c>
      <c r="L475" s="45" t="n">
        <v>2189375.56457719</v>
      </c>
      <c r="M475" s="45" t="n">
        <v>1236952.2365</v>
      </c>
      <c r="N475" s="45" t="n">
        <v>925500</v>
      </c>
      <c r="O475" s="45" t="n">
        <v>228545.533</v>
      </c>
      <c r="P475" s="45" t="n">
        <v>171000</v>
      </c>
      <c r="Q475" s="45" t="n">
        <v>0</v>
      </c>
      <c r="R475" s="45" t="n">
        <v>0</v>
      </c>
      <c r="S475" s="45" t="n">
        <v>4391648.8345</v>
      </c>
      <c r="T475" s="45" t="n">
        <v>3285875.56457719</v>
      </c>
      <c r="U475" s="15" t="n">
        <v>33.6523</v>
      </c>
      <c r="V475" s="15" t="n">
        <v>193.7057708206712</v>
      </c>
      <c r="W475" s="49" t="n">
        <v>74821.00944016676</v>
      </c>
    </row>
    <row r="476">
      <c r="A476" s="44" t="inlineStr">
        <is>
          <t>TL Cinsi Kuponsuz Senetler</t>
        </is>
      </c>
      <c r="B476" s="44" t="n">
        <v>2001</v>
      </c>
      <c r="C476" s="44" t="inlineStr">
        <is>
          <t>TRB080801T11</t>
        </is>
      </c>
      <c r="D476" s="44" t="inlineStr">
        <is>
          <t>nan</t>
        </is>
      </c>
      <c r="E476" s="44" t="inlineStr">
        <is>
          <t>nan</t>
        </is>
      </c>
      <c r="F476" s="44" t="n"/>
      <c r="G476" s="44" t="n"/>
      <c r="H476" s="15" t="n"/>
      <c r="I476" s="45" t="n">
        <v>1853995.062</v>
      </c>
      <c r="J476" s="45" t="n">
        <v>1368834.445</v>
      </c>
      <c r="K476" s="45" t="n">
        <v>1393569.105</v>
      </c>
      <c r="L476" s="45" t="n">
        <v>1014797.040593979</v>
      </c>
      <c r="M476" s="45" t="n">
        <v>89119.32091091201</v>
      </c>
      <c r="N476" s="45" t="n">
        <v>64896.66899999999</v>
      </c>
      <c r="O476" s="45" t="n">
        <v>0</v>
      </c>
      <c r="P476" s="45" t="n">
        <v>0</v>
      </c>
      <c r="Q476" s="45" t="n">
        <v>0</v>
      </c>
      <c r="R476" s="45" t="n">
        <v>0</v>
      </c>
      <c r="S476" s="45" t="n">
        <v>1482688.425910912</v>
      </c>
      <c r="T476" s="45" t="n">
        <v>1079693.709593979</v>
      </c>
      <c r="U476" s="15" t="n">
        <v>37.3248</v>
      </c>
      <c r="V476" s="15" t="n">
        <v>150.0008491954715</v>
      </c>
      <c r="W476" s="49" t="n">
        <v>72820.05872209535</v>
      </c>
    </row>
    <row r="477">
      <c r="A477" s="44" t="inlineStr">
        <is>
          <t>TL Cinsi Kuponsuz Senetler</t>
        </is>
      </c>
      <c r="B477" s="44" t="n">
        <v>2001</v>
      </c>
      <c r="C477" s="44" t="inlineStr">
        <is>
          <t>TRB101001T13</t>
        </is>
      </c>
      <c r="D477" s="44" t="inlineStr">
        <is>
          <t>nan</t>
        </is>
      </c>
      <c r="E477" s="44" t="inlineStr">
        <is>
          <t>nan</t>
        </is>
      </c>
      <c r="F477" s="44" t="n"/>
      <c r="G477" s="44" t="n"/>
      <c r="H477" s="15" t="n"/>
      <c r="I477" s="45" t="n">
        <v>1327087.64</v>
      </c>
      <c r="J477" s="45" t="n">
        <v>840939.474</v>
      </c>
      <c r="K477" s="45" t="n">
        <v>668090.415</v>
      </c>
      <c r="L477" s="45" t="n">
        <v>424183.9404761905</v>
      </c>
      <c r="M477" s="45" t="n">
        <v>126000.098992</v>
      </c>
      <c r="N477" s="45" t="n">
        <v>79999.99936</v>
      </c>
      <c r="O477" s="45" t="n">
        <v>0</v>
      </c>
      <c r="P477" s="45" t="n">
        <v>0</v>
      </c>
      <c r="Q477" s="45" t="n">
        <v>0</v>
      </c>
      <c r="R477" s="45" t="n">
        <v>0</v>
      </c>
      <c r="S477" s="45" t="n">
        <v>794090.513992</v>
      </c>
      <c r="T477" s="45" t="n">
        <v>504183.9398361905</v>
      </c>
      <c r="U477" s="15" t="n">
        <v>57.5</v>
      </c>
      <c r="V477" s="15" t="n">
        <v>148.0625</v>
      </c>
      <c r="W477" s="49" t="n">
        <v>63492.06349206349</v>
      </c>
    </row>
    <row r="478">
      <c r="A478" s="44" t="inlineStr">
        <is>
          <t>TL Cinsi Kuponsuz Senetler</t>
        </is>
      </c>
      <c r="B478" s="44" t="n">
        <v>2001</v>
      </c>
      <c r="C478" s="44" t="inlineStr">
        <is>
          <t>TRB051201T18</t>
        </is>
      </c>
      <c r="D478" s="44" t="inlineStr">
        <is>
          <t>nan</t>
        </is>
      </c>
      <c r="E478" s="44" t="inlineStr">
        <is>
          <t>nan</t>
        </is>
      </c>
      <c r="F478" s="44" t="n"/>
      <c r="G478" s="44" t="n"/>
      <c r="H478" s="15" t="n"/>
      <c r="I478" s="45" t="n">
        <v>1970903.23</v>
      </c>
      <c r="J478" s="45" t="n">
        <v>1200100.043</v>
      </c>
      <c r="K478" s="45" t="n">
        <v>1112935.39</v>
      </c>
      <c r="L478" s="45" t="n">
        <v>674995.3517909218</v>
      </c>
      <c r="M478" s="45" t="n">
        <v>90684.24357584529</v>
      </c>
      <c r="N478" s="45" t="n">
        <v>54999.99762</v>
      </c>
      <c r="O478" s="45" t="n">
        <v>0</v>
      </c>
      <c r="P478" s="45" t="n">
        <v>0</v>
      </c>
      <c r="Q478" s="45" t="n">
        <v>0</v>
      </c>
      <c r="R478" s="45" t="n">
        <v>0</v>
      </c>
      <c r="S478" s="45" t="n">
        <v>1203619.633575845</v>
      </c>
      <c r="T478" s="45" t="n">
        <v>729995.3494109218</v>
      </c>
      <c r="U478" s="15" t="n">
        <v>64.88045</v>
      </c>
      <c r="V478" s="15" t="n">
        <v>119.890241122525</v>
      </c>
      <c r="W478" s="49" t="n">
        <v>60650.0042909878</v>
      </c>
    </row>
    <row r="479">
      <c r="A479" s="44" t="inlineStr">
        <is>
          <t>TL Cinsi Kuponsuz Senetler</t>
        </is>
      </c>
      <c r="B479" s="44" t="n">
        <v>2001</v>
      </c>
      <c r="C479" s="44" t="inlineStr">
        <is>
          <t>TRB250701T11</t>
        </is>
      </c>
      <c r="D479" s="44" t="inlineStr">
        <is>
          <t>nan</t>
        </is>
      </c>
      <c r="E479" s="44" t="inlineStr">
        <is>
          <t>nan</t>
        </is>
      </c>
      <c r="F479" s="44" t="n"/>
      <c r="G479" s="44" t="n"/>
      <c r="H479" s="15" t="n"/>
      <c r="I479" s="45" t="n">
        <v>487681.87</v>
      </c>
      <c r="J479" s="45" t="n">
        <v>404171.013</v>
      </c>
      <c r="K479" s="45" t="n">
        <v>253048.055</v>
      </c>
      <c r="L479" s="45" t="n">
        <v>209999.5286317729</v>
      </c>
      <c r="M479" s="45" t="n">
        <v>0</v>
      </c>
      <c r="N479" s="45" t="n">
        <v>0</v>
      </c>
      <c r="O479" s="45" t="n">
        <v>0</v>
      </c>
      <c r="P479" s="45" t="n">
        <v>0</v>
      </c>
      <c r="Q479" s="45" t="n">
        <v>0</v>
      </c>
      <c r="R479" s="45" t="n">
        <v>0</v>
      </c>
      <c r="S479" s="45" t="n">
        <v>253048.055</v>
      </c>
      <c r="T479" s="45" t="n">
        <v>209999.5286317729</v>
      </c>
      <c r="U479" s="15" t="n">
        <v>20.499</v>
      </c>
      <c r="V479" s="15" t="n">
        <v>110.830661389121</v>
      </c>
      <c r="W479" s="49" t="n">
        <v>82988.24056631175</v>
      </c>
    </row>
    <row r="480">
      <c r="A480" s="44" t="inlineStr">
        <is>
          <t>TL Cinsi Kuponsuz Senetler</t>
        </is>
      </c>
      <c r="B480" s="44" t="n">
        <v>2001</v>
      </c>
      <c r="C480" s="44" t="inlineStr">
        <is>
          <t>TRB101001T13</t>
        </is>
      </c>
      <c r="D480" s="44" t="inlineStr">
        <is>
          <t>nan</t>
        </is>
      </c>
      <c r="E480" s="44" t="inlineStr">
        <is>
          <t>nan</t>
        </is>
      </c>
      <c r="F480" s="44" t="n"/>
      <c r="G480" s="44" t="n"/>
      <c r="H480" s="15" t="n"/>
      <c r="I480" s="45" t="n">
        <v>1637932.62</v>
      </c>
      <c r="J480" s="45" t="n">
        <v>1170069.206</v>
      </c>
      <c r="K480" s="45" t="n">
        <v>1004254.03</v>
      </c>
      <c r="L480" s="45" t="n">
        <v>716535.217413702</v>
      </c>
      <c r="M480" s="45" t="n">
        <v>126138.7972389662</v>
      </c>
      <c r="N480" s="45" t="n">
        <v>89999.99803</v>
      </c>
      <c r="O480" s="45" t="n">
        <v>0</v>
      </c>
      <c r="P480" s="45" t="n">
        <v>0</v>
      </c>
      <c r="Q480" s="45" t="n">
        <v>0</v>
      </c>
      <c r="R480" s="45" t="n">
        <v>0</v>
      </c>
      <c r="S480" s="45" t="n">
        <v>1130392.827238966</v>
      </c>
      <c r="T480" s="45" t="n">
        <v>806535.2154437021</v>
      </c>
      <c r="U480" s="15" t="n">
        <v>40.154</v>
      </c>
      <c r="V480" s="15" t="n">
        <v>107.799856644941</v>
      </c>
      <c r="W480" s="49" t="n">
        <v>71350.08633360446</v>
      </c>
    </row>
    <row r="481">
      <c r="A481" s="44" t="inlineStr">
        <is>
          <t>TL Cinsi Kuponsuz Senetler</t>
        </is>
      </c>
      <c r="B481" s="44" t="n">
        <v>2001</v>
      </c>
      <c r="C481" s="44" t="inlineStr">
        <is>
          <t>TRB190901T17</t>
        </is>
      </c>
      <c r="D481" s="44" t="inlineStr">
        <is>
          <t>nan</t>
        </is>
      </c>
      <c r="E481" s="44" t="inlineStr">
        <is>
          <t>nan</t>
        </is>
      </c>
      <c r="F481" s="44" t="n"/>
      <c r="G481" s="44" t="n"/>
      <c r="H481" s="15" t="n"/>
      <c r="I481" s="45" t="n">
        <v>1529686.745</v>
      </c>
      <c r="J481" s="45" t="n">
        <v>1182999.202</v>
      </c>
      <c r="K481" s="45" t="n">
        <v>789573.715</v>
      </c>
      <c r="L481" s="45" t="n">
        <v>612803.9120050293</v>
      </c>
      <c r="M481" s="45" t="n">
        <v>59269.16</v>
      </c>
      <c r="N481" s="45" t="n">
        <v>46000</v>
      </c>
      <c r="O481" s="45" t="n">
        <v>0</v>
      </c>
      <c r="P481" s="45" t="n">
        <v>0</v>
      </c>
      <c r="Q481" s="45" t="n">
        <v>0</v>
      </c>
      <c r="R481" s="45" t="n">
        <v>0</v>
      </c>
      <c r="S481" s="45" t="n">
        <v>848842.875</v>
      </c>
      <c r="T481" s="45" t="n">
        <v>658803.9120050293</v>
      </c>
      <c r="U481" s="15" t="n">
        <v>28.846</v>
      </c>
      <c r="V481" s="15" t="n">
        <v>93.27890002093926</v>
      </c>
      <c r="W481" s="49" t="n">
        <v>77612.03296959162</v>
      </c>
    </row>
    <row r="482">
      <c r="A482" s="44" t="inlineStr">
        <is>
          <t>TL Cinsi Kuponsuz Senetler</t>
        </is>
      </c>
      <c r="B482" s="44" t="n">
        <v>2001</v>
      </c>
      <c r="C482" s="44" t="inlineStr">
        <is>
          <t>TRB060302T17</t>
        </is>
      </c>
      <c r="D482" s="44" t="inlineStr">
        <is>
          <t>nan</t>
        </is>
      </c>
      <c r="E482" s="44" t="inlineStr">
        <is>
          <t>nan</t>
        </is>
      </c>
      <c r="F482" s="44" t="n"/>
      <c r="G482" s="44" t="n"/>
      <c r="H482" s="15" t="n"/>
      <c r="I482" s="45" t="n">
        <v>975409.655</v>
      </c>
      <c r="J482" s="45" t="n">
        <v>588798.366</v>
      </c>
      <c r="K482" s="45" t="n">
        <v>697664.67</v>
      </c>
      <c r="L482" s="45" t="n">
        <v>410491.8676629796</v>
      </c>
      <c r="M482" s="45" t="n">
        <v>260035.025</v>
      </c>
      <c r="N482" s="45" t="n">
        <v>154999.992</v>
      </c>
      <c r="O482" s="45" t="n">
        <v>0</v>
      </c>
      <c r="P482" s="45" t="n">
        <v>0</v>
      </c>
      <c r="Q482" s="45" t="n">
        <v>0</v>
      </c>
      <c r="R482" s="45" t="n">
        <v>0</v>
      </c>
      <c r="S482" s="45" t="n">
        <v>957699.6950000001</v>
      </c>
      <c r="T482" s="45" t="n">
        <v>565491.8596629796</v>
      </c>
      <c r="U482" s="15" t="n">
        <v>69.95999999999999</v>
      </c>
      <c r="V482" s="15" t="n">
        <v>89.91480726904217</v>
      </c>
      <c r="W482" s="49" t="n">
        <v>58838.37349964699</v>
      </c>
    </row>
    <row r="483">
      <c r="A483" s="44" t="inlineStr">
        <is>
          <t>TL Cinsi Kuponsuz Senetler</t>
        </is>
      </c>
      <c r="B483" s="44" t="n">
        <v>2001</v>
      </c>
      <c r="C483" s="44" t="inlineStr">
        <is>
          <t>TRB150801T12</t>
        </is>
      </c>
      <c r="D483" s="44" t="inlineStr">
        <is>
          <t>nan</t>
        </is>
      </c>
      <c r="E483" s="44" t="inlineStr">
        <is>
          <t>nan</t>
        </is>
      </c>
      <c r="F483" s="44" t="n"/>
      <c r="G483" s="44" t="n"/>
      <c r="H483" s="15" t="n"/>
      <c r="I483" s="45" t="n">
        <v>1744465.965</v>
      </c>
      <c r="J483" s="45" t="n">
        <v>1485947.999</v>
      </c>
      <c r="K483" s="45" t="n">
        <v>884975.615</v>
      </c>
      <c r="L483" s="45" t="n">
        <v>753999.2151158551</v>
      </c>
      <c r="M483" s="45" t="n">
        <v>0</v>
      </c>
      <c r="N483" s="45" t="n">
        <v>0</v>
      </c>
      <c r="O483" s="45" t="n">
        <v>0</v>
      </c>
      <c r="P483" s="45" t="n">
        <v>0</v>
      </c>
      <c r="Q483" s="45" t="n">
        <v>0</v>
      </c>
      <c r="R483" s="45" t="n">
        <v>0</v>
      </c>
      <c r="S483" s="45" t="n">
        <v>884975.615</v>
      </c>
      <c r="T483" s="45" t="n">
        <v>753999.2151158551</v>
      </c>
      <c r="U483" s="15" t="n">
        <v>17.3708</v>
      </c>
      <c r="V483" s="15" t="n">
        <v>89.77555010070077</v>
      </c>
      <c r="W483" s="49" t="n">
        <v>85200.06679685238</v>
      </c>
    </row>
    <row r="484">
      <c r="A484" s="44" t="inlineStr">
        <is>
          <t>TL Cinsi Kuponsuz Senetler</t>
        </is>
      </c>
      <c r="B484" s="44" t="n">
        <v>2001</v>
      </c>
      <c r="C484" s="44" t="inlineStr">
        <is>
          <t>TRB211101T19</t>
        </is>
      </c>
      <c r="D484" s="44" t="inlineStr">
        <is>
          <t>nan</t>
        </is>
      </c>
      <c r="E484" s="44" t="inlineStr">
        <is>
          <t>nan</t>
        </is>
      </c>
      <c r="F484" s="44" t="n"/>
      <c r="G484" s="44" t="n"/>
      <c r="H484" s="15" t="n"/>
      <c r="I484" s="45" t="n">
        <v>2292435.11</v>
      </c>
      <c r="J484" s="45" t="n">
        <v>1745040.377</v>
      </c>
      <c r="K484" s="45" t="n">
        <v>1791449.195</v>
      </c>
      <c r="L484" s="45" t="n">
        <v>1354192.317761114</v>
      </c>
      <c r="M484" s="45" t="n">
        <v>145518</v>
      </c>
      <c r="N484" s="45" t="n">
        <v>110000</v>
      </c>
      <c r="O484" s="45" t="n">
        <v>0</v>
      </c>
      <c r="P484" s="45" t="n">
        <v>0</v>
      </c>
      <c r="Q484" s="45" t="n">
        <v>0</v>
      </c>
      <c r="R484" s="45" t="n">
        <v>0</v>
      </c>
      <c r="S484" s="45" t="n">
        <v>1936967.195</v>
      </c>
      <c r="T484" s="45" t="n">
        <v>1464192.317761114</v>
      </c>
      <c r="U484" s="15" t="n">
        <v>32.289</v>
      </c>
      <c r="V484" s="15" t="n">
        <v>75.00379521000002</v>
      </c>
      <c r="W484" s="49" t="n">
        <v>75592.07492686466</v>
      </c>
    </row>
    <row r="485">
      <c r="A485" s="44" t="inlineStr">
        <is>
          <t>TL Cinsi Kuponsuz Senetler</t>
        </is>
      </c>
      <c r="B485" s="44" t="n">
        <v>2001</v>
      </c>
      <c r="C485" s="44" t="inlineStr">
        <is>
          <t>TRB060302T17</t>
        </is>
      </c>
      <c r="D485" s="44" t="inlineStr">
        <is>
          <t>nan</t>
        </is>
      </c>
      <c r="E485" s="44" t="inlineStr">
        <is>
          <t>nan</t>
        </is>
      </c>
      <c r="F485" s="44" t="n"/>
      <c r="G485" s="44" t="n"/>
      <c r="H485" s="15" t="n"/>
      <c r="I485" s="45" t="n">
        <v>1582768.975</v>
      </c>
      <c r="J485" s="45" t="n">
        <v>1036935.331</v>
      </c>
      <c r="K485" s="45" t="n">
        <v>1035141.715</v>
      </c>
      <c r="L485" s="45" t="n">
        <v>673846.1946411832</v>
      </c>
      <c r="M485" s="45" t="n">
        <v>36868.05</v>
      </c>
      <c r="N485" s="45" t="n">
        <v>24000</v>
      </c>
      <c r="O485" s="45" t="n">
        <v>0</v>
      </c>
      <c r="P485" s="45" t="n">
        <v>0</v>
      </c>
      <c r="Q485" s="45" t="n">
        <v>0</v>
      </c>
      <c r="R485" s="45" t="n">
        <v>0</v>
      </c>
      <c r="S485" s="45" t="n">
        <v>1072009.765</v>
      </c>
      <c r="T485" s="45" t="n">
        <v>697846.1946411832</v>
      </c>
      <c r="U485" s="15" t="n">
        <v>53.616</v>
      </c>
      <c r="V485" s="15" t="n">
        <v>72.36774037017926</v>
      </c>
      <c r="W485" s="49" t="n">
        <v>65097.38568899073</v>
      </c>
    </row>
    <row r="486">
      <c r="A486" s="44" t="inlineStr">
        <is>
          <t>TL Cinsi Kuponsuz Senetler</t>
        </is>
      </c>
      <c r="B486" s="44" t="n">
        <v>2001</v>
      </c>
      <c r="C486" s="44" t="inlineStr">
        <is>
          <t>TRT260602T10</t>
        </is>
      </c>
      <c r="D486" s="44" t="inlineStr">
        <is>
          <t>nan</t>
        </is>
      </c>
      <c r="E486" s="44" t="inlineStr">
        <is>
          <t>nan</t>
        </is>
      </c>
      <c r="F486" s="44" t="n"/>
      <c r="G486" s="44" t="n"/>
      <c r="H486" s="15" t="n"/>
      <c r="I486" s="45" t="n">
        <v>154093.825</v>
      </c>
      <c r="J486" s="45" t="n">
        <v>77913.93399999999</v>
      </c>
      <c r="K486" s="45" t="n">
        <v>10592.635</v>
      </c>
      <c r="L486" s="45" t="n">
        <v>5625.154241788587</v>
      </c>
      <c r="M486" s="45" t="n">
        <v>0</v>
      </c>
      <c r="N486" s="45" t="n">
        <v>0</v>
      </c>
      <c r="O486" s="45" t="n">
        <v>0</v>
      </c>
      <c r="P486" s="45" t="n">
        <v>0</v>
      </c>
      <c r="Q486" s="45" t="n">
        <v>0</v>
      </c>
      <c r="R486" s="45" t="n">
        <v>0</v>
      </c>
      <c r="S486" s="45" t="n">
        <v>10592.635</v>
      </c>
      <c r="T486" s="45" t="n">
        <v>5625.154241788587</v>
      </c>
      <c r="U486" s="15" t="n">
        <v>88.30500000000001</v>
      </c>
      <c r="V486" s="15" t="n">
        <v>79.98191253399992</v>
      </c>
      <c r="W486" s="49" t="n">
        <v>53105.33443084358</v>
      </c>
    </row>
    <row r="487">
      <c r="A487" s="44" t="inlineStr">
        <is>
          <t>TL Cinsi Kuponsuz Senetler</t>
        </is>
      </c>
      <c r="B487" s="44" t="n">
        <v>2001</v>
      </c>
      <c r="C487" s="44" t="inlineStr">
        <is>
          <t>TRB050901T13</t>
        </is>
      </c>
      <c r="D487" s="44" t="inlineStr">
        <is>
          <t>nan</t>
        </is>
      </c>
      <c r="E487" s="44" t="inlineStr">
        <is>
          <t>nan</t>
        </is>
      </c>
      <c r="F487" s="44" t="n"/>
      <c r="G487" s="44" t="n"/>
      <c r="H487" s="15" t="n"/>
      <c r="I487" s="45" t="n">
        <v>550401.51</v>
      </c>
      <c r="J487" s="45" t="n">
        <v>470643.796</v>
      </c>
      <c r="K487" s="45" t="n">
        <v>138572.335</v>
      </c>
      <c r="L487" s="45" t="n">
        <v>119060.0491077335</v>
      </c>
      <c r="M487" s="45" t="n">
        <v>6052.207999999999</v>
      </c>
      <c r="N487" s="45" t="n">
        <v>5200</v>
      </c>
      <c r="O487" s="45" t="n">
        <v>0</v>
      </c>
      <c r="P487" s="45" t="n">
        <v>0</v>
      </c>
      <c r="Q487" s="45" t="n">
        <v>0</v>
      </c>
      <c r="R487" s="45" t="n">
        <v>0</v>
      </c>
      <c r="S487" s="45" t="n">
        <v>144624.543</v>
      </c>
      <c r="T487" s="45" t="n">
        <v>124260.0491077335</v>
      </c>
      <c r="U487" s="15" t="n">
        <v>16.389</v>
      </c>
      <c r="V487" s="15" t="n">
        <v>83.5049345639892</v>
      </c>
      <c r="W487" s="49" t="n">
        <v>85918.77239258007</v>
      </c>
    </row>
    <row r="488">
      <c r="A488" s="44" t="inlineStr">
        <is>
          <t>TL Cinsi Kuponsuz Senetler</t>
        </is>
      </c>
      <c r="B488" s="44" t="n">
        <v>2001</v>
      </c>
      <c r="C488" s="44" t="inlineStr">
        <is>
          <t>TRB051201T18</t>
        </is>
      </c>
      <c r="D488" s="44" t="inlineStr">
        <is>
          <t>nan</t>
        </is>
      </c>
      <c r="E488" s="44" t="inlineStr">
        <is>
          <t>nan</t>
        </is>
      </c>
      <c r="F488" s="44" t="n"/>
      <c r="G488" s="44" t="n"/>
      <c r="H488" s="15" t="n"/>
      <c r="I488" s="45" t="n">
        <v>335439.62</v>
      </c>
      <c r="J488" s="45" t="n">
        <v>251027.754</v>
      </c>
      <c r="K488" s="45" t="n">
        <v>190698.345</v>
      </c>
      <c r="L488" s="45" t="n">
        <v>143792.2515759312</v>
      </c>
      <c r="M488" s="45" t="n">
        <v>0</v>
      </c>
      <c r="N488" s="45" t="n">
        <v>0</v>
      </c>
      <c r="O488" s="45" t="n">
        <v>0</v>
      </c>
      <c r="P488" s="45" t="n">
        <v>0</v>
      </c>
      <c r="Q488" s="45" t="n">
        <v>0</v>
      </c>
      <c r="R488" s="45" t="n">
        <v>0</v>
      </c>
      <c r="S488" s="45" t="n">
        <v>190698.345</v>
      </c>
      <c r="T488" s="45" t="n">
        <v>143792.2515759312</v>
      </c>
      <c r="U488" s="15" t="n">
        <v>32.62</v>
      </c>
      <c r="V488" s="15" t="n">
        <v>79.89817973298914</v>
      </c>
      <c r="W488" s="49" t="n">
        <v>75403.40823405217</v>
      </c>
    </row>
    <row r="489">
      <c r="A489" s="44" t="inlineStr">
        <is>
          <t>TL Cinsi Kuponsuz Senetler</t>
        </is>
      </c>
      <c r="B489" s="44" t="n">
        <v>2001</v>
      </c>
      <c r="C489" s="44" t="inlineStr">
        <is>
          <t>TRB260901T18</t>
        </is>
      </c>
      <c r="D489" s="44" t="inlineStr">
        <is>
          <t>nan</t>
        </is>
      </c>
      <c r="E489" s="44" t="inlineStr">
        <is>
          <t>nan</t>
        </is>
      </c>
      <c r="F489" s="44" t="n"/>
      <c r="G489" s="44" t="n"/>
      <c r="H489" s="15" t="n"/>
      <c r="I489" s="45" t="n">
        <v>1403315.815</v>
      </c>
      <c r="J489" s="45" t="n">
        <v>1201993.916</v>
      </c>
      <c r="K489" s="45" t="n">
        <v>992298.255</v>
      </c>
      <c r="L489" s="45" t="n">
        <v>847740.1715127827</v>
      </c>
      <c r="M489" s="45" t="n">
        <v>554476.086647375</v>
      </c>
      <c r="N489" s="45" t="n">
        <v>473699.995</v>
      </c>
      <c r="O489" s="45" t="n">
        <v>0</v>
      </c>
      <c r="P489" s="45" t="n">
        <v>0</v>
      </c>
      <c r="Q489" s="45" t="n">
        <v>0</v>
      </c>
      <c r="R489" s="45" t="n">
        <v>0</v>
      </c>
      <c r="S489" s="45" t="n">
        <v>1546774.341647375</v>
      </c>
      <c r="T489" s="45" t="n">
        <v>1321440.166512783</v>
      </c>
      <c r="U489" s="15" t="n">
        <v>17.0525</v>
      </c>
      <c r="V489" s="15" t="n">
        <v>79.46734334083334</v>
      </c>
      <c r="W489" s="49" t="n">
        <v>85431.75071015142</v>
      </c>
    </row>
    <row r="490">
      <c r="A490" s="44" t="inlineStr">
        <is>
          <t>TL Cinsi Kuponsuz Senetler</t>
        </is>
      </c>
      <c r="B490" s="44" t="n">
        <v>2001</v>
      </c>
      <c r="C490" s="44" t="inlineStr">
        <is>
          <t>TRB071101T17</t>
        </is>
      </c>
      <c r="D490" s="44" t="inlineStr">
        <is>
          <t>nan</t>
        </is>
      </c>
      <c r="E490" s="44" t="inlineStr">
        <is>
          <t>nan</t>
        </is>
      </c>
      <c r="F490" s="44" t="n"/>
      <c r="G490" s="44" t="n"/>
      <c r="H490" s="15" t="n"/>
      <c r="I490" s="45" t="n">
        <v>3328348.545</v>
      </c>
      <c r="J490" s="45" t="n">
        <v>2656582.037</v>
      </c>
      <c r="K490" s="45" t="n">
        <v>3206795.465</v>
      </c>
      <c r="L490" s="45" t="n">
        <v>2525351.399193602</v>
      </c>
      <c r="M490" s="45" t="n">
        <v>1206379.668687729</v>
      </c>
      <c r="N490" s="45" t="n">
        <v>950023.9940399999</v>
      </c>
      <c r="O490" s="45" t="n">
        <v>0</v>
      </c>
      <c r="P490" s="45" t="n">
        <v>0</v>
      </c>
      <c r="Q490" s="45" t="n">
        <v>0</v>
      </c>
      <c r="R490" s="45" t="n">
        <v>0</v>
      </c>
      <c r="S490" s="45" t="n">
        <v>4413175.133687729</v>
      </c>
      <c r="T490" s="45" t="n">
        <v>3475375.393233601</v>
      </c>
      <c r="U490" s="15" t="n">
        <v>26.9844</v>
      </c>
      <c r="V490" s="15" t="n">
        <v>92.28631849389753</v>
      </c>
      <c r="W490" s="49" t="n">
        <v>78749.83068786403</v>
      </c>
    </row>
    <row r="491">
      <c r="A491" s="44" t="inlineStr">
        <is>
          <t>TL Cinsi Kuponsuz Senetler</t>
        </is>
      </c>
      <c r="B491" s="44" t="n">
        <v>2001</v>
      </c>
      <c r="C491" s="44" t="inlineStr">
        <is>
          <t>TRB051201T18</t>
        </is>
      </c>
      <c r="D491" s="44" t="inlineStr">
        <is>
          <t>nan</t>
        </is>
      </c>
      <c r="E491" s="44" t="inlineStr">
        <is>
          <t>nan</t>
        </is>
      </c>
      <c r="F491" s="44" t="n"/>
      <c r="G491" s="44" t="n"/>
      <c r="H491" s="15" t="n"/>
      <c r="I491" s="45" t="n">
        <v>316430.74</v>
      </c>
      <c r="J491" s="45" t="n">
        <v>240779.942</v>
      </c>
      <c r="K491" s="45" t="n">
        <v>194741.955</v>
      </c>
      <c r="L491" s="45" t="n">
        <v>147832.4841703484</v>
      </c>
      <c r="M491" s="45" t="n">
        <v>71662.06400436912</v>
      </c>
      <c r="N491" s="45" t="n">
        <v>54400</v>
      </c>
      <c r="O491" s="45" t="n">
        <v>0</v>
      </c>
      <c r="P491" s="45" t="n">
        <v>0</v>
      </c>
      <c r="Q491" s="45" t="n">
        <v>0</v>
      </c>
      <c r="R491" s="45" t="n">
        <v>0</v>
      </c>
      <c r="S491" s="45" t="n">
        <v>266404.0190043691</v>
      </c>
      <c r="T491" s="45" t="n">
        <v>202232.4841703484</v>
      </c>
      <c r="U491" s="15" t="n">
        <v>31.73</v>
      </c>
      <c r="V491" s="15" t="n">
        <v>91.81876466863268</v>
      </c>
      <c r="W491" s="49" t="n">
        <v>75911.85204585137</v>
      </c>
    </row>
    <row r="492">
      <c r="A492" s="44" t="inlineStr">
        <is>
          <t>TL Cinsi Kuponsuz Senetler</t>
        </is>
      </c>
      <c r="B492" s="44" t="n">
        <v>2001</v>
      </c>
      <c r="C492" s="44" t="inlineStr">
        <is>
          <t>TRB060302T17</t>
        </is>
      </c>
      <c r="D492" s="44" t="inlineStr">
        <is>
          <t>nan</t>
        </is>
      </c>
      <c r="E492" s="44" t="inlineStr">
        <is>
          <t>nan</t>
        </is>
      </c>
      <c r="F492" s="44" t="n"/>
      <c r="G492" s="44" t="n"/>
      <c r="H492" s="15" t="n"/>
      <c r="I492" s="45" t="n">
        <v>1344424.735</v>
      </c>
      <c r="J492" s="45" t="n">
        <v>874718.182</v>
      </c>
      <c r="K492" s="45" t="n">
        <v>1100104.305</v>
      </c>
      <c r="L492" s="45" t="n">
        <v>710876.4306456094</v>
      </c>
      <c r="M492" s="45" t="n">
        <v>90035.2954</v>
      </c>
      <c r="N492" s="45" t="n">
        <v>58180</v>
      </c>
      <c r="O492" s="45" t="n">
        <v>0</v>
      </c>
      <c r="P492" s="45" t="n">
        <v>0</v>
      </c>
      <c r="Q492" s="45" t="n">
        <v>0</v>
      </c>
      <c r="R492" s="45" t="n">
        <v>0</v>
      </c>
      <c r="S492" s="45" t="n">
        <v>1190139.6004</v>
      </c>
      <c r="T492" s="45" t="n">
        <v>769056.4306456094</v>
      </c>
      <c r="U492" s="15" t="n">
        <v>54.753</v>
      </c>
      <c r="V492" s="15" t="n">
        <v>95.00072913036452</v>
      </c>
      <c r="W492" s="49" t="n">
        <v>64619.10269913992</v>
      </c>
    </row>
    <row r="493">
      <c r="A493" s="44" t="inlineStr">
        <is>
          <t>TL Cinsi Kuponsuz Senetler</t>
        </is>
      </c>
      <c r="B493" s="44" t="n">
        <v>2001</v>
      </c>
      <c r="C493" s="44" t="inlineStr">
        <is>
          <t>TRB060202T18</t>
        </is>
      </c>
      <c r="D493" s="44" t="inlineStr">
        <is>
          <t>nan</t>
        </is>
      </c>
      <c r="E493" s="44" t="inlineStr">
        <is>
          <t>nan</t>
        </is>
      </c>
      <c r="F493" s="44" t="n"/>
      <c r="G493" s="44" t="n"/>
      <c r="H493" s="15" t="n"/>
      <c r="I493" s="45" t="n">
        <v>222704.36</v>
      </c>
      <c r="J493" s="45" t="n">
        <v>149087.645</v>
      </c>
      <c r="K493" s="45" t="n">
        <v>68422.755</v>
      </c>
      <c r="L493" s="45" t="n">
        <v>45863.15153331055</v>
      </c>
      <c r="M493" s="45" t="n">
        <v>489043.0886706511</v>
      </c>
      <c r="N493" s="45" t="n">
        <v>328829.84635</v>
      </c>
      <c r="O493" s="45" t="n">
        <v>0</v>
      </c>
      <c r="P493" s="45" t="n">
        <v>0</v>
      </c>
      <c r="Q493" s="45" t="n">
        <v>0</v>
      </c>
      <c r="R493" s="45" t="n">
        <v>0</v>
      </c>
      <c r="S493" s="45" t="n">
        <v>557465.8436706511</v>
      </c>
      <c r="T493" s="45" t="n">
        <v>374692.9978833105</v>
      </c>
      <c r="U493" s="15" t="n">
        <v>49.187</v>
      </c>
      <c r="V493" s="15" t="n">
        <v>104.8885178366309</v>
      </c>
      <c r="W493" s="49" t="n">
        <v>67028.96909918425</v>
      </c>
    </row>
    <row r="494">
      <c r="A494" s="44" t="inlineStr">
        <is>
          <t>TL Cinsi Kuponsuz Senetler</t>
        </is>
      </c>
      <c r="B494" s="44" t="n">
        <v>2001</v>
      </c>
      <c r="C494" s="44" t="inlineStr">
        <is>
          <t>TRB241001T17</t>
        </is>
      </c>
      <c r="D494" s="44" t="inlineStr">
        <is>
          <t>nan</t>
        </is>
      </c>
      <c r="E494" s="44" t="inlineStr">
        <is>
          <t>nan</t>
        </is>
      </c>
      <c r="F494" s="44" t="n"/>
      <c r="G494" s="44" t="n"/>
      <c r="H494" s="15" t="n"/>
      <c r="I494" s="45" t="n">
        <v>2626568.65</v>
      </c>
      <c r="J494" s="45" t="n">
        <v>2227864.745</v>
      </c>
      <c r="K494" s="45" t="n">
        <v>908593.3049999999</v>
      </c>
      <c r="L494" s="45" t="n">
        <v>771995.3793622323</v>
      </c>
      <c r="M494" s="45" t="n">
        <v>0</v>
      </c>
      <c r="N494" s="45" t="n">
        <v>0</v>
      </c>
      <c r="O494" s="45" t="n">
        <v>0</v>
      </c>
      <c r="P494" s="45" t="n">
        <v>0</v>
      </c>
      <c r="Q494" s="45" t="n">
        <v>0</v>
      </c>
      <c r="R494" s="45" t="n">
        <v>0</v>
      </c>
      <c r="S494" s="45" t="n">
        <v>908593.3049999999</v>
      </c>
      <c r="T494" s="45" t="n">
        <v>771995.3793622323</v>
      </c>
      <c r="U494" s="15" t="n">
        <v>17.6949</v>
      </c>
      <c r="V494" s="15" t="n">
        <v>91.88038312842876</v>
      </c>
      <c r="W494" s="49" t="n">
        <v>84966.44880024537</v>
      </c>
    </row>
    <row r="495">
      <c r="A495" s="44" t="inlineStr">
        <is>
          <t>TL Cinsi Kuponsuz Senetler</t>
        </is>
      </c>
      <c r="B495" s="44" t="n">
        <v>2001</v>
      </c>
      <c r="C495" s="44" t="inlineStr">
        <is>
          <t>TRB090102T16</t>
        </is>
      </c>
      <c r="D495" s="44" t="inlineStr">
        <is>
          <t>nan</t>
        </is>
      </c>
      <c r="E495" s="44" t="inlineStr">
        <is>
          <t>nan</t>
        </is>
      </c>
      <c r="F495" s="44" t="n"/>
      <c r="G495" s="44" t="n"/>
      <c r="H495" s="15" t="n"/>
      <c r="I495" s="45" t="n">
        <v>2625904.215</v>
      </c>
      <c r="J495" s="45" t="n">
        <v>2004924.94</v>
      </c>
      <c r="K495" s="45" t="n">
        <v>2182201.725</v>
      </c>
      <c r="L495" s="45" t="n">
        <v>1663885.230347462</v>
      </c>
      <c r="M495" s="45" t="n">
        <v>232804.554683774</v>
      </c>
      <c r="N495" s="45" t="n">
        <v>177508.8674</v>
      </c>
      <c r="O495" s="45" t="n">
        <v>0</v>
      </c>
      <c r="P495" s="45" t="n">
        <v>0</v>
      </c>
      <c r="Q495" s="45" t="n">
        <v>0</v>
      </c>
      <c r="R495" s="45" t="n">
        <v>0</v>
      </c>
      <c r="S495" s="45" t="n">
        <v>2415006.279683774</v>
      </c>
      <c r="T495" s="45" t="n">
        <v>1841394.097747462</v>
      </c>
      <c r="U495" s="15" t="n">
        <v>31.151</v>
      </c>
      <c r="V495" s="15" t="n">
        <v>89.83192483442342</v>
      </c>
      <c r="W495" s="49" t="n">
        <v>76247.98895929121</v>
      </c>
    </row>
    <row r="496">
      <c r="A496" s="44" t="inlineStr">
        <is>
          <t>TL Cinsi Kuponsuz Senetler</t>
        </is>
      </c>
      <c r="B496" s="44" t="n">
        <v>2001</v>
      </c>
      <c r="C496" s="44" t="inlineStr">
        <is>
          <t>TRB141101T18</t>
        </is>
      </c>
      <c r="D496" s="44" t="inlineStr">
        <is>
          <t>nan</t>
        </is>
      </c>
      <c r="E496" s="44" t="inlineStr">
        <is>
          <t>nan</t>
        </is>
      </c>
      <c r="F496" s="44" t="n"/>
      <c r="G496" s="44" t="n"/>
      <c r="H496" s="15" t="n"/>
      <c r="I496" s="45" t="n">
        <v>1239069.63</v>
      </c>
      <c r="J496" s="45" t="n">
        <v>1057492.654</v>
      </c>
      <c r="K496" s="45" t="n">
        <v>1139958.195</v>
      </c>
      <c r="L496" s="45" t="n">
        <v>960996.197603238</v>
      </c>
      <c r="M496" s="45" t="n">
        <v>0</v>
      </c>
      <c r="N496" s="45" t="n">
        <v>0</v>
      </c>
      <c r="O496" s="45" t="n">
        <v>0</v>
      </c>
      <c r="P496" s="45" t="n">
        <v>0</v>
      </c>
      <c r="Q496" s="45" t="n">
        <v>0</v>
      </c>
      <c r="R496" s="45" t="n">
        <v>0</v>
      </c>
      <c r="S496" s="45" t="n">
        <v>1139958.195</v>
      </c>
      <c r="T496" s="45" t="n">
        <v>960996.197603238</v>
      </c>
      <c r="U496" s="15" t="n">
        <v>18.62255</v>
      </c>
      <c r="V496" s="15" t="n">
        <v>98.00174734410618</v>
      </c>
      <c r="W496" s="49" t="n">
        <v>84301</v>
      </c>
    </row>
    <row r="497">
      <c r="A497" s="44" t="inlineStr">
        <is>
          <t>TL Cinsi Kuponsuz Senetler</t>
        </is>
      </c>
      <c r="B497" s="44" t="n">
        <v>2001</v>
      </c>
      <c r="C497" s="44" t="inlineStr">
        <is>
          <t>TRB261201T13</t>
        </is>
      </c>
      <c r="D497" s="44" t="inlineStr">
        <is>
          <t>nan</t>
        </is>
      </c>
      <c r="E497" s="44" t="inlineStr">
        <is>
          <t>nan</t>
        </is>
      </c>
      <c r="F497" s="44" t="n"/>
      <c r="G497" s="44" t="n"/>
      <c r="H497" s="15" t="n"/>
      <c r="I497" s="45" t="n">
        <v>734130.8</v>
      </c>
      <c r="J497" s="45" t="n">
        <v>605182.039</v>
      </c>
      <c r="K497" s="45" t="n">
        <v>321643.355</v>
      </c>
      <c r="L497" s="45" t="n">
        <v>265313.9509030243</v>
      </c>
      <c r="M497" s="45" t="n">
        <v>0</v>
      </c>
      <c r="N497" s="45" t="n">
        <v>0</v>
      </c>
      <c r="O497" s="45" t="n">
        <v>0</v>
      </c>
      <c r="P497" s="45" t="n">
        <v>0</v>
      </c>
      <c r="Q497" s="45" t="n">
        <v>0</v>
      </c>
      <c r="R497" s="45" t="n">
        <v>0</v>
      </c>
      <c r="S497" s="45" t="n">
        <v>321643.355</v>
      </c>
      <c r="T497" s="45" t="n">
        <v>265313.9509030243</v>
      </c>
      <c r="U497" s="15" t="n">
        <v>21.2315</v>
      </c>
      <c r="V497" s="15" t="n">
        <v>86.96069158148572</v>
      </c>
      <c r="W497" s="49" t="n">
        <v>82486.81242086421</v>
      </c>
    </row>
    <row r="498">
      <c r="A498" s="44" t="inlineStr">
        <is>
          <t>TL Cinsi Kuponsuz Senetler</t>
        </is>
      </c>
      <c r="B498" s="44" t="n">
        <v>2001</v>
      </c>
      <c r="C498" s="44" t="inlineStr">
        <is>
          <t>TRB261201T13</t>
        </is>
      </c>
      <c r="D498" s="44" t="inlineStr">
        <is>
          <t>nan</t>
        </is>
      </c>
      <c r="E498" s="44" t="inlineStr">
        <is>
          <t>nan</t>
        </is>
      </c>
      <c r="F498" s="44" t="n"/>
      <c r="G498" s="44" t="n"/>
      <c r="H498" s="15" t="n"/>
      <c r="I498" s="45" t="n">
        <v>783720.24</v>
      </c>
      <c r="J498" s="45" t="n">
        <v>655807.791</v>
      </c>
      <c r="K498" s="45" t="n">
        <v>426308.145</v>
      </c>
      <c r="L498" s="45" t="n">
        <v>357041.5965178363</v>
      </c>
      <c r="M498" s="45" t="n">
        <v>47760.05650158293</v>
      </c>
      <c r="N498" s="45" t="n">
        <v>39999.99707</v>
      </c>
      <c r="O498" s="45" t="n">
        <v>0</v>
      </c>
      <c r="P498" s="45" t="n">
        <v>0</v>
      </c>
      <c r="Q498" s="45" t="n">
        <v>0</v>
      </c>
      <c r="R498" s="45" t="n">
        <v>0</v>
      </c>
      <c r="S498" s="45" t="n">
        <v>474068.201501583</v>
      </c>
      <c r="T498" s="45" t="n">
        <v>397041.5935878363</v>
      </c>
      <c r="U498" s="15" t="n">
        <v>19.3999</v>
      </c>
      <c r="V498" s="15" t="n">
        <v>84.91432598677747</v>
      </c>
      <c r="W498" s="49" t="n">
        <v>83752.16394653596</v>
      </c>
    </row>
    <row r="499">
      <c r="A499" s="44" t="inlineStr">
        <is>
          <t>TL Cinsi Kuponsuz Senetler</t>
        </is>
      </c>
      <c r="B499" s="44" t="n">
        <v>2001</v>
      </c>
      <c r="C499" s="44" t="inlineStr">
        <is>
          <t>TRB060302T17</t>
        </is>
      </c>
      <c r="D499" s="44" t="inlineStr">
        <is>
          <t>nan</t>
        </is>
      </c>
      <c r="E499" s="44" t="inlineStr">
        <is>
          <t>nan</t>
        </is>
      </c>
      <c r="F499" s="44" t="n"/>
      <c r="G499" s="44" t="n"/>
      <c r="H499" s="15" t="n"/>
      <c r="I499" s="45" t="n">
        <v>870559.905</v>
      </c>
      <c r="J499" s="45" t="n">
        <v>653887.504</v>
      </c>
      <c r="K499" s="45" t="n">
        <v>360239.365</v>
      </c>
      <c r="L499" s="45" t="n">
        <v>270593.7768196499</v>
      </c>
      <c r="M499" s="45" t="n">
        <v>115823.1</v>
      </c>
      <c r="N499" s="45" t="n">
        <v>87000</v>
      </c>
      <c r="O499" s="45" t="n">
        <v>0</v>
      </c>
      <c r="P499" s="45" t="n">
        <v>0</v>
      </c>
      <c r="Q499" s="45" t="n">
        <v>0</v>
      </c>
      <c r="R499" s="45" t="n">
        <v>0</v>
      </c>
      <c r="S499" s="45" t="n">
        <v>476062.465</v>
      </c>
      <c r="T499" s="45" t="n">
        <v>357593.7768196499</v>
      </c>
      <c r="U499" s="15" t="n">
        <v>33.13</v>
      </c>
      <c r="V499" s="15" t="n">
        <v>90.97286890188427</v>
      </c>
      <c r="W499" s="49" t="n">
        <v>75114.54968827461</v>
      </c>
    </row>
    <row r="500">
      <c r="A500" s="44" t="inlineStr">
        <is>
          <t>TL Cinsi Kuponsuz Senetler</t>
        </is>
      </c>
      <c r="B500" s="44" t="n">
        <v>2001</v>
      </c>
      <c r="C500" s="44" t="inlineStr">
        <is>
          <t>TRB030402T19</t>
        </is>
      </c>
      <c r="D500" s="44" t="inlineStr">
        <is>
          <t>nan</t>
        </is>
      </c>
      <c r="E500" s="44" t="inlineStr">
        <is>
          <t>nan</t>
        </is>
      </c>
      <c r="F500" s="44" t="n"/>
      <c r="G500" s="44" t="n"/>
      <c r="H500" s="15" t="n"/>
      <c r="I500" s="45" t="n">
        <v>727829.135</v>
      </c>
      <c r="J500" s="45" t="n">
        <v>522921.911</v>
      </c>
      <c r="K500" s="45" t="n">
        <v>433029.58</v>
      </c>
      <c r="L500" s="45" t="n">
        <v>311253.0038003632</v>
      </c>
      <c r="M500" s="45" t="n">
        <v>171628.2756373259</v>
      </c>
      <c r="N500" s="45" t="n">
        <v>123362.99665</v>
      </c>
      <c r="O500" s="45" t="n">
        <v>0</v>
      </c>
      <c r="P500" s="45" t="n">
        <v>0</v>
      </c>
      <c r="Q500" s="45" t="n">
        <v>0</v>
      </c>
      <c r="R500" s="45" t="n">
        <v>0</v>
      </c>
      <c r="S500" s="45" t="n">
        <v>604657.8556373259</v>
      </c>
      <c r="T500" s="45" t="n">
        <v>434616.0004503631</v>
      </c>
      <c r="U500" s="15" t="n">
        <v>39.1246</v>
      </c>
      <c r="V500" s="15" t="n">
        <v>93.55654325159999</v>
      </c>
      <c r="W500" s="49" t="n">
        <v>71878.01438422824</v>
      </c>
    </row>
    <row r="501">
      <c r="A501" s="44" t="inlineStr">
        <is>
          <t>TL Cinsi Kuponsuz Senetler</t>
        </is>
      </c>
      <c r="B501" s="44" t="n">
        <v>2001</v>
      </c>
      <c r="C501" s="44" t="inlineStr">
        <is>
          <t>TRB090102T16</t>
        </is>
      </c>
      <c r="D501" s="44" t="inlineStr">
        <is>
          <t>nan</t>
        </is>
      </c>
      <c r="E501" s="44" t="inlineStr">
        <is>
          <t>nan</t>
        </is>
      </c>
      <c r="F501" s="44" t="n"/>
      <c r="G501" s="44" t="n"/>
      <c r="H501" s="15" t="n"/>
      <c r="I501" s="45" t="n">
        <v>683442.48</v>
      </c>
      <c r="J501" s="45" t="n">
        <v>580154.402</v>
      </c>
      <c r="K501" s="45" t="n">
        <v>400899.09</v>
      </c>
      <c r="L501" s="45" t="n">
        <v>340355.2794376337</v>
      </c>
      <c r="M501" s="45" t="n">
        <v>123677.4</v>
      </c>
      <c r="N501" s="45" t="n">
        <v>105000</v>
      </c>
      <c r="O501" s="45" t="n">
        <v>0</v>
      </c>
      <c r="P501" s="45" t="n">
        <v>0</v>
      </c>
      <c r="Q501" s="45" t="n">
        <v>0</v>
      </c>
      <c r="R501" s="45" t="n">
        <v>0</v>
      </c>
      <c r="S501" s="45" t="n">
        <v>524576.49</v>
      </c>
      <c r="T501" s="45" t="n">
        <v>445355.2794376337</v>
      </c>
      <c r="U501" s="15" t="n">
        <v>17.788</v>
      </c>
      <c r="V501" s="15" t="n">
        <v>92.48823517027955</v>
      </c>
      <c r="W501" s="49" t="n">
        <v>84898.29184636805</v>
      </c>
    </row>
    <row r="502">
      <c r="A502" s="44" t="inlineStr">
        <is>
          <t>TL Cinsi Kuponsuz Senetler</t>
        </is>
      </c>
      <c r="B502" s="44" t="n">
        <v>2001</v>
      </c>
      <c r="C502" s="44" t="inlineStr">
        <is>
          <t>TRT161002F12</t>
        </is>
      </c>
      <c r="D502" s="44" t="inlineStr">
        <is>
          <t>nan</t>
        </is>
      </c>
      <c r="E502" s="44" t="inlineStr">
        <is>
          <t>nan</t>
        </is>
      </c>
      <c r="F502" s="44" t="n"/>
      <c r="G502" s="44" t="n"/>
      <c r="H502" s="15" t="n"/>
      <c r="I502" s="45" t="n">
        <v>222704.36</v>
      </c>
      <c r="J502" s="45" t="n">
        <v>149087.645</v>
      </c>
      <c r="K502" s="45" t="n">
        <v>68422.755</v>
      </c>
      <c r="L502" s="45" t="n">
        <v>45863.15153331055</v>
      </c>
      <c r="M502" s="45" t="n">
        <v>489043.0886706511</v>
      </c>
      <c r="N502" s="45" t="n">
        <v>328829.84635</v>
      </c>
      <c r="O502" s="45" t="n">
        <v>0</v>
      </c>
      <c r="P502" s="45" t="n">
        <v>0</v>
      </c>
      <c r="Q502" s="45" t="n">
        <v>0</v>
      </c>
      <c r="R502" s="45" t="n">
        <v>0</v>
      </c>
      <c r="S502" s="45" t="n">
        <v>557465.8436706511</v>
      </c>
      <c r="T502" s="45" t="n">
        <v>374692.9978833105</v>
      </c>
      <c r="U502" s="15" t="n"/>
      <c r="V502" s="15" t="n">
        <v>0</v>
      </c>
      <c r="W502" s="49" t="n">
        <v>10000</v>
      </c>
    </row>
    <row r="503">
      <c r="A503" s="44" t="inlineStr">
        <is>
          <t>TL Cinsi Kuponsuz Senetler</t>
        </is>
      </c>
      <c r="B503" s="44" t="n">
        <v>2001</v>
      </c>
      <c r="C503" s="44" t="inlineStr">
        <is>
          <t>TRB230102T18</t>
        </is>
      </c>
      <c r="D503" s="44" t="inlineStr">
        <is>
          <t>nan</t>
        </is>
      </c>
      <c r="E503" s="44" t="inlineStr">
        <is>
          <t>nan</t>
        </is>
      </c>
      <c r="F503" s="44" t="n"/>
      <c r="G503" s="44" t="n"/>
      <c r="H503" s="15" t="n"/>
      <c r="I503" s="45" t="n">
        <v>1205209.71</v>
      </c>
      <c r="J503" s="45" t="n">
        <v>1043690.433</v>
      </c>
      <c r="K503" s="45" t="n">
        <v>795375.73</v>
      </c>
      <c r="L503" s="45" t="n">
        <v>688000.0059598288</v>
      </c>
      <c r="M503" s="45" t="n">
        <v>0</v>
      </c>
      <c r="N503" s="45" t="n">
        <v>0</v>
      </c>
      <c r="O503" s="45" t="n">
        <v>0</v>
      </c>
      <c r="P503" s="45" t="n">
        <v>0</v>
      </c>
      <c r="Q503" s="45" t="n">
        <v>0</v>
      </c>
      <c r="R503" s="45" t="n">
        <v>0</v>
      </c>
      <c r="S503" s="45" t="n">
        <v>795375.73</v>
      </c>
      <c r="T503" s="45" t="n">
        <v>688000.0059598288</v>
      </c>
      <c r="U503" s="15" t="n">
        <v>15.6065</v>
      </c>
      <c r="V503" s="15" t="n">
        <v>78.61955879215469</v>
      </c>
      <c r="W503" s="49" t="n">
        <v>86500.3265387327</v>
      </c>
    </row>
    <row r="504">
      <c r="A504" s="44" t="inlineStr">
        <is>
          <t>TL Cinsi Kuponsuz Senetler</t>
        </is>
      </c>
      <c r="B504" s="44" t="n">
        <v>2001</v>
      </c>
      <c r="C504" s="44" t="inlineStr">
        <is>
          <t>TRB030402T19</t>
        </is>
      </c>
      <c r="D504" s="44" t="inlineStr">
        <is>
          <t>nan</t>
        </is>
      </c>
      <c r="E504" s="44" t="inlineStr">
        <is>
          <t>nan</t>
        </is>
      </c>
      <c r="F504" s="44" t="n"/>
      <c r="G504" s="44" t="n"/>
      <c r="H504" s="15" t="n"/>
      <c r="I504" s="45" t="n">
        <v>544591.345</v>
      </c>
      <c r="J504" s="45" t="n">
        <v>420722.823</v>
      </c>
      <c r="K504" s="45" t="n">
        <v>351652.225</v>
      </c>
      <c r="L504" s="45" t="n">
        <v>271303.2080380587</v>
      </c>
      <c r="M504" s="45" t="n">
        <v>0</v>
      </c>
      <c r="N504" s="45" t="n">
        <v>0</v>
      </c>
      <c r="O504" s="45" t="n">
        <v>0</v>
      </c>
      <c r="P504" s="45" t="n">
        <v>0</v>
      </c>
      <c r="Q504" s="45" t="n">
        <v>0</v>
      </c>
      <c r="R504" s="45" t="n">
        <v>0</v>
      </c>
      <c r="S504" s="45" t="n">
        <v>351652.225</v>
      </c>
      <c r="T504" s="45" t="n">
        <v>271303.2080380587</v>
      </c>
      <c r="U504" s="15" t="n">
        <v>29.6154</v>
      </c>
      <c r="V504" s="15" t="n">
        <v>84.62021265715107</v>
      </c>
      <c r="W504" s="49" t="n">
        <v>77151.32615414527</v>
      </c>
    </row>
    <row r="505">
      <c r="A505" s="44" t="inlineStr">
        <is>
          <t>TL Cinsi Kuponsuz Senetler</t>
        </is>
      </c>
      <c r="B505" s="44" t="n">
        <v>2001</v>
      </c>
      <c r="C505" s="44" t="inlineStr">
        <is>
          <t>TRB030402T19</t>
        </is>
      </c>
      <c r="D505" s="44" t="inlineStr">
        <is>
          <t>nan</t>
        </is>
      </c>
      <c r="E505" s="44" t="inlineStr">
        <is>
          <t>nan</t>
        </is>
      </c>
      <c r="F505" s="44" t="n"/>
      <c r="G505" s="44" t="n"/>
      <c r="H505" s="15" t="n"/>
      <c r="I505" s="45" t="n">
        <v>3136616.19</v>
      </c>
      <c r="J505" s="45" t="n">
        <v>2461774.853</v>
      </c>
      <c r="K505" s="45" t="n">
        <v>2494025.255</v>
      </c>
      <c r="L505" s="45" t="n">
        <v>1954816.993590125</v>
      </c>
      <c r="M505" s="45" t="n">
        <v>306021.9135698471</v>
      </c>
      <c r="N505" s="45" t="n">
        <v>239859.99264</v>
      </c>
      <c r="O505" s="45" t="n">
        <v>0</v>
      </c>
      <c r="P505" s="45" t="n">
        <v>0</v>
      </c>
      <c r="Q505" s="45" t="n">
        <v>0</v>
      </c>
      <c r="R505" s="45" t="n">
        <v>0</v>
      </c>
      <c r="S505" s="45" t="n">
        <v>2800047.168569847</v>
      </c>
      <c r="T505" s="45" t="n">
        <v>2194676.986230125</v>
      </c>
      <c r="U505" s="15" t="n">
        <v>27.5836</v>
      </c>
      <c r="V505" s="15" t="n">
        <v>82.79663883673258</v>
      </c>
      <c r="W505" s="49" t="n">
        <v>78379.97987202117</v>
      </c>
    </row>
    <row r="506">
      <c r="A506" s="44" t="inlineStr">
        <is>
          <t>TL Cinsi Kuponsuz Senetler</t>
        </is>
      </c>
      <c r="B506" s="44" t="n">
        <v>2001</v>
      </c>
      <c r="C506" s="44" t="inlineStr">
        <is>
          <t>TRT260602T10</t>
        </is>
      </c>
      <c r="D506" s="44" t="inlineStr">
        <is>
          <t>nan</t>
        </is>
      </c>
      <c r="E506" s="44" t="inlineStr">
        <is>
          <t>nan</t>
        </is>
      </c>
      <c r="F506" s="44" t="n"/>
      <c r="G506" s="44" t="n"/>
      <c r="H506" s="15" t="n"/>
      <c r="I506" s="45" t="n">
        <v>757504.3050000001</v>
      </c>
      <c r="J506" s="45" t="n">
        <v>514646.414</v>
      </c>
      <c r="K506" s="45" t="n">
        <v>696121.78</v>
      </c>
      <c r="L506" s="45" t="n">
        <v>469617.698618382</v>
      </c>
      <c r="M506" s="45" t="n">
        <v>429872.7935370847</v>
      </c>
      <c r="N506" s="45" t="n">
        <v>289999.99564</v>
      </c>
      <c r="O506" s="45" t="n">
        <v>0</v>
      </c>
      <c r="P506" s="45" t="n">
        <v>0</v>
      </c>
      <c r="Q506" s="45" t="n">
        <v>0</v>
      </c>
      <c r="R506" s="45" t="n">
        <v>0</v>
      </c>
      <c r="S506" s="45" t="n">
        <v>1125994.573537085</v>
      </c>
      <c r="T506" s="45" t="n">
        <v>759617.694258382</v>
      </c>
      <c r="U506" s="15" t="n">
        <v>48.232</v>
      </c>
      <c r="V506" s="15" t="n">
        <v>85.93583633883901</v>
      </c>
      <c r="W506" s="49" t="n">
        <v>67461.81661179772</v>
      </c>
    </row>
    <row r="507">
      <c r="A507" s="44" t="inlineStr">
        <is>
          <t>TL Cinsi Kuponsuz Senetler</t>
        </is>
      </c>
      <c r="B507" s="44" t="n">
        <v>2001</v>
      </c>
      <c r="C507" s="44" t="inlineStr">
        <is>
          <t>TRB130202T19</t>
        </is>
      </c>
      <c r="D507" s="44" t="inlineStr">
        <is>
          <t>nan</t>
        </is>
      </c>
      <c r="E507" s="44" t="inlineStr">
        <is>
          <t>nan</t>
        </is>
      </c>
      <c r="F507" s="44" t="n"/>
      <c r="G507" s="44" t="n"/>
      <c r="H507" s="15" t="n"/>
      <c r="I507" s="45" t="n">
        <v>1772099.715</v>
      </c>
      <c r="J507" s="45" t="n">
        <v>1442461.35</v>
      </c>
      <c r="K507" s="45" t="n">
        <v>1240943.98</v>
      </c>
      <c r="L507" s="45" t="n">
        <v>1079993.545439689</v>
      </c>
      <c r="M507" s="45" t="n">
        <v>0</v>
      </c>
      <c r="N507" s="45" t="n">
        <v>0</v>
      </c>
      <c r="O507" s="45" t="n">
        <v>0</v>
      </c>
      <c r="P507" s="45" t="n">
        <v>0</v>
      </c>
      <c r="Q507" s="45" t="n">
        <v>0</v>
      </c>
      <c r="R507" s="45" t="n">
        <v>0</v>
      </c>
      <c r="S507" s="45" t="n">
        <v>1240943.98</v>
      </c>
      <c r="T507" s="45" t="n">
        <v>1079993.545439689</v>
      </c>
      <c r="U507" s="15" t="n">
        <v>14.9025</v>
      </c>
      <c r="V507" s="15" t="n">
        <v>74.30823764467253</v>
      </c>
      <c r="W507" s="49" t="n">
        <v>87030.30830486717</v>
      </c>
    </row>
    <row r="508">
      <c r="A508" s="44" t="inlineStr">
        <is>
          <t>TL Cinsi Kuponsuz Senetler</t>
        </is>
      </c>
      <c r="B508" s="44" t="n">
        <v>2001</v>
      </c>
      <c r="C508" s="44" t="inlineStr">
        <is>
          <t>TRT260602T10</t>
        </is>
      </c>
      <c r="D508" s="44" t="inlineStr">
        <is>
          <t>nan</t>
        </is>
      </c>
      <c r="E508" s="44" t="inlineStr">
        <is>
          <t>nan</t>
        </is>
      </c>
      <c r="F508" s="44" t="n"/>
      <c r="G508" s="44" t="n"/>
      <c r="H508" s="15" t="n"/>
      <c r="I508" s="45" t="n">
        <v>2238138.185</v>
      </c>
      <c r="J508" s="45" t="n">
        <v>1611702.462</v>
      </c>
      <c r="K508" s="45" t="n">
        <v>1819734.965</v>
      </c>
      <c r="L508" s="45" t="n">
        <v>1305860.367264288</v>
      </c>
      <c r="M508" s="45" t="n">
        <v>272641.1150000004</v>
      </c>
      <c r="N508" s="45" t="n">
        <v>195649.99052</v>
      </c>
      <c r="O508" s="45" t="n">
        <v>0</v>
      </c>
      <c r="P508" s="45" t="n">
        <v>0</v>
      </c>
      <c r="Q508" s="45" t="n">
        <v>0</v>
      </c>
      <c r="R508" s="45" t="n">
        <v>0</v>
      </c>
      <c r="S508" s="45" t="n">
        <v>2092376.08</v>
      </c>
      <c r="T508" s="45" t="n">
        <v>1501510.357784288</v>
      </c>
      <c r="U508" s="15" t="n">
        <v>39.35142</v>
      </c>
      <c r="V508" s="15" t="n">
        <v>74.47582044288994</v>
      </c>
      <c r="W508" s="49" t="n">
        <v>71761.01972983124</v>
      </c>
    </row>
    <row r="509">
      <c r="A509" s="44" t="inlineStr">
        <is>
          <t>TL Cinsi Kuponsuz Senetler</t>
        </is>
      </c>
      <c r="B509" s="44" t="n">
        <v>2001</v>
      </c>
      <c r="C509" s="44" t="inlineStr">
        <is>
          <t>TRB100702T17</t>
        </is>
      </c>
      <c r="D509" s="44" t="inlineStr">
        <is>
          <t>nan</t>
        </is>
      </c>
      <c r="E509" s="44" t="inlineStr">
        <is>
          <t>nan</t>
        </is>
      </c>
      <c r="F509" s="44" t="n"/>
      <c r="G509" s="44" t="n"/>
      <c r="H509" s="15" t="n"/>
      <c r="I509" s="45" t="n">
        <v>1614871.14</v>
      </c>
      <c r="J509" s="45" t="n">
        <v>1149963.081</v>
      </c>
      <c r="K509" s="45" t="n">
        <v>1318601.205</v>
      </c>
      <c r="L509" s="45" t="n">
        <v>935178.3455744681</v>
      </c>
      <c r="M509" s="45" t="n">
        <v>379374.5</v>
      </c>
      <c r="N509" s="45" t="n">
        <v>269060</v>
      </c>
      <c r="O509" s="45" t="n">
        <v>0</v>
      </c>
      <c r="P509" s="45" t="n">
        <v>0</v>
      </c>
      <c r="Q509" s="45" t="n">
        <v>0</v>
      </c>
      <c r="R509" s="45" t="n">
        <v>0</v>
      </c>
      <c r="S509" s="45" t="n">
        <v>1697975.705</v>
      </c>
      <c r="T509" s="45" t="n">
        <v>1204238.345574468</v>
      </c>
      <c r="U509" s="15" t="n">
        <v>41</v>
      </c>
      <c r="V509" s="15" t="n">
        <v>77.95206321748836</v>
      </c>
      <c r="W509" s="49" t="n">
        <v>70921.98581560283</v>
      </c>
    </row>
    <row r="510">
      <c r="A510" s="44" t="inlineStr">
        <is>
          <t>TL Cinsi Kuponsuz Senetler</t>
        </is>
      </c>
      <c r="B510" s="44" t="n">
        <v>2001</v>
      </c>
      <c r="C510" s="44" t="inlineStr">
        <is>
          <t>TRB080502T13</t>
        </is>
      </c>
      <c r="D510" s="44" t="inlineStr">
        <is>
          <t>nan</t>
        </is>
      </c>
      <c r="E510" s="44" t="inlineStr">
        <is>
          <t>nan</t>
        </is>
      </c>
      <c r="F510" s="44" t="n"/>
      <c r="G510" s="44" t="n"/>
      <c r="H510" s="15" t="n"/>
      <c r="I510" s="45" t="n">
        <v>1855872.03</v>
      </c>
      <c r="J510" s="45" t="n">
        <v>1485986.251</v>
      </c>
      <c r="K510" s="45" t="n">
        <v>1248215.17</v>
      </c>
      <c r="L510" s="45" t="n">
        <v>999071.4239422579</v>
      </c>
      <c r="M510" s="45" t="n">
        <v>230584.6995424356</v>
      </c>
      <c r="N510" s="45" t="n">
        <v>184559.99386</v>
      </c>
      <c r="O510" s="45" t="n">
        <v>0</v>
      </c>
      <c r="P510" s="45" t="n">
        <v>0</v>
      </c>
      <c r="Q510" s="45" t="n">
        <v>0</v>
      </c>
      <c r="R510" s="45" t="n">
        <v>0</v>
      </c>
      <c r="S510" s="45" t="n">
        <v>1478799.869542436</v>
      </c>
      <c r="T510" s="45" t="n">
        <v>1183631.417802258</v>
      </c>
      <c r="U510" s="15" t="n">
        <v>24.937531</v>
      </c>
      <c r="V510" s="15" t="n">
        <v>73.5521849744307</v>
      </c>
      <c r="W510" s="49" t="n">
        <v>80040.00015015504</v>
      </c>
    </row>
    <row r="511">
      <c r="A511" s="44" t="inlineStr">
        <is>
          <t>TL Cinsi Kuponsuz Senetler</t>
        </is>
      </c>
      <c r="B511" s="44" t="n">
        <v>2001</v>
      </c>
      <c r="C511" s="44" t="inlineStr">
        <is>
          <t>TRB200302T19</t>
        </is>
      </c>
      <c r="D511" s="44" t="inlineStr">
        <is>
          <t>nan</t>
        </is>
      </c>
      <c r="E511" s="44" t="inlineStr">
        <is>
          <t>nan</t>
        </is>
      </c>
      <c r="F511" s="44" t="n"/>
      <c r="G511" s="44" t="n"/>
      <c r="H511" s="15" t="n"/>
      <c r="I511" s="45" t="n">
        <v>1053015.015</v>
      </c>
      <c r="J511" s="45" t="n">
        <v>923175.591</v>
      </c>
      <c r="K511" s="45" t="n">
        <v>859948.085</v>
      </c>
      <c r="L511" s="45" t="n">
        <v>751998.832778919</v>
      </c>
      <c r="M511" s="45" t="n">
        <v>0</v>
      </c>
      <c r="N511" s="45" t="n">
        <v>0</v>
      </c>
      <c r="O511" s="45" t="n">
        <v>0</v>
      </c>
      <c r="P511" s="45" t="n">
        <v>0</v>
      </c>
      <c r="Q511" s="45" t="n">
        <v>0</v>
      </c>
      <c r="R511" s="45" t="n">
        <v>0</v>
      </c>
      <c r="S511" s="45" t="n">
        <v>859948.085</v>
      </c>
      <c r="T511" s="45" t="n">
        <v>751998.832778919</v>
      </c>
      <c r="U511" s="15" t="n">
        <v>14.3549</v>
      </c>
      <c r="V511" s="15" t="n">
        <v>71.00905765183974</v>
      </c>
      <c r="W511" s="49" t="n">
        <v>87447.06173500218</v>
      </c>
    </row>
    <row r="512">
      <c r="A512" s="44" t="inlineStr">
        <is>
          <t>TL Cinsi Kuponsuz Senetler</t>
        </is>
      </c>
      <c r="B512" s="44" t="n">
        <v>2001</v>
      </c>
      <c r="C512" s="44" t="inlineStr">
        <is>
          <t>TRB100702T17</t>
        </is>
      </c>
      <c r="D512" s="44" t="inlineStr">
        <is>
          <t>nan</t>
        </is>
      </c>
      <c r="E512" s="44" t="inlineStr">
        <is>
          <t>nan</t>
        </is>
      </c>
      <c r="F512" s="44" t="n"/>
      <c r="G512" s="44" t="n"/>
      <c r="H512" s="15" t="n"/>
      <c r="I512" s="45" t="n">
        <v>1435655.675</v>
      </c>
      <c r="J512" s="45" t="n">
        <v>1074319.71</v>
      </c>
      <c r="K512" s="45" t="n">
        <v>1300883.295</v>
      </c>
      <c r="L512" s="45" t="n">
        <v>970393.8928657809</v>
      </c>
      <c r="M512" s="45" t="n">
        <v>30022.06515</v>
      </c>
      <c r="N512" s="45" t="n">
        <v>22395</v>
      </c>
      <c r="O512" s="45" t="n">
        <v>0</v>
      </c>
      <c r="P512" s="45" t="n">
        <v>0</v>
      </c>
      <c r="Q512" s="45" t="n"/>
      <c r="R512" s="45" t="n"/>
      <c r="S512" s="45" t="n">
        <v>1330905.36015</v>
      </c>
      <c r="T512" s="45" t="n">
        <v>992788.8928657809</v>
      </c>
      <c r="U512" s="15" t="n">
        <v>34.057</v>
      </c>
      <c r="V512" s="15" t="n">
        <v>72.34344855068086</v>
      </c>
      <c r="W512" s="49" t="n">
        <v>74595.13490530147</v>
      </c>
    </row>
    <row r="513">
      <c r="A513" s="44" t="inlineStr">
        <is>
          <t>TL Cinsi Kuponsuz Senetler</t>
        </is>
      </c>
      <c r="B513" s="44" t="n">
        <v>2000</v>
      </c>
      <c r="C513" s="44" t="inlineStr">
        <is>
          <t>TRT210201T28</t>
        </is>
      </c>
      <c r="D513" s="44" t="inlineStr">
        <is>
          <t>nan</t>
        </is>
      </c>
      <c r="E513" s="44" t="inlineStr">
        <is>
          <t>nan</t>
        </is>
      </c>
      <c r="F513" s="44" t="n"/>
      <c r="G513" s="44" t="n"/>
      <c r="H513" s="15" t="n"/>
      <c r="I513" s="45" t="n">
        <v>2608815</v>
      </c>
      <c r="J513" s="45" t="n">
        <v>1795049.467</v>
      </c>
      <c r="K513" s="45" t="n">
        <v>604950</v>
      </c>
      <c r="L513" s="45" t="n">
        <v>423124.8267258866</v>
      </c>
      <c r="M513" s="45" t="n">
        <v>254429.6971406</v>
      </c>
      <c r="N513" s="45" t="n">
        <v>177999.998</v>
      </c>
      <c r="O513" s="45" t="n">
        <v>0</v>
      </c>
      <c r="P513" s="45" t="n">
        <v>0</v>
      </c>
      <c r="Q513" s="45" t="n">
        <v>0</v>
      </c>
      <c r="R513" s="45" t="n">
        <v>0</v>
      </c>
      <c r="S513" s="45" t="n">
        <v>859379.6971406</v>
      </c>
      <c r="T513" s="45" t="n">
        <v>601124.8247258866</v>
      </c>
      <c r="U513" s="15" t="n">
        <v>42.97</v>
      </c>
      <c r="V513" s="15" t="n">
        <v>37.03327232133342</v>
      </c>
      <c r="W513" s="49" t="n">
        <v>69944.74365251452</v>
      </c>
    </row>
    <row r="514">
      <c r="A514" s="44" t="inlineStr">
        <is>
          <t>TL Cinsi Kuponsuz Senetler</t>
        </is>
      </c>
      <c r="B514" s="44" t="n">
        <v>2000</v>
      </c>
      <c r="C514" s="44" t="inlineStr">
        <is>
          <t>TRB190400T13</t>
        </is>
      </c>
      <c r="D514" s="44" t="inlineStr">
        <is>
          <t>nan</t>
        </is>
      </c>
      <c r="E514" s="44" t="inlineStr">
        <is>
          <t>nan</t>
        </is>
      </c>
      <c r="F514" s="44" t="n"/>
      <c r="G514" s="44" t="n"/>
      <c r="H514" s="15" t="n"/>
      <c r="I514" s="45" t="n">
        <v>1333382.77</v>
      </c>
      <c r="J514" s="45" t="n">
        <v>1226504.389</v>
      </c>
      <c r="K514" s="45" t="n">
        <v>620714.785</v>
      </c>
      <c r="L514" s="45" t="n">
        <v>572000.0189988269</v>
      </c>
      <c r="M514" s="45" t="n">
        <v>0</v>
      </c>
      <c r="N514" s="45" t="n">
        <v>0</v>
      </c>
      <c r="O514" s="45" t="n">
        <v>0</v>
      </c>
      <c r="P514" s="45" t="n">
        <v>0</v>
      </c>
      <c r="Q514" s="45" t="n">
        <v>0</v>
      </c>
      <c r="R514" s="45" t="n">
        <v>0</v>
      </c>
      <c r="S514" s="45" t="n">
        <v>620714.785</v>
      </c>
      <c r="T514" s="45" t="n">
        <v>572000.0189988269</v>
      </c>
      <c r="U514" s="15" t="n">
        <v>8.5167</v>
      </c>
      <c r="V514" s="15" t="n">
        <v>38.67121267704823</v>
      </c>
      <c r="W514" s="49" t="n">
        <v>92151.71489733839</v>
      </c>
    </row>
    <row r="515">
      <c r="A515" s="44" t="inlineStr">
        <is>
          <t>TL Cinsi Kuponsuz Senetler</t>
        </is>
      </c>
      <c r="B515" s="44" t="n">
        <v>2000</v>
      </c>
      <c r="C515" s="44" t="inlineStr">
        <is>
          <t>TRT230501T15</t>
        </is>
      </c>
      <c r="D515" s="44" t="inlineStr">
        <is>
          <t>nan</t>
        </is>
      </c>
      <c r="E515" s="44" t="inlineStr">
        <is>
          <t>nan</t>
        </is>
      </c>
      <c r="F515" s="44" t="n"/>
      <c r="G515" s="44" t="n"/>
      <c r="H515" s="15" t="n"/>
      <c r="I515" s="45" t="n">
        <v>3065667</v>
      </c>
      <c r="J515" s="45" t="n">
        <v>2031140.254</v>
      </c>
      <c r="K515" s="45" t="n">
        <v>2088667</v>
      </c>
      <c r="L515" s="45" t="n">
        <v>1390344.453624443</v>
      </c>
      <c r="M515" s="45" t="n">
        <v>21031.8</v>
      </c>
      <c r="N515" s="45" t="n">
        <v>14000</v>
      </c>
      <c r="O515" s="45" t="n">
        <v>0</v>
      </c>
      <c r="P515" s="45" t="n">
        <v>0</v>
      </c>
      <c r="Q515" s="45" t="n">
        <v>0</v>
      </c>
      <c r="R515" s="45" t="n">
        <v>0</v>
      </c>
      <c r="S515" s="45" t="n">
        <v>2109698.8</v>
      </c>
      <c r="T515" s="45" t="n">
        <v>1404344.453624443</v>
      </c>
      <c r="U515" s="15" t="n">
        <v>50.23</v>
      </c>
      <c r="V515" s="15" t="n">
        <v>35.3022294633146</v>
      </c>
      <c r="W515" s="49" t="n">
        <v>66564.60094521733</v>
      </c>
    </row>
    <row r="516">
      <c r="A516" s="44" t="inlineStr">
        <is>
          <t>TL Cinsi Kuponsuz Senetler</t>
        </is>
      </c>
      <c r="B516" s="44" t="n">
        <v>2000</v>
      </c>
      <c r="C516" s="44" t="inlineStr">
        <is>
          <t>TRB100500T11</t>
        </is>
      </c>
      <c r="D516" s="44" t="inlineStr">
        <is>
          <t>nan</t>
        </is>
      </c>
      <c r="E516" s="44" t="inlineStr">
        <is>
          <t>nan</t>
        </is>
      </c>
      <c r="F516" s="44" t="n"/>
      <c r="G516" s="44" t="n"/>
      <c r="H516" s="15" t="n"/>
      <c r="I516" s="45" t="n">
        <v>1209236.495</v>
      </c>
      <c r="J516" s="45" t="n">
        <v>1088661.558</v>
      </c>
      <c r="K516" s="45" t="n">
        <v>679629.155</v>
      </c>
      <c r="L516" s="45" t="n">
        <v>622999.9837381978</v>
      </c>
      <c r="M516" s="45" t="n">
        <v>0</v>
      </c>
      <c r="N516" s="45" t="n">
        <v>0</v>
      </c>
      <c r="O516" s="45" t="n">
        <v>0</v>
      </c>
      <c r="P516" s="45" t="n">
        <v>0</v>
      </c>
      <c r="Q516" s="45" t="n">
        <v>0</v>
      </c>
      <c r="R516" s="45" t="n">
        <v>0</v>
      </c>
      <c r="S516" s="45" t="n">
        <v>679629.155</v>
      </c>
      <c r="T516" s="45" t="n">
        <v>622999.9837381978</v>
      </c>
      <c r="U516" s="15" t="n">
        <v>9.09</v>
      </c>
      <c r="V516" s="15" t="n">
        <v>41.62494917450958</v>
      </c>
      <c r="W516" s="49" t="n">
        <v>91667.43056192136</v>
      </c>
    </row>
    <row r="517">
      <c r="A517" s="44" t="inlineStr">
        <is>
          <t>TL Cinsi Kuponsuz Senetler</t>
        </is>
      </c>
      <c r="B517" s="44" t="n">
        <v>2000</v>
      </c>
      <c r="C517" s="44" t="inlineStr">
        <is>
          <t>TRT210201T28</t>
        </is>
      </c>
      <c r="D517" s="44" t="inlineStr">
        <is>
          <t>nan</t>
        </is>
      </c>
      <c r="E517" s="44" t="inlineStr">
        <is>
          <t>nan</t>
        </is>
      </c>
      <c r="F517" s="44" t="n"/>
      <c r="G517" s="44" t="n"/>
      <c r="H517" s="15" t="n"/>
      <c r="I517" s="45" t="n">
        <v>3142739.42</v>
      </c>
      <c r="J517" s="45" t="n">
        <v>2214145.304</v>
      </c>
      <c r="K517" s="45" t="n">
        <v>2389724.42</v>
      </c>
      <c r="L517" s="45" t="n">
        <v>1686966.282055626</v>
      </c>
      <c r="M517" s="45" t="n">
        <v>84994.29575019999</v>
      </c>
      <c r="N517" s="45" t="n">
        <v>59999.997</v>
      </c>
      <c r="O517" s="45" t="n">
        <v>0</v>
      </c>
      <c r="P517" s="45" t="n">
        <v>0</v>
      </c>
      <c r="Q517" s="45" t="n">
        <v>0</v>
      </c>
      <c r="R517" s="45" t="n">
        <v>0</v>
      </c>
      <c r="S517" s="45" t="n">
        <v>2474718.7157502</v>
      </c>
      <c r="T517" s="45" t="n">
        <v>1746966.279055626</v>
      </c>
      <c r="U517" s="15" t="n">
        <v>41.66</v>
      </c>
      <c r="V517" s="15" t="n">
        <v>39.84453137085571</v>
      </c>
      <c r="W517" s="49" t="n">
        <v>70591.55724975294</v>
      </c>
    </row>
    <row r="518">
      <c r="A518" s="44" t="inlineStr">
        <is>
          <t>TL Cinsi Kuponsuz Senetler</t>
        </is>
      </c>
      <c r="B518" s="44" t="n">
        <v>2000</v>
      </c>
      <c r="C518" s="44" t="inlineStr">
        <is>
          <t>TRT230501T15</t>
        </is>
      </c>
      <c r="D518" s="44" t="inlineStr">
        <is>
          <t>nan</t>
        </is>
      </c>
      <c r="E518" s="44" t="inlineStr">
        <is>
          <t>nan</t>
        </is>
      </c>
      <c r="F518" s="44" t="n"/>
      <c r="G518" s="44" t="n"/>
      <c r="H518" s="15" t="n"/>
      <c r="I518" s="45" t="n">
        <v>2416477</v>
      </c>
      <c r="J518" s="45" t="n">
        <v>1672103.08427</v>
      </c>
      <c r="K518" s="45" t="n">
        <v>2018222</v>
      </c>
      <c r="L518" s="45" t="n">
        <v>1401614.696300575</v>
      </c>
      <c r="M518" s="45" t="n">
        <v>47517.5745</v>
      </c>
      <c r="N518" s="45" t="n">
        <v>33000</v>
      </c>
      <c r="O518" s="45" t="n">
        <v>0</v>
      </c>
      <c r="P518" s="45" t="n">
        <v>0</v>
      </c>
      <c r="Q518" s="45" t="n">
        <v>0</v>
      </c>
      <c r="R518" s="45" t="n">
        <v>0</v>
      </c>
      <c r="S518" s="45" t="n">
        <v>2065739.5745</v>
      </c>
      <c r="T518" s="45" t="n">
        <v>1434614.696300575</v>
      </c>
      <c r="U518" s="15" t="n">
        <v>43.99265</v>
      </c>
      <c r="V518" s="15" t="n">
        <v>35.76929485509093</v>
      </c>
      <c r="W518" s="49" t="n">
        <v>69447.98918555913</v>
      </c>
    </row>
    <row r="519">
      <c r="A519" s="44" t="inlineStr">
        <is>
          <t>TL Cinsi Kuponsuz Senetler</t>
        </is>
      </c>
      <c r="B519" s="44" t="n">
        <v>2000</v>
      </c>
      <c r="C519" s="44" t="inlineStr">
        <is>
          <t>TRT210201T28</t>
        </is>
      </c>
      <c r="D519" s="44" t="inlineStr">
        <is>
          <t>nan</t>
        </is>
      </c>
      <c r="E519" s="44" t="inlineStr">
        <is>
          <t>nan</t>
        </is>
      </c>
      <c r="F519" s="44" t="n"/>
      <c r="G519" s="44" t="n"/>
      <c r="H519" s="15" t="n"/>
      <c r="I519" s="45" t="n">
        <v>1039303.89</v>
      </c>
      <c r="J519" s="45" t="n">
        <v>780445.064</v>
      </c>
      <c r="K519" s="45" t="n">
        <v>144895</v>
      </c>
      <c r="L519" s="45" t="n">
        <v>109092.7513175726</v>
      </c>
      <c r="M519" s="45" t="n">
        <v>59769</v>
      </c>
      <c r="N519" s="45" t="n">
        <v>45000</v>
      </c>
      <c r="O519" s="45" t="n">
        <v>0</v>
      </c>
      <c r="P519" s="45" t="n">
        <v>0</v>
      </c>
      <c r="Q519" s="45" t="n">
        <v>0</v>
      </c>
      <c r="R519" s="45" t="n">
        <v>0</v>
      </c>
      <c r="S519" s="45" t="n">
        <v>204664</v>
      </c>
      <c r="T519" s="45" t="n">
        <v>154092.7513175727</v>
      </c>
      <c r="U519" s="15" t="n">
        <v>32.82</v>
      </c>
      <c r="V519" s="15" t="n">
        <v>35.99891144497332</v>
      </c>
      <c r="W519" s="49" t="n">
        <v>75289.86598403855</v>
      </c>
    </row>
    <row r="520">
      <c r="A520" s="44" t="inlineStr">
        <is>
          <t>TL Cinsi Kuponsuz Senetler</t>
        </is>
      </c>
      <c r="B520" s="44" t="n">
        <v>2000</v>
      </c>
      <c r="C520" s="44" t="inlineStr">
        <is>
          <t>TRT220801T13</t>
        </is>
      </c>
      <c r="D520" s="44" t="inlineStr">
        <is>
          <t>nan</t>
        </is>
      </c>
      <c r="E520" s="44" t="inlineStr">
        <is>
          <t>nan</t>
        </is>
      </c>
      <c r="F520" s="44" t="n"/>
      <c r="G520" s="44" t="n"/>
      <c r="H520" s="15" t="n"/>
      <c r="I520" s="45" t="n">
        <v>1074085</v>
      </c>
      <c r="J520" s="45" t="n">
        <v>716780.4669999999</v>
      </c>
      <c r="K520" s="45" t="n">
        <v>437056</v>
      </c>
      <c r="L520" s="45" t="n">
        <v>293388.2586026426</v>
      </c>
      <c r="M520" s="45" t="n">
        <v>294930.5706</v>
      </c>
      <c r="N520" s="45" t="n">
        <v>198000</v>
      </c>
      <c r="O520" s="45" t="n">
        <v>0</v>
      </c>
      <c r="P520" s="45" t="n">
        <v>0</v>
      </c>
      <c r="Q520" s="45" t="n">
        <v>0</v>
      </c>
      <c r="R520" s="45" t="n">
        <v>0</v>
      </c>
      <c r="S520" s="45" t="n">
        <v>731986.5706</v>
      </c>
      <c r="T520" s="45" t="n">
        <v>491388.2586026426</v>
      </c>
      <c r="U520" s="15" t="n">
        <v>48.96847</v>
      </c>
      <c r="V520" s="15" t="n">
        <v>33.35600951777873</v>
      </c>
      <c r="W520" s="49" t="n">
        <v>67128.2990286468</v>
      </c>
    </row>
    <row r="521">
      <c r="A521" s="44" t="inlineStr">
        <is>
          <t>TL Cinsi Kuponsuz Senetler</t>
        </is>
      </c>
      <c r="B521" s="44" t="n">
        <v>2000</v>
      </c>
      <c r="C521" s="44" t="inlineStr">
        <is>
          <t>TRB190700T10</t>
        </is>
      </c>
      <c r="D521" s="44" t="inlineStr">
        <is>
          <t>nan</t>
        </is>
      </c>
      <c r="E521" s="44" t="inlineStr">
        <is>
          <t>nan</t>
        </is>
      </c>
      <c r="F521" s="44" t="n"/>
      <c r="G521" s="44" t="n"/>
      <c r="H521" s="15" t="n"/>
      <c r="I521" s="45" t="n">
        <v>808945</v>
      </c>
      <c r="J521" s="45" t="n">
        <v>746536.7830000001</v>
      </c>
      <c r="K521" s="45" t="n">
        <v>755018.1</v>
      </c>
      <c r="L521" s="45" t="n">
        <v>697000.0338318378</v>
      </c>
      <c r="M521" s="45" t="n">
        <v>0</v>
      </c>
      <c r="N521" s="45" t="n">
        <v>0</v>
      </c>
      <c r="O521" s="45" t="n">
        <v>0</v>
      </c>
      <c r="P521" s="45" t="n">
        <v>0</v>
      </c>
      <c r="Q521" s="45" t="n">
        <v>0</v>
      </c>
      <c r="R521" s="45" t="n">
        <v>0</v>
      </c>
      <c r="S521" s="45" t="n">
        <v>755018.1</v>
      </c>
      <c r="T521" s="45" t="n">
        <v>697000.0338318378</v>
      </c>
      <c r="U521" s="15" t="n">
        <v>8.324</v>
      </c>
      <c r="V521" s="15" t="n">
        <v>37.68884409668469</v>
      </c>
      <c r="W521" s="49" t="n">
        <v>92315.64565562572</v>
      </c>
    </row>
    <row r="522">
      <c r="A522" s="44" t="inlineStr">
        <is>
          <t>TL Cinsi Kuponsuz Senetler</t>
        </is>
      </c>
      <c r="B522" s="44" t="n">
        <v>2000</v>
      </c>
      <c r="C522" s="44" t="inlineStr">
        <is>
          <t>TRT200601T17</t>
        </is>
      </c>
      <c r="D522" s="44" t="inlineStr">
        <is>
          <t>nan</t>
        </is>
      </c>
      <c r="E522" s="44" t="inlineStr">
        <is>
          <t>nan</t>
        </is>
      </c>
      <c r="F522" s="44" t="n"/>
      <c r="G522" s="44" t="n"/>
      <c r="H522" s="15" t="n"/>
      <c r="I522" s="45" t="n">
        <v>4383050.225</v>
      </c>
      <c r="J522" s="45" t="n">
        <v>3098495.861</v>
      </c>
      <c r="K522" s="45" t="n">
        <v>2778145.225</v>
      </c>
      <c r="L522" s="45" t="n">
        <v>2002733.11941637</v>
      </c>
      <c r="M522" s="45" t="n">
        <v>289920.62</v>
      </c>
      <c r="N522" s="45" t="n">
        <v>209000</v>
      </c>
      <c r="O522" s="45" t="n">
        <v>0</v>
      </c>
      <c r="P522" s="45" t="n">
        <v>0</v>
      </c>
      <c r="Q522" s="45" t="n">
        <v>0</v>
      </c>
      <c r="R522" s="45" t="n">
        <v>0</v>
      </c>
      <c r="S522" s="45" t="n">
        <v>3068065.845</v>
      </c>
      <c r="T522" s="45" t="n">
        <v>2211733.11941637</v>
      </c>
      <c r="U522" s="15" t="n">
        <v>38.718</v>
      </c>
      <c r="V522" s="15" t="n">
        <v>32.17898200542286</v>
      </c>
      <c r="W522" s="49" t="n">
        <v>72088.69793393792</v>
      </c>
    </row>
    <row r="523">
      <c r="A523" s="44" t="inlineStr">
        <is>
          <t>TL Cinsi Kuponsuz Senetler</t>
        </is>
      </c>
      <c r="B523" s="44" t="n">
        <v>2000</v>
      </c>
      <c r="C523" s="44" t="inlineStr">
        <is>
          <t>TRT220801T13</t>
        </is>
      </c>
      <c r="D523" s="44" t="inlineStr">
        <is>
          <t>nan</t>
        </is>
      </c>
      <c r="E523" s="44" t="inlineStr">
        <is>
          <t>nan</t>
        </is>
      </c>
      <c r="F523" s="44" t="n"/>
      <c r="G523" s="44" t="n"/>
      <c r="H523" s="15" t="n"/>
      <c r="I523" s="45" t="n">
        <v>3449000</v>
      </c>
      <c r="J523" s="45" t="n">
        <v>2394944.608</v>
      </c>
      <c r="K523" s="45" t="n">
        <v>818390</v>
      </c>
      <c r="L523" s="45" t="n">
        <v>572002.089173132</v>
      </c>
      <c r="M523" s="45" t="n">
        <v>121455.3</v>
      </c>
      <c r="N523" s="45" t="n">
        <v>84890</v>
      </c>
      <c r="O523" s="45" t="n">
        <v>52651.2</v>
      </c>
      <c r="P523" s="45" t="n">
        <v>36800</v>
      </c>
      <c r="Q523" s="45" t="n">
        <v>0</v>
      </c>
      <c r="R523" s="45" t="n">
        <v>0</v>
      </c>
      <c r="S523" s="45" t="n">
        <v>992496.5</v>
      </c>
      <c r="T523" s="45" t="n">
        <v>693692.089173132</v>
      </c>
      <c r="U523" s="15" t="n">
        <v>43.07</v>
      </c>
      <c r="V523" s="15" t="n">
        <v>32.04570171415084</v>
      </c>
      <c r="W523" s="49" t="n">
        <v>69895.85517578808</v>
      </c>
    </row>
    <row r="524">
      <c r="A524" s="44" t="inlineStr">
        <is>
          <t>TL Cinsi Kuponsuz Senetler</t>
        </is>
      </c>
      <c r="B524" s="44" t="n">
        <v>2000</v>
      </c>
      <c r="C524" s="44" t="inlineStr">
        <is>
          <t>TRB160800T12</t>
        </is>
      </c>
      <c r="D524" s="44" t="inlineStr">
        <is>
          <t>nan</t>
        </is>
      </c>
      <c r="E524" s="44" t="inlineStr">
        <is>
          <t>nan</t>
        </is>
      </c>
      <c r="F524" s="44" t="n"/>
      <c r="G524" s="44" t="n"/>
      <c r="H524" s="15" t="n"/>
      <c r="I524" s="45" t="n">
        <v>1332275.5</v>
      </c>
      <c r="J524" s="45" t="n">
        <v>1223558.944</v>
      </c>
      <c r="K524" s="45" t="n">
        <v>748235.98</v>
      </c>
      <c r="L524" s="45" t="n">
        <v>687999.9528067674</v>
      </c>
      <c r="M524" s="45" t="n">
        <v>0</v>
      </c>
      <c r="N524" s="45" t="n">
        <v>0</v>
      </c>
      <c r="O524" s="45" t="n">
        <v>0</v>
      </c>
      <c r="P524" s="45" t="n">
        <v>0</v>
      </c>
      <c r="Q524" s="45" t="n">
        <v>0</v>
      </c>
      <c r="R524" s="45" t="n">
        <v>0</v>
      </c>
      <c r="S524" s="45" t="n">
        <v>748235.98</v>
      </c>
      <c r="T524" s="45" t="n">
        <v>687999.9528067674</v>
      </c>
      <c r="U524" s="15" t="n">
        <v>8.755000000000001</v>
      </c>
      <c r="V524" s="15" t="n">
        <v>39.89330511388252</v>
      </c>
      <c r="W524" s="49" t="n">
        <v>91949.79541170521</v>
      </c>
    </row>
    <row r="525">
      <c r="A525" s="44" t="inlineStr">
        <is>
          <t>TL Cinsi Kuponsuz Senetler</t>
        </is>
      </c>
      <c r="B525" s="44" t="n">
        <v>2000</v>
      </c>
      <c r="C525" s="44" t="inlineStr">
        <is>
          <t>TRT200601T17</t>
        </is>
      </c>
      <c r="D525" s="44" t="inlineStr">
        <is>
          <t>nan</t>
        </is>
      </c>
      <c r="E525" s="44" t="inlineStr">
        <is>
          <t>nan</t>
        </is>
      </c>
      <c r="F525" s="44" t="n"/>
      <c r="G525" s="44" t="n"/>
      <c r="H525" s="15" t="n"/>
      <c r="I525" s="45" t="n">
        <v>1677260</v>
      </c>
      <c r="J525" s="45" t="n">
        <v>1187095.842</v>
      </c>
      <c r="K525" s="45" t="n">
        <v>987450</v>
      </c>
      <c r="L525" s="45" t="n">
        <v>700577.9179498822</v>
      </c>
      <c r="M525" s="45" t="n">
        <v>179709.1</v>
      </c>
      <c r="N525" s="45" t="n">
        <v>127500</v>
      </c>
      <c r="O525" s="45" t="n">
        <v>25370.7</v>
      </c>
      <c r="P525" s="45" t="n">
        <v>18000</v>
      </c>
      <c r="Q525" s="45" t="n">
        <v>0</v>
      </c>
      <c r="R525" s="45" t="n">
        <v>0</v>
      </c>
      <c r="S525" s="45" t="n">
        <v>1192529.8</v>
      </c>
      <c r="T525" s="45" t="n">
        <v>846077.9179498822</v>
      </c>
      <c r="U525" s="15" t="n">
        <v>40.948</v>
      </c>
      <c r="V525" s="15" t="n">
        <v>37.53456311100081</v>
      </c>
      <c r="W525" s="49" t="n">
        <v>70948.15109118256</v>
      </c>
    </row>
    <row r="526">
      <c r="A526" s="44" t="inlineStr">
        <is>
          <t>TL Cinsi Kuponsuz Senetler</t>
        </is>
      </c>
      <c r="B526" s="44" t="n">
        <v>2000</v>
      </c>
      <c r="C526" s="44" t="inlineStr">
        <is>
          <t>TRT220801T13</t>
        </is>
      </c>
      <c r="D526" s="44" t="inlineStr">
        <is>
          <t>nan</t>
        </is>
      </c>
      <c r="E526" s="44" t="inlineStr">
        <is>
          <t>nan</t>
        </is>
      </c>
      <c r="F526" s="44" t="n"/>
      <c r="G526" s="44" t="n"/>
      <c r="H526" s="15" t="n"/>
      <c r="I526" s="45" t="n">
        <v>3456135.61</v>
      </c>
      <c r="J526" s="45" t="n">
        <v>2292107.87</v>
      </c>
      <c r="K526" s="45" t="n">
        <v>1332753.015</v>
      </c>
      <c r="L526" s="45" t="n">
        <v>887944.5961303732</v>
      </c>
      <c r="M526" s="45" t="n">
        <v>274521.6</v>
      </c>
      <c r="N526" s="45" t="n">
        <v>182900</v>
      </c>
      <c r="O526" s="45" t="n">
        <v>25966.2</v>
      </c>
      <c r="P526" s="45" t="n">
        <v>17300</v>
      </c>
      <c r="Q526" s="45" t="n">
        <v>0</v>
      </c>
      <c r="R526" s="45" t="n">
        <v>0</v>
      </c>
      <c r="S526" s="45" t="n">
        <v>1633240.815</v>
      </c>
      <c r="T526" s="45" t="n">
        <v>1088144.596130373</v>
      </c>
      <c r="U526" s="15" t="n">
        <v>50.092</v>
      </c>
      <c r="V526" s="15" t="n">
        <v>39.81860266654449</v>
      </c>
      <c r="W526" s="49" t="n">
        <v>66625.80284092423</v>
      </c>
    </row>
    <row r="527">
      <c r="A527" s="44" t="inlineStr">
        <is>
          <t>TL Cinsi Kuponsuz Senetler</t>
        </is>
      </c>
      <c r="B527" s="44" t="n">
        <v>2000</v>
      </c>
      <c r="C527" s="44" t="inlineStr">
        <is>
          <t>TRT180701T10</t>
        </is>
      </c>
      <c r="D527" s="44" t="inlineStr">
        <is>
          <t>nan</t>
        </is>
      </c>
      <c r="E527" s="44" t="inlineStr">
        <is>
          <t>nan</t>
        </is>
      </c>
      <c r="F527" s="44" t="n"/>
      <c r="G527" s="44" t="n"/>
      <c r="H527" s="15" t="n"/>
      <c r="I527" s="45" t="n">
        <v>2000977.2</v>
      </c>
      <c r="J527" s="45" t="n">
        <v>1506093.037</v>
      </c>
      <c r="K527" s="45" t="n">
        <v>996727.2</v>
      </c>
      <c r="L527" s="45" t="n">
        <v>751944.1837042626</v>
      </c>
      <c r="M527" s="45" t="n">
        <v>0</v>
      </c>
      <c r="N527" s="45" t="n">
        <v>0</v>
      </c>
      <c r="O527" s="45" t="n">
        <v>40561.5</v>
      </c>
      <c r="P527" s="45" t="n">
        <v>30600</v>
      </c>
      <c r="Q527" s="45" t="n">
        <v>0</v>
      </c>
      <c r="R527" s="45" t="n">
        <v>0</v>
      </c>
      <c r="S527" s="45" t="n">
        <v>1037288.7</v>
      </c>
      <c r="T527" s="45" t="n">
        <v>782544.1837042626</v>
      </c>
      <c r="U527" s="15" t="n">
        <v>32.55</v>
      </c>
      <c r="V527" s="15" t="n">
        <v>32.55</v>
      </c>
      <c r="W527" s="49" t="n">
        <v>75443.22897019993</v>
      </c>
    </row>
    <row r="528">
      <c r="A528" s="44" t="inlineStr">
        <is>
          <t>TL Cinsi Kuponsuz Senetler</t>
        </is>
      </c>
      <c r="B528" s="44" t="n">
        <v>2000</v>
      </c>
      <c r="C528" s="44" t="inlineStr">
        <is>
          <t>TRB251000T17</t>
        </is>
      </c>
      <c r="D528" s="44" t="inlineStr">
        <is>
          <t>nan</t>
        </is>
      </c>
      <c r="E528" s="44" t="inlineStr">
        <is>
          <t>nan</t>
        </is>
      </c>
      <c r="F528" s="44" t="n"/>
      <c r="G528" s="44" t="n"/>
      <c r="H528" s="15" t="n"/>
      <c r="I528" s="45" t="n">
        <v>990549.8</v>
      </c>
      <c r="J528" s="45" t="n">
        <v>921688.701</v>
      </c>
      <c r="K528" s="45" t="n">
        <v>329042.67</v>
      </c>
      <c r="L528" s="45" t="n">
        <v>306999.9653106923</v>
      </c>
      <c r="M528" s="45" t="n">
        <v>0</v>
      </c>
      <c r="N528" s="45" t="n">
        <v>0</v>
      </c>
      <c r="O528" s="45" t="n">
        <v>0</v>
      </c>
      <c r="P528" s="45" t="n">
        <v>0</v>
      </c>
      <c r="Q528" s="45" t="n">
        <v>0</v>
      </c>
      <c r="R528" s="45" t="n">
        <v>0</v>
      </c>
      <c r="S528" s="45" t="n">
        <v>329042.67</v>
      </c>
      <c r="T528" s="45" t="n">
        <v>306999.9653106923</v>
      </c>
      <c r="U528" s="15" t="n">
        <v>7.18</v>
      </c>
      <c r="V528" s="15" t="n">
        <v>31.96386014274584</v>
      </c>
      <c r="W528" s="49" t="n">
        <v>93300.9889904833</v>
      </c>
    </row>
    <row r="529">
      <c r="A529" s="44" t="inlineStr">
        <is>
          <t>TL Cinsi Kuponsuz Senetler</t>
        </is>
      </c>
      <c r="B529" s="44" t="n">
        <v>2000</v>
      </c>
      <c r="C529" s="44" t="inlineStr">
        <is>
          <t>TRB151100T18</t>
        </is>
      </c>
      <c r="D529" s="44" t="inlineStr">
        <is>
          <t>nan</t>
        </is>
      </c>
      <c r="E529" s="44" t="inlineStr">
        <is>
          <t>nan</t>
        </is>
      </c>
      <c r="F529" s="44" t="n"/>
      <c r="G529" s="44" t="n"/>
      <c r="H529" s="15" t="n"/>
      <c r="I529" s="45" t="n">
        <v>1722685.7</v>
      </c>
      <c r="J529" s="45" t="n">
        <v>1607436.5</v>
      </c>
      <c r="K529" s="45" t="n">
        <v>897151.4300000001</v>
      </c>
      <c r="L529" s="45" t="n">
        <v>837999.9726370928</v>
      </c>
      <c r="M529" s="45" t="n">
        <v>0</v>
      </c>
      <c r="N529" s="45" t="n">
        <v>0</v>
      </c>
      <c r="O529" s="45" t="n">
        <v>0</v>
      </c>
      <c r="P529" s="45" t="n">
        <v>0</v>
      </c>
      <c r="Q529" s="45" t="n">
        <v>0</v>
      </c>
      <c r="R529" s="45" t="n">
        <v>0</v>
      </c>
      <c r="S529" s="45" t="n">
        <v>897151.4300000001</v>
      </c>
      <c r="T529" s="45" t="n">
        <v>837999.9726370928</v>
      </c>
      <c r="U529" s="15" t="n">
        <v>7.0588</v>
      </c>
      <c r="V529" s="15" t="n">
        <v>31.36796870600666</v>
      </c>
      <c r="W529" s="49" t="n">
        <v>93406.61393551953</v>
      </c>
    </row>
    <row r="530">
      <c r="A530" s="44" t="inlineStr">
        <is>
          <t>TL Cinsi Kuponsuz Senetler</t>
        </is>
      </c>
      <c r="B530" s="44" t="n">
        <v>2000</v>
      </c>
      <c r="C530" s="44" t="inlineStr">
        <is>
          <t>TRT180701T10</t>
        </is>
      </c>
      <c r="D530" s="44" t="inlineStr">
        <is>
          <t>nan</t>
        </is>
      </c>
      <c r="E530" s="44" t="inlineStr">
        <is>
          <t>nan</t>
        </is>
      </c>
      <c r="F530" s="44" t="n"/>
      <c r="G530" s="44" t="n"/>
      <c r="H530" s="15" t="n"/>
      <c r="I530" s="45" t="n">
        <v>2430031</v>
      </c>
      <c r="J530" s="45" t="n">
        <v>1867717.517</v>
      </c>
      <c r="K530" s="45" t="n">
        <v>920164</v>
      </c>
      <c r="L530" s="45" t="n">
        <v>709110.679384201</v>
      </c>
      <c r="M530" s="45" t="n">
        <v>255503.5</v>
      </c>
      <c r="N530" s="45" t="n">
        <v>196900</v>
      </c>
      <c r="O530" s="45" t="n">
        <v>69176.7</v>
      </c>
      <c r="P530" s="45" t="n">
        <v>53310</v>
      </c>
      <c r="Q530" s="45" t="n">
        <v>0</v>
      </c>
      <c r="R530" s="45" t="n">
        <v>0</v>
      </c>
      <c r="S530" s="45" t="n">
        <v>1244844.2</v>
      </c>
      <c r="T530" s="45" t="n">
        <v>959320.679384201</v>
      </c>
      <c r="U530" s="15" t="n">
        <v>29.7631</v>
      </c>
      <c r="V530" s="15" t="n">
        <v>33.41005866581439</v>
      </c>
      <c r="W530" s="49" t="n">
        <v>77063.51035078539</v>
      </c>
    </row>
    <row r="531">
      <c r="A531" s="44" t="inlineStr">
        <is>
          <t>TL Cinsi Kuponsuz Senetler</t>
        </is>
      </c>
      <c r="B531" s="44" t="n">
        <v>2000</v>
      </c>
      <c r="C531" s="44" t="inlineStr">
        <is>
          <t>TRT200202T10</t>
        </is>
      </c>
      <c r="D531" s="44" t="inlineStr">
        <is>
          <t>nan</t>
        </is>
      </c>
      <c r="E531" s="44" t="inlineStr">
        <is>
          <t>nan</t>
        </is>
      </c>
      <c r="F531" s="44" t="n"/>
      <c r="G531" s="44" t="n"/>
      <c r="H531" s="15" t="n"/>
      <c r="I531" s="45" t="n">
        <v>2774460</v>
      </c>
      <c r="J531" s="45" t="n">
        <v>1767763.214</v>
      </c>
      <c r="K531" s="45" t="n">
        <v>1296655</v>
      </c>
      <c r="L531" s="45" t="n">
        <v>830520.7995130585</v>
      </c>
      <c r="M531" s="45" t="n">
        <v>178400.7</v>
      </c>
      <c r="N531" s="45" t="n">
        <v>114267.5</v>
      </c>
      <c r="O531" s="45" t="n">
        <v>171738.1</v>
      </c>
      <c r="P531" s="45" t="n">
        <v>110000</v>
      </c>
      <c r="Q531" s="45" t="n">
        <v>0</v>
      </c>
      <c r="R531" s="45" t="n">
        <v>0</v>
      </c>
      <c r="S531" s="45" t="n">
        <v>1646793.8</v>
      </c>
      <c r="T531" s="45" t="n">
        <v>1054788.299513059</v>
      </c>
      <c r="U531" s="15" t="n">
        <v>56.12553</v>
      </c>
      <c r="V531" s="15" t="n">
        <v>34.58064863315904</v>
      </c>
      <c r="W531" s="49" t="n">
        <v>64051.02355777431</v>
      </c>
    </row>
    <row r="532">
      <c r="A532" s="44" t="inlineStr">
        <is>
          <t>TL Cinsi Kuponsuz Senetler</t>
        </is>
      </c>
      <c r="B532" s="44" t="n">
        <v>2000</v>
      </c>
      <c r="C532" s="44" t="inlineStr">
        <is>
          <t>TRT200202T10</t>
        </is>
      </c>
      <c r="D532" s="44" t="inlineStr">
        <is>
          <t>nan</t>
        </is>
      </c>
      <c r="E532" s="44" t="inlineStr">
        <is>
          <t>nan</t>
        </is>
      </c>
      <c r="F532" s="44" t="n"/>
      <c r="G532" s="44" t="n"/>
      <c r="H532" s="15" t="n"/>
      <c r="I532" s="45" t="n">
        <v>736029</v>
      </c>
      <c r="J532" s="45" t="n">
        <v>479360.07</v>
      </c>
      <c r="K532" s="45" t="n">
        <v>171300</v>
      </c>
      <c r="L532" s="45" t="n">
        <v>112197.2414461619</v>
      </c>
      <c r="M532" s="45" t="n">
        <v>18321.4</v>
      </c>
      <c r="N532" s="45" t="n">
        <v>12000</v>
      </c>
      <c r="O532" s="45" t="n">
        <v>45803.7</v>
      </c>
      <c r="P532" s="45" t="n">
        <v>30000</v>
      </c>
      <c r="Q532" s="45" t="n">
        <v>0</v>
      </c>
      <c r="R532" s="45" t="n">
        <v>0</v>
      </c>
      <c r="S532" s="45" t="n">
        <v>235425.1</v>
      </c>
      <c r="T532" s="45" t="n">
        <v>154197.2414461619</v>
      </c>
      <c r="U532" s="15" t="n">
        <v>52.68</v>
      </c>
      <c r="V532" s="15" t="n">
        <v>33.58130516507592</v>
      </c>
      <c r="W532" s="49" t="n">
        <v>65496.46319098768</v>
      </c>
    </row>
    <row r="533">
      <c r="A533" s="44" t="inlineStr">
        <is>
          <t>TL Cinsi Kuponsuz Senetler</t>
        </is>
      </c>
      <c r="B533" s="44" t="n">
        <v>2000</v>
      </c>
      <c r="C533" s="44" t="inlineStr">
        <is>
          <t>TRT200202T10</t>
        </is>
      </c>
      <c r="D533" s="44" t="inlineStr">
        <is>
          <t>nan</t>
        </is>
      </c>
      <c r="E533" s="44" t="inlineStr">
        <is>
          <t>nan</t>
        </is>
      </c>
      <c r="F533" s="44" t="n"/>
      <c r="G533" s="44" t="n"/>
      <c r="H533" s="15" t="n"/>
      <c r="I533" s="45" t="n">
        <v>846880</v>
      </c>
      <c r="J533" s="45" t="n">
        <v>549805.356</v>
      </c>
      <c r="K533" s="45" t="n">
        <v>302400</v>
      </c>
      <c r="L533" s="45" t="n">
        <v>197954.6846538056</v>
      </c>
      <c r="M533" s="45" t="n">
        <v>302682</v>
      </c>
      <c r="N533" s="45" t="n">
        <v>198200</v>
      </c>
      <c r="O533" s="45" t="n">
        <v>76379.39999999999</v>
      </c>
      <c r="P533" s="45" t="n">
        <v>50000</v>
      </c>
      <c r="Q533" s="45" t="n">
        <v>0</v>
      </c>
      <c r="R533" s="45" t="n">
        <v>0</v>
      </c>
      <c r="S533" s="45" t="n">
        <v>681461.4</v>
      </c>
      <c r="T533" s="45" t="n">
        <v>446154.6846538056</v>
      </c>
      <c r="U533" s="15" t="n">
        <v>52.761</v>
      </c>
      <c r="V533" s="15" t="n">
        <v>35.79941884420818</v>
      </c>
      <c r="W533" s="49" t="n">
        <v>65461.73434318968</v>
      </c>
    </row>
    <row r="534">
      <c r="A534" s="44" t="inlineStr">
        <is>
          <t>TL Cinsi Kuponsuz Senetler</t>
        </is>
      </c>
      <c r="B534" s="44" t="n">
        <v>2000</v>
      </c>
      <c r="C534" s="44" t="inlineStr">
        <is>
          <t>TRB240101T18</t>
        </is>
      </c>
      <c r="D534" s="44" t="inlineStr">
        <is>
          <t>nan</t>
        </is>
      </c>
      <c r="E534" s="44" t="inlineStr">
        <is>
          <t>nan</t>
        </is>
      </c>
      <c r="F534" s="44" t="n"/>
      <c r="G534" s="44" t="n"/>
      <c r="H534" s="15" t="n"/>
      <c r="I534" s="45" t="n">
        <v>571170</v>
      </c>
      <c r="J534" s="45" t="n">
        <v>522856.266</v>
      </c>
      <c r="K534" s="45" t="n">
        <v>248385.99</v>
      </c>
      <c r="L534" s="45" t="n">
        <v>228000.0402809587</v>
      </c>
      <c r="M534" s="45" t="n">
        <v>0</v>
      </c>
      <c r="N534" s="45" t="n">
        <v>0</v>
      </c>
      <c r="O534" s="45" t="n">
        <v>0</v>
      </c>
      <c r="P534" s="45" t="n">
        <v>0</v>
      </c>
      <c r="Q534" s="45" t="n">
        <v>0</v>
      </c>
      <c r="R534" s="45" t="n">
        <v>0</v>
      </c>
      <c r="S534" s="45" t="n">
        <v>248385.99</v>
      </c>
      <c r="T534" s="45" t="n">
        <v>228000.0402809587</v>
      </c>
      <c r="U534" s="15" t="n">
        <v>8.9413</v>
      </c>
      <c r="V534" s="15" t="n">
        <v>40.85433373208296</v>
      </c>
      <c r="W534" s="49" t="n">
        <v>91792.55250304523</v>
      </c>
    </row>
    <row r="535">
      <c r="A535" s="44" t="inlineStr">
        <is>
          <t>TL Cinsi Kuponsuz Senetler</t>
        </is>
      </c>
      <c r="B535" s="44" t="n">
        <v>2000</v>
      </c>
      <c r="C535" s="44" t="inlineStr">
        <is>
          <t>TRT121201T19</t>
        </is>
      </c>
      <c r="D535" s="44" t="inlineStr">
        <is>
          <t>nan</t>
        </is>
      </c>
      <c r="E535" s="44" t="inlineStr">
        <is>
          <t>nan</t>
        </is>
      </c>
      <c r="F535" s="44" t="n"/>
      <c r="G535" s="44" t="n"/>
      <c r="H535" s="15" t="n"/>
      <c r="I535" s="45" t="n">
        <v>1123240</v>
      </c>
      <c r="J535" s="45" t="n">
        <v>780838.25</v>
      </c>
      <c r="K535" s="45" t="n">
        <v>574340</v>
      </c>
      <c r="L535" s="45" t="n">
        <v>400560.625662038</v>
      </c>
      <c r="M535" s="45" t="n">
        <v>32978.2</v>
      </c>
      <c r="N535" s="45" t="n">
        <v>23000</v>
      </c>
      <c r="O535" s="45" t="n">
        <v>42298.2</v>
      </c>
      <c r="P535" s="45" t="n">
        <v>29500</v>
      </c>
      <c r="Q535" s="45" t="n">
        <v>0</v>
      </c>
      <c r="R535" s="45" t="n">
        <v>0</v>
      </c>
      <c r="S535" s="45" t="n">
        <v>649616.3999999999</v>
      </c>
      <c r="T535" s="45" t="n">
        <v>453060.625662038</v>
      </c>
      <c r="U535" s="15" t="n">
        <v>43.383</v>
      </c>
      <c r="V535" s="15" t="n">
        <v>37.38209775766028</v>
      </c>
      <c r="W535" s="49" t="n">
        <v>69743.27500470767</v>
      </c>
    </row>
    <row r="536">
      <c r="A536" s="44" t="inlineStr">
        <is>
          <t>TL Cinsi Kuponsuz Senetler</t>
        </is>
      </c>
      <c r="B536" s="44" t="n">
        <v>2000</v>
      </c>
      <c r="C536" s="44" t="inlineStr">
        <is>
          <t>TRB140201T19</t>
        </is>
      </c>
      <c r="D536" s="44" t="inlineStr">
        <is>
          <t>nan</t>
        </is>
      </c>
      <c r="E536" s="44" t="inlineStr">
        <is>
          <t>nan</t>
        </is>
      </c>
      <c r="F536" s="44" t="n"/>
      <c r="G536" s="44" t="n"/>
      <c r="H536" s="15" t="n"/>
      <c r="I536" s="45" t="n">
        <v>502975</v>
      </c>
      <c r="J536" s="45" t="n">
        <v>461689.623</v>
      </c>
      <c r="K536" s="45" t="n">
        <v>258941.155</v>
      </c>
      <c r="L536" s="45" t="n">
        <v>237999.9851102941</v>
      </c>
      <c r="M536" s="45" t="n">
        <v>0</v>
      </c>
      <c r="N536" s="45" t="n">
        <v>0</v>
      </c>
      <c r="O536" s="45" t="n">
        <v>0</v>
      </c>
      <c r="P536" s="45" t="n">
        <v>0</v>
      </c>
      <c r="Q536" s="45" t="n"/>
      <c r="R536" s="45" t="n"/>
      <c r="S536" s="45" t="n">
        <v>258941.155</v>
      </c>
      <c r="T536" s="45" t="n">
        <v>237999.9851102941</v>
      </c>
      <c r="U536" s="15" t="n">
        <v>8.800000000000001</v>
      </c>
      <c r="V536" s="15" t="n">
        <v>40.12498575360004</v>
      </c>
      <c r="W536" s="49" t="n">
        <v>91911.76470588235</v>
      </c>
    </row>
    <row r="537">
      <c r="A537" s="44" t="inlineStr">
        <is>
          <t>TL Cinsi Kuponsuz Senetler</t>
        </is>
      </c>
      <c r="B537" s="44" t="n">
        <v>2000</v>
      </c>
      <c r="C537" s="44" t="inlineStr">
        <is>
          <t>TRT121201T19</t>
        </is>
      </c>
      <c r="D537" s="44" t="inlineStr">
        <is>
          <t>nan</t>
        </is>
      </c>
      <c r="E537" s="44" t="inlineStr">
        <is>
          <t>nan</t>
        </is>
      </c>
      <c r="F537" s="44" t="n"/>
      <c r="G537" s="44" t="n"/>
      <c r="H537" s="15" t="n"/>
      <c r="I537" s="45" t="n">
        <v>1443590</v>
      </c>
      <c r="J537" s="45" t="n">
        <v>1015973</v>
      </c>
      <c r="K537" s="45" t="n">
        <v>941140</v>
      </c>
      <c r="L537" s="45" t="n">
        <v>663839.9977216618</v>
      </c>
      <c r="M537" s="45" t="n">
        <v>124757.6</v>
      </c>
      <c r="N537" s="45" t="n">
        <v>88000</v>
      </c>
      <c r="O537" s="45" t="n">
        <v>0</v>
      </c>
      <c r="P537" s="45" t="n">
        <v>0</v>
      </c>
      <c r="Q537" s="45" t="n"/>
      <c r="R537" s="45" t="n"/>
      <c r="S537" s="45" t="n">
        <v>1065897.6</v>
      </c>
      <c r="T537" s="45" t="n">
        <v>751839.9977216618</v>
      </c>
      <c r="U537" s="15" t="n">
        <v>41.77</v>
      </c>
      <c r="V537" s="15" t="n">
        <v>38.27920899052783</v>
      </c>
      <c r="W537" s="49" t="n">
        <v>70536.78493334274</v>
      </c>
    </row>
    <row r="538">
      <c r="A538" s="44" t="inlineStr">
        <is>
          <t>TL Cinsi Kuponsuz Senetler</t>
        </is>
      </c>
      <c r="B538" s="44" t="n">
        <v>2000</v>
      </c>
      <c r="C538" s="44" t="inlineStr">
        <is>
          <t>TRT121201T19</t>
        </is>
      </c>
      <c r="D538" s="44" t="inlineStr">
        <is>
          <t>nan</t>
        </is>
      </c>
      <c r="E538" s="44" t="inlineStr">
        <is>
          <t>nan</t>
        </is>
      </c>
      <c r="F538" s="44" t="n"/>
      <c r="G538" s="44" t="n"/>
      <c r="H538" s="15" t="n"/>
      <c r="I538" s="45" t="n">
        <v>86240</v>
      </c>
      <c r="J538" s="45" t="n">
        <v>47387.531</v>
      </c>
      <c r="K538" s="45" t="n">
        <v>0</v>
      </c>
      <c r="L538" s="45" t="n">
        <v>0</v>
      </c>
      <c r="M538" s="45" t="n">
        <v>0</v>
      </c>
      <c r="N538" s="45" t="n">
        <v>0</v>
      </c>
      <c r="O538" s="45" t="n">
        <v>0</v>
      </c>
      <c r="P538" s="45" t="n">
        <v>0</v>
      </c>
      <c r="Q538" s="45" t="n"/>
      <c r="R538" s="45" t="n"/>
      <c r="S538" s="45" t="n">
        <v>0</v>
      </c>
      <c r="T538" s="45" t="n">
        <v>0</v>
      </c>
      <c r="U538" s="15" t="n">
        <v>0</v>
      </c>
      <c r="V538" s="15" t="n">
        <v>0</v>
      </c>
      <c r="W538" s="49" t="n">
        <v>100000</v>
      </c>
    </row>
    <row r="539">
      <c r="A539" s="44" t="inlineStr">
        <is>
          <t>TL Cinsi Kuponsuz Senetler</t>
        </is>
      </c>
      <c r="B539" s="44" t="n">
        <v>1999</v>
      </c>
      <c r="C539" s="44" t="inlineStr">
        <is>
          <t>TRT090200T17</t>
        </is>
      </c>
      <c r="D539" s="44" t="inlineStr">
        <is>
          <t>nan</t>
        </is>
      </c>
      <c r="E539" s="44" t="inlineStr">
        <is>
          <t>nan</t>
        </is>
      </c>
      <c r="F539" s="44" t="n"/>
      <c r="G539" s="44" t="n"/>
      <c r="H539" s="15" t="n"/>
      <c r="I539" s="45" t="n">
        <v>1580415.9</v>
      </c>
      <c r="J539" s="45" t="n">
        <v>679784.4</v>
      </c>
      <c r="K539" s="45" t="n">
        <v>1230698.5</v>
      </c>
      <c r="L539" s="45" t="n">
        <v>531058.5545266246</v>
      </c>
      <c r="M539" s="45" t="n"/>
      <c r="N539" s="45" t="n"/>
      <c r="O539" s="45" t="n"/>
      <c r="P539" s="45" t="n"/>
      <c r="Q539" s="45" t="n">
        <v>0</v>
      </c>
      <c r="R539" s="45" t="n">
        <v>0</v>
      </c>
      <c r="S539" s="45" t="n">
        <v>1787811.895</v>
      </c>
      <c r="T539" s="45" t="n">
        <v>771458.5574177958</v>
      </c>
      <c r="U539" s="15" t="n">
        <v>131.74</v>
      </c>
      <c r="V539" s="15" t="n">
        <v>118.2375625411322</v>
      </c>
      <c r="W539" s="49" t="n">
        <v>43151.80806075774</v>
      </c>
    </row>
    <row r="540">
      <c r="A540" s="44" t="inlineStr">
        <is>
          <t>TL Cinsi Kuponsuz Senetler</t>
        </is>
      </c>
      <c r="B540" s="44" t="n">
        <v>1999</v>
      </c>
      <c r="C540" s="44" t="inlineStr">
        <is>
          <t>TRT150300T18</t>
        </is>
      </c>
      <c r="D540" s="44" t="inlineStr">
        <is>
          <t>nan</t>
        </is>
      </c>
      <c r="E540" s="44" t="inlineStr">
        <is>
          <t>nan</t>
        </is>
      </c>
      <c r="F540" s="44" t="n"/>
      <c r="G540" s="44" t="n"/>
      <c r="H540" s="15" t="n"/>
      <c r="I540" s="45" t="n">
        <v>379640.3</v>
      </c>
      <c r="J540" s="45" t="n">
        <v>138059.6</v>
      </c>
      <c r="K540" s="45" t="n">
        <v>293272</v>
      </c>
      <c r="L540" s="45" t="n">
        <v>107325.877571701</v>
      </c>
      <c r="M540" s="45" t="n"/>
      <c r="N540" s="45" t="n"/>
      <c r="O540" s="45" t="n"/>
      <c r="P540" s="45" t="n"/>
      <c r="Q540" s="45" t="n">
        <v>0</v>
      </c>
      <c r="R540" s="45" t="n">
        <v>0</v>
      </c>
      <c r="S540" s="45" t="n">
        <v>299343.68166</v>
      </c>
      <c r="T540" s="45" t="n">
        <v>109547.877571701</v>
      </c>
      <c r="U540" s="15" t="n">
        <v>173.25</v>
      </c>
      <c r="V540" s="15" t="n">
        <v>139.98</v>
      </c>
      <c r="W540" s="49" t="n">
        <v>36596.52333028362</v>
      </c>
    </row>
    <row r="541">
      <c r="A541" s="44" t="inlineStr">
        <is>
          <t>TL Cinsi Kuponsuz Senetler</t>
        </is>
      </c>
      <c r="B541" s="44" t="n">
        <v>1999</v>
      </c>
      <c r="C541" s="44" t="inlineStr">
        <is>
          <t>TRB230699T17</t>
        </is>
      </c>
      <c r="D541" s="44" t="inlineStr">
        <is>
          <t>nan</t>
        </is>
      </c>
      <c r="E541" s="44" t="inlineStr">
        <is>
          <t>nan</t>
        </is>
      </c>
      <c r="F541" s="44" t="n"/>
      <c r="G541" s="44" t="n"/>
      <c r="H541" s="15" t="n"/>
      <c r="I541" s="45" t="n">
        <v>1349684.41</v>
      </c>
      <c r="J541" s="45" t="n">
        <v>941232.4</v>
      </c>
      <c r="K541" s="45" t="n">
        <v>904907.17</v>
      </c>
      <c r="L541" s="45" t="n">
        <v>632132.7337757597</v>
      </c>
      <c r="M541" s="45" t="n"/>
      <c r="N541" s="45" t="n"/>
      <c r="O541" s="45" t="n"/>
      <c r="P541" s="45" t="n"/>
      <c r="Q541" s="45" t="n">
        <v>0</v>
      </c>
      <c r="R541" s="45" t="n">
        <v>0</v>
      </c>
      <c r="S541" s="45" t="n">
        <v>920434.6505</v>
      </c>
      <c r="T541" s="45" t="n">
        <v>642979.7337757597</v>
      </c>
      <c r="U541" s="15" t="n">
        <v>43.15</v>
      </c>
      <c r="V541" s="15" t="n">
        <v>143.0911023196635</v>
      </c>
      <c r="W541" s="49" t="n">
        <v>69856.79357317499</v>
      </c>
    </row>
    <row r="542">
      <c r="A542" s="44" t="inlineStr">
        <is>
          <t>TL Cinsi Kuponsuz Senetler</t>
        </is>
      </c>
      <c r="B542" s="44" t="n">
        <v>1999</v>
      </c>
      <c r="C542" s="44" t="inlineStr">
        <is>
          <t>TRT090200T17</t>
        </is>
      </c>
      <c r="D542" s="44" t="inlineStr">
        <is>
          <t>nan</t>
        </is>
      </c>
      <c r="E542" s="44" t="inlineStr">
        <is>
          <t>nan</t>
        </is>
      </c>
      <c r="F542" s="44" t="n"/>
      <c r="G542" s="44" t="n"/>
      <c r="H542" s="15" t="n"/>
      <c r="I542" s="45" t="n">
        <v>1868534.4</v>
      </c>
      <c r="J542" s="45" t="n">
        <v>796953.1</v>
      </c>
      <c r="K542" s="45" t="n">
        <v>1458649</v>
      </c>
      <c r="L542" s="45" t="n">
        <v>623245.2354298411</v>
      </c>
      <c r="M542" s="45" t="n"/>
      <c r="N542" s="45" t="n"/>
      <c r="O542" s="45" t="n"/>
      <c r="P542" s="45" t="n"/>
      <c r="Q542" s="45" t="n">
        <v>0</v>
      </c>
      <c r="R542" s="45" t="n">
        <v>0</v>
      </c>
      <c r="S542" s="45" t="n">
        <v>1478504.9536</v>
      </c>
      <c r="T542" s="45" t="n">
        <v>631729.2354298411</v>
      </c>
      <c r="U542" s="15" t="n">
        <v>134.04</v>
      </c>
      <c r="V542" s="15" t="n">
        <v>130.32</v>
      </c>
      <c r="W542" s="49" t="n">
        <v>42727.73884806017</v>
      </c>
    </row>
    <row r="543">
      <c r="A543" s="44" t="inlineStr">
        <is>
          <t>TL Cinsi Kuponsuz Senetler</t>
        </is>
      </c>
      <c r="B543" s="44" t="n">
        <v>1999</v>
      </c>
      <c r="C543" s="44" t="inlineStr">
        <is>
          <t>TRT150300T18</t>
        </is>
      </c>
      <c r="D543" s="44" t="inlineStr">
        <is>
          <t>nan</t>
        </is>
      </c>
      <c r="E543" s="44" t="inlineStr">
        <is>
          <t>nan</t>
        </is>
      </c>
      <c r="F543" s="44" t="n"/>
      <c r="G543" s="44" t="n"/>
      <c r="H543" s="15" t="n"/>
      <c r="I543" s="45" t="n">
        <v>2614972.8</v>
      </c>
      <c r="J543" s="45" t="n">
        <v>1096030.6</v>
      </c>
      <c r="K543" s="45" t="n">
        <v>721588.8149999999</v>
      </c>
      <c r="L543" s="45" t="n">
        <v>304254.7163089767</v>
      </c>
      <c r="M543" s="45" t="n"/>
      <c r="N543" s="45" t="n"/>
      <c r="O543" s="45" t="n"/>
      <c r="P543" s="45" t="n"/>
      <c r="Q543" s="45" t="n">
        <v>0</v>
      </c>
      <c r="R543" s="45" t="n">
        <v>0</v>
      </c>
      <c r="S543" s="45" t="n">
        <v>781294.7625</v>
      </c>
      <c r="T543" s="45" t="n">
        <v>329429.7163089767</v>
      </c>
      <c r="U543" s="15" t="n">
        <v>137.17</v>
      </c>
      <c r="V543" s="15" t="n">
        <v>122.98</v>
      </c>
      <c r="W543" s="49" t="n">
        <v>42163.84871611081</v>
      </c>
    </row>
    <row r="544">
      <c r="A544" s="44" t="inlineStr">
        <is>
          <t>TL Cinsi Kuponsuz Senetler</t>
        </is>
      </c>
      <c r="B544" s="44" t="n">
        <v>1999</v>
      </c>
      <c r="C544" s="44" t="inlineStr">
        <is>
          <t>TRB180899T12</t>
        </is>
      </c>
      <c r="D544" s="44" t="inlineStr">
        <is>
          <t>nan</t>
        </is>
      </c>
      <c r="E544" s="44" t="inlineStr">
        <is>
          <t>nan</t>
        </is>
      </c>
      <c r="F544" s="44" t="n"/>
      <c r="G544" s="44" t="n"/>
      <c r="H544" s="15" t="n"/>
      <c r="I544" s="45" t="n">
        <v>1315272.7</v>
      </c>
      <c r="J544" s="45" t="n">
        <v>884911.8</v>
      </c>
      <c r="K544" s="45" t="n">
        <v>729905.02</v>
      </c>
      <c r="L544" s="45" t="n">
        <v>492205.3354177203</v>
      </c>
      <c r="M544" s="45" t="n"/>
      <c r="N544" s="45" t="n"/>
      <c r="O544" s="45" t="n"/>
      <c r="P544" s="45" t="n"/>
      <c r="Q544" s="45" t="n">
        <v>0</v>
      </c>
      <c r="R544" s="45" t="n">
        <v>0</v>
      </c>
      <c r="S544" s="45" t="n">
        <v>745475.9428342701</v>
      </c>
      <c r="T544" s="45" t="n">
        <v>502705.3744177203</v>
      </c>
      <c r="U544" s="15" t="n">
        <v>48.29</v>
      </c>
      <c r="V544" s="15" t="n">
        <v>119.91</v>
      </c>
      <c r="W544" s="49" t="n">
        <v>67435.43057522422</v>
      </c>
    </row>
    <row r="545">
      <c r="A545" s="44" t="inlineStr">
        <is>
          <t>TL Cinsi Kuponsuz Senetler</t>
        </is>
      </c>
      <c r="B545" s="44" t="n">
        <v>1999</v>
      </c>
      <c r="C545" s="44" t="inlineStr">
        <is>
          <t>TRT190400T13</t>
        </is>
      </c>
      <c r="D545" s="44" t="inlineStr">
        <is>
          <t>nan</t>
        </is>
      </c>
      <c r="E545" s="44" t="inlineStr">
        <is>
          <t>nan</t>
        </is>
      </c>
      <c r="F545" s="44" t="n"/>
      <c r="G545" s="44" t="n"/>
      <c r="H545" s="15" t="n"/>
      <c r="I545" s="45" t="n">
        <v>1515658.3</v>
      </c>
      <c r="J545" s="45" t="n">
        <v>597169.7</v>
      </c>
      <c r="K545" s="45" t="n">
        <v>688858.495</v>
      </c>
      <c r="L545" s="45" t="n">
        <v>272881.4233239784</v>
      </c>
      <c r="M545" s="45" t="n"/>
      <c r="N545" s="45" t="n"/>
      <c r="O545" s="45" t="n"/>
      <c r="P545" s="45" t="n"/>
      <c r="Q545" s="45" t="n">
        <v>0</v>
      </c>
      <c r="R545" s="45" t="n">
        <v>0</v>
      </c>
      <c r="S545" s="45" t="n">
        <v>828943.5449999999</v>
      </c>
      <c r="T545" s="45" t="n">
        <v>328667.4213239785</v>
      </c>
      <c r="U545" s="15" t="n">
        <v>152.44</v>
      </c>
      <c r="V545" s="15" t="n">
        <v>123.12</v>
      </c>
      <c r="W545" s="49" t="n">
        <v>39613.37347488512</v>
      </c>
    </row>
    <row r="546">
      <c r="A546" s="44" t="inlineStr">
        <is>
          <t>TL Cinsi Kuponsuz Senetler</t>
        </is>
      </c>
      <c r="B546" s="44" t="n">
        <v>1999</v>
      </c>
      <c r="C546" s="44" t="inlineStr">
        <is>
          <t>TRT150300T18</t>
        </is>
      </c>
      <c r="D546" s="44" t="inlineStr">
        <is>
          <t>nan</t>
        </is>
      </c>
      <c r="E546" s="44" t="inlineStr">
        <is>
          <t>nan</t>
        </is>
      </c>
      <c r="F546" s="44" t="n"/>
      <c r="G546" s="44" t="n"/>
      <c r="H546" s="15" t="n"/>
      <c r="I546" s="45" t="n">
        <v>2583416.1</v>
      </c>
      <c r="J546" s="45" t="n">
        <v>1268857.1</v>
      </c>
      <c r="K546" s="45" t="n">
        <v>1227181.1</v>
      </c>
      <c r="L546" s="45" t="n">
        <v>605487.1021276771</v>
      </c>
      <c r="M546" s="45" t="n"/>
      <c r="N546" s="45" t="n"/>
      <c r="O546" s="45" t="n"/>
      <c r="P546" s="45" t="n"/>
      <c r="Q546" s="45" t="n">
        <v>0</v>
      </c>
      <c r="R546" s="45" t="n">
        <v>0</v>
      </c>
      <c r="S546" s="45" t="n">
        <v>1405536.570199972</v>
      </c>
      <c r="T546" s="45" t="n">
        <v>693487.1021276771</v>
      </c>
      <c r="U546" s="15" t="n">
        <v>102.68</v>
      </c>
      <c r="V546" s="15" t="n">
        <v>99.98999999999999</v>
      </c>
      <c r="W546" s="49" t="n">
        <v>49338.85928557331</v>
      </c>
    </row>
    <row r="547">
      <c r="A547" s="44" t="inlineStr">
        <is>
          <t>TL Cinsi Kuponsuz Senetler</t>
        </is>
      </c>
      <c r="B547" s="44" t="n">
        <v>1999</v>
      </c>
      <c r="C547" s="44" t="inlineStr">
        <is>
          <t>TRT190400T13</t>
        </is>
      </c>
      <c r="D547" s="44" t="inlineStr">
        <is>
          <t>nan</t>
        </is>
      </c>
      <c r="E547" s="44" t="inlineStr">
        <is>
          <t>nan</t>
        </is>
      </c>
      <c r="F547" s="44" t="n"/>
      <c r="G547" s="44" t="n"/>
      <c r="H547" s="15" t="n"/>
      <c r="I547" s="45" t="n">
        <v>2257881.7</v>
      </c>
      <c r="J547" s="45" t="n">
        <v>1007538</v>
      </c>
      <c r="K547" s="45" t="n">
        <v>833506</v>
      </c>
      <c r="L547" s="45" t="n">
        <v>373530.7004481492</v>
      </c>
      <c r="M547" s="45" t="n"/>
      <c r="N547" s="45" t="n"/>
      <c r="O547" s="45" t="n"/>
      <c r="P547" s="45" t="n"/>
      <c r="Q547" s="45" t="n">
        <v>0</v>
      </c>
      <c r="R547" s="45" t="n">
        <v>0</v>
      </c>
      <c r="S547" s="45" t="n">
        <v>837649.8098</v>
      </c>
      <c r="T547" s="45" t="n">
        <v>375387.7004481492</v>
      </c>
      <c r="U547" s="15" t="n">
        <v>123.14</v>
      </c>
      <c r="V547" s="15" t="n">
        <v>107.97</v>
      </c>
      <c r="W547" s="49" t="n">
        <v>44814.9144035135</v>
      </c>
    </row>
    <row r="548">
      <c r="A548" s="44" t="inlineStr">
        <is>
          <t>TL Cinsi Kuponsuz Senetler</t>
        </is>
      </c>
      <c r="B548" s="44" t="n">
        <v>1999</v>
      </c>
      <c r="C548" s="44" t="inlineStr">
        <is>
          <t>TRB150999T14</t>
        </is>
      </c>
      <c r="D548" s="44" t="inlineStr">
        <is>
          <t>nan</t>
        </is>
      </c>
      <c r="E548" s="44" t="inlineStr">
        <is>
          <t>nan</t>
        </is>
      </c>
      <c r="F548" s="44" t="n"/>
      <c r="G548" s="44" t="n"/>
      <c r="H548" s="15" t="n"/>
      <c r="I548" s="45" t="n">
        <v>618045.8</v>
      </c>
      <c r="J548" s="45" t="n">
        <v>424934.6</v>
      </c>
      <c r="K548" s="45" t="n">
        <v>380958.66</v>
      </c>
      <c r="L548" s="45" t="n">
        <v>262631.381336863</v>
      </c>
      <c r="M548" s="45" t="n"/>
      <c r="N548" s="45" t="n"/>
      <c r="O548" s="45" t="n"/>
      <c r="P548" s="45" t="n"/>
      <c r="Q548" s="45" t="n">
        <v>0</v>
      </c>
      <c r="R548" s="45" t="n">
        <v>0</v>
      </c>
      <c r="S548" s="45" t="n">
        <v>380958.66</v>
      </c>
      <c r="T548" s="45" t="n">
        <v>262631.381336863</v>
      </c>
      <c r="U548" s="15" t="n">
        <v>45.06</v>
      </c>
      <c r="V548" s="15" t="n">
        <v>110.41</v>
      </c>
      <c r="W548" s="49" t="n">
        <v>68936.99158968702</v>
      </c>
    </row>
    <row r="549">
      <c r="A549" s="44" t="inlineStr">
        <is>
          <t>TL Cinsi Kuponsuz Senetler</t>
        </is>
      </c>
      <c r="B549" s="44" t="n">
        <v>1999</v>
      </c>
      <c r="C549" s="44" t="inlineStr">
        <is>
          <t>TRT170500T14</t>
        </is>
      </c>
      <c r="D549" s="44" t="inlineStr">
        <is>
          <t>nan</t>
        </is>
      </c>
      <c r="E549" s="44" t="inlineStr">
        <is>
          <t>nan</t>
        </is>
      </c>
      <c r="F549" s="44" t="n"/>
      <c r="G549" s="44" t="n"/>
      <c r="H549" s="15" t="n"/>
      <c r="I549" s="45" t="n">
        <v>1269847.6</v>
      </c>
      <c r="J549" s="45" t="n">
        <v>567007.7</v>
      </c>
      <c r="K549" s="45" t="n">
        <v>559920.3199999999</v>
      </c>
      <c r="L549" s="45" t="n">
        <v>250980.7262498263</v>
      </c>
      <c r="M549" s="45" t="n"/>
      <c r="N549" s="45" t="n"/>
      <c r="O549" s="45" t="n"/>
      <c r="P549" s="45" t="n"/>
      <c r="Q549" s="45" t="n">
        <v>0</v>
      </c>
      <c r="R549" s="45" t="n">
        <v>0</v>
      </c>
      <c r="S549" s="45" t="n">
        <v>567063.6938199999</v>
      </c>
      <c r="T549" s="45" t="n">
        <v>254182.7262498263</v>
      </c>
      <c r="U549" s="15" t="n">
        <v>123.06</v>
      </c>
      <c r="V549" s="15" t="n">
        <v>100.46</v>
      </c>
      <c r="W549" s="49" t="n">
        <v>44830.98717833767</v>
      </c>
    </row>
    <row r="550">
      <c r="A550" s="44" t="inlineStr">
        <is>
          <t>TL Cinsi Kuponsuz Senetler</t>
        </is>
      </c>
      <c r="B550" s="44" t="n">
        <v>1999</v>
      </c>
      <c r="C550" s="44" t="inlineStr">
        <is>
          <t>TRT190400T13</t>
        </is>
      </c>
      <c r="D550" s="44" t="inlineStr">
        <is>
          <t>nan</t>
        </is>
      </c>
      <c r="E550" s="44" t="inlineStr">
        <is>
          <t>nan</t>
        </is>
      </c>
      <c r="F550" s="44" t="n"/>
      <c r="G550" s="44" t="n"/>
      <c r="H550" s="15" t="n"/>
      <c r="I550" s="45" t="n">
        <v>2328008</v>
      </c>
      <c r="J550" s="45" t="n">
        <v>1104319.4</v>
      </c>
      <c r="K550" s="45" t="n">
        <v>1241137.87</v>
      </c>
      <c r="L550" s="45" t="n">
        <v>591067.9112319688</v>
      </c>
      <c r="M550" s="45" t="n"/>
      <c r="N550" s="45" t="n"/>
      <c r="O550" s="45" t="n"/>
      <c r="P550" s="45" t="n"/>
      <c r="Q550" s="45" t="n">
        <v>0</v>
      </c>
      <c r="R550" s="45" t="n">
        <v>0</v>
      </c>
      <c r="S550" s="45" t="n">
        <v>1459519.74</v>
      </c>
      <c r="T550" s="45" t="n">
        <v>695067.9112319688</v>
      </c>
      <c r="U550" s="15" t="n">
        <v>109.98</v>
      </c>
      <c r="V550" s="15" t="n">
        <v>107.06</v>
      </c>
      <c r="W550" s="49" t="n">
        <v>47623.58319839984</v>
      </c>
    </row>
    <row r="551">
      <c r="A551" s="44" t="inlineStr">
        <is>
          <t>TL Cinsi Kuponsuz Senetler</t>
        </is>
      </c>
      <c r="B551" s="44" t="n">
        <v>1999</v>
      </c>
      <c r="C551" s="44" t="inlineStr">
        <is>
          <t>TRT170500T14</t>
        </is>
      </c>
      <c r="D551" s="44" t="inlineStr">
        <is>
          <t>nan</t>
        </is>
      </c>
      <c r="E551" s="44" t="inlineStr">
        <is>
          <t>nan</t>
        </is>
      </c>
      <c r="F551" s="44" t="n"/>
      <c r="G551" s="44" t="n"/>
      <c r="H551" s="15" t="n"/>
      <c r="I551" s="45" t="n">
        <v>2179880</v>
      </c>
      <c r="J551" s="45" t="n">
        <v>1074734.6</v>
      </c>
      <c r="K551" s="45" t="n">
        <v>746790</v>
      </c>
      <c r="L551" s="45" t="n">
        <v>370452.0514460699</v>
      </c>
      <c r="M551" s="45" t="n"/>
      <c r="N551" s="45" t="n"/>
      <c r="O551" s="45" t="n"/>
      <c r="P551" s="45" t="n"/>
      <c r="Q551" s="45" t="n">
        <v>0</v>
      </c>
      <c r="R551" s="45" t="n">
        <v>0</v>
      </c>
      <c r="S551" s="45" t="n">
        <v>1152748.959652461</v>
      </c>
      <c r="T551" s="45" t="n">
        <v>571832.05144607</v>
      </c>
      <c r="U551" s="15" t="n">
        <v>101.59</v>
      </c>
      <c r="V551" s="15" t="n">
        <v>91.73999999999999</v>
      </c>
      <c r="W551" s="49" t="n">
        <v>49605.63520015873</v>
      </c>
    </row>
    <row r="552">
      <c r="A552" s="44" t="inlineStr">
        <is>
          <t>TL Cinsi Kuponsuz Senetler</t>
        </is>
      </c>
      <c r="B552" s="44" t="n">
        <v>1999</v>
      </c>
      <c r="C552" s="44" t="inlineStr">
        <is>
          <t>TRB150999T14</t>
        </is>
      </c>
      <c r="D552" s="44" t="inlineStr">
        <is>
          <t>nan</t>
        </is>
      </c>
      <c r="E552" s="44" t="inlineStr">
        <is>
          <t>nan</t>
        </is>
      </c>
      <c r="F552" s="44" t="n"/>
      <c r="G552" s="44" t="n"/>
      <c r="H552" s="15" t="n"/>
      <c r="I552" s="45" t="n">
        <v>1796632.6</v>
      </c>
      <c r="J552" s="45" t="n">
        <v>1380125.5</v>
      </c>
      <c r="K552" s="45" t="n">
        <v>907209</v>
      </c>
      <c r="L552" s="45" t="n">
        <v>698167.5521865609</v>
      </c>
      <c r="M552" s="45" t="n"/>
      <c r="N552" s="45" t="n"/>
      <c r="O552" s="45" t="n"/>
      <c r="P552" s="45" t="n"/>
      <c r="Q552" s="45" t="n">
        <v>0</v>
      </c>
      <c r="R552" s="45" t="n">
        <v>0</v>
      </c>
      <c r="S552" s="45" t="n">
        <v>907209</v>
      </c>
      <c r="T552" s="45" t="n">
        <v>698167.5521865609</v>
      </c>
      <c r="U552" s="15" t="n">
        <v>29.94</v>
      </c>
      <c r="V552" s="15" t="n">
        <v>97.58</v>
      </c>
      <c r="W552" s="49" t="n">
        <v>76958.59627520395</v>
      </c>
    </row>
    <row r="553">
      <c r="A553" s="44" t="inlineStr">
        <is>
          <t>TL Cinsi Kuponsuz Senetler</t>
        </is>
      </c>
      <c r="B553" s="44" t="n">
        <v>1999</v>
      </c>
      <c r="C553" s="44" t="inlineStr">
        <is>
          <t>TRT070600T15</t>
        </is>
      </c>
      <c r="D553" s="44" t="inlineStr">
        <is>
          <t>nan</t>
        </is>
      </c>
      <c r="E553" s="44" t="inlineStr">
        <is>
          <t>nan</t>
        </is>
      </c>
      <c r="F553" s="44" t="n"/>
      <c r="G553" s="44" t="n"/>
      <c r="H553" s="15" t="n"/>
      <c r="I553" s="45" t="n">
        <v>2677811.9</v>
      </c>
      <c r="J553" s="45" t="n">
        <v>1268961</v>
      </c>
      <c r="K553" s="45" t="n">
        <v>1120448.105</v>
      </c>
      <c r="L553" s="45" t="n">
        <v>532974.8952908718</v>
      </c>
      <c r="M553" s="45" t="n"/>
      <c r="N553" s="45" t="n"/>
      <c r="O553" s="45" t="n"/>
      <c r="P553" s="45" t="n"/>
      <c r="Q553" s="45" t="n">
        <v>0</v>
      </c>
      <c r="R553" s="45" t="n">
        <v>0</v>
      </c>
      <c r="S553" s="45" t="n">
        <v>1133061.605</v>
      </c>
      <c r="T553" s="45" t="n">
        <v>538974.8952908718</v>
      </c>
      <c r="U553" s="15" t="n">
        <v>110.23</v>
      </c>
      <c r="V553" s="15" t="n">
        <v>96.95999999999999</v>
      </c>
      <c r="W553" s="49" t="n">
        <v>47566.95048280455</v>
      </c>
    </row>
    <row r="554">
      <c r="A554" s="44" t="inlineStr">
        <is>
          <t>TL Cinsi Kuponsuz Senetler</t>
        </is>
      </c>
      <c r="B554" s="44" t="n">
        <v>1999</v>
      </c>
      <c r="C554" s="44" t="inlineStr">
        <is>
          <t>TRB031199T14</t>
        </is>
      </c>
      <c r="D554" s="44" t="inlineStr">
        <is>
          <t>nan</t>
        </is>
      </c>
      <c r="E554" s="44" t="inlineStr">
        <is>
          <t>nan</t>
        </is>
      </c>
      <c r="F554" s="44" t="n"/>
      <c r="G554" s="44" t="n"/>
      <c r="H554" s="15" t="n"/>
      <c r="I554" s="45" t="n">
        <v>656406.3</v>
      </c>
      <c r="J554" s="45" t="n">
        <v>458262.2</v>
      </c>
      <c r="K554" s="45" t="n">
        <v>500638.975</v>
      </c>
      <c r="L554" s="45" t="n">
        <v>349999.5834172259</v>
      </c>
      <c r="M554" s="45" t="n"/>
      <c r="N554" s="45" t="n"/>
      <c r="O554" s="45" t="n"/>
      <c r="P554" s="45" t="n"/>
      <c r="Q554" s="45" t="n">
        <v>0</v>
      </c>
      <c r="R554" s="45" t="n">
        <v>0</v>
      </c>
      <c r="S554" s="45" t="n">
        <v>740228.9735696</v>
      </c>
      <c r="T554" s="45" t="n">
        <v>517499.5824172259</v>
      </c>
      <c r="U554" s="15" t="n">
        <v>43.04</v>
      </c>
      <c r="V554" s="15" t="n">
        <v>104.6</v>
      </c>
      <c r="W554" s="49" t="n">
        <v>69910.51454138702</v>
      </c>
    </row>
    <row r="555">
      <c r="A555" s="44" t="inlineStr">
        <is>
          <t>TL Cinsi Kuponsuz Senetler</t>
        </is>
      </c>
      <c r="B555" s="44" t="n">
        <v>1999</v>
      </c>
      <c r="C555" s="44" t="inlineStr">
        <is>
          <t>TRT170500T14</t>
        </is>
      </c>
      <c r="D555" s="44" t="inlineStr">
        <is>
          <t>nan</t>
        </is>
      </c>
      <c r="E555" s="44" t="inlineStr">
        <is>
          <t>nan</t>
        </is>
      </c>
      <c r="F555" s="44" t="n"/>
      <c r="G555" s="44" t="n"/>
      <c r="H555" s="15" t="n"/>
      <c r="I555" s="45" t="n">
        <v>2300748.7</v>
      </c>
      <c r="J555" s="45" t="n">
        <v>1170145.7</v>
      </c>
      <c r="K555" s="45" t="n">
        <v>1028346.5</v>
      </c>
      <c r="L555" s="45" t="n">
        <v>524236.0317292007</v>
      </c>
      <c r="M555" s="45" t="n"/>
      <c r="N555" s="45" t="n"/>
      <c r="O555" s="45" t="n"/>
      <c r="P555" s="45" t="n"/>
      <c r="Q555" s="45" t="n">
        <v>0</v>
      </c>
      <c r="R555" s="45" t="n">
        <v>0</v>
      </c>
      <c r="S555" s="45" t="n">
        <v>1159747.4941152</v>
      </c>
      <c r="T555" s="45" t="n">
        <v>591236.0287292007</v>
      </c>
      <c r="U555" s="15" t="n">
        <v>96.16</v>
      </c>
      <c r="V555" s="15" t="n">
        <v>93.68000000000001</v>
      </c>
      <c r="W555" s="49" t="n">
        <v>50978.79282218597</v>
      </c>
    </row>
    <row r="556">
      <c r="A556" s="44" t="inlineStr">
        <is>
          <t>TL Cinsi Kuponsuz Senetler</t>
        </is>
      </c>
      <c r="B556" s="44" t="n">
        <v>1999</v>
      </c>
      <c r="C556" s="44" t="inlineStr">
        <is>
          <t>TRT070600T15</t>
        </is>
      </c>
      <c r="D556" s="44" t="inlineStr">
        <is>
          <t>nan</t>
        </is>
      </c>
      <c r="E556" s="44" t="inlineStr">
        <is>
          <t>nan</t>
        </is>
      </c>
      <c r="F556" s="44" t="n"/>
      <c r="G556" s="44" t="n"/>
      <c r="H556" s="15" t="n"/>
      <c r="I556" s="45" t="n">
        <v>1309491.9</v>
      </c>
      <c r="J556" s="45" t="n">
        <v>630310.6</v>
      </c>
      <c r="K556" s="45" t="n">
        <v>808482.9300000001</v>
      </c>
      <c r="L556" s="45" t="n">
        <v>392248.6680882032</v>
      </c>
      <c r="M556" s="45" t="n"/>
      <c r="N556" s="45" t="n"/>
      <c r="O556" s="45" t="n"/>
      <c r="P556" s="45" t="n"/>
      <c r="Q556" s="45" t="n">
        <v>0</v>
      </c>
      <c r="R556" s="45" t="n">
        <v>0</v>
      </c>
      <c r="S556" s="45" t="n">
        <v>947048.8222000001</v>
      </c>
      <c r="T556" s="45" t="n">
        <v>459476.6680882032</v>
      </c>
      <c r="U556" s="15" t="n">
        <v>106.12</v>
      </c>
      <c r="V556" s="15" t="n">
        <v>104.1</v>
      </c>
      <c r="W556" s="49" t="n">
        <v>48515.42790607412</v>
      </c>
    </row>
    <row r="557">
      <c r="A557" s="44" t="inlineStr">
        <is>
          <t>TL Cinsi Kuponsuz Senetler</t>
        </is>
      </c>
      <c r="B557" s="44" t="n">
        <v>1999</v>
      </c>
      <c r="C557" s="44" t="inlineStr">
        <is>
          <t>TRT230800T13</t>
        </is>
      </c>
      <c r="D557" s="44" t="inlineStr">
        <is>
          <t>nan</t>
        </is>
      </c>
      <c r="E557" s="44" t="inlineStr">
        <is>
          <t>nan</t>
        </is>
      </c>
      <c r="F557" s="44" t="n"/>
      <c r="G557" s="44" t="n"/>
      <c r="H557" s="15" t="n"/>
      <c r="I557" s="45" t="n">
        <v>2691016</v>
      </c>
      <c r="J557" s="45" t="n">
        <v>1121967.4</v>
      </c>
      <c r="K557" s="45" t="n">
        <v>2141770</v>
      </c>
      <c r="L557" s="45" t="n">
        <v>895473.36753073</v>
      </c>
      <c r="M557" s="45" t="n"/>
      <c r="N557" s="45" t="n"/>
      <c r="O557" s="45" t="n"/>
      <c r="P557" s="45" t="n"/>
      <c r="Q557" s="45" t="n">
        <v>0</v>
      </c>
      <c r="R557" s="45" t="n">
        <v>0</v>
      </c>
      <c r="S557" s="45" t="n">
        <v>2141770</v>
      </c>
      <c r="T557" s="45" t="n">
        <v>895473.36753073</v>
      </c>
      <c r="U557" s="15" t="n">
        <v>139.18</v>
      </c>
      <c r="V557" s="15" t="n">
        <v>107.8</v>
      </c>
      <c r="W557" s="49" t="n">
        <v>41809.51584580651</v>
      </c>
    </row>
    <row r="558">
      <c r="A558" s="44" t="inlineStr">
        <is>
          <t>TL Cinsi Kuponsuz Senetler</t>
        </is>
      </c>
      <c r="B558" s="44" t="n">
        <v>1999</v>
      </c>
      <c r="C558" s="44" t="inlineStr">
        <is>
          <t>TRB031199T14</t>
        </is>
      </c>
      <c r="D558" s="44" t="inlineStr">
        <is>
          <t>nan</t>
        </is>
      </c>
      <c r="E558" s="44" t="inlineStr">
        <is>
          <t>nan</t>
        </is>
      </c>
      <c r="F558" s="44" t="n"/>
      <c r="G558" s="44" t="n"/>
      <c r="H558" s="15" t="n"/>
      <c r="I558" s="45" t="n">
        <v>293336.4</v>
      </c>
      <c r="J558" s="45" t="n">
        <v>219229.3</v>
      </c>
      <c r="K558" s="45" t="n">
        <v>194714</v>
      </c>
      <c r="L558" s="45" t="n">
        <v>145984.4054580897</v>
      </c>
      <c r="M558" s="45" t="n"/>
      <c r="N558" s="45" t="n"/>
      <c r="O558" s="45" t="n"/>
      <c r="P558" s="45" t="n"/>
      <c r="Q558" s="45" t="n">
        <v>0</v>
      </c>
      <c r="R558" s="45" t="n">
        <v>0</v>
      </c>
      <c r="S558" s="45" t="n">
        <v>248066</v>
      </c>
      <c r="T558" s="45" t="n">
        <v>185984.4054580897</v>
      </c>
      <c r="U558" s="15" t="n">
        <v>33.38</v>
      </c>
      <c r="V558" s="15" t="n">
        <v>111.46</v>
      </c>
      <c r="W558" s="49" t="n">
        <v>74973.75918428549</v>
      </c>
    </row>
    <row r="559">
      <c r="A559" s="44" t="inlineStr">
        <is>
          <t>TL Cinsi Kuponsuz Senetler</t>
        </is>
      </c>
      <c r="B559" s="44" t="n">
        <v>1999</v>
      </c>
      <c r="C559" s="44" t="inlineStr">
        <is>
          <t>TRB190100T16</t>
        </is>
      </c>
      <c r="D559" s="44" t="inlineStr">
        <is>
          <t>nan</t>
        </is>
      </c>
      <c r="E559" s="44" t="inlineStr">
        <is>
          <t>nan</t>
        </is>
      </c>
      <c r="F559" s="44" t="n"/>
      <c r="G559" s="44" t="n"/>
      <c r="H559" s="15" t="n"/>
      <c r="I559" s="45" t="n">
        <v>1731588.6</v>
      </c>
      <c r="J559" s="45" t="n">
        <v>1103793</v>
      </c>
      <c r="K559" s="45" t="n">
        <v>1117573.51</v>
      </c>
      <c r="L559" s="45" t="n">
        <v>713691.1767764174</v>
      </c>
      <c r="M559" s="45" t="n"/>
      <c r="N559" s="45" t="n"/>
      <c r="O559" s="45" t="n"/>
      <c r="P559" s="45" t="n"/>
      <c r="Q559" s="45" t="n">
        <v>0</v>
      </c>
      <c r="R559" s="45" t="n">
        <v>0</v>
      </c>
      <c r="S559" s="45" t="n">
        <v>1139183.016940607</v>
      </c>
      <c r="T559" s="45" t="n">
        <v>727491.1767764174</v>
      </c>
      <c r="U559" s="15" t="n">
        <v>56.59</v>
      </c>
      <c r="V559" s="15" t="n">
        <v>117.57</v>
      </c>
      <c r="W559" s="49" t="n">
        <v>63861.03838048406</v>
      </c>
    </row>
    <row r="560">
      <c r="A560" s="44" t="inlineStr">
        <is>
          <t>TL Cinsi Kuponsuz Senetler</t>
        </is>
      </c>
      <c r="B560" s="44" t="n">
        <v>1999</v>
      </c>
      <c r="C560" s="44" t="inlineStr">
        <is>
          <t>TRT230800T13</t>
        </is>
      </c>
      <c r="D560" s="44" t="inlineStr">
        <is>
          <t>nan</t>
        </is>
      </c>
      <c r="E560" s="44" t="inlineStr">
        <is>
          <t>nan</t>
        </is>
      </c>
      <c r="F560" s="44" t="n"/>
      <c r="G560" s="44" t="n"/>
      <c r="H560" s="15" t="n"/>
      <c r="I560" s="45" t="n">
        <v>2914275.325</v>
      </c>
      <c r="J560" s="45" t="n">
        <v>1426753</v>
      </c>
      <c r="K560" s="45" t="n">
        <v>1342235.5</v>
      </c>
      <c r="L560" s="45" t="n">
        <v>660239.0912024399</v>
      </c>
      <c r="M560" s="45" t="n"/>
      <c r="N560" s="45" t="n"/>
      <c r="O560" s="45" t="n"/>
      <c r="P560" s="45" t="n"/>
      <c r="Q560" s="45" t="n">
        <v>0</v>
      </c>
      <c r="R560" s="45" t="n">
        <v>0</v>
      </c>
      <c r="S560" s="45" t="n">
        <v>1413388.75</v>
      </c>
      <c r="T560" s="45" t="n">
        <v>695239.0912024399</v>
      </c>
      <c r="U560" s="15" t="n">
        <v>103.295</v>
      </c>
      <c r="V560" s="15" t="n">
        <v>91.0284446662466</v>
      </c>
      <c r="W560" s="49" t="n">
        <v>49189.60131828131</v>
      </c>
    </row>
    <row r="561">
      <c r="A561" s="44" t="inlineStr">
        <is>
          <t>TL Cinsi Kuponsuz Senetler</t>
        </is>
      </c>
      <c r="B561" s="44" t="n">
        <v>1999</v>
      </c>
      <c r="C561" s="44" t="inlineStr">
        <is>
          <t>TRB190100T16</t>
        </is>
      </c>
      <c r="D561" s="44" t="inlineStr">
        <is>
          <t>nan</t>
        </is>
      </c>
      <c r="E561" s="44" t="inlineStr">
        <is>
          <t>nan</t>
        </is>
      </c>
      <c r="F561" s="44" t="n"/>
      <c r="G561" s="44" t="n"/>
      <c r="H561" s="15" t="n"/>
      <c r="I561" s="45" t="n">
        <v>1439888.04</v>
      </c>
      <c r="J561" s="45" t="n">
        <v>1026181.9</v>
      </c>
      <c r="K561" s="45" t="n">
        <v>969929</v>
      </c>
      <c r="L561" s="45" t="n">
        <v>692447.6677725187</v>
      </c>
      <c r="M561" s="45" t="n"/>
      <c r="N561" s="45" t="n"/>
      <c r="O561" s="45" t="n"/>
      <c r="P561" s="45" t="n"/>
      <c r="Q561" s="45" t="n">
        <v>0</v>
      </c>
      <c r="R561" s="45" t="n">
        <v>0</v>
      </c>
      <c r="S561" s="45" t="n">
        <v>969929</v>
      </c>
      <c r="T561" s="45" t="n">
        <v>692447.6677725187</v>
      </c>
      <c r="U561" s="15" t="n">
        <v>40.073</v>
      </c>
      <c r="V561" s="15" t="n">
        <v>96.20445329</v>
      </c>
      <c r="W561" s="49" t="n">
        <v>71391.34594104503</v>
      </c>
    </row>
    <row r="562">
      <c r="A562" s="44" t="inlineStr">
        <is>
          <t>TL Cinsi Kuponsuz Senetler</t>
        </is>
      </c>
      <c r="B562" s="44" t="n">
        <v>1999</v>
      </c>
      <c r="C562" s="44" t="inlineStr">
        <is>
          <t>TRB271099T17</t>
        </is>
      </c>
      <c r="D562" s="44" t="inlineStr">
        <is>
          <t>nan</t>
        </is>
      </c>
      <c r="E562" s="44" t="inlineStr">
        <is>
          <t>nan</t>
        </is>
      </c>
      <c r="F562" s="44" t="n"/>
      <c r="G562" s="44" t="n"/>
      <c r="H562" s="15" t="n"/>
      <c r="I562" s="45" t="n">
        <v>622119.35</v>
      </c>
      <c r="J562" s="45" t="n">
        <v>523060.3</v>
      </c>
      <c r="K562" s="45" t="n">
        <v>453686.9</v>
      </c>
      <c r="L562" s="45" t="n">
        <v>382000.6567536164</v>
      </c>
      <c r="M562" s="45" t="n"/>
      <c r="N562" s="45" t="n"/>
      <c r="O562" s="45" t="n"/>
      <c r="P562" s="45" t="n"/>
      <c r="Q562" s="45" t="n"/>
      <c r="R562" s="45" t="n"/>
      <c r="S562" s="45" t="n">
        <v>453686.9</v>
      </c>
      <c r="T562" s="45" t="n">
        <v>382000.6567536164</v>
      </c>
      <c r="U562" s="15" t="n">
        <v>18.766</v>
      </c>
      <c r="V562" s="15" t="n">
        <v>98.96125847835191</v>
      </c>
      <c r="W562" s="49" t="n">
        <v>84199.18158395501</v>
      </c>
    </row>
    <row r="563">
      <c r="A563" s="44" t="inlineStr">
        <is>
          <t>TL Cinsi Kuponsuz Senetler</t>
        </is>
      </c>
      <c r="B563" s="44" t="n">
        <v>1999</v>
      </c>
      <c r="C563" s="44" t="inlineStr">
        <is>
          <t>TRT230800T13</t>
        </is>
      </c>
      <c r="D563" s="44" t="inlineStr">
        <is>
          <t>nan</t>
        </is>
      </c>
      <c r="E563" s="44" t="inlineStr">
        <is>
          <t>nan</t>
        </is>
      </c>
      <c r="F563" s="44" t="n"/>
      <c r="G563" s="44" t="n"/>
      <c r="H563" s="15" t="n"/>
      <c r="I563" s="45" t="n">
        <v>1047637.6</v>
      </c>
      <c r="J563" s="45" t="n">
        <v>513579.5</v>
      </c>
      <c r="K563" s="45" t="n">
        <v>424409.56</v>
      </c>
      <c r="L563" s="45" t="n">
        <v>208757.6287530005</v>
      </c>
      <c r="M563" s="45" t="n"/>
      <c r="N563" s="45" t="n"/>
      <c r="O563" s="45" t="n"/>
      <c r="P563" s="45" t="n"/>
      <c r="Q563" s="45" t="n"/>
      <c r="R563" s="45" t="n"/>
      <c r="S563" s="45" t="n">
        <v>591118.84</v>
      </c>
      <c r="T563" s="45" t="n">
        <v>290757.6287530005</v>
      </c>
      <c r="U563" s="15" t="n">
        <v>103.3</v>
      </c>
      <c r="V563" s="15" t="n">
        <v>95.59</v>
      </c>
      <c r="W563" s="49" t="n">
        <v>49188.39153959665</v>
      </c>
    </row>
    <row r="564">
      <c r="A564" s="44" t="inlineStr">
        <is>
          <t>TL Cinsi Kuponsuz Senetler</t>
        </is>
      </c>
      <c r="B564" s="44" t="n">
        <v>1999</v>
      </c>
      <c r="C564" s="44" t="inlineStr">
        <is>
          <t>TRB171199T18</t>
        </is>
      </c>
      <c r="D564" s="44" t="inlineStr">
        <is>
          <t>nan</t>
        </is>
      </c>
      <c r="E564" s="44" t="inlineStr">
        <is>
          <t>nan</t>
        </is>
      </c>
      <c r="F564" s="44" t="n"/>
      <c r="G564" s="44" t="n"/>
      <c r="H564" s="15" t="n"/>
      <c r="I564" s="45" t="n">
        <v>675862.7</v>
      </c>
      <c r="J564" s="45" t="n">
        <v>567501.1</v>
      </c>
      <c r="K564" s="45" t="n">
        <v>285333.09</v>
      </c>
      <c r="L564" s="45" t="n">
        <v>239999.9523593237</v>
      </c>
      <c r="M564" s="45" t="n"/>
      <c r="N564" s="45" t="n"/>
      <c r="O564" s="45" t="n"/>
      <c r="P564" s="45" t="n"/>
      <c r="Q564" s="45" t="n"/>
      <c r="R564" s="45" t="n"/>
      <c r="S564" s="45" t="n">
        <v>285333.09</v>
      </c>
      <c r="T564" s="45" t="n">
        <v>239999.9523593237</v>
      </c>
      <c r="U564" s="15" t="n">
        <v>18.89</v>
      </c>
      <c r="V564" s="15" t="n">
        <v>99.79000000000001</v>
      </c>
      <c r="W564" s="49" t="n">
        <v>84111.36344520144</v>
      </c>
    </row>
    <row r="565">
      <c r="A565" s="44" t="inlineStr">
        <is>
          <t>TL Cinsi Kuponsuz Senetler</t>
        </is>
      </c>
      <c r="B565" s="44" t="n">
        <v>1999</v>
      </c>
      <c r="C565" s="44" t="inlineStr">
        <is>
          <t>TRB150300T18</t>
        </is>
      </c>
      <c r="D565" s="44" t="inlineStr">
        <is>
          <t>nan</t>
        </is>
      </c>
      <c r="E565" s="44" t="inlineStr">
        <is>
          <t>nan</t>
        </is>
      </c>
      <c r="F565" s="44" t="n"/>
      <c r="G565" s="44" t="n"/>
      <c r="H565" s="15" t="n"/>
      <c r="I565" s="45" t="n">
        <v>1348807.8</v>
      </c>
      <c r="J565" s="45" t="n">
        <v>955443.3</v>
      </c>
      <c r="K565" s="45" t="n">
        <v>828633.8100000001</v>
      </c>
      <c r="L565" s="45" t="n">
        <v>587908.8385854259</v>
      </c>
      <c r="M565" s="45" t="n"/>
      <c r="N565" s="45" t="n"/>
      <c r="O565" s="45" t="n"/>
      <c r="P565" s="45" t="n"/>
      <c r="Q565" s="45" t="n"/>
      <c r="R565" s="45" t="n"/>
      <c r="S565" s="45" t="n">
        <v>885012.3100000001</v>
      </c>
      <c r="T565" s="45" t="n">
        <v>627908.8385854259</v>
      </c>
      <c r="U565" s="15" t="n">
        <v>40.947</v>
      </c>
      <c r="V565" s="15" t="n">
        <v>98.66056808999998</v>
      </c>
      <c r="W565" s="49" t="n">
        <v>70948.65445876819</v>
      </c>
    </row>
    <row r="566">
      <c r="A566" s="44" t="inlineStr">
        <is>
          <t>TL Cinsi Kuponsuz Senetler</t>
        </is>
      </c>
      <c r="B566" s="44" t="n">
        <v>1999</v>
      </c>
      <c r="C566" s="44" t="inlineStr">
        <is>
          <t>TRB240500T15</t>
        </is>
      </c>
      <c r="D566" s="44" t="inlineStr">
        <is>
          <t>nan</t>
        </is>
      </c>
      <c r="E566" s="44" t="inlineStr">
        <is>
          <t>nan</t>
        </is>
      </c>
      <c r="F566" s="44" t="n"/>
      <c r="G566" s="44" t="n"/>
      <c r="H566" s="15" t="n"/>
      <c r="I566" s="45" t="n">
        <v>1061188.545</v>
      </c>
      <c r="J566" s="45" t="n">
        <v>675044.7</v>
      </c>
      <c r="K566" s="45" t="n">
        <v>575206.045</v>
      </c>
      <c r="L566" s="45" t="n">
        <v>366581.8204320949</v>
      </c>
      <c r="M566" s="45" t="n"/>
      <c r="N566" s="45" t="n"/>
      <c r="O566" s="45" t="n"/>
      <c r="P566" s="45" t="n"/>
      <c r="Q566" s="45" t="n"/>
      <c r="R566" s="45" t="n"/>
      <c r="S566" s="45" t="n">
        <v>704380.2271236001</v>
      </c>
      <c r="T566" s="45" t="n">
        <v>448905.8164320949</v>
      </c>
      <c r="U566" s="15" t="n">
        <v>56.91</v>
      </c>
      <c r="V566" s="15" t="n">
        <v>103.3751800616698</v>
      </c>
      <c r="W566" s="49" t="n">
        <v>63730.80109616978</v>
      </c>
    </row>
    <row r="567">
      <c r="A567" s="44" t="inlineStr">
        <is>
          <t>TL Cinsi Kuponsuz Senetler</t>
        </is>
      </c>
      <c r="B567" s="44" t="n">
        <v>1999</v>
      </c>
      <c r="C567" s="44" t="inlineStr">
        <is>
          <t>TRB260100T17</t>
        </is>
      </c>
      <c r="D567" s="44" t="inlineStr">
        <is>
          <t>nan</t>
        </is>
      </c>
      <c r="E567" s="44" t="inlineStr">
        <is>
          <t>nan</t>
        </is>
      </c>
      <c r="F567" s="44" t="n"/>
      <c r="G567" s="44" t="n"/>
      <c r="H567" s="15" t="n"/>
      <c r="I567" s="45" t="n">
        <v>582774.8</v>
      </c>
      <c r="J567" s="45" t="n">
        <v>492238</v>
      </c>
      <c r="K567" s="45" t="n">
        <v>406846.19</v>
      </c>
      <c r="L567" s="45" t="n">
        <v>344000.0017899872</v>
      </c>
      <c r="M567" s="45" t="n"/>
      <c r="N567" s="45" t="n"/>
      <c r="O567" s="45" t="n"/>
      <c r="P567" s="45" t="n"/>
      <c r="Q567" s="45" t="n"/>
      <c r="R567" s="45" t="n"/>
      <c r="S567" s="45" t="n">
        <v>406846.19</v>
      </c>
      <c r="T567" s="45" t="n">
        <v>344000.0017899872</v>
      </c>
      <c r="U567" s="15" t="n">
        <v>18.269</v>
      </c>
      <c r="V567" s="15" t="n">
        <v>95.65173295215155</v>
      </c>
      <c r="W567" s="49" t="n">
        <v>84553.01050993921</v>
      </c>
    </row>
    <row r="568">
      <c r="A568" s="44" t="inlineStr">
        <is>
          <t>TL Cinsi Kuponsuz Senetler</t>
        </is>
      </c>
      <c r="B568" s="44" t="n">
        <v>1999</v>
      </c>
      <c r="C568" s="44" t="inlineStr">
        <is>
          <t>TRB160200T18</t>
        </is>
      </c>
      <c r="D568" s="44" t="inlineStr">
        <is>
          <t>nan</t>
        </is>
      </c>
      <c r="E568" s="44" t="inlineStr">
        <is>
          <t>nan</t>
        </is>
      </c>
      <c r="F568" s="44" t="n"/>
      <c r="G568" s="44" t="n"/>
      <c r="H568" s="15" t="n"/>
      <c r="I568" s="45" t="n">
        <v>571548.635</v>
      </c>
      <c r="J568" s="45" t="n">
        <v>484335.2</v>
      </c>
      <c r="K568" s="45" t="n">
        <v>466942.99</v>
      </c>
      <c r="L568" s="45" t="n">
        <v>395999.9522919052</v>
      </c>
      <c r="M568" s="45" t="n"/>
      <c r="N568" s="45" t="n"/>
      <c r="O568" s="45" t="n"/>
      <c r="P568" s="45" t="n"/>
      <c r="Q568" s="45" t="n"/>
      <c r="R568" s="45" t="n"/>
      <c r="S568" s="45" t="n">
        <v>466942.99</v>
      </c>
      <c r="T568" s="45" t="n">
        <v>395999.9522919052</v>
      </c>
      <c r="U568" s="15" t="n">
        <v>17.915</v>
      </c>
      <c r="V568" s="15" t="n">
        <v>93.31974843558513</v>
      </c>
      <c r="W568" s="49" t="n">
        <v>84806.85239367341</v>
      </c>
    </row>
    <row r="569">
      <c r="A569" s="44" t="inlineStr">
        <is>
          <t>TL Cinsi Kuponsuz Senetler</t>
        </is>
      </c>
      <c r="B569" s="44" t="n">
        <v>1998</v>
      </c>
      <c r="C569" s="44" t="inlineStr">
        <is>
          <t>TRB150798T17</t>
        </is>
      </c>
      <c r="D569" s="44" t="inlineStr">
        <is>
          <t>nan</t>
        </is>
      </c>
      <c r="E569" s="44" t="inlineStr">
        <is>
          <t>nan</t>
        </is>
      </c>
      <c r="F569" s="44" t="n"/>
      <c r="G569" s="44" t="n"/>
      <c r="H569" s="15" t="n"/>
      <c r="I569" s="45" t="n">
        <v>867896.7</v>
      </c>
      <c r="J569" s="45" t="n"/>
      <c r="K569" s="45" t="n">
        <v>490472.8</v>
      </c>
      <c r="L569" s="45" t="n">
        <v>323241.3181332289</v>
      </c>
      <c r="M569" s="45" t="n"/>
      <c r="N569" s="45" t="n"/>
      <c r="O569" s="45" t="n"/>
      <c r="P569" s="45" t="n"/>
      <c r="Q569" s="45" t="n">
        <v>0</v>
      </c>
      <c r="R569" s="45" t="n">
        <v>0</v>
      </c>
      <c r="S569" s="45" t="n">
        <v>562764.6350934693</v>
      </c>
      <c r="T569" s="45" t="n">
        <v>370884.5474129831</v>
      </c>
      <c r="U569" s="15" t="n">
        <v>51.7358</v>
      </c>
      <c r="V569" s="15" t="n">
        <v>130.2375300164</v>
      </c>
      <c r="W569" s="49" t="n">
        <v>65904.02528605642</v>
      </c>
    </row>
    <row r="570">
      <c r="A570" s="44" t="inlineStr">
        <is>
          <t>TL Cinsi Kuponsuz Senetler</t>
        </is>
      </c>
      <c r="B570" s="44" t="n">
        <v>1998</v>
      </c>
      <c r="C570" s="44" t="inlineStr">
        <is>
          <t>TRB200598T12</t>
        </is>
      </c>
      <c r="D570" s="44" t="inlineStr">
        <is>
          <t>nan</t>
        </is>
      </c>
      <c r="E570" s="44" t="inlineStr">
        <is>
          <t>nan</t>
        </is>
      </c>
      <c r="F570" s="44" t="n"/>
      <c r="G570" s="44" t="n"/>
      <c r="H570" s="15" t="n"/>
      <c r="I570" s="45" t="n">
        <v>718853.5</v>
      </c>
      <c r="J570" s="45" t="n"/>
      <c r="K570" s="45" t="n">
        <v>522323.7</v>
      </c>
      <c r="L570" s="45" t="n">
        <v>412113.4153903205</v>
      </c>
      <c r="M570" s="45" t="n"/>
      <c r="N570" s="45" t="n"/>
      <c r="O570" s="45" t="n"/>
      <c r="P570" s="45" t="n"/>
      <c r="Q570" s="45" t="n">
        <v>0</v>
      </c>
      <c r="R570" s="45" t="n">
        <v>0</v>
      </c>
      <c r="S570" s="45" t="n">
        <v>524319.8977186312</v>
      </c>
      <c r="T570" s="45" t="n">
        <v>413688.9803903205</v>
      </c>
      <c r="U570" s="15" t="n">
        <v>26.742</v>
      </c>
      <c r="V570" s="15" t="n">
        <v>141.1439391996101</v>
      </c>
      <c r="W570" s="49" t="n">
        <v>78900.44342049203</v>
      </c>
    </row>
    <row r="571">
      <c r="A571" s="44" t="inlineStr">
        <is>
          <t>TL Cinsi Kuponsuz Senetler</t>
        </is>
      </c>
      <c r="B571" s="44" t="n">
        <v>1998</v>
      </c>
      <c r="C571" s="44" t="inlineStr">
        <is>
          <t>TRB190898T12</t>
        </is>
      </c>
      <c r="D571" s="44" t="inlineStr">
        <is>
          <t>nan</t>
        </is>
      </c>
      <c r="E571" s="44" t="inlineStr">
        <is>
          <t>nan</t>
        </is>
      </c>
      <c r="F571" s="44" t="n"/>
      <c r="G571" s="44" t="n"/>
      <c r="H571" s="15" t="n"/>
      <c r="I571" s="45" t="n">
        <v>1058395.11</v>
      </c>
      <c r="J571" s="45" t="n"/>
      <c r="K571" s="45" t="n">
        <v>565400.61</v>
      </c>
      <c r="L571" s="45" t="n">
        <v>369127.4150236336</v>
      </c>
      <c r="M571" s="45" t="n"/>
      <c r="N571" s="45" t="n"/>
      <c r="O571" s="45" t="n"/>
      <c r="P571" s="45" t="n"/>
      <c r="Q571" s="45" t="n">
        <v>0</v>
      </c>
      <c r="R571" s="45" t="n">
        <v>0</v>
      </c>
      <c r="S571" s="45" t="n">
        <v>573918.5983549199</v>
      </c>
      <c r="T571" s="45" t="n">
        <v>374688.4760236336</v>
      </c>
      <c r="U571" s="15" t="n">
        <v>53.172</v>
      </c>
      <c r="V571" s="15" t="n">
        <v>134.61661584</v>
      </c>
      <c r="W571" s="49" t="n">
        <v>65286.0836184159</v>
      </c>
    </row>
    <row r="572">
      <c r="A572" s="44" t="inlineStr">
        <is>
          <t>TL Cinsi Kuponsuz Senetler</t>
        </is>
      </c>
      <c r="B572" s="44" t="n">
        <v>1998</v>
      </c>
      <c r="C572" s="44" t="inlineStr">
        <is>
          <t>TRB020998T10</t>
        </is>
      </c>
      <c r="D572" s="44" t="inlineStr">
        <is>
          <t>nan</t>
        </is>
      </c>
      <c r="E572" s="44" t="inlineStr">
        <is>
          <t>nan</t>
        </is>
      </c>
      <c r="F572" s="44" t="n"/>
      <c r="G572" s="44" t="n"/>
      <c r="H572" s="15" t="n"/>
      <c r="I572" s="45" t="n">
        <v>1100042.025</v>
      </c>
      <c r="J572" s="45" t="n"/>
      <c r="K572" s="45" t="n">
        <v>485831.415</v>
      </c>
      <c r="L572" s="45" t="n">
        <v>321839.0031281053</v>
      </c>
      <c r="M572" s="45" t="n"/>
      <c r="N572" s="45" t="n"/>
      <c r="O572" s="45" t="n"/>
      <c r="P572" s="45" t="n"/>
      <c r="Q572" s="45" t="n">
        <v>0</v>
      </c>
      <c r="R572" s="45" t="n">
        <v>0</v>
      </c>
      <c r="S572" s="45" t="n">
        <v>633482.96</v>
      </c>
      <c r="T572" s="45" t="n">
        <v>419650.7803781285</v>
      </c>
      <c r="U572" s="15" t="n">
        <v>50.954</v>
      </c>
      <c r="V572" s="15" t="n">
        <v>127.87110116</v>
      </c>
      <c r="W572" s="49" t="n">
        <v>66245.34626442492</v>
      </c>
    </row>
    <row r="573">
      <c r="A573" s="44" t="inlineStr">
        <is>
          <t>TL Cinsi Kuponsuz Senetler</t>
        </is>
      </c>
      <c r="B573" s="44" t="n">
        <v>1998</v>
      </c>
      <c r="C573" s="44" t="inlineStr">
        <is>
          <t>TRB041198T14</t>
        </is>
      </c>
      <c r="D573" s="44" t="inlineStr">
        <is>
          <t>nan</t>
        </is>
      </c>
      <c r="E573" s="44" t="inlineStr">
        <is>
          <t>nan</t>
        </is>
      </c>
      <c r="F573" s="44" t="n"/>
      <c r="G573" s="44" t="n"/>
      <c r="H573" s="15" t="n"/>
      <c r="I573" s="45" t="n">
        <v>967360.84</v>
      </c>
      <c r="J573" s="45" t="n"/>
      <c r="K573" s="45" t="n">
        <v>362301.94</v>
      </c>
      <c r="L573" s="45" t="n">
        <v>213354.3770600602</v>
      </c>
      <c r="M573" s="45" t="n"/>
      <c r="N573" s="45" t="n"/>
      <c r="O573" s="45" t="n"/>
      <c r="P573" s="45" t="n"/>
      <c r="Q573" s="45" t="n">
        <v>0</v>
      </c>
      <c r="R573" s="45" t="n">
        <v>0</v>
      </c>
      <c r="S573" s="45" t="n">
        <v>416672.12</v>
      </c>
      <c r="T573" s="45" t="n">
        <v>245369.8553296862</v>
      </c>
      <c r="U573" s="15" t="n">
        <v>69.813</v>
      </c>
      <c r="V573" s="15" t="n">
        <v>124.7606362266681</v>
      </c>
      <c r="W573" s="49" t="n">
        <v>58888.30654896858</v>
      </c>
    </row>
    <row r="574">
      <c r="A574" s="44" t="inlineStr">
        <is>
          <t>TL Cinsi Kuponsuz Senetler</t>
        </is>
      </c>
      <c r="B574" s="44" t="n">
        <v>1998</v>
      </c>
      <c r="C574" s="44" t="inlineStr">
        <is>
          <t>TRB170698T16</t>
        </is>
      </c>
      <c r="D574" s="44" t="inlineStr">
        <is>
          <t>nan</t>
        </is>
      </c>
      <c r="E574" s="44" t="inlineStr">
        <is>
          <t>nan</t>
        </is>
      </c>
      <c r="F574" s="44" t="n"/>
      <c r="G574" s="44" t="n"/>
      <c r="H574" s="15" t="n"/>
      <c r="I574" s="45" t="n">
        <v>1145316.785</v>
      </c>
      <c r="J574" s="45" t="n"/>
      <c r="K574" s="45" t="n">
        <v>631402.75</v>
      </c>
      <c r="L574" s="45" t="n">
        <v>516329.6181476211</v>
      </c>
      <c r="M574" s="45" t="n"/>
      <c r="N574" s="45" t="n"/>
      <c r="O574" s="45" t="n"/>
      <c r="P574" s="45" t="n"/>
      <c r="Q574" s="45" t="n">
        <v>0</v>
      </c>
      <c r="R574" s="45" t="n">
        <v>0</v>
      </c>
      <c r="S574" s="45" t="n">
        <v>652802.95</v>
      </c>
      <c r="T574" s="45" t="n">
        <v>533829.6408108859</v>
      </c>
      <c r="U574" s="15" t="n">
        <v>22.286</v>
      </c>
      <c r="V574" s="15" t="n">
        <v>123.6181022447787</v>
      </c>
      <c r="W574" s="49" t="n">
        <v>81775.50987030404</v>
      </c>
    </row>
    <row r="575">
      <c r="A575" s="44" t="inlineStr">
        <is>
          <t>TL Cinsi Kuponsuz Senetler</t>
        </is>
      </c>
      <c r="B575" s="44" t="n">
        <v>1998</v>
      </c>
      <c r="C575" s="44" t="inlineStr">
        <is>
          <t>TRB300998T16</t>
        </is>
      </c>
      <c r="D575" s="44" t="inlineStr">
        <is>
          <t>nan</t>
        </is>
      </c>
      <c r="E575" s="44" t="inlineStr">
        <is>
          <t>nan</t>
        </is>
      </c>
      <c r="F575" s="44" t="n"/>
      <c r="G575" s="44" t="n"/>
      <c r="H575" s="15" t="n"/>
      <c r="I575" s="45" t="n">
        <v>837139.24</v>
      </c>
      <c r="J575" s="45" t="n"/>
      <c r="K575" s="45" t="n">
        <v>401572.175</v>
      </c>
      <c r="L575" s="45" t="n">
        <v>273362.1907339587</v>
      </c>
      <c r="M575" s="45" t="n"/>
      <c r="N575" s="45" t="n"/>
      <c r="O575" s="45" t="n"/>
      <c r="P575" s="45" t="n"/>
      <c r="Q575" s="45" t="n">
        <v>0</v>
      </c>
      <c r="R575" s="45" t="n">
        <v>0</v>
      </c>
      <c r="S575" s="45" t="n">
        <v>457394.175</v>
      </c>
      <c r="T575" s="45" t="n">
        <v>311362.1733822548</v>
      </c>
      <c r="U575" s="15" t="n">
        <v>46.902</v>
      </c>
      <c r="V575" s="15" t="n">
        <v>115.80197604</v>
      </c>
      <c r="W575" s="49" t="n">
        <v>68072.59261276225</v>
      </c>
    </row>
    <row r="576">
      <c r="A576" s="44" t="inlineStr">
        <is>
          <t>TL Cinsi Kuponsuz Senetler</t>
        </is>
      </c>
      <c r="B576" s="44" t="n">
        <v>1998</v>
      </c>
      <c r="C576" s="44" t="inlineStr">
        <is>
          <t>TRB270199T18</t>
        </is>
      </c>
      <c r="D576" s="44" t="inlineStr">
        <is>
          <t>nan</t>
        </is>
      </c>
      <c r="E576" s="44" t="inlineStr">
        <is>
          <t>nan</t>
        </is>
      </c>
      <c r="F576" s="44" t="n"/>
      <c r="G576" s="44" t="n"/>
      <c r="H576" s="15" t="n"/>
      <c r="I576" s="45" t="n">
        <v>891622.35</v>
      </c>
      <c r="J576" s="45" t="n"/>
      <c r="K576" s="45" t="n">
        <v>626857.4</v>
      </c>
      <c r="L576" s="45" t="n">
        <v>356863.6574369368</v>
      </c>
      <c r="M576" s="45" t="n"/>
      <c r="N576" s="45" t="n"/>
      <c r="O576" s="45" t="n"/>
      <c r="P576" s="45" t="n"/>
      <c r="Q576" s="45" t="n">
        <v>0</v>
      </c>
      <c r="R576" s="45" t="n">
        <v>0</v>
      </c>
      <c r="S576" s="45" t="n">
        <v>637923.66</v>
      </c>
      <c r="T576" s="45" t="n">
        <v>363163.5828597779</v>
      </c>
      <c r="U576" s="15" t="n">
        <v>75.657</v>
      </c>
      <c r="V576" s="15" t="n">
        <v>111.9437504073056</v>
      </c>
      <c r="W576" s="49" t="n">
        <v>56929.12892739828</v>
      </c>
    </row>
    <row r="577">
      <c r="A577" s="44" t="inlineStr">
        <is>
          <t>TL Cinsi Kuponsuz Senetler</t>
        </is>
      </c>
      <c r="B577" s="44" t="n">
        <v>1998</v>
      </c>
      <c r="C577" s="44" t="inlineStr">
        <is>
          <t>TRT120599T11</t>
        </is>
      </c>
      <c r="D577" s="44" t="inlineStr">
        <is>
          <t>nan</t>
        </is>
      </c>
      <c r="E577" s="44" t="inlineStr">
        <is>
          <t>nan</t>
        </is>
      </c>
      <c r="F577" s="44" t="n"/>
      <c r="G577" s="44" t="n"/>
      <c r="H577" s="15" t="n"/>
      <c r="I577" s="45" t="n">
        <v>1005359.245</v>
      </c>
      <c r="J577" s="45" t="n"/>
      <c r="K577" s="45" t="n">
        <v>437515</v>
      </c>
      <c r="L577" s="45" t="n">
        <v>221001.984639456</v>
      </c>
      <c r="M577" s="45" t="n"/>
      <c r="N577" s="45" t="n"/>
      <c r="O577" s="45" t="n"/>
      <c r="P577" s="45" t="n"/>
      <c r="Q577" s="45" t="n">
        <v>0</v>
      </c>
      <c r="R577" s="45" t="n">
        <v>0</v>
      </c>
      <c r="S577" s="45" t="n">
        <v>484037.6915</v>
      </c>
      <c r="T577" s="45" t="n">
        <v>244501.984639456</v>
      </c>
      <c r="U577" s="15" t="n">
        <v>97.9689</v>
      </c>
      <c r="V577" s="15" t="n">
        <v>97.9689</v>
      </c>
      <c r="W577" s="49" t="n">
        <v>50512.98461526028</v>
      </c>
    </row>
    <row r="578">
      <c r="A578" s="44" t="inlineStr">
        <is>
          <t>TL Cinsi Kuponsuz Senetler</t>
        </is>
      </c>
      <c r="B578" s="44" t="n">
        <v>1998</v>
      </c>
      <c r="C578" s="44" t="inlineStr">
        <is>
          <t>TRB170299T19</t>
        </is>
      </c>
      <c r="D578" s="44" t="inlineStr">
        <is>
          <t>nan</t>
        </is>
      </c>
      <c r="E578" s="44" t="inlineStr">
        <is>
          <t>nan</t>
        </is>
      </c>
      <c r="F578" s="44" t="n"/>
      <c r="G578" s="44" t="n"/>
      <c r="H578" s="15" t="n"/>
      <c r="I578" s="45" t="n">
        <v>1153381.865</v>
      </c>
      <c r="J578" s="45" t="n"/>
      <c r="K578" s="45" t="n">
        <v>750296.4449999999</v>
      </c>
      <c r="L578" s="45" t="n">
        <v>445646.0918915547</v>
      </c>
      <c r="M578" s="45" t="n"/>
      <c r="N578" s="45" t="n"/>
      <c r="O578" s="45" t="n"/>
      <c r="P578" s="45" t="n"/>
      <c r="Q578" s="45" t="n">
        <v>0</v>
      </c>
      <c r="R578" s="45" t="n">
        <v>0</v>
      </c>
      <c r="S578" s="45" t="n">
        <v>775887.3929999999</v>
      </c>
      <c r="T578" s="45" t="n">
        <v>460846.0918915547</v>
      </c>
      <c r="U578" s="15" t="n">
        <v>68.36150000000001</v>
      </c>
      <c r="V578" s="15" t="n">
        <v>100.2889770843251</v>
      </c>
      <c r="W578" s="49" t="n">
        <v>59396.00205510167</v>
      </c>
    </row>
    <row r="579">
      <c r="A579" s="44" t="inlineStr">
        <is>
          <t>TL Cinsi Kuponsuz Senetler</t>
        </is>
      </c>
      <c r="B579" s="44" t="n">
        <v>1998</v>
      </c>
      <c r="C579" s="44" t="inlineStr">
        <is>
          <t>TRB021298T15</t>
        </is>
      </c>
      <c r="D579" s="44" t="inlineStr">
        <is>
          <t>nan</t>
        </is>
      </c>
      <c r="E579" s="44" t="inlineStr">
        <is>
          <t>nan</t>
        </is>
      </c>
      <c r="F579" s="44" t="n"/>
      <c r="G579" s="44" t="n"/>
      <c r="H579" s="15" t="n"/>
      <c r="I579" s="45" t="n">
        <v>1025871.385</v>
      </c>
      <c r="J579" s="45" t="n"/>
      <c r="K579" s="45" t="n">
        <v>602038.4</v>
      </c>
      <c r="L579" s="45" t="n">
        <v>428645.2482906911</v>
      </c>
      <c r="M579" s="45" t="n"/>
      <c r="N579" s="45" t="n"/>
      <c r="O579" s="45" t="n"/>
      <c r="P579" s="45" t="n"/>
      <c r="Q579" s="45" t="n">
        <v>0</v>
      </c>
      <c r="R579" s="45" t="n">
        <v>0</v>
      </c>
      <c r="S579" s="45" t="n">
        <v>677546.433</v>
      </c>
      <c r="T579" s="45" t="n">
        <v>481719.2744869225</v>
      </c>
      <c r="U579" s="15" t="n">
        <v>40.4515</v>
      </c>
      <c r="V579" s="15" t="n">
        <v>98.00806935846687</v>
      </c>
      <c r="W579" s="49" t="n">
        <v>71198.95479934354</v>
      </c>
    </row>
    <row r="580">
      <c r="A580" s="44" t="inlineStr">
        <is>
          <t>TL Cinsi Kuponsuz Senetler</t>
        </is>
      </c>
      <c r="B580" s="44" t="n">
        <v>1998</v>
      </c>
      <c r="C580" s="44" t="inlineStr">
        <is>
          <t>TRB100399T15</t>
        </is>
      </c>
      <c r="D580" s="44" t="inlineStr">
        <is>
          <t>nan</t>
        </is>
      </c>
      <c r="E580" s="44" t="inlineStr">
        <is>
          <t>nan</t>
        </is>
      </c>
      <c r="F580" s="44" t="n"/>
      <c r="G580" s="44" t="n"/>
      <c r="H580" s="15" t="n"/>
      <c r="I580" s="45" t="n">
        <v>714146.6</v>
      </c>
      <c r="J580" s="45" t="n"/>
      <c r="K580" s="45" t="n">
        <v>572381.6</v>
      </c>
      <c r="L580" s="45" t="n">
        <v>348746.407471653</v>
      </c>
      <c r="M580" s="45" t="n"/>
      <c r="N580" s="45" t="n"/>
      <c r="O580" s="45" t="n"/>
      <c r="P580" s="45" t="n"/>
      <c r="Q580" s="45" t="n">
        <v>0</v>
      </c>
      <c r="R580" s="45" t="n">
        <v>0</v>
      </c>
      <c r="S580" s="45" t="n">
        <v>662650.6</v>
      </c>
      <c r="T580" s="45" t="n">
        <v>403746.3895800203</v>
      </c>
      <c r="U580" s="15" t="n">
        <v>64.127</v>
      </c>
      <c r="V580" s="15" t="n">
        <v>93.60060422752412</v>
      </c>
      <c r="W580" s="49" t="n">
        <v>60928.42737636099</v>
      </c>
    </row>
    <row r="581">
      <c r="A581" s="44" t="inlineStr">
        <is>
          <t>TL Cinsi Kuponsuz Senetler</t>
        </is>
      </c>
      <c r="B581" s="44" t="n">
        <v>1998</v>
      </c>
      <c r="C581" s="44" t="inlineStr">
        <is>
          <t>TRT160699T16</t>
        </is>
      </c>
      <c r="D581" s="44" t="inlineStr">
        <is>
          <t>nan</t>
        </is>
      </c>
      <c r="E581" s="44" t="inlineStr">
        <is>
          <t>nan</t>
        </is>
      </c>
      <c r="F581" s="44" t="n"/>
      <c r="G581" s="44" t="n"/>
      <c r="H581" s="15" t="n"/>
      <c r="I581" s="45" t="n">
        <v>550311.29</v>
      </c>
      <c r="J581" s="45" t="n"/>
      <c r="K581" s="45" t="n">
        <v>527611.29</v>
      </c>
      <c r="L581" s="45" t="n">
        <v>256123.5854368932</v>
      </c>
      <c r="M581" s="45" t="n"/>
      <c r="N581" s="45" t="n"/>
      <c r="O581" s="45" t="n"/>
      <c r="P581" s="45" t="n"/>
      <c r="Q581" s="45" t="n">
        <v>0</v>
      </c>
      <c r="R581" s="45" t="n">
        <v>0</v>
      </c>
      <c r="S581" s="45" t="n">
        <v>596447.99</v>
      </c>
      <c r="T581" s="45" t="n">
        <v>295223.5854368932</v>
      </c>
      <c r="U581" s="15" t="n">
        <v>106</v>
      </c>
      <c r="V581" s="15" t="n">
        <v>106</v>
      </c>
      <c r="W581" s="49" t="n">
        <v>48543.68932038834</v>
      </c>
    </row>
    <row r="582">
      <c r="A582" s="44" t="inlineStr">
        <is>
          <t>TL Cinsi Kuponsuz Senetler</t>
        </is>
      </c>
      <c r="B582" s="44" t="n">
        <v>1998</v>
      </c>
      <c r="C582" s="44" t="inlineStr">
        <is>
          <t>TRB060199T13</t>
        </is>
      </c>
      <c r="D582" s="44" t="inlineStr">
        <is>
          <t>nan</t>
        </is>
      </c>
      <c r="E582" s="44" t="inlineStr">
        <is>
          <t>nan</t>
        </is>
      </c>
      <c r="F582" s="44" t="n"/>
      <c r="G582" s="44" t="n"/>
      <c r="H582" s="15" t="n"/>
      <c r="I582" s="45" t="n">
        <v>942100</v>
      </c>
      <c r="J582" s="45" t="n"/>
      <c r="K582" s="45" t="n">
        <v>329441</v>
      </c>
      <c r="L582" s="45" t="n">
        <v>248164.5783427495</v>
      </c>
      <c r="M582" s="45" t="n"/>
      <c r="N582" s="45" t="n"/>
      <c r="O582" s="45" t="n"/>
      <c r="P582" s="45" t="n"/>
      <c r="Q582" s="45" t="n">
        <v>0</v>
      </c>
      <c r="R582" s="45" t="n">
        <v>0</v>
      </c>
      <c r="S582" s="45" t="n">
        <v>393540.29</v>
      </c>
      <c r="T582" s="45" t="n">
        <v>292464.5763427495</v>
      </c>
      <c r="U582" s="15" t="n">
        <v>32.75</v>
      </c>
      <c r="V582" s="15" t="n">
        <v>76.22562499999999</v>
      </c>
      <c r="W582" s="49" t="n">
        <v>75329.56685499058</v>
      </c>
    </row>
    <row r="583">
      <c r="A583" s="44" t="inlineStr">
        <is>
          <t>TL Cinsi Kuponsuz Senetler</t>
        </is>
      </c>
      <c r="B583" s="44" t="n">
        <v>1998</v>
      </c>
      <c r="C583" s="44" t="inlineStr">
        <is>
          <t>TRB140499T10</t>
        </is>
      </c>
      <c r="D583" s="44" t="inlineStr">
        <is>
          <t>nan</t>
        </is>
      </c>
      <c r="E583" s="44" t="inlineStr">
        <is>
          <t>nan</t>
        </is>
      </c>
      <c r="F583" s="44" t="n"/>
      <c r="G583" s="44" t="n"/>
      <c r="H583" s="15" t="n"/>
      <c r="I583" s="45" t="n">
        <v>972144.275</v>
      </c>
      <c r="J583" s="45" t="n"/>
      <c r="K583" s="45" t="n">
        <v>450039.275</v>
      </c>
      <c r="L583" s="45" t="n">
        <v>288857.7086742245</v>
      </c>
      <c r="M583" s="45" t="n"/>
      <c r="N583" s="45" t="n"/>
      <c r="O583" s="45" t="n"/>
      <c r="P583" s="45" t="n"/>
      <c r="Q583" s="45" t="n">
        <v>0</v>
      </c>
      <c r="R583" s="45" t="n">
        <v>0</v>
      </c>
      <c r="S583" s="45" t="n">
        <v>594519.1359822027</v>
      </c>
      <c r="T583" s="45" t="n">
        <v>386157.7086742245</v>
      </c>
      <c r="U583" s="15" t="n">
        <v>55.79964165247778</v>
      </c>
      <c r="V583" s="15" t="n">
        <v>80.61560599552291</v>
      </c>
      <c r="W583" s="49" t="n">
        <v>64185.00000343847</v>
      </c>
    </row>
    <row r="584">
      <c r="A584" s="44" t="inlineStr">
        <is>
          <t>TL Cinsi Kuponsuz Senetler</t>
        </is>
      </c>
      <c r="B584" s="44" t="n">
        <v>1998</v>
      </c>
      <c r="C584" s="44" t="inlineStr">
        <is>
          <t>TRT280799T29</t>
        </is>
      </c>
      <c r="D584" s="44" t="inlineStr">
        <is>
          <t>nan</t>
        </is>
      </c>
      <c r="E584" s="44" t="inlineStr">
        <is>
          <t>nan</t>
        </is>
      </c>
      <c r="F584" s="44" t="n"/>
      <c r="G584" s="44" t="n"/>
      <c r="H584" s="15" t="n"/>
      <c r="I584" s="45" t="n">
        <v>828086.7</v>
      </c>
      <c r="J584" s="45" t="n"/>
      <c r="K584" s="45" t="n">
        <v>395066.7</v>
      </c>
      <c r="L584" s="45" t="n">
        <v>205015.8504411002</v>
      </c>
      <c r="M584" s="45" t="n"/>
      <c r="N584" s="45" t="n"/>
      <c r="O584" s="45" t="n"/>
      <c r="P584" s="45" t="n"/>
      <c r="Q584" s="45" t="n">
        <v>0</v>
      </c>
      <c r="R584" s="45" t="n">
        <v>0</v>
      </c>
      <c r="S584" s="45" t="n">
        <v>561174.498073</v>
      </c>
      <c r="T584" s="45" t="n">
        <v>291215.857017644</v>
      </c>
      <c r="U584" s="15" t="n">
        <v>92.7</v>
      </c>
      <c r="V584" s="15" t="n">
        <v>92.7</v>
      </c>
      <c r="W584" s="49" t="n">
        <v>51894.13596263622</v>
      </c>
    </row>
    <row r="585">
      <c r="A585" s="44" t="inlineStr">
        <is>
          <t>TL Cinsi Kuponsuz Senetler</t>
        </is>
      </c>
      <c r="B585" s="44" t="n">
        <v>1998</v>
      </c>
      <c r="C585" s="44" t="inlineStr">
        <is>
          <t>TRB030299T15</t>
        </is>
      </c>
      <c r="D585" s="44" t="inlineStr">
        <is>
          <t>nan</t>
        </is>
      </c>
      <c r="E585" s="44" t="inlineStr">
        <is>
          <t>nan</t>
        </is>
      </c>
      <c r="F585" s="44" t="n"/>
      <c r="G585" s="44" t="n"/>
      <c r="H585" s="15" t="n"/>
      <c r="I585" s="45" t="n">
        <v>956034.915</v>
      </c>
      <c r="J585" s="45" t="n"/>
      <c r="K585" s="45" t="n">
        <v>507268.645</v>
      </c>
      <c r="L585" s="45" t="n">
        <v>364137.7098731791</v>
      </c>
      <c r="M585" s="45" t="n"/>
      <c r="N585" s="45" t="n"/>
      <c r="O585" s="45" t="n"/>
      <c r="P585" s="45" t="n"/>
      <c r="Q585" s="45" t="n">
        <v>0</v>
      </c>
      <c r="R585" s="45" t="n">
        <v>0</v>
      </c>
      <c r="S585" s="45" t="n">
        <v>549047.6967472527</v>
      </c>
      <c r="T585" s="45" t="n">
        <v>394137.7098731791</v>
      </c>
      <c r="U585" s="15" t="n">
        <v>39.3067</v>
      </c>
      <c r="V585" s="15" t="n">
        <v>94.06356664890001</v>
      </c>
      <c r="W585" s="49" t="n">
        <v>71784.05633038469</v>
      </c>
    </row>
    <row r="586">
      <c r="A586" s="44" t="inlineStr">
        <is>
          <t>TL Cinsi Kuponsuz Senetler</t>
        </is>
      </c>
      <c r="B586" s="44" t="n">
        <v>1998</v>
      </c>
      <c r="C586" s="44" t="inlineStr">
        <is>
          <t>TRB120599T11</t>
        </is>
      </c>
      <c r="D586" s="44" t="inlineStr">
        <is>
          <t>nan</t>
        </is>
      </c>
      <c r="E586" s="44" t="inlineStr">
        <is>
          <t>nan</t>
        </is>
      </c>
      <c r="F586" s="44" t="n"/>
      <c r="G586" s="44" t="n"/>
      <c r="H586" s="15" t="n"/>
      <c r="I586" s="45" t="n">
        <v>340148</v>
      </c>
      <c r="J586" s="45" t="n"/>
      <c r="K586" s="45" t="n">
        <v>50441</v>
      </c>
      <c r="L586" s="45" t="n">
        <v>29616.86869238448</v>
      </c>
      <c r="M586" s="45" t="n"/>
      <c r="N586" s="45" t="n"/>
      <c r="O586" s="45" t="n"/>
      <c r="P586" s="45" t="n"/>
      <c r="Q586" s="45" t="n">
        <v>0</v>
      </c>
      <c r="R586" s="45" t="n">
        <v>0</v>
      </c>
      <c r="S586" s="45" t="n">
        <v>119617.7</v>
      </c>
      <c r="T586" s="45" t="n">
        <v>82926.86869238448</v>
      </c>
      <c r="U586" s="15" t="n">
        <v>70.31</v>
      </c>
      <c r="V586" s="15" t="n">
        <v>103.3855988793862</v>
      </c>
      <c r="W586" s="49" t="n">
        <v>58716.45822323997</v>
      </c>
    </row>
    <row r="587">
      <c r="A587" s="44" t="inlineStr">
        <is>
          <t>TL Cinsi Kuponsuz Senetler</t>
        </is>
      </c>
      <c r="B587" s="44" t="n">
        <v>1998</v>
      </c>
      <c r="C587" s="44" t="inlineStr">
        <is>
          <t>TRB181198T18</t>
        </is>
      </c>
      <c r="D587" s="44" t="inlineStr">
        <is>
          <t>nan</t>
        </is>
      </c>
      <c r="E587" s="44" t="inlineStr">
        <is>
          <t>nan</t>
        </is>
      </c>
      <c r="F587" s="44" t="n"/>
      <c r="G587" s="44" t="n"/>
      <c r="H587" s="15" t="n"/>
      <c r="I587" s="45" t="n">
        <v>550488.175</v>
      </c>
      <c r="J587" s="45" t="n"/>
      <c r="K587" s="45" t="n">
        <v>313365.075</v>
      </c>
      <c r="L587" s="45" t="n">
        <v>260594.356964657</v>
      </c>
      <c r="M587" s="45" t="n"/>
      <c r="N587" s="45" t="n"/>
      <c r="O587" s="45" t="n"/>
      <c r="P587" s="45" t="n"/>
      <c r="Q587" s="45" t="n">
        <v>0</v>
      </c>
      <c r="R587" s="45" t="n">
        <v>0</v>
      </c>
      <c r="S587" s="45" t="n">
        <v>485103.175</v>
      </c>
      <c r="T587" s="45" t="n">
        <v>370594.356964657</v>
      </c>
      <c r="U587" s="15" t="n">
        <v>20.25</v>
      </c>
      <c r="V587" s="15" t="n">
        <v>109.0934075039064</v>
      </c>
      <c r="W587" s="49" t="n">
        <v>83160.08316008314</v>
      </c>
    </row>
    <row r="588">
      <c r="A588" s="44" t="inlineStr">
        <is>
          <t>TL Cinsi Kuponsuz Senetler</t>
        </is>
      </c>
      <c r="B588" s="44" t="n">
        <v>1998</v>
      </c>
      <c r="C588" s="44" t="inlineStr">
        <is>
          <t>TRB130199T14</t>
        </is>
      </c>
      <c r="D588" s="44" t="inlineStr">
        <is>
          <t>nan</t>
        </is>
      </c>
      <c r="E588" s="44" t="inlineStr">
        <is>
          <t>nan</t>
        </is>
      </c>
      <c r="F588" s="44" t="n"/>
      <c r="G588" s="44" t="n"/>
      <c r="H588" s="15" t="n"/>
      <c r="I588" s="45" t="n">
        <v>377516.575</v>
      </c>
      <c r="J588" s="45" t="n"/>
      <c r="K588" s="45" t="n">
        <v>354140.43</v>
      </c>
      <c r="L588" s="45" t="n">
        <v>250986.4004762614</v>
      </c>
      <c r="M588" s="45" t="n"/>
      <c r="N588" s="45" t="n"/>
      <c r="O588" s="45" t="n"/>
      <c r="P588" s="45" t="n"/>
      <c r="Q588" s="45" t="n">
        <v>0</v>
      </c>
      <c r="R588" s="45" t="n">
        <v>0</v>
      </c>
      <c r="S588" s="45" t="n">
        <v>644740.81811802</v>
      </c>
      <c r="T588" s="45" t="n">
        <v>454492.4004762614</v>
      </c>
      <c r="U588" s="15" t="n">
        <v>41.099</v>
      </c>
      <c r="V588" s="15" t="n">
        <v>156.58035596023</v>
      </c>
      <c r="W588" s="49" t="n">
        <v>70872.22446650933</v>
      </c>
    </row>
    <row r="589">
      <c r="A589" s="44" t="inlineStr">
        <is>
          <t>TL Cinsi Kuponsuz Senetler</t>
        </is>
      </c>
      <c r="B589" s="44" t="n">
        <v>1998</v>
      </c>
      <c r="C589" s="44" t="inlineStr">
        <is>
          <t>TRB170399T18</t>
        </is>
      </c>
      <c r="D589" s="44" t="inlineStr">
        <is>
          <t>nan</t>
        </is>
      </c>
      <c r="E589" s="44" t="inlineStr">
        <is>
          <t>nan</t>
        </is>
      </c>
      <c r="F589" s="44" t="n"/>
      <c r="G589" s="44" t="n"/>
      <c r="H589" s="15" t="n"/>
      <c r="I589" s="45" t="n">
        <v>952639.48</v>
      </c>
      <c r="J589" s="45" t="n"/>
      <c r="K589" s="45" t="n">
        <v>587437.515</v>
      </c>
      <c r="L589" s="45" t="n">
        <v>377816.2559936199</v>
      </c>
      <c r="M589" s="45" t="n"/>
      <c r="N589" s="45" t="n"/>
      <c r="O589" s="45" t="n"/>
      <c r="P589" s="45" t="n"/>
      <c r="Q589" s="45" t="n">
        <v>0</v>
      </c>
      <c r="R589" s="45" t="n">
        <v>0</v>
      </c>
      <c r="S589" s="45" t="n">
        <v>663816.915</v>
      </c>
      <c r="T589" s="45" t="n">
        <v>427816.2559936199</v>
      </c>
      <c r="U589" s="15" t="n">
        <v>55.482</v>
      </c>
      <c r="V589" s="15" t="n">
        <v>141.74652324</v>
      </c>
      <c r="W589" s="49" t="n">
        <v>64316.12662559011</v>
      </c>
    </row>
    <row r="590">
      <c r="A590" s="44" t="inlineStr">
        <is>
          <t>TL Cinsi Kuponsuz Senetler</t>
        </is>
      </c>
      <c r="B590" s="44" t="n">
        <v>1998</v>
      </c>
      <c r="C590" s="44" t="inlineStr">
        <is>
          <t>TRB280499T14</t>
        </is>
      </c>
      <c r="D590" s="44" t="inlineStr">
        <is>
          <t>nan</t>
        </is>
      </c>
      <c r="E590" s="44" t="inlineStr">
        <is>
          <t>nan</t>
        </is>
      </c>
      <c r="F590" s="44" t="n"/>
      <c r="G590" s="44" t="n"/>
      <c r="H590" s="15" t="n"/>
      <c r="I590" s="45" t="n">
        <v>975914.54</v>
      </c>
      <c r="J590" s="45" t="n"/>
      <c r="K590" s="45" t="n">
        <v>670838.535</v>
      </c>
      <c r="L590" s="45" t="n">
        <v>396445.4157162866</v>
      </c>
      <c r="M590" s="45" t="n"/>
      <c r="N590" s="45" t="n"/>
      <c r="O590" s="45" t="n"/>
      <c r="P590" s="45" t="n"/>
      <c r="Q590" s="45" t="n">
        <v>0</v>
      </c>
      <c r="R590" s="45" t="n">
        <v>0</v>
      </c>
      <c r="S590" s="45" t="n">
        <v>670838.535</v>
      </c>
      <c r="T590" s="45" t="n">
        <v>396445.4157162866</v>
      </c>
      <c r="U590" s="15" t="n">
        <v>69.21299999999999</v>
      </c>
      <c r="V590" s="15" t="n">
        <v>148.8581053462821</v>
      </c>
      <c r="W590" s="49" t="n">
        <v>59097.11428790932</v>
      </c>
    </row>
    <row r="591">
      <c r="A591" s="44" t="inlineStr">
        <is>
          <t>TL Cinsi Kuponsuz Senetler</t>
        </is>
      </c>
      <c r="B591" s="44" t="n">
        <v>1998</v>
      </c>
      <c r="C591" s="44" t="inlineStr">
        <is>
          <t>TRB050599T10</t>
        </is>
      </c>
      <c r="D591" s="44" t="inlineStr">
        <is>
          <t>nan</t>
        </is>
      </c>
      <c r="E591" s="44" t="inlineStr">
        <is>
          <t>nan</t>
        </is>
      </c>
      <c r="F591" s="44" t="n"/>
      <c r="G591" s="44" t="n"/>
      <c r="H591" s="15" t="n"/>
      <c r="I591" s="45" t="n">
        <v>148374.21</v>
      </c>
      <c r="J591" s="45" t="n"/>
      <c r="K591" s="45" t="n">
        <v>81054.675</v>
      </c>
      <c r="L591" s="45" t="n">
        <v>48468.43921280184</v>
      </c>
      <c r="M591" s="45" t="n"/>
      <c r="N591" s="45" t="n"/>
      <c r="O591" s="45" t="n"/>
      <c r="P591" s="45" t="n"/>
      <c r="Q591" s="45" t="n">
        <v>0</v>
      </c>
      <c r="R591" s="45" t="n">
        <v>0</v>
      </c>
      <c r="S591" s="45" t="n">
        <v>161815.055</v>
      </c>
      <c r="T591" s="45" t="n">
        <v>100968.4588114288</v>
      </c>
      <c r="U591" s="15" t="n">
        <v>67.226</v>
      </c>
      <c r="V591" s="15" t="n">
        <v>143.8147204905863</v>
      </c>
      <c r="W591" s="49" t="n">
        <v>59799.31350388097</v>
      </c>
    </row>
    <row r="592">
      <c r="A592" s="44" t="inlineStr">
        <is>
          <t>TL Cinsi Kuponsuz Senetler</t>
        </is>
      </c>
      <c r="B592" s="44" t="n">
        <v>1998</v>
      </c>
      <c r="C592" s="44" t="inlineStr">
        <is>
          <t>TRB210799T18</t>
        </is>
      </c>
      <c r="D592" s="44" t="inlineStr">
        <is>
          <t>nan</t>
        </is>
      </c>
      <c r="E592" s="44" t="inlineStr">
        <is>
          <t>nan</t>
        </is>
      </c>
      <c r="F592" s="44" t="n"/>
      <c r="G592" s="44" t="n"/>
      <c r="H592" s="15" t="n"/>
      <c r="I592" s="45" t="n">
        <v>259221.135</v>
      </c>
      <c r="J592" s="45" t="n"/>
      <c r="K592" s="45" t="n">
        <v>189317.6</v>
      </c>
      <c r="L592" s="45" t="n">
        <v>98319.32473695691</v>
      </c>
      <c r="M592" s="45" t="n"/>
      <c r="N592" s="45" t="n"/>
      <c r="O592" s="45" t="n"/>
      <c r="P592" s="45" t="n"/>
      <c r="Q592" s="45" t="n"/>
      <c r="R592" s="45" t="n"/>
      <c r="S592" s="45" t="n">
        <v>189317.6</v>
      </c>
      <c r="T592" s="45" t="n">
        <v>98319.32473695691</v>
      </c>
      <c r="U592" s="15" t="n">
        <v>92.554</v>
      </c>
      <c r="V592" s="15" t="n">
        <v>139.55398131456</v>
      </c>
      <c r="W592" s="49" t="n">
        <v>51933.48359421253</v>
      </c>
    </row>
    <row r="593">
      <c r="A593" s="44" t="inlineStr">
        <is>
          <t>TL Cinsi Kuponsuz Senetler</t>
        </is>
      </c>
      <c r="B593" s="44" t="n">
        <v>1998</v>
      </c>
      <c r="C593" s="44" t="inlineStr">
        <is>
          <t>TRB050599T10</t>
        </is>
      </c>
      <c r="D593" s="44" t="inlineStr">
        <is>
          <t>nan</t>
        </is>
      </c>
      <c r="E593" s="44" t="inlineStr">
        <is>
          <t>nan</t>
        </is>
      </c>
      <c r="F593" s="44" t="n"/>
      <c r="G593" s="44" t="n"/>
      <c r="H593" s="15" t="n"/>
      <c r="I593" s="45" t="n">
        <v>1258328.83</v>
      </c>
      <c r="J593" s="45" t="n"/>
      <c r="K593" s="45" t="n">
        <v>662959.415</v>
      </c>
      <c r="L593" s="45" t="n">
        <v>422983.4910089706</v>
      </c>
      <c r="M593" s="45" t="n"/>
      <c r="N593" s="45" t="n"/>
      <c r="O593" s="45" t="n"/>
      <c r="P593" s="45" t="n"/>
      <c r="Q593" s="45" t="n"/>
      <c r="R593" s="45" t="n"/>
      <c r="S593" s="45" t="n">
        <v>792908.0750000001</v>
      </c>
      <c r="T593" s="45" t="n">
        <v>505893.3104036137</v>
      </c>
      <c r="U593" s="15" t="n">
        <v>56.734</v>
      </c>
      <c r="V593" s="15" t="n">
        <v>145.6554675600001</v>
      </c>
      <c r="W593" s="49" t="n">
        <v>63802.36579172355</v>
      </c>
    </row>
    <row r="594">
      <c r="A594" s="44" t="inlineStr">
        <is>
          <t>TL Cinsi Kuponsuz Senetler</t>
        </is>
      </c>
      <c r="B594" s="44" t="n">
        <v>1998</v>
      </c>
      <c r="C594" s="44" t="inlineStr">
        <is>
          <t>TRB061099T12</t>
        </is>
      </c>
      <c r="D594" s="44" t="inlineStr">
        <is>
          <t>nan</t>
        </is>
      </c>
      <c r="E594" s="44" t="inlineStr">
        <is>
          <t>nan</t>
        </is>
      </c>
      <c r="F594" s="44" t="n"/>
      <c r="G594" s="44" t="n"/>
      <c r="H594" s="15" t="n"/>
      <c r="I594" s="45" t="n">
        <v>731429.175</v>
      </c>
      <c r="J594" s="45" t="n"/>
      <c r="K594" s="45" t="n">
        <v>175006.94</v>
      </c>
      <c r="L594" s="45" t="n">
        <v>81681.34616721982</v>
      </c>
      <c r="M594" s="45" t="n"/>
      <c r="N594" s="45" t="n"/>
      <c r="O594" s="45" t="n"/>
      <c r="P594" s="45" t="n"/>
      <c r="Q594" s="45" t="n"/>
      <c r="R594" s="45" t="n"/>
      <c r="S594" s="45" t="n">
        <v>181434.611</v>
      </c>
      <c r="T594" s="45" t="n">
        <v>84681.34616721982</v>
      </c>
      <c r="U594" s="15" t="n">
        <v>114.2557</v>
      </c>
      <c r="V594" s="15" t="n">
        <v>132.3474751163118</v>
      </c>
      <c r="W594" s="49" t="n">
        <v>46673.20402677735</v>
      </c>
    </row>
    <row r="595">
      <c r="A595" s="44" t="inlineStr">
        <is>
          <t>TL Cinsi Kuponsuz Senetler</t>
        </is>
      </c>
      <c r="B595" s="44" t="n">
        <v>1998</v>
      </c>
      <c r="C595" s="44" t="inlineStr">
        <is>
          <t>TRB210799T18</t>
        </is>
      </c>
      <c r="D595" s="44" t="inlineStr">
        <is>
          <t>nan</t>
        </is>
      </c>
      <c r="E595" s="44" t="inlineStr">
        <is>
          <t>nan</t>
        </is>
      </c>
      <c r="F595" s="44" t="n"/>
      <c r="G595" s="44" t="n"/>
      <c r="H595" s="15" t="n"/>
      <c r="I595" s="45" t="n">
        <v>1080414.07</v>
      </c>
      <c r="J595" s="45" t="n"/>
      <c r="K595" s="45" t="n">
        <v>605611.3</v>
      </c>
      <c r="L595" s="45" t="n">
        <v>328839.8632079058</v>
      </c>
      <c r="M595" s="45" t="n"/>
      <c r="N595" s="45" t="n"/>
      <c r="O595" s="45" t="n"/>
      <c r="P595" s="45" t="n"/>
      <c r="Q595" s="45" t="n"/>
      <c r="R595" s="45" t="n"/>
      <c r="S595" s="45" t="n">
        <v>612493.7329000001</v>
      </c>
      <c r="T595" s="45" t="n">
        <v>332576.8632079058</v>
      </c>
      <c r="U595" s="15" t="n">
        <v>84.17</v>
      </c>
      <c r="V595" s="15" t="n">
        <v>147.7647342682292</v>
      </c>
      <c r="W595" s="49" t="n">
        <v>54297.65977086388</v>
      </c>
    </row>
    <row r="596">
      <c r="A596" s="44" t="inlineStr">
        <is>
          <t>TL Cinsi Kuponsuz Senetler</t>
        </is>
      </c>
      <c r="B596" s="44" t="n">
        <v>1998</v>
      </c>
      <c r="C596" s="44" t="inlineStr">
        <is>
          <t>TRB061099T12</t>
        </is>
      </c>
      <c r="D596" s="44" t="inlineStr">
        <is>
          <t>nan</t>
        </is>
      </c>
      <c r="E596" s="44" t="inlineStr">
        <is>
          <t>nan</t>
        </is>
      </c>
      <c r="F596" s="44" t="n"/>
      <c r="G596" s="44" t="n"/>
      <c r="H596" s="15" t="n"/>
      <c r="I596" s="45" t="n">
        <v>1781287.06</v>
      </c>
      <c r="J596" s="45" t="n"/>
      <c r="K596" s="45" t="n">
        <v>1096759.07</v>
      </c>
      <c r="L596" s="45" t="n">
        <v>506389.2099982728</v>
      </c>
      <c r="M596" s="45" t="n"/>
      <c r="N596" s="45" t="n"/>
      <c r="O596" s="45" t="n"/>
      <c r="P596" s="45" t="n"/>
      <c r="Q596" s="45" t="n"/>
      <c r="R596" s="45" t="n"/>
      <c r="S596" s="45" t="n">
        <v>1179499.3199042</v>
      </c>
      <c r="T596" s="45" t="n">
        <v>544591.2562839045</v>
      </c>
      <c r="U596" s="15" t="n">
        <v>116.58421</v>
      </c>
      <c r="V596" s="15" t="n">
        <v>149.2584237497941</v>
      </c>
      <c r="W596" s="49" t="n">
        <v>46171.41757471609</v>
      </c>
    </row>
    <row r="597">
      <c r="A597" s="44" t="inlineStr">
        <is>
          <t>TL Cinsi Kuponsuz Senetler</t>
        </is>
      </c>
      <c r="B597" s="44" t="n">
        <v>1998</v>
      </c>
      <c r="C597" s="44" t="inlineStr">
        <is>
          <t>TRB210799T18</t>
        </is>
      </c>
      <c r="D597" s="44" t="inlineStr">
        <is>
          <t>nan</t>
        </is>
      </c>
      <c r="E597" s="44" t="inlineStr">
        <is>
          <t>nan</t>
        </is>
      </c>
      <c r="F597" s="44" t="n"/>
      <c r="G597" s="44" t="n"/>
      <c r="H597" s="15" t="n"/>
      <c r="I597" s="45" t="n">
        <v>1218746.485</v>
      </c>
      <c r="J597" s="45" t="n"/>
      <c r="K597" s="45" t="n">
        <v>547742.755</v>
      </c>
      <c r="L597" s="45" t="n">
        <v>313174.6379790521</v>
      </c>
      <c r="M597" s="45" t="n"/>
      <c r="N597" s="45" t="n"/>
      <c r="O597" s="45" t="n"/>
      <c r="P597" s="45" t="n"/>
      <c r="Q597" s="45" t="n"/>
      <c r="R597" s="45" t="n"/>
      <c r="S597" s="45" t="n">
        <v>547742.755</v>
      </c>
      <c r="T597" s="45" t="n">
        <v>313174.6379790521</v>
      </c>
      <c r="U597" s="15" t="n">
        <v>74.90009999999999</v>
      </c>
      <c r="V597" s="15" t="n">
        <v>148.046922934618</v>
      </c>
      <c r="W597" s="49" t="n">
        <v>57175.49618324976</v>
      </c>
    </row>
    <row r="598">
      <c r="A598" s="44" t="inlineStr">
        <is>
          <t>TL Cinsi Kuponsuz Senetler</t>
        </is>
      </c>
      <c r="B598" s="44" t="n">
        <v>1998</v>
      </c>
      <c r="C598" s="44" t="inlineStr">
        <is>
          <t>TRT090200T17</t>
        </is>
      </c>
      <c r="D598" s="44" t="inlineStr">
        <is>
          <t>nan</t>
        </is>
      </c>
      <c r="E598" s="44" t="inlineStr">
        <is>
          <t>nan</t>
        </is>
      </c>
      <c r="F598" s="44" t="n"/>
      <c r="G598" s="44" t="n"/>
      <c r="H598" s="15" t="n"/>
      <c r="I598" s="45" t="n">
        <v>530061.575</v>
      </c>
      <c r="J598" s="45" t="n"/>
      <c r="K598" s="45" t="n">
        <v>244608.295</v>
      </c>
      <c r="L598" s="45" t="n">
        <v>94405.64916327033</v>
      </c>
      <c r="M598" s="45" t="n"/>
      <c r="N598" s="45" t="n"/>
      <c r="O598" s="45" t="n"/>
      <c r="P598" s="45" t="n"/>
      <c r="Q598" s="45" t="n"/>
      <c r="R598" s="45" t="n"/>
      <c r="S598" s="45" t="n">
        <v>248069.92444</v>
      </c>
      <c r="T598" s="45" t="n">
        <v>95741.64916327033</v>
      </c>
      <c r="U598" s="15" t="n">
        <v>159.104</v>
      </c>
      <c r="V598" s="15" t="n">
        <v>128.2150258232187</v>
      </c>
      <c r="W598" s="49" t="n">
        <v>38594.54118809435</v>
      </c>
    </row>
    <row r="599">
      <c r="A599" s="44" t="inlineStr">
        <is>
          <t>TL Cinsi Kuponsuz Senetler</t>
        </is>
      </c>
      <c r="B599" s="44" t="n">
        <v>1998</v>
      </c>
      <c r="C599" s="44" t="inlineStr">
        <is>
          <t>TRB050599T10</t>
        </is>
      </c>
      <c r="D599" s="44" t="inlineStr">
        <is>
          <t>nan</t>
        </is>
      </c>
      <c r="E599" s="44" t="inlineStr">
        <is>
          <t>nan</t>
        </is>
      </c>
      <c r="F599" s="44" t="n"/>
      <c r="G599" s="44" t="n"/>
      <c r="H599" s="15" t="n"/>
      <c r="I599" s="45" t="n">
        <v>697280.16</v>
      </c>
      <c r="J599" s="45" t="n"/>
      <c r="K599" s="45" t="n">
        <v>238595.05</v>
      </c>
      <c r="L599" s="45" t="n">
        <v>174161.6558264475</v>
      </c>
      <c r="M599" s="45" t="n"/>
      <c r="N599" s="45" t="n"/>
      <c r="O599" s="45" t="n"/>
      <c r="P599" s="45" t="n"/>
      <c r="Q599" s="45" t="n"/>
      <c r="R599" s="45" t="n"/>
      <c r="S599" s="45" t="n">
        <v>239280.03</v>
      </c>
      <c r="T599" s="45" t="n">
        <v>174661.6558264475</v>
      </c>
      <c r="U599" s="15" t="n">
        <v>36.996</v>
      </c>
      <c r="V599" s="15" t="n">
        <v>136.6725558677966</v>
      </c>
      <c r="W599" s="49" t="n">
        <v>72994.83196589681</v>
      </c>
    </row>
  </sheetData>
  <mergeCells count="8">
    <mergeCell ref="Q1:R1"/>
    <mergeCell ref="K1:L1"/>
    <mergeCell ref="S1:T1"/>
    <mergeCell ref="U1:V1"/>
    <mergeCell ref="O1:P1"/>
    <mergeCell ref="A1:H1"/>
    <mergeCell ref="M1:N1"/>
    <mergeCell ref="I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0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8" customHeight="1">
      <c r="A1" s="26" t="inlineStr">
        <is>
          <t>Genel Bilgiler</t>
        </is>
      </c>
      <c r="B1" s="2" t="n"/>
      <c r="C1" s="2" t="n"/>
      <c r="D1" s="2" t="n"/>
      <c r="E1" s="2" t="n"/>
      <c r="F1" s="2" t="n"/>
      <c r="G1" s="2" t="n"/>
      <c r="H1" s="3" t="n"/>
      <c r="I1" s="27" t="inlineStr">
        <is>
          <t>Teklif Edilen Tutar</t>
        </is>
      </c>
      <c r="J1" s="3" t="n"/>
      <c r="K1" s="28" t="inlineStr">
        <is>
          <t>İhale Kabul Edilen Tutar</t>
        </is>
      </c>
      <c r="L1" s="3" t="n"/>
      <c r="M1" s="29" t="inlineStr">
        <is>
          <t>Rek. Olmayan Teklif - Kamu</t>
        </is>
      </c>
      <c r="N1" s="3" t="n"/>
      <c r="O1" s="30" t="inlineStr">
        <is>
          <t>Rek. Olmayan Teklif - Piyasa Yapıcı</t>
        </is>
      </c>
      <c r="P1" s="3" t="n"/>
      <c r="Q1" s="31" t="inlineStr">
        <is>
          <t>İhale Sonrası Satış</t>
        </is>
      </c>
      <c r="R1" s="3" t="n"/>
      <c r="S1" s="32" t="inlineStr">
        <is>
          <t>Toplam Satış</t>
        </is>
      </c>
      <c r="T1" s="3" t="n"/>
      <c r="U1" s="33" t="inlineStr">
        <is>
          <t>Kabul Edilen Faiz (%)</t>
        </is>
      </c>
      <c r="V1" s="3" t="n"/>
      <c r="W1" s="34" t="inlineStr">
        <is>
          <t>Fiyat</t>
        </is>
      </c>
    </row>
    <row r="2" ht="36" customHeight="1">
      <c r="A2" s="35" t="inlineStr">
        <is>
          <t>Senet Türü</t>
        </is>
      </c>
      <c r="B2" s="35" t="inlineStr">
        <is>
          <t>Yıl</t>
        </is>
      </c>
      <c r="C2" s="35" t="inlineStr">
        <is>
          <t>ISIN Kodu</t>
        </is>
      </c>
      <c r="D2" s="35" t="inlineStr">
        <is>
          <t>Valör Tarihi</t>
        </is>
      </c>
      <c r="E2" s="35" t="inlineStr">
        <is>
          <t>İtfa Tarihi</t>
        </is>
      </c>
      <c r="F2" s="35" t="inlineStr">
        <is>
          <t>Vade (Gün)</t>
        </is>
      </c>
      <c r="G2" s="35" t="inlineStr">
        <is>
          <t>Kupon Dönemi</t>
        </is>
      </c>
      <c r="H2" s="35" t="inlineStr">
        <is>
          <t>Kupon Oranı (%)</t>
        </is>
      </c>
      <c r="I2" s="36" t="inlineStr">
        <is>
          <t>Nominal (Bin TL)</t>
        </is>
      </c>
      <c r="J2" s="36" t="inlineStr">
        <is>
          <t>Net (Bin TL)</t>
        </is>
      </c>
      <c r="K2" s="37" t="inlineStr">
        <is>
          <t>Nominal (Bin TL)</t>
        </is>
      </c>
      <c r="L2" s="37" t="inlineStr">
        <is>
          <t>Net (Bin TL)</t>
        </is>
      </c>
      <c r="M2" s="38" t="inlineStr">
        <is>
          <t>Nominal (Bin TL)</t>
        </is>
      </c>
      <c r="N2" s="38" t="inlineStr">
        <is>
          <t>Net (Bin TL)</t>
        </is>
      </c>
      <c r="O2" s="39" t="inlineStr">
        <is>
          <t>Nominal (Bin TL)</t>
        </is>
      </c>
      <c r="P2" s="39" t="inlineStr">
        <is>
          <t>Net (Bin TL)</t>
        </is>
      </c>
      <c r="Q2" s="40" t="inlineStr">
        <is>
          <t>Nominal (Bin TL)</t>
        </is>
      </c>
      <c r="R2" s="40" t="inlineStr">
        <is>
          <t>Net (Bin TL)</t>
        </is>
      </c>
      <c r="S2" s="41" t="inlineStr">
        <is>
          <t>Nominal (Bin TL)</t>
        </is>
      </c>
      <c r="T2" s="41" t="inlineStr">
        <is>
          <t>Net (Bin TL)</t>
        </is>
      </c>
      <c r="U2" s="42" t="inlineStr">
        <is>
          <t>Ort. Dönem (Basit)</t>
        </is>
      </c>
      <c r="V2" s="42" t="inlineStr">
        <is>
          <t>Ort. Yıllık Bileşik</t>
        </is>
      </c>
      <c r="W2" s="43" t="inlineStr">
        <is>
          <t>İhraç Birim Fiyatı (Ort.)</t>
        </is>
      </c>
    </row>
    <row r="3">
      <c r="A3" s="44" t="inlineStr">
        <is>
          <t>TL Cinsi TUFE Endeksli Senetler</t>
        </is>
      </c>
      <c r="B3" s="44" t="n">
        <v>2026</v>
      </c>
      <c r="C3" s="44" t="inlineStr">
        <is>
          <t>TRT080131T12</t>
        </is>
      </c>
      <c r="D3" s="44" t="inlineStr">
        <is>
          <t>14.01.2026</t>
        </is>
      </c>
      <c r="E3" s="44" t="inlineStr">
        <is>
          <t>08.01.2031</t>
        </is>
      </c>
      <c r="F3" s="44" t="n">
        <v>1820</v>
      </c>
      <c r="G3" s="44" t="inlineStr">
        <is>
          <t>6 ay</t>
        </is>
      </c>
      <c r="H3" s="15" t="n">
        <v>2.65</v>
      </c>
      <c r="I3" s="45" t="n">
        <v>7111000</v>
      </c>
      <c r="J3" s="45" t="n">
        <v>6889380.8</v>
      </c>
      <c r="K3" s="45" t="n">
        <v>650000</v>
      </c>
      <c r="L3" s="45" t="n">
        <v>650109</v>
      </c>
      <c r="M3" s="45" t="n">
        <v>19996600.577</v>
      </c>
      <c r="N3" s="45" t="n">
        <v>19999999.9991</v>
      </c>
      <c r="O3" s="45" t="n">
        <v>1999660.054</v>
      </c>
      <c r="P3" s="45" t="n">
        <v>1999999.99621</v>
      </c>
      <c r="Q3" s="45" t="n">
        <v>0</v>
      </c>
      <c r="R3" s="45" t="n">
        <v>0</v>
      </c>
      <c r="S3" s="45" t="n">
        <v>22646260.631</v>
      </c>
      <c r="T3" s="45" t="n">
        <v>22650108.99531</v>
      </c>
      <c r="U3" s="15" t="n">
        <v>2.65</v>
      </c>
      <c r="V3" s="15" t="n">
        <v>5.37</v>
      </c>
      <c r="W3" s="49" t="n">
        <v>100.017</v>
      </c>
    </row>
    <row r="4">
      <c r="A4" s="44" t="inlineStr">
        <is>
          <t>TL Cinsi TUFE Endeksli Senetler</t>
        </is>
      </c>
      <c r="B4" s="44" t="n">
        <v>2026</v>
      </c>
      <c r="C4" s="44" t="inlineStr">
        <is>
          <t>TRT080131T12</t>
        </is>
      </c>
      <c r="D4" s="44" t="inlineStr">
        <is>
          <t>18.02.2026</t>
        </is>
      </c>
      <c r="E4" s="44" t="inlineStr">
        <is>
          <t>08.01.2031</t>
        </is>
      </c>
      <c r="F4" s="44" t="n">
        <v>1785</v>
      </c>
      <c r="G4" s="44" t="inlineStr">
        <is>
          <t>6 ay</t>
        </is>
      </c>
      <c r="H4" s="15" t="n">
        <v>2.65</v>
      </c>
      <c r="I4" s="45" t="n">
        <v>6209675</v>
      </c>
      <c r="J4" s="45" t="n">
        <v>6249049.18375</v>
      </c>
      <c r="K4" s="45" t="n">
        <v>4320175</v>
      </c>
      <c r="L4" s="45" t="n">
        <v>4386746.98375</v>
      </c>
      <c r="M4" s="45" t="n">
        <v>7386178.981</v>
      </c>
      <c r="N4" s="45" t="n">
        <v>7499999.9991</v>
      </c>
      <c r="O4" s="45" t="n">
        <v>837100.282</v>
      </c>
      <c r="P4" s="45" t="n">
        <v>849999.99735</v>
      </c>
      <c r="Q4" s="45" t="n">
        <v>2992492.105</v>
      </c>
      <c r="R4" s="45" t="n">
        <v>3038606.40834</v>
      </c>
      <c r="S4" s="45" t="n">
        <v>15535946.368</v>
      </c>
      <c r="T4" s="45" t="n">
        <v>15775353.38854</v>
      </c>
      <c r="U4" s="15" t="n">
        <v>2.65</v>
      </c>
      <c r="V4" s="15" t="n">
        <v>5.37</v>
      </c>
      <c r="W4" s="49" t="n">
        <v>101.541</v>
      </c>
    </row>
    <row r="5">
      <c r="A5" s="44" t="inlineStr">
        <is>
          <t>TL Cinsi TUFE Endeksli Senetler</t>
        </is>
      </c>
      <c r="B5" s="44" t="n">
        <v>2026</v>
      </c>
      <c r="C5" s="44" t="inlineStr">
        <is>
          <t>TRT080131T12</t>
        </is>
      </c>
      <c r="D5" s="44" t="inlineStr">
        <is>
          <t>11.03.2026</t>
        </is>
      </c>
      <c r="E5" s="44" t="inlineStr">
        <is>
          <t>08.01.2031</t>
        </is>
      </c>
      <c r="F5" s="44" t="n">
        <v>1764</v>
      </c>
      <c r="G5" s="44" t="inlineStr">
        <is>
          <t>6 ay</t>
        </is>
      </c>
      <c r="H5" s="15" t="n">
        <v>2.65</v>
      </c>
      <c r="I5" s="45" t="n">
        <v>9650000</v>
      </c>
      <c r="J5" s="45" t="n">
        <v>10041330.5</v>
      </c>
      <c r="K5" s="45" t="n">
        <v>6250000</v>
      </c>
      <c r="L5" s="45" t="n">
        <v>6524546.5</v>
      </c>
      <c r="M5" s="45" t="n">
        <v>4789593.171</v>
      </c>
      <c r="N5" s="45" t="n">
        <v>4999999.999</v>
      </c>
      <c r="O5" s="45" t="n">
        <v>1436877.948</v>
      </c>
      <c r="P5" s="45" t="n">
        <v>1499999.99624</v>
      </c>
      <c r="Q5" s="45" t="n">
        <v>1326717.308</v>
      </c>
      <c r="R5" s="45" t="n">
        <v>1384999.99934</v>
      </c>
      <c r="S5" s="45" t="n">
        <v>13803188.427</v>
      </c>
      <c r="T5" s="45" t="n">
        <v>14409546.49458</v>
      </c>
      <c r="U5" s="15" t="n">
        <v>2.58</v>
      </c>
      <c r="V5" s="15" t="n">
        <v>5.23</v>
      </c>
      <c r="W5" s="49" t="n">
        <v>104.393</v>
      </c>
    </row>
    <row r="6">
      <c r="A6" s="44" t="inlineStr">
        <is>
          <t>TL Cinsi TUFE Endeksli Senetler</t>
        </is>
      </c>
      <c r="B6" s="44" t="n">
        <v>2026</v>
      </c>
      <c r="C6" s="44" t="inlineStr">
        <is>
          <t>TRT080131T12</t>
        </is>
      </c>
      <c r="D6" s="44" t="inlineStr">
        <is>
          <t>08.04.2026</t>
        </is>
      </c>
      <c r="E6" s="44" t="inlineStr">
        <is>
          <t>08.01.2031</t>
        </is>
      </c>
      <c r="F6" s="44" t="n">
        <v>1736</v>
      </c>
      <c r="G6" s="44" t="inlineStr">
        <is>
          <t>6 ay</t>
        </is>
      </c>
      <c r="H6" s="15" t="n">
        <v>2.65</v>
      </c>
      <c r="I6" s="45" t="n">
        <v>9010000</v>
      </c>
      <c r="J6" s="45" t="n">
        <v>9727906.050000001</v>
      </c>
      <c r="K6" s="45" t="n">
        <v>6950000</v>
      </c>
      <c r="L6" s="45" t="n">
        <v>7540993.65</v>
      </c>
      <c r="M6" s="45" t="n">
        <v>4608125.046</v>
      </c>
      <c r="N6" s="45" t="n">
        <v>4999999.99991</v>
      </c>
      <c r="O6" s="45" t="n">
        <v>2488387.522</v>
      </c>
      <c r="P6" s="45" t="n">
        <v>2699999.99687</v>
      </c>
      <c r="Q6" s="45" t="n">
        <v>480000</v>
      </c>
      <c r="R6" s="45" t="n">
        <v>520819.2</v>
      </c>
      <c r="S6" s="45" t="n">
        <v>14526512.568</v>
      </c>
      <c r="T6" s="45" t="n">
        <v>15761812.84678</v>
      </c>
      <c r="U6" s="15" t="n">
        <v>2.63</v>
      </c>
      <c r="V6" s="15" t="n">
        <v>5.33</v>
      </c>
      <c r="W6" s="49" t="n">
        <v>108.504</v>
      </c>
    </row>
    <row r="7">
      <c r="A7" s="44" t="inlineStr">
        <is>
          <t>TL Cinsi TUFE Endeksli Senetler</t>
        </is>
      </c>
      <c r="B7" s="44" t="n">
        <v>2026</v>
      </c>
      <c r="C7" s="44" t="inlineStr">
        <is>
          <t>TRT080530T27</t>
        </is>
      </c>
      <c r="D7" s="44" t="inlineStr">
        <is>
          <t>13.05.2026</t>
        </is>
      </c>
      <c r="E7" s="44" t="inlineStr">
        <is>
          <t>08.05.2030</t>
        </is>
      </c>
      <c r="F7" s="44" t="n">
        <v>1456</v>
      </c>
      <c r="G7" s="44" t="inlineStr">
        <is>
          <t>6 ay</t>
        </is>
      </c>
      <c r="H7" s="15" t="n">
        <v>2.63</v>
      </c>
      <c r="I7" s="45" t="n">
        <v>5130000</v>
      </c>
      <c r="J7" s="45" t="n">
        <v>5080404.7</v>
      </c>
      <c r="K7" s="45" t="n">
        <v>3630000</v>
      </c>
      <c r="L7" s="45" t="n">
        <v>3610525.7</v>
      </c>
      <c r="M7" s="45" t="n">
        <v>2010777.768</v>
      </c>
      <c r="N7" s="45" t="n">
        <v>1999999.99916</v>
      </c>
      <c r="O7" s="45" t="n">
        <v>2714549.982</v>
      </c>
      <c r="P7" s="45" t="n">
        <v>2699999.99409</v>
      </c>
      <c r="Q7" s="45" t="n">
        <v>0</v>
      </c>
      <c r="R7" s="45" t="n">
        <v>0</v>
      </c>
      <c r="S7" s="45" t="n">
        <v>8355327.75</v>
      </c>
      <c r="T7" s="45" t="n">
        <v>8310525.69325</v>
      </c>
      <c r="U7" s="15" t="n">
        <v>2.71</v>
      </c>
      <c r="V7" s="15" t="n">
        <v>5.48</v>
      </c>
      <c r="W7" s="49" t="n">
        <v>99.464</v>
      </c>
    </row>
    <row r="8">
      <c r="A8" s="44" t="inlineStr">
        <is>
          <t>TL Cinsi TUFE Endeksli Senetler</t>
        </is>
      </c>
      <c r="B8" s="44" t="n">
        <v>2026</v>
      </c>
      <c r="C8" s="44" t="inlineStr">
        <is>
          <t>TRT080530T27</t>
        </is>
      </c>
      <c r="D8" s="44" t="inlineStr">
        <is>
          <t>10.06.2026</t>
        </is>
      </c>
      <c r="E8" s="44" t="inlineStr">
        <is>
          <t>08.05.2030</t>
        </is>
      </c>
      <c r="F8" s="44" t="n">
        <v>1428</v>
      </c>
      <c r="G8" s="44" t="inlineStr">
        <is>
          <t>6 ay</t>
        </is>
      </c>
      <c r="H8" s="15" t="n">
        <v>2.63</v>
      </c>
      <c r="I8" s="45" t="n">
        <v>8715000</v>
      </c>
      <c r="J8" s="45" t="n">
        <v>8855818.175000001</v>
      </c>
      <c r="K8" s="45" t="n">
        <v>6465000</v>
      </c>
      <c r="L8" s="45" t="n">
        <v>6585798.675</v>
      </c>
      <c r="M8" s="45" t="n">
        <v>3926611.628</v>
      </c>
      <c r="N8" s="45" t="n">
        <v>3999999.99933</v>
      </c>
      <c r="O8" s="45" t="n">
        <v>2552297.555</v>
      </c>
      <c r="P8" s="45" t="n">
        <v>2599999.9963</v>
      </c>
      <c r="Q8" s="45" t="n">
        <v>0</v>
      </c>
      <c r="R8" s="45" t="n">
        <v>0</v>
      </c>
      <c r="S8" s="45" t="n">
        <v>12943909.183</v>
      </c>
      <c r="T8" s="45" t="n">
        <v>13185798.67063</v>
      </c>
      <c r="U8" s="15" t="n">
        <v>2.77</v>
      </c>
      <c r="V8" s="15" t="n">
        <v>5.61</v>
      </c>
      <c r="W8" s="49" t="n">
        <v>101.869</v>
      </c>
    </row>
    <row r="9">
      <c r="A9" s="44" t="inlineStr">
        <is>
          <t>TL Cinsi TUFE Endeksli Senetler</t>
        </is>
      </c>
      <c r="B9" s="44" t="n">
        <v>2026</v>
      </c>
      <c r="C9" s="44" t="inlineStr">
        <is>
          <t>TRT080530T27</t>
        </is>
      </c>
      <c r="D9" s="44" t="inlineStr">
        <is>
          <t>19.08.2026</t>
        </is>
      </c>
      <c r="E9" s="44" t="inlineStr">
        <is>
          <t>08.05.2030</t>
        </is>
      </c>
      <c r="F9" s="44" t="n">
        <v>1358</v>
      </c>
      <c r="G9" s="44" t="inlineStr">
        <is>
          <t>6 ay</t>
        </is>
      </c>
      <c r="H9" s="15" t="n">
        <v>2.63</v>
      </c>
      <c r="I9" s="45" t="n">
        <v>640150</v>
      </c>
      <c r="J9" s="45" t="n">
        <v>682608.5</v>
      </c>
      <c r="K9" s="45" t="n">
        <v>190000</v>
      </c>
      <c r="L9" s="45" t="n">
        <v>204458.25</v>
      </c>
      <c r="M9" s="45" t="n">
        <v>3717126.661</v>
      </c>
      <c r="N9" s="45" t="n">
        <v>3999999.9999</v>
      </c>
      <c r="O9" s="45" t="n">
        <v>418176.748</v>
      </c>
      <c r="P9" s="45" t="n">
        <v>449999.99852</v>
      </c>
      <c r="Q9" s="45" t="n">
        <v>0</v>
      </c>
      <c r="R9" s="45" t="n">
        <v>0</v>
      </c>
      <c r="S9" s="45" t="n">
        <v>4325303.409</v>
      </c>
      <c r="T9" s="45" t="n">
        <v>4654458.24842</v>
      </c>
      <c r="U9" s="15" t="n">
        <v>2.87</v>
      </c>
      <c r="V9" s="15" t="n">
        <v>5.83</v>
      </c>
      <c r="W9" s="49" t="n">
        <v>107.61</v>
      </c>
    </row>
    <row r="10">
      <c r="A10" s="44" t="inlineStr">
        <is>
          <t>TL Cinsi TUFE Endeksli Senetler</t>
        </is>
      </c>
      <c r="B10" s="44" t="n">
        <v>2025</v>
      </c>
      <c r="C10" s="44" t="inlineStr">
        <is>
          <t>TRT151227T16</t>
        </is>
      </c>
      <c r="D10" s="44" t="inlineStr">
        <is>
          <t>22.01.2025</t>
        </is>
      </c>
      <c r="E10" s="44" t="inlineStr">
        <is>
          <t>15.12.2027</t>
        </is>
      </c>
      <c r="F10" s="44" t="n">
        <v>1057</v>
      </c>
      <c r="G10" s="44" t="inlineStr">
        <is>
          <t>6 ay</t>
        </is>
      </c>
      <c r="H10" s="15" t="n">
        <v>1.5</v>
      </c>
      <c r="I10" s="45" t="n">
        <v>8652000</v>
      </c>
      <c r="J10" s="45" t="n">
        <v>8308408.05</v>
      </c>
      <c r="K10" s="45" t="n">
        <v>5975000</v>
      </c>
      <c r="L10" s="45" t="n">
        <v>5810790.05</v>
      </c>
      <c r="M10" s="45" t="n">
        <v>6272364.576</v>
      </c>
      <c r="N10" s="45" t="n">
        <v>6099999.99745</v>
      </c>
      <c r="O10" s="45" t="n">
        <v>2056512.975</v>
      </c>
      <c r="P10" s="45" t="n">
        <v>1999999.99846</v>
      </c>
      <c r="Q10" s="45" t="n">
        <v>0</v>
      </c>
      <c r="R10" s="45" t="n">
        <v>0</v>
      </c>
      <c r="S10" s="45" t="n">
        <v>14303877.551</v>
      </c>
      <c r="T10" s="45" t="n">
        <v>13910790.04591</v>
      </c>
      <c r="U10" s="15" t="n">
        <v>2.57</v>
      </c>
      <c r="V10" s="15" t="n">
        <v>5.2</v>
      </c>
      <c r="W10" s="49" t="n">
        <v>97.252</v>
      </c>
    </row>
    <row r="11">
      <c r="A11" s="44" t="inlineStr">
        <is>
          <t>TL Cinsi TUFE Endeksli Senetler</t>
        </is>
      </c>
      <c r="B11" s="44" t="n">
        <v>2025</v>
      </c>
      <c r="C11" s="44" t="inlineStr">
        <is>
          <t>TRT151227T16</t>
        </is>
      </c>
      <c r="D11" s="44" t="inlineStr">
        <is>
          <t>19.02.2025</t>
        </is>
      </c>
      <c r="E11" s="44" t="inlineStr">
        <is>
          <t>15.12.2027</t>
        </is>
      </c>
      <c r="F11" s="44" t="n">
        <v>1029</v>
      </c>
      <c r="G11" s="44" t="inlineStr">
        <is>
          <t>6 ay</t>
        </is>
      </c>
      <c r="H11" s="15" t="n">
        <v>1.5</v>
      </c>
      <c r="I11" s="45" t="n">
        <v>12903000</v>
      </c>
      <c r="J11" s="45" t="n">
        <v>12661177.56</v>
      </c>
      <c r="K11" s="45" t="n">
        <v>5363000</v>
      </c>
      <c r="L11" s="45" t="n">
        <v>5306982.82</v>
      </c>
      <c r="M11" s="45" t="n">
        <v>13177707.037</v>
      </c>
      <c r="N11" s="45" t="n">
        <v>13039999.99846</v>
      </c>
      <c r="O11" s="45" t="n">
        <v>3031681.063</v>
      </c>
      <c r="P11" s="45" t="n">
        <v>2999999.9959</v>
      </c>
      <c r="Q11" s="45" t="n">
        <v>2213484.916</v>
      </c>
      <c r="R11" s="45" t="n">
        <v>2190353.99863</v>
      </c>
      <c r="S11" s="45" t="n">
        <v>23785873.016</v>
      </c>
      <c r="T11" s="45" t="n">
        <v>23537336.81299</v>
      </c>
      <c r="U11" s="15" t="n">
        <v>2.57</v>
      </c>
      <c r="V11" s="15" t="n">
        <v>5.21</v>
      </c>
      <c r="W11" s="49" t="n">
        <v>98.955</v>
      </c>
    </row>
    <row r="12">
      <c r="A12" s="44" t="inlineStr">
        <is>
          <t>TL Cinsi TUFE Endeksli Senetler</t>
        </is>
      </c>
      <c r="B12" s="44" t="n">
        <v>2025</v>
      </c>
      <c r="C12" s="44" t="inlineStr">
        <is>
          <t>TRT151227T16</t>
        </is>
      </c>
      <c r="D12" s="44" t="inlineStr">
        <is>
          <t>19.03.2025</t>
        </is>
      </c>
      <c r="E12" s="44" t="inlineStr">
        <is>
          <t>15.12.2027</t>
        </is>
      </c>
      <c r="F12" s="44" t="n">
        <v>1001</v>
      </c>
      <c r="G12" s="44" t="inlineStr">
        <is>
          <t>6 ay</t>
        </is>
      </c>
      <c r="H12" s="15" t="n">
        <v>1.5</v>
      </c>
      <c r="I12" s="45" t="n">
        <v>14209000</v>
      </c>
      <c r="J12" s="45" t="n">
        <v>14439627.95</v>
      </c>
      <c r="K12" s="45" t="n">
        <v>5755000</v>
      </c>
      <c r="L12" s="45" t="n">
        <v>5910286.32</v>
      </c>
      <c r="M12" s="45" t="n">
        <v>7327309.196</v>
      </c>
      <c r="N12" s="45" t="n">
        <v>7524999.99811</v>
      </c>
      <c r="O12" s="45" t="n">
        <v>3894915.185</v>
      </c>
      <c r="P12" s="45" t="n">
        <v>3999999.99669</v>
      </c>
      <c r="Q12" s="45" t="n">
        <v>0</v>
      </c>
      <c r="R12" s="45" t="n">
        <v>0</v>
      </c>
      <c r="S12" s="45" t="n">
        <v>16977224.381</v>
      </c>
      <c r="T12" s="45" t="n">
        <v>17435286.3148</v>
      </c>
      <c r="U12" s="15" t="n">
        <v>2.56</v>
      </c>
      <c r="V12" s="15" t="n">
        <v>5.18</v>
      </c>
      <c r="W12" s="49" t="n">
        <v>102.698</v>
      </c>
    </row>
    <row r="13">
      <c r="A13" s="44" t="inlineStr">
        <is>
          <t>TL Cinsi TUFE Endeksli Senetler</t>
        </is>
      </c>
      <c r="B13" s="44" t="n">
        <v>2025</v>
      </c>
      <c r="C13" s="44" t="inlineStr">
        <is>
          <t>TRT110429T18</t>
        </is>
      </c>
      <c r="D13" s="44" t="inlineStr">
        <is>
          <t>16.04.2025</t>
        </is>
      </c>
      <c r="E13" s="44" t="inlineStr">
        <is>
          <t>11.04.2029</t>
        </is>
      </c>
      <c r="F13" s="44" t="n">
        <v>1456</v>
      </c>
      <c r="G13" s="44" t="inlineStr">
        <is>
          <t>6 ay</t>
        </is>
      </c>
      <c r="H13" s="15" t="n">
        <v>2.5</v>
      </c>
      <c r="I13" s="45" t="n">
        <v>12105000</v>
      </c>
      <c r="J13" s="45" t="n">
        <v>11798996.3</v>
      </c>
      <c r="K13" s="45" t="n">
        <v>6845000</v>
      </c>
      <c r="L13" s="45" t="n">
        <v>6878188.4</v>
      </c>
      <c r="M13" s="45" t="n">
        <v>34831069.313</v>
      </c>
      <c r="N13" s="45" t="n">
        <v>34999999.99917</v>
      </c>
      <c r="O13" s="45" t="n">
        <v>4975867.043</v>
      </c>
      <c r="P13" s="45" t="n">
        <v>4999999.99816</v>
      </c>
      <c r="Q13" s="45" t="n">
        <v>0</v>
      </c>
      <c r="R13" s="45" t="n">
        <v>0</v>
      </c>
      <c r="S13" s="45" t="n">
        <v>46651936.356</v>
      </c>
      <c r="T13" s="45" t="n">
        <v>46878188.39733</v>
      </c>
      <c r="U13" s="15" t="n">
        <v>2.43</v>
      </c>
      <c r="V13" s="15" t="n">
        <v>4.92</v>
      </c>
      <c r="W13" s="49" t="n">
        <v>100.485</v>
      </c>
    </row>
    <row r="14">
      <c r="A14" s="44" t="inlineStr">
        <is>
          <t>TL Cinsi TUFE Endeksli Senetler</t>
        </is>
      </c>
      <c r="B14" s="44" t="n">
        <v>2025</v>
      </c>
      <c r="C14" s="44" t="inlineStr">
        <is>
          <t>TRT110429T18</t>
        </is>
      </c>
      <c r="D14" s="44" t="inlineStr">
        <is>
          <t>14.05.2025</t>
        </is>
      </c>
      <c r="E14" s="44" t="inlineStr">
        <is>
          <t>11.04.2029</t>
        </is>
      </c>
      <c r="F14" s="44" t="n">
        <v>1428</v>
      </c>
      <c r="G14" s="44" t="inlineStr">
        <is>
          <t>6 ay</t>
        </is>
      </c>
      <c r="H14" s="15" t="n">
        <v>2.5</v>
      </c>
      <c r="I14" s="45" t="n">
        <v>6869000</v>
      </c>
      <c r="J14" s="45" t="n">
        <v>6824630.5</v>
      </c>
      <c r="K14" s="45" t="n">
        <v>880000</v>
      </c>
      <c r="L14" s="45" t="n">
        <v>886977</v>
      </c>
      <c r="M14" s="45" t="n">
        <v>6448860.535</v>
      </c>
      <c r="N14" s="45" t="n">
        <v>6499999.99904</v>
      </c>
      <c r="O14" s="45" t="n">
        <v>1488198.583</v>
      </c>
      <c r="P14" s="45" t="n">
        <v>1499999.99777</v>
      </c>
      <c r="Q14" s="45" t="n">
        <v>0</v>
      </c>
      <c r="R14" s="45" t="n">
        <v>0</v>
      </c>
      <c r="S14" s="45" t="n">
        <v>8817059.118000001</v>
      </c>
      <c r="T14" s="45" t="n">
        <v>8886976.99681</v>
      </c>
      <c r="U14" s="15" t="n">
        <v>2.75</v>
      </c>
      <c r="V14" s="15" t="n">
        <v>5.57</v>
      </c>
      <c r="W14" s="49" t="n">
        <v>100.793</v>
      </c>
    </row>
    <row r="15">
      <c r="A15" s="44" t="inlineStr">
        <is>
          <t>TL Cinsi TUFE Endeksli Senetler</t>
        </is>
      </c>
      <c r="B15" s="44" t="n">
        <v>2025</v>
      </c>
      <c r="C15" s="44" t="inlineStr">
        <is>
          <t>TRT130629T14</t>
        </is>
      </c>
      <c r="D15" s="44" t="inlineStr">
        <is>
          <t>18.06.2025</t>
        </is>
      </c>
      <c r="E15" s="44" t="inlineStr">
        <is>
          <t>13.06.2029</t>
        </is>
      </c>
      <c r="F15" s="44" t="n">
        <v>1456</v>
      </c>
      <c r="G15" s="44" t="inlineStr">
        <is>
          <t>6 ay</t>
        </is>
      </c>
      <c r="H15" s="15" t="n">
        <v>2.25</v>
      </c>
      <c r="I15" s="45" t="n">
        <v>5273000</v>
      </c>
      <c r="J15" s="45" t="n">
        <v>4863893.5</v>
      </c>
      <c r="K15" s="45" t="n">
        <v>750000</v>
      </c>
      <c r="L15" s="45" t="n">
        <v>716005</v>
      </c>
      <c r="M15" s="45" t="n">
        <v>3142447.128</v>
      </c>
      <c r="N15" s="45" t="n">
        <v>2999999.99969</v>
      </c>
      <c r="O15" s="45" t="n">
        <v>942734.134</v>
      </c>
      <c r="P15" s="45" t="n">
        <v>899999.99571</v>
      </c>
      <c r="Q15" s="45" t="n">
        <v>100000</v>
      </c>
      <c r="R15" s="45" t="n">
        <v>95467</v>
      </c>
      <c r="S15" s="45" t="n">
        <v>4935181.262</v>
      </c>
      <c r="T15" s="45" t="n">
        <v>4711471.9954</v>
      </c>
      <c r="U15" s="15" t="n">
        <v>2.89</v>
      </c>
      <c r="V15" s="15" t="n">
        <v>5.87</v>
      </c>
      <c r="W15" s="49" t="n">
        <v>95.467</v>
      </c>
    </row>
    <row r="16">
      <c r="A16" s="44" t="inlineStr">
        <is>
          <t>TL Cinsi TUFE Endeksli Senetler</t>
        </is>
      </c>
      <c r="B16" s="44" t="n">
        <v>2025</v>
      </c>
      <c r="C16" s="44" t="inlineStr">
        <is>
          <t>TRT130629T14</t>
        </is>
      </c>
      <c r="D16" s="44" t="inlineStr">
        <is>
          <t>16.07.2025</t>
        </is>
      </c>
      <c r="E16" s="44" t="inlineStr">
        <is>
          <t>13.06.2029</t>
        </is>
      </c>
      <c r="F16" s="44" t="n">
        <v>1428</v>
      </c>
      <c r="G16" s="44" t="inlineStr">
        <is>
          <t>6 ay</t>
        </is>
      </c>
      <c r="H16" s="15" t="n">
        <v>2.25</v>
      </c>
      <c r="I16" s="45" t="n">
        <v>1610000</v>
      </c>
      <c r="J16" s="45" t="n">
        <v>1540117.5</v>
      </c>
      <c r="K16" s="45" t="n">
        <v>450000</v>
      </c>
      <c r="L16" s="45" t="n">
        <v>433892</v>
      </c>
      <c r="M16" s="45" t="n">
        <v>7259904.584</v>
      </c>
      <c r="N16" s="45" t="n">
        <v>6999999.99989</v>
      </c>
      <c r="O16" s="45" t="n">
        <v>1555693.836</v>
      </c>
      <c r="P16" s="45" t="n">
        <v>1499999.99667</v>
      </c>
      <c r="Q16" s="45" t="n">
        <v>0</v>
      </c>
      <c r="R16" s="45" t="n">
        <v>0</v>
      </c>
      <c r="S16" s="45" t="n">
        <v>9265598.42</v>
      </c>
      <c r="T16" s="45" t="n">
        <v>8933891.99656</v>
      </c>
      <c r="U16" s="15" t="n">
        <v>3.1</v>
      </c>
      <c r="V16" s="15" t="n">
        <v>6.29</v>
      </c>
      <c r="W16" s="49" t="n">
        <v>96.42</v>
      </c>
    </row>
    <row r="17">
      <c r="A17" s="44" t="inlineStr">
        <is>
          <t>TL Cinsi TUFE Endeksli Senetler</t>
        </is>
      </c>
      <c r="B17" s="44" t="n">
        <v>2025</v>
      </c>
      <c r="C17" s="44" t="inlineStr">
        <is>
          <t>TRT110930T10</t>
        </is>
      </c>
      <c r="D17" s="44" t="inlineStr">
        <is>
          <t>17.09.2025</t>
        </is>
      </c>
      <c r="E17" s="44" t="inlineStr">
        <is>
          <t>11.09.2030</t>
        </is>
      </c>
      <c r="F17" s="44" t="n">
        <v>1820</v>
      </c>
      <c r="G17" s="44" t="inlineStr">
        <is>
          <t>6 ay</t>
        </is>
      </c>
      <c r="H17" s="15" t="n">
        <v>3.06</v>
      </c>
      <c r="I17" s="45" t="n">
        <v>6602000</v>
      </c>
      <c r="J17" s="45" t="n">
        <v>6479113</v>
      </c>
      <c r="K17" s="45" t="n">
        <v>1350000</v>
      </c>
      <c r="L17" s="45" t="n">
        <v>1350467</v>
      </c>
      <c r="M17" s="45" t="n">
        <v>12995451.591</v>
      </c>
      <c r="N17" s="45" t="n">
        <v>12999999.99905</v>
      </c>
      <c r="O17" s="45" t="n">
        <v>1999300.24</v>
      </c>
      <c r="P17" s="45" t="n">
        <v>1999999.99509</v>
      </c>
      <c r="Q17" s="45" t="n">
        <v>0</v>
      </c>
      <c r="R17" s="45" t="n">
        <v>0</v>
      </c>
      <c r="S17" s="45" t="n">
        <v>16344751.831</v>
      </c>
      <c r="T17" s="45" t="n">
        <v>16350466.99414</v>
      </c>
      <c r="U17" s="15" t="n">
        <v>3.06</v>
      </c>
      <c r="V17" s="15" t="n">
        <v>6.21</v>
      </c>
      <c r="W17" s="49" t="n">
        <v>100.035</v>
      </c>
    </row>
    <row r="18">
      <c r="A18" s="44" t="inlineStr">
        <is>
          <t>TL Cinsi TUFE Endeksli Senetler</t>
        </is>
      </c>
      <c r="B18" s="44" t="n">
        <v>2025</v>
      </c>
      <c r="C18" s="44" t="inlineStr">
        <is>
          <t>TRT110930T10</t>
        </is>
      </c>
      <c r="D18" s="44" t="inlineStr">
        <is>
          <t>15.10.2025</t>
        </is>
      </c>
      <c r="E18" s="44" t="inlineStr">
        <is>
          <t>11.09.2030</t>
        </is>
      </c>
      <c r="F18" s="44" t="n">
        <v>1792</v>
      </c>
      <c r="G18" s="44" t="inlineStr">
        <is>
          <t>6 ay</t>
        </is>
      </c>
      <c r="H18" s="15" t="n">
        <v>3.06</v>
      </c>
      <c r="I18" s="45" t="n">
        <v>9287500</v>
      </c>
      <c r="J18" s="45" t="n">
        <v>9423590.300000001</v>
      </c>
      <c r="K18" s="45" t="n">
        <v>4555000</v>
      </c>
      <c r="L18" s="45" t="n">
        <v>4661723.8</v>
      </c>
      <c r="M18" s="45" t="n">
        <v>9771063.971000001</v>
      </c>
      <c r="N18" s="45" t="n">
        <v>9999999.999840001</v>
      </c>
      <c r="O18" s="45" t="n">
        <v>781685.1139999999</v>
      </c>
      <c r="P18" s="45" t="n">
        <v>799999.99621</v>
      </c>
      <c r="Q18" s="45" t="n">
        <v>922310.758</v>
      </c>
      <c r="R18" s="45" t="n">
        <v>943920.4990599999</v>
      </c>
      <c r="S18" s="45" t="n">
        <v>16030059.843</v>
      </c>
      <c r="T18" s="45" t="n">
        <v>16405644.29511</v>
      </c>
      <c r="U18" s="15" t="n">
        <v>3.06</v>
      </c>
      <c r="V18" s="15" t="n">
        <v>6.22</v>
      </c>
      <c r="W18" s="49" t="n">
        <v>102.343</v>
      </c>
    </row>
    <row r="19">
      <c r="A19" s="44" t="inlineStr">
        <is>
          <t>TL Cinsi TUFE Endeksli Senetler</t>
        </is>
      </c>
      <c r="B19" s="44" t="n">
        <v>2025</v>
      </c>
      <c r="C19" s="44" t="inlineStr">
        <is>
          <t>TRT110930T10</t>
        </is>
      </c>
      <c r="D19" s="44" t="inlineStr">
        <is>
          <t>17.12.2025</t>
        </is>
      </c>
      <c r="E19" s="44" t="inlineStr">
        <is>
          <t>11.09.2030</t>
        </is>
      </c>
      <c r="F19" s="44" t="n">
        <v>1729</v>
      </c>
      <c r="G19" s="44" t="inlineStr">
        <is>
          <t>6 ay</t>
        </is>
      </c>
      <c r="H19" s="15" t="n">
        <v>3.06</v>
      </c>
      <c r="I19" s="45" t="n">
        <v>3995000</v>
      </c>
      <c r="J19" s="45" t="n">
        <v>4316119.32</v>
      </c>
      <c r="K19" s="45" t="n">
        <v>1079000</v>
      </c>
      <c r="L19" s="45" t="n">
        <v>1176937.62</v>
      </c>
      <c r="M19" s="45" t="n">
        <v>4583917.782</v>
      </c>
      <c r="N19" s="45" t="n">
        <v>4999999.99907</v>
      </c>
      <c r="O19" s="45" t="n">
        <v>458391.777</v>
      </c>
      <c r="P19" s="45" t="n">
        <v>499999.9986</v>
      </c>
      <c r="Q19" s="45" t="n">
        <v>0</v>
      </c>
      <c r="R19" s="45" t="n">
        <v>0</v>
      </c>
      <c r="S19" s="45" t="n">
        <v>6121309.558999999</v>
      </c>
      <c r="T19" s="45" t="n">
        <v>6676937.61767</v>
      </c>
      <c r="U19" s="15" t="n">
        <v>3.09</v>
      </c>
      <c r="V19" s="15" t="n">
        <v>6.28</v>
      </c>
      <c r="W19" s="49" t="n">
        <v>109.077</v>
      </c>
    </row>
    <row r="20">
      <c r="A20" s="44" t="inlineStr">
        <is>
          <t>TL Cinsi TUFE Endeksli Senetler</t>
        </is>
      </c>
      <c r="B20" s="44" t="n">
        <v>2024</v>
      </c>
      <c r="C20" s="44" t="inlineStr">
        <is>
          <t>TRT181028T14</t>
        </is>
      </c>
      <c r="D20" s="44" t="inlineStr">
        <is>
          <t>10.01.2024</t>
        </is>
      </c>
      <c r="E20" s="44" t="inlineStr">
        <is>
          <t>18.10.2028</t>
        </is>
      </c>
      <c r="F20" s="44" t="n">
        <v>1743</v>
      </c>
      <c r="G20" s="44" t="inlineStr">
        <is>
          <t>6 ay</t>
        </is>
      </c>
      <c r="H20" s="15" t="n">
        <v>0</v>
      </c>
      <c r="I20" s="45" t="n">
        <v>14465001</v>
      </c>
      <c r="J20" s="45" t="n">
        <v>15424445.64</v>
      </c>
      <c r="K20" s="45" t="n">
        <v>5467001</v>
      </c>
      <c r="L20" s="45" t="n">
        <v>5973553.28</v>
      </c>
      <c r="M20" s="45" t="n">
        <v>2745593.322</v>
      </c>
      <c r="N20" s="45" t="n">
        <v>2999999.99922</v>
      </c>
      <c r="O20" s="45" t="n">
        <v>1830395.546</v>
      </c>
      <c r="P20" s="45" t="n">
        <v>1999999.99729</v>
      </c>
      <c r="Q20" s="45" t="n">
        <v>2172412.643</v>
      </c>
      <c r="R20" s="45" t="n">
        <v>2373708.39849</v>
      </c>
      <c r="S20" s="45" t="n">
        <v>12215402.511</v>
      </c>
      <c r="T20" s="45" t="n">
        <v>13347261.675</v>
      </c>
      <c r="U20" s="15" t="n">
        <v>0.21</v>
      </c>
      <c r="V20" s="15" t="n">
        <v>0.42</v>
      </c>
      <c r="W20" s="49" t="n">
        <v>109.266</v>
      </c>
    </row>
    <row r="21">
      <c r="A21" s="44" t="inlineStr">
        <is>
          <t>TL Cinsi TUFE Endeksli Senetler</t>
        </is>
      </c>
      <c r="B21" s="44" t="n">
        <v>2024</v>
      </c>
      <c r="C21" s="44" t="inlineStr">
        <is>
          <t>TRT140229T17</t>
        </is>
      </c>
      <c r="D21" s="44" t="inlineStr">
        <is>
          <t>21.02.2024</t>
        </is>
      </c>
      <c r="E21" s="44" t="inlineStr">
        <is>
          <t>14.02.2029</t>
        </is>
      </c>
      <c r="F21" s="44" t="n">
        <v>1820</v>
      </c>
      <c r="G21" s="44" t="inlineStr">
        <is>
          <t>6 ay</t>
        </is>
      </c>
      <c r="H21" s="15" t="n">
        <v>0</v>
      </c>
      <c r="I21" s="45" t="n">
        <v>13800000</v>
      </c>
      <c r="J21" s="45" t="n">
        <v>13117636.66</v>
      </c>
      <c r="K21" s="45" t="n">
        <v>3080000</v>
      </c>
      <c r="L21" s="45" t="n">
        <v>3005700.7</v>
      </c>
      <c r="M21" s="45" t="n">
        <v>3074148.46</v>
      </c>
      <c r="N21" s="45" t="n">
        <v>2999999.99915</v>
      </c>
      <c r="O21" s="45" t="n">
        <v>1537074.228</v>
      </c>
      <c r="P21" s="45" t="n">
        <v>1499999.99762</v>
      </c>
      <c r="Q21" s="45" t="n">
        <v>908071.688</v>
      </c>
      <c r="R21" s="45" t="n">
        <v>886168.99888</v>
      </c>
      <c r="S21" s="45" t="n">
        <v>8599294.376</v>
      </c>
      <c r="T21" s="45" t="n">
        <v>8391869.69565</v>
      </c>
      <c r="U21" s="15" t="n">
        <v>0.24</v>
      </c>
      <c r="V21" s="15" t="n">
        <v>0.49</v>
      </c>
      <c r="W21" s="49" t="n">
        <v>97.58799999999999</v>
      </c>
    </row>
    <row r="22">
      <c r="A22" s="44" t="inlineStr">
        <is>
          <t>TL Cinsi TUFE Endeksli Senetler</t>
        </is>
      </c>
      <c r="B22" s="44" t="n">
        <v>2024</v>
      </c>
      <c r="C22" s="44" t="inlineStr">
        <is>
          <t>TRT140229T17</t>
        </is>
      </c>
      <c r="D22" s="44" t="inlineStr">
        <is>
          <t>20.03.2024</t>
        </is>
      </c>
      <c r="E22" s="44" t="inlineStr">
        <is>
          <t>14.02.2029</t>
        </is>
      </c>
      <c r="F22" s="44" t="n">
        <v>1792</v>
      </c>
      <c r="G22" s="44" t="inlineStr">
        <is>
          <t>6 ay</t>
        </is>
      </c>
      <c r="H22" s="15" t="n">
        <v>0</v>
      </c>
      <c r="I22" s="45" t="n">
        <v>10561000</v>
      </c>
      <c r="J22" s="45" t="n">
        <v>10339388.66</v>
      </c>
      <c r="K22" s="45" t="n">
        <v>4306000</v>
      </c>
      <c r="L22" s="45" t="n">
        <v>4320115.31</v>
      </c>
      <c r="M22" s="45" t="n">
        <v>1993461.446</v>
      </c>
      <c r="N22" s="45" t="n">
        <v>1999999.99954</v>
      </c>
      <c r="O22" s="45" t="n">
        <v>1993461.443</v>
      </c>
      <c r="P22" s="45" t="n">
        <v>1999999.99652</v>
      </c>
      <c r="Q22" s="45" t="n">
        <v>782465.711</v>
      </c>
      <c r="R22" s="45" t="n">
        <v>785032.1985300001</v>
      </c>
      <c r="S22" s="45" t="n">
        <v>9075388.6</v>
      </c>
      <c r="T22" s="45" t="n">
        <v>9105147.504589999</v>
      </c>
      <c r="U22" s="15" t="n">
        <v>0.47</v>
      </c>
      <c r="V22" s="15" t="n">
        <v>0.9399999999999999</v>
      </c>
      <c r="W22" s="49" t="n">
        <v>100.328</v>
      </c>
    </row>
    <row r="23">
      <c r="A23" s="44" t="inlineStr">
        <is>
          <t>TL Cinsi TUFE Endeksli Senetler</t>
        </is>
      </c>
      <c r="B23" s="44" t="n">
        <v>2024</v>
      </c>
      <c r="C23" s="44" t="inlineStr">
        <is>
          <t>TRT140229T17</t>
        </is>
      </c>
      <c r="D23" s="44" t="inlineStr">
        <is>
          <t>17.04.2024</t>
        </is>
      </c>
      <c r="E23" s="44" t="inlineStr">
        <is>
          <t>14.02.2029</t>
        </is>
      </c>
      <c r="F23" s="44" t="n">
        <v>1764</v>
      </c>
      <c r="G23" s="44" t="inlineStr">
        <is>
          <t>6 ay</t>
        </is>
      </c>
      <c r="H23" s="15" t="n">
        <v>0</v>
      </c>
      <c r="I23" s="45" t="n">
        <v>11593500</v>
      </c>
      <c r="J23" s="45" t="n">
        <v>11001431.015</v>
      </c>
      <c r="K23" s="45" t="n">
        <v>5044500</v>
      </c>
      <c r="L23" s="45" t="n">
        <v>4915026.175</v>
      </c>
      <c r="M23" s="45" t="n">
        <v>3079038.929</v>
      </c>
      <c r="N23" s="45" t="n">
        <v>2999999.99969</v>
      </c>
      <c r="O23" s="45" t="n">
        <v>1796106.039</v>
      </c>
      <c r="P23" s="45" t="n">
        <v>1749999.99697</v>
      </c>
      <c r="Q23" s="45" t="n">
        <v>514120.985</v>
      </c>
      <c r="R23" s="45" t="n">
        <v>500923.49932</v>
      </c>
      <c r="S23" s="45" t="n">
        <v>10433765.953</v>
      </c>
      <c r="T23" s="45" t="n">
        <v>10165949.67098</v>
      </c>
      <c r="U23" s="15" t="n">
        <v>1.28</v>
      </c>
      <c r="V23" s="15" t="n">
        <v>2.58</v>
      </c>
      <c r="W23" s="49" t="n">
        <v>97.43300000000001</v>
      </c>
    </row>
    <row r="24">
      <c r="A24" s="44" t="inlineStr">
        <is>
          <t>TL Cinsi TUFE Endeksli Senetler</t>
        </is>
      </c>
      <c r="B24" s="44" t="n">
        <v>2024</v>
      </c>
      <c r="C24" s="44" t="inlineStr">
        <is>
          <t>TRT020529T18</t>
        </is>
      </c>
      <c r="D24" s="44" t="inlineStr">
        <is>
          <t>08.05.2024</t>
        </is>
      </c>
      <c r="E24" s="44" t="inlineStr">
        <is>
          <t>02.05.2029</t>
        </is>
      </c>
      <c r="F24" s="44" t="n">
        <v>1820</v>
      </c>
      <c r="G24" s="44" t="inlineStr">
        <is>
          <t>6 ay</t>
        </is>
      </c>
      <c r="H24" s="15" t="n">
        <v>1.24</v>
      </c>
      <c r="I24" s="45" t="n">
        <v>15594005</v>
      </c>
      <c r="J24" s="45" t="n">
        <v>14736484.57</v>
      </c>
      <c r="K24" s="45" t="n">
        <v>6094004</v>
      </c>
      <c r="L24" s="45" t="n">
        <v>5888096.52</v>
      </c>
      <c r="M24" s="45" t="n">
        <v>5174858.467</v>
      </c>
      <c r="N24" s="45" t="n">
        <v>4999999.9994</v>
      </c>
      <c r="O24" s="45" t="n">
        <v>4139886.773</v>
      </c>
      <c r="P24" s="45" t="n">
        <v>3999999.99894</v>
      </c>
      <c r="Q24" s="45" t="n">
        <v>2315393.391</v>
      </c>
      <c r="R24" s="45" t="n">
        <v>2237156.24831</v>
      </c>
      <c r="S24" s="45" t="n">
        <v>17724142.631</v>
      </c>
      <c r="T24" s="45" t="n">
        <v>17125252.76665</v>
      </c>
      <c r="U24" s="15" t="n">
        <v>1.61</v>
      </c>
      <c r="V24" s="15" t="n">
        <v>3.24</v>
      </c>
      <c r="W24" s="49" t="n">
        <v>96.621</v>
      </c>
    </row>
    <row r="25">
      <c r="A25" s="44" t="inlineStr">
        <is>
          <t>TL Cinsi TUFE Endeksli Senetler</t>
        </is>
      </c>
      <c r="B25" s="44" t="n">
        <v>2024</v>
      </c>
      <c r="C25" s="44" t="inlineStr">
        <is>
          <t>TRT020529T18</t>
        </is>
      </c>
      <c r="D25" s="44" t="inlineStr">
        <is>
          <t>05.06.2024</t>
        </is>
      </c>
      <c r="E25" s="44" t="inlineStr">
        <is>
          <t>02.05.2029</t>
        </is>
      </c>
      <c r="F25" s="44" t="n">
        <v>1792</v>
      </c>
      <c r="G25" s="44" t="inlineStr">
        <is>
          <t>6 ay</t>
        </is>
      </c>
      <c r="H25" s="15" t="n">
        <v>1.24</v>
      </c>
      <c r="I25" s="45" t="n">
        <v>12720003</v>
      </c>
      <c r="J25" s="45" t="n">
        <v>12322899.29</v>
      </c>
      <c r="K25" s="45" t="n">
        <v>4915002</v>
      </c>
      <c r="L25" s="45" t="n">
        <v>4842107.52</v>
      </c>
      <c r="M25" s="45" t="n">
        <v>3045159.718</v>
      </c>
      <c r="N25" s="45" t="n">
        <v>2999999.99938</v>
      </c>
      <c r="O25" s="45" t="n">
        <v>3045159.715</v>
      </c>
      <c r="P25" s="45" t="n">
        <v>2999999.99643</v>
      </c>
      <c r="Q25" s="45" t="n">
        <v>562623.912</v>
      </c>
      <c r="R25" s="45" t="n">
        <v>554280.19939</v>
      </c>
      <c r="S25" s="45" t="n">
        <v>11567945.345</v>
      </c>
      <c r="T25" s="45" t="n">
        <v>11396387.7152</v>
      </c>
      <c r="U25" s="15" t="n">
        <v>1.73</v>
      </c>
      <c r="V25" s="15" t="n">
        <v>3.49</v>
      </c>
      <c r="W25" s="49" t="n">
        <v>98.517</v>
      </c>
    </row>
    <row r="26">
      <c r="A26" s="44" t="inlineStr">
        <is>
          <t>TL Cinsi TUFE Endeksli Senetler</t>
        </is>
      </c>
      <c r="B26" s="44" t="n">
        <v>2024</v>
      </c>
      <c r="C26" s="44" t="inlineStr">
        <is>
          <t>TRT020529T18</t>
        </is>
      </c>
      <c r="D26" s="44" t="inlineStr">
        <is>
          <t>24.07.2024</t>
        </is>
      </c>
      <c r="E26" s="44" t="inlineStr">
        <is>
          <t>02.05.2029</t>
        </is>
      </c>
      <c r="F26" s="44" t="n">
        <v>1743</v>
      </c>
      <c r="G26" s="44" t="inlineStr">
        <is>
          <t>6 ay</t>
        </is>
      </c>
      <c r="H26" s="15" t="n">
        <v>1.24</v>
      </c>
      <c r="I26" s="45" t="n">
        <v>11568148.318</v>
      </c>
      <c r="J26" s="45" t="n">
        <v>11708575.68655</v>
      </c>
      <c r="K26" s="45" t="n">
        <v>4580000</v>
      </c>
      <c r="L26" s="45" t="n">
        <v>4693204.65</v>
      </c>
      <c r="M26" s="45" t="n">
        <v>1463814.505</v>
      </c>
      <c r="N26" s="45" t="n">
        <v>1499999.99956</v>
      </c>
      <c r="O26" s="45" t="n">
        <v>4879381.68</v>
      </c>
      <c r="P26" s="45" t="n">
        <v>4999999.99513</v>
      </c>
      <c r="Q26" s="45" t="n">
        <v>0</v>
      </c>
      <c r="R26" s="45" t="n">
        <v>0</v>
      </c>
      <c r="S26" s="45" t="n">
        <v>10923196.185</v>
      </c>
      <c r="T26" s="45" t="n">
        <v>11193204.64469</v>
      </c>
      <c r="U26" s="15" t="n">
        <v>1.92</v>
      </c>
      <c r="V26" s="15" t="n">
        <v>3.88</v>
      </c>
      <c r="W26" s="49" t="n">
        <v>102.472</v>
      </c>
    </row>
    <row r="27">
      <c r="A27" s="44" t="inlineStr">
        <is>
          <t>TL Cinsi TUFE Endeksli Senetler</t>
        </is>
      </c>
      <c r="B27" s="44" t="n">
        <v>2024</v>
      </c>
      <c r="C27" s="44" t="inlineStr">
        <is>
          <t>TRT180827T19</t>
        </is>
      </c>
      <c r="D27" s="44" t="inlineStr">
        <is>
          <t>21.08.2024</t>
        </is>
      </c>
      <c r="E27" s="44" t="inlineStr">
        <is>
          <t>18.08.2027</t>
        </is>
      </c>
      <c r="F27" s="44" t="n">
        <v>1092</v>
      </c>
      <c r="G27" s="44" t="inlineStr">
        <is>
          <t>6 ay</t>
        </is>
      </c>
      <c r="H27" s="15" t="n">
        <v>1.5</v>
      </c>
      <c r="I27" s="45" t="n">
        <v>14794000</v>
      </c>
      <c r="J27" s="45" t="n">
        <v>13700691.99</v>
      </c>
      <c r="K27" s="45" t="n">
        <v>5284000</v>
      </c>
      <c r="L27" s="45" t="n">
        <v>5030692.79</v>
      </c>
      <c r="M27" s="45" t="n">
        <v>6317879.124</v>
      </c>
      <c r="N27" s="45" t="n">
        <v>6014999.9988</v>
      </c>
      <c r="O27" s="45" t="n">
        <v>4726592.86</v>
      </c>
      <c r="P27" s="45" t="n">
        <v>4499999.99829</v>
      </c>
      <c r="Q27" s="45" t="n">
        <v>279660.22</v>
      </c>
      <c r="R27" s="45" t="n">
        <v>266253.30905</v>
      </c>
      <c r="S27" s="45" t="n">
        <v>16608132.204</v>
      </c>
      <c r="T27" s="45" t="n">
        <v>15811946.09614</v>
      </c>
      <c r="U27" s="15" t="n">
        <v>2.37</v>
      </c>
      <c r="V27" s="15" t="n">
        <v>4.79</v>
      </c>
      <c r="W27" s="49" t="n">
        <v>95.206</v>
      </c>
    </row>
    <row r="28">
      <c r="A28" s="44" t="inlineStr">
        <is>
          <t>TL Cinsi TUFE Endeksli Senetler</t>
        </is>
      </c>
      <c r="B28" s="44" t="n">
        <v>2024</v>
      </c>
      <c r="C28" s="44" t="inlineStr">
        <is>
          <t>TRT180827T19</t>
        </is>
      </c>
      <c r="D28" s="44" t="inlineStr">
        <is>
          <t>18.09.2024</t>
        </is>
      </c>
      <c r="E28" s="44" t="inlineStr">
        <is>
          <t>18.08.2027</t>
        </is>
      </c>
      <c r="F28" s="44" t="n">
        <v>1064</v>
      </c>
      <c r="G28" s="44" t="inlineStr">
        <is>
          <t>6 ay</t>
        </is>
      </c>
      <c r="H28" s="15" t="n">
        <v>1.5</v>
      </c>
      <c r="I28" s="45" t="n">
        <v>10090000</v>
      </c>
      <c r="J28" s="45" t="n">
        <v>9698453.32</v>
      </c>
      <c r="K28" s="45" t="n">
        <v>5506000</v>
      </c>
      <c r="L28" s="45" t="n">
        <v>5360273.77</v>
      </c>
      <c r="M28" s="45" t="n">
        <v>5135948.558</v>
      </c>
      <c r="N28" s="45" t="n">
        <v>4999999.99967</v>
      </c>
      <c r="O28" s="45" t="n">
        <v>6163138.267</v>
      </c>
      <c r="P28" s="45" t="n">
        <v>5999999.99707</v>
      </c>
      <c r="Q28" s="45" t="n">
        <v>2305955.645</v>
      </c>
      <c r="R28" s="45" t="n">
        <v>2244916.99907</v>
      </c>
      <c r="S28" s="45" t="n">
        <v>19111042.47</v>
      </c>
      <c r="T28" s="45" t="n">
        <v>18605190.76581</v>
      </c>
      <c r="U28" s="15" t="n">
        <v>2.46</v>
      </c>
      <c r="V28" s="15" t="n">
        <v>4.98</v>
      </c>
      <c r="W28" s="49" t="n">
        <v>97.35299999999999</v>
      </c>
    </row>
    <row r="29">
      <c r="A29" s="44" t="inlineStr">
        <is>
          <t>TL Cinsi TUFE Endeksli Senetler</t>
        </is>
      </c>
      <c r="B29" s="44" t="n">
        <v>2024</v>
      </c>
      <c r="C29" s="44" t="inlineStr">
        <is>
          <t>TRT180827T19</t>
        </is>
      </c>
      <c r="D29" s="44" t="inlineStr">
        <is>
          <t>16.10.2024</t>
        </is>
      </c>
      <c r="E29" s="44" t="inlineStr">
        <is>
          <t>18.08.2027</t>
        </is>
      </c>
      <c r="F29" s="44" t="n">
        <v>1036</v>
      </c>
      <c r="G29" s="44" t="inlineStr">
        <is>
          <t>6 ay</t>
        </is>
      </c>
      <c r="H29" s="15" t="n">
        <v>1.5</v>
      </c>
      <c r="I29" s="45" t="n">
        <v>4531000</v>
      </c>
      <c r="J29" s="45" t="n">
        <v>4474487.88</v>
      </c>
      <c r="K29" s="45" t="n">
        <v>2600000</v>
      </c>
      <c r="L29" s="45" t="n">
        <v>2595550.5</v>
      </c>
      <c r="M29" s="45" t="n">
        <v>6511134.038</v>
      </c>
      <c r="N29" s="45" t="n">
        <v>6499999.9988</v>
      </c>
      <c r="O29" s="45" t="n">
        <v>1001712.926</v>
      </c>
      <c r="P29" s="45" t="n">
        <v>999999.99689</v>
      </c>
      <c r="Q29" s="45" t="n">
        <v>0</v>
      </c>
      <c r="R29" s="45" t="n">
        <v>0</v>
      </c>
      <c r="S29" s="45" t="n">
        <v>10112846.964</v>
      </c>
      <c r="T29" s="45" t="n">
        <v>10095550.49569</v>
      </c>
      <c r="U29" s="15" t="n">
        <v>2.54</v>
      </c>
      <c r="V29" s="15" t="n">
        <v>5.14</v>
      </c>
      <c r="W29" s="49" t="n">
        <v>99.82899999999999</v>
      </c>
    </row>
    <row r="30">
      <c r="A30" s="44" t="inlineStr">
        <is>
          <t>TL Cinsi TUFE Endeksli Senetler</t>
        </is>
      </c>
      <c r="B30" s="44" t="n">
        <v>2024</v>
      </c>
      <c r="C30" s="44" t="inlineStr">
        <is>
          <t>TRT180827T19</t>
        </is>
      </c>
      <c r="D30" s="44" t="inlineStr">
        <is>
          <t>06.11.2024</t>
        </is>
      </c>
      <c r="E30" s="44" t="inlineStr">
        <is>
          <t>18.08.2027</t>
        </is>
      </c>
      <c r="F30" s="44" t="n">
        <v>1015</v>
      </c>
      <c r="G30" s="44" t="inlineStr">
        <is>
          <t>6 ay</t>
        </is>
      </c>
      <c r="H30" s="15" t="n">
        <v>1.5</v>
      </c>
      <c r="I30" s="45" t="n">
        <v>6920000</v>
      </c>
      <c r="J30" s="45" t="n">
        <v>6951449.4</v>
      </c>
      <c r="K30" s="45" t="n">
        <v>4515000</v>
      </c>
      <c r="L30" s="45" t="n">
        <v>4581131.1</v>
      </c>
      <c r="M30" s="45" t="n">
        <v>6406149.903</v>
      </c>
      <c r="N30" s="45" t="n">
        <v>6499999.99908</v>
      </c>
      <c r="O30" s="45" t="n">
        <v>1971123.045</v>
      </c>
      <c r="P30" s="45" t="n">
        <v>1999999.99761</v>
      </c>
      <c r="Q30" s="45" t="n">
        <v>1505842.408</v>
      </c>
      <c r="R30" s="45" t="n">
        <v>1527902.99928</v>
      </c>
      <c r="S30" s="45" t="n">
        <v>14398115.356</v>
      </c>
      <c r="T30" s="45" t="n">
        <v>14609034.09597</v>
      </c>
      <c r="U30" s="15" t="n">
        <v>2.62</v>
      </c>
      <c r="V30" s="15" t="n">
        <v>5.3</v>
      </c>
      <c r="W30" s="49" t="n">
        <v>101.465</v>
      </c>
    </row>
    <row r="31">
      <c r="A31" s="44" t="inlineStr">
        <is>
          <t>TL Cinsi TUFE Endeksli Senetler</t>
        </is>
      </c>
      <c r="B31" s="44" t="n">
        <v>2024</v>
      </c>
      <c r="C31" s="44" t="inlineStr">
        <is>
          <t>TRT151227T16</t>
        </is>
      </c>
      <c r="D31" s="44" t="inlineStr">
        <is>
          <t>18.12.2024</t>
        </is>
      </c>
      <c r="E31" s="44" t="inlineStr">
        <is>
          <t>15.12.2027</t>
        </is>
      </c>
      <c r="F31" s="44" t="n">
        <v>1092</v>
      </c>
      <c r="G31" s="44" t="inlineStr">
        <is>
          <t>6 ay</t>
        </is>
      </c>
      <c r="H31" s="15" t="n">
        <v>1.5</v>
      </c>
      <c r="I31" s="45" t="n">
        <v>9835000</v>
      </c>
      <c r="J31" s="45" t="n">
        <v>8951718.880000001</v>
      </c>
      <c r="K31" s="45" t="n">
        <v>1313000</v>
      </c>
      <c r="L31" s="45" t="n">
        <v>1232109.16</v>
      </c>
      <c r="M31" s="45" t="n">
        <v>7459585.033</v>
      </c>
      <c r="N31" s="45" t="n">
        <v>6999999.99912</v>
      </c>
      <c r="O31" s="45" t="n">
        <v>3196965.013</v>
      </c>
      <c r="P31" s="45" t="n">
        <v>2999999.99856</v>
      </c>
      <c r="Q31" s="45" t="n">
        <v>619071.1310000001</v>
      </c>
      <c r="R31" s="45" t="n">
        <v>580930.15862</v>
      </c>
      <c r="S31" s="45" t="n">
        <v>12588621.177</v>
      </c>
      <c r="T31" s="45" t="n">
        <v>11813039.3163</v>
      </c>
      <c r="U31" s="15" t="n">
        <v>2.62</v>
      </c>
      <c r="V31" s="15" t="n">
        <v>5.31</v>
      </c>
      <c r="W31" s="49" t="n">
        <v>93.839</v>
      </c>
    </row>
    <row r="32">
      <c r="A32" s="44" t="inlineStr">
        <is>
          <t>TL Cinsi TUFE Endeksli Senetler</t>
        </is>
      </c>
      <c r="B32" s="44" t="n">
        <v>2023</v>
      </c>
      <c r="C32" s="44" t="inlineStr">
        <is>
          <t>TRT120133T14</t>
        </is>
      </c>
      <c r="D32" s="44" t="inlineStr">
        <is>
          <t>25.01.2023</t>
        </is>
      </c>
      <c r="E32" s="44" t="inlineStr">
        <is>
          <t>12.01.2033</t>
        </is>
      </c>
      <c r="F32" s="44" t="n">
        <v>3640</v>
      </c>
      <c r="G32" s="44" t="inlineStr">
        <is>
          <t>6 ay</t>
        </is>
      </c>
      <c r="H32" s="15" t="n">
        <v>0</v>
      </c>
      <c r="I32" s="45" t="n">
        <v>5992001</v>
      </c>
      <c r="J32" s="45" t="n">
        <v>7108478.05</v>
      </c>
      <c r="K32" s="45" t="n">
        <v>1140000</v>
      </c>
      <c r="L32" s="45" t="n">
        <v>1484107.6</v>
      </c>
      <c r="M32" s="45" t="n">
        <v>0</v>
      </c>
      <c r="N32" s="45" t="n">
        <v>0</v>
      </c>
      <c r="O32" s="45" t="n">
        <v>537696.349</v>
      </c>
      <c r="P32" s="45" t="n">
        <v>699999.99193</v>
      </c>
      <c r="Q32" s="45" t="n">
        <v>252279.448</v>
      </c>
      <c r="R32" s="45" t="n">
        <v>328429.99938</v>
      </c>
      <c r="S32" s="45" t="n">
        <v>1929975.797</v>
      </c>
      <c r="T32" s="45" t="n">
        <v>2512537.59131</v>
      </c>
      <c r="U32" s="15" t="n">
        <v>-1.31</v>
      </c>
      <c r="V32" s="15" t="n">
        <v>-2.6</v>
      </c>
      <c r="W32" s="49" t="n">
        <v>130.185</v>
      </c>
    </row>
    <row r="33">
      <c r="A33" s="44" t="inlineStr">
        <is>
          <t>TL Cinsi TUFE Endeksli Senetler</t>
        </is>
      </c>
      <c r="B33" s="44" t="n">
        <v>2023</v>
      </c>
      <c r="C33" s="44" t="inlineStr">
        <is>
          <t>TRT120133T14</t>
        </is>
      </c>
      <c r="D33" s="44" t="inlineStr">
        <is>
          <t>22.02.2023</t>
        </is>
      </c>
      <c r="E33" s="44" t="inlineStr">
        <is>
          <t>12.01.2033</t>
        </is>
      </c>
      <c r="F33" s="44" t="n">
        <v>3612</v>
      </c>
      <c r="G33" s="44" t="inlineStr">
        <is>
          <t>6 ay</t>
        </is>
      </c>
      <c r="H33" s="15" t="n">
        <v>0</v>
      </c>
      <c r="I33" s="45" t="n">
        <v>18868500</v>
      </c>
      <c r="J33" s="45" t="n">
        <v>28569415.465</v>
      </c>
      <c r="K33" s="45" t="n">
        <v>1085000</v>
      </c>
      <c r="L33" s="45" t="n">
        <v>1820998.05</v>
      </c>
      <c r="M33" s="45" t="n">
        <v>0</v>
      </c>
      <c r="N33" s="45" t="n">
        <v>0</v>
      </c>
      <c r="O33" s="45" t="n">
        <v>744783.534</v>
      </c>
      <c r="P33" s="45" t="n">
        <v>1249999.99641</v>
      </c>
      <c r="Q33" s="45" t="n">
        <v>411064.224</v>
      </c>
      <c r="R33" s="45" t="n">
        <v>689905.52971</v>
      </c>
      <c r="S33" s="45" t="n">
        <v>2240847.758</v>
      </c>
      <c r="T33" s="45" t="n">
        <v>3760903.57612</v>
      </c>
      <c r="U33" s="15" t="n">
        <v>-2.5</v>
      </c>
      <c r="V33" s="15" t="n">
        <v>-4.94</v>
      </c>
      <c r="W33" s="49" t="n">
        <v>167.834</v>
      </c>
    </row>
    <row r="34">
      <c r="A34" s="44" t="inlineStr">
        <is>
          <t>TL Cinsi TUFE Endeksli Senetler</t>
        </is>
      </c>
      <c r="B34" s="44" t="n">
        <v>2023</v>
      </c>
      <c r="C34" s="44" t="inlineStr">
        <is>
          <t>TRT120133T14</t>
        </is>
      </c>
      <c r="D34" s="44" t="inlineStr">
        <is>
          <t>22.03.2023</t>
        </is>
      </c>
      <c r="E34" s="44" t="inlineStr">
        <is>
          <t>12.01.2033</t>
        </is>
      </c>
      <c r="F34" s="44" t="n">
        <v>3584</v>
      </c>
      <c r="G34" s="44" t="inlineStr">
        <is>
          <t>6 ay</t>
        </is>
      </c>
      <c r="H34" s="15" t="n">
        <v>0</v>
      </c>
      <c r="I34" s="45" t="n">
        <v>12564000</v>
      </c>
      <c r="J34" s="45" t="n">
        <v>18776692.85</v>
      </c>
      <c r="K34" s="45" t="n">
        <v>1600000</v>
      </c>
      <c r="L34" s="45" t="n">
        <v>2690837</v>
      </c>
      <c r="M34" s="45" t="n">
        <v>0</v>
      </c>
      <c r="N34" s="45" t="n">
        <v>0</v>
      </c>
      <c r="O34" s="45" t="n">
        <v>743264.5330000001</v>
      </c>
      <c r="P34" s="45" t="n">
        <v>1249999.99367</v>
      </c>
      <c r="Q34" s="45" t="n">
        <v>0</v>
      </c>
      <c r="R34" s="45" t="n">
        <v>0</v>
      </c>
      <c r="S34" s="45" t="n">
        <v>2343264.533</v>
      </c>
      <c r="T34" s="45" t="n">
        <v>3940836.99367</v>
      </c>
      <c r="U34" s="15" t="n">
        <v>-2.3</v>
      </c>
      <c r="V34" s="15" t="n">
        <v>-4.54</v>
      </c>
      <c r="W34" s="49" t="n">
        <v>168.177</v>
      </c>
    </row>
    <row r="35">
      <c r="A35" s="44" t="inlineStr">
        <is>
          <t>TL Cinsi TUFE Endeksli Senetler</t>
        </is>
      </c>
      <c r="B35" s="44" t="n">
        <v>2023</v>
      </c>
      <c r="C35" s="44" t="inlineStr">
        <is>
          <t>TRT120133T14</t>
        </is>
      </c>
      <c r="D35" s="44" t="inlineStr">
        <is>
          <t>19.04.2023</t>
        </is>
      </c>
      <c r="E35" s="44" t="inlineStr">
        <is>
          <t>12.01.2033</t>
        </is>
      </c>
      <c r="F35" s="44" t="n">
        <v>3556</v>
      </c>
      <c r="G35" s="44" t="inlineStr">
        <is>
          <t>6 ay</t>
        </is>
      </c>
      <c r="H35" s="15" t="n">
        <v>0</v>
      </c>
      <c r="I35" s="45" t="n">
        <v>4170000</v>
      </c>
      <c r="J35" s="45" t="n">
        <v>4761832.85</v>
      </c>
      <c r="K35" s="45" t="n">
        <v>890000</v>
      </c>
      <c r="L35" s="45" t="n">
        <v>1170789.2</v>
      </c>
      <c r="M35" s="45" t="n">
        <v>0</v>
      </c>
      <c r="N35" s="45" t="n">
        <v>0</v>
      </c>
      <c r="O35" s="45" t="n">
        <v>760173.0110000001</v>
      </c>
      <c r="P35" s="45" t="n">
        <v>999999.99424</v>
      </c>
      <c r="Q35" s="45" t="n">
        <v>0</v>
      </c>
      <c r="R35" s="45" t="n">
        <v>0</v>
      </c>
      <c r="S35" s="45" t="n">
        <v>1650173.011</v>
      </c>
      <c r="T35" s="45" t="n">
        <v>2170789.19424</v>
      </c>
      <c r="U35" s="15" t="n">
        <v>-0.88</v>
      </c>
      <c r="V35" s="15" t="n">
        <v>-1.76</v>
      </c>
      <c r="W35" s="49" t="n">
        <v>131.549</v>
      </c>
    </row>
    <row r="36">
      <c r="A36" s="44" t="inlineStr">
        <is>
          <t>TL Cinsi TUFE Endeksli Senetler</t>
        </is>
      </c>
      <c r="B36" s="44" t="n">
        <v>2023</v>
      </c>
      <c r="C36" s="44" t="inlineStr">
        <is>
          <t>TRT120133T14</t>
        </is>
      </c>
      <c r="D36" s="44" t="inlineStr">
        <is>
          <t>10.05.2023</t>
        </is>
      </c>
      <c r="E36" s="44" t="inlineStr">
        <is>
          <t>12.01.2033</t>
        </is>
      </c>
      <c r="F36" s="44" t="n">
        <v>3535</v>
      </c>
      <c r="G36" s="44" t="inlineStr">
        <is>
          <t>6 ay</t>
        </is>
      </c>
      <c r="H36" s="15" t="n">
        <v>0</v>
      </c>
      <c r="I36" s="45" t="n">
        <v>8830000</v>
      </c>
      <c r="J36" s="45" t="n">
        <v>9571834.9</v>
      </c>
      <c r="K36" s="45" t="n">
        <v>4035000</v>
      </c>
      <c r="L36" s="45" t="n">
        <v>4578862.35</v>
      </c>
      <c r="M36" s="45" t="n">
        <v>0</v>
      </c>
      <c r="N36" s="45" t="n">
        <v>0</v>
      </c>
      <c r="O36" s="45" t="n">
        <v>1321830.466</v>
      </c>
      <c r="P36" s="45" t="n">
        <v>1499999.99451</v>
      </c>
      <c r="Q36" s="45" t="n">
        <v>560700</v>
      </c>
      <c r="R36" s="45" t="n">
        <v>636276.753</v>
      </c>
      <c r="S36" s="45" t="n">
        <v>5917530.466</v>
      </c>
      <c r="T36" s="45" t="n">
        <v>6715139.097510001</v>
      </c>
      <c r="U36" s="15" t="n">
        <v>-0.03</v>
      </c>
      <c r="V36" s="15" t="n">
        <v>-0.07000000000000001</v>
      </c>
      <c r="W36" s="49" t="n">
        <v>113.479</v>
      </c>
    </row>
    <row r="37">
      <c r="A37" s="44" t="inlineStr">
        <is>
          <t>TL Cinsi TUFE Endeksli Senetler</t>
        </is>
      </c>
      <c r="B37" s="44" t="n">
        <v>2023</v>
      </c>
      <c r="C37" s="44" t="inlineStr">
        <is>
          <t>TRT120133T14</t>
        </is>
      </c>
      <c r="D37" s="44" t="inlineStr">
        <is>
          <t>21.06.2023</t>
        </is>
      </c>
      <c r="E37" s="44" t="inlineStr">
        <is>
          <t>12.01.2033</t>
        </is>
      </c>
      <c r="F37" s="44" t="n">
        <v>3493</v>
      </c>
      <c r="G37" s="44" t="inlineStr">
        <is>
          <t>6 ay</t>
        </is>
      </c>
      <c r="H37" s="15" t="n">
        <v>0</v>
      </c>
      <c r="I37" s="45" t="n">
        <v>8953000</v>
      </c>
      <c r="J37" s="45" t="n">
        <v>10469541.87</v>
      </c>
      <c r="K37" s="45" t="n">
        <v>1455000</v>
      </c>
      <c r="L37" s="45" t="n">
        <v>1999669.9</v>
      </c>
      <c r="M37" s="45" t="n">
        <v>0</v>
      </c>
      <c r="N37" s="45" t="n">
        <v>0</v>
      </c>
      <c r="O37" s="45" t="n">
        <v>545716.486</v>
      </c>
      <c r="P37" s="45" t="n">
        <v>749999.99537</v>
      </c>
      <c r="Q37" s="45" t="n">
        <v>460986.758</v>
      </c>
      <c r="R37" s="45" t="n">
        <v>633552.54099</v>
      </c>
      <c r="S37" s="45" t="n">
        <v>2461703.244</v>
      </c>
      <c r="T37" s="45" t="n">
        <v>3383222.43636</v>
      </c>
      <c r="U37" s="15" t="n">
        <v>-0.86</v>
      </c>
      <c r="V37" s="15" t="n">
        <v>-1.72</v>
      </c>
      <c r="W37" s="49" t="n">
        <v>137.434</v>
      </c>
    </row>
    <row r="38">
      <c r="A38" s="44" t="inlineStr">
        <is>
          <t>TL Cinsi TUFE Endeksli Senetler</t>
        </is>
      </c>
      <c r="B38" s="44" t="n">
        <v>2023</v>
      </c>
      <c r="C38" s="44" t="inlineStr">
        <is>
          <t>TRT190728T34</t>
        </is>
      </c>
      <c r="D38" s="44" t="inlineStr">
        <is>
          <t>26.07.2023</t>
        </is>
      </c>
      <c r="E38" s="44" t="inlineStr">
        <is>
          <t>19.07.2028</t>
        </is>
      </c>
      <c r="F38" s="44" t="n">
        <v>1820</v>
      </c>
      <c r="G38" s="44" t="inlineStr">
        <is>
          <t>6 ay</t>
        </is>
      </c>
      <c r="H38" s="15" t="n">
        <v>0</v>
      </c>
      <c r="I38" s="45" t="n">
        <v>57792500</v>
      </c>
      <c r="J38" s="45" t="n">
        <v>80330120.05500001</v>
      </c>
      <c r="K38" s="45" t="n">
        <v>7013000</v>
      </c>
      <c r="L38" s="45" t="n">
        <v>10437598.22</v>
      </c>
      <c r="M38" s="45" t="n">
        <v>2015695.549</v>
      </c>
      <c r="N38" s="45" t="n">
        <v>2999999.99949</v>
      </c>
      <c r="O38" s="45" t="n">
        <v>5375188.126</v>
      </c>
      <c r="P38" s="45" t="n">
        <v>7999999.99172</v>
      </c>
      <c r="Q38" s="45" t="n">
        <v>3345111.977</v>
      </c>
      <c r="R38" s="45" t="n">
        <v>4978597.05761</v>
      </c>
      <c r="S38" s="45" t="n">
        <v>17748995.652</v>
      </c>
      <c r="T38" s="45" t="n">
        <v>26416195.26882</v>
      </c>
      <c r="U38" s="15" t="n">
        <v>-3.9</v>
      </c>
      <c r="V38" s="15" t="n">
        <v>-7.64</v>
      </c>
      <c r="W38" s="49" t="n">
        <v>148.832</v>
      </c>
    </row>
    <row r="39">
      <c r="A39" s="44" t="inlineStr">
        <is>
          <t>TL Cinsi TUFE Endeksli Senetler</t>
        </is>
      </c>
      <c r="B39" s="44" t="n">
        <v>2023</v>
      </c>
      <c r="C39" s="44" t="inlineStr">
        <is>
          <t>TRT190728T34</t>
        </is>
      </c>
      <c r="D39" s="44" t="inlineStr">
        <is>
          <t>16.08.2023</t>
        </is>
      </c>
      <c r="E39" s="44" t="inlineStr">
        <is>
          <t>19.07.2028</t>
        </is>
      </c>
      <c r="F39" s="44" t="n">
        <v>1799</v>
      </c>
      <c r="G39" s="44" t="inlineStr">
        <is>
          <t>6 ay</t>
        </is>
      </c>
      <c r="H39" s="15" t="n">
        <v>0</v>
      </c>
      <c r="I39" s="45" t="n">
        <v>61890000</v>
      </c>
      <c r="J39" s="45" t="n">
        <v>104335389.92</v>
      </c>
      <c r="K39" s="45" t="n">
        <v>14061000</v>
      </c>
      <c r="L39" s="45" t="n">
        <v>25366514.81</v>
      </c>
      <c r="M39" s="45" t="n">
        <v>0</v>
      </c>
      <c r="N39" s="45" t="n">
        <v>0</v>
      </c>
      <c r="O39" s="45" t="n">
        <v>11086290.133</v>
      </c>
      <c r="P39" s="45" t="n">
        <v>19999999.98865</v>
      </c>
      <c r="Q39" s="45" t="n">
        <v>6354555.927</v>
      </c>
      <c r="R39" s="45" t="n">
        <v>11463809.52899</v>
      </c>
      <c r="S39" s="45" t="n">
        <v>31501846.06</v>
      </c>
      <c r="T39" s="45" t="n">
        <v>56830324.32764</v>
      </c>
      <c r="U39" s="15" t="n">
        <v>-5.61</v>
      </c>
      <c r="V39" s="15" t="n">
        <v>-10.91</v>
      </c>
      <c r="W39" s="49" t="n">
        <v>180.403</v>
      </c>
    </row>
    <row r="40">
      <c r="A40" s="44" t="inlineStr">
        <is>
          <t>TL Cinsi TUFE Endeksli Senetler</t>
        </is>
      </c>
      <c r="B40" s="44" t="n">
        <v>2023</v>
      </c>
      <c r="C40" s="44" t="inlineStr">
        <is>
          <t>TRT070933T13</t>
        </is>
      </c>
      <c r="D40" s="44" t="inlineStr">
        <is>
          <t>20.09.2023</t>
        </is>
      </c>
      <c r="E40" s="44" t="inlineStr">
        <is>
          <t>07.09.2033</t>
        </is>
      </c>
      <c r="F40" s="44" t="n">
        <v>3640</v>
      </c>
      <c r="G40" s="44" t="inlineStr">
        <is>
          <t>6 ay</t>
        </is>
      </c>
      <c r="H40" s="15" t="n">
        <v>0</v>
      </c>
      <c r="I40" s="45" t="n">
        <v>34798000</v>
      </c>
      <c r="J40" s="45" t="n">
        <v>41780926.27</v>
      </c>
      <c r="K40" s="45" t="n">
        <v>5760000</v>
      </c>
      <c r="L40" s="45" t="n">
        <v>7604862.6</v>
      </c>
      <c r="M40" s="45" t="n">
        <v>2272228.071</v>
      </c>
      <c r="N40" s="45" t="n">
        <v>2999999.99986</v>
      </c>
      <c r="O40" s="45" t="n">
        <v>5301865.494</v>
      </c>
      <c r="P40" s="45" t="n">
        <v>6999999.99307</v>
      </c>
      <c r="Q40" s="45" t="n">
        <v>2830180.748</v>
      </c>
      <c r="R40" s="45" t="n">
        <v>3736659.33977</v>
      </c>
      <c r="S40" s="45" t="n">
        <v>16164274.313</v>
      </c>
      <c r="T40" s="45" t="n">
        <v>21341521.9327</v>
      </c>
      <c r="U40" s="15" t="n">
        <v>-1.38</v>
      </c>
      <c r="V40" s="15" t="n">
        <v>-2.74</v>
      </c>
      <c r="W40" s="49" t="n">
        <v>132.029</v>
      </c>
    </row>
    <row r="41">
      <c r="A41" s="44" t="inlineStr">
        <is>
          <t>TL Cinsi TUFE Endeksli Senetler</t>
        </is>
      </c>
      <c r="B41" s="44" t="n">
        <v>2023</v>
      </c>
      <c r="C41" s="44" t="inlineStr">
        <is>
          <t>TRT181028T14</t>
        </is>
      </c>
      <c r="D41" s="44" t="inlineStr">
        <is>
          <t>25.10.2023</t>
        </is>
      </c>
      <c r="E41" s="44" t="inlineStr">
        <is>
          <t>18.10.2028</t>
        </is>
      </c>
      <c r="F41" s="44" t="n">
        <v>1820</v>
      </c>
      <c r="G41" s="44" t="inlineStr">
        <is>
          <t>6 ay</t>
        </is>
      </c>
      <c r="H41" s="15" t="n">
        <v>0</v>
      </c>
      <c r="I41" s="45" t="n">
        <v>25003020.491</v>
      </c>
      <c r="J41" s="45" t="n">
        <v>28540766.71902</v>
      </c>
      <c r="K41" s="45" t="n">
        <v>3500000</v>
      </c>
      <c r="L41" s="45" t="n">
        <v>4656795</v>
      </c>
      <c r="M41" s="45" t="n">
        <v>1878978.737</v>
      </c>
      <c r="N41" s="45" t="n">
        <v>2499999.99937</v>
      </c>
      <c r="O41" s="45" t="n">
        <v>1878978.733</v>
      </c>
      <c r="P41" s="45" t="n">
        <v>2499999.99406</v>
      </c>
      <c r="Q41" s="45" t="n">
        <v>0</v>
      </c>
      <c r="R41" s="45" t="n">
        <v>0</v>
      </c>
      <c r="S41" s="45" t="n">
        <v>7257957.47</v>
      </c>
      <c r="T41" s="45" t="n">
        <v>9656794.99343</v>
      </c>
      <c r="U41" s="15" t="n">
        <v>-2.82</v>
      </c>
      <c r="V41" s="15" t="n">
        <v>-5.55</v>
      </c>
      <c r="W41" s="49" t="n">
        <v>133.051</v>
      </c>
    </row>
    <row r="42">
      <c r="A42" s="44" t="inlineStr">
        <is>
          <t>TL Cinsi TUFE Endeksli Senetler</t>
        </is>
      </c>
      <c r="B42" s="44" t="n">
        <v>2023</v>
      </c>
      <c r="C42" s="44" t="inlineStr">
        <is>
          <t>TRT181028T14</t>
        </is>
      </c>
      <c r="D42" s="44" t="inlineStr">
        <is>
          <t>15.11.2023</t>
        </is>
      </c>
      <c r="E42" s="44" t="inlineStr">
        <is>
          <t>18.10.2028</t>
        </is>
      </c>
      <c r="F42" s="44" t="n">
        <v>1799</v>
      </c>
      <c r="G42" s="44" t="inlineStr">
        <is>
          <t>6 ay</t>
        </is>
      </c>
      <c r="H42" s="15" t="n">
        <v>0</v>
      </c>
      <c r="I42" s="45" t="n">
        <v>22524007.462</v>
      </c>
      <c r="J42" s="45" t="n">
        <v>22991024.21908</v>
      </c>
      <c r="K42" s="45" t="n">
        <v>4970007.462</v>
      </c>
      <c r="L42" s="45" t="n">
        <v>5536396.69908</v>
      </c>
      <c r="M42" s="45" t="n">
        <v>2693094.904</v>
      </c>
      <c r="N42" s="45" t="n">
        <v>2999999.99926</v>
      </c>
      <c r="O42" s="45" t="n">
        <v>1795396.6</v>
      </c>
      <c r="P42" s="45" t="n">
        <v>1999999.99652</v>
      </c>
      <c r="Q42" s="45" t="n">
        <v>0</v>
      </c>
      <c r="R42" s="45" t="n">
        <v>0</v>
      </c>
      <c r="S42" s="45" t="n">
        <v>9458498.966</v>
      </c>
      <c r="T42" s="45" t="n">
        <v>10536396.69486</v>
      </c>
      <c r="U42" s="15" t="n">
        <v>-0.68</v>
      </c>
      <c r="V42" s="15" t="n">
        <v>-1.35</v>
      </c>
      <c r="W42" s="49" t="n">
        <v>111.396</v>
      </c>
    </row>
    <row r="43">
      <c r="A43" s="44" t="inlineStr">
        <is>
          <t>TL Cinsi TUFE Endeksli Senetler</t>
        </is>
      </c>
      <c r="B43" s="44" t="n">
        <v>2023</v>
      </c>
      <c r="C43" s="44" t="inlineStr">
        <is>
          <t>TRT181028T14</t>
        </is>
      </c>
      <c r="D43" s="44" t="inlineStr">
        <is>
          <t>13.12.2023</t>
        </is>
      </c>
      <c r="E43" s="44" t="inlineStr">
        <is>
          <t>18.10.2028</t>
        </is>
      </c>
      <c r="F43" s="44" t="n">
        <v>1771</v>
      </c>
      <c r="G43" s="44" t="inlineStr">
        <is>
          <t>6 ay</t>
        </is>
      </c>
      <c r="H43" s="15" t="n">
        <v>0</v>
      </c>
      <c r="I43" s="45" t="n">
        <v>9117001.051999999</v>
      </c>
      <c r="J43" s="45" t="n">
        <v>9618171.299280001</v>
      </c>
      <c r="K43" s="45" t="n">
        <v>4220001.052</v>
      </c>
      <c r="L43" s="45" t="n">
        <v>4566492.19928</v>
      </c>
      <c r="M43" s="45" t="n">
        <v>2772361.404</v>
      </c>
      <c r="N43" s="45" t="n">
        <v>2999999.99888</v>
      </c>
      <c r="O43" s="45" t="n">
        <v>924120.466</v>
      </c>
      <c r="P43" s="45" t="n">
        <v>999999.9974699999</v>
      </c>
      <c r="Q43" s="45" t="n">
        <v>99805.00999999999</v>
      </c>
      <c r="R43" s="45" t="n">
        <v>107999.99937</v>
      </c>
      <c r="S43" s="45" t="n">
        <v>8016287.932</v>
      </c>
      <c r="T43" s="45" t="n">
        <v>8674492.195</v>
      </c>
      <c r="U43" s="15" t="n">
        <v>0</v>
      </c>
      <c r="V43" s="15" t="n">
        <v>-0.01</v>
      </c>
      <c r="W43" s="49" t="n">
        <v>108.211</v>
      </c>
    </row>
    <row r="44">
      <c r="A44" s="44" t="inlineStr">
        <is>
          <t>TL Cinsi TUFE Endeksli Senetler</t>
        </is>
      </c>
      <c r="B44" s="44" t="n">
        <v>2022</v>
      </c>
      <c r="C44" s="44" t="inlineStr">
        <is>
          <t>TRT120128T11</t>
        </is>
      </c>
      <c r="D44" s="44" t="inlineStr">
        <is>
          <t>26.01.2022</t>
        </is>
      </c>
      <c r="E44" s="44" t="inlineStr">
        <is>
          <t>12.01.2028</t>
        </is>
      </c>
      <c r="F44" s="44" t="n">
        <v>2177</v>
      </c>
      <c r="G44" s="44" t="inlineStr">
        <is>
          <t>6 ay</t>
        </is>
      </c>
      <c r="H44" s="15" t="n">
        <v>1.45</v>
      </c>
      <c r="I44" s="45" t="n">
        <v>12207001</v>
      </c>
      <c r="J44" s="45" t="n">
        <v>29462642.685</v>
      </c>
      <c r="K44" s="45" t="n">
        <v>4084500</v>
      </c>
      <c r="L44" s="45" t="n">
        <v>10287460.33</v>
      </c>
      <c r="M44" s="45" t="n">
        <v>158814.607</v>
      </c>
      <c r="N44" s="45" t="n">
        <v>399999.99807</v>
      </c>
      <c r="O44" s="45" t="n">
        <v>1588146.076</v>
      </c>
      <c r="P44" s="45" t="n">
        <v>3999999.99575</v>
      </c>
      <c r="Q44" s="45" t="n">
        <v>1488417.617</v>
      </c>
      <c r="R44" s="45" t="n">
        <v>3748817.91524</v>
      </c>
      <c r="S44" s="45" t="n">
        <v>7319878.300000001</v>
      </c>
      <c r="T44" s="45" t="n">
        <v>18436278.23906</v>
      </c>
      <c r="U44" s="15" t="n">
        <v>-1.29</v>
      </c>
      <c r="V44" s="15" t="n">
        <v>-2.57</v>
      </c>
      <c r="W44" s="49" t="n">
        <v>251.866</v>
      </c>
    </row>
    <row r="45">
      <c r="A45" s="44" t="inlineStr">
        <is>
          <t>TL Cinsi TUFE Endeksli Senetler</t>
        </is>
      </c>
      <c r="B45" s="44" t="n">
        <v>2022</v>
      </c>
      <c r="C45" s="44" t="inlineStr">
        <is>
          <t>TRT180625T13</t>
        </is>
      </c>
      <c r="D45" s="44" t="inlineStr">
        <is>
          <t>16.02.2022</t>
        </is>
      </c>
      <c r="E45" s="44" t="inlineStr">
        <is>
          <t>18.06.2025</t>
        </is>
      </c>
      <c r="F45" s="44" t="n">
        <v>1218</v>
      </c>
      <c r="G45" s="44" t="inlineStr">
        <is>
          <t>6 ay</t>
        </is>
      </c>
      <c r="H45" s="15" t="n">
        <v>0.75</v>
      </c>
      <c r="I45" s="45" t="n">
        <v>8466862</v>
      </c>
      <c r="J45" s="45" t="n">
        <v>15164994.82765</v>
      </c>
      <c r="K45" s="45" t="n">
        <v>3607001</v>
      </c>
      <c r="L45" s="45" t="n">
        <v>6658387.28462</v>
      </c>
      <c r="M45" s="45" t="n">
        <v>0</v>
      </c>
      <c r="N45" s="45" t="n">
        <v>0</v>
      </c>
      <c r="O45" s="45" t="n">
        <v>2708617.734</v>
      </c>
      <c r="P45" s="45" t="n">
        <v>4999999.99226</v>
      </c>
      <c r="Q45" s="45" t="n">
        <v>0</v>
      </c>
      <c r="R45" s="45" t="n">
        <v>0</v>
      </c>
      <c r="S45" s="45" t="n">
        <v>6315618.734</v>
      </c>
      <c r="T45" s="45" t="n">
        <v>11658387.27688</v>
      </c>
      <c r="U45" s="15" t="n">
        <v>-3.06</v>
      </c>
      <c r="V45" s="15" t="n">
        <v>-6.03</v>
      </c>
      <c r="W45" s="49" t="n">
        <v>184.596</v>
      </c>
    </row>
    <row r="46">
      <c r="A46" s="44" t="inlineStr">
        <is>
          <t>TL Cinsi TUFE Endeksli Senetler</t>
        </is>
      </c>
      <c r="B46" s="44" t="n">
        <v>2022</v>
      </c>
      <c r="C46" s="44" t="inlineStr">
        <is>
          <t>TRT110232T15</t>
        </is>
      </c>
      <c r="D46" s="44" t="inlineStr">
        <is>
          <t>23.02.2022</t>
        </is>
      </c>
      <c r="E46" s="44" t="inlineStr">
        <is>
          <t>11.02.2032</t>
        </is>
      </c>
      <c r="F46" s="44" t="n">
        <v>3640</v>
      </c>
      <c r="G46" s="44" t="inlineStr">
        <is>
          <t>6 ay</t>
        </is>
      </c>
      <c r="H46" s="15" t="n">
        <v>0</v>
      </c>
      <c r="I46" s="45" t="n">
        <v>20988504</v>
      </c>
      <c r="J46" s="45" t="n">
        <v>21052235.3892</v>
      </c>
      <c r="K46" s="45" t="n">
        <v>4655000</v>
      </c>
      <c r="L46" s="45" t="n">
        <v>4985616.2</v>
      </c>
      <c r="M46" s="45" t="n">
        <v>93368.93799999999</v>
      </c>
      <c r="N46" s="45" t="n">
        <v>99999.99997999999</v>
      </c>
      <c r="O46" s="45" t="n">
        <v>2334223.446</v>
      </c>
      <c r="P46" s="45" t="n">
        <v>2499999.99514</v>
      </c>
      <c r="Q46" s="45" t="n">
        <v>826158.615</v>
      </c>
      <c r="R46" s="45" t="n">
        <v>884832.39984</v>
      </c>
      <c r="S46" s="45" t="n">
        <v>7908750.999</v>
      </c>
      <c r="T46" s="45" t="n">
        <v>8470448.59496</v>
      </c>
      <c r="U46" s="15" t="n">
        <v>-0.34</v>
      </c>
      <c r="V46" s="15" t="n">
        <v>-0.68</v>
      </c>
      <c r="W46" s="49" t="n">
        <v>107.102</v>
      </c>
    </row>
    <row r="47">
      <c r="A47" s="44" t="inlineStr">
        <is>
          <t>TL Cinsi TUFE Endeksli Senetler</t>
        </is>
      </c>
      <c r="B47" s="44" t="n">
        <v>2022</v>
      </c>
      <c r="C47" s="44" t="inlineStr">
        <is>
          <t>TRT110232T15</t>
        </is>
      </c>
      <c r="D47" s="44" t="inlineStr">
        <is>
          <t>23.03.2022</t>
        </is>
      </c>
      <c r="E47" s="44" t="inlineStr">
        <is>
          <t>11.02.2032</t>
        </is>
      </c>
      <c r="F47" s="44" t="n">
        <v>3612</v>
      </c>
      <c r="G47" s="44" t="inlineStr">
        <is>
          <t>6 ay</t>
        </is>
      </c>
      <c r="H47" s="15" t="n">
        <v>0</v>
      </c>
      <c r="I47" s="45" t="n">
        <v>8779001</v>
      </c>
      <c r="J47" s="45" t="n">
        <v>11397189.08</v>
      </c>
      <c r="K47" s="45" t="n">
        <v>2200000</v>
      </c>
      <c r="L47" s="45" t="n">
        <v>3094605.05</v>
      </c>
      <c r="M47" s="45" t="n">
        <v>0</v>
      </c>
      <c r="N47" s="45" t="n">
        <v>0</v>
      </c>
      <c r="O47" s="45" t="n">
        <v>3554569.75</v>
      </c>
      <c r="P47" s="45" t="n">
        <v>4999999.9931</v>
      </c>
      <c r="Q47" s="45" t="n">
        <v>20000</v>
      </c>
      <c r="R47" s="45" t="n">
        <v>28132.8</v>
      </c>
      <c r="S47" s="45" t="n">
        <v>5774569.75</v>
      </c>
      <c r="T47" s="45" t="n">
        <v>8122737.843099999</v>
      </c>
      <c r="U47" s="15" t="n">
        <v>-1.2</v>
      </c>
      <c r="V47" s="15" t="n">
        <v>-2.38</v>
      </c>
      <c r="W47" s="49" t="n">
        <v>140.664</v>
      </c>
    </row>
    <row r="48">
      <c r="A48" s="44" t="inlineStr">
        <is>
          <t>TL Cinsi TUFE Endeksli Senetler</t>
        </is>
      </c>
      <c r="B48" s="44" t="n">
        <v>2022</v>
      </c>
      <c r="C48" s="44" t="inlineStr">
        <is>
          <t>TRT110232T15</t>
        </is>
      </c>
      <c r="D48" s="44" t="inlineStr">
        <is>
          <t>20.04.2022</t>
        </is>
      </c>
      <c r="E48" s="44" t="inlineStr">
        <is>
          <t>11.02.2032</t>
        </is>
      </c>
      <c r="F48" s="44" t="n">
        <v>3584</v>
      </c>
      <c r="G48" s="44" t="inlineStr">
        <is>
          <t>6 ay</t>
        </is>
      </c>
      <c r="H48" s="15" t="n">
        <v>0</v>
      </c>
      <c r="I48" s="45" t="n">
        <v>13237200</v>
      </c>
      <c r="J48" s="45" t="n">
        <v>19166325.68</v>
      </c>
      <c r="K48" s="45" t="n">
        <v>5120700</v>
      </c>
      <c r="L48" s="45" t="n">
        <v>7607748.55</v>
      </c>
      <c r="M48" s="45" t="n">
        <v>0</v>
      </c>
      <c r="N48" s="45" t="n">
        <v>0</v>
      </c>
      <c r="O48" s="45" t="n">
        <v>3365439.622</v>
      </c>
      <c r="P48" s="45" t="n">
        <v>4999999.99199</v>
      </c>
      <c r="Q48" s="45" t="n">
        <v>957997.214</v>
      </c>
      <c r="R48" s="45" t="n">
        <v>1423286.88087</v>
      </c>
      <c r="S48" s="45" t="n">
        <v>9444136.835999999</v>
      </c>
      <c r="T48" s="45" t="n">
        <v>14031035.42286</v>
      </c>
      <c r="U48" s="15" t="n">
        <v>-1.18</v>
      </c>
      <c r="V48" s="15" t="n">
        <v>-2.35</v>
      </c>
      <c r="W48" s="49" t="n">
        <v>148.569</v>
      </c>
    </row>
    <row r="49">
      <c r="A49" s="44" t="inlineStr">
        <is>
          <t>TL Cinsi TUFE Endeksli Senetler</t>
        </is>
      </c>
      <c r="B49" s="44" t="n">
        <v>2022</v>
      </c>
      <c r="C49" s="44" t="inlineStr">
        <is>
          <t>TRT110232T15</t>
        </is>
      </c>
      <c r="D49" s="44" t="inlineStr">
        <is>
          <t>25.05.2022</t>
        </is>
      </c>
      <c r="E49" s="44" t="inlineStr">
        <is>
          <t>11.02.2032</t>
        </is>
      </c>
      <c r="F49" s="44" t="n">
        <v>3549</v>
      </c>
      <c r="G49" s="44" t="inlineStr">
        <is>
          <t>6 ay</t>
        </is>
      </c>
      <c r="H49" s="15" t="n">
        <v>0</v>
      </c>
      <c r="I49" s="45" t="n">
        <v>4795715.032</v>
      </c>
      <c r="J49" s="45" t="n">
        <v>7911505.79466</v>
      </c>
      <c r="K49" s="45" t="n">
        <v>2247600</v>
      </c>
      <c r="L49" s="45" t="n">
        <v>3781066.38</v>
      </c>
      <c r="M49" s="45" t="n">
        <v>59443.49</v>
      </c>
      <c r="N49" s="45" t="n">
        <v>99999.99992</v>
      </c>
      <c r="O49" s="45" t="n">
        <v>2377739.599</v>
      </c>
      <c r="P49" s="45" t="n">
        <v>3999999.9952</v>
      </c>
      <c r="Q49" s="45" t="n">
        <v>0</v>
      </c>
      <c r="R49" s="45" t="n">
        <v>0</v>
      </c>
      <c r="S49" s="45" t="n">
        <v>4684783.089</v>
      </c>
      <c r="T49" s="45" t="n">
        <v>7881066.37512</v>
      </c>
      <c r="U49" s="15" t="n">
        <v>-1.53</v>
      </c>
      <c r="V49" s="15" t="n">
        <v>-3.04</v>
      </c>
      <c r="W49" s="49" t="n">
        <v>168.227</v>
      </c>
    </row>
    <row r="50">
      <c r="A50" s="44" t="inlineStr">
        <is>
          <t>TL Cinsi TUFE Endeksli Senetler</t>
        </is>
      </c>
      <c r="B50" s="44" t="n">
        <v>2022</v>
      </c>
      <c r="C50" s="44" t="inlineStr">
        <is>
          <t>TRT110232T15</t>
        </is>
      </c>
      <c r="D50" s="44" t="inlineStr">
        <is>
          <t>15.06.2022</t>
        </is>
      </c>
      <c r="E50" s="44" t="inlineStr">
        <is>
          <t>11.02.2032</t>
        </is>
      </c>
      <c r="F50" s="44" t="n">
        <v>3528</v>
      </c>
      <c r="G50" s="44" t="inlineStr">
        <is>
          <t>6 ay</t>
        </is>
      </c>
      <c r="H50" s="15" t="n">
        <v>0</v>
      </c>
      <c r="I50" s="45" t="n">
        <v>3106200</v>
      </c>
      <c r="J50" s="45" t="n">
        <v>4679933.364</v>
      </c>
      <c r="K50" s="45" t="n">
        <v>598200</v>
      </c>
      <c r="L50" s="45" t="n">
        <v>979228.524</v>
      </c>
      <c r="M50" s="45" t="n">
        <v>122177.695</v>
      </c>
      <c r="N50" s="45" t="n">
        <v>199999.99961</v>
      </c>
      <c r="O50" s="45" t="n">
        <v>366533.082</v>
      </c>
      <c r="P50" s="45" t="n">
        <v>599999.99391</v>
      </c>
      <c r="Q50" s="45" t="n">
        <v>30473.744</v>
      </c>
      <c r="R50" s="45" t="n">
        <v>49884.29998</v>
      </c>
      <c r="S50" s="45" t="n">
        <v>1117384.521</v>
      </c>
      <c r="T50" s="45" t="n">
        <v>1829112.8175</v>
      </c>
      <c r="U50" s="15" t="n">
        <v>-1.17</v>
      </c>
      <c r="V50" s="15" t="n">
        <v>-2.33</v>
      </c>
      <c r="W50" s="49" t="n">
        <v>163.696</v>
      </c>
    </row>
    <row r="51">
      <c r="A51" s="44" t="inlineStr">
        <is>
          <t>TL Cinsi TUFE Endeksli Senetler</t>
        </is>
      </c>
      <c r="B51" s="44" t="n">
        <v>2022</v>
      </c>
      <c r="C51" s="44" t="inlineStr">
        <is>
          <t>TRT110232T15</t>
        </is>
      </c>
      <c r="D51" s="44" t="inlineStr">
        <is>
          <t>06.07.2022</t>
        </is>
      </c>
      <c r="E51" s="44" t="inlineStr">
        <is>
          <t>11.02.2032</t>
        </is>
      </c>
      <c r="F51" s="44" t="n">
        <v>3507</v>
      </c>
      <c r="G51" s="44" t="inlineStr">
        <is>
          <t>6 ay</t>
        </is>
      </c>
      <c r="H51" s="15" t="n">
        <v>0</v>
      </c>
      <c r="I51" s="45" t="n">
        <v>3199104.355</v>
      </c>
      <c r="J51" s="45" t="n">
        <v>4483383.0254</v>
      </c>
      <c r="K51" s="45" t="n">
        <v>831104.355</v>
      </c>
      <c r="L51" s="45" t="n">
        <v>1204461.1254</v>
      </c>
      <c r="M51" s="45" t="n">
        <v>34501.079</v>
      </c>
      <c r="N51" s="45" t="n">
        <v>49999.99872</v>
      </c>
      <c r="O51" s="45" t="n">
        <v>517516.193</v>
      </c>
      <c r="P51" s="45" t="n">
        <v>749999.99239</v>
      </c>
      <c r="Q51" s="45" t="n">
        <v>0</v>
      </c>
      <c r="R51" s="45" t="n">
        <v>0</v>
      </c>
      <c r="S51" s="45" t="n">
        <v>1383121.627</v>
      </c>
      <c r="T51" s="45" t="n">
        <v>2004461.11651</v>
      </c>
      <c r="U51" s="15" t="n">
        <v>-0.34</v>
      </c>
      <c r="V51" s="15" t="n">
        <v>-0.67</v>
      </c>
      <c r="W51" s="49" t="n">
        <v>144.923</v>
      </c>
    </row>
    <row r="52">
      <c r="A52" s="44" t="inlineStr">
        <is>
          <t>TL Cinsi TUFE Endeksli Senetler</t>
        </is>
      </c>
      <c r="B52" s="44" t="n">
        <v>2022</v>
      </c>
      <c r="C52" s="44" t="inlineStr">
        <is>
          <t xml:space="preserve">TRT040832T18 </t>
        </is>
      </c>
      <c r="D52" s="44" t="inlineStr">
        <is>
          <t>17.08.2022</t>
        </is>
      </c>
      <c r="E52" s="44" t="inlineStr">
        <is>
          <t>04.08.2032</t>
        </is>
      </c>
      <c r="F52" s="44" t="n">
        <v>3640</v>
      </c>
      <c r="G52" s="44" t="inlineStr">
        <is>
          <t>6 ay</t>
        </is>
      </c>
      <c r="H52" s="15" t="n">
        <v>0</v>
      </c>
      <c r="I52" s="45" t="n">
        <v>10762050.447</v>
      </c>
      <c r="J52" s="45" t="n">
        <v>10726158.53806</v>
      </c>
      <c r="K52" s="45" t="n">
        <v>866000</v>
      </c>
      <c r="L52" s="45" t="n">
        <v>918302.74</v>
      </c>
      <c r="M52" s="45" t="n">
        <v>47152.018</v>
      </c>
      <c r="N52" s="45" t="n">
        <v>49999.99989</v>
      </c>
      <c r="O52" s="45" t="n">
        <v>943040.357</v>
      </c>
      <c r="P52" s="45" t="n">
        <v>999999.99457</v>
      </c>
      <c r="Q52" s="45" t="n">
        <v>121041.342</v>
      </c>
      <c r="R52" s="45" t="n">
        <v>128352.23906</v>
      </c>
      <c r="S52" s="45" t="n">
        <v>1977233.717</v>
      </c>
      <c r="T52" s="45" t="n">
        <v>2096654.97352</v>
      </c>
      <c r="U52" s="15" t="n">
        <v>-0.29</v>
      </c>
      <c r="V52" s="15" t="n">
        <v>-0.58</v>
      </c>
      <c r="W52" s="49" t="n">
        <v>106.04</v>
      </c>
    </row>
    <row r="53">
      <c r="A53" s="44" t="inlineStr">
        <is>
          <t>TL Cinsi TUFE Endeksli Senetler</t>
        </is>
      </c>
      <c r="B53" s="44" t="n">
        <v>2022</v>
      </c>
      <c r="C53" s="44" t="inlineStr">
        <is>
          <t>TRT040832T18</t>
        </is>
      </c>
      <c r="D53" s="44" t="inlineStr">
        <is>
          <t>21.09.2022</t>
        </is>
      </c>
      <c r="E53" s="44" t="inlineStr">
        <is>
          <t>04.08.2032</t>
        </is>
      </c>
      <c r="F53" s="44" t="n">
        <v>3605</v>
      </c>
      <c r="G53" s="44" t="inlineStr">
        <is>
          <t>6 ay</t>
        </is>
      </c>
      <c r="H53" s="15" t="n">
        <v>0</v>
      </c>
      <c r="I53" s="45" t="n">
        <v>8633000</v>
      </c>
      <c r="J53" s="45" t="n">
        <v>9624566.49</v>
      </c>
      <c r="K53" s="45" t="n">
        <v>898000</v>
      </c>
      <c r="L53" s="45" t="n">
        <v>1094615.52</v>
      </c>
      <c r="M53" s="45" t="n">
        <v>0</v>
      </c>
      <c r="N53" s="45" t="n">
        <v>0</v>
      </c>
      <c r="O53" s="45" t="n">
        <v>1230567.287</v>
      </c>
      <c r="P53" s="45" t="n">
        <v>1499999.99448</v>
      </c>
      <c r="Q53" s="45" t="n">
        <v>112476.851</v>
      </c>
      <c r="R53" s="45" t="n">
        <v>137103.65753</v>
      </c>
      <c r="S53" s="45" t="n">
        <v>2241044.138</v>
      </c>
      <c r="T53" s="45" t="n">
        <v>2731719.17201</v>
      </c>
      <c r="U53" s="15" t="n">
        <v>-0.8</v>
      </c>
      <c r="V53" s="15" t="n">
        <v>-1.6</v>
      </c>
      <c r="W53" s="49" t="n">
        <v>121.895</v>
      </c>
    </row>
    <row r="54">
      <c r="A54" s="44" t="inlineStr">
        <is>
          <t>TL Cinsi TUFE Endeksli Senetler</t>
        </is>
      </c>
      <c r="B54" s="44" t="n">
        <v>2022</v>
      </c>
      <c r="C54" s="44" t="inlineStr">
        <is>
          <t>TRT040832T18</t>
        </is>
      </c>
      <c r="D54" s="44" t="inlineStr">
        <is>
          <t>26.10.2022</t>
        </is>
      </c>
      <c r="E54" s="44" t="inlineStr">
        <is>
          <t>04.08.2032</t>
        </is>
      </c>
      <c r="F54" s="44" t="n">
        <v>3570</v>
      </c>
      <c r="G54" s="44" t="inlineStr">
        <is>
          <t>6 ay</t>
        </is>
      </c>
      <c r="H54" s="15" t="n">
        <v>0</v>
      </c>
      <c r="I54" s="45" t="n">
        <v>5881000</v>
      </c>
      <c r="J54" s="45" t="n">
        <v>7763255.84</v>
      </c>
      <c r="K54" s="45" t="n">
        <v>1320000</v>
      </c>
      <c r="L54" s="45" t="n">
        <v>1902403.25</v>
      </c>
      <c r="M54" s="45" t="n">
        <v>0</v>
      </c>
      <c r="N54" s="45" t="n">
        <v>0</v>
      </c>
      <c r="O54" s="45" t="n">
        <v>1734653.518</v>
      </c>
      <c r="P54" s="45" t="n">
        <v>2499999.99666</v>
      </c>
      <c r="Q54" s="45" t="n">
        <v>605521.402</v>
      </c>
      <c r="R54" s="45" t="n">
        <v>872683.49978</v>
      </c>
      <c r="S54" s="45" t="n">
        <v>3660174.92</v>
      </c>
      <c r="T54" s="45" t="n">
        <v>5275086.74644</v>
      </c>
      <c r="U54" s="15" t="n">
        <v>-1.55</v>
      </c>
      <c r="V54" s="15" t="n">
        <v>-3.08</v>
      </c>
      <c r="W54" s="49" t="n">
        <v>144.121</v>
      </c>
    </row>
    <row r="55">
      <c r="A55" s="44" t="inlineStr">
        <is>
          <t>TL Cinsi TUFE Endeksli Senetler</t>
        </is>
      </c>
      <c r="B55" s="44" t="n">
        <v>2022</v>
      </c>
      <c r="C55" s="44" t="inlineStr">
        <is>
          <t>TRT040832T18</t>
        </is>
      </c>
      <c r="D55" s="44" t="inlineStr">
        <is>
          <t>23.11.2022</t>
        </is>
      </c>
      <c r="E55" s="44" t="inlineStr">
        <is>
          <t>04.08.2032</t>
        </is>
      </c>
      <c r="F55" s="44" t="n">
        <v>3542</v>
      </c>
      <c r="G55" s="44" t="inlineStr">
        <is>
          <t>6 ay</t>
        </is>
      </c>
      <c r="H55" s="15" t="n">
        <v>0</v>
      </c>
      <c r="I55" s="45" t="n">
        <v>4871000</v>
      </c>
      <c r="J55" s="45" t="n">
        <v>6861783.71</v>
      </c>
      <c r="K55" s="45" t="n">
        <v>2665000</v>
      </c>
      <c r="L55" s="45" t="n">
        <v>3979166.52</v>
      </c>
      <c r="M55" s="45" t="n">
        <v>83717.31600000001</v>
      </c>
      <c r="N55" s="45" t="n">
        <v>124999.99887</v>
      </c>
      <c r="O55" s="45" t="n">
        <v>1841780.965</v>
      </c>
      <c r="P55" s="45" t="n">
        <v>2749999.99445</v>
      </c>
      <c r="Q55" s="45" t="n">
        <v>1504013.746</v>
      </c>
      <c r="R55" s="45" t="n">
        <v>2245673.00443</v>
      </c>
      <c r="S55" s="45" t="n">
        <v>6094512.027000001</v>
      </c>
      <c r="T55" s="45" t="n">
        <v>9099839.517750001</v>
      </c>
      <c r="U55" s="15" t="n">
        <v>-1.62</v>
      </c>
      <c r="V55" s="15" t="n">
        <v>-3.21</v>
      </c>
      <c r="W55" s="49" t="n">
        <v>149.312</v>
      </c>
    </row>
    <row r="56">
      <c r="A56" s="44" t="inlineStr">
        <is>
          <t>TL Cinsi TUFE Endeksli Senetler</t>
        </is>
      </c>
      <c r="B56" s="44" t="n">
        <v>2022</v>
      </c>
      <c r="C56" s="44" t="inlineStr">
        <is>
          <t>TRT040832T18</t>
        </is>
      </c>
      <c r="D56" s="44" t="inlineStr">
        <is>
          <t>14.12.2022</t>
        </is>
      </c>
      <c r="E56" s="44" t="inlineStr">
        <is>
          <t>04.08.2032</t>
        </is>
      </c>
      <c r="F56" s="44" t="n">
        <v>3521</v>
      </c>
      <c r="G56" s="44" t="inlineStr">
        <is>
          <t>6 ay</t>
        </is>
      </c>
      <c r="H56" s="15" t="n">
        <v>0</v>
      </c>
      <c r="I56" s="45" t="n">
        <v>3407000</v>
      </c>
      <c r="J56" s="45" t="n">
        <v>4859477.49</v>
      </c>
      <c r="K56" s="45" t="n">
        <v>880000</v>
      </c>
      <c r="L56" s="45" t="n">
        <v>1340337</v>
      </c>
      <c r="M56" s="45" t="n">
        <v>0</v>
      </c>
      <c r="N56" s="45" t="n">
        <v>0</v>
      </c>
      <c r="O56" s="45" t="n">
        <v>656551.393</v>
      </c>
      <c r="P56" s="45" t="n">
        <v>999999.99219</v>
      </c>
      <c r="Q56" s="45" t="n">
        <v>184000</v>
      </c>
      <c r="R56" s="45" t="n">
        <v>280252.24</v>
      </c>
      <c r="S56" s="45" t="n">
        <v>1720551.393</v>
      </c>
      <c r="T56" s="45" t="n">
        <v>2620589.23219</v>
      </c>
      <c r="U56" s="15" t="n">
        <v>-1.61</v>
      </c>
      <c r="V56" s="15" t="n">
        <v>-3.2</v>
      </c>
      <c r="W56" s="49" t="n">
        <v>152.311</v>
      </c>
    </row>
    <row r="57">
      <c r="A57" s="44" t="inlineStr">
        <is>
          <t>TL Cinsi TUFE Endeksli Senetler</t>
        </is>
      </c>
      <c r="B57" s="44" t="n">
        <v>2021</v>
      </c>
      <c r="C57" s="44" t="inlineStr">
        <is>
          <t>TRT070727T13</t>
        </is>
      </c>
      <c r="D57" s="44" t="inlineStr">
        <is>
          <t>24.02.2021</t>
        </is>
      </c>
      <c r="E57" s="44" t="inlineStr">
        <is>
          <t>07.07.2027</t>
        </is>
      </c>
      <c r="F57" s="44" t="n">
        <v>2324</v>
      </c>
      <c r="G57" s="44" t="inlineStr">
        <is>
          <t>6 ay</t>
        </is>
      </c>
      <c r="H57" s="15" t="n">
        <v>1.45</v>
      </c>
      <c r="I57" s="45" t="n">
        <v>5248000</v>
      </c>
      <c r="J57" s="45" t="n">
        <v>8750201.890000001</v>
      </c>
      <c r="K57" s="45" t="n">
        <v>3115000</v>
      </c>
      <c r="L57" s="45" t="n">
        <v>5230437.3</v>
      </c>
      <c r="M57" s="45" t="n">
        <v>0</v>
      </c>
      <c r="N57" s="45" t="n">
        <v>0</v>
      </c>
      <c r="O57" s="45" t="n">
        <v>1042218.789</v>
      </c>
      <c r="P57" s="45" t="n">
        <v>1749999.9908</v>
      </c>
      <c r="Q57" s="45" t="n">
        <v>900000</v>
      </c>
      <c r="R57" s="45" t="n">
        <v>1511199</v>
      </c>
      <c r="S57" s="45" t="n">
        <v>5057218.789</v>
      </c>
      <c r="T57" s="45" t="n">
        <v>8491636.2908</v>
      </c>
      <c r="U57" s="15" t="n">
        <v>1.19</v>
      </c>
      <c r="V57" s="15" t="n">
        <v>2.4</v>
      </c>
      <c r="W57" s="49" t="n">
        <v>167.911</v>
      </c>
    </row>
    <row r="58">
      <c r="A58" s="44" t="inlineStr">
        <is>
          <t>TL Cinsi TUFE Endeksli Senetler</t>
        </is>
      </c>
      <c r="B58" s="44" t="n">
        <v>2021</v>
      </c>
      <c r="C58" s="44" t="inlineStr">
        <is>
          <t>TRT140126T11</t>
        </is>
      </c>
      <c r="D58" s="44" t="inlineStr">
        <is>
          <t>24.03.2021</t>
        </is>
      </c>
      <c r="E58" s="44" t="inlineStr">
        <is>
          <t>14.01.2026</t>
        </is>
      </c>
      <c r="F58" s="44" t="n">
        <v>1757</v>
      </c>
      <c r="G58" s="44" t="inlineStr">
        <is>
          <t>6 ay</t>
        </is>
      </c>
      <c r="H58" s="15" t="n">
        <v>1.35</v>
      </c>
      <c r="I58" s="45" t="n">
        <v>1842000</v>
      </c>
      <c r="J58" s="45" t="n">
        <v>3445914.63</v>
      </c>
      <c r="K58" s="45" t="n">
        <v>806000</v>
      </c>
      <c r="L58" s="45" t="n">
        <v>1536162.01</v>
      </c>
      <c r="M58" s="45" t="n">
        <v>0</v>
      </c>
      <c r="N58" s="45" t="n">
        <v>0</v>
      </c>
      <c r="O58" s="45" t="n">
        <v>996899.113</v>
      </c>
      <c r="P58" s="45" t="n">
        <v>1899999.98847</v>
      </c>
      <c r="Q58" s="45" t="n">
        <v>227367.829</v>
      </c>
      <c r="R58" s="45" t="n">
        <v>433342.61897</v>
      </c>
      <c r="S58" s="45" t="n">
        <v>2030266.942</v>
      </c>
      <c r="T58" s="45" t="n">
        <v>3869504.61744</v>
      </c>
      <c r="U58" s="15" t="n">
        <v>1.38</v>
      </c>
      <c r="V58" s="15" t="n">
        <v>2.78</v>
      </c>
      <c r="W58" s="49" t="n">
        <v>190.591</v>
      </c>
    </row>
    <row r="59">
      <c r="A59" s="44" t="inlineStr">
        <is>
          <t>TL Cinsi TUFE Endeksli Senetler</t>
        </is>
      </c>
      <c r="B59" s="44" t="n">
        <v>2021</v>
      </c>
      <c r="C59" s="44" t="inlineStr">
        <is>
          <t>TRT180625T13</t>
        </is>
      </c>
      <c r="D59" s="44" t="inlineStr">
        <is>
          <t>21.04.2021</t>
        </is>
      </c>
      <c r="E59" s="44" t="inlineStr">
        <is>
          <t>18.06.2025</t>
        </is>
      </c>
      <c r="F59" s="44" t="n">
        <v>1519</v>
      </c>
      <c r="G59" s="44" t="inlineStr">
        <is>
          <t>6 ay</t>
        </is>
      </c>
      <c r="H59" s="15" t="n">
        <v>0.75</v>
      </c>
      <c r="I59" s="45" t="n">
        <v>3051000</v>
      </c>
      <c r="J59" s="45" t="n">
        <v>3296727.13</v>
      </c>
      <c r="K59" s="45" t="n">
        <v>1986000</v>
      </c>
      <c r="L59" s="45" t="n">
        <v>2151941.53</v>
      </c>
      <c r="M59" s="45" t="n">
        <v>0</v>
      </c>
      <c r="N59" s="45" t="n">
        <v>0</v>
      </c>
      <c r="O59" s="45" t="n">
        <v>738307.059</v>
      </c>
      <c r="P59" s="45" t="n">
        <v>799999.99686</v>
      </c>
      <c r="Q59" s="45" t="n">
        <v>215049.005</v>
      </c>
      <c r="R59" s="45" t="n">
        <v>233018.49986</v>
      </c>
      <c r="S59" s="45" t="n">
        <v>2939356.064</v>
      </c>
      <c r="T59" s="45" t="n">
        <v>3184960.026719999</v>
      </c>
      <c r="U59" s="15" t="n">
        <v>1.43</v>
      </c>
      <c r="V59" s="15" t="n">
        <v>2.88</v>
      </c>
      <c r="W59" s="49" t="n">
        <v>108.356</v>
      </c>
    </row>
    <row r="60">
      <c r="A60" s="44" t="inlineStr">
        <is>
          <t>TL Cinsi TUFE Endeksli Senetler</t>
        </is>
      </c>
      <c r="B60" s="44" t="n">
        <v>2021</v>
      </c>
      <c r="C60" s="44" t="inlineStr">
        <is>
          <t>TRT180625T13</t>
        </is>
      </c>
      <c r="D60" s="44" t="inlineStr">
        <is>
          <t>05.05.2021</t>
        </is>
      </c>
      <c r="E60" s="44" t="inlineStr">
        <is>
          <t>18.06.2025</t>
        </is>
      </c>
      <c r="F60" s="44" t="n">
        <v>1505</v>
      </c>
      <c r="G60" s="44" t="inlineStr">
        <is>
          <t>6 ay</t>
        </is>
      </c>
      <c r="H60" s="15" t="n">
        <v>0.75</v>
      </c>
      <c r="I60" s="45" t="n">
        <v>4193000</v>
      </c>
      <c r="J60" s="45" t="n">
        <v>4518007.8</v>
      </c>
      <c r="K60" s="45" t="n">
        <v>2755000</v>
      </c>
      <c r="L60" s="45" t="n">
        <v>2987828.94</v>
      </c>
      <c r="M60" s="45" t="n">
        <v>0</v>
      </c>
      <c r="N60" s="45" t="n">
        <v>0</v>
      </c>
      <c r="O60" s="45" t="n">
        <v>1475320.647</v>
      </c>
      <c r="P60" s="45" t="n">
        <v>1599999.99488</v>
      </c>
      <c r="Q60" s="45" t="n">
        <v>562622.317</v>
      </c>
      <c r="R60" s="45" t="n">
        <v>610169.5290100001</v>
      </c>
      <c r="S60" s="45" t="n">
        <v>4792942.964</v>
      </c>
      <c r="T60" s="45" t="n">
        <v>5197998.463889999</v>
      </c>
      <c r="U60" s="15" t="n">
        <v>1.49</v>
      </c>
      <c r="V60" s="15" t="n">
        <v>3</v>
      </c>
      <c r="W60" s="49" t="n">
        <v>108.451</v>
      </c>
    </row>
    <row r="61">
      <c r="A61" s="44" t="inlineStr">
        <is>
          <t>TL Cinsi TUFE Endeksli Senetler</t>
        </is>
      </c>
      <c r="B61" s="44" t="n">
        <v>2021</v>
      </c>
      <c r="C61" s="44" t="inlineStr">
        <is>
          <t>TRT280531T14</t>
        </is>
      </c>
      <c r="D61" s="44" t="inlineStr">
        <is>
          <t>09.06.2021</t>
        </is>
      </c>
      <c r="E61" s="44" t="inlineStr">
        <is>
          <t>28.05.2031</t>
        </is>
      </c>
      <c r="F61" s="44" t="n">
        <v>3640</v>
      </c>
      <c r="G61" s="44" t="inlineStr">
        <is>
          <t>6 ay</t>
        </is>
      </c>
      <c r="H61" s="15" t="n">
        <v>1.5</v>
      </c>
      <c r="I61" s="45" t="n">
        <v>2940000</v>
      </c>
      <c r="J61" s="45" t="n">
        <v>2849191.27</v>
      </c>
      <c r="K61" s="45" t="n">
        <v>1506000</v>
      </c>
      <c r="L61" s="45" t="n">
        <v>1481912.55</v>
      </c>
      <c r="M61" s="45" t="n">
        <v>812999.867</v>
      </c>
      <c r="N61" s="45" t="n">
        <v>799999.99913</v>
      </c>
      <c r="O61" s="45" t="n">
        <v>863812.355</v>
      </c>
      <c r="P61" s="45" t="n">
        <v>849999.99544</v>
      </c>
      <c r="Q61" s="45" t="n">
        <v>336936.64</v>
      </c>
      <c r="R61" s="45" t="n">
        <v>331549.02313</v>
      </c>
      <c r="S61" s="45" t="n">
        <v>3519748.862</v>
      </c>
      <c r="T61" s="45" t="n">
        <v>3463461.5677</v>
      </c>
      <c r="U61" s="15" t="n">
        <v>1.59</v>
      </c>
      <c r="V61" s="15" t="n">
        <v>3.21</v>
      </c>
      <c r="W61" s="49" t="n">
        <v>98.401</v>
      </c>
    </row>
    <row r="62">
      <c r="A62" s="44" t="inlineStr">
        <is>
          <t>TL Cinsi TUFE Endeksli Senetler</t>
        </is>
      </c>
      <c r="B62" s="44" t="n">
        <v>2021</v>
      </c>
      <c r="C62" s="44" t="inlineStr">
        <is>
          <t>TRT280531T14</t>
        </is>
      </c>
      <c r="D62" s="44" t="inlineStr">
        <is>
          <t>14.07.2021</t>
        </is>
      </c>
      <c r="E62" s="44" t="inlineStr">
        <is>
          <t>28.05.2031</t>
        </is>
      </c>
      <c r="F62" s="44" t="n">
        <v>3605</v>
      </c>
      <c r="G62" s="44" t="inlineStr">
        <is>
          <t>6 ay</t>
        </is>
      </c>
      <c r="H62" s="15" t="n">
        <v>1.5</v>
      </c>
      <c r="I62" s="45" t="n">
        <v>6165150</v>
      </c>
      <c r="J62" s="45" t="n">
        <v>6142737.86</v>
      </c>
      <c r="K62" s="45" t="n">
        <v>4482150</v>
      </c>
      <c r="L62" s="45" t="n">
        <v>4510908.69</v>
      </c>
      <c r="M62" s="45" t="n">
        <v>0</v>
      </c>
      <c r="N62" s="45" t="n">
        <v>0</v>
      </c>
      <c r="O62" s="45" t="n">
        <v>2484052.38</v>
      </c>
      <c r="P62" s="45" t="n">
        <v>2499999.99627</v>
      </c>
      <c r="Q62" s="45" t="n">
        <v>466167.703</v>
      </c>
      <c r="R62" s="45" t="n">
        <v>469160.49965</v>
      </c>
      <c r="S62" s="45" t="n">
        <v>7432370.083</v>
      </c>
      <c r="T62" s="45" t="n">
        <v>7480069.18592</v>
      </c>
      <c r="U62" s="15" t="n">
        <v>1.57</v>
      </c>
      <c r="V62" s="15" t="n">
        <v>3.17</v>
      </c>
      <c r="W62" s="49" t="n">
        <v>100.642</v>
      </c>
    </row>
    <row r="63">
      <c r="A63" s="44" t="inlineStr">
        <is>
          <t>TL Cinsi TUFE Endeksli Senetler</t>
        </is>
      </c>
      <c r="B63" s="44" t="n">
        <v>2021</v>
      </c>
      <c r="C63" s="44" t="inlineStr">
        <is>
          <t>TRT280531T14</t>
        </is>
      </c>
      <c r="D63" s="44" t="inlineStr">
        <is>
          <t>18.08.2021</t>
        </is>
      </c>
      <c r="E63" s="44" t="inlineStr">
        <is>
          <t>28.05.2031</t>
        </is>
      </c>
      <c r="F63" s="44" t="n">
        <v>3570</v>
      </c>
      <c r="G63" s="44" t="inlineStr">
        <is>
          <t>6 ay</t>
        </is>
      </c>
      <c r="H63" s="15" t="n">
        <v>1.5</v>
      </c>
      <c r="I63" s="45" t="n">
        <v>7434000</v>
      </c>
      <c r="J63" s="45" t="n">
        <v>7526661.86</v>
      </c>
      <c r="K63" s="45" t="n">
        <v>4718000</v>
      </c>
      <c r="L63" s="45" t="n">
        <v>4816234.85</v>
      </c>
      <c r="M63" s="45" t="n">
        <v>587762.778</v>
      </c>
      <c r="N63" s="45" t="n">
        <v>599999.99904</v>
      </c>
      <c r="O63" s="45" t="n">
        <v>1959209.258</v>
      </c>
      <c r="P63" s="45" t="n">
        <v>1999999.99475</v>
      </c>
      <c r="Q63" s="45" t="n">
        <v>979604.6310000001</v>
      </c>
      <c r="R63" s="45" t="n">
        <v>999999.99942</v>
      </c>
      <c r="S63" s="45" t="n">
        <v>8244576.667</v>
      </c>
      <c r="T63" s="45" t="n">
        <v>8416234.843210001</v>
      </c>
      <c r="U63" s="15" t="n">
        <v>1.6</v>
      </c>
      <c r="V63" s="15" t="n">
        <v>3.23</v>
      </c>
      <c r="W63" s="49" t="n">
        <v>102.082</v>
      </c>
    </row>
    <row r="64">
      <c r="A64" s="44" t="inlineStr">
        <is>
          <t>TL Cinsi TUFE Endeksli Senetler</t>
        </is>
      </c>
      <c r="B64" s="44" t="n">
        <v>2021</v>
      </c>
      <c r="C64" s="44" t="inlineStr">
        <is>
          <t>TRT280531T14</t>
        </is>
      </c>
      <c r="D64" s="44" t="inlineStr">
        <is>
          <t>08.09.2021</t>
        </is>
      </c>
      <c r="E64" s="44" t="inlineStr">
        <is>
          <t>28.05.2031</t>
        </is>
      </c>
      <c r="F64" s="44" t="n">
        <v>3549</v>
      </c>
      <c r="G64" s="44" t="inlineStr">
        <is>
          <t>6 ay</t>
        </is>
      </c>
      <c r="H64" s="15" t="n">
        <v>1.5</v>
      </c>
      <c r="I64" s="45" t="n">
        <v>3845000</v>
      </c>
      <c r="J64" s="45" t="n">
        <v>3942994</v>
      </c>
      <c r="K64" s="45" t="n">
        <v>2345000</v>
      </c>
      <c r="L64" s="45" t="n">
        <v>2415372.89</v>
      </c>
      <c r="M64" s="45" t="n">
        <v>145629.654</v>
      </c>
      <c r="N64" s="45" t="n">
        <v>149999.99992</v>
      </c>
      <c r="O64" s="45" t="n">
        <v>1699012.627</v>
      </c>
      <c r="P64" s="45" t="n">
        <v>1749999.99592</v>
      </c>
      <c r="Q64" s="45" t="n">
        <v>582491.633</v>
      </c>
      <c r="R64" s="45" t="n">
        <v>599972.2069099999</v>
      </c>
      <c r="S64" s="45" t="n">
        <v>4772133.914000001</v>
      </c>
      <c r="T64" s="45" t="n">
        <v>4915345.092750001</v>
      </c>
      <c r="U64" s="15" t="n">
        <v>1.63</v>
      </c>
      <c r="V64" s="15" t="n">
        <v>3.3</v>
      </c>
      <c r="W64" s="49" t="n">
        <v>103.001</v>
      </c>
    </row>
    <row r="65">
      <c r="A65" s="44" t="inlineStr">
        <is>
          <t>TL Cinsi TUFE Endeksli Senetler</t>
        </is>
      </c>
      <c r="B65" s="44" t="n">
        <v>2021</v>
      </c>
      <c r="C65" s="44" t="inlineStr">
        <is>
          <t>TRT140126T11</t>
        </is>
      </c>
      <c r="D65" s="44" t="inlineStr">
        <is>
          <t>22.09.2021</t>
        </is>
      </c>
      <c r="E65" s="44" t="inlineStr">
        <is>
          <t>14.01.2026</t>
        </is>
      </c>
      <c r="F65" s="44" t="n">
        <v>1575</v>
      </c>
      <c r="G65" s="44" t="inlineStr">
        <is>
          <t>6 ay</t>
        </is>
      </c>
      <c r="H65" s="15" t="n">
        <v>1.35</v>
      </c>
      <c r="I65" s="45" t="n">
        <v>2092250</v>
      </c>
      <c r="J65" s="45" t="n">
        <v>4276346.905</v>
      </c>
      <c r="K65" s="45" t="n">
        <v>1377750</v>
      </c>
      <c r="L65" s="45" t="n">
        <v>2823681.05</v>
      </c>
      <c r="M65" s="45" t="n">
        <v>0</v>
      </c>
      <c r="N65" s="45" t="n">
        <v>0</v>
      </c>
      <c r="O65" s="45" t="n">
        <v>1097834.091</v>
      </c>
      <c r="P65" s="45" t="n">
        <v>2249999.99116</v>
      </c>
      <c r="Q65" s="45" t="n">
        <v>207585.252</v>
      </c>
      <c r="R65" s="45" t="n">
        <v>425443.89812</v>
      </c>
      <c r="S65" s="45" t="n">
        <v>2683169.343</v>
      </c>
      <c r="T65" s="45" t="n">
        <v>5499124.939280001</v>
      </c>
      <c r="U65" s="15" t="n">
        <v>1.49</v>
      </c>
      <c r="V65" s="15" t="n">
        <v>3</v>
      </c>
      <c r="W65" s="49" t="n">
        <v>204.949</v>
      </c>
    </row>
    <row r="66">
      <c r="A66" s="44" t="inlineStr">
        <is>
          <t>TL Cinsi TUFE Endeksli Senetler</t>
        </is>
      </c>
      <c r="B66" s="44" t="n">
        <v>2021</v>
      </c>
      <c r="C66" s="44" t="inlineStr">
        <is>
          <t>TRT140126T11</t>
        </is>
      </c>
      <c r="D66" s="44" t="inlineStr">
        <is>
          <t>06.10.2021</t>
        </is>
      </c>
      <c r="E66" s="44" t="inlineStr">
        <is>
          <t>14.01.2026</t>
        </is>
      </c>
      <c r="F66" s="44" t="n">
        <v>1561</v>
      </c>
      <c r="G66" s="44" t="inlineStr">
        <is>
          <t>6 ay</t>
        </is>
      </c>
      <c r="H66" s="15" t="n">
        <v>1.35</v>
      </c>
      <c r="I66" s="45" t="n">
        <v>3046000</v>
      </c>
      <c r="J66" s="45" t="n">
        <v>6249890.06</v>
      </c>
      <c r="K66" s="45" t="n">
        <v>1670000</v>
      </c>
      <c r="L66" s="45" t="n">
        <v>3445888.26</v>
      </c>
      <c r="M66" s="45" t="n">
        <v>1017732.781</v>
      </c>
      <c r="N66" s="45" t="n">
        <v>2099999.99763</v>
      </c>
      <c r="O66" s="45" t="n">
        <v>1211586.641</v>
      </c>
      <c r="P66" s="45" t="n">
        <v>2499999.99091</v>
      </c>
      <c r="Q66" s="45" t="n">
        <v>234197.185</v>
      </c>
      <c r="R66" s="45" t="n">
        <v>483244.81351</v>
      </c>
      <c r="S66" s="45" t="n">
        <v>4133516.607</v>
      </c>
      <c r="T66" s="45" t="n">
        <v>8529133.06205</v>
      </c>
      <c r="U66" s="15" t="n">
        <v>1.51</v>
      </c>
      <c r="V66" s="15" t="n">
        <v>3.04</v>
      </c>
      <c r="W66" s="49" t="n">
        <v>206.341</v>
      </c>
    </row>
    <row r="67">
      <c r="A67" s="44" t="inlineStr">
        <is>
          <t>TL Cinsi TUFE Endeksli Senetler</t>
        </is>
      </c>
      <c r="B67" s="44" t="n">
        <v>2021</v>
      </c>
      <c r="C67" s="44" t="inlineStr">
        <is>
          <t>TRT280531T14</t>
        </is>
      </c>
      <c r="D67" s="44" t="inlineStr">
        <is>
          <t>15.12.2021</t>
        </is>
      </c>
      <c r="E67" s="44" t="inlineStr">
        <is>
          <t>28.05.2031</t>
        </is>
      </c>
      <c r="F67" s="44" t="n">
        <v>3451</v>
      </c>
      <c r="G67" s="44" t="inlineStr">
        <is>
          <t>6 ay</t>
        </is>
      </c>
      <c r="H67" s="15" t="n">
        <v>1.5</v>
      </c>
      <c r="I67" s="45" t="n">
        <v>9371027</v>
      </c>
      <c r="J67" s="45" t="n">
        <v>12668917.65534</v>
      </c>
      <c r="K67" s="45" t="n">
        <v>3293000</v>
      </c>
      <c r="L67" s="45" t="n">
        <v>4540212.31</v>
      </c>
      <c r="M67" s="45" t="n">
        <v>797824.115</v>
      </c>
      <c r="N67" s="45" t="n">
        <v>1099999.99856</v>
      </c>
      <c r="O67" s="45" t="n">
        <v>1450589.295</v>
      </c>
      <c r="P67" s="45" t="n">
        <v>1999999.99049</v>
      </c>
      <c r="Q67" s="45" t="n">
        <v>479690.951</v>
      </c>
      <c r="R67" s="45" t="n">
        <v>661373.8986899999</v>
      </c>
      <c r="S67" s="45" t="n">
        <v>6021104.361</v>
      </c>
      <c r="T67" s="45" t="n">
        <v>8301586.19774</v>
      </c>
      <c r="U67" s="15" t="n">
        <v>0.13</v>
      </c>
      <c r="V67" s="15" t="n">
        <v>0.26</v>
      </c>
      <c r="W67" s="49" t="n">
        <v>137.875</v>
      </c>
    </row>
    <row r="68">
      <c r="A68" s="44" t="inlineStr">
        <is>
          <t>TL Cinsi TUFE Endeksli Senetler</t>
        </is>
      </c>
      <c r="B68" s="44" t="n">
        <v>2020</v>
      </c>
      <c r="C68" s="44" t="inlineStr">
        <is>
          <t>TRT290125T15</t>
        </is>
      </c>
      <c r="D68" s="44" t="inlineStr">
        <is>
          <t>05.02.2020</t>
        </is>
      </c>
      <c r="E68" s="44" t="inlineStr">
        <is>
          <t>29.01.2025</t>
        </is>
      </c>
      <c r="F68" s="44" t="n">
        <v>1820</v>
      </c>
      <c r="G68" s="44" t="inlineStr">
        <is>
          <t>6 ay</t>
        </is>
      </c>
      <c r="H68" s="15" t="n">
        <v>1.18</v>
      </c>
      <c r="I68" s="45" t="n">
        <v>4181000</v>
      </c>
      <c r="J68" s="45" t="n">
        <v>4161341.54</v>
      </c>
      <c r="K68" s="45" t="n">
        <v>1806000</v>
      </c>
      <c r="L68" s="45" t="n">
        <v>1810146.29</v>
      </c>
      <c r="M68" s="45" t="n">
        <v>798164.221</v>
      </c>
      <c r="N68" s="45" t="n">
        <v>799999.99871</v>
      </c>
      <c r="O68" s="45" t="n">
        <v>1995410.55</v>
      </c>
      <c r="P68" s="45" t="n">
        <v>1999999.99426</v>
      </c>
      <c r="Q68" s="45" t="n">
        <v>378366.087</v>
      </c>
      <c r="R68" s="45" t="n">
        <v>379236.329</v>
      </c>
      <c r="S68" s="45" t="n">
        <v>4977940.858</v>
      </c>
      <c r="T68" s="45" t="n">
        <v>4989382.61197</v>
      </c>
      <c r="U68" s="15" t="n">
        <v>1.16</v>
      </c>
      <c r="V68" s="15" t="n">
        <v>2.32</v>
      </c>
      <c r="W68" s="49" t="n">
        <v>100.23</v>
      </c>
    </row>
    <row r="69">
      <c r="A69" s="44" t="inlineStr">
        <is>
          <t>TL Cinsi TUFE Endeksli Senetler</t>
        </is>
      </c>
      <c r="B69" s="44" t="n">
        <v>2020</v>
      </c>
      <c r="C69" s="44" t="inlineStr">
        <is>
          <t>TRT290125T15</t>
        </is>
      </c>
      <c r="D69" s="44" t="inlineStr">
        <is>
          <t>11.03.2020</t>
        </is>
      </c>
      <c r="E69" s="44" t="inlineStr">
        <is>
          <t>29.01.2025</t>
        </is>
      </c>
      <c r="F69" s="44" t="n">
        <v>1785</v>
      </c>
      <c r="G69" s="44" t="inlineStr">
        <is>
          <t>6 ay</t>
        </is>
      </c>
      <c r="H69" s="15" t="n">
        <v>1.18</v>
      </c>
      <c r="I69" s="45" t="n">
        <v>3331000</v>
      </c>
      <c r="J69" s="45" t="n">
        <v>3337926.55</v>
      </c>
      <c r="K69" s="45" t="n">
        <v>1320000</v>
      </c>
      <c r="L69" s="45" t="n">
        <v>1335104.2</v>
      </c>
      <c r="M69" s="45" t="n">
        <v>346041.287</v>
      </c>
      <c r="N69" s="45" t="n">
        <v>349999.99932</v>
      </c>
      <c r="O69" s="45" t="n">
        <v>1186427.267</v>
      </c>
      <c r="P69" s="45" t="n">
        <v>1199999.99493</v>
      </c>
      <c r="Q69" s="45" t="n">
        <v>0</v>
      </c>
      <c r="R69" s="45" t="n">
        <v>0</v>
      </c>
      <c r="S69" s="45" t="n">
        <v>2852468.554</v>
      </c>
      <c r="T69" s="45" t="n">
        <v>2885104.19425</v>
      </c>
      <c r="U69" s="15" t="n">
        <v>1.2</v>
      </c>
      <c r="V69" s="15" t="n">
        <v>2.41</v>
      </c>
      <c r="W69" s="49" t="n">
        <v>101.144</v>
      </c>
    </row>
    <row r="70">
      <c r="A70" s="44" t="inlineStr">
        <is>
          <t>TL Cinsi TUFE Endeksli Senetler</t>
        </is>
      </c>
      <c r="B70" s="44" t="n">
        <v>2020</v>
      </c>
      <c r="C70" s="44" t="inlineStr">
        <is>
          <t>TRT280628T18</t>
        </is>
      </c>
      <c r="D70" s="44" t="inlineStr">
        <is>
          <t>08.04.2020</t>
        </is>
      </c>
      <c r="E70" s="44" t="inlineStr">
        <is>
          <t>28.06.2028</t>
        </is>
      </c>
      <c r="F70" s="44" t="n">
        <v>3003</v>
      </c>
      <c r="G70" s="44" t="inlineStr">
        <is>
          <t>6 ay</t>
        </is>
      </c>
      <c r="H70" s="15" t="n">
        <v>1.65</v>
      </c>
      <c r="I70" s="45" t="n">
        <v>3131200</v>
      </c>
      <c r="J70" s="45" t="n">
        <v>3969530.59</v>
      </c>
      <c r="K70" s="45" t="n">
        <v>2333200</v>
      </c>
      <c r="L70" s="45" t="n">
        <v>2997650.05</v>
      </c>
      <c r="M70" s="45" t="n">
        <v>467006.024</v>
      </c>
      <c r="N70" s="45" t="n">
        <v>599999.99951</v>
      </c>
      <c r="O70" s="45" t="n">
        <v>1089680.721</v>
      </c>
      <c r="P70" s="45" t="n">
        <v>1399999.99673</v>
      </c>
      <c r="Q70" s="45" t="n">
        <v>0</v>
      </c>
      <c r="R70" s="45" t="n">
        <v>0</v>
      </c>
      <c r="S70" s="45" t="n">
        <v>3889886.745</v>
      </c>
      <c r="T70" s="45" t="n">
        <v>4997650.04624</v>
      </c>
      <c r="U70" s="15" t="n">
        <v>1.77</v>
      </c>
      <c r="V70" s="15" t="n">
        <v>3.58</v>
      </c>
      <c r="W70" s="49" t="n">
        <v>128.478</v>
      </c>
    </row>
    <row r="71">
      <c r="A71" s="44" t="inlineStr">
        <is>
          <t>TL Cinsi TUFE Endeksli Senetler</t>
        </is>
      </c>
      <c r="B71" s="44" t="n">
        <v>2020</v>
      </c>
      <c r="C71" s="44" t="inlineStr">
        <is>
          <t>TRT030523T13</t>
        </is>
      </c>
      <c r="D71" s="44" t="inlineStr">
        <is>
          <t>22.04.2020</t>
        </is>
      </c>
      <c r="E71" s="44" t="inlineStr">
        <is>
          <t>03.05.2023</t>
        </is>
      </c>
      <c r="F71" s="44" t="n">
        <v>1106</v>
      </c>
      <c r="G71" s="44" t="inlineStr">
        <is>
          <t>6 ay</t>
        </is>
      </c>
      <c r="H71" s="15" t="n">
        <v>0.5</v>
      </c>
      <c r="I71" s="45" t="n">
        <v>6577000</v>
      </c>
      <c r="J71" s="45" t="n">
        <v>13056391.63</v>
      </c>
      <c r="K71" s="45" t="n">
        <v>3081000</v>
      </c>
      <c r="L71" s="45" t="n">
        <v>6170416.45</v>
      </c>
      <c r="M71" s="45" t="n">
        <v>0</v>
      </c>
      <c r="N71" s="45" t="n">
        <v>0</v>
      </c>
      <c r="O71" s="45" t="n">
        <v>2496592.147</v>
      </c>
      <c r="P71" s="45" t="n">
        <v>4999999.99057</v>
      </c>
      <c r="Q71" s="45" t="n">
        <v>598991.027</v>
      </c>
      <c r="R71" s="45" t="n">
        <v>1199617.2995</v>
      </c>
      <c r="S71" s="45" t="n">
        <v>6176583.174</v>
      </c>
      <c r="T71" s="45" t="n">
        <v>12370033.74007</v>
      </c>
      <c r="U71" s="15" t="n">
        <v>0.99</v>
      </c>
      <c r="V71" s="15" t="n">
        <v>1.99</v>
      </c>
      <c r="W71" s="49" t="n">
        <v>200.273</v>
      </c>
    </row>
    <row r="72">
      <c r="A72" s="44" t="inlineStr">
        <is>
          <t>TL Cinsi TUFE Endeksli Senetler</t>
        </is>
      </c>
      <c r="B72" s="44" t="n">
        <v>2020</v>
      </c>
      <c r="C72" s="44" t="inlineStr">
        <is>
          <t>TRT290125T15</t>
        </is>
      </c>
      <c r="D72" s="44" t="inlineStr">
        <is>
          <t>06.05.2020</t>
        </is>
      </c>
      <c r="E72" s="44" t="inlineStr">
        <is>
          <t>29.01.2025</t>
        </is>
      </c>
      <c r="F72" s="44" t="n">
        <v>1729</v>
      </c>
      <c r="G72" s="44" t="inlineStr">
        <is>
          <t>6 ay</t>
        </is>
      </c>
      <c r="H72" s="15" t="n">
        <v>1.18</v>
      </c>
      <c r="I72" s="45" t="n">
        <v>4165000</v>
      </c>
      <c r="J72" s="45" t="n">
        <v>4343143.5</v>
      </c>
      <c r="K72" s="45" t="n">
        <v>2170000</v>
      </c>
      <c r="L72" s="45" t="n">
        <v>2272941.2</v>
      </c>
      <c r="M72" s="45" t="n">
        <v>0</v>
      </c>
      <c r="N72" s="45" t="n">
        <v>0</v>
      </c>
      <c r="O72" s="45" t="n">
        <v>1432062.93</v>
      </c>
      <c r="P72" s="45" t="n">
        <v>1499999.99539</v>
      </c>
      <c r="Q72" s="45" t="n">
        <v>588000</v>
      </c>
      <c r="R72" s="45" t="n">
        <v>615894.72</v>
      </c>
      <c r="S72" s="45" t="n">
        <v>4190062.93</v>
      </c>
      <c r="T72" s="45" t="n">
        <v>4388835.91539</v>
      </c>
      <c r="U72" s="15" t="n">
        <v>1</v>
      </c>
      <c r="V72" s="15" t="n">
        <v>2</v>
      </c>
      <c r="W72" s="49" t="n">
        <v>104.744</v>
      </c>
    </row>
    <row r="73">
      <c r="A73" s="44" t="inlineStr">
        <is>
          <t>TL Cinsi TUFE Endeksli Senetler</t>
        </is>
      </c>
      <c r="B73" s="44" t="n">
        <v>2020</v>
      </c>
      <c r="C73" s="44" t="inlineStr">
        <is>
          <t>TRT280628T18</t>
        </is>
      </c>
      <c r="D73" s="44" t="inlineStr">
        <is>
          <t>13.05.2020</t>
        </is>
      </c>
      <c r="E73" s="44" t="inlineStr">
        <is>
          <t>28.06.2028</t>
        </is>
      </c>
      <c r="F73" s="44" t="n">
        <v>2968</v>
      </c>
      <c r="G73" s="44" t="inlineStr">
        <is>
          <t>6 ay</t>
        </is>
      </c>
      <c r="H73" s="15" t="n">
        <v>1.65</v>
      </c>
      <c r="I73" s="45" t="n">
        <v>2756000</v>
      </c>
      <c r="J73" s="45" t="n">
        <v>3817589.41</v>
      </c>
      <c r="K73" s="45" t="n">
        <v>1706000</v>
      </c>
      <c r="L73" s="45" t="n">
        <v>2382569.16</v>
      </c>
      <c r="M73" s="45" t="n">
        <v>0</v>
      </c>
      <c r="N73" s="45" t="n">
        <v>0</v>
      </c>
      <c r="O73" s="45" t="n">
        <v>895043.602</v>
      </c>
      <c r="P73" s="45" t="n">
        <v>1249999.99366</v>
      </c>
      <c r="Q73" s="45" t="n">
        <v>0</v>
      </c>
      <c r="R73" s="45" t="n">
        <v>0</v>
      </c>
      <c r="S73" s="45" t="n">
        <v>2601043.602</v>
      </c>
      <c r="T73" s="45" t="n">
        <v>3632569.15366</v>
      </c>
      <c r="U73" s="15" t="n">
        <v>1.24</v>
      </c>
      <c r="V73" s="15" t="n">
        <v>2.49</v>
      </c>
      <c r="W73" s="49" t="n">
        <v>139.658</v>
      </c>
    </row>
    <row r="74">
      <c r="A74" s="44" t="inlineStr">
        <is>
          <t>TL Cinsi TUFE Endeksli Senetler</t>
        </is>
      </c>
      <c r="B74" s="44" t="n">
        <v>2020</v>
      </c>
      <c r="C74" s="44" t="inlineStr">
        <is>
          <t>TRT180625T13</t>
        </is>
      </c>
      <c r="D74" s="44" t="inlineStr">
        <is>
          <t>24.06.2020</t>
        </is>
      </c>
      <c r="E74" s="44" t="inlineStr">
        <is>
          <t>18.06.2025</t>
        </is>
      </c>
      <c r="F74" s="44" t="n">
        <v>1820</v>
      </c>
      <c r="G74" s="44" t="inlineStr">
        <is>
          <t>6 ay</t>
        </is>
      </c>
      <c r="H74" s="15" t="n">
        <v>0.75</v>
      </c>
      <c r="I74" s="45" t="n">
        <v>5279000</v>
      </c>
      <c r="J74" s="45" t="n">
        <v>5212944.03</v>
      </c>
      <c r="K74" s="45" t="n">
        <v>1668000</v>
      </c>
      <c r="L74" s="45" t="n">
        <v>1661849.34</v>
      </c>
      <c r="M74" s="45" t="n">
        <v>0</v>
      </c>
      <c r="N74" s="45" t="n">
        <v>0</v>
      </c>
      <c r="O74" s="45" t="n">
        <v>1756481.412</v>
      </c>
      <c r="P74" s="45" t="n">
        <v>1749999.99561</v>
      </c>
      <c r="Q74" s="45" t="n">
        <v>420000</v>
      </c>
      <c r="R74" s="45" t="n">
        <v>418450.2</v>
      </c>
      <c r="S74" s="45" t="n">
        <v>3844481.412</v>
      </c>
      <c r="T74" s="45" t="n">
        <v>3830299.535610001</v>
      </c>
      <c r="U74" s="15" t="n">
        <v>0.79</v>
      </c>
      <c r="V74" s="15" t="n">
        <v>1.58</v>
      </c>
      <c r="W74" s="49" t="n">
        <v>99.631</v>
      </c>
    </row>
    <row r="75">
      <c r="A75" s="44" t="inlineStr">
        <is>
          <t>TL Cinsi TUFE Endeksli Senetler</t>
        </is>
      </c>
      <c r="B75" s="44" t="n">
        <v>2020</v>
      </c>
      <c r="C75" s="44" t="inlineStr">
        <is>
          <t>TRT180625T13</t>
        </is>
      </c>
      <c r="D75" s="44" t="inlineStr">
        <is>
          <t>08.07.2020</t>
        </is>
      </c>
      <c r="E75" s="44" t="inlineStr">
        <is>
          <t>18.06.2025</t>
        </is>
      </c>
      <c r="F75" s="44" t="n">
        <v>1806</v>
      </c>
      <c r="G75" s="44" t="inlineStr">
        <is>
          <t>6 ay</t>
        </is>
      </c>
      <c r="H75" s="15" t="n">
        <v>0.75</v>
      </c>
      <c r="I75" s="45" t="n">
        <v>4697249.139</v>
      </c>
      <c r="J75" s="45" t="n">
        <v>4670711.43853</v>
      </c>
      <c r="K75" s="45" t="n">
        <v>2598249.139</v>
      </c>
      <c r="L75" s="45" t="n">
        <v>2606867.69853</v>
      </c>
      <c r="M75" s="45" t="n">
        <v>363792.209</v>
      </c>
      <c r="N75" s="45" t="n">
        <v>364999.99913</v>
      </c>
      <c r="O75" s="45" t="n">
        <v>2491727.459</v>
      </c>
      <c r="P75" s="45" t="n">
        <v>2499999.99417</v>
      </c>
      <c r="Q75" s="45" t="n">
        <v>250000</v>
      </c>
      <c r="R75" s="45" t="n">
        <v>250830</v>
      </c>
      <c r="S75" s="45" t="n">
        <v>5703768.807</v>
      </c>
      <c r="T75" s="45" t="n">
        <v>5722697.691830001</v>
      </c>
      <c r="U75" s="15" t="n">
        <v>0.77</v>
      </c>
      <c r="V75" s="15" t="n">
        <v>1.55</v>
      </c>
      <c r="W75" s="49" t="n">
        <v>100.332</v>
      </c>
    </row>
    <row r="76">
      <c r="A76" s="44" t="inlineStr">
        <is>
          <t>TL Cinsi TUFE Endeksli Senetler</t>
        </is>
      </c>
      <c r="B76" s="44" t="n">
        <v>2020</v>
      </c>
      <c r="C76" s="44" t="inlineStr">
        <is>
          <t>TRT180625T13</t>
        </is>
      </c>
      <c r="D76" s="44" t="inlineStr">
        <is>
          <t>12.08.2020</t>
        </is>
      </c>
      <c r="E76" s="44" t="inlineStr">
        <is>
          <t>18.06.2025</t>
        </is>
      </c>
      <c r="F76" s="44" t="n">
        <v>1771</v>
      </c>
      <c r="G76" s="44" t="inlineStr">
        <is>
          <t>6 ay</t>
        </is>
      </c>
      <c r="H76" s="15" t="n">
        <v>0.75</v>
      </c>
      <c r="I76" s="45" t="n">
        <v>2255000</v>
      </c>
      <c r="J76" s="45" t="n">
        <v>2210164.31</v>
      </c>
      <c r="K76" s="45" t="n">
        <v>892000</v>
      </c>
      <c r="L76" s="45" t="n">
        <v>894977.39</v>
      </c>
      <c r="M76" s="45" t="n">
        <v>0</v>
      </c>
      <c r="N76" s="45" t="n">
        <v>0</v>
      </c>
      <c r="O76" s="45" t="n">
        <v>498335.555</v>
      </c>
      <c r="P76" s="45" t="n">
        <v>499999.99574</v>
      </c>
      <c r="Q76" s="45" t="n">
        <v>0</v>
      </c>
      <c r="R76" s="45" t="n">
        <v>0</v>
      </c>
      <c r="S76" s="45" t="n">
        <v>1390335.555</v>
      </c>
      <c r="T76" s="45" t="n">
        <v>1394977.38574</v>
      </c>
      <c r="U76" s="15" t="n">
        <v>0.95</v>
      </c>
      <c r="V76" s="15" t="n">
        <v>1.9</v>
      </c>
      <c r="W76" s="49" t="n">
        <v>100.334</v>
      </c>
    </row>
    <row r="77">
      <c r="A77" s="44" t="inlineStr">
        <is>
          <t>TL Cinsi TUFE Endeksli Senetler</t>
        </is>
      </c>
      <c r="B77" s="44" t="n">
        <v>2019</v>
      </c>
      <c r="C77" s="44" t="inlineStr">
        <is>
          <t>TRT100124T17</t>
        </is>
      </c>
      <c r="D77" s="44" t="inlineStr">
        <is>
          <t>16.01.2019</t>
        </is>
      </c>
      <c r="E77" s="44" t="inlineStr">
        <is>
          <t>10.01.2024</t>
        </is>
      </c>
      <c r="F77" s="44" t="n">
        <v>1820</v>
      </c>
      <c r="G77" s="44" t="inlineStr">
        <is>
          <t>6 ay</t>
        </is>
      </c>
      <c r="H77" s="15" t="n">
        <v>2.1</v>
      </c>
      <c r="I77" s="45" t="n">
        <v>1234000</v>
      </c>
      <c r="J77" s="45" t="n">
        <v>1240028.24</v>
      </c>
      <c r="K77" s="45" t="n">
        <v>853000</v>
      </c>
      <c r="L77" s="45" t="n">
        <v>861002.23</v>
      </c>
      <c r="M77" s="45" t="n">
        <v>346747.508</v>
      </c>
      <c r="N77" s="45" t="n">
        <v>349999.99963</v>
      </c>
      <c r="O77" s="45" t="n">
        <v>1017951.611</v>
      </c>
      <c r="P77" s="45" t="n">
        <v>1027499.99711</v>
      </c>
      <c r="Q77" s="45" t="n">
        <v>188791.654</v>
      </c>
      <c r="R77" s="45" t="n">
        <v>190562.51971</v>
      </c>
      <c r="S77" s="45" t="n">
        <v>2406490.773</v>
      </c>
      <c r="T77" s="45" t="n">
        <v>2429064.74645</v>
      </c>
      <c r="U77" s="15" t="n">
        <v>2</v>
      </c>
      <c r="V77" s="15" t="n">
        <v>4.03</v>
      </c>
      <c r="W77" s="49" t="n">
        <v>100.938</v>
      </c>
    </row>
    <row r="78">
      <c r="A78" s="44" t="inlineStr">
        <is>
          <t>TL Cinsi TUFE Endeksli Senetler</t>
        </is>
      </c>
      <c r="B78" s="44" t="n">
        <v>2019</v>
      </c>
      <c r="C78" s="44" t="inlineStr">
        <is>
          <t>TRT100124T17</t>
        </is>
      </c>
      <c r="D78" s="44" t="inlineStr">
        <is>
          <t>20.02.2019</t>
        </is>
      </c>
      <c r="E78" s="44" t="inlineStr">
        <is>
          <t>10.01.2024</t>
        </is>
      </c>
      <c r="F78" s="44" t="n">
        <v>1785</v>
      </c>
      <c r="G78" s="44" t="inlineStr">
        <is>
          <t>6 ay</t>
        </is>
      </c>
      <c r="H78" s="15" t="n">
        <v>2.1</v>
      </c>
      <c r="I78" s="45" t="n">
        <v>2980000</v>
      </c>
      <c r="J78" s="45" t="n">
        <v>3029783.18</v>
      </c>
      <c r="K78" s="45" t="n">
        <v>2322000</v>
      </c>
      <c r="L78" s="45" t="n">
        <v>2366541.83</v>
      </c>
      <c r="M78" s="45" t="n">
        <v>981180.948</v>
      </c>
      <c r="N78" s="45" t="n">
        <v>999999.99858</v>
      </c>
      <c r="O78" s="45" t="n">
        <v>1177417.135</v>
      </c>
      <c r="P78" s="45" t="n">
        <v>1199999.99564</v>
      </c>
      <c r="Q78" s="45" t="n">
        <v>98118.094</v>
      </c>
      <c r="R78" s="45" t="n">
        <v>99999.99904</v>
      </c>
      <c r="S78" s="45" t="n">
        <v>4578716.176999999</v>
      </c>
      <c r="T78" s="45" t="n">
        <v>4666541.823260001</v>
      </c>
      <c r="U78" s="15" t="n">
        <v>1.93</v>
      </c>
      <c r="V78" s="15" t="n">
        <v>3.89</v>
      </c>
      <c r="W78" s="49" t="n">
        <v>101.918</v>
      </c>
    </row>
    <row r="79">
      <c r="A79" s="44" t="inlineStr">
        <is>
          <t>TL Cinsi TUFE Endeksli Senetler</t>
        </is>
      </c>
      <c r="B79" s="44" t="n">
        <v>2019</v>
      </c>
      <c r="C79" s="44" t="inlineStr">
        <is>
          <t>TRT100124T17</t>
        </is>
      </c>
      <c r="D79" s="44" t="inlineStr">
        <is>
          <t>20.03.2019</t>
        </is>
      </c>
      <c r="E79" s="44" t="inlineStr">
        <is>
          <t>10.01.2024</t>
        </is>
      </c>
      <c r="F79" s="44" t="n">
        <v>1757</v>
      </c>
      <c r="G79" s="44" t="inlineStr">
        <is>
          <t>6 ay</t>
        </is>
      </c>
      <c r="H79" s="15" t="n">
        <v>2.1</v>
      </c>
      <c r="I79" s="45" t="n">
        <v>1073053.03</v>
      </c>
      <c r="J79" s="45" t="n">
        <v>1092133.7397</v>
      </c>
      <c r="K79" s="45" t="n">
        <v>810000</v>
      </c>
      <c r="L79" s="45" t="n">
        <v>826910.65</v>
      </c>
      <c r="M79" s="45" t="n">
        <v>489773.528</v>
      </c>
      <c r="N79" s="45" t="n">
        <v>499999.99926</v>
      </c>
      <c r="O79" s="45" t="n">
        <v>1273411.172</v>
      </c>
      <c r="P79" s="45" t="n">
        <v>1299999.99727</v>
      </c>
      <c r="Q79" s="45" t="n">
        <v>0</v>
      </c>
      <c r="R79" s="45" t="n">
        <v>0</v>
      </c>
      <c r="S79" s="45" t="n">
        <v>2573184.7</v>
      </c>
      <c r="T79" s="45" t="n">
        <v>2626910.64653</v>
      </c>
      <c r="U79" s="15" t="n">
        <v>1.94</v>
      </c>
      <c r="V79" s="15" t="n">
        <v>3.92</v>
      </c>
      <c r="W79" s="49" t="n">
        <v>102.088</v>
      </c>
    </row>
    <row r="80">
      <c r="A80" s="44" t="inlineStr">
        <is>
          <t>TL Cinsi TUFE Endeksli Senetler</t>
        </is>
      </c>
      <c r="B80" s="44" t="n">
        <v>2019</v>
      </c>
      <c r="C80" s="44" t="inlineStr">
        <is>
          <t>TRT100124T17</t>
        </is>
      </c>
      <c r="D80" s="44" t="inlineStr">
        <is>
          <t>15.05.2019</t>
        </is>
      </c>
      <c r="E80" s="44" t="inlineStr">
        <is>
          <t>10.01.2024</t>
        </is>
      </c>
      <c r="F80" s="44" t="n">
        <v>1701</v>
      </c>
      <c r="G80" s="44" t="inlineStr">
        <is>
          <t>6 ay</t>
        </is>
      </c>
      <c r="H80" s="15" t="n">
        <v>2.1</v>
      </c>
      <c r="I80" s="45" t="n">
        <v>1826000</v>
      </c>
      <c r="J80" s="45" t="n">
        <v>1845038.13</v>
      </c>
      <c r="K80" s="45" t="n">
        <v>1176000</v>
      </c>
      <c r="L80" s="45" t="n">
        <v>1197965.28</v>
      </c>
      <c r="M80" s="45" t="n">
        <v>638080.652</v>
      </c>
      <c r="N80" s="45" t="n">
        <v>649999.99858</v>
      </c>
      <c r="O80" s="45" t="n">
        <v>1668826.321</v>
      </c>
      <c r="P80" s="45" t="n">
        <v>1699999.99667</v>
      </c>
      <c r="Q80" s="45" t="n">
        <v>0</v>
      </c>
      <c r="R80" s="45" t="n">
        <v>0</v>
      </c>
      <c r="S80" s="45" t="n">
        <v>3482906.973</v>
      </c>
      <c r="T80" s="45" t="n">
        <v>3547965.27525</v>
      </c>
      <c r="U80" s="15" t="n">
        <v>2.1</v>
      </c>
      <c r="V80" s="15" t="n">
        <v>4.25</v>
      </c>
      <c r="W80" s="49" t="n">
        <v>101.868</v>
      </c>
    </row>
    <row r="81">
      <c r="A81" s="44" t="inlineStr">
        <is>
          <t>TL Cinsi TUFE Endeksli Senetler</t>
        </is>
      </c>
      <c r="B81" s="44" t="n">
        <v>2019</v>
      </c>
      <c r="C81" s="44" t="inlineStr">
        <is>
          <t>TRT050624T35</t>
        </is>
      </c>
      <c r="D81" s="44" t="inlineStr">
        <is>
          <t>12.06.2019</t>
        </is>
      </c>
      <c r="E81" s="44" t="inlineStr">
        <is>
          <t>05.06.2024</t>
        </is>
      </c>
      <c r="F81" s="44" t="n">
        <v>1820</v>
      </c>
      <c r="G81" s="44" t="inlineStr">
        <is>
          <t>6 ay</t>
        </is>
      </c>
      <c r="H81" s="15" t="n">
        <v>2.05</v>
      </c>
      <c r="I81" s="45" t="n">
        <v>1155279.81</v>
      </c>
      <c r="J81" s="45" t="n">
        <v>1151334.899</v>
      </c>
      <c r="K81" s="45" t="n">
        <v>835279.8100000001</v>
      </c>
      <c r="L81" s="45" t="n">
        <v>835153.649</v>
      </c>
      <c r="M81" s="45" t="n">
        <v>400060.009</v>
      </c>
      <c r="N81" s="45" t="n">
        <v>400000</v>
      </c>
      <c r="O81" s="45" t="n">
        <v>960144.019</v>
      </c>
      <c r="P81" s="45" t="n">
        <v>959999.99739</v>
      </c>
      <c r="Q81" s="45" t="n">
        <v>0</v>
      </c>
      <c r="R81" s="45" t="n">
        <v>0</v>
      </c>
      <c r="S81" s="45" t="n">
        <v>2195483.838</v>
      </c>
      <c r="T81" s="45" t="n">
        <v>2195153.64639</v>
      </c>
      <c r="U81" s="15" t="n">
        <v>2.05</v>
      </c>
      <c r="V81" s="15" t="n">
        <v>4.15</v>
      </c>
      <c r="W81" s="49" t="n">
        <v>99.985</v>
      </c>
    </row>
    <row r="82">
      <c r="A82" s="44" t="inlineStr">
        <is>
          <t>TL Cinsi TUFE Endeksli Senetler</t>
        </is>
      </c>
      <c r="B82" s="44" t="n">
        <v>2019</v>
      </c>
      <c r="C82" s="44" t="inlineStr">
        <is>
          <t>TRT050624T35</t>
        </is>
      </c>
      <c r="D82" s="44" t="inlineStr">
        <is>
          <t>10.07.2019</t>
        </is>
      </c>
      <c r="E82" s="44" t="inlineStr">
        <is>
          <t>05.06.2024</t>
        </is>
      </c>
      <c r="F82" s="44" t="n">
        <v>1792</v>
      </c>
      <c r="G82" s="44" t="inlineStr">
        <is>
          <t>6 ay</t>
        </is>
      </c>
      <c r="H82" s="15" t="n">
        <v>2.05</v>
      </c>
      <c r="I82" s="45" t="n">
        <v>1082000</v>
      </c>
      <c r="J82" s="45" t="n">
        <v>1097304.95</v>
      </c>
      <c r="K82" s="45" t="n">
        <v>710000</v>
      </c>
      <c r="L82" s="45" t="n">
        <v>720797</v>
      </c>
      <c r="M82" s="45" t="n">
        <v>413707.508</v>
      </c>
      <c r="N82" s="45" t="n">
        <v>419999.9992</v>
      </c>
      <c r="O82" s="45" t="n">
        <v>1428275.921</v>
      </c>
      <c r="P82" s="45" t="n">
        <v>1449999.99775</v>
      </c>
      <c r="Q82" s="45" t="n">
        <v>0</v>
      </c>
      <c r="R82" s="45" t="n">
        <v>0</v>
      </c>
      <c r="S82" s="45" t="n">
        <v>2551983.429</v>
      </c>
      <c r="T82" s="45" t="n">
        <v>2590796.99695</v>
      </c>
      <c r="U82" s="15" t="n">
        <v>2.07</v>
      </c>
      <c r="V82" s="15" t="n">
        <v>4.17</v>
      </c>
      <c r="W82" s="49" t="n">
        <v>101.521</v>
      </c>
    </row>
    <row r="83">
      <c r="A83" s="44" t="inlineStr">
        <is>
          <t>TL Cinsi TUFE Endeksli Senetler</t>
        </is>
      </c>
      <c r="B83" s="44" t="n">
        <v>2019</v>
      </c>
      <c r="C83" s="44" t="inlineStr">
        <is>
          <t>TRT050624T35</t>
        </is>
      </c>
      <c r="D83" s="44" t="inlineStr">
        <is>
          <t>21.08.2019</t>
        </is>
      </c>
      <c r="E83" s="44" t="inlineStr">
        <is>
          <t>05.06.2024</t>
        </is>
      </c>
      <c r="F83" s="44" t="n">
        <v>1750</v>
      </c>
      <c r="G83" s="44" t="inlineStr">
        <is>
          <t>6 ay</t>
        </is>
      </c>
      <c r="H83" s="15" t="n">
        <v>2.05</v>
      </c>
      <c r="I83" s="45" t="n">
        <v>2124000</v>
      </c>
      <c r="J83" s="45" t="n">
        <v>2186647.64</v>
      </c>
      <c r="K83" s="45" t="n">
        <v>1461000</v>
      </c>
      <c r="L83" s="45" t="n">
        <v>1509790.43</v>
      </c>
      <c r="M83" s="45" t="n">
        <v>193535.9</v>
      </c>
      <c r="N83" s="45" t="n">
        <v>199999.99906</v>
      </c>
      <c r="O83" s="45" t="n">
        <v>1161215.403</v>
      </c>
      <c r="P83" s="45" t="n">
        <v>1199999.99746</v>
      </c>
      <c r="Q83" s="45" t="n">
        <v>97093.09</v>
      </c>
      <c r="R83" s="45" t="n">
        <v>100335.99921</v>
      </c>
      <c r="S83" s="45" t="n">
        <v>2912844.393</v>
      </c>
      <c r="T83" s="45" t="n">
        <v>3010126.42573</v>
      </c>
      <c r="U83" s="15" t="n">
        <v>1.99</v>
      </c>
      <c r="V83" s="15" t="n">
        <v>4.03</v>
      </c>
      <c r="W83" s="49" t="n">
        <v>103.34</v>
      </c>
    </row>
    <row r="84">
      <c r="A84" s="44" t="inlineStr">
        <is>
          <t>TL Cinsi TUFE Endeksli Senetler</t>
        </is>
      </c>
      <c r="B84" s="44" t="n">
        <v>2019</v>
      </c>
      <c r="C84" s="44" t="inlineStr">
        <is>
          <t>TRT050624T35</t>
        </is>
      </c>
      <c r="D84" s="44" t="inlineStr">
        <is>
          <t>18.09.2019</t>
        </is>
      </c>
      <c r="E84" s="44" t="inlineStr">
        <is>
          <t>05.06.2024</t>
        </is>
      </c>
      <c r="F84" s="44" t="n">
        <v>1722</v>
      </c>
      <c r="G84" s="44" t="inlineStr">
        <is>
          <t>6 ay</t>
        </is>
      </c>
      <c r="H84" s="15" t="n">
        <v>2.05</v>
      </c>
      <c r="I84" s="45" t="n">
        <v>601000</v>
      </c>
      <c r="J84" s="45" t="n">
        <v>622813.3199999999</v>
      </c>
      <c r="K84" s="45" t="n">
        <v>203000</v>
      </c>
      <c r="L84" s="45" t="n">
        <v>212276.8</v>
      </c>
      <c r="M84" s="45" t="n">
        <v>286889.165</v>
      </c>
      <c r="N84" s="45" t="n">
        <v>299999.99984</v>
      </c>
      <c r="O84" s="45" t="n">
        <v>402601.127</v>
      </c>
      <c r="P84" s="45" t="n">
        <v>420999.99851</v>
      </c>
      <c r="Q84" s="45" t="n">
        <v>12000</v>
      </c>
      <c r="R84" s="45" t="n">
        <v>12548.4</v>
      </c>
      <c r="S84" s="45" t="n">
        <v>904490.2919999999</v>
      </c>
      <c r="T84" s="45" t="n">
        <v>945825.19835</v>
      </c>
      <c r="U84" s="15" t="n">
        <v>1.98</v>
      </c>
      <c r="V84" s="15" t="n">
        <v>4</v>
      </c>
      <c r="W84" s="49" t="n">
        <v>104.57</v>
      </c>
    </row>
    <row r="85">
      <c r="A85" s="44" t="inlineStr">
        <is>
          <t>TL Cinsi TUFE Endeksli Senetler</t>
        </is>
      </c>
      <c r="B85" s="44" t="n">
        <v>2019</v>
      </c>
      <c r="C85" s="44" t="inlineStr">
        <is>
          <t>TRT050624T35</t>
        </is>
      </c>
      <c r="D85" s="44" t="inlineStr">
        <is>
          <t>23.10.2019</t>
        </is>
      </c>
      <c r="E85" s="44" t="inlineStr">
        <is>
          <t>05.06.2024</t>
        </is>
      </c>
      <c r="F85" s="44" t="n">
        <v>1687</v>
      </c>
      <c r="G85" s="44" t="inlineStr">
        <is>
          <t>6 ay</t>
        </is>
      </c>
      <c r="H85" s="15" t="n">
        <v>2.05</v>
      </c>
      <c r="I85" s="45" t="n">
        <v>709000</v>
      </c>
      <c r="J85" s="45" t="n">
        <v>752253.25</v>
      </c>
      <c r="K85" s="45" t="n">
        <v>306000</v>
      </c>
      <c r="L85" s="45" t="n">
        <v>325445.26</v>
      </c>
      <c r="M85" s="45" t="n">
        <v>0</v>
      </c>
      <c r="N85" s="45" t="n">
        <v>0</v>
      </c>
      <c r="O85" s="45" t="n">
        <v>289596.163</v>
      </c>
      <c r="P85" s="45" t="n">
        <v>307999.99916</v>
      </c>
      <c r="Q85" s="45" t="n">
        <v>60136.016</v>
      </c>
      <c r="R85" s="45" t="n">
        <v>63957.65982</v>
      </c>
      <c r="S85" s="45" t="n">
        <v>655732.179</v>
      </c>
      <c r="T85" s="45" t="n">
        <v>697402.9189800001</v>
      </c>
      <c r="U85" s="15" t="n">
        <v>1.97</v>
      </c>
      <c r="V85" s="15" t="n">
        <v>3.97</v>
      </c>
      <c r="W85" s="49" t="n">
        <v>106.355</v>
      </c>
    </row>
    <row r="86">
      <c r="A86" s="44" t="inlineStr">
        <is>
          <t>TL Cinsi TUFE Endeksli Senetler</t>
        </is>
      </c>
      <c r="B86" s="44" t="n">
        <v>2019</v>
      </c>
      <c r="C86" s="44" t="inlineStr">
        <is>
          <t>TRT061124T11</t>
        </is>
      </c>
      <c r="D86" s="44" t="inlineStr">
        <is>
          <t>13.11.2019</t>
        </is>
      </c>
      <c r="E86" s="44" t="inlineStr">
        <is>
          <t>06.11.2024</t>
        </is>
      </c>
      <c r="F86" s="44" t="n">
        <v>1820</v>
      </c>
      <c r="G86" s="44" t="inlineStr">
        <is>
          <t>6 ay</t>
        </is>
      </c>
      <c r="H86" s="15" t="n">
        <v>1.6</v>
      </c>
      <c r="I86" s="45" t="n">
        <v>4068500</v>
      </c>
      <c r="J86" s="45" t="n">
        <v>4029244.61</v>
      </c>
      <c r="K86" s="45" t="n">
        <v>2256000</v>
      </c>
      <c r="L86" s="45" t="n">
        <v>2251064.44</v>
      </c>
      <c r="M86" s="45" t="n">
        <v>450987.662</v>
      </c>
      <c r="N86" s="45" t="n">
        <v>449999.99902</v>
      </c>
      <c r="O86" s="45" t="n">
        <v>1857066.972</v>
      </c>
      <c r="P86" s="45" t="n">
        <v>1852999.99535</v>
      </c>
      <c r="Q86" s="45" t="n">
        <v>348962.105</v>
      </c>
      <c r="R86" s="45" t="n">
        <v>348197.87799</v>
      </c>
      <c r="S86" s="45" t="n">
        <v>4913016.739</v>
      </c>
      <c r="T86" s="45" t="n">
        <v>4902262.31236</v>
      </c>
      <c r="U86" s="15" t="n">
        <v>1.62</v>
      </c>
      <c r="V86" s="15" t="n">
        <v>3.27</v>
      </c>
      <c r="W86" s="49" t="n">
        <v>99.78100000000001</v>
      </c>
    </row>
    <row r="87">
      <c r="A87" s="44" t="inlineStr">
        <is>
          <t>TL Cinsi TUFE Endeksli Senetler</t>
        </is>
      </c>
      <c r="B87" s="44" t="n">
        <v>2019</v>
      </c>
      <c r="C87" s="44" t="inlineStr">
        <is>
          <t>TRT061124T11</t>
        </is>
      </c>
      <c r="D87" s="44" t="inlineStr">
        <is>
          <t>18.12.2019</t>
        </is>
      </c>
      <c r="E87" s="44" t="inlineStr">
        <is>
          <t>06.11.2024</t>
        </is>
      </c>
      <c r="F87" s="44" t="n">
        <v>1785</v>
      </c>
      <c r="G87" s="44" t="inlineStr">
        <is>
          <t>6 ay</t>
        </is>
      </c>
      <c r="H87" s="15" t="n">
        <v>1.6</v>
      </c>
      <c r="I87" s="45" t="n">
        <v>1781800</v>
      </c>
      <c r="J87" s="45" t="n">
        <v>1833602.296</v>
      </c>
      <c r="K87" s="45" t="n">
        <v>1181800</v>
      </c>
      <c r="L87" s="45" t="n">
        <v>1221073.296</v>
      </c>
      <c r="M87" s="45" t="n">
        <v>0</v>
      </c>
      <c r="N87" s="45" t="n">
        <v>0</v>
      </c>
      <c r="O87" s="45" t="n">
        <v>967838.714</v>
      </c>
      <c r="P87" s="45" t="n">
        <v>999999.99446</v>
      </c>
      <c r="Q87" s="45" t="n">
        <v>74104.64200000001</v>
      </c>
      <c r="R87" s="45" t="n">
        <v>76567.13924999999</v>
      </c>
      <c r="S87" s="45" t="n">
        <v>2223743.356</v>
      </c>
      <c r="T87" s="45" t="n">
        <v>2297640.42971</v>
      </c>
      <c r="U87" s="15" t="n">
        <v>1.46</v>
      </c>
      <c r="V87" s="15" t="n">
        <v>2.94</v>
      </c>
      <c r="W87" s="49" t="n">
        <v>103.323</v>
      </c>
    </row>
    <row r="88">
      <c r="A88" s="44" t="inlineStr">
        <is>
          <t>TL Cinsi TUFE Endeksli Senetler</t>
        </is>
      </c>
      <c r="B88" s="44" t="n">
        <v>2018</v>
      </c>
      <c r="C88" s="44" t="inlineStr">
        <is>
          <t>TRT120128T11</t>
        </is>
      </c>
      <c r="D88" s="44" t="inlineStr">
        <is>
          <t>24.01.2018</t>
        </is>
      </c>
      <c r="E88" s="44" t="inlineStr">
        <is>
          <t>12.01.2028</t>
        </is>
      </c>
      <c r="F88" s="44" t="n">
        <v>3640</v>
      </c>
      <c r="G88" s="44" t="inlineStr">
        <is>
          <t>6 ay</t>
        </is>
      </c>
      <c r="H88" s="15" t="n">
        <v>1.45</v>
      </c>
      <c r="I88" s="45" t="n">
        <v>989000</v>
      </c>
      <c r="J88" s="45" t="n">
        <v>984731.47</v>
      </c>
      <c r="K88" s="45" t="n">
        <v>486000</v>
      </c>
      <c r="L88" s="45" t="n">
        <v>485904.67</v>
      </c>
      <c r="M88" s="45" t="n">
        <v>250050.01</v>
      </c>
      <c r="N88" s="45" t="n">
        <v>250000</v>
      </c>
      <c r="O88" s="45" t="n">
        <v>752150.429</v>
      </c>
      <c r="P88" s="45" t="n">
        <v>751999.99892</v>
      </c>
      <c r="Q88" s="45" t="n">
        <v>0</v>
      </c>
      <c r="R88" s="45" t="n">
        <v>0</v>
      </c>
      <c r="S88" s="45" t="n">
        <v>1488200.439</v>
      </c>
      <c r="T88" s="45" t="n">
        <v>1487904.66892</v>
      </c>
      <c r="U88" s="15" t="n">
        <v>1.45</v>
      </c>
      <c r="V88" s="15" t="n">
        <v>2.92</v>
      </c>
      <c r="W88" s="49" t="n">
        <v>99.98</v>
      </c>
    </row>
    <row r="89">
      <c r="A89" s="44" t="inlineStr">
        <is>
          <t>TL Cinsi TUFE Endeksli Senetler</t>
        </is>
      </c>
      <c r="B89" s="44" t="n">
        <v>2018</v>
      </c>
      <c r="C89" s="44" t="inlineStr">
        <is>
          <t>TRT120128T11</t>
        </is>
      </c>
      <c r="D89" s="44" t="inlineStr">
        <is>
          <t>14.02.2018</t>
        </is>
      </c>
      <c r="E89" s="44" t="inlineStr">
        <is>
          <t>12.01.2028</t>
        </is>
      </c>
      <c r="F89" s="44" t="n">
        <v>3619</v>
      </c>
      <c r="G89" s="44" t="inlineStr">
        <is>
          <t>6 ay</t>
        </is>
      </c>
      <c r="H89" s="15" t="n">
        <v>1.45</v>
      </c>
      <c r="I89" s="45" t="n">
        <v>840000</v>
      </c>
      <c r="J89" s="45" t="n">
        <v>840830.14</v>
      </c>
      <c r="K89" s="45" t="n">
        <v>482000</v>
      </c>
      <c r="L89" s="45" t="n">
        <v>484381.31</v>
      </c>
      <c r="M89" s="45" t="n">
        <v>398033.713</v>
      </c>
      <c r="N89" s="45" t="n">
        <v>399999.99954</v>
      </c>
      <c r="O89" s="45" t="n">
        <v>1682886.541</v>
      </c>
      <c r="P89" s="45" t="n">
        <v>1691200.00053</v>
      </c>
      <c r="Q89" s="45" t="n">
        <v>80034.628</v>
      </c>
      <c r="R89" s="45" t="n">
        <v>80429.99906</v>
      </c>
      <c r="S89" s="45" t="n">
        <v>2642954.882</v>
      </c>
      <c r="T89" s="45" t="n">
        <v>2656011.30913</v>
      </c>
      <c r="U89" s="15" t="n">
        <v>1.47</v>
      </c>
      <c r="V89" s="15" t="n">
        <v>2.95</v>
      </c>
      <c r="W89" s="49" t="n">
        <v>100.494</v>
      </c>
    </row>
    <row r="90">
      <c r="A90" s="44" t="inlineStr">
        <is>
          <t>TL Cinsi TUFE Endeksli Senetler</t>
        </is>
      </c>
      <c r="B90" s="44" t="n">
        <v>2018</v>
      </c>
      <c r="C90" s="44" t="inlineStr">
        <is>
          <t>TRT120128T11</t>
        </is>
      </c>
      <c r="D90" s="44" t="inlineStr">
        <is>
          <t>20.06.2018</t>
        </is>
      </c>
      <c r="E90" s="44" t="inlineStr">
        <is>
          <t>12.01.2028</t>
        </is>
      </c>
      <c r="F90" s="44" t="n">
        <v>3493</v>
      </c>
      <c r="G90" s="44" t="inlineStr">
        <is>
          <t>6 ay</t>
        </is>
      </c>
      <c r="H90" s="15" t="n">
        <v>1.45</v>
      </c>
      <c r="I90" s="45" t="n">
        <v>1762000</v>
      </c>
      <c r="J90" s="45" t="n">
        <v>1804294.22</v>
      </c>
      <c r="K90" s="45" t="n">
        <v>1172000</v>
      </c>
      <c r="L90" s="45" t="n">
        <v>1220919.31</v>
      </c>
      <c r="M90" s="45" t="n">
        <v>489565.534</v>
      </c>
      <c r="N90" s="45" t="n">
        <v>509999.99939</v>
      </c>
      <c r="O90" s="45" t="n">
        <v>1631885.114</v>
      </c>
      <c r="P90" s="45" t="n">
        <v>1699999.99865</v>
      </c>
      <c r="Q90" s="45" t="n">
        <v>160799.239</v>
      </c>
      <c r="R90" s="45" t="n">
        <v>167510.99924</v>
      </c>
      <c r="S90" s="45" t="n">
        <v>3454249.887</v>
      </c>
      <c r="T90" s="45" t="n">
        <v>3598430.30728</v>
      </c>
      <c r="U90" s="15" t="n">
        <v>1.57</v>
      </c>
      <c r="V90" s="15" t="n">
        <v>3.17</v>
      </c>
      <c r="W90" s="49" t="n">
        <v>104.174</v>
      </c>
    </row>
    <row r="91">
      <c r="A91" s="44" t="inlineStr">
        <is>
          <t>TL Cinsi TUFE Endeksli Senetler</t>
        </is>
      </c>
      <c r="B91" s="44" t="n">
        <v>2018</v>
      </c>
      <c r="C91" s="44" t="inlineStr">
        <is>
          <t>TRT280628T18</t>
        </is>
      </c>
      <c r="D91" s="44" t="inlineStr">
        <is>
          <t>11.07.2018</t>
        </is>
      </c>
      <c r="E91" s="44" t="inlineStr">
        <is>
          <t>28.06.2028</t>
        </is>
      </c>
      <c r="F91" s="44" t="n">
        <v>3640</v>
      </c>
      <c r="G91" s="44" t="inlineStr">
        <is>
          <t>6 ay</t>
        </is>
      </c>
      <c r="H91" s="15" t="n">
        <v>1.65</v>
      </c>
      <c r="I91" s="45" t="n">
        <v>2282000</v>
      </c>
      <c r="J91" s="45" t="n">
        <v>2242274.81</v>
      </c>
      <c r="K91" s="45" t="n">
        <v>1255000</v>
      </c>
      <c r="L91" s="45" t="n">
        <v>1267873.31</v>
      </c>
      <c r="M91" s="45" t="n">
        <v>178171.955</v>
      </c>
      <c r="N91" s="45" t="n">
        <v>179999.99926</v>
      </c>
      <c r="O91" s="45" t="n">
        <v>2538999.861</v>
      </c>
      <c r="P91" s="45" t="n">
        <v>2565049.99957</v>
      </c>
      <c r="Q91" s="45" t="n">
        <v>158000</v>
      </c>
      <c r="R91" s="45" t="n">
        <v>159621.08</v>
      </c>
      <c r="S91" s="45" t="n">
        <v>4130171.816</v>
      </c>
      <c r="T91" s="45" t="n">
        <v>4172544.38883</v>
      </c>
      <c r="U91" s="15" t="n">
        <v>1.59</v>
      </c>
      <c r="V91" s="15" t="n">
        <v>3.2</v>
      </c>
      <c r="W91" s="49" t="n">
        <v>101.026</v>
      </c>
    </row>
    <row r="92">
      <c r="A92" s="44" t="inlineStr">
        <is>
          <t>TL Cinsi TUFE Endeksli Senetler</t>
        </is>
      </c>
      <c r="B92" s="44" t="n">
        <v>2018</v>
      </c>
      <c r="C92" s="44" t="inlineStr">
        <is>
          <t>TRT280628T18</t>
        </is>
      </c>
      <c r="D92" s="44" t="inlineStr">
        <is>
          <t>08.08.2018</t>
        </is>
      </c>
      <c r="E92" s="44" t="inlineStr">
        <is>
          <t>28.06.2028</t>
        </is>
      </c>
      <c r="F92" s="44" t="n">
        <v>3612</v>
      </c>
      <c r="G92" s="44" t="inlineStr">
        <is>
          <t>6 ay</t>
        </is>
      </c>
      <c r="H92" s="15" t="n">
        <v>1.65</v>
      </c>
      <c r="I92" s="45" t="n">
        <v>1554271</v>
      </c>
      <c r="J92" s="45" t="n">
        <v>1521393.41703</v>
      </c>
      <c r="K92" s="45" t="n">
        <v>679271</v>
      </c>
      <c r="L92" s="45" t="n">
        <v>676947.36703</v>
      </c>
      <c r="M92" s="45" t="n">
        <v>391338.377</v>
      </c>
      <c r="N92" s="45" t="n">
        <v>389999.99975</v>
      </c>
      <c r="O92" s="45" t="n">
        <v>1043569.005</v>
      </c>
      <c r="P92" s="45" t="n">
        <v>1039999.999</v>
      </c>
      <c r="Q92" s="45" t="n">
        <v>0</v>
      </c>
      <c r="R92" s="45" t="n">
        <v>0</v>
      </c>
      <c r="S92" s="45" t="n">
        <v>2114178.382</v>
      </c>
      <c r="T92" s="45" t="n">
        <v>2106947.36578</v>
      </c>
      <c r="U92" s="15" t="n">
        <v>1.79</v>
      </c>
      <c r="V92" s="15" t="n">
        <v>3.6</v>
      </c>
      <c r="W92" s="49" t="n">
        <v>99.658</v>
      </c>
    </row>
    <row r="93">
      <c r="A93" s="44" t="inlineStr">
        <is>
          <t>TL Cinsi TUFE Endeksli Senetler</t>
        </is>
      </c>
      <c r="B93" s="44" t="n">
        <v>2018</v>
      </c>
      <c r="C93" s="44" t="inlineStr">
        <is>
          <t>TRT081123T10</t>
        </is>
      </c>
      <c r="D93" s="44" t="inlineStr">
        <is>
          <t>26.09.2018</t>
        </is>
      </c>
      <c r="E93" s="44" t="inlineStr">
        <is>
          <t>08.11.2023</t>
        </is>
      </c>
      <c r="F93" s="44" t="n">
        <v>1869</v>
      </c>
      <c r="G93" s="44" t="inlineStr">
        <is>
          <t>6 ay</t>
        </is>
      </c>
      <c r="H93" s="15" t="n">
        <v>1.4</v>
      </c>
      <c r="I93" s="45" t="n">
        <v>1392100</v>
      </c>
      <c r="J93" s="45" t="n">
        <v>2165751.8015</v>
      </c>
      <c r="K93" s="45" t="n">
        <v>328000</v>
      </c>
      <c r="L93" s="45" t="n">
        <v>514473.26</v>
      </c>
      <c r="M93" s="45" t="n">
        <v>943564.633</v>
      </c>
      <c r="N93" s="45" t="n">
        <v>1479999.99815</v>
      </c>
      <c r="O93" s="45" t="n">
        <v>255336.239</v>
      </c>
      <c r="P93" s="45" t="n">
        <v>400499.99762</v>
      </c>
      <c r="Q93" s="45" t="n">
        <v>20000</v>
      </c>
      <c r="R93" s="45" t="n">
        <v>31370.4</v>
      </c>
      <c r="S93" s="45" t="n">
        <v>1546900.872</v>
      </c>
      <c r="T93" s="45" t="n">
        <v>2426343.65577</v>
      </c>
      <c r="U93" s="15" t="n">
        <v>1.77</v>
      </c>
      <c r="V93" s="15" t="n">
        <v>3.58</v>
      </c>
      <c r="W93" s="49" t="n">
        <v>156.852</v>
      </c>
    </row>
    <row r="94">
      <c r="A94" s="44" t="inlineStr">
        <is>
          <t>TL Cinsi TUFE Endeksli Senetler</t>
        </is>
      </c>
      <c r="B94" s="44" t="n">
        <v>2017</v>
      </c>
      <c r="C94" s="44" t="inlineStr">
        <is>
          <t>TRT140126T11</t>
        </is>
      </c>
      <c r="D94" s="44" t="inlineStr">
        <is>
          <t>11.01.2017</t>
        </is>
      </c>
      <c r="E94" s="44" t="inlineStr">
        <is>
          <t>14.01.2026</t>
        </is>
      </c>
      <c r="F94" s="44" t="n">
        <v>3290</v>
      </c>
      <c r="G94" s="44" t="inlineStr">
        <is>
          <t>6 ay</t>
        </is>
      </c>
      <c r="H94" s="15" t="n">
        <v>1.35</v>
      </c>
      <c r="I94" s="45" t="n">
        <v>2151000</v>
      </c>
      <c r="J94" s="45" t="n">
        <v>2285087.84</v>
      </c>
      <c r="K94" s="45" t="n">
        <v>930000</v>
      </c>
      <c r="L94" s="45" t="n">
        <v>998399.28</v>
      </c>
      <c r="M94" s="45" t="n">
        <v>298076.475</v>
      </c>
      <c r="N94" s="45" t="n">
        <v>319999.99974</v>
      </c>
      <c r="O94" s="45" t="n">
        <v>680027.944</v>
      </c>
      <c r="P94" s="45" t="n">
        <v>730043.99927</v>
      </c>
      <c r="Q94" s="45" t="n">
        <v>74900</v>
      </c>
      <c r="R94" s="45" t="n">
        <v>80408.895</v>
      </c>
      <c r="S94" s="45" t="n">
        <v>1983004.419</v>
      </c>
      <c r="T94" s="45" t="n">
        <v>2128852.17401</v>
      </c>
      <c r="U94" s="15" t="n">
        <v>1.39</v>
      </c>
      <c r="V94" s="15" t="n">
        <v>2.8</v>
      </c>
      <c r="W94" s="49" t="n">
        <v>107.355</v>
      </c>
    </row>
    <row r="95">
      <c r="A95" s="44" t="inlineStr">
        <is>
          <t>TL Cinsi TUFE Endeksli Senetler</t>
        </is>
      </c>
      <c r="B95" s="44" t="n">
        <v>2017</v>
      </c>
      <c r="C95" s="44" t="inlineStr">
        <is>
          <t>TRT140126T11</t>
        </is>
      </c>
      <c r="D95" s="44" t="inlineStr">
        <is>
          <t>08.03.2017</t>
        </is>
      </c>
      <c r="E95" s="44" t="inlineStr">
        <is>
          <t>14.01.2026</t>
        </is>
      </c>
      <c r="F95" s="44" t="n">
        <v>3234</v>
      </c>
      <c r="G95" s="44" t="inlineStr">
        <is>
          <t>6 ay</t>
        </is>
      </c>
      <c r="H95" s="15" t="n">
        <v>1.35</v>
      </c>
      <c r="I95" s="45" t="n">
        <v>1317000</v>
      </c>
      <c r="J95" s="45" t="n">
        <v>1445152.25</v>
      </c>
      <c r="K95" s="45" t="n">
        <v>900000</v>
      </c>
      <c r="L95" s="45" t="n">
        <v>993348.95</v>
      </c>
      <c r="M95" s="45" t="n">
        <v>453013.445</v>
      </c>
      <c r="N95" s="45" t="n">
        <v>499999.99952</v>
      </c>
      <c r="O95" s="45" t="n">
        <v>940673.3590000001</v>
      </c>
      <c r="P95" s="45" t="n">
        <v>1038239.99978</v>
      </c>
      <c r="Q95" s="45" t="n">
        <v>60065.342</v>
      </c>
      <c r="R95" s="45" t="n">
        <v>66295.31927000001</v>
      </c>
      <c r="S95" s="45" t="n">
        <v>2353752.146</v>
      </c>
      <c r="T95" s="45" t="n">
        <v>2597884.26857</v>
      </c>
      <c r="U95" s="15" t="n">
        <v>1.32</v>
      </c>
      <c r="V95" s="15" t="n">
        <v>2.65</v>
      </c>
      <c r="W95" s="49" t="n">
        <v>110.372</v>
      </c>
    </row>
    <row r="96">
      <c r="A96" s="44" t="inlineStr">
        <is>
          <t>TL Cinsi TUFE Endeksli Senetler</t>
        </is>
      </c>
      <c r="B96" s="44" t="n">
        <v>2017</v>
      </c>
      <c r="C96" s="44" t="inlineStr">
        <is>
          <t>TRT081123T10</t>
        </is>
      </c>
      <c r="D96" s="44" t="inlineStr">
        <is>
          <t>14.06.2017</t>
        </is>
      </c>
      <c r="E96" s="44" t="inlineStr">
        <is>
          <t>08.11.2023</t>
        </is>
      </c>
      <c r="F96" s="44" t="n">
        <v>2338</v>
      </c>
      <c r="G96" s="44" t="inlineStr">
        <is>
          <t>6 ay</t>
        </is>
      </c>
      <c r="H96" s="15" t="n">
        <v>1.4</v>
      </c>
      <c r="I96" s="45" t="n">
        <v>722000</v>
      </c>
      <c r="J96" s="45" t="n">
        <v>992904.47</v>
      </c>
      <c r="K96" s="45" t="n">
        <v>314000</v>
      </c>
      <c r="L96" s="45" t="n">
        <v>434907.35</v>
      </c>
      <c r="M96" s="45" t="n">
        <v>360995.191</v>
      </c>
      <c r="N96" s="45" t="n">
        <v>499999.99925</v>
      </c>
      <c r="O96" s="45" t="n">
        <v>603439.561</v>
      </c>
      <c r="P96" s="45" t="n">
        <v>835799.99835</v>
      </c>
      <c r="Q96" s="45" t="n">
        <v>0</v>
      </c>
      <c r="R96" s="45" t="n">
        <v>0</v>
      </c>
      <c r="S96" s="45" t="n">
        <v>1278434.752</v>
      </c>
      <c r="T96" s="45" t="n">
        <v>1770707.3476</v>
      </c>
      <c r="U96" s="15" t="n">
        <v>1.35</v>
      </c>
      <c r="V96" s="15" t="n">
        <v>2.73</v>
      </c>
      <c r="W96" s="49" t="n">
        <v>138.506</v>
      </c>
    </row>
    <row r="97">
      <c r="A97" s="44" t="inlineStr">
        <is>
          <t>TL Cinsi TUFE Endeksli Senetler</t>
        </is>
      </c>
      <c r="B97" s="44" t="n">
        <v>2017</v>
      </c>
      <c r="C97" s="44" t="inlineStr">
        <is>
          <t>TRT070727T13</t>
        </is>
      </c>
      <c r="D97" s="44" t="inlineStr">
        <is>
          <t>19.07.2017</t>
        </is>
      </c>
      <c r="E97" s="44" t="inlineStr">
        <is>
          <t>07.07.2027</t>
        </is>
      </c>
      <c r="F97" s="44" t="n">
        <v>3640</v>
      </c>
      <c r="G97" s="44" t="inlineStr">
        <is>
          <t>6 ay</t>
        </is>
      </c>
      <c r="H97" s="15" t="n">
        <v>1.45</v>
      </c>
      <c r="I97" s="45" t="n">
        <v>1210100</v>
      </c>
      <c r="J97" s="45" t="n">
        <v>1206178.12</v>
      </c>
      <c r="K97" s="45" t="n">
        <v>344000</v>
      </c>
      <c r="L97" s="45" t="n">
        <v>346080.17</v>
      </c>
      <c r="M97" s="45" t="n">
        <v>337955.37</v>
      </c>
      <c r="N97" s="45" t="n">
        <v>339999.99999</v>
      </c>
      <c r="O97" s="45" t="n">
        <v>947909.944</v>
      </c>
      <c r="P97" s="45" t="n">
        <v>953644.79915</v>
      </c>
      <c r="Q97" s="45" t="n">
        <v>7203.148</v>
      </c>
      <c r="R97" s="45" t="n">
        <v>7246.72705</v>
      </c>
      <c r="S97" s="45" t="n">
        <v>1637068.462</v>
      </c>
      <c r="T97" s="45" t="n">
        <v>1646971.69619</v>
      </c>
      <c r="U97" s="15" t="n">
        <v>1.42</v>
      </c>
      <c r="V97" s="15" t="n">
        <v>2.85</v>
      </c>
      <c r="W97" s="49" t="n">
        <v>100.605</v>
      </c>
    </row>
    <row r="98">
      <c r="A98" s="44" t="inlineStr">
        <is>
          <t>TL Cinsi TUFE Endeksli Senetler</t>
        </is>
      </c>
      <c r="B98" s="44" t="n">
        <v>2017</v>
      </c>
      <c r="C98" s="44" t="inlineStr">
        <is>
          <t>TRT070727T13</t>
        </is>
      </c>
      <c r="D98" s="44" t="inlineStr">
        <is>
          <t>13.09.2017</t>
        </is>
      </c>
      <c r="E98" s="44" t="inlineStr">
        <is>
          <t>07.07.2027</t>
        </is>
      </c>
      <c r="F98" s="44" t="n">
        <v>3584</v>
      </c>
      <c r="G98" s="44" t="inlineStr">
        <is>
          <t>6 ay</t>
        </is>
      </c>
      <c r="H98" s="15" t="n">
        <v>1.45</v>
      </c>
      <c r="I98" s="45" t="n">
        <v>1520000</v>
      </c>
      <c r="J98" s="45" t="n">
        <v>1526052.69</v>
      </c>
      <c r="K98" s="45" t="n">
        <v>565000</v>
      </c>
      <c r="L98" s="45" t="n">
        <v>571276</v>
      </c>
      <c r="M98" s="45" t="n">
        <v>197802.415</v>
      </c>
      <c r="N98" s="45" t="n">
        <v>199999.99983</v>
      </c>
      <c r="O98" s="45" t="n">
        <v>1338331.141</v>
      </c>
      <c r="P98" s="45" t="n">
        <v>1353199.99999</v>
      </c>
      <c r="Q98" s="45" t="n">
        <v>16014.874</v>
      </c>
      <c r="R98" s="45" t="n">
        <v>16192.79925</v>
      </c>
      <c r="S98" s="45" t="n">
        <v>2117148.43</v>
      </c>
      <c r="T98" s="45" t="n">
        <v>2140668.79907</v>
      </c>
      <c r="U98" s="15" t="n">
        <v>1.41</v>
      </c>
      <c r="V98" s="15" t="n">
        <v>2.84</v>
      </c>
      <c r="W98" s="49" t="n">
        <v>101.111</v>
      </c>
    </row>
    <row r="99">
      <c r="A99" s="44" t="inlineStr">
        <is>
          <t>TL Cinsi TUFE Endeksli Senetler</t>
        </is>
      </c>
      <c r="B99" s="44" t="n">
        <v>2017</v>
      </c>
      <c r="C99" s="44" t="inlineStr">
        <is>
          <t>TRT070727T13</t>
        </is>
      </c>
      <c r="D99" s="44" t="inlineStr">
        <is>
          <t>25.10.2017</t>
        </is>
      </c>
      <c r="E99" s="44" t="inlineStr">
        <is>
          <t>07.07.2027</t>
        </is>
      </c>
      <c r="F99" s="44" t="n">
        <v>3542</v>
      </c>
      <c r="G99" s="44" t="inlineStr">
        <is>
          <t>6 ay</t>
        </is>
      </c>
      <c r="H99" s="15" t="n">
        <v>1.45</v>
      </c>
      <c r="I99" s="45" t="n">
        <v>625000</v>
      </c>
      <c r="J99" s="45" t="n">
        <v>632175.41</v>
      </c>
      <c r="K99" s="45" t="n">
        <v>315000</v>
      </c>
      <c r="L99" s="45" t="n">
        <v>319435.6</v>
      </c>
      <c r="M99" s="45" t="n">
        <v>493057.746</v>
      </c>
      <c r="N99" s="45" t="n">
        <v>499999.99906</v>
      </c>
      <c r="O99" s="45" t="n">
        <v>2019071.475</v>
      </c>
      <c r="P99" s="45" t="n">
        <v>2047500.00136</v>
      </c>
      <c r="Q99" s="45" t="n">
        <v>0</v>
      </c>
      <c r="R99" s="45" t="n">
        <v>0</v>
      </c>
      <c r="S99" s="45" t="n">
        <v>2827129.221</v>
      </c>
      <c r="T99" s="45" t="n">
        <v>2866935.60042</v>
      </c>
      <c r="U99" s="15" t="n">
        <v>1.44</v>
      </c>
      <c r="V99" s="15" t="n">
        <v>2.9</v>
      </c>
      <c r="W99" s="49" t="n">
        <v>101.408</v>
      </c>
    </row>
    <row r="100">
      <c r="A100" s="44" t="inlineStr">
        <is>
          <t>TL Cinsi TUFE Endeksli Senetler</t>
        </is>
      </c>
      <c r="B100" s="44" t="n">
        <v>2016</v>
      </c>
      <c r="C100" s="44" t="inlineStr">
        <is>
          <t>TRT140126T11</t>
        </is>
      </c>
      <c r="D100" s="44" t="inlineStr">
        <is>
          <t>27.01.2016</t>
        </is>
      </c>
      <c r="E100" s="44" t="inlineStr">
        <is>
          <t>14.01.2026</t>
        </is>
      </c>
      <c r="F100" s="44" t="n">
        <v>3640</v>
      </c>
      <c r="G100" s="44" t="inlineStr">
        <is>
          <t>6 ay</t>
        </is>
      </c>
      <c r="H100" s="15" t="n">
        <v>1.35</v>
      </c>
      <c r="I100" s="45" t="n">
        <v>2438000</v>
      </c>
      <c r="J100" s="45" t="n">
        <v>2411733.49</v>
      </c>
      <c r="K100" s="45" t="n">
        <v>850000</v>
      </c>
      <c r="L100" s="45" t="n">
        <v>845340.5</v>
      </c>
      <c r="M100" s="45" t="n">
        <v>1206612.234</v>
      </c>
      <c r="N100" s="45" t="n">
        <v>1199999.99896</v>
      </c>
      <c r="O100" s="45" t="n">
        <v>742639.667</v>
      </c>
      <c r="P100" s="45" t="n">
        <v>738570.00163</v>
      </c>
      <c r="Q100" s="45" t="n">
        <v>100000</v>
      </c>
      <c r="R100" s="45" t="n">
        <v>99452</v>
      </c>
      <c r="S100" s="45" t="n">
        <v>2899251.901</v>
      </c>
      <c r="T100" s="45" t="n">
        <v>2883362.50059</v>
      </c>
      <c r="U100" s="15" t="n">
        <v>1.38</v>
      </c>
      <c r="V100" s="15" t="n">
        <v>2.78</v>
      </c>
      <c r="W100" s="49" t="n">
        <v>99.452</v>
      </c>
    </row>
    <row r="101">
      <c r="A101" s="44" t="inlineStr">
        <is>
          <t>TL Cinsi TUFE Endeksli Senetler</t>
        </is>
      </c>
      <c r="B101" s="44" t="n">
        <v>2016</v>
      </c>
      <c r="C101" s="44" t="inlineStr">
        <is>
          <t>TRT140126T11</t>
        </is>
      </c>
      <c r="D101" s="44" t="inlineStr">
        <is>
          <t>24.02.2016</t>
        </is>
      </c>
      <c r="E101" s="44" t="inlineStr">
        <is>
          <t>14.01.2026</t>
        </is>
      </c>
      <c r="F101" s="44" t="n">
        <v>3612</v>
      </c>
      <c r="G101" s="44" t="inlineStr">
        <is>
          <t>6 ay</t>
        </is>
      </c>
      <c r="H101" s="15" t="n">
        <v>1.35</v>
      </c>
      <c r="I101" s="45" t="n">
        <v>1315000</v>
      </c>
      <c r="J101" s="45" t="n">
        <v>1323093.35</v>
      </c>
      <c r="K101" s="45" t="n">
        <v>805000</v>
      </c>
      <c r="L101" s="45" t="n">
        <v>812590.45</v>
      </c>
      <c r="M101" s="45" t="n">
        <v>371496.785</v>
      </c>
      <c r="N101" s="45" t="n">
        <v>374999.99968</v>
      </c>
      <c r="O101" s="45" t="n">
        <v>839196.377</v>
      </c>
      <c r="P101" s="45" t="n">
        <v>847109.99885</v>
      </c>
      <c r="Q101" s="45" t="n">
        <v>134152.107</v>
      </c>
      <c r="R101" s="45" t="n">
        <v>135417.16136</v>
      </c>
      <c r="S101" s="45" t="n">
        <v>2149845.269</v>
      </c>
      <c r="T101" s="45" t="n">
        <v>2170117.60989</v>
      </c>
      <c r="U101" s="15" t="n">
        <v>1.32</v>
      </c>
      <c r="V101" s="15" t="n">
        <v>2.66</v>
      </c>
      <c r="W101" s="49" t="n">
        <v>100.943</v>
      </c>
    </row>
    <row r="102">
      <c r="A102" s="44" t="inlineStr">
        <is>
          <t>TL Cinsi TUFE Endeksli Senetler</t>
        </is>
      </c>
      <c r="B102" s="44" t="n">
        <v>2016</v>
      </c>
      <c r="C102" s="44" t="inlineStr">
        <is>
          <t>TRT210721T11</t>
        </is>
      </c>
      <c r="D102" s="44" t="inlineStr">
        <is>
          <t>13.07.2016</t>
        </is>
      </c>
      <c r="E102" s="44" t="inlineStr">
        <is>
          <t>21.07.2021</t>
        </is>
      </c>
      <c r="F102" s="44" t="n">
        <v>1834</v>
      </c>
      <c r="G102" s="44" t="inlineStr">
        <is>
          <t>6 ay</t>
        </is>
      </c>
      <c r="H102" s="15" t="n">
        <v>1.5</v>
      </c>
      <c r="I102" s="45" t="n">
        <v>2758400</v>
      </c>
      <c r="J102" s="45" t="n">
        <v>4232479.4</v>
      </c>
      <c r="K102" s="45" t="n">
        <v>1080000</v>
      </c>
      <c r="L102" s="45" t="n">
        <v>1667500.24</v>
      </c>
      <c r="M102" s="45" t="n">
        <v>64767.678</v>
      </c>
      <c r="N102" s="45" t="n">
        <v>99999.99948</v>
      </c>
      <c r="O102" s="45" t="n">
        <v>555706.681</v>
      </c>
      <c r="P102" s="45" t="n">
        <v>858000.00133</v>
      </c>
      <c r="Q102" s="45" t="n">
        <v>0</v>
      </c>
      <c r="R102" s="45" t="n">
        <v>0</v>
      </c>
      <c r="S102" s="45" t="n">
        <v>1700474.359</v>
      </c>
      <c r="T102" s="45" t="n">
        <v>2625500.24081</v>
      </c>
      <c r="U102" s="15" t="n">
        <v>0.99</v>
      </c>
      <c r="V102" s="15" t="n">
        <v>1.99</v>
      </c>
      <c r="W102" s="49" t="n">
        <v>154.398</v>
      </c>
    </row>
    <row r="103">
      <c r="A103" s="44" t="inlineStr">
        <is>
          <t>TL Cinsi TUFE Endeksli Senetler</t>
        </is>
      </c>
      <c r="B103" s="44" t="n">
        <v>2016</v>
      </c>
      <c r="C103" s="44" t="inlineStr">
        <is>
          <t>TRT140126T11</t>
        </is>
      </c>
      <c r="D103" s="44" t="inlineStr">
        <is>
          <t>28.09.2016</t>
        </is>
      </c>
      <c r="E103" s="44" t="inlineStr">
        <is>
          <t>14.01.2026</t>
        </is>
      </c>
      <c r="F103" s="44" t="n">
        <v>3395</v>
      </c>
      <c r="G103" s="44" t="inlineStr">
        <is>
          <t>6 ay</t>
        </is>
      </c>
      <c r="H103" s="15" t="n">
        <v>1.35</v>
      </c>
      <c r="I103" s="45" t="n">
        <v>2083000</v>
      </c>
      <c r="J103" s="45" t="n">
        <v>2213293.67</v>
      </c>
      <c r="K103" s="45" t="n">
        <v>771000</v>
      </c>
      <c r="L103" s="45" t="n">
        <v>824660.34</v>
      </c>
      <c r="M103" s="45" t="n">
        <v>93492.894</v>
      </c>
      <c r="N103" s="45" t="n">
        <v>99999.99941999999</v>
      </c>
      <c r="O103" s="45" t="n">
        <v>1106151.832</v>
      </c>
      <c r="P103" s="45" t="n">
        <v>1183139.99952</v>
      </c>
      <c r="Q103" s="45" t="n">
        <v>44500</v>
      </c>
      <c r="R103" s="45" t="n">
        <v>47597.2</v>
      </c>
      <c r="S103" s="45" t="n">
        <v>2015144.726</v>
      </c>
      <c r="T103" s="45" t="n">
        <v>2155397.53894</v>
      </c>
      <c r="U103" s="15" t="n">
        <v>1.27</v>
      </c>
      <c r="V103" s="15" t="n">
        <v>2.55</v>
      </c>
      <c r="W103" s="49" t="n">
        <v>106.96</v>
      </c>
    </row>
    <row r="104">
      <c r="A104" s="44" t="inlineStr">
        <is>
          <t>TL Cinsi TUFE Endeksli Senetler</t>
        </is>
      </c>
      <c r="B104" s="44" t="n">
        <v>2015</v>
      </c>
      <c r="C104" s="44" t="inlineStr">
        <is>
          <t>TRT180924T11</t>
        </is>
      </c>
      <c r="D104" s="44" t="inlineStr">
        <is>
          <t>07.01.2015</t>
        </is>
      </c>
      <c r="E104" s="44" t="inlineStr">
        <is>
          <t>18.09.2024</t>
        </is>
      </c>
      <c r="F104" s="44" t="n">
        <v>3542</v>
      </c>
      <c r="G104" s="44" t="inlineStr">
        <is>
          <t>6 ay</t>
        </is>
      </c>
      <c r="H104" s="15" t="n">
        <v>1</v>
      </c>
      <c r="I104" s="45" t="n">
        <v>3169200</v>
      </c>
      <c r="J104" s="45" t="n">
        <v>3262704.038</v>
      </c>
      <c r="K104" s="45" t="n">
        <v>834000</v>
      </c>
      <c r="L104" s="45" t="n">
        <v>865072.1800000001</v>
      </c>
      <c r="M104" s="45" t="n">
        <v>617010.199</v>
      </c>
      <c r="N104" s="45" t="n">
        <v>640000</v>
      </c>
      <c r="O104" s="45" t="n">
        <v>756020.67</v>
      </c>
      <c r="P104" s="45" t="n">
        <v>784190</v>
      </c>
      <c r="Q104" s="45" t="n">
        <v>180131.844</v>
      </c>
      <c r="R104" s="45" t="n">
        <v>186843.55651</v>
      </c>
      <c r="S104" s="45" t="n">
        <v>2387162.713</v>
      </c>
      <c r="T104" s="45" t="n">
        <v>2476105.73568</v>
      </c>
      <c r="U104" s="15" t="n">
        <v>0.9399999999999999</v>
      </c>
      <c r="V104" s="15" t="n">
        <v>1.9</v>
      </c>
      <c r="W104" s="49" t="n">
        <v>103.726</v>
      </c>
    </row>
    <row r="105">
      <c r="A105" s="44" t="inlineStr">
        <is>
          <t>TL Cinsi TUFE Endeksli Senetler</t>
        </is>
      </c>
      <c r="B105" s="44" t="n">
        <v>2015</v>
      </c>
      <c r="C105" s="44" t="inlineStr">
        <is>
          <t>TRT180924T11</t>
        </is>
      </c>
      <c r="D105" s="44" t="inlineStr">
        <is>
          <t>11.02.2015</t>
        </is>
      </c>
      <c r="E105" s="44" t="inlineStr">
        <is>
          <t>18.09.2024</t>
        </is>
      </c>
      <c r="F105" s="44" t="n">
        <v>3507</v>
      </c>
      <c r="G105" s="44" t="inlineStr">
        <is>
          <t>6 ay</t>
        </is>
      </c>
      <c r="H105" s="15" t="n">
        <v>1</v>
      </c>
      <c r="I105" s="45" t="n">
        <v>3720000</v>
      </c>
      <c r="J105" s="45" t="n">
        <v>3787413.632</v>
      </c>
      <c r="K105" s="45" t="n">
        <v>980500</v>
      </c>
      <c r="L105" s="45" t="n">
        <v>1014408.432</v>
      </c>
      <c r="M105" s="45" t="n">
        <v>758762.009</v>
      </c>
      <c r="N105" s="45" t="n">
        <v>784999.99927</v>
      </c>
      <c r="O105" s="45" t="n">
        <v>1091123.934</v>
      </c>
      <c r="P105" s="45" t="n">
        <v>1128854.99964</v>
      </c>
      <c r="Q105" s="45" t="n">
        <v>195147.54</v>
      </c>
      <c r="R105" s="45" t="n">
        <v>201895.74193</v>
      </c>
      <c r="S105" s="45" t="n">
        <v>3025533.483</v>
      </c>
      <c r="T105" s="45" t="n">
        <v>3130159.17284</v>
      </c>
      <c r="U105" s="15" t="n">
        <v>0.97</v>
      </c>
      <c r="V105" s="15" t="n">
        <v>1.95</v>
      </c>
      <c r="W105" s="49" t="n">
        <v>103.458</v>
      </c>
    </row>
    <row r="106">
      <c r="A106" s="44" t="inlineStr">
        <is>
          <t>TL Cinsi TUFE Endeksli Senetler</t>
        </is>
      </c>
      <c r="B106" s="44" t="n">
        <v>2015</v>
      </c>
      <c r="C106" s="44" t="inlineStr">
        <is>
          <t>TRT160425T17</t>
        </is>
      </c>
      <c r="D106" s="44" t="inlineStr">
        <is>
          <t>29.04.2015</t>
        </is>
      </c>
      <c r="E106" s="44" t="inlineStr">
        <is>
          <t>16.04.2025</t>
        </is>
      </c>
      <c r="F106" s="44" t="n">
        <v>3640</v>
      </c>
      <c r="G106" s="44" t="inlineStr">
        <is>
          <t>6 ay</t>
        </is>
      </c>
      <c r="H106" s="15" t="n">
        <v>1</v>
      </c>
      <c r="I106" s="45" t="n">
        <v>1295000</v>
      </c>
      <c r="J106" s="45" t="n">
        <v>1250870.431</v>
      </c>
      <c r="K106" s="45" t="n">
        <v>691000</v>
      </c>
      <c r="L106" s="45" t="n">
        <v>674016.701</v>
      </c>
      <c r="M106" s="45" t="n">
        <v>1066207.377</v>
      </c>
      <c r="N106" s="45" t="n">
        <v>1039999.99967</v>
      </c>
      <c r="O106" s="45" t="n">
        <v>1118976.441</v>
      </c>
      <c r="P106" s="45" t="n">
        <v>1091472.00008</v>
      </c>
      <c r="Q106" s="45" t="n">
        <v>44123.844</v>
      </c>
      <c r="R106" s="45" t="n">
        <v>43039.27991</v>
      </c>
      <c r="S106" s="45" t="n">
        <v>2920307.662</v>
      </c>
      <c r="T106" s="45" t="n">
        <v>2848527.98066</v>
      </c>
      <c r="U106" s="15" t="n">
        <v>1.14</v>
      </c>
      <c r="V106" s="15" t="n">
        <v>2.29</v>
      </c>
      <c r="W106" s="49" t="n">
        <v>97.542</v>
      </c>
    </row>
    <row r="107">
      <c r="A107" s="44" t="inlineStr">
        <is>
          <t>TL Cinsi TUFE Endeksli Senetler</t>
        </is>
      </c>
      <c r="B107" s="44" t="n">
        <v>2015</v>
      </c>
      <c r="C107" s="44" t="inlineStr">
        <is>
          <t>TRT160425T17</t>
        </is>
      </c>
      <c r="D107" s="44" t="inlineStr">
        <is>
          <t>13.05.2015</t>
        </is>
      </c>
      <c r="E107" s="44" t="inlineStr">
        <is>
          <t>16.04.2025</t>
        </is>
      </c>
      <c r="F107" s="44" t="n">
        <v>3626</v>
      </c>
      <c r="G107" s="44" t="inlineStr">
        <is>
          <t>6 ay</t>
        </is>
      </c>
      <c r="H107" s="15" t="n">
        <v>1</v>
      </c>
      <c r="I107" s="45" t="n">
        <v>1411820</v>
      </c>
      <c r="J107" s="45" t="n">
        <v>1363101.6558</v>
      </c>
      <c r="K107" s="45" t="n">
        <v>703720</v>
      </c>
      <c r="L107" s="45" t="n">
        <v>686007.0358</v>
      </c>
      <c r="M107" s="45" t="n">
        <v>0</v>
      </c>
      <c r="N107" s="45" t="n">
        <v>0</v>
      </c>
      <c r="O107" s="45" t="n">
        <v>1113320.271</v>
      </c>
      <c r="P107" s="45" t="n">
        <v>1085297.99978</v>
      </c>
      <c r="Q107" s="45" t="n">
        <v>199932.295</v>
      </c>
      <c r="R107" s="45" t="n">
        <v>194899.99913</v>
      </c>
      <c r="S107" s="45" t="n">
        <v>2016972.566</v>
      </c>
      <c r="T107" s="45" t="n">
        <v>1966205.03471</v>
      </c>
      <c r="U107" s="15" t="n">
        <v>1.17</v>
      </c>
      <c r="V107" s="15" t="n">
        <v>2.36</v>
      </c>
      <c r="W107" s="49" t="n">
        <v>97.483</v>
      </c>
    </row>
    <row r="108">
      <c r="A108" s="44" t="inlineStr">
        <is>
          <t>TL Cinsi TUFE Endeksli Senetler</t>
        </is>
      </c>
      <c r="B108" s="44" t="n">
        <v>2015</v>
      </c>
      <c r="C108" s="44" t="inlineStr">
        <is>
          <t>TRT160425T17</t>
        </is>
      </c>
      <c r="D108" s="44" t="inlineStr">
        <is>
          <t>17.06.2015</t>
        </is>
      </c>
      <c r="E108" s="44" t="inlineStr">
        <is>
          <t>16.04.2025</t>
        </is>
      </c>
      <c r="F108" s="44" t="n">
        <v>3591</v>
      </c>
      <c r="G108" s="44" t="inlineStr">
        <is>
          <t>6 ay</t>
        </is>
      </c>
      <c r="H108" s="15" t="n">
        <v>1</v>
      </c>
      <c r="I108" s="45" t="n">
        <v>1473400</v>
      </c>
      <c r="J108" s="45" t="n">
        <v>1421716.866</v>
      </c>
      <c r="K108" s="45" t="n">
        <v>570000</v>
      </c>
      <c r="L108" s="45" t="n">
        <v>553304.4</v>
      </c>
      <c r="M108" s="45" t="n">
        <v>827229.553</v>
      </c>
      <c r="N108" s="45" t="n">
        <v>802999.99939</v>
      </c>
      <c r="O108" s="45" t="n">
        <v>543893.13</v>
      </c>
      <c r="P108" s="45" t="n">
        <v>527962.50022</v>
      </c>
      <c r="Q108" s="45" t="n">
        <v>0</v>
      </c>
      <c r="R108" s="45" t="n">
        <v>0</v>
      </c>
      <c r="S108" s="45" t="n">
        <v>1941122.683</v>
      </c>
      <c r="T108" s="45" t="n">
        <v>1884266.89961</v>
      </c>
      <c r="U108" s="15" t="n">
        <v>1.3</v>
      </c>
      <c r="V108" s="15" t="n">
        <v>2.62</v>
      </c>
      <c r="W108" s="49" t="n">
        <v>97.071</v>
      </c>
    </row>
    <row r="109">
      <c r="A109" s="44" t="inlineStr">
        <is>
          <t>TL Cinsi TUFE Endeksli Senetler</t>
        </is>
      </c>
      <c r="B109" s="44" t="n">
        <v>2015</v>
      </c>
      <c r="C109" s="44" t="inlineStr">
        <is>
          <t>TRT160425T17</t>
        </is>
      </c>
      <c r="D109" s="44" t="inlineStr">
        <is>
          <t>07.10.2015</t>
        </is>
      </c>
      <c r="E109" s="44" t="inlineStr">
        <is>
          <t>16.04.2025</t>
        </is>
      </c>
      <c r="F109" s="44" t="n">
        <v>3479</v>
      </c>
      <c r="G109" s="44" t="inlineStr">
        <is>
          <t>6 ay</t>
        </is>
      </c>
      <c r="H109" s="15" t="n">
        <v>1</v>
      </c>
      <c r="I109" s="45" t="n">
        <v>2663500</v>
      </c>
      <c r="J109" s="45" t="n">
        <v>2472264.15</v>
      </c>
      <c r="K109" s="45" t="n">
        <v>582000</v>
      </c>
      <c r="L109" s="45" t="n">
        <v>546855.01</v>
      </c>
      <c r="M109" s="45" t="n">
        <v>574706.527</v>
      </c>
      <c r="N109" s="45" t="n">
        <v>539999.99983</v>
      </c>
      <c r="O109" s="45" t="n">
        <v>646736.412</v>
      </c>
      <c r="P109" s="45" t="n">
        <v>607680.00008</v>
      </c>
      <c r="Q109" s="45" t="n">
        <v>140356.105</v>
      </c>
      <c r="R109" s="45" t="n">
        <v>131879.99982</v>
      </c>
      <c r="S109" s="45" t="n">
        <v>1943799.044</v>
      </c>
      <c r="T109" s="45" t="n">
        <v>1826415.00973</v>
      </c>
      <c r="U109" s="15" t="n">
        <v>1.6</v>
      </c>
      <c r="V109" s="15" t="n">
        <v>3.22</v>
      </c>
      <c r="W109" s="49" t="n">
        <v>93.961</v>
      </c>
    </row>
    <row r="110">
      <c r="A110" s="44" t="inlineStr">
        <is>
          <t>TL Cinsi TUFE Endeksli Senetler</t>
        </is>
      </c>
      <c r="B110" s="44" t="n">
        <v>2014</v>
      </c>
      <c r="C110" s="44" t="inlineStr">
        <is>
          <t>TRT081123T10</t>
        </is>
      </c>
      <c r="D110" s="44" t="inlineStr">
        <is>
          <t>29.01.2014</t>
        </is>
      </c>
      <c r="E110" s="44" t="inlineStr">
        <is>
          <t>08.11.2023</t>
        </is>
      </c>
      <c r="F110" s="44" t="n">
        <v>3570</v>
      </c>
      <c r="G110" s="44" t="inlineStr">
        <is>
          <t>6 Ay</t>
        </is>
      </c>
      <c r="H110" s="15" t="n">
        <v>1.4</v>
      </c>
      <c r="I110" s="45" t="n">
        <v>3369900</v>
      </c>
      <c r="J110" s="45" t="n">
        <v>3166924.609</v>
      </c>
      <c r="K110" s="45" t="n">
        <v>760000</v>
      </c>
      <c r="L110" s="45" t="n">
        <v>723473.2</v>
      </c>
      <c r="M110" s="45" t="n">
        <v>1527407.189528752</v>
      </c>
      <c r="N110" s="45" t="n">
        <v>1454000</v>
      </c>
      <c r="O110" s="45" t="n">
        <v>680782.4022522428</v>
      </c>
      <c r="P110" s="45" t="n">
        <v>648064</v>
      </c>
      <c r="Q110" s="45" t="n">
        <v>199800</v>
      </c>
      <c r="R110" s="45" t="n">
        <v>190197.612</v>
      </c>
      <c r="S110" s="45" t="n">
        <v>3167989.591780995</v>
      </c>
      <c r="T110" s="45" t="n">
        <v>3015734.812</v>
      </c>
      <c r="U110" s="15" t="n">
        <v>1.85</v>
      </c>
      <c r="V110" s="15" t="n">
        <v>3.73</v>
      </c>
      <c r="W110" s="49" t="n">
        <v>95.194</v>
      </c>
    </row>
    <row r="111">
      <c r="A111" s="44" t="inlineStr">
        <is>
          <t>TL Cinsi TUFE Endeksli Senetler</t>
        </is>
      </c>
      <c r="B111" s="44" t="n">
        <v>2014</v>
      </c>
      <c r="C111" s="44" t="inlineStr">
        <is>
          <t>TRT200219T11</t>
        </is>
      </c>
      <c r="D111" s="44" t="inlineStr">
        <is>
          <t>26.02.2014</t>
        </is>
      </c>
      <c r="E111" s="44" t="inlineStr">
        <is>
          <t>20.02.2019</t>
        </is>
      </c>
      <c r="F111" s="44" t="n">
        <v>1820</v>
      </c>
      <c r="G111" s="44" t="inlineStr">
        <is>
          <t>6 Ay</t>
        </is>
      </c>
      <c r="H111" s="15" t="n">
        <v>1.75</v>
      </c>
      <c r="I111" s="45" t="n">
        <v>3493399.488</v>
      </c>
      <c r="J111" s="45" t="n">
        <v>3500843.78081</v>
      </c>
      <c r="K111" s="45" t="n">
        <v>1050000</v>
      </c>
      <c r="L111" s="45" t="n">
        <v>1057236.7</v>
      </c>
      <c r="M111" s="45" t="n">
        <v>457845.4448847441</v>
      </c>
      <c r="N111" s="45" t="n">
        <v>461000</v>
      </c>
      <c r="O111" s="45" t="n">
        <v>750870.2539502826</v>
      </c>
      <c r="P111" s="45" t="n">
        <v>756043.75</v>
      </c>
      <c r="Q111" s="45" t="n">
        <v>52030.787</v>
      </c>
      <c r="R111" s="45" t="n">
        <v>52389.27912242999</v>
      </c>
      <c r="S111" s="45" t="n">
        <v>2310746.485835026</v>
      </c>
      <c r="T111" s="45" t="n">
        <v>2326669.72912243</v>
      </c>
      <c r="U111" s="15" t="n">
        <v>1.67</v>
      </c>
      <c r="V111" s="15" t="n">
        <v>3.38</v>
      </c>
      <c r="W111" s="49" t="n">
        <v>100.689</v>
      </c>
    </row>
    <row r="112">
      <c r="A112" s="44" t="inlineStr">
        <is>
          <t>TL Cinsi TUFE Endeksli Senetler</t>
        </is>
      </c>
      <c r="B112" s="44" t="n">
        <v>2014</v>
      </c>
      <c r="C112" s="44" t="inlineStr">
        <is>
          <t>TRT200219T11</t>
        </is>
      </c>
      <c r="D112" s="44" t="inlineStr">
        <is>
          <t>05.03.2014</t>
        </is>
      </c>
      <c r="E112" s="44" t="inlineStr">
        <is>
          <t>20.02.2019</t>
        </is>
      </c>
      <c r="F112" s="44" t="n">
        <v>1813</v>
      </c>
      <c r="G112" s="44" t="inlineStr">
        <is>
          <t>6 Ay</t>
        </is>
      </c>
      <c r="H112" s="15" t="n">
        <v>1.75</v>
      </c>
      <c r="I112" s="45" t="n">
        <v>3726773.84</v>
      </c>
      <c r="J112" s="45" t="n">
        <v>3754089.07242</v>
      </c>
      <c r="K112" s="45" t="n">
        <v>1316000</v>
      </c>
      <c r="L112" s="45" t="n">
        <v>1330822.59</v>
      </c>
      <c r="M112" s="45" t="n">
        <v>662539.8018313786</v>
      </c>
      <c r="N112" s="45" t="n">
        <v>670000</v>
      </c>
      <c r="O112" s="45" t="n">
        <v>1013051.045230702</v>
      </c>
      <c r="P112" s="45" t="n">
        <v>1024458</v>
      </c>
      <c r="Q112" s="45" t="n">
        <v>254571.91</v>
      </c>
      <c r="R112" s="45" t="n">
        <v>257438.3897066</v>
      </c>
      <c r="S112" s="45" t="n">
        <v>3246162.757062081</v>
      </c>
      <c r="T112" s="45" t="n">
        <v>3282718.9797066</v>
      </c>
      <c r="U112" s="15" t="n">
        <v>1.67</v>
      </c>
      <c r="V112" s="15" t="n">
        <v>3.36</v>
      </c>
      <c r="W112" s="49" t="n">
        <v>101.126</v>
      </c>
    </row>
    <row r="113">
      <c r="A113" s="44" t="inlineStr">
        <is>
          <t>TL Cinsi TUFE Endeksli Senetler</t>
        </is>
      </c>
      <c r="B113" s="44" t="n">
        <v>2014</v>
      </c>
      <c r="C113" s="44" t="inlineStr">
        <is>
          <t>TRT200219T11</t>
        </is>
      </c>
      <c r="D113" s="44" t="inlineStr">
        <is>
          <t>02.04.2014</t>
        </is>
      </c>
      <c r="E113" s="44" t="inlineStr">
        <is>
          <t>20.02.2019</t>
        </is>
      </c>
      <c r="F113" s="44" t="n">
        <v>1785</v>
      </c>
      <c r="G113" s="44" t="inlineStr">
        <is>
          <t>6 Ay</t>
        </is>
      </c>
      <c r="H113" s="15" t="n">
        <v>1.75</v>
      </c>
      <c r="I113" s="45" t="n">
        <v>4274600</v>
      </c>
      <c r="J113" s="45" t="n">
        <v>4395722.09</v>
      </c>
      <c r="K113" s="45" t="n">
        <v>1036800</v>
      </c>
      <c r="L113" s="45" t="n">
        <v>1069265.14</v>
      </c>
      <c r="M113" s="45" t="n">
        <v>824194.4711095598</v>
      </c>
      <c r="N113" s="45" t="n">
        <v>850000</v>
      </c>
      <c r="O113" s="45" t="n">
        <v>489692.7209083593</v>
      </c>
      <c r="P113" s="45" t="n">
        <v>505025</v>
      </c>
      <c r="Q113" s="45" t="n">
        <v>154425.714</v>
      </c>
      <c r="R113" s="45" t="n">
        <v>159260.78310534</v>
      </c>
      <c r="S113" s="45" t="n">
        <v>2505112.906017919</v>
      </c>
      <c r="T113" s="45" t="n">
        <v>2583550.92310534</v>
      </c>
      <c r="U113" s="15" t="n">
        <v>1.67</v>
      </c>
      <c r="V113" s="15" t="n">
        <v>3.36</v>
      </c>
      <c r="W113" s="49" t="n">
        <v>103.131</v>
      </c>
    </row>
    <row r="114">
      <c r="A114" s="44" t="inlineStr">
        <is>
          <t>TL Cinsi TUFE Endeksli Senetler</t>
        </is>
      </c>
      <c r="B114" s="44" t="n">
        <v>2014</v>
      </c>
      <c r="C114" s="44" t="inlineStr">
        <is>
          <t>TRT080524T17</t>
        </is>
      </c>
      <c r="D114" s="44" t="inlineStr">
        <is>
          <t>21.05.2014</t>
        </is>
      </c>
      <c r="E114" s="44" t="inlineStr">
        <is>
          <t>08.05.2024</t>
        </is>
      </c>
      <c r="F114" s="44" t="n">
        <v>3640</v>
      </c>
      <c r="G114" s="44" t="inlineStr">
        <is>
          <t>6 Ay</t>
        </is>
      </c>
      <c r="H114" s="15" t="n">
        <v>1.2</v>
      </c>
      <c r="I114" s="45" t="n">
        <v>5300272.175</v>
      </c>
      <c r="J114" s="45" t="n">
        <v>5335723.2176</v>
      </c>
      <c r="K114" s="45" t="n">
        <v>998000</v>
      </c>
      <c r="L114" s="45" t="n">
        <v>1011787.37</v>
      </c>
      <c r="M114" s="45" t="n">
        <v>934090.8642559823</v>
      </c>
      <c r="N114" s="45" t="n">
        <v>947000</v>
      </c>
      <c r="O114" s="45" t="n">
        <v>386666.2721193111</v>
      </c>
      <c r="P114" s="45" t="n">
        <v>392010</v>
      </c>
      <c r="Q114" s="45" t="n">
        <v>199650</v>
      </c>
      <c r="R114" s="45" t="n">
        <v>202409.163</v>
      </c>
      <c r="S114" s="45" t="n">
        <v>2518407.136375294</v>
      </c>
      <c r="T114" s="45" t="n">
        <v>2553206.533</v>
      </c>
      <c r="U114" s="15" t="n">
        <v>1.12</v>
      </c>
      <c r="V114" s="15" t="n">
        <v>2.26</v>
      </c>
      <c r="W114" s="49" t="n">
        <v>101.382</v>
      </c>
    </row>
    <row r="115">
      <c r="A115" s="44" t="inlineStr">
        <is>
          <t>TL Cinsi TUFE Endeksli Senetler</t>
        </is>
      </c>
      <c r="B115" s="44" t="n">
        <v>2014</v>
      </c>
      <c r="C115" s="44" t="inlineStr">
        <is>
          <t>TRT080524T17</t>
        </is>
      </c>
      <c r="D115" s="44" t="inlineStr">
        <is>
          <t>04.06.2014</t>
        </is>
      </c>
      <c r="E115" s="44" t="inlineStr">
        <is>
          <t>08.05.2024</t>
        </is>
      </c>
      <c r="F115" s="44" t="n">
        <v>3626</v>
      </c>
      <c r="G115" s="44" t="inlineStr">
        <is>
          <t>6 Ay</t>
        </is>
      </c>
      <c r="H115" s="15" t="n">
        <v>1.2</v>
      </c>
      <c r="I115" s="45" t="n">
        <v>4396141</v>
      </c>
      <c r="J115" s="45" t="n">
        <v>4608794.4056</v>
      </c>
      <c r="K115" s="45" t="n">
        <v>472500</v>
      </c>
      <c r="L115" s="45" t="n">
        <v>500051.475</v>
      </c>
      <c r="M115" s="45" t="n">
        <v>752142.5669227353</v>
      </c>
      <c r="N115" s="45" t="n">
        <v>796000</v>
      </c>
      <c r="O115" s="45" t="n">
        <v>468307.9626952405</v>
      </c>
      <c r="P115" s="45" t="n">
        <v>495615</v>
      </c>
      <c r="Q115" s="45" t="n">
        <v>0</v>
      </c>
      <c r="R115" s="45" t="n">
        <v>0</v>
      </c>
      <c r="S115" s="45" t="n">
        <v>1692950.529617976</v>
      </c>
      <c r="T115" s="45" t="n">
        <v>1791666.475</v>
      </c>
      <c r="U115" s="15" t="n">
        <v>0.91</v>
      </c>
      <c r="V115" s="15" t="n">
        <v>1.84</v>
      </c>
      <c r="W115" s="49" t="n">
        <v>105.831</v>
      </c>
    </row>
    <row r="116">
      <c r="A116" s="44" t="inlineStr">
        <is>
          <t>TL Cinsi TUFE Endeksli Senetler</t>
        </is>
      </c>
      <c r="B116" s="44" t="n">
        <v>2014</v>
      </c>
      <c r="C116" s="44" t="inlineStr">
        <is>
          <t>TRT080524T17</t>
        </is>
      </c>
      <c r="D116" s="44" t="inlineStr">
        <is>
          <t>16.07.2014</t>
        </is>
      </c>
      <c r="E116" s="44" t="inlineStr">
        <is>
          <t>08.05.2024</t>
        </is>
      </c>
      <c r="F116" s="44" t="n">
        <v>3584</v>
      </c>
      <c r="G116" s="44" t="inlineStr">
        <is>
          <t>6 Ay</t>
        </is>
      </c>
      <c r="H116" s="15" t="n">
        <v>1.2</v>
      </c>
      <c r="I116" s="45" t="n">
        <v>3880300</v>
      </c>
      <c r="J116" s="45" t="n">
        <v>4173748.97</v>
      </c>
      <c r="K116" s="45" t="n">
        <v>384300</v>
      </c>
      <c r="L116" s="45" t="n">
        <v>416936.57</v>
      </c>
      <c r="M116" s="45" t="n">
        <v>797293.8096818199</v>
      </c>
      <c r="N116" s="45" t="n">
        <v>865000</v>
      </c>
      <c r="O116" s="45" t="n">
        <v>292012.7751354938</v>
      </c>
      <c r="P116" s="45" t="n">
        <v>316810.5</v>
      </c>
      <c r="Q116" s="45" t="n">
        <v>60004.977</v>
      </c>
      <c r="R116" s="45" t="n">
        <v>65100.59964684</v>
      </c>
      <c r="S116" s="45" t="n">
        <v>1533611.561817314</v>
      </c>
      <c r="T116" s="45" t="n">
        <v>1663847.66964684</v>
      </c>
      <c r="U116" s="15" t="n">
        <v>0.86</v>
      </c>
      <c r="V116" s="15" t="n">
        <v>1.74</v>
      </c>
      <c r="W116" s="49" t="n">
        <v>108.492</v>
      </c>
    </row>
    <row r="117">
      <c r="A117" s="44" t="inlineStr">
        <is>
          <t>TL Cinsi TUFE Endeksli Senetler</t>
        </is>
      </c>
      <c r="B117" s="44" t="n">
        <v>2014</v>
      </c>
      <c r="C117" s="44" t="inlineStr">
        <is>
          <t>TRT180924T11</t>
        </is>
      </c>
      <c r="D117" s="44" t="inlineStr">
        <is>
          <t>01.10.2014</t>
        </is>
      </c>
      <c r="E117" s="44" t="inlineStr">
        <is>
          <t>18.09.2024</t>
        </is>
      </c>
      <c r="F117" s="44" t="n">
        <v>3640</v>
      </c>
      <c r="G117" s="44" t="inlineStr">
        <is>
          <t>6 Ay</t>
        </is>
      </c>
      <c r="H117" s="15" t="n">
        <v>1</v>
      </c>
      <c r="I117" s="45" t="n">
        <v>3413017.085</v>
      </c>
      <c r="J117" s="45" t="n">
        <v>3371811.18552</v>
      </c>
      <c r="K117" s="45" t="n">
        <v>1656017.085</v>
      </c>
      <c r="L117" s="45" t="n">
        <v>1646299.90552</v>
      </c>
      <c r="M117" s="45" t="n">
        <v>0</v>
      </c>
      <c r="N117" s="45" t="n">
        <v>0</v>
      </c>
      <c r="O117" s="45" t="n">
        <v>884622.7354571334</v>
      </c>
      <c r="P117" s="45" t="n">
        <v>879430</v>
      </c>
      <c r="Q117" s="45" t="n">
        <v>100366.149</v>
      </c>
      <c r="R117" s="45" t="n">
        <v>99776.99970536999</v>
      </c>
      <c r="S117" s="45" t="n">
        <v>2641005.969457134</v>
      </c>
      <c r="T117" s="45" t="n">
        <v>2625506.90522537</v>
      </c>
      <c r="U117" s="15" t="n">
        <v>1.03</v>
      </c>
      <c r="V117" s="15" t="n">
        <v>2.08</v>
      </c>
      <c r="W117" s="49" t="n">
        <v>99.25</v>
      </c>
    </row>
    <row r="118">
      <c r="A118" s="44" t="inlineStr">
        <is>
          <t>TL Cinsi TUFE Endeksli Senetler</t>
        </is>
      </c>
      <c r="B118" s="44" t="n">
        <v>2013</v>
      </c>
      <c r="C118" s="44" t="inlineStr">
        <is>
          <t>TRT261022T10</t>
        </is>
      </c>
      <c r="D118" s="44" t="inlineStr">
        <is>
          <t>nan</t>
        </is>
      </c>
      <c r="E118" s="44" t="inlineStr">
        <is>
          <t>nan</t>
        </is>
      </c>
      <c r="F118" s="44" t="n"/>
      <c r="G118" s="44" t="n"/>
      <c r="H118" s="15" t="n"/>
      <c r="I118" s="45" t="n">
        <v>3477320.69</v>
      </c>
      <c r="J118" s="45" t="n">
        <v>3776812.47283</v>
      </c>
      <c r="K118" s="45" t="n">
        <v>1022000</v>
      </c>
      <c r="L118" s="45" t="n">
        <v>1118681.22</v>
      </c>
      <c r="M118" s="45" t="n">
        <v>548145.4412570803</v>
      </c>
      <c r="N118" s="45" t="n">
        <v>600000</v>
      </c>
      <c r="O118" s="45" t="n">
        <v>324940.6175771972</v>
      </c>
      <c r="P118" s="45" t="n">
        <v>355680</v>
      </c>
      <c r="Q118" s="45" t="n">
        <v>235250.838</v>
      </c>
      <c r="R118" s="45" t="n">
        <v>257505.5672748</v>
      </c>
      <c r="S118" s="45" t="n">
        <v>2130336.896834278</v>
      </c>
      <c r="T118" s="45" t="n">
        <v>2331866.7872748</v>
      </c>
      <c r="U118" s="15" t="n">
        <v>0.68</v>
      </c>
      <c r="V118" s="15" t="n">
        <v>1.36</v>
      </c>
      <c r="W118" s="49" t="n">
        <v>109.46</v>
      </c>
    </row>
    <row r="119">
      <c r="A119" s="44" t="inlineStr">
        <is>
          <t>TL Cinsi TUFE Endeksli Senetler</t>
        </is>
      </c>
      <c r="B119" s="44" t="n">
        <v>2013</v>
      </c>
      <c r="C119" s="44" t="inlineStr">
        <is>
          <t>TRT261022T10</t>
        </is>
      </c>
      <c r="D119" s="44" t="inlineStr">
        <is>
          <t>nan</t>
        </is>
      </c>
      <c r="E119" s="44" t="inlineStr">
        <is>
          <t>nan</t>
        </is>
      </c>
      <c r="F119" s="44" t="n"/>
      <c r="G119" s="44" t="n"/>
      <c r="H119" s="15" t="n"/>
      <c r="I119" s="45" t="n">
        <v>3232102.5</v>
      </c>
      <c r="J119" s="45" t="n">
        <v>3645041.302</v>
      </c>
      <c r="K119" s="45" t="n">
        <v>760000</v>
      </c>
      <c r="L119" s="45" t="n">
        <v>864831</v>
      </c>
      <c r="M119" s="45" t="n">
        <v>1417034.290032866</v>
      </c>
      <c r="N119" s="45" t="n">
        <v>1612500</v>
      </c>
      <c r="O119" s="45" t="n">
        <v>314535.0369966782</v>
      </c>
      <c r="P119" s="45" t="n">
        <v>357922</v>
      </c>
      <c r="Q119" s="45" t="n">
        <v>120150.095</v>
      </c>
      <c r="R119" s="45" t="n">
        <v>136723.5991043</v>
      </c>
      <c r="S119" s="45" t="n">
        <v>2611719.422029545</v>
      </c>
      <c r="T119" s="45" t="n">
        <v>2971976.5991043</v>
      </c>
      <c r="U119" s="15" t="n">
        <v>0.5</v>
      </c>
      <c r="V119" s="15" t="n">
        <v>1.01</v>
      </c>
      <c r="W119" s="49" t="n">
        <v>113.794</v>
      </c>
    </row>
    <row r="120">
      <c r="A120" s="44" t="inlineStr">
        <is>
          <t>TL Cinsi TUFE Endeksli Senetler</t>
        </is>
      </c>
      <c r="B120" s="44" t="n">
        <v>2013</v>
      </c>
      <c r="C120" s="44" t="inlineStr">
        <is>
          <t>TRT261022T10</t>
        </is>
      </c>
      <c r="D120" s="44" t="inlineStr">
        <is>
          <t>nan</t>
        </is>
      </c>
      <c r="E120" s="44" t="inlineStr">
        <is>
          <t>nan</t>
        </is>
      </c>
      <c r="F120" s="44" t="n"/>
      <c r="G120" s="44" t="n"/>
      <c r="H120" s="15" t="n"/>
      <c r="I120" s="45" t="n">
        <v>3308900</v>
      </c>
      <c r="J120" s="45" t="n">
        <v>3806219.109</v>
      </c>
      <c r="K120" s="45" t="n">
        <v>852600</v>
      </c>
      <c r="L120" s="45" t="n">
        <v>991226.999</v>
      </c>
      <c r="M120" s="45" t="n">
        <v>967667.0193275359</v>
      </c>
      <c r="N120" s="45" t="n">
        <v>1125000</v>
      </c>
      <c r="O120" s="45" t="n">
        <v>309588.9350501897</v>
      </c>
      <c r="P120" s="45" t="n">
        <v>359925</v>
      </c>
      <c r="Q120" s="45" t="n">
        <v>111956.214</v>
      </c>
      <c r="R120" s="45" t="n">
        <v>130159.17483426</v>
      </c>
      <c r="S120" s="45" t="n">
        <v>2241812.168377725</v>
      </c>
      <c r="T120" s="45" t="n">
        <v>2606311.17383426</v>
      </c>
      <c r="U120" s="15" t="n">
        <v>0.48</v>
      </c>
      <c r="V120" s="15" t="n">
        <v>0.96</v>
      </c>
      <c r="W120" s="49" t="n">
        <v>116.259</v>
      </c>
    </row>
    <row r="121">
      <c r="A121" s="44" t="inlineStr">
        <is>
          <t>TL Cinsi TUFE Endeksli Senetler</t>
        </is>
      </c>
      <c r="B121" s="44" t="n">
        <v>2013</v>
      </c>
      <c r="C121" s="44" t="inlineStr">
        <is>
          <t>TRT030523T13</t>
        </is>
      </c>
      <c r="D121" s="44" t="inlineStr">
        <is>
          <t>nan</t>
        </is>
      </c>
      <c r="E121" s="44" t="inlineStr">
        <is>
          <t>nan</t>
        </is>
      </c>
      <c r="F121" s="44" t="n"/>
      <c r="G121" s="44" t="n"/>
      <c r="H121" s="15" t="n"/>
      <c r="I121" s="45" t="n">
        <v>4666810</v>
      </c>
      <c r="J121" s="45" t="n">
        <v>4672410.376</v>
      </c>
      <c r="K121" s="45" t="n">
        <v>998000</v>
      </c>
      <c r="L121" s="45" t="n">
        <v>1004022.93</v>
      </c>
      <c r="M121" s="45" t="n">
        <v>993996.2625740527</v>
      </c>
      <c r="N121" s="45" t="n">
        <v>1000000</v>
      </c>
      <c r="O121" s="45" t="n">
        <v>562303.6857381416</v>
      </c>
      <c r="P121" s="45" t="n">
        <v>565700</v>
      </c>
      <c r="Q121" s="45" t="n">
        <v>0</v>
      </c>
      <c r="R121" s="45" t="n">
        <v>0</v>
      </c>
      <c r="S121" s="45" t="n">
        <v>2554299.948312194</v>
      </c>
      <c r="T121" s="45" t="n">
        <v>2569722.93</v>
      </c>
      <c r="U121" s="15" t="n">
        <v>0.47</v>
      </c>
      <c r="V121" s="15" t="n">
        <v>0.9399999999999999</v>
      </c>
      <c r="W121" s="49" t="n">
        <v>100.604</v>
      </c>
    </row>
    <row r="122">
      <c r="A122" s="44" t="inlineStr">
        <is>
          <t>TL Cinsi TUFE Endeksli Senetler</t>
        </is>
      </c>
      <c r="B122" s="44" t="n">
        <v>2013</v>
      </c>
      <c r="C122" s="44" t="inlineStr">
        <is>
          <t>TRT030523T13</t>
        </is>
      </c>
      <c r="D122" s="44" t="inlineStr">
        <is>
          <t>nan</t>
        </is>
      </c>
      <c r="E122" s="44" t="inlineStr">
        <is>
          <t>nan</t>
        </is>
      </c>
      <c r="F122" s="44" t="n"/>
      <c r="G122" s="44" t="n"/>
      <c r="H122" s="15" t="n"/>
      <c r="I122" s="45" t="n">
        <v>1338400</v>
      </c>
      <c r="J122" s="45" t="n">
        <v>1116763.062</v>
      </c>
      <c r="K122" s="45" t="n">
        <v>922100</v>
      </c>
      <c r="L122" s="45" t="n">
        <v>776867.7070000001</v>
      </c>
      <c r="M122" s="45" t="n">
        <v>130563.7982195846</v>
      </c>
      <c r="N122" s="45" t="n">
        <v>110000</v>
      </c>
      <c r="O122" s="45" t="n">
        <v>1627062.314540059</v>
      </c>
      <c r="P122" s="45" t="n">
        <v>1370800</v>
      </c>
      <c r="Q122" s="45" t="n">
        <v>0</v>
      </c>
      <c r="R122" s="45" t="n">
        <v>0</v>
      </c>
      <c r="S122" s="45" t="n">
        <v>2679726.112759644</v>
      </c>
      <c r="T122" s="45" t="n">
        <v>2257667.707</v>
      </c>
      <c r="U122" s="15" t="n">
        <v>1.47</v>
      </c>
      <c r="V122" s="15" t="n">
        <v>2.95</v>
      </c>
      <c r="W122" s="49" t="n">
        <v>84.25</v>
      </c>
    </row>
    <row r="123">
      <c r="A123" s="44" t="inlineStr">
        <is>
          <t>TL Cinsi TUFE Endeksli Senetler</t>
        </is>
      </c>
      <c r="B123" s="44" t="n">
        <v>2013</v>
      </c>
      <c r="C123" s="44" t="inlineStr">
        <is>
          <t>TRT030523T13</t>
        </is>
      </c>
      <c r="D123" s="44" t="inlineStr">
        <is>
          <t>nan</t>
        </is>
      </c>
      <c r="E123" s="44" t="inlineStr">
        <is>
          <t>nan</t>
        </is>
      </c>
      <c r="F123" s="44" t="n"/>
      <c r="G123" s="44" t="n"/>
      <c r="H123" s="15" t="n"/>
      <c r="I123" s="45" t="n">
        <v>4009881</v>
      </c>
      <c r="J123" s="45" t="n">
        <v>3260990.3211</v>
      </c>
      <c r="K123" s="45" t="n">
        <v>1747600</v>
      </c>
      <c r="L123" s="45" t="n">
        <v>1442273.34</v>
      </c>
      <c r="M123" s="45" t="n">
        <v>575555.2593633754</v>
      </c>
      <c r="N123" s="45" t="n">
        <v>475000</v>
      </c>
      <c r="O123" s="45" t="n">
        <v>1335966.751081438</v>
      </c>
      <c r="P123" s="45" t="n">
        <v>1102560</v>
      </c>
      <c r="Q123" s="45" t="n">
        <v>258513.151</v>
      </c>
      <c r="R123" s="45" t="n">
        <v>213348.31838879</v>
      </c>
      <c r="S123" s="45" t="n">
        <v>3917635.161444813</v>
      </c>
      <c r="T123" s="45" t="n">
        <v>3233181.65838879</v>
      </c>
      <c r="U123" s="15" t="n">
        <v>1.59</v>
      </c>
      <c r="V123" s="15" t="n">
        <v>3.22</v>
      </c>
      <c r="W123" s="49" t="n">
        <v>82.529</v>
      </c>
    </row>
    <row r="124">
      <c r="A124" s="44" t="inlineStr">
        <is>
          <t>TL Cinsi TUFE Endeksli Senetler</t>
        </is>
      </c>
      <c r="B124" s="44" t="n">
        <v>2013</v>
      </c>
      <c r="C124" s="44" t="inlineStr">
        <is>
          <t>TRT020823T11</t>
        </is>
      </c>
      <c r="D124" s="44" t="inlineStr">
        <is>
          <t>nan</t>
        </is>
      </c>
      <c r="E124" s="44" t="inlineStr">
        <is>
          <t>nan</t>
        </is>
      </c>
      <c r="F124" s="44" t="n"/>
      <c r="G124" s="44" t="n"/>
      <c r="H124" s="15" t="n"/>
      <c r="I124" s="45" t="n">
        <v>3994101</v>
      </c>
      <c r="J124" s="45" t="n">
        <v>3986338.896</v>
      </c>
      <c r="K124" s="45" t="n">
        <v>2258300</v>
      </c>
      <c r="L124" s="45" t="n">
        <v>2270113.55</v>
      </c>
      <c r="M124" s="45" t="n">
        <v>119375.6652706346</v>
      </c>
      <c r="N124" s="45" t="n">
        <v>120000</v>
      </c>
      <c r="O124" s="45" t="n">
        <v>1342379.355968286</v>
      </c>
      <c r="P124" s="45" t="n">
        <v>1349400</v>
      </c>
      <c r="Q124" s="45" t="n">
        <v>30107.517</v>
      </c>
      <c r="R124" s="45" t="n">
        <v>30264.97931391</v>
      </c>
      <c r="S124" s="45" t="n">
        <v>3750162.53823892</v>
      </c>
      <c r="T124" s="45" t="n">
        <v>3769778.52931391</v>
      </c>
      <c r="U124" s="15" t="n">
        <v>1.47</v>
      </c>
      <c r="V124" s="15" t="n">
        <v>2.96</v>
      </c>
      <c r="W124" s="49" t="n">
        <v>100.523</v>
      </c>
    </row>
    <row r="125">
      <c r="A125" s="44" t="inlineStr">
        <is>
          <t>TL Cinsi TUFE Endeksli Senetler</t>
        </is>
      </c>
      <c r="B125" s="44" t="n">
        <v>2013</v>
      </c>
      <c r="C125" s="44" t="inlineStr">
        <is>
          <t>TRT020823T11</t>
        </is>
      </c>
      <c r="D125" s="44" t="inlineStr">
        <is>
          <t>nan</t>
        </is>
      </c>
      <c r="E125" s="44" t="inlineStr">
        <is>
          <t>nan</t>
        </is>
      </c>
      <c r="F125" s="44" t="n"/>
      <c r="G125" s="44" t="n"/>
      <c r="H125" s="15" t="n"/>
      <c r="I125" s="45" t="n">
        <v>2297120</v>
      </c>
      <c r="J125" s="45" t="n">
        <v>2192548.651</v>
      </c>
      <c r="K125" s="45" t="n">
        <v>1419220</v>
      </c>
      <c r="L125" s="45" t="n">
        <v>1364949.177</v>
      </c>
      <c r="M125" s="45" t="n">
        <v>93994.34370321078</v>
      </c>
      <c r="N125" s="45" t="n">
        <v>90400</v>
      </c>
      <c r="O125" s="45" t="n">
        <v>975919.1482282482</v>
      </c>
      <c r="P125" s="45" t="n">
        <v>938600</v>
      </c>
      <c r="Q125" s="45" t="n">
        <v>227253.308</v>
      </c>
      <c r="R125" s="45" t="n">
        <v>218563.14150208</v>
      </c>
      <c r="S125" s="45" t="n">
        <v>2716386.799931459</v>
      </c>
      <c r="T125" s="45" t="n">
        <v>2612512.31850208</v>
      </c>
      <c r="U125" s="15" t="n">
        <v>1.78</v>
      </c>
      <c r="V125" s="15" t="n">
        <v>3.58</v>
      </c>
      <c r="W125" s="49" t="n">
        <v>96.176</v>
      </c>
    </row>
    <row r="126">
      <c r="A126" s="44" t="inlineStr">
        <is>
          <t>TL Cinsi TUFE Endeksli Senetler</t>
        </is>
      </c>
      <c r="B126" s="44" t="n">
        <v>2013</v>
      </c>
      <c r="C126" s="44" t="inlineStr">
        <is>
          <t>TRT020823T11</t>
        </is>
      </c>
      <c r="D126" s="44" t="inlineStr">
        <is>
          <t>nan</t>
        </is>
      </c>
      <c r="E126" s="44" t="inlineStr">
        <is>
          <t>nan</t>
        </is>
      </c>
      <c r="F126" s="44" t="n"/>
      <c r="G126" s="44" t="n"/>
      <c r="H126" s="15" t="n"/>
      <c r="I126" s="45" t="n">
        <v>2571100</v>
      </c>
      <c r="J126" s="45" t="n">
        <v>2599931.489</v>
      </c>
      <c r="K126" s="45" t="n">
        <v>755900</v>
      </c>
      <c r="L126" s="45" t="n">
        <v>768646.312</v>
      </c>
      <c r="M126" s="45" t="n">
        <v>355997.8758137797</v>
      </c>
      <c r="N126" s="45" t="n">
        <v>362000</v>
      </c>
      <c r="O126" s="45" t="n">
        <v>733896.5049269319</v>
      </c>
      <c r="P126" s="45" t="n">
        <v>746270</v>
      </c>
      <c r="Q126" s="45" t="n">
        <v>164749.592</v>
      </c>
      <c r="R126" s="45" t="n">
        <v>167527.27012112</v>
      </c>
      <c r="S126" s="45" t="n">
        <v>2010543.972740711</v>
      </c>
      <c r="T126" s="45" t="n">
        <v>2044443.58212112</v>
      </c>
      <c r="U126" s="15" t="n">
        <v>1.47</v>
      </c>
      <c r="V126" s="15" t="n">
        <v>2.96</v>
      </c>
      <c r="W126" s="49" t="n">
        <v>101.686</v>
      </c>
    </row>
    <row r="127">
      <c r="A127" s="44" t="inlineStr">
        <is>
          <t>TL Cinsi TUFE Endeksli Senetler</t>
        </is>
      </c>
      <c r="B127" s="44" t="n">
        <v>2013</v>
      </c>
      <c r="C127" s="44" t="inlineStr">
        <is>
          <t>TRT081123T10</t>
        </is>
      </c>
      <c r="D127" s="44" t="inlineStr">
        <is>
          <t>nan</t>
        </is>
      </c>
      <c r="E127" s="44" t="inlineStr">
        <is>
          <t>nan</t>
        </is>
      </c>
      <c r="F127" s="44" t="n"/>
      <c r="G127" s="44" t="n"/>
      <c r="H127" s="15" t="n"/>
      <c r="I127" s="45" t="n">
        <v>5195783.706</v>
      </c>
      <c r="J127" s="45" t="n">
        <v>5243251.73143</v>
      </c>
      <c r="K127" s="45" t="n">
        <v>1034500</v>
      </c>
      <c r="L127" s="45" t="n">
        <v>1054102.515</v>
      </c>
      <c r="M127" s="45" t="n">
        <v>785121.9392511901</v>
      </c>
      <c r="N127" s="45" t="n">
        <v>800000</v>
      </c>
      <c r="O127" s="45" t="n">
        <v>557722.8912115413</v>
      </c>
      <c r="P127" s="45" t="n">
        <v>568291.74</v>
      </c>
      <c r="Q127" s="45" t="n">
        <v>126236.043</v>
      </c>
      <c r="R127" s="45" t="n">
        <v>128628.21601485</v>
      </c>
      <c r="S127" s="45" t="n">
        <v>2503580.873462731</v>
      </c>
      <c r="T127" s="45" t="n">
        <v>2551022.47101485</v>
      </c>
      <c r="U127" s="15" t="n">
        <v>1.29</v>
      </c>
      <c r="V127" s="15" t="n">
        <v>2.6</v>
      </c>
      <c r="W127" s="49" t="n">
        <v>101.895</v>
      </c>
    </row>
    <row r="128">
      <c r="A128" s="44" t="inlineStr">
        <is>
          <t>TL Cinsi TUFE Endeksli Senetler</t>
        </is>
      </c>
      <c r="B128" s="44" t="n">
        <v>2012</v>
      </c>
      <c r="C128" s="44" t="inlineStr">
        <is>
          <t>TRT210721T11</t>
        </is>
      </c>
      <c r="D128" s="44" t="inlineStr">
        <is>
          <t>nan</t>
        </is>
      </c>
      <c r="E128" s="44" t="inlineStr">
        <is>
          <t>nan</t>
        </is>
      </c>
      <c r="F128" s="44" t="n"/>
      <c r="G128" s="44" t="n"/>
      <c r="H128" s="15" t="n"/>
      <c r="I128" s="45" t="n">
        <v>2785600</v>
      </c>
      <c r="J128" s="45" t="n">
        <v>2650620.72</v>
      </c>
      <c r="K128" s="45" t="n">
        <v>1755100</v>
      </c>
      <c r="L128" s="45" t="n">
        <v>1685359.85</v>
      </c>
      <c r="M128" s="45" t="n">
        <v>0</v>
      </c>
      <c r="N128" s="45" t="n">
        <v>0</v>
      </c>
      <c r="O128" s="45" t="n">
        <v>555055.5271623447</v>
      </c>
      <c r="P128" s="45" t="n">
        <v>533000</v>
      </c>
      <c r="Q128" s="45" t="n">
        <v>0</v>
      </c>
      <c r="R128" s="45" t="n">
        <v>0</v>
      </c>
      <c r="S128" s="45" t="n">
        <v>2310155.527162345</v>
      </c>
      <c r="T128" s="45" t="n">
        <v>2218359.85</v>
      </c>
      <c r="U128" s="15" t="n">
        <v>2.08</v>
      </c>
      <c r="V128" s="15" t="n">
        <v>4.203263999999995</v>
      </c>
      <c r="W128" s="49" t="n">
        <v>96.02642869352174</v>
      </c>
    </row>
    <row r="129">
      <c r="A129" s="44" t="inlineStr">
        <is>
          <t>TL Cinsi TUFE Endeksli Senetler</t>
        </is>
      </c>
      <c r="B129" s="44" t="n">
        <v>2012</v>
      </c>
      <c r="C129" s="44" t="inlineStr">
        <is>
          <t>TRT210721T11</t>
        </is>
      </c>
      <c r="D129" s="44" t="inlineStr">
        <is>
          <t>nan</t>
        </is>
      </c>
      <c r="E129" s="44" t="inlineStr">
        <is>
          <t>nan</t>
        </is>
      </c>
      <c r="F129" s="44" t="n"/>
      <c r="G129" s="44" t="n"/>
      <c r="H129" s="15" t="n"/>
      <c r="I129" s="45" t="n">
        <v>5381069.71</v>
      </c>
      <c r="J129" s="45" t="n">
        <v>5309007.82519</v>
      </c>
      <c r="K129" s="45" t="n">
        <v>1597000</v>
      </c>
      <c r="L129" s="45" t="n">
        <v>1586449.74</v>
      </c>
      <c r="M129" s="45" t="n">
        <v>1258317.478533104</v>
      </c>
      <c r="N129" s="45" t="n">
        <v>1250000</v>
      </c>
      <c r="O129" s="45" t="n">
        <v>740003.925950533</v>
      </c>
      <c r="P129" s="45" t="n">
        <v>735112.5</v>
      </c>
      <c r="Q129" s="45" t="n">
        <v>399300</v>
      </c>
      <c r="R129" s="45" t="n">
        <v>396660.627</v>
      </c>
      <c r="S129" s="45" t="n">
        <v>3994621.404483637</v>
      </c>
      <c r="T129" s="45" t="n">
        <v>3968222.867</v>
      </c>
      <c r="U129" s="15" t="n">
        <v>1.85</v>
      </c>
      <c r="V129" s="15" t="n">
        <v>3.73</v>
      </c>
      <c r="W129" s="49" t="n">
        <v>99.339</v>
      </c>
    </row>
    <row r="130">
      <c r="A130" s="44" t="inlineStr">
        <is>
          <t>TL Cinsi TUFE Endeksli Senetler</t>
        </is>
      </c>
      <c r="B130" s="44" t="n">
        <v>2012</v>
      </c>
      <c r="C130" s="44" t="inlineStr">
        <is>
          <t>TRT230222T13</t>
        </is>
      </c>
      <c r="D130" s="44" t="inlineStr">
        <is>
          <t>nan</t>
        </is>
      </c>
      <c r="E130" s="44" t="inlineStr">
        <is>
          <t>nan</t>
        </is>
      </c>
      <c r="F130" s="44" t="n"/>
      <c r="G130" s="44" t="n"/>
      <c r="H130" s="15" t="n"/>
      <c r="I130" s="45" t="n">
        <v>2833621</v>
      </c>
      <c r="J130" s="45" t="n">
        <v>2690657.49098</v>
      </c>
      <c r="K130" s="45" t="n">
        <v>1473635</v>
      </c>
      <c r="L130" s="45" t="n">
        <v>1406058.6461</v>
      </c>
      <c r="M130" s="45" t="n">
        <v>230574.1295826608</v>
      </c>
      <c r="N130" s="45" t="n">
        <v>220000</v>
      </c>
      <c r="O130" s="45" t="n">
        <v>595588.6976753935</v>
      </c>
      <c r="P130" s="45" t="n">
        <v>568275</v>
      </c>
      <c r="Q130" s="45" t="n">
        <v>55408.135</v>
      </c>
      <c r="R130" s="45" t="n">
        <v>52867.1179289</v>
      </c>
      <c r="S130" s="45" t="n">
        <v>2355205.962258054</v>
      </c>
      <c r="T130" s="45" t="n">
        <v>2247200.7640289</v>
      </c>
      <c r="U130" s="15" t="n">
        <v>1.77</v>
      </c>
      <c r="V130" s="15" t="n">
        <v>3.58</v>
      </c>
      <c r="W130" s="49" t="n">
        <v>95.414</v>
      </c>
    </row>
    <row r="131">
      <c r="A131" s="44" t="inlineStr">
        <is>
          <t>TL Cinsi TUFE Endeksli Senetler</t>
        </is>
      </c>
      <c r="B131" s="44" t="n">
        <v>2012</v>
      </c>
      <c r="C131" s="44" t="inlineStr">
        <is>
          <t>TRT230222T13</t>
        </is>
      </c>
      <c r="D131" s="44" t="inlineStr">
        <is>
          <t>nan</t>
        </is>
      </c>
      <c r="E131" s="44" t="inlineStr">
        <is>
          <t>nan</t>
        </is>
      </c>
      <c r="F131" s="44" t="n"/>
      <c r="G131" s="44" t="n"/>
      <c r="H131" s="15" t="n"/>
      <c r="I131" s="45" t="n">
        <v>2383020.75</v>
      </c>
      <c r="J131" s="45" t="n">
        <v>2305326.66854</v>
      </c>
      <c r="K131" s="45" t="n">
        <v>1674444.23</v>
      </c>
      <c r="L131" s="45" t="n">
        <v>1627356.43334</v>
      </c>
      <c r="M131" s="45" t="n">
        <v>354982.0965551303</v>
      </c>
      <c r="N131" s="45" t="n">
        <v>345000</v>
      </c>
      <c r="O131" s="45" t="n">
        <v>1052691.69033214</v>
      </c>
      <c r="P131" s="45" t="n">
        <v>1023090</v>
      </c>
      <c r="Q131" s="45" t="n">
        <v>45023.253</v>
      </c>
      <c r="R131" s="45" t="n">
        <v>43757.19912564</v>
      </c>
      <c r="S131" s="45" t="n">
        <v>3127141.26988727</v>
      </c>
      <c r="T131" s="45" t="n">
        <v>3039203.63246564</v>
      </c>
      <c r="U131" s="15" t="n">
        <v>1.73</v>
      </c>
      <c r="V131" s="15" t="n">
        <v>3.5</v>
      </c>
      <c r="W131" s="49" t="n">
        <v>97.188</v>
      </c>
    </row>
    <row r="132">
      <c r="A132" s="44" t="inlineStr">
        <is>
          <t>TL Cinsi TUFE Endeksli Senetler</t>
        </is>
      </c>
      <c r="B132" s="44" t="n">
        <v>2012</v>
      </c>
      <c r="C132" s="44" t="inlineStr">
        <is>
          <t>TRT230222T13</t>
        </is>
      </c>
      <c r="D132" s="44" t="inlineStr">
        <is>
          <t>nan</t>
        </is>
      </c>
      <c r="E132" s="44" t="inlineStr">
        <is>
          <t>nan</t>
        </is>
      </c>
      <c r="F132" s="44" t="n"/>
      <c r="G132" s="44" t="n"/>
      <c r="H132" s="15" t="n"/>
      <c r="I132" s="45" t="n">
        <v>3328445</v>
      </c>
      <c r="J132" s="45" t="n">
        <v>3517059.30436</v>
      </c>
      <c r="K132" s="45" t="n">
        <v>1819766</v>
      </c>
      <c r="L132" s="45" t="n">
        <v>1928894.43338</v>
      </c>
      <c r="M132" s="45" t="n">
        <v>1292489.410077644</v>
      </c>
      <c r="N132" s="45" t="n">
        <v>1370000</v>
      </c>
      <c r="O132" s="45" t="n">
        <v>1205104.861458343</v>
      </c>
      <c r="P132" s="45" t="n">
        <v>1277375</v>
      </c>
      <c r="Q132" s="45" t="n">
        <v>0</v>
      </c>
      <c r="R132" s="45" t="n">
        <v>0</v>
      </c>
      <c r="S132" s="45" t="n">
        <v>4317360.271535987</v>
      </c>
      <c r="T132" s="45" t="n">
        <v>4576269.43338</v>
      </c>
      <c r="U132" s="15" t="n">
        <v>1.38</v>
      </c>
      <c r="V132" s="15" t="n">
        <v>2.78</v>
      </c>
      <c r="W132" s="49" t="n">
        <v>105.997</v>
      </c>
    </row>
    <row r="133">
      <c r="A133" s="44" t="inlineStr">
        <is>
          <t>TL Cinsi TUFE Endeksli Senetler</t>
        </is>
      </c>
      <c r="B133" s="44" t="n">
        <v>2012</v>
      </c>
      <c r="C133" s="44" t="inlineStr">
        <is>
          <t>TRT261022T10</t>
        </is>
      </c>
      <c r="D133" s="44" t="inlineStr">
        <is>
          <t>nan</t>
        </is>
      </c>
      <c r="E133" s="44" t="inlineStr">
        <is>
          <t>nan</t>
        </is>
      </c>
      <c r="F133" s="44" t="n"/>
      <c r="G133" s="44" t="n"/>
      <c r="H133" s="15" t="n"/>
      <c r="I133" s="45" t="n">
        <v>4687102.86</v>
      </c>
      <c r="J133" s="45" t="n">
        <v>4773647.49737</v>
      </c>
      <c r="K133" s="45" t="n">
        <v>853003</v>
      </c>
      <c r="L133" s="45" t="n">
        <v>877481.26864</v>
      </c>
      <c r="M133" s="45" t="n">
        <v>2119179.547001069</v>
      </c>
      <c r="N133" s="45" t="n">
        <v>2180000</v>
      </c>
      <c r="O133" s="45" t="n">
        <v>321808.1073199183</v>
      </c>
      <c r="P133" s="45" t="n">
        <v>331044</v>
      </c>
      <c r="Q133" s="45" t="n">
        <v>77018.85799999999</v>
      </c>
      <c r="R133" s="45" t="n">
        <v>79229.29922460001</v>
      </c>
      <c r="S133" s="45" t="n">
        <v>3371009.512320988</v>
      </c>
      <c r="T133" s="45" t="n">
        <v>3467754.5678646</v>
      </c>
      <c r="U133" s="15" t="n">
        <v>0.84</v>
      </c>
      <c r="V133" s="15" t="n">
        <v>1.69</v>
      </c>
      <c r="W133" s="49" t="n">
        <v>102.87</v>
      </c>
    </row>
    <row r="134">
      <c r="A134" s="44" t="inlineStr">
        <is>
          <t>TL Cinsi TUFE Endeksli Senetler</t>
        </is>
      </c>
      <c r="B134" s="44" t="n">
        <v>2011</v>
      </c>
      <c r="C134" s="44" t="inlineStr">
        <is>
          <t>TRT060121T16</t>
        </is>
      </c>
      <c r="D134" s="44" t="inlineStr">
        <is>
          <t>nan</t>
        </is>
      </c>
      <c r="E134" s="44" t="inlineStr">
        <is>
          <t>nan</t>
        </is>
      </c>
      <c r="F134" s="44" t="n"/>
      <c r="G134" s="44" t="n"/>
      <c r="H134" s="15" t="n"/>
      <c r="I134" s="45" t="n">
        <v>4087755.211</v>
      </c>
      <c r="J134" s="45" t="n">
        <v>4081548.06536</v>
      </c>
      <c r="K134" s="45" t="n">
        <v>2198830</v>
      </c>
      <c r="L134" s="45" t="n">
        <v>2229891.8867</v>
      </c>
      <c r="M134" s="45" t="n">
        <v>197213.3750110933</v>
      </c>
      <c r="N134" s="45" t="n">
        <v>200000</v>
      </c>
      <c r="O134" s="45" t="n">
        <v>699326.0232908996</v>
      </c>
      <c r="P134" s="45" t="n">
        <v>709207.5</v>
      </c>
      <c r="Q134" s="45" t="n">
        <v>233878.956</v>
      </c>
      <c r="R134" s="45" t="n">
        <v>237183.66564828</v>
      </c>
      <c r="S134" s="45" t="n">
        <v>3329248.354301993</v>
      </c>
      <c r="T134" s="45" t="n">
        <v>3376283.05234828</v>
      </c>
      <c r="U134" s="15" t="n">
        <v>1.42</v>
      </c>
      <c r="V134" s="15" t="n">
        <v>2.860163999999998</v>
      </c>
      <c r="W134" s="49" t="n">
        <v>101.413</v>
      </c>
    </row>
    <row r="135">
      <c r="A135" s="44" t="inlineStr">
        <is>
          <t>TL Cinsi TUFE Endeksli Senetler</t>
        </is>
      </c>
      <c r="B135" s="44" t="n">
        <v>2011</v>
      </c>
      <c r="C135" s="44" t="inlineStr">
        <is>
          <t>TRT060121T16</t>
        </is>
      </c>
      <c r="D135" s="44" t="inlineStr">
        <is>
          <t>nan</t>
        </is>
      </c>
      <c r="E135" s="44" t="inlineStr">
        <is>
          <t>nan</t>
        </is>
      </c>
      <c r="F135" s="44" t="n"/>
      <c r="G135" s="44" t="n"/>
      <c r="H135" s="15" t="n"/>
      <c r="I135" s="45" t="n">
        <v>1831430.145</v>
      </c>
      <c r="J135" s="45" t="n">
        <v>1854076.68291</v>
      </c>
      <c r="K135" s="45" t="n">
        <v>815200.145</v>
      </c>
      <c r="L135" s="45" t="n">
        <v>828654.96347</v>
      </c>
      <c r="M135" s="45" t="n">
        <v>757501.2297097885</v>
      </c>
      <c r="N135" s="45" t="n">
        <v>770000</v>
      </c>
      <c r="O135" s="45" t="n">
        <v>320363.994097393</v>
      </c>
      <c r="P135" s="45" t="n">
        <v>325650</v>
      </c>
      <c r="Q135" s="45" t="n">
        <v>76318.36599999999</v>
      </c>
      <c r="R135" s="45" t="n">
        <v>77577.619039</v>
      </c>
      <c r="S135" s="45" t="n">
        <v>1969383.734807181</v>
      </c>
      <c r="T135" s="45" t="n">
        <v>2001882.582509</v>
      </c>
      <c r="U135" s="15" t="n">
        <v>1.41</v>
      </c>
      <c r="V135" s="15" t="n">
        <v>2.839881000000011</v>
      </c>
      <c r="W135" s="49" t="n">
        <v>101.65</v>
      </c>
    </row>
    <row r="136">
      <c r="A136" s="44" t="inlineStr">
        <is>
          <t>TL Cinsi TUFE Endeksli Senetler</t>
        </is>
      </c>
      <c r="B136" s="44" t="n">
        <v>2011</v>
      </c>
      <c r="C136" s="44" t="inlineStr">
        <is>
          <t>TRT060121T16</t>
        </is>
      </c>
      <c r="D136" s="44" t="inlineStr">
        <is>
          <t>nan</t>
        </is>
      </c>
      <c r="E136" s="44" t="inlineStr">
        <is>
          <t>nan</t>
        </is>
      </c>
      <c r="F136" s="44" t="n"/>
      <c r="G136" s="44" t="n"/>
      <c r="H136" s="15" t="n"/>
      <c r="I136" s="45" t="n">
        <v>1801320</v>
      </c>
      <c r="J136" s="45" t="n">
        <v>1841398.33</v>
      </c>
      <c r="K136" s="45" t="n">
        <v>1032600</v>
      </c>
      <c r="L136" s="45" t="n">
        <v>1058170.735</v>
      </c>
      <c r="M136" s="45" t="n">
        <v>487919.1225262501</v>
      </c>
      <c r="N136" s="45" t="n">
        <v>500000</v>
      </c>
      <c r="O136" s="45" t="n">
        <v>490924.7043210117</v>
      </c>
      <c r="P136" s="45" t="n">
        <v>503080</v>
      </c>
      <c r="Q136" s="45" t="n">
        <v>199340.175</v>
      </c>
      <c r="R136" s="45" t="n">
        <v>204275.837733</v>
      </c>
      <c r="S136" s="45" t="n">
        <v>2210784.001847262</v>
      </c>
      <c r="T136" s="45" t="n">
        <v>2265526.572733</v>
      </c>
      <c r="U136" s="15" t="n">
        <v>1.42</v>
      </c>
      <c r="V136" s="15" t="n">
        <v>2.860163999999998</v>
      </c>
      <c r="W136" s="49" t="n">
        <v>102.476</v>
      </c>
    </row>
    <row r="137">
      <c r="A137" s="44" t="inlineStr">
        <is>
          <t>TL Cinsi TUFE Endeksli Senetler</t>
        </is>
      </c>
      <c r="B137" s="44" t="n">
        <v>2011</v>
      </c>
      <c r="C137" s="44" t="inlineStr">
        <is>
          <t>TRT040516T11</t>
        </is>
      </c>
      <c r="D137" s="44" t="inlineStr">
        <is>
          <t>nan</t>
        </is>
      </c>
      <c r="E137" s="44" t="inlineStr">
        <is>
          <t>nan</t>
        </is>
      </c>
      <c r="F137" s="44" t="n"/>
      <c r="G137" s="44" t="n"/>
      <c r="H137" s="15" t="n"/>
      <c r="I137" s="45" t="n">
        <v>1202205</v>
      </c>
      <c r="J137" s="45" t="n">
        <v>1210518.12405</v>
      </c>
      <c r="K137" s="45" t="n">
        <v>581505</v>
      </c>
      <c r="L137" s="45" t="n">
        <v>586783.17905</v>
      </c>
      <c r="M137" s="45" t="n">
        <v>0</v>
      </c>
      <c r="N137" s="45" t="n">
        <v>0</v>
      </c>
      <c r="O137" s="45" t="n">
        <v>499088.2784318389</v>
      </c>
      <c r="P137" s="45" t="n">
        <v>503620</v>
      </c>
      <c r="Q137" s="45" t="n">
        <v>59648.362</v>
      </c>
      <c r="R137" s="45" t="n">
        <v>60189.96912696</v>
      </c>
      <c r="S137" s="45" t="n">
        <v>1140241.640431839</v>
      </c>
      <c r="T137" s="45" t="n">
        <v>1150593.14817696</v>
      </c>
      <c r="U137" s="15" t="n">
        <v>1.15</v>
      </c>
      <c r="V137" s="15" t="n">
        <v>2.323225000000019</v>
      </c>
      <c r="W137" s="49" t="n">
        <v>100.908</v>
      </c>
    </row>
    <row r="138">
      <c r="A138" s="44" t="inlineStr">
        <is>
          <t>TL Cinsi TUFE Endeksli Senetler</t>
        </is>
      </c>
      <c r="B138" s="44" t="n">
        <v>2011</v>
      </c>
      <c r="C138" s="44" t="inlineStr">
        <is>
          <t>TRT210721T11</t>
        </is>
      </c>
      <c r="D138" s="44" t="inlineStr">
        <is>
          <t>nan</t>
        </is>
      </c>
      <c r="E138" s="44" t="inlineStr">
        <is>
          <t>nan</t>
        </is>
      </c>
      <c r="F138" s="44" t="n"/>
      <c r="G138" s="44" t="n"/>
      <c r="H138" s="15" t="n"/>
      <c r="I138" s="45" t="n">
        <v>764938.6</v>
      </c>
      <c r="J138" s="45" t="n">
        <v>738983.97668</v>
      </c>
      <c r="K138" s="45" t="n">
        <v>529017.875</v>
      </c>
      <c r="L138" s="45" t="n">
        <v>512885.96105</v>
      </c>
      <c r="M138" s="45" t="n">
        <v>0</v>
      </c>
      <c r="N138" s="45" t="n">
        <v>0</v>
      </c>
      <c r="O138" s="45" t="n">
        <v>748702.9530381327</v>
      </c>
      <c r="P138" s="45" t="n">
        <v>725875</v>
      </c>
      <c r="Q138" s="45" t="n">
        <v>20800</v>
      </c>
      <c r="R138" s="45" t="n">
        <v>20165.808</v>
      </c>
      <c r="S138" s="45" t="n">
        <v>1298520.828038133</v>
      </c>
      <c r="T138" s="45" t="n">
        <v>1258926.76905</v>
      </c>
      <c r="U138" s="15" t="n">
        <v>1.68</v>
      </c>
      <c r="V138" s="15" t="n">
        <v>3.388223999999984</v>
      </c>
      <c r="W138" s="49" t="n">
        <v>96.95099999999999</v>
      </c>
    </row>
    <row r="139">
      <c r="A139" s="44" t="inlineStr">
        <is>
          <t>TL Cinsi TUFE Endeksli Senetler</t>
        </is>
      </c>
      <c r="B139" s="44" t="n">
        <v>2011</v>
      </c>
      <c r="C139" s="44" t="inlineStr">
        <is>
          <t>TRT040516T11</t>
        </is>
      </c>
      <c r="D139" s="44" t="inlineStr">
        <is>
          <t>nan</t>
        </is>
      </c>
      <c r="E139" s="44" t="inlineStr">
        <is>
          <t>nan</t>
        </is>
      </c>
      <c r="F139" s="44" t="n"/>
      <c r="G139" s="44" t="n"/>
      <c r="H139" s="15" t="n"/>
      <c r="I139" s="45" t="n">
        <v>526548.245</v>
      </c>
      <c r="J139" s="45" t="n">
        <v>538151.95527</v>
      </c>
      <c r="K139" s="45" t="n">
        <v>310666.245</v>
      </c>
      <c r="L139" s="45" t="n">
        <v>319326.38519</v>
      </c>
      <c r="M139" s="45" t="n">
        <v>486438.1056154415</v>
      </c>
      <c r="N139" s="45" t="n">
        <v>500000</v>
      </c>
      <c r="O139" s="45" t="n">
        <v>526326.0302759077</v>
      </c>
      <c r="P139" s="45" t="n">
        <v>541000</v>
      </c>
      <c r="Q139" s="45" t="n">
        <v>0</v>
      </c>
      <c r="R139" s="45" t="n">
        <v>0</v>
      </c>
      <c r="S139" s="45" t="n">
        <v>1323430.380891349</v>
      </c>
      <c r="T139" s="45" t="n">
        <v>1360326.38519</v>
      </c>
      <c r="U139" s="15" t="n">
        <v>1.26</v>
      </c>
      <c r="V139" s="15" t="n">
        <v>2.535875999999981</v>
      </c>
      <c r="W139" s="49" t="n">
        <v>102.788</v>
      </c>
    </row>
    <row r="140">
      <c r="A140" s="44" t="inlineStr">
        <is>
          <t>TL Cinsi TUFE Endeksli Senetler</t>
        </is>
      </c>
      <c r="B140" s="44" t="n">
        <v>2010</v>
      </c>
      <c r="C140" s="44" t="inlineStr">
        <is>
          <t>TRT110215T16</t>
        </is>
      </c>
      <c r="D140" s="44" t="inlineStr">
        <is>
          <t>nan</t>
        </is>
      </c>
      <c r="E140" s="44" t="inlineStr">
        <is>
          <t>nan</t>
        </is>
      </c>
      <c r="F140" s="44" t="n"/>
      <c r="G140" s="44" t="n"/>
      <c r="H140" s="15" t="n"/>
      <c r="I140" s="45" t="n">
        <v>4572081.34</v>
      </c>
      <c r="J140" s="45" t="n">
        <v>4727902.19977</v>
      </c>
      <c r="K140" s="45" t="n">
        <v>1966500</v>
      </c>
      <c r="L140" s="45" t="n">
        <v>2040823.525</v>
      </c>
      <c r="M140" s="45" t="n">
        <v>578151.6490041339</v>
      </c>
      <c r="N140" s="45" t="n">
        <v>599999.99982</v>
      </c>
      <c r="O140" s="45" t="n">
        <v>1216069.725088891</v>
      </c>
      <c r="P140" s="45" t="n">
        <v>1262025</v>
      </c>
      <c r="Q140" s="45" t="n">
        <v>517922.993</v>
      </c>
      <c r="R140" s="45" t="n">
        <v>537495.30290547</v>
      </c>
      <c r="S140" s="45" t="n">
        <v>4278644.367093025</v>
      </c>
      <c r="T140" s="45" t="n">
        <v>4440343.82772547</v>
      </c>
      <c r="U140" s="15" t="n">
        <v>1.83</v>
      </c>
      <c r="V140" s="15" t="n">
        <v>3.703488999999994</v>
      </c>
      <c r="W140" s="49" t="n">
        <v>103.779</v>
      </c>
    </row>
    <row r="141">
      <c r="A141" s="44" t="inlineStr">
        <is>
          <t>TL Cinsi TUFE Endeksli Senetler</t>
        </is>
      </c>
      <c r="B141" s="44" t="n">
        <v>2010</v>
      </c>
      <c r="C141" s="44" t="inlineStr">
        <is>
          <t>TRT110215T16</t>
        </is>
      </c>
      <c r="D141" s="44" t="inlineStr">
        <is>
          <t>nan</t>
        </is>
      </c>
      <c r="E141" s="44" t="inlineStr">
        <is>
          <t>nan</t>
        </is>
      </c>
      <c r="F141" s="44" t="n"/>
      <c r="G141" s="44" t="n"/>
      <c r="H141" s="15" t="n"/>
      <c r="I141" s="45" t="n">
        <v>2540214.16</v>
      </c>
      <c r="J141" s="45" t="n">
        <v>2647528.62874</v>
      </c>
      <c r="K141" s="45" t="n">
        <v>1458066</v>
      </c>
      <c r="L141" s="45" t="n">
        <v>1521858.32003</v>
      </c>
      <c r="M141" s="45" t="n">
        <v>402395.2095808383</v>
      </c>
      <c r="N141" s="45" t="n">
        <v>420000</v>
      </c>
      <c r="O141" s="45" t="n">
        <v>2135652.215568862</v>
      </c>
      <c r="P141" s="45" t="n">
        <v>2229087</v>
      </c>
      <c r="Q141" s="45" t="n">
        <v>228296.582</v>
      </c>
      <c r="R141" s="45" t="n">
        <v>238284.5574625</v>
      </c>
      <c r="S141" s="45" t="n">
        <v>4224410.0071497</v>
      </c>
      <c r="T141" s="45" t="n">
        <v>4409229.8774925</v>
      </c>
      <c r="U141" s="15" t="n">
        <v>1.83</v>
      </c>
      <c r="V141" s="15" t="n">
        <v>3.693488999999994</v>
      </c>
      <c r="W141" s="49" t="n">
        <v>104.375</v>
      </c>
    </row>
    <row r="142">
      <c r="A142" s="44" t="inlineStr">
        <is>
          <t>TL Cinsi TUFE Endeksli Senetler</t>
        </is>
      </c>
      <c r="B142" s="44" t="n">
        <v>2010</v>
      </c>
      <c r="C142" s="44" t="inlineStr">
        <is>
          <t>TRT010420T19</t>
        </is>
      </c>
      <c r="D142" s="44" t="inlineStr">
        <is>
          <t>nan</t>
        </is>
      </c>
      <c r="E142" s="44" t="inlineStr">
        <is>
          <t>nan</t>
        </is>
      </c>
      <c r="F142" s="44" t="n"/>
      <c r="G142" s="44" t="n"/>
      <c r="H142" s="15" t="n"/>
      <c r="I142" s="45" t="n">
        <v>1878263.26</v>
      </c>
      <c r="J142" s="45" t="n">
        <v>1825885.73404</v>
      </c>
      <c r="K142" s="45" t="n">
        <v>1246924.42</v>
      </c>
      <c r="L142" s="45" t="n">
        <v>1222510.60465</v>
      </c>
      <c r="M142" s="45" t="n">
        <v>509985.5164113339</v>
      </c>
      <c r="N142" s="45" t="n">
        <v>500000</v>
      </c>
      <c r="O142" s="45" t="n">
        <v>1017031.272311866</v>
      </c>
      <c r="P142" s="45" t="n">
        <v>997117.8</v>
      </c>
      <c r="Q142" s="45" t="n">
        <v>230907.484</v>
      </c>
      <c r="R142" s="45" t="n">
        <v>226386.31546328</v>
      </c>
      <c r="S142" s="45" t="n">
        <v>3004848.6927232</v>
      </c>
      <c r="T142" s="45" t="n">
        <v>2946014.72011328</v>
      </c>
      <c r="U142" s="15" t="n">
        <v>2.12</v>
      </c>
      <c r="V142" s="15" t="n">
        <v>4.294944000000013</v>
      </c>
      <c r="W142" s="49" t="n">
        <v>98.042</v>
      </c>
    </row>
    <row r="143">
      <c r="A143" s="44" t="inlineStr">
        <is>
          <t>TL Cinsi TUFE Endeksli Senetler</t>
        </is>
      </c>
      <c r="B143" s="44" t="n">
        <v>2010</v>
      </c>
      <c r="C143" s="44" t="inlineStr">
        <is>
          <t>TRT290415T14</t>
        </is>
      </c>
      <c r="D143" s="44" t="inlineStr">
        <is>
          <t>nan</t>
        </is>
      </c>
      <c r="E143" s="44" t="inlineStr">
        <is>
          <t>nan</t>
        </is>
      </c>
      <c r="F143" s="44" t="n"/>
      <c r="G143" s="44" t="n"/>
      <c r="H143" s="15" t="n"/>
      <c r="I143" s="45" t="n">
        <v>2891962.9</v>
      </c>
      <c r="J143" s="45" t="n">
        <v>2904174.95382</v>
      </c>
      <c r="K143" s="45" t="n">
        <v>1378792.33</v>
      </c>
      <c r="L143" s="45" t="n">
        <v>1389623.70494</v>
      </c>
      <c r="M143" s="45" t="n">
        <v>297660.3893397893</v>
      </c>
      <c r="N143" s="45" t="n">
        <v>300000</v>
      </c>
      <c r="O143" s="45" t="n">
        <v>1876686.742206259</v>
      </c>
      <c r="P143" s="45" t="n">
        <v>1891437.5</v>
      </c>
      <c r="Q143" s="45" t="n">
        <v>204307.347</v>
      </c>
      <c r="R143" s="45" t="n">
        <v>205913.20274742</v>
      </c>
      <c r="S143" s="45" t="n">
        <v>3757446.808546048</v>
      </c>
      <c r="T143" s="45" t="n">
        <v>3786974.40768742</v>
      </c>
      <c r="U143" s="15" t="n">
        <v>1.91</v>
      </c>
      <c r="V143" s="15" t="n">
        <v>3.856480999999978</v>
      </c>
      <c r="W143" s="49" t="n">
        <v>100.786</v>
      </c>
    </row>
    <row r="144">
      <c r="A144" s="44" t="inlineStr">
        <is>
          <t>TL Cinsi TUFE Endeksli Senetler</t>
        </is>
      </c>
      <c r="B144" s="44" t="n">
        <v>2010</v>
      </c>
      <c r="C144" s="44" t="inlineStr">
        <is>
          <t>TRT290415T14</t>
        </is>
      </c>
      <c r="D144" s="44" t="inlineStr">
        <is>
          <t>nan</t>
        </is>
      </c>
      <c r="E144" s="44" t="inlineStr">
        <is>
          <t>nan</t>
        </is>
      </c>
      <c r="F144" s="44" t="n"/>
      <c r="G144" s="44" t="n"/>
      <c r="H144" s="15" t="n"/>
      <c r="I144" s="45" t="n">
        <v>5138472.14</v>
      </c>
      <c r="J144" s="45" t="n">
        <v>5243210.42255</v>
      </c>
      <c r="K144" s="45" t="n">
        <v>918109.33</v>
      </c>
      <c r="L144" s="45" t="n">
        <v>942015.2120000001</v>
      </c>
      <c r="M144" s="45" t="n">
        <v>1754317.570465089</v>
      </c>
      <c r="N144" s="45" t="n">
        <v>1800000</v>
      </c>
      <c r="O144" s="45" t="n">
        <v>531485.127285486</v>
      </c>
      <c r="P144" s="45" t="n">
        <v>545325</v>
      </c>
      <c r="Q144" s="45" t="n">
        <v>200343.066</v>
      </c>
      <c r="R144" s="45" t="n">
        <v>205559.99943864</v>
      </c>
      <c r="S144" s="45" t="n">
        <v>3404255.093750575</v>
      </c>
      <c r="T144" s="45" t="n">
        <v>3492900.21143864</v>
      </c>
      <c r="U144" s="15" t="n">
        <v>1.88</v>
      </c>
      <c r="V144" s="15" t="n">
        <v>3.785343999999989</v>
      </c>
      <c r="W144" s="49" t="n">
        <v>102.604</v>
      </c>
    </row>
    <row r="145">
      <c r="A145" s="44" t="inlineStr">
        <is>
          <t>TL Cinsi TUFE Endeksli Senetler</t>
        </is>
      </c>
      <c r="B145" s="44" t="n">
        <v>2010</v>
      </c>
      <c r="C145" s="44" t="inlineStr">
        <is>
          <t>TRT010420T19</t>
        </is>
      </c>
      <c r="D145" s="44" t="inlineStr">
        <is>
          <t>nan</t>
        </is>
      </c>
      <c r="E145" s="44" t="inlineStr">
        <is>
          <t>nan</t>
        </is>
      </c>
      <c r="F145" s="44" t="n"/>
      <c r="G145" s="44" t="n"/>
      <c r="H145" s="15" t="n"/>
      <c r="I145" s="45" t="n">
        <v>1609425</v>
      </c>
      <c r="J145" s="45" t="n">
        <v>1628688.887</v>
      </c>
      <c r="K145" s="45" t="n">
        <v>934025</v>
      </c>
      <c r="L145" s="45" t="n">
        <v>948399.09</v>
      </c>
      <c r="M145" s="45" t="n">
        <v>295452.9786584465</v>
      </c>
      <c r="N145" s="45" t="n">
        <v>300000</v>
      </c>
      <c r="O145" s="45" t="n">
        <v>968849.4076167777</v>
      </c>
      <c r="P145" s="45" t="n">
        <v>983760</v>
      </c>
      <c r="Q145" s="45" t="n">
        <v>0</v>
      </c>
      <c r="R145" s="45" t="n">
        <v>0</v>
      </c>
      <c r="S145" s="45" t="n">
        <v>2198327.386275224</v>
      </c>
      <c r="T145" s="45" t="n">
        <v>2232159.09</v>
      </c>
      <c r="U145" s="15" t="n">
        <v>2.08</v>
      </c>
      <c r="V145" s="15" t="n">
        <v>4.193263999999995</v>
      </c>
      <c r="W145" s="49" t="n">
        <v>101.539</v>
      </c>
    </row>
    <row r="146">
      <c r="A146" s="44" t="inlineStr">
        <is>
          <t>TL Cinsi TUFE Endeksli Senetler</t>
        </is>
      </c>
      <c r="B146" s="44" t="n">
        <v>2010</v>
      </c>
      <c r="C146" s="44" t="inlineStr">
        <is>
          <t>TRT010420T19</t>
        </is>
      </c>
      <c r="D146" s="44" t="inlineStr">
        <is>
          <t>nan</t>
        </is>
      </c>
      <c r="E146" s="44" t="inlineStr">
        <is>
          <t>nan</t>
        </is>
      </c>
      <c r="F146" s="44" t="n"/>
      <c r="G146" s="44" t="n"/>
      <c r="H146" s="15" t="n"/>
      <c r="I146" s="45" t="n">
        <v>4775192</v>
      </c>
      <c r="J146" s="45" t="n">
        <v>5794000.92465</v>
      </c>
      <c r="K146" s="45" t="n">
        <v>1730000</v>
      </c>
      <c r="L146" s="45" t="n">
        <v>2113221.3</v>
      </c>
      <c r="M146" s="45" t="n">
        <v>163730.4342131115</v>
      </c>
      <c r="N146" s="45" t="n">
        <v>200000</v>
      </c>
      <c r="O146" s="45" t="n">
        <v>638757.4497347567</v>
      </c>
      <c r="P146" s="45" t="n">
        <v>780255</v>
      </c>
      <c r="Q146" s="45" t="n">
        <v>0</v>
      </c>
      <c r="R146" s="45" t="n">
        <v>0</v>
      </c>
      <c r="S146" s="45" t="n">
        <v>2532487.883947868</v>
      </c>
      <c r="T146" s="45" t="n">
        <v>3093476.3</v>
      </c>
      <c r="U146" s="15" t="n">
        <v>0.89</v>
      </c>
      <c r="V146" s="15" t="n">
        <v>1.78</v>
      </c>
      <c r="W146" s="49" t="n">
        <v>122.152</v>
      </c>
    </row>
    <row r="147">
      <c r="A147" s="44" t="inlineStr">
        <is>
          <t>TL Cinsi TUFE Endeksli Senetler</t>
        </is>
      </c>
      <c r="B147" s="44" t="n">
        <v>2009</v>
      </c>
      <c r="C147" s="44" t="inlineStr">
        <is>
          <t>TRT140813T19</t>
        </is>
      </c>
      <c r="D147" s="44" t="inlineStr">
        <is>
          <t>nan</t>
        </is>
      </c>
      <c r="E147" s="44" t="inlineStr">
        <is>
          <t>nan</t>
        </is>
      </c>
      <c r="F147" s="44" t="n"/>
      <c r="G147" s="44" t="n"/>
      <c r="H147" s="15" t="n"/>
      <c r="I147" s="45" t="n">
        <v>2086191.023</v>
      </c>
      <c r="J147" s="45" t="n">
        <v>2021909.31217</v>
      </c>
      <c r="K147" s="45" t="n">
        <v>370178</v>
      </c>
      <c r="L147" s="45" t="n">
        <v>365165.78988</v>
      </c>
      <c r="M147" s="45" t="n">
        <v>582892.3625894613</v>
      </c>
      <c r="N147" s="45" t="n">
        <v>575000</v>
      </c>
      <c r="O147" s="45" t="n">
        <v>307507.6536301522</v>
      </c>
      <c r="P147" s="45" t="n">
        <v>303344</v>
      </c>
      <c r="Q147" s="45" t="n">
        <v>0</v>
      </c>
      <c r="R147" s="45" t="n">
        <v>0</v>
      </c>
      <c r="S147" s="45" t="n">
        <v>1334358.016219614</v>
      </c>
      <c r="T147" s="45" t="n">
        <v>1316290.80868</v>
      </c>
      <c r="U147" s="15" t="n">
        <v>6.76</v>
      </c>
      <c r="V147" s="15" t="n">
        <v>13.97697600000003</v>
      </c>
      <c r="W147" s="49" t="n">
        <v>98.646</v>
      </c>
    </row>
    <row r="148">
      <c r="A148" s="44" t="inlineStr">
        <is>
          <t>TL Cinsi TUFE Endeksli Senetler</t>
        </is>
      </c>
      <c r="B148" s="44" t="n">
        <v>2009</v>
      </c>
      <c r="C148" s="44" t="inlineStr">
        <is>
          <t>TRT140813T19</t>
        </is>
      </c>
      <c r="D148" s="44" t="inlineStr">
        <is>
          <t>nan</t>
        </is>
      </c>
      <c r="E148" s="44" t="inlineStr">
        <is>
          <t>nan</t>
        </is>
      </c>
      <c r="F148" s="44" t="n"/>
      <c r="G148" s="44" t="n"/>
      <c r="H148" s="15" t="n"/>
      <c r="I148" s="45" t="n">
        <v>5480785.761</v>
      </c>
      <c r="J148" s="45" t="n">
        <v>5819408.18921</v>
      </c>
      <c r="K148" s="45" t="n">
        <v>3109135</v>
      </c>
      <c r="L148" s="45" t="n">
        <v>3315084.1024</v>
      </c>
      <c r="M148" s="45" t="n">
        <v>140681.2725090036</v>
      </c>
      <c r="N148" s="45" t="n">
        <v>150000</v>
      </c>
      <c r="O148" s="45" t="n">
        <v>791134.6413565427</v>
      </c>
      <c r="P148" s="45" t="n">
        <v>843539.4</v>
      </c>
      <c r="Q148" s="45" t="n">
        <v>0</v>
      </c>
      <c r="R148" s="45" t="n">
        <v>0</v>
      </c>
      <c r="S148" s="45" t="n">
        <v>4662777.913865546</v>
      </c>
      <c r="T148" s="45" t="n">
        <v>4971640.32288</v>
      </c>
      <c r="U148" s="15" t="n">
        <v>5.85</v>
      </c>
      <c r="V148" s="15" t="n">
        <v>12.05222500000001</v>
      </c>
      <c r="W148" s="49" t="n">
        <v>106.624</v>
      </c>
    </row>
    <row r="149">
      <c r="A149" s="44" t="inlineStr">
        <is>
          <t>TL Cinsi TUFE Endeksli Senetler</t>
        </is>
      </c>
      <c r="B149" s="44" t="n">
        <v>2009</v>
      </c>
      <c r="C149" s="44" t="inlineStr">
        <is>
          <t>TRT210514T12</t>
        </is>
      </c>
      <c r="D149" s="44" t="inlineStr">
        <is>
          <t>nan</t>
        </is>
      </c>
      <c r="E149" s="44" t="inlineStr">
        <is>
          <t>nan</t>
        </is>
      </c>
      <c r="F149" s="44" t="n"/>
      <c r="G149" s="44" t="n"/>
      <c r="H149" s="15" t="n"/>
      <c r="I149" s="45" t="n">
        <v>1757159.918</v>
      </c>
      <c r="J149" s="45" t="n">
        <v>1776418.4295</v>
      </c>
      <c r="K149" s="45" t="n">
        <v>593986.115</v>
      </c>
      <c r="L149" s="45" t="n">
        <v>605865.8373</v>
      </c>
      <c r="M149" s="45" t="n">
        <v>0</v>
      </c>
      <c r="N149" s="45" t="n">
        <v>0</v>
      </c>
      <c r="O149" s="45" t="n">
        <v>955018.3823529412</v>
      </c>
      <c r="P149" s="45" t="n">
        <v>974118.75</v>
      </c>
      <c r="Q149" s="45" t="n">
        <v>0</v>
      </c>
      <c r="R149" s="45" t="n">
        <v>0</v>
      </c>
      <c r="S149" s="45" t="n">
        <v>1549004.497352941</v>
      </c>
      <c r="T149" s="45" t="n">
        <v>1579984.5873</v>
      </c>
      <c r="U149" s="15" t="n">
        <v>4.25</v>
      </c>
      <c r="V149" s="15" t="n">
        <v>8.680624999999999</v>
      </c>
      <c r="W149" s="49" t="n">
        <v>102</v>
      </c>
    </row>
    <row r="150">
      <c r="A150" s="44" t="inlineStr">
        <is>
          <t>TL Cinsi TUFE Endeksli Senetler</t>
        </is>
      </c>
      <c r="B150" s="44" t="n">
        <v>2009</v>
      </c>
      <c r="C150" s="44" t="inlineStr">
        <is>
          <t>TRT210514T12</t>
        </is>
      </c>
      <c r="D150" s="44" t="inlineStr">
        <is>
          <t>nan</t>
        </is>
      </c>
      <c r="E150" s="44" t="inlineStr">
        <is>
          <t>nan</t>
        </is>
      </c>
      <c r="F150" s="44" t="n"/>
      <c r="G150" s="44" t="n"/>
      <c r="H150" s="15" t="n"/>
      <c r="I150" s="45" t="n">
        <v>2792273.776</v>
      </c>
      <c r="J150" s="45" t="n">
        <v>2888094.66642</v>
      </c>
      <c r="K150" s="45" t="n">
        <v>1618922.2</v>
      </c>
      <c r="L150" s="45" t="n">
        <v>1675762.558442</v>
      </c>
      <c r="M150" s="45" t="n">
        <v>0</v>
      </c>
      <c r="N150" s="45" t="n">
        <v>0</v>
      </c>
      <c r="O150" s="45" t="n">
        <v>1294089.993720474</v>
      </c>
      <c r="P150" s="45" t="n">
        <v>1339525.4934</v>
      </c>
      <c r="Q150" s="45" t="n">
        <v>0</v>
      </c>
      <c r="R150" s="45" t="n">
        <v>0</v>
      </c>
      <c r="S150" s="45" t="n">
        <v>3229306.033720474</v>
      </c>
      <c r="T150" s="45" t="n">
        <v>3342686.9685644</v>
      </c>
      <c r="U150" s="15" t="n">
        <v>4.28</v>
      </c>
      <c r="V150" s="15" t="n">
        <v>8.733183999999982</v>
      </c>
      <c r="W150" s="49" t="n">
        <v>103.511</v>
      </c>
    </row>
    <row r="151">
      <c r="A151" s="44" t="inlineStr">
        <is>
          <t>TL Cinsi TUFE Endeksli Senetler</t>
        </is>
      </c>
      <c r="B151" s="44" t="n">
        <v>2009</v>
      </c>
      <c r="C151" s="44" t="inlineStr">
        <is>
          <t>TRT210514T12</t>
        </is>
      </c>
      <c r="D151" s="44" t="inlineStr">
        <is>
          <t>nan</t>
        </is>
      </c>
      <c r="E151" s="44" t="inlineStr">
        <is>
          <t>nan</t>
        </is>
      </c>
      <c r="F151" s="44" t="n"/>
      <c r="G151" s="44" t="n"/>
      <c r="H151" s="15" t="n"/>
      <c r="I151" s="45" t="n">
        <v>7691580.454</v>
      </c>
      <c r="J151" s="45" t="n">
        <v>8525425.47811</v>
      </c>
      <c r="K151" s="45" t="n">
        <v>2130000</v>
      </c>
      <c r="L151" s="45" t="n">
        <v>2372164.38</v>
      </c>
      <c r="M151" s="45" t="n">
        <v>269374.7811329903</v>
      </c>
      <c r="N151" s="45" t="n">
        <v>300000</v>
      </c>
      <c r="O151" s="45" t="n">
        <v>1105154.935394948</v>
      </c>
      <c r="P151" s="45" t="n">
        <v>1230800</v>
      </c>
      <c r="Q151" s="45" t="n">
        <v>0</v>
      </c>
      <c r="R151" s="45" t="n">
        <v>0</v>
      </c>
      <c r="S151" s="45" t="n">
        <v>3864596.890527938</v>
      </c>
      <c r="T151" s="45" t="n">
        <v>4303967.59101206</v>
      </c>
      <c r="U151" s="15" t="n">
        <v>3.5</v>
      </c>
      <c r="V151" s="15" t="n">
        <v>7.132499999999988</v>
      </c>
      <c r="W151" s="49" t="n">
        <v>111.369</v>
      </c>
    </row>
    <row r="152">
      <c r="A152" s="44" t="inlineStr">
        <is>
          <t>TL Cinsi TUFE Endeksli Senetler</t>
        </is>
      </c>
      <c r="B152" s="44" t="n">
        <v>2009</v>
      </c>
      <c r="C152" s="44" t="inlineStr">
        <is>
          <t>TRT011014T19</t>
        </is>
      </c>
      <c r="D152" s="44" t="inlineStr">
        <is>
          <t>nan</t>
        </is>
      </c>
      <c r="E152" s="44" t="inlineStr">
        <is>
          <t>nan</t>
        </is>
      </c>
      <c r="F152" s="44" t="n"/>
      <c r="G152" s="44" t="n"/>
      <c r="H152" s="15" t="n"/>
      <c r="I152" s="45" t="n">
        <v>4769522.018</v>
      </c>
      <c r="J152" s="45" t="n">
        <v>5188057.01617</v>
      </c>
      <c r="K152" s="45" t="n">
        <v>1961030</v>
      </c>
      <c r="L152" s="45" t="n">
        <v>2156137.478</v>
      </c>
      <c r="M152" s="45" t="n">
        <v>0</v>
      </c>
      <c r="N152" s="45" t="n">
        <v>0</v>
      </c>
      <c r="O152" s="45" t="n">
        <v>2041560.177900663</v>
      </c>
      <c r="P152" s="45" t="n">
        <v>2244675</v>
      </c>
      <c r="Q152" s="45" t="n">
        <v>0</v>
      </c>
      <c r="R152" s="45" t="n">
        <v>0</v>
      </c>
      <c r="S152" s="45" t="n">
        <v>4028775.280900663</v>
      </c>
      <c r="T152" s="45" t="n">
        <v>4429602.73689747</v>
      </c>
      <c r="U152" s="15" t="n">
        <v>2.37</v>
      </c>
      <c r="V152" s="15" t="n">
        <v>4.796169000000017</v>
      </c>
      <c r="W152" s="49" t="n">
        <v>109.949</v>
      </c>
    </row>
    <row r="153">
      <c r="A153" s="44" t="inlineStr">
        <is>
          <t>TL Cinsi TUFE Endeksli Senetler</t>
        </is>
      </c>
      <c r="B153" s="44" t="n">
        <v>2009</v>
      </c>
      <c r="C153" s="44" t="inlineStr">
        <is>
          <t>TRT011014T19</t>
        </is>
      </c>
      <c r="D153" s="44" t="inlineStr">
        <is>
          <t>nan</t>
        </is>
      </c>
      <c r="E153" s="44" t="inlineStr">
        <is>
          <t>nan</t>
        </is>
      </c>
      <c r="F153" s="44" t="n"/>
      <c r="G153" s="44" t="n"/>
      <c r="H153" s="15" t="n"/>
      <c r="I153" s="45" t="n">
        <v>2114962.14</v>
      </c>
      <c r="J153" s="45" t="n">
        <v>2362655.864</v>
      </c>
      <c r="K153" s="45" t="n">
        <v>910160</v>
      </c>
      <c r="L153" s="45" t="n">
        <v>1021291.757</v>
      </c>
      <c r="M153" s="45" t="n">
        <v>0</v>
      </c>
      <c r="N153" s="45" t="n">
        <v>0</v>
      </c>
      <c r="O153" s="45" t="n">
        <v>1217485.072631673</v>
      </c>
      <c r="P153" s="45" t="n">
        <v>1366140</v>
      </c>
      <c r="Q153" s="45" t="n">
        <v>0</v>
      </c>
      <c r="R153" s="45" t="n">
        <v>0</v>
      </c>
      <c r="S153" s="45" t="n">
        <v>2303943.797631673</v>
      </c>
      <c r="T153" s="45" t="n">
        <v>2585256.5563225</v>
      </c>
      <c r="U153" s="15" t="n">
        <v>2.21</v>
      </c>
      <c r="V153" s="15" t="n">
        <v>4.478841000000002</v>
      </c>
      <c r="W153" s="49" t="n">
        <v>112.21</v>
      </c>
    </row>
    <row r="154">
      <c r="A154" s="44" t="inlineStr">
        <is>
          <t>TL Cinsi TUFE Endeksli Senetler</t>
        </is>
      </c>
      <c r="B154" s="44" t="n">
        <v>2008</v>
      </c>
      <c r="C154" s="44" t="inlineStr">
        <is>
          <t>TRT150212T15</t>
        </is>
      </c>
      <c r="D154" s="44" t="inlineStr">
        <is>
          <t>nan</t>
        </is>
      </c>
      <c r="E154" s="44" t="inlineStr">
        <is>
          <t>nan</t>
        </is>
      </c>
      <c r="F154" s="44" t="n"/>
      <c r="G154" s="44" t="n"/>
      <c r="H154" s="15" t="n"/>
      <c r="I154" s="45" t="n">
        <v>433474.6</v>
      </c>
      <c r="J154" s="45" t="n">
        <v>474588.686</v>
      </c>
      <c r="K154" s="45" t="n">
        <v>150974.6</v>
      </c>
      <c r="L154" s="45" t="n">
        <v>165591.960772</v>
      </c>
      <c r="M154" s="45" t="n">
        <v>0</v>
      </c>
      <c r="N154" s="45" t="n">
        <v>0</v>
      </c>
      <c r="O154" s="45" t="n">
        <v>512481.5375357853</v>
      </c>
      <c r="P154" s="45" t="n">
        <v>562100</v>
      </c>
      <c r="Q154" s="45" t="n">
        <v>0</v>
      </c>
      <c r="R154" s="45" t="n">
        <v>0</v>
      </c>
      <c r="S154" s="45" t="n">
        <v>663456.1375357853</v>
      </c>
      <c r="T154" s="45" t="n">
        <v>727691.960772</v>
      </c>
      <c r="U154" s="15" t="n">
        <v>4.82</v>
      </c>
      <c r="V154" s="15" t="n">
        <v>9.862323999999999</v>
      </c>
      <c r="W154" s="49" t="n">
        <v>109.682</v>
      </c>
    </row>
    <row r="155">
      <c r="A155" s="44" t="inlineStr">
        <is>
          <t>TL Cinsi TUFE Endeksli Senetler</t>
        </is>
      </c>
      <c r="B155" s="44" t="n">
        <v>2008</v>
      </c>
      <c r="C155" s="44" t="inlineStr">
        <is>
          <t>TRT150212T15</t>
        </is>
      </c>
      <c r="D155" s="44" t="inlineStr">
        <is>
          <t>nan</t>
        </is>
      </c>
      <c r="E155" s="44" t="inlineStr">
        <is>
          <t>nan</t>
        </is>
      </c>
      <c r="F155" s="44" t="n"/>
      <c r="G155" s="44" t="n"/>
      <c r="H155" s="15" t="n"/>
      <c r="I155" s="45" t="n">
        <v>249710</v>
      </c>
      <c r="J155" s="45" t="n">
        <v>281180.7</v>
      </c>
      <c r="K155" s="45" t="n">
        <v>135810</v>
      </c>
      <c r="L155" s="45" t="n">
        <v>152989.965</v>
      </c>
      <c r="M155" s="45" t="n">
        <v>0</v>
      </c>
      <c r="N155" s="45" t="n">
        <v>0</v>
      </c>
      <c r="O155" s="45" t="n">
        <v>217043.942006214</v>
      </c>
      <c r="P155" s="45" t="n">
        <v>244500.00067</v>
      </c>
      <c r="Q155" s="45" t="n">
        <v>0</v>
      </c>
      <c r="R155" s="45" t="n">
        <v>0</v>
      </c>
      <c r="S155" s="45" t="n">
        <v>352853.9420062139</v>
      </c>
      <c r="T155" s="45" t="n">
        <v>397489.96567</v>
      </c>
      <c r="U155" s="15" t="n">
        <v>5.09</v>
      </c>
      <c r="V155" s="15" t="n">
        <v>10.43908099999999</v>
      </c>
      <c r="W155" s="49" t="n">
        <v>112.65</v>
      </c>
    </row>
    <row r="156">
      <c r="A156" s="44" t="inlineStr">
        <is>
          <t>TL Cinsi TUFE Endeksli Senetler</t>
        </is>
      </c>
      <c r="B156" s="44" t="n">
        <v>2008</v>
      </c>
      <c r="C156" s="44" t="inlineStr">
        <is>
          <t>TRT140813T19</t>
        </is>
      </c>
      <c r="D156" s="44" t="inlineStr">
        <is>
          <t>nan</t>
        </is>
      </c>
      <c r="E156" s="44" t="inlineStr">
        <is>
          <t>nan</t>
        </is>
      </c>
      <c r="F156" s="44" t="n"/>
      <c r="G156" s="44" t="n"/>
      <c r="H156" s="15" t="n"/>
      <c r="I156" s="45" t="n">
        <v>1258399.095</v>
      </c>
      <c r="J156" s="45" t="n">
        <v>1274758.28324</v>
      </c>
      <c r="K156" s="45" t="n">
        <v>648804.095</v>
      </c>
      <c r="L156" s="45" t="n">
        <v>693571.5775550001</v>
      </c>
      <c r="M156" s="45" t="n">
        <v>0</v>
      </c>
      <c r="N156" s="45" t="n">
        <v>0</v>
      </c>
      <c r="O156" s="45" t="n">
        <v>489990.6454630495</v>
      </c>
      <c r="P156" s="45" t="n">
        <v>523800</v>
      </c>
      <c r="Q156" s="45" t="n">
        <v>0</v>
      </c>
      <c r="R156" s="45" t="n">
        <v>0</v>
      </c>
      <c r="S156" s="45" t="n">
        <v>1188641.082463049</v>
      </c>
      <c r="T156" s="45" t="n">
        <v>1270657.317153</v>
      </c>
      <c r="U156" s="15" t="n">
        <v>5.1</v>
      </c>
      <c r="V156" s="15" t="n">
        <v>10.46009999999999</v>
      </c>
      <c r="W156" s="49" t="n">
        <v>106.9</v>
      </c>
    </row>
    <row r="157">
      <c r="A157" s="44" t="inlineStr">
        <is>
          <t>TL Cinsi TUFE Endeksli Senetler</t>
        </is>
      </c>
      <c r="B157" s="44" t="n">
        <v>2007</v>
      </c>
      <c r="C157" s="44" t="inlineStr">
        <is>
          <t>TRT150212T15</t>
        </is>
      </c>
      <c r="D157" s="44" t="inlineStr">
        <is>
          <t>nan</t>
        </is>
      </c>
      <c r="E157" s="44" t="inlineStr">
        <is>
          <t>nan</t>
        </is>
      </c>
      <c r="F157" s="44" t="n"/>
      <c r="G157" s="44" t="n"/>
      <c r="H157" s="15" t="n"/>
      <c r="I157" s="45" t="n">
        <v>9469265.33</v>
      </c>
      <c r="J157" s="45" t="n">
        <v>9429529.604049999</v>
      </c>
      <c r="K157" s="45" t="n">
        <v>1632024.55</v>
      </c>
      <c r="L157" s="45" t="n">
        <v>1649976.82005</v>
      </c>
      <c r="M157" s="45" t="n">
        <v>919881.3056379822</v>
      </c>
      <c r="N157" s="45" t="n">
        <v>930000</v>
      </c>
      <c r="O157" s="45" t="n">
        <v>1547734.915924827</v>
      </c>
      <c r="P157" s="45" t="n">
        <v>1564760</v>
      </c>
      <c r="Q157" s="45" t="n">
        <v>0</v>
      </c>
      <c r="R157" s="45" t="n">
        <v>0</v>
      </c>
      <c r="S157" s="45" t="n">
        <v>4099640.771562809</v>
      </c>
      <c r="T157" s="45" t="n">
        <v>4144736.82005</v>
      </c>
      <c r="U157" s="15" t="n">
        <v>4.86</v>
      </c>
      <c r="V157" s="15" t="n">
        <v>9.946195999999995</v>
      </c>
      <c r="W157" s="49" t="n">
        <v>101.1</v>
      </c>
    </row>
    <row r="158">
      <c r="A158" s="44" t="inlineStr">
        <is>
          <t>TL Cinsi TUFE Endeksli Senetler</t>
        </is>
      </c>
      <c r="B158" s="44" t="n">
        <v>2007</v>
      </c>
      <c r="C158" s="44" t="inlineStr">
        <is>
          <t>TRT150212T15</t>
        </is>
      </c>
      <c r="D158" s="44" t="inlineStr">
        <is>
          <t>nan</t>
        </is>
      </c>
      <c r="E158" s="44" t="inlineStr">
        <is>
          <t>nan</t>
        </is>
      </c>
      <c r="F158" s="44" t="n"/>
      <c r="G158" s="44" t="n"/>
      <c r="H158" s="15" t="n"/>
      <c r="I158" s="45" t="n">
        <v>1125474</v>
      </c>
      <c r="J158" s="45" t="n">
        <v>1195412.3564</v>
      </c>
      <c r="K158" s="45" t="n">
        <v>503270</v>
      </c>
      <c r="L158" s="45" t="n">
        <v>534976.01</v>
      </c>
      <c r="M158" s="45" t="n">
        <v>244590.780809031</v>
      </c>
      <c r="N158" s="45" t="n">
        <v>260000</v>
      </c>
      <c r="O158" s="45" t="n">
        <v>398965.1928504233</v>
      </c>
      <c r="P158" s="45" t="n">
        <v>424100</v>
      </c>
      <c r="Q158" s="45" t="n">
        <v>0</v>
      </c>
      <c r="R158" s="45" t="n">
        <v>0</v>
      </c>
      <c r="S158" s="45" t="n">
        <v>1146825.973659454</v>
      </c>
      <c r="T158" s="45" t="n">
        <v>1219076.01</v>
      </c>
      <c r="U158" s="15" t="n">
        <v>4.8528</v>
      </c>
      <c r="V158" s="15" t="n">
        <v>9.941096678399974</v>
      </c>
      <c r="W158" s="49" t="n">
        <v>106.3</v>
      </c>
    </row>
    <row r="159">
      <c r="A159" s="44" t="inlineStr">
        <is>
          <t>TL Cinsi TUFE Endeksli Senetler</t>
        </is>
      </c>
      <c r="B159" s="44" t="n">
        <v>2007</v>
      </c>
      <c r="C159" s="44" t="inlineStr">
        <is>
          <t>TRT150212T15</t>
        </is>
      </c>
      <c r="D159" s="44" t="inlineStr">
        <is>
          <t>nan</t>
        </is>
      </c>
      <c r="E159" s="44" t="inlineStr">
        <is>
          <t>nan</t>
        </is>
      </c>
      <c r="F159" s="44" t="n"/>
      <c r="G159" s="44" t="n"/>
      <c r="H159" s="15" t="n"/>
      <c r="I159" s="45" t="n">
        <v>64300</v>
      </c>
      <c r="J159" s="45" t="n">
        <v>66028.8</v>
      </c>
      <c r="K159" s="45" t="n">
        <v>33100</v>
      </c>
      <c r="L159" s="45" t="n">
        <v>34059.9</v>
      </c>
      <c r="M159" s="45" t="n">
        <v>608551.9922254616</v>
      </c>
      <c r="N159" s="45" t="n">
        <v>626200</v>
      </c>
      <c r="O159" s="45" t="n">
        <v>36443.14868804665</v>
      </c>
      <c r="P159" s="45" t="n">
        <v>37500</v>
      </c>
      <c r="Q159" s="45" t="n">
        <v>1007.387</v>
      </c>
      <c r="R159" s="45" t="n">
        <v>1036.601223</v>
      </c>
      <c r="S159" s="45" t="n">
        <v>679102.5279135082</v>
      </c>
      <c r="T159" s="45" t="n">
        <v>698796.501223</v>
      </c>
      <c r="U159" s="15" t="n">
        <v>5.15</v>
      </c>
      <c r="V159" s="15" t="n">
        <v>10.56522500000001</v>
      </c>
      <c r="W159" s="49" t="n">
        <v>102.9</v>
      </c>
    </row>
    <row r="160">
      <c r="A160" s="44" t="inlineStr">
        <is>
          <t>TL Cinsi TUFE Endeksli Senetler</t>
        </is>
      </c>
      <c r="B160" s="44" t="n">
        <v>2007</v>
      </c>
      <c r="C160" s="44" t="inlineStr">
        <is>
          <t>TRT150212T15</t>
        </is>
      </c>
      <c r="D160" s="44" t="inlineStr">
        <is>
          <t>nan</t>
        </is>
      </c>
      <c r="E160" s="44" t="inlineStr">
        <is>
          <t>nan</t>
        </is>
      </c>
      <c r="F160" s="44" t="n"/>
      <c r="G160" s="44" t="n"/>
      <c r="H160" s="15" t="n"/>
      <c r="I160" s="45" t="n">
        <v>579670</v>
      </c>
      <c r="J160" s="45" t="n">
        <v>623127.8599</v>
      </c>
      <c r="K160" s="45" t="n">
        <v>290650</v>
      </c>
      <c r="L160" s="45" t="n">
        <v>317389.8</v>
      </c>
      <c r="M160" s="45" t="n">
        <v>0</v>
      </c>
      <c r="N160" s="45" t="n">
        <v>0</v>
      </c>
      <c r="O160" s="45" t="n">
        <v>190549.4505494505</v>
      </c>
      <c r="P160" s="45" t="n">
        <v>208080</v>
      </c>
      <c r="Q160" s="45" t="n">
        <v>0</v>
      </c>
      <c r="R160" s="45" t="n">
        <v>0</v>
      </c>
      <c r="S160" s="45" t="n">
        <v>527079.4505494505</v>
      </c>
      <c r="T160" s="45" t="n">
        <v>575570.76</v>
      </c>
      <c r="U160" s="15" t="n">
        <v>4.5205404101464</v>
      </c>
      <c r="V160" s="15" t="n">
        <v>9.245433676290471</v>
      </c>
      <c r="W160" s="49" t="n">
        <v>109.2</v>
      </c>
    </row>
    <row r="161">
      <c r="A161" s="44" t="inlineStr">
        <is>
          <t>TL Cinsi TUFE Endeksli Senetler</t>
        </is>
      </c>
      <c r="B161" s="44" t="n">
        <v>1999</v>
      </c>
      <c r="C161" s="44" t="inlineStr">
        <is>
          <t>TRT090800T11</t>
        </is>
      </c>
      <c r="D161" s="44" t="inlineStr">
        <is>
          <t>nan</t>
        </is>
      </c>
      <c r="E161" s="44" t="inlineStr">
        <is>
          <t>nan</t>
        </is>
      </c>
      <c r="F161" s="44" t="n"/>
      <c r="G161" s="44" t="n"/>
      <c r="H161" s="15" t="n"/>
      <c r="I161" s="45" t="n">
        <v>28707</v>
      </c>
      <c r="J161" s="45" t="n">
        <v>2880.885215576798</v>
      </c>
      <c r="K161" s="45" t="n">
        <v>2880.885215576798</v>
      </c>
      <c r="L161" s="45" t="n">
        <v>2761.55993</v>
      </c>
      <c r="M161" s="45" t="n">
        <v>0</v>
      </c>
      <c r="N161" s="45" t="n">
        <v>0</v>
      </c>
      <c r="O161" s="45" t="n">
        <v>0</v>
      </c>
      <c r="P161" s="45" t="n">
        <v>0</v>
      </c>
      <c r="Q161" s="45" t="n">
        <v>0</v>
      </c>
      <c r="R161" s="45" t="n">
        <v>0</v>
      </c>
      <c r="S161" s="45" t="n">
        <v>2880.885215576798</v>
      </c>
      <c r="T161" s="45" t="n">
        <v>2761.55993</v>
      </c>
      <c r="U161" s="15" t="n">
        <v>29.045</v>
      </c>
      <c r="V161" s="15" t="n">
        <v>24.36</v>
      </c>
      <c r="W161" s="49" t="n">
        <v>95.858</v>
      </c>
    </row>
    <row r="162">
      <c r="A162" s="44" t="inlineStr">
        <is>
          <t>TL Cinsi TUFE Endeksli Senetler</t>
        </is>
      </c>
      <c r="B162" s="44" t="n">
        <v>1998</v>
      </c>
      <c r="C162" s="44" t="inlineStr">
        <is>
          <t>TRT220199T13</t>
        </is>
      </c>
      <c r="D162" s="44" t="inlineStr">
        <is>
          <t>nan</t>
        </is>
      </c>
      <c r="E162" s="44" t="inlineStr">
        <is>
          <t>nan</t>
        </is>
      </c>
      <c r="F162" s="44" t="n"/>
      <c r="G162" s="44" t="n"/>
      <c r="H162" s="15" t="n"/>
      <c r="I162" s="45" t="n">
        <v>319631.405</v>
      </c>
      <c r="J162" s="45" t="n"/>
      <c r="K162" s="45" t="n"/>
      <c r="L162" s="45" t="n">
        <v>95125</v>
      </c>
      <c r="M162" s="45" t="n">
        <v>0</v>
      </c>
      <c r="N162" s="45" t="n">
        <v>0</v>
      </c>
      <c r="O162" s="45" t="n">
        <v>0</v>
      </c>
      <c r="P162" s="45" t="n">
        <v>0</v>
      </c>
      <c r="Q162" s="45" t="n">
        <v>0</v>
      </c>
      <c r="R162" s="45" t="n">
        <v>0</v>
      </c>
      <c r="S162" s="45" t="n"/>
      <c r="T162" s="45" t="n">
        <v>102946</v>
      </c>
      <c r="U162" s="15" t="n">
        <v>18.9</v>
      </c>
      <c r="V162" s="15" t="n"/>
      <c r="W162" s="49" t="n"/>
    </row>
    <row r="163">
      <c r="A163" s="44" t="inlineStr">
        <is>
          <t>TL Cinsi TUFE Endeksli Senetler</t>
        </is>
      </c>
      <c r="B163" s="44" t="n">
        <v>1998</v>
      </c>
      <c r="C163" s="44" t="inlineStr">
        <is>
          <t>TRT240299T10</t>
        </is>
      </c>
      <c r="D163" s="44" t="inlineStr">
        <is>
          <t>nan</t>
        </is>
      </c>
      <c r="E163" s="44" t="inlineStr">
        <is>
          <t>nan</t>
        </is>
      </c>
      <c r="F163" s="44" t="n"/>
      <c r="G163" s="44" t="n"/>
      <c r="H163" s="15" t="n"/>
      <c r="I163" s="45" t="n">
        <v>141630</v>
      </c>
      <c r="J163" s="45" t="n"/>
      <c r="K163" s="45" t="n"/>
      <c r="L163" s="45" t="n">
        <v>123430</v>
      </c>
      <c r="M163" s="45" t="n">
        <v>0</v>
      </c>
      <c r="N163" s="45" t="n">
        <v>0</v>
      </c>
      <c r="O163" s="45" t="n">
        <v>0</v>
      </c>
      <c r="P163" s="45" t="n">
        <v>0</v>
      </c>
      <c r="Q163" s="45" t="n">
        <v>0</v>
      </c>
      <c r="R163" s="45" t="n">
        <v>0</v>
      </c>
      <c r="S163" s="45" t="n"/>
      <c r="T163" s="45" t="n">
        <v>133430</v>
      </c>
      <c r="U163" s="15" t="n">
        <v>30.95</v>
      </c>
      <c r="V163" s="15" t="n"/>
      <c r="W163" s="49" t="n"/>
    </row>
    <row r="164">
      <c r="A164" s="44" t="inlineStr">
        <is>
          <t>TL Cinsi TUFE Endeksli Senetler</t>
        </is>
      </c>
      <c r="B164" s="44" t="n">
        <v>1998</v>
      </c>
      <c r="C164" s="44" t="inlineStr">
        <is>
          <t>TRT250399T18</t>
        </is>
      </c>
      <c r="D164" s="44" t="inlineStr">
        <is>
          <t>nan</t>
        </is>
      </c>
      <c r="E164" s="44" t="inlineStr">
        <is>
          <t>nan</t>
        </is>
      </c>
      <c r="F164" s="44" t="n"/>
      <c r="G164" s="44" t="n"/>
      <c r="H164" s="15" t="n"/>
      <c r="I164" s="45" t="n">
        <v>241573</v>
      </c>
      <c r="J164" s="45" t="n"/>
      <c r="K164" s="45" t="n"/>
      <c r="L164" s="45" t="n">
        <v>95986</v>
      </c>
      <c r="M164" s="45" t="n">
        <v>0</v>
      </c>
      <c r="N164" s="45" t="n">
        <v>0</v>
      </c>
      <c r="O164" s="45" t="n">
        <v>0</v>
      </c>
      <c r="P164" s="45" t="n">
        <v>0</v>
      </c>
      <c r="Q164" s="45" t="n">
        <v>0</v>
      </c>
      <c r="R164" s="45" t="n">
        <v>0</v>
      </c>
      <c r="S164" s="45" t="n"/>
      <c r="T164" s="45" t="n">
        <v>95986</v>
      </c>
      <c r="U164" s="15" t="n">
        <v>24</v>
      </c>
      <c r="V164" s="15" t="n"/>
      <c r="W164" s="49" t="n"/>
    </row>
    <row r="165">
      <c r="A165" s="44" t="inlineStr">
        <is>
          <t>TL Cinsi TUFE Endeksli Senetler</t>
        </is>
      </c>
      <c r="B165" s="44" t="n">
        <v>1998</v>
      </c>
      <c r="C165" s="44" t="inlineStr">
        <is>
          <t>TRT210499T11</t>
        </is>
      </c>
      <c r="D165" s="44" t="inlineStr">
        <is>
          <t>nan</t>
        </is>
      </c>
      <c r="E165" s="44" t="inlineStr">
        <is>
          <t>nan</t>
        </is>
      </c>
      <c r="F165" s="44" t="n"/>
      <c r="G165" s="44" t="n"/>
      <c r="H165" s="15" t="n"/>
      <c r="I165" s="45" t="n">
        <v>248473</v>
      </c>
      <c r="J165" s="45" t="n"/>
      <c r="K165" s="45" t="n"/>
      <c r="L165" s="45" t="n">
        <v>142730</v>
      </c>
      <c r="M165" s="45" t="n">
        <v>0</v>
      </c>
      <c r="N165" s="45" t="n">
        <v>0</v>
      </c>
      <c r="O165" s="45" t="n">
        <v>0</v>
      </c>
      <c r="P165" s="45" t="n">
        <v>0</v>
      </c>
      <c r="Q165" s="45" t="n">
        <v>0</v>
      </c>
      <c r="R165" s="45" t="n">
        <v>0</v>
      </c>
      <c r="S165" s="45" t="n"/>
      <c r="T165" s="45" t="n">
        <v>245250</v>
      </c>
      <c r="U165" s="15" t="n">
        <v>19</v>
      </c>
      <c r="V165" s="15" t="n"/>
      <c r="W165" s="49" t="n"/>
    </row>
    <row r="166">
      <c r="A166" s="44" t="inlineStr">
        <is>
          <t>TL Cinsi TUFE Endeksli Senetler</t>
        </is>
      </c>
      <c r="B166" s="44" t="n">
        <v>1998</v>
      </c>
      <c r="C166" s="44" t="inlineStr">
        <is>
          <t>TRT260599T15</t>
        </is>
      </c>
      <c r="D166" s="44" t="inlineStr">
        <is>
          <t>nan</t>
        </is>
      </c>
      <c r="E166" s="44" t="inlineStr">
        <is>
          <t>nan</t>
        </is>
      </c>
      <c r="F166" s="44" t="n"/>
      <c r="G166" s="44" t="n"/>
      <c r="H166" s="15" t="n"/>
      <c r="I166" s="45" t="n">
        <v>190611</v>
      </c>
      <c r="J166" s="45" t="n"/>
      <c r="K166" s="45" t="n"/>
      <c r="L166" s="45" t="n">
        <v>129111</v>
      </c>
      <c r="M166" s="45" t="n">
        <v>0</v>
      </c>
      <c r="N166" s="45" t="n">
        <v>0</v>
      </c>
      <c r="O166" s="45" t="n">
        <v>0</v>
      </c>
      <c r="P166" s="45" t="n">
        <v>0</v>
      </c>
      <c r="Q166" s="45" t="n">
        <v>0</v>
      </c>
      <c r="R166" s="45" t="n">
        <v>0</v>
      </c>
      <c r="S166" s="45" t="n"/>
      <c r="T166" s="45" t="n">
        <v>138301</v>
      </c>
      <c r="U166" s="15" t="n">
        <v>23</v>
      </c>
      <c r="V166" s="15" t="n"/>
      <c r="W166" s="49" t="n"/>
    </row>
    <row r="167">
      <c r="A167" s="44" t="inlineStr">
        <is>
          <t>TL Cinsi TUFE Endeksli Senetler</t>
        </is>
      </c>
      <c r="B167" s="44" t="n">
        <v>1998</v>
      </c>
      <c r="C167" s="44" t="inlineStr">
        <is>
          <t>TRT160699T16</t>
        </is>
      </c>
      <c r="D167" s="44" t="inlineStr">
        <is>
          <t>nan</t>
        </is>
      </c>
      <c r="E167" s="44" t="inlineStr">
        <is>
          <t>nan</t>
        </is>
      </c>
      <c r="F167" s="44" t="n"/>
      <c r="G167" s="44" t="n"/>
      <c r="H167" s="15" t="n"/>
      <c r="I167" s="45" t="n">
        <v>290177</v>
      </c>
      <c r="J167" s="45" t="n"/>
      <c r="K167" s="45" t="n"/>
      <c r="L167" s="45" t="n">
        <v>244327</v>
      </c>
      <c r="M167" s="45" t="n">
        <v>0</v>
      </c>
      <c r="N167" s="45" t="n">
        <v>0</v>
      </c>
      <c r="O167" s="45" t="n">
        <v>0</v>
      </c>
      <c r="P167" s="45" t="n">
        <v>0</v>
      </c>
      <c r="Q167" s="45" t="n">
        <v>0</v>
      </c>
      <c r="R167" s="45" t="n">
        <v>0</v>
      </c>
      <c r="S167" s="45" t="n"/>
      <c r="T167" s="45" t="n">
        <v>244327</v>
      </c>
      <c r="U167" s="15" t="n">
        <v>25</v>
      </c>
      <c r="V167" s="15" t="n"/>
      <c r="W167" s="49" t="n"/>
    </row>
    <row r="168">
      <c r="A168" s="44" t="inlineStr">
        <is>
          <t>TL Cinsi TUFE Endeksli Senetler</t>
        </is>
      </c>
      <c r="B168" s="44" t="n">
        <v>1998</v>
      </c>
      <c r="C168" s="44" t="inlineStr">
        <is>
          <t>TRT280799T11</t>
        </is>
      </c>
      <c r="D168" s="44" t="inlineStr">
        <is>
          <t>nan</t>
        </is>
      </c>
      <c r="E168" s="44" t="inlineStr">
        <is>
          <t>nan</t>
        </is>
      </c>
      <c r="F168" s="44" t="n"/>
      <c r="G168" s="44" t="n"/>
      <c r="H168" s="15" t="n"/>
      <c r="I168" s="45" t="n">
        <v>458871.5</v>
      </c>
      <c r="J168" s="45" t="n"/>
      <c r="K168" s="45" t="n"/>
      <c r="L168" s="45" t="n">
        <v>156342.5</v>
      </c>
      <c r="M168" s="45" t="n">
        <v>0</v>
      </c>
      <c r="N168" s="45" t="n">
        <v>0</v>
      </c>
      <c r="O168" s="45" t="n">
        <v>0</v>
      </c>
      <c r="P168" s="45" t="n">
        <v>0</v>
      </c>
      <c r="Q168" s="45" t="n">
        <v>0</v>
      </c>
      <c r="R168" s="45" t="n">
        <v>0</v>
      </c>
      <c r="S168" s="45" t="n"/>
      <c r="T168" s="45" t="n">
        <v>164302.5</v>
      </c>
      <c r="U168" s="15" t="n">
        <v>23</v>
      </c>
      <c r="V168" s="15" t="n"/>
      <c r="W168" s="49" t="n"/>
    </row>
    <row r="169">
      <c r="A169" s="44" t="inlineStr">
        <is>
          <t>TL Cinsi TUFE Endeksli Senetler</t>
        </is>
      </c>
      <c r="B169" s="44" t="n">
        <v>1998</v>
      </c>
      <c r="C169" s="44" t="inlineStr">
        <is>
          <t>TRT180899T12</t>
        </is>
      </c>
      <c r="D169" s="44" t="inlineStr">
        <is>
          <t>nan</t>
        </is>
      </c>
      <c r="E169" s="44" t="inlineStr">
        <is>
          <t>nan</t>
        </is>
      </c>
      <c r="F169" s="44" t="n"/>
      <c r="G169" s="44" t="n"/>
      <c r="H169" s="15" t="n"/>
      <c r="I169" s="45" t="n">
        <v>230026</v>
      </c>
      <c r="J169" s="45" t="n"/>
      <c r="K169" s="45" t="n"/>
      <c r="L169" s="45" t="n">
        <v>174376</v>
      </c>
      <c r="M169" s="45" t="n">
        <v>0</v>
      </c>
      <c r="N169" s="45" t="n">
        <v>0</v>
      </c>
      <c r="O169" s="45" t="n">
        <v>0</v>
      </c>
      <c r="P169" s="45" t="n">
        <v>0</v>
      </c>
      <c r="Q169" s="45" t="n">
        <v>0</v>
      </c>
      <c r="R169" s="45" t="n">
        <v>0</v>
      </c>
      <c r="S169" s="45" t="n"/>
      <c r="T169" s="45" t="n">
        <v>184315</v>
      </c>
      <c r="U169" s="15" t="n">
        <v>30</v>
      </c>
      <c r="V169" s="15" t="n"/>
      <c r="W169" s="49" t="n"/>
    </row>
    <row r="170">
      <c r="A170" s="44" t="inlineStr">
        <is>
          <t>TL Cinsi TUFE Endeksli Senetler</t>
        </is>
      </c>
      <c r="B170" s="44" t="n">
        <v>1998</v>
      </c>
      <c r="C170" s="44" t="inlineStr">
        <is>
          <t>TRT290999T18</t>
        </is>
      </c>
      <c r="D170" s="44" t="inlineStr">
        <is>
          <t>nan</t>
        </is>
      </c>
      <c r="E170" s="44" t="inlineStr">
        <is>
          <t>nan</t>
        </is>
      </c>
      <c r="F170" s="44" t="n"/>
      <c r="G170" s="44" t="n"/>
      <c r="H170" s="15" t="n"/>
      <c r="I170" s="45" t="n">
        <v>39655.3</v>
      </c>
      <c r="J170" s="45" t="n"/>
      <c r="K170" s="45" t="n"/>
      <c r="L170" s="45" t="n">
        <v>3523.5</v>
      </c>
      <c r="M170" s="45" t="n">
        <v>0</v>
      </c>
      <c r="N170" s="45" t="n">
        <v>0</v>
      </c>
      <c r="O170" s="45" t="n">
        <v>0</v>
      </c>
      <c r="P170" s="45" t="n">
        <v>0</v>
      </c>
      <c r="Q170" s="45" t="n">
        <v>0</v>
      </c>
      <c r="R170" s="45" t="n">
        <v>0</v>
      </c>
      <c r="S170" s="45" t="n"/>
      <c r="T170" s="45" t="n">
        <v>58123.5</v>
      </c>
      <c r="U170" s="15" t="n">
        <v>30</v>
      </c>
      <c r="V170" s="15" t="n"/>
      <c r="W170" s="49" t="n"/>
    </row>
  </sheetData>
  <mergeCells count="8">
    <mergeCell ref="Q1:R1"/>
    <mergeCell ref="K1:L1"/>
    <mergeCell ref="S1:T1"/>
    <mergeCell ref="U1:V1"/>
    <mergeCell ref="O1:P1"/>
    <mergeCell ref="A1:H1"/>
    <mergeCell ref="M1:N1"/>
    <mergeCell ref="I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0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8" customHeight="1">
      <c r="A1" s="26" t="inlineStr">
        <is>
          <t>Genel Bilgiler</t>
        </is>
      </c>
      <c r="B1" s="2" t="n"/>
      <c r="C1" s="2" t="n"/>
      <c r="D1" s="2" t="n"/>
      <c r="E1" s="2" t="n"/>
      <c r="F1" s="2" t="n"/>
      <c r="G1" s="2" t="n"/>
      <c r="H1" s="3" t="n"/>
      <c r="I1" s="27" t="inlineStr">
        <is>
          <t>Teklif Edilen Tutar</t>
        </is>
      </c>
      <c r="J1" s="3" t="n"/>
      <c r="K1" s="28" t="inlineStr">
        <is>
          <t>İhale Kabul Edilen Tutar</t>
        </is>
      </c>
      <c r="L1" s="3" t="n"/>
      <c r="M1" s="29" t="inlineStr">
        <is>
          <t>Rek. Olmayan Teklif - Kamu</t>
        </is>
      </c>
      <c r="N1" s="3" t="n"/>
      <c r="O1" s="30" t="inlineStr">
        <is>
          <t>Rek. Olmayan Teklif - Piyasa Yapıcı</t>
        </is>
      </c>
      <c r="P1" s="3" t="n"/>
      <c r="Q1" s="31" t="inlineStr">
        <is>
          <t>İhale Sonrası Satış</t>
        </is>
      </c>
      <c r="R1" s="3" t="n"/>
      <c r="S1" s="32" t="inlineStr">
        <is>
          <t>Toplam Satış</t>
        </is>
      </c>
      <c r="T1" s="3" t="n"/>
      <c r="U1" s="33" t="inlineStr">
        <is>
          <t>Kabul Edilen Faiz (%)</t>
        </is>
      </c>
      <c r="V1" s="3" t="n"/>
      <c r="W1" s="34" t="inlineStr">
        <is>
          <t>Fiyat</t>
        </is>
      </c>
    </row>
    <row r="2" ht="36" customHeight="1">
      <c r="A2" s="35" t="inlineStr">
        <is>
          <t>Senet Türü</t>
        </is>
      </c>
      <c r="B2" s="35" t="inlineStr">
        <is>
          <t>Yıl</t>
        </is>
      </c>
      <c r="C2" s="35" t="inlineStr">
        <is>
          <t>ISIN Kodu</t>
        </is>
      </c>
      <c r="D2" s="35" t="inlineStr">
        <is>
          <t>Valör Tarihi</t>
        </is>
      </c>
      <c r="E2" s="35" t="inlineStr">
        <is>
          <t>İtfa Tarihi</t>
        </is>
      </c>
      <c r="F2" s="35" t="inlineStr">
        <is>
          <t>Vade (Gün)</t>
        </is>
      </c>
      <c r="G2" s="35" t="inlineStr">
        <is>
          <t>Kupon Dönemi</t>
        </is>
      </c>
      <c r="H2" s="35" t="inlineStr">
        <is>
          <t>Kupon Oranı (%)</t>
        </is>
      </c>
      <c r="I2" s="36" t="inlineStr">
        <is>
          <t>Nominal (Bin TL)</t>
        </is>
      </c>
      <c r="J2" s="36" t="inlineStr">
        <is>
          <t>Net (Bin TL)</t>
        </is>
      </c>
      <c r="K2" s="37" t="inlineStr">
        <is>
          <t>Nominal (Bin TL)</t>
        </is>
      </c>
      <c r="L2" s="37" t="inlineStr">
        <is>
          <t>Net (Bin TL)</t>
        </is>
      </c>
      <c r="M2" s="38" t="inlineStr">
        <is>
          <t>Nominal (Bin TL)</t>
        </is>
      </c>
      <c r="N2" s="38" t="inlineStr">
        <is>
          <t>Net (Bin TL)</t>
        </is>
      </c>
      <c r="O2" s="39" t="inlineStr">
        <is>
          <t>Nominal (Bin TL)</t>
        </is>
      </c>
      <c r="P2" s="39" t="inlineStr">
        <is>
          <t>Net (Bin TL)</t>
        </is>
      </c>
      <c r="Q2" s="40" t="inlineStr">
        <is>
          <t>Nominal (Bin TL)</t>
        </is>
      </c>
      <c r="R2" s="40" t="inlineStr">
        <is>
          <t>Net (Bin TL)</t>
        </is>
      </c>
      <c r="S2" s="41" t="inlineStr">
        <is>
          <t>Nominal (Bin TL)</t>
        </is>
      </c>
      <c r="T2" s="41" t="inlineStr">
        <is>
          <t>Net (Bin TL)</t>
        </is>
      </c>
      <c r="U2" s="42" t="inlineStr">
        <is>
          <t>Ort. Dönem (Basit)</t>
        </is>
      </c>
      <c r="V2" s="42" t="inlineStr">
        <is>
          <t>Ort. Yıllık Bileşik</t>
        </is>
      </c>
      <c r="W2" s="43" t="inlineStr">
        <is>
          <t>İhraç Birim Fiyatı (Ort.)</t>
        </is>
      </c>
    </row>
    <row r="3">
      <c r="A3" s="44" t="inlineStr">
        <is>
          <t>TL Cinsi Sabit Faizli Kuponlu Senetler</t>
        </is>
      </c>
      <c r="B3" s="44" t="n">
        <v>2026</v>
      </c>
      <c r="C3" s="44" t="inlineStr">
        <is>
          <t>TRT021030T18</t>
        </is>
      </c>
      <c r="D3" s="44" t="inlineStr">
        <is>
          <t>07.01.2026</t>
        </is>
      </c>
      <c r="E3" s="44" t="inlineStr">
        <is>
          <t>02.10.2030</t>
        </is>
      </c>
      <c r="F3" s="44" t="n">
        <v>1729</v>
      </c>
      <c r="G3" s="44" t="inlineStr">
        <is>
          <t>6 ay</t>
        </is>
      </c>
      <c r="H3" s="15" t="n">
        <v>16.95</v>
      </c>
      <c r="I3" s="45" t="n">
        <v>76529000</v>
      </c>
      <c r="J3" s="45" t="n">
        <v>88865362.61</v>
      </c>
      <c r="K3" s="45" t="n">
        <v>29759000</v>
      </c>
      <c r="L3" s="45" t="n">
        <v>34655706.94</v>
      </c>
      <c r="M3" s="45" t="n">
        <v>11180284.229</v>
      </c>
      <c r="N3" s="45" t="n">
        <v>13019999.99888</v>
      </c>
      <c r="O3" s="45" t="n">
        <v>20179468.459</v>
      </c>
      <c r="P3" s="45" t="n">
        <v>23499999.99394</v>
      </c>
      <c r="Q3" s="45" t="n">
        <v>200000</v>
      </c>
      <c r="R3" s="45" t="n">
        <v>232910</v>
      </c>
      <c r="S3" s="45" t="n">
        <v>61318752.688</v>
      </c>
      <c r="T3" s="45" t="n">
        <v>71408616.93281999</v>
      </c>
      <c r="U3" s="15" t="n">
        <v>15.24</v>
      </c>
      <c r="V3" s="15" t="n">
        <v>32.81</v>
      </c>
      <c r="W3" s="49" t="n">
        <v>116.455</v>
      </c>
    </row>
    <row r="4">
      <c r="A4" s="44" t="inlineStr">
        <is>
          <t>TL Cinsi Sabit Faizli Kuponlu Senetler</t>
        </is>
      </c>
      <c r="B4" s="44" t="n">
        <v>2026</v>
      </c>
      <c r="C4" s="44" t="inlineStr">
        <is>
          <t>TRT131027T36</t>
        </is>
      </c>
      <c r="D4" s="44" t="inlineStr">
        <is>
          <t>14.01.2026</t>
        </is>
      </c>
      <c r="E4" s="44" t="inlineStr">
        <is>
          <t>13.10.2027</t>
        </is>
      </c>
      <c r="F4" s="44" t="n">
        <v>637</v>
      </c>
      <c r="G4" s="44" t="inlineStr">
        <is>
          <t>6 ay</t>
        </is>
      </c>
      <c r="H4" s="15" t="n">
        <v>18.39</v>
      </c>
      <c r="I4" s="45" t="n">
        <v>70739000</v>
      </c>
      <c r="J4" s="45" t="n">
        <v>79312787.89</v>
      </c>
      <c r="K4" s="45" t="n">
        <v>22932000</v>
      </c>
      <c r="L4" s="45" t="n">
        <v>25754354.59</v>
      </c>
      <c r="M4" s="45" t="n">
        <v>8815122.83</v>
      </c>
      <c r="N4" s="45" t="n">
        <v>9899999.996689999</v>
      </c>
      <c r="O4" s="45" t="n">
        <v>17808328.951</v>
      </c>
      <c r="P4" s="45" t="n">
        <v>19999999.99499</v>
      </c>
      <c r="Q4" s="45" t="n">
        <v>3635852.394</v>
      </c>
      <c r="R4" s="45" t="n">
        <v>4083316.74813</v>
      </c>
      <c r="S4" s="45" t="n">
        <v>53191304.175</v>
      </c>
      <c r="T4" s="45" t="n">
        <v>59737671.32980999</v>
      </c>
      <c r="U4" s="15" t="n">
        <v>16.99</v>
      </c>
      <c r="V4" s="15" t="n">
        <v>36.87</v>
      </c>
      <c r="W4" s="49" t="n">
        <v>112.307</v>
      </c>
    </row>
    <row r="5">
      <c r="A5" s="44" t="inlineStr">
        <is>
          <t>TL Cinsi Sabit Faizli Kuponlu Senetler</t>
        </is>
      </c>
      <c r="B5" s="44" t="n">
        <v>2026</v>
      </c>
      <c r="C5" s="44" t="inlineStr">
        <is>
          <t>TRT050935T13</t>
        </is>
      </c>
      <c r="D5" s="44" t="inlineStr">
        <is>
          <t>14.01.2026</t>
        </is>
      </c>
      <c r="E5" s="44" t="inlineStr">
        <is>
          <t>05.09.2035</t>
        </is>
      </c>
      <c r="F5" s="44" t="n">
        <v>3521</v>
      </c>
      <c r="G5" s="44" t="inlineStr">
        <is>
          <t>6 ay</t>
        </is>
      </c>
      <c r="H5" s="15" t="n">
        <v>15.03</v>
      </c>
      <c r="I5" s="45" t="n">
        <v>11436000</v>
      </c>
      <c r="J5" s="45" t="n">
        <v>13549312.55</v>
      </c>
      <c r="K5" s="45" t="n">
        <v>5696000</v>
      </c>
      <c r="L5" s="45" t="n">
        <v>6783145.3</v>
      </c>
      <c r="M5" s="45" t="n">
        <v>0</v>
      </c>
      <c r="N5" s="45" t="n">
        <v>0</v>
      </c>
      <c r="O5" s="45" t="n">
        <v>7137698.801</v>
      </c>
      <c r="P5" s="45" t="n">
        <v>8499999.99416</v>
      </c>
      <c r="Q5" s="45" t="n">
        <v>0</v>
      </c>
      <c r="R5" s="45" t="n">
        <v>0</v>
      </c>
      <c r="S5" s="45" t="n">
        <v>12833698.801</v>
      </c>
      <c r="T5" s="45" t="n">
        <v>15283145.29416</v>
      </c>
      <c r="U5" s="15" t="n">
        <v>13.62</v>
      </c>
      <c r="V5" s="15" t="n">
        <v>29.09</v>
      </c>
      <c r="W5" s="49" t="n">
        <v>119.086</v>
      </c>
    </row>
    <row r="6">
      <c r="A6" s="44" t="inlineStr">
        <is>
          <t>TL Cinsi Sabit Faizli Kuponlu Senetler</t>
        </is>
      </c>
      <c r="B6" s="44" t="n">
        <v>2026</v>
      </c>
      <c r="C6" s="44" t="inlineStr">
        <is>
          <t>TRT021030T18</t>
        </is>
      </c>
      <c r="D6" s="44" t="inlineStr">
        <is>
          <t>11.02.2026</t>
        </is>
      </c>
      <c r="E6" s="44" t="inlineStr">
        <is>
          <t>02.10.2030</t>
        </is>
      </c>
      <c r="F6" s="44" t="n">
        <v>1694</v>
      </c>
      <c r="G6" s="44" t="inlineStr">
        <is>
          <t>6 ay</t>
        </is>
      </c>
      <c r="H6" s="15" t="n">
        <v>16.95</v>
      </c>
      <c r="I6" s="45" t="n">
        <v>31945100</v>
      </c>
      <c r="J6" s="45" t="n">
        <v>38145377.913</v>
      </c>
      <c r="K6" s="45" t="n">
        <v>17956000</v>
      </c>
      <c r="L6" s="45" t="n">
        <v>21469053.7</v>
      </c>
      <c r="M6" s="45" t="n">
        <v>4181825.785</v>
      </c>
      <c r="N6" s="45" t="n">
        <v>4999999.99984</v>
      </c>
      <c r="O6" s="45" t="n">
        <v>14636390.241</v>
      </c>
      <c r="P6" s="45" t="n">
        <v>17499999.99166</v>
      </c>
      <c r="Q6" s="45" t="n">
        <v>0</v>
      </c>
      <c r="R6" s="45" t="n">
        <v>0</v>
      </c>
      <c r="S6" s="45" t="n">
        <v>36774216.026</v>
      </c>
      <c r="T6" s="45" t="n">
        <v>43969053.6915</v>
      </c>
      <c r="U6" s="15" t="n">
        <v>15.27</v>
      </c>
      <c r="V6" s="15" t="n">
        <v>32.86</v>
      </c>
      <c r="W6" s="49" t="n">
        <v>119.565</v>
      </c>
    </row>
    <row r="7">
      <c r="A7" s="44" t="inlineStr">
        <is>
          <t>TL Cinsi Sabit Faizli Kuponlu Senetler</t>
        </is>
      </c>
      <c r="B7" s="44" t="n">
        <v>2026</v>
      </c>
      <c r="C7" s="44" t="inlineStr">
        <is>
          <t>TRT131027T36</t>
        </is>
      </c>
      <c r="D7" s="44" t="inlineStr">
        <is>
          <t>18.02.2026</t>
        </is>
      </c>
      <c r="E7" s="44" t="inlineStr">
        <is>
          <t>13.10.2027</t>
        </is>
      </c>
      <c r="F7" s="44" t="n">
        <v>602</v>
      </c>
      <c r="G7" s="44" t="inlineStr">
        <is>
          <t>6 ay</t>
        </is>
      </c>
      <c r="H7" s="15" t="n">
        <v>18.39</v>
      </c>
      <c r="I7" s="45" t="n">
        <v>71691670</v>
      </c>
      <c r="J7" s="45" t="n">
        <v>83453151.7397</v>
      </c>
      <c r="K7" s="45" t="n">
        <v>26782000</v>
      </c>
      <c r="L7" s="45" t="n">
        <v>31232782.47</v>
      </c>
      <c r="M7" s="45" t="n">
        <v>15460602.472</v>
      </c>
      <c r="N7" s="45" t="n">
        <v>18029999.99683</v>
      </c>
      <c r="O7" s="45" t="n">
        <v>15434877.674</v>
      </c>
      <c r="P7" s="45" t="n">
        <v>17999999.99463</v>
      </c>
      <c r="Q7" s="45" t="n">
        <v>11215246.989</v>
      </c>
      <c r="R7" s="45" t="n">
        <v>13079108.8861</v>
      </c>
      <c r="S7" s="45" t="n">
        <v>68892727.13500001</v>
      </c>
      <c r="T7" s="45" t="n">
        <v>80341891.34756</v>
      </c>
      <c r="U7" s="15" t="n">
        <v>16.64</v>
      </c>
      <c r="V7" s="15" t="n">
        <v>36.05</v>
      </c>
      <c r="W7" s="49" t="n">
        <v>116.619</v>
      </c>
    </row>
    <row r="8">
      <c r="A8" s="44" t="inlineStr">
        <is>
          <t>TL Cinsi Sabit Faizli Kuponlu Senetler</t>
        </is>
      </c>
      <c r="B8" s="44" t="n">
        <v>2026</v>
      </c>
      <c r="C8" s="44" t="inlineStr">
        <is>
          <t>TRT021030T18</t>
        </is>
      </c>
      <c r="D8" s="44" t="inlineStr">
        <is>
          <t>18.03.2026</t>
        </is>
      </c>
      <c r="E8" s="44" t="inlineStr">
        <is>
          <t>02.10.2030</t>
        </is>
      </c>
      <c r="F8" s="44" t="n">
        <v>1659</v>
      </c>
      <c r="G8" s="44" t="inlineStr">
        <is>
          <t>6 ay</t>
        </is>
      </c>
      <c r="H8" s="15" t="n">
        <v>16.95</v>
      </c>
      <c r="I8" s="45" t="n">
        <v>18048000</v>
      </c>
      <c r="J8" s="45" t="n">
        <v>20712826.2</v>
      </c>
      <c r="K8" s="45" t="n">
        <v>11790000</v>
      </c>
      <c r="L8" s="45" t="n">
        <v>13559324.9</v>
      </c>
      <c r="M8" s="45" t="n">
        <v>4347561.452</v>
      </c>
      <c r="N8" s="45" t="n">
        <v>4999999.9991</v>
      </c>
      <c r="O8" s="45" t="n">
        <v>3912805.303</v>
      </c>
      <c r="P8" s="45" t="n">
        <v>4499999.99483</v>
      </c>
      <c r="Q8" s="45" t="n">
        <v>4622165.497</v>
      </c>
      <c r="R8" s="45" t="n">
        <v>5315813.87313</v>
      </c>
      <c r="S8" s="45" t="n">
        <v>24672532.252</v>
      </c>
      <c r="T8" s="45" t="n">
        <v>28375138.76706</v>
      </c>
      <c r="U8" s="15" t="n">
        <v>16.92</v>
      </c>
      <c r="V8" s="15" t="n">
        <v>36.69</v>
      </c>
      <c r="W8" s="49" t="n">
        <v>115.007</v>
      </c>
    </row>
    <row r="9">
      <c r="A9" s="44" t="inlineStr">
        <is>
          <t>TL Cinsi Sabit Faizli Kuponlu Senetler</t>
        </is>
      </c>
      <c r="B9" s="44" t="n">
        <v>2026</v>
      </c>
      <c r="C9" s="44" t="inlineStr">
        <is>
          <t>TRT051033T12</t>
        </is>
      </c>
      <c r="D9" s="44" t="inlineStr">
        <is>
          <t>18.03.2026</t>
        </is>
      </c>
      <c r="E9" s="44" t="inlineStr">
        <is>
          <t>05.10.2033</t>
        </is>
      </c>
      <c r="F9" s="44" t="n">
        <v>2758</v>
      </c>
      <c r="G9" s="44" t="inlineStr">
        <is>
          <t>6 ay</t>
        </is>
      </c>
      <c r="H9" s="15" t="n">
        <v>13.1</v>
      </c>
      <c r="I9" s="45" t="n">
        <v>17977000</v>
      </c>
      <c r="J9" s="45" t="n">
        <v>17373288.55</v>
      </c>
      <c r="K9" s="45" t="n">
        <v>2830000</v>
      </c>
      <c r="L9" s="45" t="n">
        <v>2749466.2</v>
      </c>
      <c r="M9" s="45" t="n">
        <v>0</v>
      </c>
      <c r="N9" s="45" t="n">
        <v>0</v>
      </c>
      <c r="O9" s="45" t="n">
        <v>1029293.696</v>
      </c>
      <c r="P9" s="45" t="n">
        <v>999999.99741</v>
      </c>
      <c r="Q9" s="45" t="n">
        <v>1673200</v>
      </c>
      <c r="R9" s="45" t="n">
        <v>1625580.728</v>
      </c>
      <c r="S9" s="45" t="n">
        <v>5532493.696</v>
      </c>
      <c r="T9" s="45" t="n">
        <v>5375046.92541</v>
      </c>
      <c r="U9" s="15" t="n">
        <v>15.51</v>
      </c>
      <c r="V9" s="15" t="n">
        <v>33.43</v>
      </c>
      <c r="W9" s="49" t="n">
        <v>97.154</v>
      </c>
    </row>
    <row r="10">
      <c r="A10" s="44" t="inlineStr">
        <is>
          <t>TL Cinsi Sabit Faizli Kuponlu Senetler</t>
        </is>
      </c>
      <c r="B10" s="44" t="n">
        <v>2026</v>
      </c>
      <c r="C10" s="44" t="inlineStr">
        <is>
          <t>TRT150328T24</t>
        </is>
      </c>
      <c r="D10" s="44" t="inlineStr">
        <is>
          <t>18.03.2026</t>
        </is>
      </c>
      <c r="E10" s="44" t="inlineStr">
        <is>
          <t>15.03.2028</t>
        </is>
      </c>
      <c r="F10" s="44" t="n">
        <v>728</v>
      </c>
      <c r="G10" s="44" t="inlineStr">
        <is>
          <t>6 ay</t>
        </is>
      </c>
      <c r="H10" s="15" t="n">
        <v>18.4</v>
      </c>
      <c r="I10" s="45" t="n">
        <v>26491000</v>
      </c>
      <c r="J10" s="45" t="n">
        <v>26477071.55</v>
      </c>
      <c r="K10" s="45" t="n">
        <v>8555000</v>
      </c>
      <c r="L10" s="45" t="n">
        <v>8573441.5</v>
      </c>
      <c r="M10" s="45" t="n">
        <v>4989223.277</v>
      </c>
      <c r="N10" s="45" t="n">
        <v>4999999.99928</v>
      </c>
      <c r="O10" s="45" t="n">
        <v>6485990.256</v>
      </c>
      <c r="P10" s="45" t="n">
        <v>6499999.99496</v>
      </c>
      <c r="Q10" s="45" t="n">
        <v>2763809.965</v>
      </c>
      <c r="R10" s="45" t="n">
        <v>2769779.79453</v>
      </c>
      <c r="S10" s="45" t="n">
        <v>22794023.498</v>
      </c>
      <c r="T10" s="45" t="n">
        <v>22843221.28877</v>
      </c>
      <c r="U10" s="15" t="n">
        <v>18.32</v>
      </c>
      <c r="V10" s="15" t="n">
        <v>39.99</v>
      </c>
      <c r="W10" s="49" t="n">
        <v>100.216</v>
      </c>
    </row>
    <row r="11">
      <c r="A11" s="44" t="inlineStr">
        <is>
          <t>TL Cinsi Sabit Faizli Kuponlu Senetler</t>
        </is>
      </c>
      <c r="B11" s="44" t="n">
        <v>2026</v>
      </c>
      <c r="C11" s="44" t="inlineStr">
        <is>
          <t>TRT150328T24</t>
        </is>
      </c>
      <c r="D11" s="44" t="inlineStr">
        <is>
          <t>22.04.2026</t>
        </is>
      </c>
      <c r="E11" s="44" t="inlineStr">
        <is>
          <t>15.03.2028</t>
        </is>
      </c>
      <c r="F11" s="44" t="n">
        <v>693</v>
      </c>
      <c r="G11" s="44" t="inlineStr">
        <is>
          <t>6 ay</t>
        </is>
      </c>
      <c r="H11" s="15" t="n">
        <v>18.4</v>
      </c>
      <c r="I11" s="45" t="n">
        <v>21568000</v>
      </c>
      <c r="J11" s="45" t="n">
        <v>22309996.63</v>
      </c>
      <c r="K11" s="45" t="n">
        <v>10936000</v>
      </c>
      <c r="L11" s="45" t="n">
        <v>11339528.28</v>
      </c>
      <c r="M11" s="45" t="n">
        <v>14688012.341</v>
      </c>
      <c r="N11" s="45" t="n">
        <v>15229999.99639</v>
      </c>
      <c r="O11" s="45" t="n">
        <v>4822065.768</v>
      </c>
      <c r="P11" s="45" t="n">
        <v>4999999.99483</v>
      </c>
      <c r="Q11" s="45" t="n">
        <v>0</v>
      </c>
      <c r="R11" s="45" t="n">
        <v>0</v>
      </c>
      <c r="S11" s="45" t="n">
        <v>30446078.109</v>
      </c>
      <c r="T11" s="45" t="n">
        <v>31569528.27122</v>
      </c>
      <c r="U11" s="15" t="n">
        <v>18.25</v>
      </c>
      <c r="V11" s="15" t="n">
        <v>39.83</v>
      </c>
      <c r="W11" s="49" t="n">
        <v>103.69</v>
      </c>
    </row>
    <row r="12">
      <c r="A12" s="44" t="inlineStr">
        <is>
          <t>TL Cinsi Sabit Faizli Kuponlu Senetler</t>
        </is>
      </c>
      <c r="B12" s="44" t="n">
        <v>2026</v>
      </c>
      <c r="C12" s="44" t="inlineStr">
        <is>
          <t>TRT160431T35</t>
        </is>
      </c>
      <c r="D12" s="44" t="inlineStr">
        <is>
          <t>22.04.2026</t>
        </is>
      </c>
      <c r="E12" s="44" t="inlineStr">
        <is>
          <t>16.04.2031</t>
        </is>
      </c>
      <c r="F12" s="44" t="n">
        <v>1820</v>
      </c>
      <c r="G12" s="44" t="inlineStr">
        <is>
          <t>6 ay</t>
        </is>
      </c>
      <c r="H12" s="15" t="n">
        <v>16.63</v>
      </c>
      <c r="I12" s="45" t="n">
        <v>19171540</v>
      </c>
      <c r="J12" s="45" t="n">
        <v>19039778.2922</v>
      </c>
      <c r="K12" s="45" t="n">
        <v>11529000</v>
      </c>
      <c r="L12" s="45" t="n">
        <v>11491910.44</v>
      </c>
      <c r="M12" s="45" t="n">
        <v>10032304.018</v>
      </c>
      <c r="N12" s="45" t="n">
        <v>9999999.999059999</v>
      </c>
      <c r="O12" s="45" t="n">
        <v>5016152.005</v>
      </c>
      <c r="P12" s="45" t="n">
        <v>4999999.99554</v>
      </c>
      <c r="Q12" s="45" t="n">
        <v>0</v>
      </c>
      <c r="R12" s="45" t="n">
        <v>0</v>
      </c>
      <c r="S12" s="45" t="n">
        <v>26577456.023</v>
      </c>
      <c r="T12" s="45" t="n">
        <v>26491910.4346</v>
      </c>
      <c r="U12" s="15" t="n">
        <v>16.7</v>
      </c>
      <c r="V12" s="15" t="n">
        <v>36.18</v>
      </c>
      <c r="W12" s="49" t="n">
        <v>99.678</v>
      </c>
    </row>
    <row r="13">
      <c r="A13" s="44" t="inlineStr">
        <is>
          <t>TL Cinsi Sabit Faizli Kuponlu Senetler</t>
        </is>
      </c>
      <c r="B13" s="44" t="n">
        <v>2026</v>
      </c>
      <c r="C13" s="44" t="inlineStr">
        <is>
          <t>TRT160431T35</t>
        </is>
      </c>
      <c r="D13" s="44" t="inlineStr">
        <is>
          <t>06.05.2026</t>
        </is>
      </c>
      <c r="E13" s="44" t="inlineStr">
        <is>
          <t>16.04.2031</t>
        </is>
      </c>
      <c r="F13" s="44" t="n">
        <v>1806</v>
      </c>
      <c r="G13" s="44" t="inlineStr">
        <is>
          <t>6 ay</t>
        </is>
      </c>
      <c r="H13" s="15" t="n">
        <v>16.63</v>
      </c>
      <c r="I13" s="45" t="n">
        <v>15358000</v>
      </c>
      <c r="J13" s="45" t="n">
        <v>14824627.13</v>
      </c>
      <c r="K13" s="45" t="n">
        <v>10570000</v>
      </c>
      <c r="L13" s="45" t="n">
        <v>10222170.4</v>
      </c>
      <c r="M13" s="45" t="n">
        <v>5170149.624</v>
      </c>
      <c r="N13" s="45" t="n">
        <v>4999999.99987</v>
      </c>
      <c r="O13" s="45" t="n">
        <v>5170149.62</v>
      </c>
      <c r="P13" s="45" t="n">
        <v>4999999.996</v>
      </c>
      <c r="Q13" s="45" t="n">
        <v>5830907.907</v>
      </c>
      <c r="R13" s="45" t="n">
        <v>5639012.72778</v>
      </c>
      <c r="S13" s="45" t="n">
        <v>26741207.151</v>
      </c>
      <c r="T13" s="45" t="n">
        <v>25861183.12365</v>
      </c>
      <c r="U13" s="15" t="n">
        <v>17.62</v>
      </c>
      <c r="V13" s="15" t="n">
        <v>38.33</v>
      </c>
      <c r="W13" s="49" t="n">
        <v>96.709</v>
      </c>
    </row>
    <row r="14">
      <c r="A14" s="44" t="inlineStr">
        <is>
          <t>TL Cinsi Sabit Faizli Kuponlu Senetler</t>
        </is>
      </c>
      <c r="B14" s="44" t="n">
        <v>2026</v>
      </c>
      <c r="C14" s="44" t="inlineStr">
        <is>
          <t>TRT150328T24</t>
        </is>
      </c>
      <c r="D14" s="44" t="inlineStr">
        <is>
          <t>13.05.2026</t>
        </is>
      </c>
      <c r="E14" s="44" t="inlineStr">
        <is>
          <t>15.03.2028</t>
        </is>
      </c>
      <c r="F14" s="44" t="n">
        <v>672</v>
      </c>
      <c r="G14" s="44" t="inlineStr">
        <is>
          <t>6 ay</t>
        </is>
      </c>
      <c r="H14" s="15" t="n">
        <v>18.4</v>
      </c>
      <c r="I14" s="45" t="n">
        <v>14822000</v>
      </c>
      <c r="J14" s="45" t="n">
        <v>15338813.42</v>
      </c>
      <c r="K14" s="45" t="n">
        <v>9472000</v>
      </c>
      <c r="L14" s="45" t="n">
        <v>9815504.460000001</v>
      </c>
      <c r="M14" s="45" t="n">
        <v>10807994.054</v>
      </c>
      <c r="N14" s="45" t="n">
        <v>11199999.99834</v>
      </c>
      <c r="O14" s="45" t="n">
        <v>7333995.962</v>
      </c>
      <c r="P14" s="45" t="n">
        <v>7599999.99554</v>
      </c>
      <c r="Q14" s="45" t="n">
        <v>0</v>
      </c>
      <c r="R14" s="45" t="n">
        <v>0</v>
      </c>
      <c r="S14" s="45" t="n">
        <v>27613990.016</v>
      </c>
      <c r="T14" s="45" t="n">
        <v>28615504.45388</v>
      </c>
      <c r="U14" s="15" t="n">
        <v>19.08</v>
      </c>
      <c r="V14" s="15" t="n">
        <v>41.8</v>
      </c>
      <c r="W14" s="49" t="n">
        <v>103.627</v>
      </c>
    </row>
    <row r="15">
      <c r="A15" s="44" t="inlineStr">
        <is>
          <t>TL Cinsi Sabit Faizli Kuponlu Senetler</t>
        </is>
      </c>
      <c r="B15" s="44" t="n">
        <v>2026</v>
      </c>
      <c r="C15" s="44" t="inlineStr">
        <is>
          <t>TRT150328T24</t>
        </is>
      </c>
      <c r="D15" s="44" t="inlineStr">
        <is>
          <t>17.06.2026</t>
        </is>
      </c>
      <c r="E15" s="44" t="inlineStr">
        <is>
          <t>15.03.2028</t>
        </is>
      </c>
      <c r="F15" s="44" t="n">
        <v>637</v>
      </c>
      <c r="G15" s="44" t="inlineStr">
        <is>
          <t>6 ay</t>
        </is>
      </c>
      <c r="H15" s="15" t="n">
        <v>18.4</v>
      </c>
      <c r="I15" s="45" t="n">
        <v>22769000</v>
      </c>
      <c r="J15" s="45" t="n">
        <v>24296022.1</v>
      </c>
      <c r="K15" s="45" t="n">
        <v>7097000</v>
      </c>
      <c r="L15" s="45" t="n">
        <v>7596222.65</v>
      </c>
      <c r="M15" s="45" t="n">
        <v>19246220.826</v>
      </c>
      <c r="N15" s="45" t="n">
        <v>20599999.99891</v>
      </c>
      <c r="O15" s="45" t="n">
        <v>3737130.254</v>
      </c>
      <c r="P15" s="45" t="n">
        <v>3999999.99605</v>
      </c>
      <c r="Q15" s="45" t="n">
        <v>1786219</v>
      </c>
      <c r="R15" s="45" t="n">
        <v>1911861.64446</v>
      </c>
      <c r="S15" s="45" t="n">
        <v>31866570.08</v>
      </c>
      <c r="T15" s="45" t="n">
        <v>34108084.28942</v>
      </c>
      <c r="U15" s="15" t="n">
        <v>19.14</v>
      </c>
      <c r="V15" s="15" t="n">
        <v>41.93</v>
      </c>
      <c r="W15" s="49" t="n">
        <v>107.034</v>
      </c>
    </row>
    <row r="16">
      <c r="A16" s="44" t="inlineStr">
        <is>
          <t>TL Cinsi Sabit Faizli Kuponlu Senetler</t>
        </is>
      </c>
      <c r="B16" s="44" t="n">
        <v>2026</v>
      </c>
      <c r="C16" s="44" t="inlineStr">
        <is>
          <t>TRT160431T35</t>
        </is>
      </c>
      <c r="D16" s="44" t="inlineStr">
        <is>
          <t>17.06.2026</t>
        </is>
      </c>
      <c r="E16" s="44" t="inlineStr">
        <is>
          <t>16.04.2031</t>
        </is>
      </c>
      <c r="F16" s="44" t="n">
        <v>1764</v>
      </c>
      <c r="G16" s="44" t="inlineStr">
        <is>
          <t>6 ay</t>
        </is>
      </c>
      <c r="H16" s="15" t="n">
        <v>16.63</v>
      </c>
      <c r="I16" s="45" t="n">
        <v>13661000</v>
      </c>
      <c r="J16" s="45" t="n">
        <v>13794374.01</v>
      </c>
      <c r="K16" s="45" t="n">
        <v>9695000</v>
      </c>
      <c r="L16" s="45" t="n">
        <v>9804129.640000001</v>
      </c>
      <c r="M16" s="45" t="n">
        <v>14832980.637</v>
      </c>
      <c r="N16" s="45" t="n">
        <v>14999999.99898</v>
      </c>
      <c r="O16" s="45" t="n">
        <v>4944326.874</v>
      </c>
      <c r="P16" s="45" t="n">
        <v>4999999.99459</v>
      </c>
      <c r="Q16" s="45" t="n">
        <v>2100000</v>
      </c>
      <c r="R16" s="45" t="n">
        <v>2123646</v>
      </c>
      <c r="S16" s="45" t="n">
        <v>31572307.511</v>
      </c>
      <c r="T16" s="45" t="n">
        <v>31927775.63357</v>
      </c>
      <c r="U16" s="15" t="n">
        <v>17.45</v>
      </c>
      <c r="V16" s="15" t="n">
        <v>37.94</v>
      </c>
      <c r="W16" s="49" t="n">
        <v>101.126</v>
      </c>
    </row>
    <row r="17">
      <c r="A17" s="44" t="inlineStr">
        <is>
          <t>TL Cinsi Sabit Faizli Kuponlu Senetler</t>
        </is>
      </c>
      <c r="B17" s="44" t="n">
        <v>2026</v>
      </c>
      <c r="C17" s="44" t="inlineStr">
        <is>
          <t>TRT160431T35</t>
        </is>
      </c>
      <c r="D17" s="44" t="inlineStr">
        <is>
          <t>08.07.2026</t>
        </is>
      </c>
      <c r="E17" s="44" t="inlineStr">
        <is>
          <t>16.04.2031</t>
        </is>
      </c>
      <c r="F17" s="44" t="n">
        <v>1743</v>
      </c>
      <c r="G17" s="44" t="inlineStr">
        <is>
          <t>6 ay</t>
        </is>
      </c>
      <c r="H17" s="15" t="n">
        <v>16.63</v>
      </c>
      <c r="I17" s="45" t="n">
        <v>14788500</v>
      </c>
      <c r="J17" s="45" t="n">
        <v>15204039.6</v>
      </c>
      <c r="K17" s="45" t="n">
        <v>9735000</v>
      </c>
      <c r="L17" s="45" t="n">
        <v>10023464.5</v>
      </c>
      <c r="M17" s="45" t="n">
        <v>7769781.377</v>
      </c>
      <c r="N17" s="45" t="n">
        <v>7999999.9992</v>
      </c>
      <c r="O17" s="45" t="n">
        <v>14568340.077</v>
      </c>
      <c r="P17" s="45" t="n">
        <v>14999999.99348</v>
      </c>
      <c r="Q17" s="45" t="n">
        <v>0</v>
      </c>
      <c r="R17" s="45" t="n">
        <v>0</v>
      </c>
      <c r="S17" s="45" t="n">
        <v>32073121.454</v>
      </c>
      <c r="T17" s="45" t="n">
        <v>33023464.49268</v>
      </c>
      <c r="U17" s="15" t="n">
        <v>17.46</v>
      </c>
      <c r="V17" s="15" t="n">
        <v>37.97</v>
      </c>
      <c r="W17" s="49" t="n">
        <v>102.963</v>
      </c>
    </row>
    <row r="18">
      <c r="A18" s="44" t="inlineStr">
        <is>
          <t>TL Cinsi Sabit Faizli Kuponlu Senetler</t>
        </is>
      </c>
      <c r="B18" s="44" t="n">
        <v>2026</v>
      </c>
      <c r="C18" s="44" t="inlineStr">
        <is>
          <t>TRT150328T24</t>
        </is>
      </c>
      <c r="D18" s="44" t="inlineStr">
        <is>
          <t>22.07.2026</t>
        </is>
      </c>
      <c r="E18" s="44" t="inlineStr">
        <is>
          <t>15.03.2028</t>
        </is>
      </c>
      <c r="F18" s="44" t="n">
        <v>602</v>
      </c>
      <c r="G18" s="44" t="inlineStr">
        <is>
          <t>6 ay</t>
        </is>
      </c>
      <c r="H18" s="15" t="n">
        <v>18.4</v>
      </c>
      <c r="I18" s="45" t="n">
        <v>41666915</v>
      </c>
      <c r="J18" s="45" t="n">
        <v>46033302.50989</v>
      </c>
      <c r="K18" s="45" t="n">
        <v>22694515</v>
      </c>
      <c r="L18" s="45" t="n">
        <v>25109809.66189</v>
      </c>
      <c r="M18" s="45" t="n">
        <v>3072946.322</v>
      </c>
      <c r="N18" s="45" t="n">
        <v>3399999.99904</v>
      </c>
      <c r="O18" s="45" t="n">
        <v>5422846.446</v>
      </c>
      <c r="P18" s="45" t="n">
        <v>5999999.99325</v>
      </c>
      <c r="Q18" s="45" t="n">
        <v>2545341.322</v>
      </c>
      <c r="R18" s="45" t="n">
        <v>2816241.9989</v>
      </c>
      <c r="S18" s="45" t="n">
        <v>33735649.09</v>
      </c>
      <c r="T18" s="45" t="n">
        <v>37326051.65308</v>
      </c>
      <c r="U18" s="15" t="n">
        <v>19.16</v>
      </c>
      <c r="V18" s="15" t="n">
        <v>41.99</v>
      </c>
      <c r="W18" s="49" t="n">
        <v>110.643</v>
      </c>
    </row>
    <row r="19">
      <c r="A19" s="44" t="inlineStr">
        <is>
          <t>TL Cinsi Sabit Faizli Kuponlu Senetler</t>
        </is>
      </c>
      <c r="B19" s="44" t="n">
        <v>2026</v>
      </c>
      <c r="C19" s="44" t="inlineStr">
        <is>
          <t>TRT150328T24</t>
        </is>
      </c>
      <c r="D19" s="44" t="inlineStr">
        <is>
          <t>12.08.2026</t>
        </is>
      </c>
      <c r="E19" s="44" t="inlineStr">
        <is>
          <t>15.03.2028</t>
        </is>
      </c>
      <c r="F19" s="44" t="n">
        <v>581</v>
      </c>
      <c r="G19" s="44" t="inlineStr">
        <is>
          <t>6 ay</t>
        </is>
      </c>
      <c r="H19" s="15" t="n">
        <v>18.4</v>
      </c>
      <c r="I19" s="45" t="n">
        <v>62589000</v>
      </c>
      <c r="J19" s="45" t="n">
        <v>70770321.73999999</v>
      </c>
      <c r="K19" s="45" t="n">
        <v>30447000</v>
      </c>
      <c r="L19" s="45" t="n">
        <v>34463824.65</v>
      </c>
      <c r="M19" s="45" t="n">
        <v>14576873.126</v>
      </c>
      <c r="N19" s="45" t="n">
        <v>16499999.99751</v>
      </c>
      <c r="O19" s="45" t="n">
        <v>18552383.976</v>
      </c>
      <c r="P19" s="45" t="n">
        <v>20999999.99396</v>
      </c>
      <c r="Q19" s="45" t="n">
        <v>11466565.236</v>
      </c>
      <c r="R19" s="45" t="n">
        <v>12979349.1876</v>
      </c>
      <c r="S19" s="45" t="n">
        <v>75042822.338</v>
      </c>
      <c r="T19" s="45" t="n">
        <v>84943173.82907</v>
      </c>
      <c r="U19" s="15" t="n">
        <v>19.03</v>
      </c>
      <c r="V19" s="15" t="n">
        <v>41.68</v>
      </c>
      <c r="W19" s="49" t="n">
        <v>113.193</v>
      </c>
    </row>
    <row r="20">
      <c r="A20" s="44" t="inlineStr">
        <is>
          <t>TL Cinsi Sabit Faizli Kuponlu Senetler</t>
        </is>
      </c>
      <c r="B20" s="44" t="n">
        <v>2026</v>
      </c>
      <c r="C20" s="44" t="inlineStr">
        <is>
          <t>TRT160431T35</t>
        </is>
      </c>
      <c r="D20" s="44" t="inlineStr">
        <is>
          <t>12.08.2026</t>
        </is>
      </c>
      <c r="E20" s="44" t="inlineStr">
        <is>
          <t>16.04.2031</t>
        </is>
      </c>
      <c r="F20" s="44" t="n">
        <v>1708</v>
      </c>
      <c r="G20" s="44" t="inlineStr">
        <is>
          <t>6 ay</t>
        </is>
      </c>
      <c r="H20" s="15" t="n">
        <v>16.63</v>
      </c>
      <c r="I20" s="45" t="n">
        <v>13718000</v>
      </c>
      <c r="J20" s="45" t="n">
        <v>14174530.07</v>
      </c>
      <c r="K20" s="45" t="n">
        <v>6835000</v>
      </c>
      <c r="L20" s="45" t="n">
        <v>7095268.7</v>
      </c>
      <c r="M20" s="45" t="n">
        <v>6068896.423</v>
      </c>
      <c r="N20" s="45" t="n">
        <v>6299999.99879</v>
      </c>
      <c r="O20" s="45" t="n">
        <v>7706535.138</v>
      </c>
      <c r="P20" s="45" t="n">
        <v>7999999.99606</v>
      </c>
      <c r="Q20" s="45" t="n">
        <v>2605135.68</v>
      </c>
      <c r="R20" s="45" t="n">
        <v>2704339.2467</v>
      </c>
      <c r="S20" s="45" t="n">
        <v>23215567.241</v>
      </c>
      <c r="T20" s="45" t="n">
        <v>24099607.94155</v>
      </c>
      <c r="U20" s="15" t="n">
        <v>18.02</v>
      </c>
      <c r="V20" s="15" t="n">
        <v>39.29</v>
      </c>
      <c r="W20" s="49" t="n">
        <v>103.808</v>
      </c>
    </row>
    <row r="21">
      <c r="A21" s="44" t="inlineStr">
        <is>
          <t>TL Cinsi Sabit Faizli Kuponlu Senetler</t>
        </is>
      </c>
      <c r="B21" s="44" t="n">
        <v>2026</v>
      </c>
      <c r="C21" s="44" t="inlineStr">
        <is>
          <t>TRT050935T13</t>
        </is>
      </c>
      <c r="D21" s="44" t="inlineStr">
        <is>
          <t>19.08.2026</t>
        </is>
      </c>
      <c r="E21" s="44" t="inlineStr">
        <is>
          <t>05.09.2035</t>
        </is>
      </c>
      <c r="F21" s="44" t="n">
        <v>3304</v>
      </c>
      <c r="G21" s="44" t="inlineStr">
        <is>
          <t>6 ay</t>
        </is>
      </c>
      <c r="H21" s="15" t="n">
        <v>15.03</v>
      </c>
      <c r="I21" s="45" t="n">
        <v>56635000</v>
      </c>
      <c r="J21" s="45" t="n">
        <v>59700985.95</v>
      </c>
      <c r="K21" s="45" t="n">
        <v>34500000</v>
      </c>
      <c r="L21" s="45" t="n">
        <v>36427099.25</v>
      </c>
      <c r="M21" s="45" t="n">
        <v>3788381.035</v>
      </c>
      <c r="N21" s="45" t="n">
        <v>3999999.99962</v>
      </c>
      <c r="O21" s="45" t="n">
        <v>32201238.797</v>
      </c>
      <c r="P21" s="45" t="n">
        <v>33999999.99621</v>
      </c>
      <c r="Q21" s="45" t="n">
        <v>0</v>
      </c>
      <c r="R21" s="45" t="n">
        <v>0</v>
      </c>
      <c r="S21" s="45" t="n">
        <v>70489619.83199999</v>
      </c>
      <c r="T21" s="45" t="n">
        <v>74427099.24583001</v>
      </c>
      <c r="U21" s="15" t="n">
        <v>16.24</v>
      </c>
      <c r="V21" s="15" t="n">
        <v>35.12</v>
      </c>
      <c r="W21" s="49" t="n">
        <v>105.586</v>
      </c>
    </row>
    <row r="22">
      <c r="A22" s="44" t="inlineStr">
        <is>
          <t>TL Cinsi Sabit Faizli Kuponlu Senetler</t>
        </is>
      </c>
      <c r="B22" s="44" t="n">
        <v>2026</v>
      </c>
      <c r="C22" s="44" t="inlineStr">
        <is>
          <t>TRT130928T38</t>
        </is>
      </c>
      <c r="D22" s="44" t="inlineStr">
        <is>
          <t>16.09.2026</t>
        </is>
      </c>
      <c r="E22" s="44" t="inlineStr">
        <is>
          <t>13.09.2028</t>
        </is>
      </c>
      <c r="F22" s="44" t="n">
        <v>728</v>
      </c>
      <c r="G22" s="44" t="inlineStr">
        <is>
          <t>6 ay</t>
        </is>
      </c>
      <c r="H22" s="15" t="n">
        <v>18</v>
      </c>
      <c r="I22" s="45" t="n">
        <v>63933001.075</v>
      </c>
      <c r="J22" s="45" t="n">
        <v>63266139.44975</v>
      </c>
      <c r="K22" s="45" t="n">
        <v>34757000</v>
      </c>
      <c r="L22" s="45" t="n">
        <v>34464455.29</v>
      </c>
      <c r="M22" s="45" t="n">
        <v>15883741.099</v>
      </c>
      <c r="N22" s="45" t="n">
        <v>15749999.99894</v>
      </c>
      <c r="O22" s="45" t="n">
        <v>9580669.229</v>
      </c>
      <c r="P22" s="45" t="n">
        <v>9499999.99409</v>
      </c>
      <c r="Q22" s="45" t="n">
        <v>0</v>
      </c>
      <c r="R22" s="45" t="n">
        <v>0</v>
      </c>
      <c r="S22" s="45" t="n">
        <v>60221410.328</v>
      </c>
      <c r="T22" s="45" t="n">
        <v>59714455.28303</v>
      </c>
      <c r="U22" s="15" t="n">
        <v>18.31</v>
      </c>
      <c r="V22" s="15" t="n">
        <v>39.98</v>
      </c>
      <c r="W22" s="49" t="n">
        <v>99.158</v>
      </c>
    </row>
    <row r="23">
      <c r="A23" s="44" t="inlineStr">
        <is>
          <t>TL Cinsi Sabit Faizli Kuponlu Senetler</t>
        </is>
      </c>
      <c r="B23" s="44" t="n">
        <v>2026</v>
      </c>
      <c r="C23" s="44" t="inlineStr">
        <is>
          <t>TRT160431T35</t>
        </is>
      </c>
      <c r="D23" s="44" t="inlineStr">
        <is>
          <t>16.09.2026</t>
        </is>
      </c>
      <c r="E23" s="44" t="inlineStr">
        <is>
          <t>16.04.2031</t>
        </is>
      </c>
      <c r="F23" s="44" t="n">
        <v>1673</v>
      </c>
      <c r="G23" s="44" t="inlineStr">
        <is>
          <t>6 ay</t>
        </is>
      </c>
      <c r="H23" s="15" t="n">
        <v>16.63</v>
      </c>
      <c r="I23" s="45" t="n">
        <v>29102000</v>
      </c>
      <c r="J23" s="45" t="n">
        <v>31447715.85</v>
      </c>
      <c r="K23" s="45" t="n">
        <v>21912000</v>
      </c>
      <c r="L23" s="45" t="n">
        <v>23700794.81</v>
      </c>
      <c r="M23" s="45" t="n">
        <v>14098960.836</v>
      </c>
      <c r="N23" s="45" t="n">
        <v>15249999.99865</v>
      </c>
      <c r="O23" s="45" t="n">
        <v>24962094.594</v>
      </c>
      <c r="P23" s="45" t="n">
        <v>26999999.99664</v>
      </c>
      <c r="Q23" s="45" t="n">
        <v>0</v>
      </c>
      <c r="R23" s="45" t="n">
        <v>0</v>
      </c>
      <c r="S23" s="45" t="n">
        <v>60973055.42999999</v>
      </c>
      <c r="T23" s="45" t="n">
        <v>65950794.80529</v>
      </c>
      <c r="U23" s="15" t="n">
        <v>17.79</v>
      </c>
      <c r="V23" s="15" t="n">
        <v>38.73</v>
      </c>
      <c r="W23" s="49" t="n">
        <v>108.164</v>
      </c>
    </row>
    <row r="24">
      <c r="A24" s="44" t="inlineStr">
        <is>
          <t>TL Cinsi Sabit Faizli Kuponlu Senetler</t>
        </is>
      </c>
      <c r="B24" s="44" t="n">
        <v>2026</v>
      </c>
      <c r="C24" s="44" t="inlineStr">
        <is>
          <t>TRT270934T18</t>
        </is>
      </c>
      <c r="D24" s="44" t="inlineStr">
        <is>
          <t>16.09.2026</t>
        </is>
      </c>
      <c r="E24" s="44" t="inlineStr">
        <is>
          <t>27.09.2034</t>
        </is>
      </c>
      <c r="F24" s="44" t="n">
        <v>2933</v>
      </c>
      <c r="G24" s="44" t="inlineStr">
        <is>
          <t>6 ay</t>
        </is>
      </c>
      <c r="H24" s="15" t="n">
        <v>13.85</v>
      </c>
      <c r="I24" s="45" t="n">
        <v>34490000</v>
      </c>
      <c r="J24" s="45" t="n">
        <v>33930597</v>
      </c>
      <c r="K24" s="45" t="n">
        <v>25310000</v>
      </c>
      <c r="L24" s="45" t="n">
        <v>24947609</v>
      </c>
      <c r="M24" s="45" t="n">
        <v>5072640.207</v>
      </c>
      <c r="N24" s="45" t="n">
        <v>4999999.99924</v>
      </c>
      <c r="O24" s="45" t="n">
        <v>22319616.909</v>
      </c>
      <c r="P24" s="45" t="n">
        <v>21999999.99488</v>
      </c>
      <c r="Q24" s="45" t="n">
        <v>0</v>
      </c>
      <c r="R24" s="45" t="n">
        <v>0</v>
      </c>
      <c r="S24" s="45" t="n">
        <v>52702257.116</v>
      </c>
      <c r="T24" s="45" t="n">
        <v>51947608.99412</v>
      </c>
      <c r="U24" s="15" t="n">
        <v>16.27</v>
      </c>
      <c r="V24" s="15" t="n">
        <v>35.19</v>
      </c>
      <c r="W24" s="49" t="n">
        <v>98.568</v>
      </c>
    </row>
    <row r="25">
      <c r="A25" s="44" t="inlineStr">
        <is>
          <t>TL Cinsi Sabit Faizli Kuponlu Senetler</t>
        </is>
      </c>
      <c r="B25" s="44" t="n">
        <v>2026</v>
      </c>
      <c r="C25" s="44" t="inlineStr">
        <is>
          <t>TRT130928T38</t>
        </is>
      </c>
      <c r="D25" s="44" t="inlineStr">
        <is>
          <t>07.10.2026</t>
        </is>
      </c>
      <c r="E25" s="44" t="inlineStr">
        <is>
          <t>13.09.2028</t>
        </is>
      </c>
      <c r="F25" s="44" t="n">
        <v>707</v>
      </c>
      <c r="G25" s="44" t="inlineStr">
        <is>
          <t>6 ay</t>
        </is>
      </c>
      <c r="H25" s="15" t="n">
        <v>18</v>
      </c>
      <c r="I25" s="45" t="n">
        <v>38987000</v>
      </c>
      <c r="J25" s="45" t="n">
        <v>39424107.31</v>
      </c>
      <c r="K25" s="45" t="n">
        <v>23949000</v>
      </c>
      <c r="L25" s="45" t="n">
        <v>24242518.57</v>
      </c>
      <c r="M25" s="45" t="n">
        <v>3704581.826</v>
      </c>
      <c r="N25" s="45" t="n">
        <v>3749999.99918</v>
      </c>
      <c r="O25" s="45" t="n">
        <v>13830438.816</v>
      </c>
      <c r="P25" s="45" t="n">
        <v>13999999.99588</v>
      </c>
      <c r="Q25" s="45" t="n">
        <v>1368512.687</v>
      </c>
      <c r="R25" s="45" t="n">
        <v>1385290.65254</v>
      </c>
      <c r="S25" s="45" t="n">
        <v>42852533.329</v>
      </c>
      <c r="T25" s="45" t="n">
        <v>43377809.2176</v>
      </c>
      <c r="U25" s="15" t="n">
        <v>18.27</v>
      </c>
      <c r="V25" s="15" t="n">
        <v>39.87</v>
      </c>
      <c r="W25" s="49" t="n">
        <v>101.226</v>
      </c>
    </row>
    <row r="26">
      <c r="A26" s="44" t="inlineStr">
        <is>
          <t>TL Cinsi Sabit Faizli Kuponlu Senetler</t>
        </is>
      </c>
      <c r="B26" s="44" t="n">
        <v>2026</v>
      </c>
      <c r="C26" s="44" t="inlineStr">
        <is>
          <t>TRT160431T35</t>
        </is>
      </c>
      <c r="D26" s="44" t="inlineStr">
        <is>
          <t>07.10.2026</t>
        </is>
      </c>
      <c r="E26" s="44" t="inlineStr">
        <is>
          <t>16.04.2031</t>
        </is>
      </c>
      <c r="F26" s="44" t="n">
        <v>1652</v>
      </c>
      <c r="G26" s="44" t="inlineStr">
        <is>
          <t>6 ay</t>
        </is>
      </c>
      <c r="H26" s="15" t="n">
        <v>16.63</v>
      </c>
      <c r="I26" s="45" t="n">
        <v>46990000</v>
      </c>
      <c r="J26" s="45" t="n">
        <v>51754819.76</v>
      </c>
      <c r="K26" s="45" t="n">
        <v>27705000</v>
      </c>
      <c r="L26" s="45" t="n">
        <v>30547862.27</v>
      </c>
      <c r="M26" s="45" t="n">
        <v>7527593.618</v>
      </c>
      <c r="N26" s="45" t="n">
        <v>8299999.99914</v>
      </c>
      <c r="O26" s="45" t="n">
        <v>18138779.8</v>
      </c>
      <c r="P26" s="45" t="n">
        <v>19999999.99529</v>
      </c>
      <c r="Q26" s="45" t="n">
        <v>0</v>
      </c>
      <c r="R26" s="45" t="n">
        <v>0</v>
      </c>
      <c r="S26" s="45" t="n">
        <v>53371373.418</v>
      </c>
      <c r="T26" s="45" t="n">
        <v>58847862.26443</v>
      </c>
      <c r="U26" s="15" t="n">
        <v>17.78</v>
      </c>
      <c r="V26" s="15" t="n">
        <v>38.71</v>
      </c>
      <c r="W26" s="49" t="n">
        <v>110.261</v>
      </c>
    </row>
    <row r="27">
      <c r="A27" s="44" t="inlineStr">
        <is>
          <t>TL Cinsi Sabit Faizli Kuponlu Senetler</t>
        </is>
      </c>
      <c r="B27" s="44" t="n">
        <v>2026</v>
      </c>
      <c r="C27" s="44" t="inlineStr">
        <is>
          <t>TRT270934T18</t>
        </is>
      </c>
      <c r="D27" s="44" t="inlineStr">
        <is>
          <t>07.10.2026</t>
        </is>
      </c>
      <c r="E27" s="44" t="inlineStr">
        <is>
          <t>27.09.2034</t>
        </is>
      </c>
      <c r="F27" s="44" t="n">
        <v>2912</v>
      </c>
      <c r="G27" s="44" t="inlineStr">
        <is>
          <t>6 ay</t>
        </is>
      </c>
      <c r="H27" s="15" t="n">
        <v>13.85</v>
      </c>
      <c r="I27" s="45" t="n">
        <v>54690000</v>
      </c>
      <c r="J27" s="45" t="n">
        <v>45854745.35</v>
      </c>
      <c r="K27" s="45" t="n">
        <v>34315000</v>
      </c>
      <c r="L27" s="45" t="n">
        <v>28803743.1</v>
      </c>
      <c r="M27" s="45" t="n">
        <v>3574023.993</v>
      </c>
      <c r="N27" s="45" t="n">
        <v>2999999.99948</v>
      </c>
      <c r="O27" s="45" t="n">
        <v>4765365.321</v>
      </c>
      <c r="P27" s="45" t="n">
        <v>3999999.9968</v>
      </c>
      <c r="Q27" s="45" t="n">
        <v>2047015.57</v>
      </c>
      <c r="R27" s="45" t="n">
        <v>1718244.3993</v>
      </c>
      <c r="S27" s="45" t="n">
        <v>44701404.884</v>
      </c>
      <c r="T27" s="45" t="n">
        <v>37521987.49558</v>
      </c>
      <c r="U27" s="15" t="n">
        <v>16.79</v>
      </c>
      <c r="V27" s="15" t="n">
        <v>36.4</v>
      </c>
      <c r="W27" s="49" t="n">
        <v>83.93899999999999</v>
      </c>
    </row>
    <row r="28">
      <c r="A28" s="44" t="inlineStr">
        <is>
          <t>TL Cinsi Sabit Faizli Kuponlu Senetler</t>
        </is>
      </c>
      <c r="B28" s="44" t="n">
        <v>2025</v>
      </c>
      <c r="C28" s="44" t="inlineStr">
        <is>
          <t>TRT120826T16</t>
        </is>
      </c>
      <c r="D28" s="44" t="inlineStr">
        <is>
          <t>15.01.2025</t>
        </is>
      </c>
      <c r="E28" s="44" t="inlineStr">
        <is>
          <t>12.08.2026</t>
        </is>
      </c>
      <c r="F28" s="44" t="n">
        <v>574</v>
      </c>
      <c r="G28" s="44" t="inlineStr">
        <is>
          <t>6 ay</t>
        </is>
      </c>
      <c r="H28" s="15" t="n">
        <v>18</v>
      </c>
      <c r="I28" s="45" t="n">
        <v>55394318.173</v>
      </c>
      <c r="J28" s="45" t="n">
        <v>63167509.37074</v>
      </c>
      <c r="K28" s="45" t="n">
        <v>28239300</v>
      </c>
      <c r="L28" s="45" t="n">
        <v>32262155.631</v>
      </c>
      <c r="M28" s="45" t="n">
        <v>26259.125</v>
      </c>
      <c r="N28" s="45" t="n">
        <v>29999.99995</v>
      </c>
      <c r="O28" s="45" t="n">
        <v>14880170.855</v>
      </c>
      <c r="P28" s="45" t="n">
        <v>16999999.99502</v>
      </c>
      <c r="Q28" s="45" t="n">
        <v>10909396.903</v>
      </c>
      <c r="R28" s="45" t="n">
        <v>12463549.58579</v>
      </c>
      <c r="S28" s="45" t="n">
        <v>54055126.883</v>
      </c>
      <c r="T28" s="45" t="n">
        <v>61755705.21176</v>
      </c>
      <c r="U28" s="15" t="n">
        <v>18.35</v>
      </c>
      <c r="V28" s="15" t="n">
        <v>40.06</v>
      </c>
      <c r="W28" s="49" t="n">
        <v>114.246</v>
      </c>
    </row>
    <row r="29">
      <c r="A29" s="44" t="inlineStr">
        <is>
          <t>TL Cinsi Sabit Faizli Kuponlu Senetler</t>
        </is>
      </c>
      <c r="B29" s="44" t="n">
        <v>2025</v>
      </c>
      <c r="C29" s="44" t="inlineStr">
        <is>
          <t>TRT120929T12</t>
        </is>
      </c>
      <c r="D29" s="44" t="inlineStr">
        <is>
          <t>15.01.2025</t>
        </is>
      </c>
      <c r="E29" s="44" t="inlineStr">
        <is>
          <t>12.09.2029</t>
        </is>
      </c>
      <c r="F29" s="44" t="n">
        <v>1701</v>
      </c>
      <c r="G29" s="44" t="inlineStr">
        <is>
          <t>6 ay</t>
        </is>
      </c>
      <c r="H29" s="15" t="n">
        <v>15</v>
      </c>
      <c r="I29" s="45" t="n">
        <v>40323030</v>
      </c>
      <c r="J29" s="45" t="n">
        <v>43886502.8446</v>
      </c>
      <c r="K29" s="45" t="n">
        <v>17402030</v>
      </c>
      <c r="L29" s="45" t="n">
        <v>19003170.4846</v>
      </c>
      <c r="M29" s="45" t="n">
        <v>2747227.589</v>
      </c>
      <c r="N29" s="45" t="n">
        <v>2999999.99946</v>
      </c>
      <c r="O29" s="45" t="n">
        <v>8241682.761</v>
      </c>
      <c r="P29" s="45" t="n">
        <v>8999999.99182</v>
      </c>
      <c r="Q29" s="45" t="n">
        <v>5850000</v>
      </c>
      <c r="R29" s="45" t="n">
        <v>6388258.5</v>
      </c>
      <c r="S29" s="45" t="n">
        <v>34240940.35</v>
      </c>
      <c r="T29" s="45" t="n">
        <v>37391428.97588</v>
      </c>
      <c r="U29" s="15" t="n">
        <v>15.08</v>
      </c>
      <c r="V29" s="15" t="n">
        <v>32.42</v>
      </c>
      <c r="W29" s="49" t="n">
        <v>109.201</v>
      </c>
    </row>
    <row r="30">
      <c r="A30" s="44" t="inlineStr">
        <is>
          <t>TL Cinsi Sabit Faizli Kuponlu Senetler</t>
        </is>
      </c>
      <c r="B30" s="44" t="n">
        <v>2025</v>
      </c>
      <c r="C30" s="44" t="inlineStr">
        <is>
          <t>TRT100227T13</t>
        </is>
      </c>
      <c r="D30" s="44" t="inlineStr">
        <is>
          <t>12.02.2025</t>
        </is>
      </c>
      <c r="E30" s="44" t="inlineStr">
        <is>
          <t>10.02.2027</t>
        </is>
      </c>
      <c r="F30" s="44" t="n">
        <v>728</v>
      </c>
      <c r="G30" s="44" t="inlineStr">
        <is>
          <t>6 ay</t>
        </is>
      </c>
      <c r="H30" s="15" t="n">
        <v>16.3</v>
      </c>
      <c r="I30" s="45" t="n">
        <v>74072000</v>
      </c>
      <c r="J30" s="45" t="n">
        <v>71595814.03</v>
      </c>
      <c r="K30" s="45" t="n">
        <v>35832000</v>
      </c>
      <c r="L30" s="45" t="n">
        <v>34797536.52</v>
      </c>
      <c r="M30" s="45" t="n">
        <v>6734422.785</v>
      </c>
      <c r="N30" s="45" t="n">
        <v>6539999.9992</v>
      </c>
      <c r="O30" s="45" t="n">
        <v>12356739.052</v>
      </c>
      <c r="P30" s="45" t="n">
        <v>11999999.99557</v>
      </c>
      <c r="Q30" s="45" t="n">
        <v>4318578.665</v>
      </c>
      <c r="R30" s="45" t="n">
        <v>4193901.29895</v>
      </c>
      <c r="S30" s="45" t="n">
        <v>59241740.502</v>
      </c>
      <c r="T30" s="45" t="n">
        <v>57531437.81372</v>
      </c>
      <c r="U30" s="15" t="n">
        <v>17.36</v>
      </c>
      <c r="V30" s="15" t="n">
        <v>37.73</v>
      </c>
      <c r="W30" s="49" t="n">
        <v>97.113</v>
      </c>
    </row>
    <row r="31">
      <c r="A31" s="44" t="inlineStr">
        <is>
          <t>TL Cinsi Sabit Faizli Kuponlu Senetler</t>
        </is>
      </c>
      <c r="B31" s="44" t="n">
        <v>2025</v>
      </c>
      <c r="C31" s="44" t="inlineStr">
        <is>
          <t>TRT120929T12</t>
        </is>
      </c>
      <c r="D31" s="44" t="inlineStr">
        <is>
          <t>19.02.2025</t>
        </is>
      </c>
      <c r="E31" s="44" t="inlineStr">
        <is>
          <t>12.09.2029</t>
        </is>
      </c>
      <c r="F31" s="44" t="n">
        <v>1666</v>
      </c>
      <c r="G31" s="44" t="inlineStr">
        <is>
          <t>6 ay</t>
        </is>
      </c>
      <c r="H31" s="15" t="n">
        <v>15</v>
      </c>
      <c r="I31" s="45" t="n">
        <v>77714000</v>
      </c>
      <c r="J31" s="45" t="n">
        <v>87103616.43000001</v>
      </c>
      <c r="K31" s="45" t="n">
        <v>28320000</v>
      </c>
      <c r="L31" s="45" t="n">
        <v>31837022.45</v>
      </c>
      <c r="M31" s="45" t="n">
        <v>2668588.05</v>
      </c>
      <c r="N31" s="45" t="n">
        <v>2999999.99993</v>
      </c>
      <c r="O31" s="45" t="n">
        <v>11563881.544</v>
      </c>
      <c r="P31" s="45" t="n">
        <v>12999999.99294</v>
      </c>
      <c r="Q31" s="45" t="n">
        <v>10497374.469</v>
      </c>
      <c r="R31" s="45" t="n">
        <v>11801043.40431</v>
      </c>
      <c r="S31" s="45" t="n">
        <v>53049844.06299999</v>
      </c>
      <c r="T31" s="45" t="n">
        <v>59638065.84718</v>
      </c>
      <c r="U31" s="15" t="n">
        <v>15.03</v>
      </c>
      <c r="V31" s="15" t="n">
        <v>32.31</v>
      </c>
      <c r="W31" s="49" t="n">
        <v>112.419</v>
      </c>
    </row>
    <row r="32">
      <c r="A32" s="44" t="inlineStr">
        <is>
          <t>TL Cinsi Sabit Faizli Kuponlu Senetler</t>
        </is>
      </c>
      <c r="B32" s="44" t="n">
        <v>2025</v>
      </c>
      <c r="C32" s="44" t="inlineStr">
        <is>
          <t>TRT100227T13</t>
        </is>
      </c>
      <c r="D32" s="44" t="inlineStr">
        <is>
          <t>12.03.2025</t>
        </is>
      </c>
      <c r="E32" s="44" t="inlineStr">
        <is>
          <t>10.02.2027</t>
        </is>
      </c>
      <c r="F32" s="44" t="n">
        <v>700</v>
      </c>
      <c r="G32" s="44" t="inlineStr">
        <is>
          <t>6 ay</t>
        </is>
      </c>
      <c r="H32" s="15" t="n">
        <v>16.3</v>
      </c>
      <c r="I32" s="45" t="n">
        <v>78274500</v>
      </c>
      <c r="J32" s="45" t="n">
        <v>78146761.19</v>
      </c>
      <c r="K32" s="45" t="n">
        <v>34515000</v>
      </c>
      <c r="L32" s="45" t="n">
        <v>34527130.95</v>
      </c>
      <c r="M32" s="45" t="n">
        <v>4038586.493</v>
      </c>
      <c r="N32" s="45" t="n">
        <v>4039999.99827</v>
      </c>
      <c r="O32" s="45" t="n">
        <v>19993002.444</v>
      </c>
      <c r="P32" s="45" t="n">
        <v>19999999.99484</v>
      </c>
      <c r="Q32" s="45" t="n">
        <v>9141691.408</v>
      </c>
      <c r="R32" s="45" t="n">
        <v>9144890.999989999</v>
      </c>
      <c r="S32" s="45" t="n">
        <v>67688280.345</v>
      </c>
      <c r="T32" s="45" t="n">
        <v>67712021.94310001</v>
      </c>
      <c r="U32" s="15" t="n">
        <v>17.17</v>
      </c>
      <c r="V32" s="15" t="n">
        <v>37.28</v>
      </c>
      <c r="W32" s="49" t="n">
        <v>100.035</v>
      </c>
    </row>
    <row r="33">
      <c r="A33" s="44" t="inlineStr">
        <is>
          <t>TL Cinsi Sabit Faizli Kuponlu Senetler</t>
        </is>
      </c>
      <c r="B33" s="44" t="n">
        <v>2025</v>
      </c>
      <c r="C33" s="44" t="inlineStr">
        <is>
          <t>TRT120929T12*</t>
        </is>
      </c>
      <c r="D33" s="44" t="inlineStr">
        <is>
          <t>19.03.2025</t>
        </is>
      </c>
      <c r="E33" s="44" t="inlineStr">
        <is>
          <t>12.09.2029</t>
        </is>
      </c>
      <c r="F33" s="44" t="n">
        <v>1638</v>
      </c>
      <c r="G33" s="44" t="inlineStr">
        <is>
          <t>6 ay</t>
        </is>
      </c>
      <c r="H33" s="15" t="n">
        <v>15</v>
      </c>
      <c r="I33" s="45" t="n">
        <v>59873000</v>
      </c>
      <c r="J33" s="45" t="n">
        <v>59865139.97</v>
      </c>
      <c r="K33" s="45" t="n">
        <v>33098000</v>
      </c>
      <c r="L33" s="45" t="n">
        <v>33184127.85</v>
      </c>
      <c r="M33" s="45" t="n">
        <v>2992220.227</v>
      </c>
      <c r="N33" s="45" t="n">
        <v>2999999.99959</v>
      </c>
      <c r="O33" s="45" t="n">
        <v>17454617.986</v>
      </c>
      <c r="P33" s="45" t="n">
        <v>17499999.99278</v>
      </c>
      <c r="Q33" s="45" t="n">
        <v>0</v>
      </c>
      <c r="R33" s="45" t="n">
        <v>0</v>
      </c>
      <c r="S33" s="45" t="n">
        <v>53544838.213</v>
      </c>
      <c r="T33" s="45" t="n">
        <v>53684127.84237</v>
      </c>
      <c r="U33" s="15" t="n">
        <v>14.95</v>
      </c>
      <c r="V33" s="15" t="n">
        <v>32.12</v>
      </c>
      <c r="W33" s="49" t="n">
        <v>100.26</v>
      </c>
    </row>
    <row r="34">
      <c r="A34" s="44" t="inlineStr">
        <is>
          <t>TL Cinsi Sabit Faizli Kuponlu Senetler</t>
        </is>
      </c>
      <c r="B34" s="44" t="n">
        <v>2025</v>
      </c>
      <c r="C34" s="44" t="inlineStr">
        <is>
          <t>TRT100227T13</t>
        </is>
      </c>
      <c r="D34" s="44" t="inlineStr">
        <is>
          <t>09.04.2025</t>
        </is>
      </c>
      <c r="E34" s="44" t="inlineStr">
        <is>
          <t>10.02.2027</t>
        </is>
      </c>
      <c r="F34" s="44" t="n">
        <v>672</v>
      </c>
      <c r="G34" s="44" t="inlineStr">
        <is>
          <t>6 ay</t>
        </is>
      </c>
      <c r="H34" s="15" t="n">
        <v>16.3</v>
      </c>
      <c r="I34" s="45" t="n">
        <v>31292649.353</v>
      </c>
      <c r="J34" s="45" t="n">
        <v>28817337.53836</v>
      </c>
      <c r="K34" s="45" t="n">
        <v>18465427.789</v>
      </c>
      <c r="L34" s="45" t="n">
        <v>17082612.69918</v>
      </c>
      <c r="M34" s="45" t="n">
        <v>36752386.202</v>
      </c>
      <c r="N34" s="45" t="n">
        <v>33999999.99933</v>
      </c>
      <c r="O34" s="45" t="n">
        <v>12430954.154</v>
      </c>
      <c r="P34" s="45" t="n">
        <v>11499999.99739</v>
      </c>
      <c r="Q34" s="45" t="n">
        <v>2589197.446</v>
      </c>
      <c r="R34" s="45" t="n">
        <v>2395292.44927</v>
      </c>
      <c r="S34" s="45" t="n">
        <v>70237965.59099999</v>
      </c>
      <c r="T34" s="45" t="n">
        <v>64977905.14517</v>
      </c>
      <c r="U34" s="15" t="n">
        <v>21.39</v>
      </c>
      <c r="V34" s="15" t="n">
        <v>47.36</v>
      </c>
      <c r="W34" s="49" t="n">
        <v>92.511</v>
      </c>
    </row>
    <row r="35">
      <c r="A35" s="44" t="inlineStr">
        <is>
          <t>TL Cinsi Sabit Faizli Kuponlu Senetler</t>
        </is>
      </c>
      <c r="B35" s="44" t="n">
        <v>2025</v>
      </c>
      <c r="C35" s="44" t="inlineStr">
        <is>
          <t>TRT120929T12</t>
        </is>
      </c>
      <c r="D35" s="44" t="inlineStr">
        <is>
          <t>09.04.2025</t>
        </is>
      </c>
      <c r="E35" s="44" t="inlineStr">
        <is>
          <t>12.09.2029</t>
        </is>
      </c>
      <c r="F35" s="44" t="n">
        <v>1617</v>
      </c>
      <c r="G35" s="44" t="inlineStr">
        <is>
          <t>6 ay</t>
        </is>
      </c>
      <c r="H35" s="15" t="n">
        <v>15</v>
      </c>
      <c r="I35" s="45" t="n">
        <v>33643750</v>
      </c>
      <c r="J35" s="45" t="n">
        <v>29445504.0725</v>
      </c>
      <c r="K35" s="45" t="n">
        <v>15439750</v>
      </c>
      <c r="L35" s="45" t="n">
        <v>13562194.2925</v>
      </c>
      <c r="M35" s="45" t="n">
        <v>0</v>
      </c>
      <c r="N35" s="45" t="n">
        <v>0</v>
      </c>
      <c r="O35" s="45" t="n">
        <v>12522911.231</v>
      </c>
      <c r="P35" s="45" t="n">
        <v>10999999.99618</v>
      </c>
      <c r="Q35" s="45" t="n">
        <v>160046.448</v>
      </c>
      <c r="R35" s="45" t="n">
        <v>140583.19946</v>
      </c>
      <c r="S35" s="45" t="n">
        <v>28122707.679</v>
      </c>
      <c r="T35" s="45" t="n">
        <v>24702777.48814</v>
      </c>
      <c r="U35" s="15" t="n">
        <v>18.24</v>
      </c>
      <c r="V35" s="15" t="n">
        <v>39.81</v>
      </c>
      <c r="W35" s="49" t="n">
        <v>87.839</v>
      </c>
    </row>
    <row r="36">
      <c r="A36" s="44" t="inlineStr">
        <is>
          <t>TL Cinsi Sabit Faizli Kuponlu Senetler</t>
        </is>
      </c>
      <c r="B36" s="44" t="n">
        <v>2025</v>
      </c>
      <c r="C36" s="44" t="inlineStr">
        <is>
          <t>TRT270934T18</t>
        </is>
      </c>
      <c r="D36" s="44" t="inlineStr">
        <is>
          <t>16.04.2025</t>
        </is>
      </c>
      <c r="E36" s="44" t="inlineStr">
        <is>
          <t>27.09.2034</t>
        </is>
      </c>
      <c r="F36" s="44" t="n">
        <v>3451</v>
      </c>
      <c r="G36" s="44" t="inlineStr">
        <is>
          <t>6 ay</t>
        </is>
      </c>
      <c r="H36" s="15" t="n">
        <v>13.85</v>
      </c>
      <c r="I36" s="45" t="n">
        <v>11858000</v>
      </c>
      <c r="J36" s="45" t="n">
        <v>10363818.15</v>
      </c>
      <c r="K36" s="45" t="n">
        <v>6182000</v>
      </c>
      <c r="L36" s="45" t="n">
        <v>5435475.74</v>
      </c>
      <c r="M36" s="45" t="n">
        <v>0</v>
      </c>
      <c r="N36" s="45" t="n">
        <v>0</v>
      </c>
      <c r="O36" s="45" t="n">
        <v>1706018.831</v>
      </c>
      <c r="P36" s="45" t="n">
        <v>1499999.99696</v>
      </c>
      <c r="Q36" s="45" t="n">
        <v>0</v>
      </c>
      <c r="R36" s="45" t="n">
        <v>0</v>
      </c>
      <c r="S36" s="45" t="n">
        <v>7888018.831</v>
      </c>
      <c r="T36" s="45" t="n">
        <v>6935475.73696</v>
      </c>
      <c r="U36" s="15" t="n">
        <v>15.99</v>
      </c>
      <c r="V36" s="15" t="n">
        <v>34.53</v>
      </c>
      <c r="W36" s="49" t="n">
        <v>87.92400000000001</v>
      </c>
    </row>
    <row r="37">
      <c r="A37" s="44" t="inlineStr">
        <is>
          <t>TL Cinsi Sabit Faizli Kuponlu Senetler</t>
        </is>
      </c>
      <c r="B37" s="44" t="n">
        <v>2025</v>
      </c>
      <c r="C37" s="44" t="inlineStr">
        <is>
          <t>TRT050527T33</t>
        </is>
      </c>
      <c r="D37" s="44" t="inlineStr">
        <is>
          <t>07.05.2025</t>
        </is>
      </c>
      <c r="E37" s="44" t="inlineStr">
        <is>
          <t>05.05.2027</t>
        </is>
      </c>
      <c r="F37" s="44" t="n">
        <v>728</v>
      </c>
      <c r="G37" s="44" t="inlineStr">
        <is>
          <t>6 ay</t>
        </is>
      </c>
      <c r="H37" s="15" t="n">
        <v>20.5</v>
      </c>
      <c r="I37" s="45" t="n">
        <v>20536000</v>
      </c>
      <c r="J37" s="45" t="n">
        <v>20068212.65</v>
      </c>
      <c r="K37" s="45" t="n">
        <v>13058000</v>
      </c>
      <c r="L37" s="45" t="n">
        <v>12787042.9</v>
      </c>
      <c r="M37" s="45" t="n">
        <v>5616543.271</v>
      </c>
      <c r="N37" s="45" t="n">
        <v>5499999.99813</v>
      </c>
      <c r="O37" s="45" t="n">
        <v>7658922.639</v>
      </c>
      <c r="P37" s="45" t="n">
        <v>7499999.99424</v>
      </c>
      <c r="Q37" s="45" t="n">
        <v>762893.745</v>
      </c>
      <c r="R37" s="45" t="n">
        <v>747063.69979</v>
      </c>
      <c r="S37" s="45" t="n">
        <v>27096359.655</v>
      </c>
      <c r="T37" s="45" t="n">
        <v>26534106.59216</v>
      </c>
      <c r="U37" s="15" t="n">
        <v>21.32</v>
      </c>
      <c r="V37" s="15" t="n">
        <v>47.19</v>
      </c>
      <c r="W37" s="49" t="n">
        <v>97.925</v>
      </c>
    </row>
    <row r="38">
      <c r="A38" s="44" t="inlineStr">
        <is>
          <t>TL Cinsi Sabit Faizli Kuponlu Senetler</t>
        </is>
      </c>
      <c r="B38" s="44" t="n">
        <v>2025</v>
      </c>
      <c r="C38" s="44" t="inlineStr">
        <is>
          <t>TRT120929T12</t>
        </is>
      </c>
      <c r="D38" s="44" t="inlineStr">
        <is>
          <t>11.06.2025</t>
        </is>
      </c>
      <c r="E38" s="44" t="inlineStr">
        <is>
          <t>12.09.2029</t>
        </is>
      </c>
      <c r="F38" s="44" t="n">
        <v>1554</v>
      </c>
      <c r="G38" s="44" t="inlineStr">
        <is>
          <t>6 ay</t>
        </is>
      </c>
      <c r="H38" s="15" t="n">
        <v>15</v>
      </c>
      <c r="I38" s="45" t="n">
        <v>65509416.15</v>
      </c>
      <c r="J38" s="45" t="n">
        <v>62924059.6335</v>
      </c>
      <c r="K38" s="45" t="n">
        <v>40457000</v>
      </c>
      <c r="L38" s="45" t="n">
        <v>38937354.435</v>
      </c>
      <c r="M38" s="45" t="n">
        <v>5205519.305</v>
      </c>
      <c r="N38" s="45" t="n">
        <v>5009999.9999</v>
      </c>
      <c r="O38" s="45" t="n">
        <v>24936619.42</v>
      </c>
      <c r="P38" s="45" t="n">
        <v>23999999.99459</v>
      </c>
      <c r="Q38" s="45" t="n">
        <v>14391045.248</v>
      </c>
      <c r="R38" s="45" t="n">
        <v>13850517.58849</v>
      </c>
      <c r="S38" s="45" t="n">
        <v>84990183.97299999</v>
      </c>
      <c r="T38" s="45" t="n">
        <v>81797872.01797999</v>
      </c>
      <c r="U38" s="15" t="n">
        <v>17.42</v>
      </c>
      <c r="V38" s="15" t="n">
        <v>37.88</v>
      </c>
      <c r="W38" s="49" t="n">
        <v>96.244</v>
      </c>
    </row>
    <row r="39">
      <c r="A39" s="44" t="inlineStr">
        <is>
          <t>TL Cinsi Sabit Faizli Kuponlu Senetler</t>
        </is>
      </c>
      <c r="B39" s="44" t="n">
        <v>2025</v>
      </c>
      <c r="C39" s="44" t="inlineStr">
        <is>
          <t>TRT050527T33</t>
        </is>
      </c>
      <c r="D39" s="44" t="inlineStr">
        <is>
          <t>18.06.2025</t>
        </is>
      </c>
      <c r="E39" s="44" t="inlineStr">
        <is>
          <t>05.05.2027</t>
        </is>
      </c>
      <c r="F39" s="44" t="n">
        <v>686</v>
      </c>
      <c r="G39" s="44" t="inlineStr">
        <is>
          <t>6 ay</t>
        </is>
      </c>
      <c r="H39" s="15" t="n">
        <v>20.5</v>
      </c>
      <c r="I39" s="45" t="n">
        <v>61002002</v>
      </c>
      <c r="J39" s="45" t="n">
        <v>64213987.16705</v>
      </c>
      <c r="K39" s="45" t="n">
        <v>31925000</v>
      </c>
      <c r="L39" s="45" t="n">
        <v>33662635.4</v>
      </c>
      <c r="M39" s="45" t="n">
        <v>2399400.623</v>
      </c>
      <c r="N39" s="45" t="n">
        <v>2529999.99891</v>
      </c>
      <c r="O39" s="45" t="n">
        <v>18967593.861</v>
      </c>
      <c r="P39" s="45" t="n">
        <v>19999999.99485</v>
      </c>
      <c r="Q39" s="45" t="n">
        <v>14797328.743</v>
      </c>
      <c r="R39" s="45" t="n">
        <v>15602747.34648</v>
      </c>
      <c r="S39" s="45" t="n">
        <v>68089323.227</v>
      </c>
      <c r="T39" s="45" t="n">
        <v>71795382.74023999</v>
      </c>
      <c r="U39" s="15" t="n">
        <v>20.08</v>
      </c>
      <c r="V39" s="15" t="n">
        <v>44.19</v>
      </c>
      <c r="W39" s="49" t="n">
        <v>105.443</v>
      </c>
    </row>
    <row r="40">
      <c r="A40" s="44" t="inlineStr">
        <is>
          <t>TL Cinsi Sabit Faizli Kuponlu Senetler</t>
        </is>
      </c>
      <c r="B40" s="44" t="n">
        <v>2025</v>
      </c>
      <c r="C40" s="44" t="inlineStr">
        <is>
          <t>TRT270934T18</t>
        </is>
      </c>
      <c r="D40" s="44" t="inlineStr">
        <is>
          <t>18.06.2025</t>
        </is>
      </c>
      <c r="E40" s="44" t="inlineStr">
        <is>
          <t>27.09.2034</t>
        </is>
      </c>
      <c r="F40" s="44" t="n">
        <v>3388</v>
      </c>
      <c r="G40" s="44" t="inlineStr">
        <is>
          <t>6 ay</t>
        </is>
      </c>
      <c r="H40" s="15" t="n">
        <v>13.85</v>
      </c>
      <c r="I40" s="45" t="n">
        <v>26200000</v>
      </c>
      <c r="J40" s="45" t="n">
        <v>24306739.31</v>
      </c>
      <c r="K40" s="45" t="n">
        <v>6219000</v>
      </c>
      <c r="L40" s="45" t="n">
        <v>5794079.74</v>
      </c>
      <c r="M40" s="45" t="n">
        <v>0</v>
      </c>
      <c r="N40" s="45" t="n">
        <v>0</v>
      </c>
      <c r="O40" s="45" t="n">
        <v>6976719.22</v>
      </c>
      <c r="P40" s="45" t="n">
        <v>6499999.9957</v>
      </c>
      <c r="Q40" s="45" t="n">
        <v>3550377.279</v>
      </c>
      <c r="R40" s="45" t="n">
        <v>3307779.99953</v>
      </c>
      <c r="S40" s="45" t="n">
        <v>16746096.499</v>
      </c>
      <c r="T40" s="45" t="n">
        <v>15601859.73523</v>
      </c>
      <c r="U40" s="15" t="n">
        <v>15.87</v>
      </c>
      <c r="V40" s="15" t="n">
        <v>34.26</v>
      </c>
      <c r="W40" s="49" t="n">
        <v>93.167</v>
      </c>
    </row>
    <row r="41">
      <c r="A41" s="44" t="inlineStr">
        <is>
          <t>TL Cinsi Sabit Faizli Kuponlu Senetler</t>
        </is>
      </c>
      <c r="B41" s="44" t="n">
        <v>2025</v>
      </c>
      <c r="C41" s="44" t="inlineStr">
        <is>
          <t>TRT270934T18</t>
        </is>
      </c>
      <c r="D41" s="44" t="inlineStr">
        <is>
          <t>09.07.2025</t>
        </is>
      </c>
      <c r="E41" s="44" t="inlineStr">
        <is>
          <t>27.09.2034</t>
        </is>
      </c>
      <c r="F41" s="44" t="n">
        <v>3367</v>
      </c>
      <c r="G41" s="44" t="inlineStr">
        <is>
          <t>6 ay</t>
        </is>
      </c>
      <c r="H41" s="15" t="n">
        <v>13.85</v>
      </c>
      <c r="I41" s="45" t="n">
        <v>25756000</v>
      </c>
      <c r="J41" s="45" t="n">
        <v>26033004.3</v>
      </c>
      <c r="K41" s="45" t="n">
        <v>9703000</v>
      </c>
      <c r="L41" s="45" t="n">
        <v>9836982.109999999</v>
      </c>
      <c r="M41" s="45" t="n">
        <v>0</v>
      </c>
      <c r="N41" s="45" t="n">
        <v>0</v>
      </c>
      <c r="O41" s="45" t="n">
        <v>4438701.525</v>
      </c>
      <c r="P41" s="45" t="n">
        <v>4499999.99306</v>
      </c>
      <c r="Q41" s="45" t="n">
        <v>0</v>
      </c>
      <c r="R41" s="45" t="n">
        <v>0</v>
      </c>
      <c r="S41" s="45" t="n">
        <v>14141701.525</v>
      </c>
      <c r="T41" s="45" t="n">
        <v>14336982.10306</v>
      </c>
      <c r="U41" s="15" t="n">
        <v>14.7</v>
      </c>
      <c r="V41" s="15" t="n">
        <v>31.55</v>
      </c>
      <c r="W41" s="49" t="n">
        <v>101.381</v>
      </c>
    </row>
    <row r="42">
      <c r="A42" s="44" t="inlineStr">
        <is>
          <t>TL Cinsi Sabit Faizli Kuponlu Senetler</t>
        </is>
      </c>
      <c r="B42" s="44" t="n">
        <v>2025</v>
      </c>
      <c r="C42" s="44" t="inlineStr">
        <is>
          <t>TRT140727T14</t>
        </is>
      </c>
      <c r="D42" s="44" t="inlineStr">
        <is>
          <t>16.07.2025</t>
        </is>
      </c>
      <c r="E42" s="44" t="inlineStr">
        <is>
          <t>14.07.2027</t>
        </is>
      </c>
      <c r="F42" s="44" t="n">
        <v>728</v>
      </c>
      <c r="G42" s="44" t="inlineStr">
        <is>
          <t>6 ay</t>
        </is>
      </c>
      <c r="H42" s="15" t="n">
        <v>18.92</v>
      </c>
      <c r="I42" s="45" t="n">
        <v>44409208.084</v>
      </c>
      <c r="J42" s="45" t="n">
        <v>44618747.92675</v>
      </c>
      <c r="K42" s="45" t="n">
        <v>30693000</v>
      </c>
      <c r="L42" s="45" t="n">
        <v>30904209.43</v>
      </c>
      <c r="M42" s="45" t="n">
        <v>4965835.053</v>
      </c>
      <c r="N42" s="45" t="n">
        <v>4999999.99816</v>
      </c>
      <c r="O42" s="45" t="n">
        <v>11918004.125</v>
      </c>
      <c r="P42" s="45" t="n">
        <v>11999999.99338</v>
      </c>
      <c r="Q42" s="45" t="n">
        <v>0</v>
      </c>
      <c r="R42" s="45" t="n">
        <v>0</v>
      </c>
      <c r="S42" s="45" t="n">
        <v>47576839.178</v>
      </c>
      <c r="T42" s="45" t="n">
        <v>47904209.42154</v>
      </c>
      <c r="U42" s="15" t="n">
        <v>18.66</v>
      </c>
      <c r="V42" s="15" t="n">
        <v>40.8</v>
      </c>
      <c r="W42" s="49" t="n">
        <v>100.688</v>
      </c>
    </row>
    <row r="43">
      <c r="A43" s="44" t="inlineStr">
        <is>
          <t>TL Cinsi Sabit Faizli Kuponlu Senetler</t>
        </is>
      </c>
      <c r="B43" s="44" t="n">
        <v>2025</v>
      </c>
      <c r="C43" s="44" t="inlineStr">
        <is>
          <t>TRT100730T13</t>
        </is>
      </c>
      <c r="D43" s="44" t="inlineStr">
        <is>
          <t>16.07.2025</t>
        </is>
      </c>
      <c r="E43" s="44" t="inlineStr">
        <is>
          <t>10.07.2030</t>
        </is>
      </c>
      <c r="F43" s="44" t="n">
        <v>1820</v>
      </c>
      <c r="G43" s="44" t="inlineStr">
        <is>
          <t>6 ay</t>
        </is>
      </c>
      <c r="H43" s="15" t="n">
        <v>17.05</v>
      </c>
      <c r="I43" s="45" t="n">
        <v>29339000</v>
      </c>
      <c r="J43" s="45" t="n">
        <v>29653262.11</v>
      </c>
      <c r="K43" s="45" t="n">
        <v>17622000</v>
      </c>
      <c r="L43" s="45" t="n">
        <v>17925329.79</v>
      </c>
      <c r="M43" s="45" t="n">
        <v>1966162.346</v>
      </c>
      <c r="N43" s="45" t="n">
        <v>1999999.99997</v>
      </c>
      <c r="O43" s="45" t="n">
        <v>13271595.829</v>
      </c>
      <c r="P43" s="45" t="n">
        <v>13499999.99323</v>
      </c>
      <c r="Q43" s="45" t="n">
        <v>0</v>
      </c>
      <c r="R43" s="45" t="n">
        <v>0</v>
      </c>
      <c r="S43" s="45" t="n">
        <v>32859758.175</v>
      </c>
      <c r="T43" s="45" t="n">
        <v>33425329.7832</v>
      </c>
      <c r="U43" s="15" t="n">
        <v>16.68</v>
      </c>
      <c r="V43" s="15" t="n">
        <v>36.15</v>
      </c>
      <c r="W43" s="49" t="n">
        <v>101.721</v>
      </c>
    </row>
    <row r="44">
      <c r="A44" s="44" t="inlineStr">
        <is>
          <t>TL Cinsi Sabit Faizli Kuponlu Senetler</t>
        </is>
      </c>
      <c r="B44" s="44" t="n">
        <v>2025</v>
      </c>
      <c r="C44" s="44" t="inlineStr">
        <is>
          <t>TRT140727T14</t>
        </is>
      </c>
      <c r="D44" s="44" t="inlineStr">
        <is>
          <t>13.08.2025</t>
        </is>
      </c>
      <c r="E44" s="44" t="inlineStr">
        <is>
          <t>14.07.2027</t>
        </is>
      </c>
      <c r="F44" s="44" t="n">
        <v>700</v>
      </c>
      <c r="G44" s="44" t="inlineStr">
        <is>
          <t>6 ay</t>
        </is>
      </c>
      <c r="H44" s="15" t="n">
        <v>18.92</v>
      </c>
      <c r="I44" s="45" t="n">
        <v>69677500</v>
      </c>
      <c r="J44" s="45" t="n">
        <v>72246449.255</v>
      </c>
      <c r="K44" s="45" t="n">
        <v>40907000</v>
      </c>
      <c r="L44" s="45" t="n">
        <v>42471623.76</v>
      </c>
      <c r="M44" s="45" t="n">
        <v>11586804.718</v>
      </c>
      <c r="N44" s="45" t="n">
        <v>12029999.99847</v>
      </c>
      <c r="O44" s="45" t="n">
        <v>25042138.208</v>
      </c>
      <c r="P44" s="45" t="n">
        <v>25999999.99444</v>
      </c>
      <c r="Q44" s="45" t="n">
        <v>5701789.548</v>
      </c>
      <c r="R44" s="45" t="n">
        <v>5919882.99821</v>
      </c>
      <c r="S44" s="45" t="n">
        <v>83237732.47400001</v>
      </c>
      <c r="T44" s="45" t="n">
        <v>86421506.75112</v>
      </c>
      <c r="U44" s="15" t="n">
        <v>18.49</v>
      </c>
      <c r="V44" s="15" t="n">
        <v>40.39</v>
      </c>
      <c r="W44" s="49" t="n">
        <v>103.825</v>
      </c>
    </row>
    <row r="45">
      <c r="A45" s="44" t="inlineStr">
        <is>
          <t>TL Cinsi Sabit Faizli Kuponlu Senetler</t>
        </is>
      </c>
      <c r="B45" s="44" t="n">
        <v>2025</v>
      </c>
      <c r="C45" s="44" t="inlineStr">
        <is>
          <t>TRT100730T13</t>
        </is>
      </c>
      <c r="D45" s="44" t="inlineStr">
        <is>
          <t>20.08.2025</t>
        </is>
      </c>
      <c r="E45" s="44" t="inlineStr">
        <is>
          <t>10.07.2030</t>
        </is>
      </c>
      <c r="F45" s="44" t="n">
        <v>1785</v>
      </c>
      <c r="G45" s="44" t="inlineStr">
        <is>
          <t>6 ay</t>
        </is>
      </c>
      <c r="H45" s="15" t="n">
        <v>17.05</v>
      </c>
      <c r="I45" s="45" t="n">
        <v>68352190.93000001</v>
      </c>
      <c r="J45" s="45" t="n">
        <v>71525048.95918</v>
      </c>
      <c r="K45" s="45" t="n">
        <v>38786190.93</v>
      </c>
      <c r="L45" s="45" t="n">
        <v>40665427.19918</v>
      </c>
      <c r="M45" s="45" t="n">
        <v>9537889.265000001</v>
      </c>
      <c r="N45" s="45" t="n">
        <v>9999999.99989</v>
      </c>
      <c r="O45" s="45" t="n">
        <v>22414039.766</v>
      </c>
      <c r="P45" s="45" t="n">
        <v>23499999.99266</v>
      </c>
      <c r="Q45" s="45" t="n">
        <v>20256577.853</v>
      </c>
      <c r="R45" s="45" t="n">
        <v>21238009.04998</v>
      </c>
      <c r="S45" s="45" t="n">
        <v>90994697.814</v>
      </c>
      <c r="T45" s="45" t="n">
        <v>95403436.24171001</v>
      </c>
      <c r="U45" s="15" t="n">
        <v>16.67</v>
      </c>
      <c r="V45" s="15" t="n">
        <v>36.12</v>
      </c>
      <c r="W45" s="49" t="n">
        <v>104.845</v>
      </c>
    </row>
    <row r="46">
      <c r="A46" s="44" t="inlineStr">
        <is>
          <t>TL Cinsi Sabit Faizli Kuponlu Senetler</t>
        </is>
      </c>
      <c r="B46" s="44" t="n">
        <v>2025</v>
      </c>
      <c r="C46" s="44" t="inlineStr">
        <is>
          <t>TRT140727T14</t>
        </is>
      </c>
      <c r="D46" s="44" t="inlineStr">
        <is>
          <t>10.09.2025</t>
        </is>
      </c>
      <c r="E46" s="44" t="inlineStr">
        <is>
          <t>14.07.2027</t>
        </is>
      </c>
      <c r="F46" s="44" t="n">
        <v>672</v>
      </c>
      <c r="G46" s="44" t="inlineStr">
        <is>
          <t>6 ay</t>
        </is>
      </c>
      <c r="H46" s="15" t="n">
        <v>18.92</v>
      </c>
      <c r="I46" s="45" t="n">
        <v>81489000</v>
      </c>
      <c r="J46" s="45" t="n">
        <v>86022272.03</v>
      </c>
      <c r="K46" s="45" t="n">
        <v>39906000</v>
      </c>
      <c r="L46" s="45" t="n">
        <v>42216690.91</v>
      </c>
      <c r="M46" s="45" t="n">
        <v>18905.378</v>
      </c>
      <c r="N46" s="45" t="n">
        <v>19999.99939</v>
      </c>
      <c r="O46" s="45" t="n">
        <v>23631723.22</v>
      </c>
      <c r="P46" s="45" t="n">
        <v>24999999.99444</v>
      </c>
      <c r="Q46" s="45" t="n">
        <v>10444878.53</v>
      </c>
      <c r="R46" s="45" t="n">
        <v>11049636.99688</v>
      </c>
      <c r="S46" s="45" t="n">
        <v>74001507.12799999</v>
      </c>
      <c r="T46" s="45" t="n">
        <v>78286327.90071</v>
      </c>
      <c r="U46" s="15" t="n">
        <v>18.8</v>
      </c>
      <c r="V46" s="15" t="n">
        <v>41.12</v>
      </c>
      <c r="W46" s="49" t="n">
        <v>105.79</v>
      </c>
    </row>
    <row r="47">
      <c r="A47" s="44" t="inlineStr">
        <is>
          <t>TL Cinsi Sabit Faizli Kuponlu Senetler</t>
        </is>
      </c>
      <c r="B47" s="44" t="n">
        <v>2025</v>
      </c>
      <c r="C47" s="44" t="inlineStr">
        <is>
          <t>TRT100730T13</t>
        </is>
      </c>
      <c r="D47" s="44" t="inlineStr">
        <is>
          <t>10.09.2025</t>
        </is>
      </c>
      <c r="E47" s="44" t="inlineStr">
        <is>
          <t>10.07.2030</t>
        </is>
      </c>
      <c r="F47" s="44" t="n">
        <v>1764</v>
      </c>
      <c r="G47" s="44" t="inlineStr">
        <is>
          <t>6 ay</t>
        </is>
      </c>
      <c r="H47" s="15" t="n">
        <v>17.05</v>
      </c>
      <c r="I47" s="45" t="n">
        <v>53540000</v>
      </c>
      <c r="J47" s="45" t="n">
        <v>55088210.29</v>
      </c>
      <c r="K47" s="45" t="n">
        <v>7100000</v>
      </c>
      <c r="L47" s="45" t="n">
        <v>7365740</v>
      </c>
      <c r="M47" s="45" t="n">
        <v>0</v>
      </c>
      <c r="N47" s="45" t="n">
        <v>0</v>
      </c>
      <c r="O47" s="45" t="n">
        <v>4819602.281</v>
      </c>
      <c r="P47" s="45" t="n">
        <v>4999999.99438</v>
      </c>
      <c r="Q47" s="45" t="n">
        <v>3283530.261</v>
      </c>
      <c r="R47" s="45" t="n">
        <v>3406432.79867</v>
      </c>
      <c r="S47" s="45" t="n">
        <v>15203132.542</v>
      </c>
      <c r="T47" s="45" t="n">
        <v>15772172.79305</v>
      </c>
      <c r="U47" s="15" t="n">
        <v>17.32</v>
      </c>
      <c r="V47" s="15" t="n">
        <v>37.63</v>
      </c>
      <c r="W47" s="49" t="n">
        <v>103.743</v>
      </c>
    </row>
    <row r="48">
      <c r="A48" s="44" t="inlineStr">
        <is>
          <t>TL Cinsi Sabit Faizli Kuponlu Senetler</t>
        </is>
      </c>
      <c r="B48" s="44" t="n">
        <v>2025</v>
      </c>
      <c r="C48" s="44" t="inlineStr">
        <is>
          <t>TRT050935T13</t>
        </is>
      </c>
      <c r="D48" s="44" t="inlineStr">
        <is>
          <t>17.09.2025</t>
        </is>
      </c>
      <c r="E48" s="44" t="inlineStr">
        <is>
          <t>05.09.2035</t>
        </is>
      </c>
      <c r="F48" s="44" t="n">
        <v>3640</v>
      </c>
      <c r="G48" s="44" t="inlineStr">
        <is>
          <t>6 ay</t>
        </is>
      </c>
      <c r="H48" s="15" t="n">
        <v>15.03</v>
      </c>
      <c r="I48" s="45" t="n">
        <v>30517550</v>
      </c>
      <c r="J48" s="45" t="n">
        <v>30330279.005</v>
      </c>
      <c r="K48" s="45" t="n">
        <v>6358000</v>
      </c>
      <c r="L48" s="45" t="n">
        <v>6397112.75</v>
      </c>
      <c r="M48" s="45" t="n">
        <v>0</v>
      </c>
      <c r="N48" s="45" t="n">
        <v>0</v>
      </c>
      <c r="O48" s="45" t="n">
        <v>3975550.36</v>
      </c>
      <c r="P48" s="45" t="n">
        <v>3999999.99471</v>
      </c>
      <c r="Q48" s="45" t="n">
        <v>3635622.816</v>
      </c>
      <c r="R48" s="45" t="n">
        <v>3657981.89631</v>
      </c>
      <c r="S48" s="45" t="n">
        <v>13969173.176</v>
      </c>
      <c r="T48" s="45" t="n">
        <v>14055094.64102</v>
      </c>
      <c r="U48" s="15" t="n">
        <v>14.93</v>
      </c>
      <c r="V48" s="15" t="n">
        <v>32.09</v>
      </c>
      <c r="W48" s="49" t="n">
        <v>100.615</v>
      </c>
    </row>
    <row r="49">
      <c r="A49" s="44" t="inlineStr">
        <is>
          <t>TL Cinsi Sabit Faizli Kuponlu Senetler</t>
        </is>
      </c>
      <c r="B49" s="44" t="n">
        <v>2025</v>
      </c>
      <c r="C49" s="44" t="inlineStr">
        <is>
          <t>TRT021030T18</t>
        </is>
      </c>
      <c r="D49" s="44" t="inlineStr">
        <is>
          <t>08.10.2025</t>
        </is>
      </c>
      <c r="E49" s="44" t="inlineStr">
        <is>
          <t>02.10.2030</t>
        </is>
      </c>
      <c r="F49" s="44" t="n">
        <v>1820</v>
      </c>
      <c r="G49" s="44" t="inlineStr">
        <is>
          <t>6 ay</t>
        </is>
      </c>
      <c r="H49" s="15" t="n">
        <v>16.95</v>
      </c>
      <c r="I49" s="45" t="n">
        <v>46191947.508</v>
      </c>
      <c r="J49" s="45" t="n">
        <v>45808735.9164</v>
      </c>
      <c r="K49" s="45" t="n">
        <v>20470100</v>
      </c>
      <c r="L49" s="45" t="n">
        <v>20384289.1</v>
      </c>
      <c r="M49" s="45" t="n">
        <v>10042076.298</v>
      </c>
      <c r="N49" s="45" t="n">
        <v>9999999.99832</v>
      </c>
      <c r="O49" s="45" t="n">
        <v>11799439.645</v>
      </c>
      <c r="P49" s="45" t="n">
        <v>11749999.99288</v>
      </c>
      <c r="Q49" s="45" t="n">
        <v>6596003.784</v>
      </c>
      <c r="R49" s="45" t="n">
        <v>6568366.52815</v>
      </c>
      <c r="S49" s="45" t="n">
        <v>48907619.72700001</v>
      </c>
      <c r="T49" s="45" t="n">
        <v>48702655.61935</v>
      </c>
      <c r="U49" s="15" t="n">
        <v>17.04</v>
      </c>
      <c r="V49" s="15" t="n">
        <v>36.98</v>
      </c>
      <c r="W49" s="49" t="n">
        <v>99.581</v>
      </c>
    </row>
    <row r="50">
      <c r="A50" s="44" t="inlineStr">
        <is>
          <t>TL Cinsi Sabit Faizli Kuponlu Senetler</t>
        </is>
      </c>
      <c r="B50" s="44" t="n">
        <v>2025</v>
      </c>
      <c r="C50" s="44" t="inlineStr">
        <is>
          <t>TRT131027T36</t>
        </is>
      </c>
      <c r="D50" s="44" t="inlineStr">
        <is>
          <t>15.10.2025</t>
        </is>
      </c>
      <c r="E50" s="44" t="inlineStr">
        <is>
          <t>13.10.2027</t>
        </is>
      </c>
      <c r="F50" s="44" t="n">
        <v>728</v>
      </c>
      <c r="G50" s="44" t="inlineStr">
        <is>
          <t>6 ay</t>
        </is>
      </c>
      <c r="H50" s="15" t="n">
        <v>18.39</v>
      </c>
      <c r="I50" s="45" t="n">
        <v>49225565.756</v>
      </c>
      <c r="J50" s="45" t="n">
        <v>48968364.33258</v>
      </c>
      <c r="K50" s="45" t="n">
        <v>26058000</v>
      </c>
      <c r="L50" s="45" t="n">
        <v>25969348.44</v>
      </c>
      <c r="M50" s="45" t="n">
        <v>10310054.183</v>
      </c>
      <c r="N50" s="45" t="n">
        <v>10274999.99878</v>
      </c>
      <c r="O50" s="45" t="n">
        <v>9532410.188999999</v>
      </c>
      <c r="P50" s="45" t="n">
        <v>9499999.994379999</v>
      </c>
      <c r="Q50" s="45" t="n">
        <v>0</v>
      </c>
      <c r="R50" s="45" t="n">
        <v>0</v>
      </c>
      <c r="S50" s="45" t="n">
        <v>45900464.37199999</v>
      </c>
      <c r="T50" s="45" t="n">
        <v>45744348.43316</v>
      </c>
      <c r="U50" s="15" t="n">
        <v>18.52</v>
      </c>
      <c r="V50" s="15" t="n">
        <v>40.46</v>
      </c>
      <c r="W50" s="49" t="n">
        <v>99.66</v>
      </c>
    </row>
    <row r="51">
      <c r="A51" s="44" t="inlineStr">
        <is>
          <t>TL Cinsi Sabit Faizli Kuponlu Senetler</t>
        </is>
      </c>
      <c r="B51" s="44" t="n">
        <v>2025</v>
      </c>
      <c r="C51" s="44" t="inlineStr">
        <is>
          <t>TRT050935T13</t>
        </is>
      </c>
      <c r="D51" s="44" t="inlineStr">
        <is>
          <t>15.10.2025</t>
        </is>
      </c>
      <c r="E51" s="44" t="inlineStr">
        <is>
          <t>05.09.2035</t>
        </is>
      </c>
      <c r="F51" s="44" t="n">
        <v>3612</v>
      </c>
      <c r="G51" s="44" t="inlineStr">
        <is>
          <t>6 ay</t>
        </is>
      </c>
      <c r="H51" s="15" t="n">
        <v>15.03</v>
      </c>
      <c r="I51" s="45" t="n">
        <v>16652581.806</v>
      </c>
      <c r="J51" s="45" t="n">
        <v>17158690.90258</v>
      </c>
      <c r="K51" s="45" t="n">
        <v>10760000</v>
      </c>
      <c r="L51" s="45" t="n">
        <v>11125643.9</v>
      </c>
      <c r="M51" s="45" t="n">
        <v>0</v>
      </c>
      <c r="N51" s="45" t="n">
        <v>0</v>
      </c>
      <c r="O51" s="45" t="n">
        <v>4110330.948</v>
      </c>
      <c r="P51" s="45" t="n">
        <v>4249999.9936</v>
      </c>
      <c r="Q51" s="45" t="n">
        <v>0</v>
      </c>
      <c r="R51" s="45" t="n">
        <v>0</v>
      </c>
      <c r="S51" s="45" t="n">
        <v>14870330.948</v>
      </c>
      <c r="T51" s="45" t="n">
        <v>15375643.8936</v>
      </c>
      <c r="U51" s="15" t="n">
        <v>14.84</v>
      </c>
      <c r="V51" s="15" t="n">
        <v>31.87</v>
      </c>
      <c r="W51" s="49" t="n">
        <v>103.398</v>
      </c>
    </row>
    <row r="52">
      <c r="A52" s="44" t="inlineStr">
        <is>
          <t>TL Cinsi Sabit Faizli Kuponlu Senetler</t>
        </is>
      </c>
      <c r="B52" s="44" t="n">
        <v>2025</v>
      </c>
      <c r="C52" s="44" t="inlineStr">
        <is>
          <t>TRT131027T36</t>
        </is>
      </c>
      <c r="D52" s="44" t="inlineStr">
        <is>
          <t>12.11.2025</t>
        </is>
      </c>
      <c r="E52" s="44" t="inlineStr">
        <is>
          <t>13.10.2027</t>
        </is>
      </c>
      <c r="F52" s="44" t="n">
        <v>700</v>
      </c>
      <c r="G52" s="44" t="inlineStr">
        <is>
          <t>6 ay</t>
        </is>
      </c>
      <c r="H52" s="15" t="n">
        <v>18.39</v>
      </c>
      <c r="I52" s="45" t="n">
        <v>47904962.457</v>
      </c>
      <c r="J52" s="45" t="n">
        <v>49178428.58256</v>
      </c>
      <c r="K52" s="45" t="n">
        <v>19793938</v>
      </c>
      <c r="L52" s="45" t="n">
        <v>20351631.8431</v>
      </c>
      <c r="M52" s="45" t="n">
        <v>9774648.16</v>
      </c>
      <c r="N52" s="45" t="n">
        <v>10049999.99868</v>
      </c>
      <c r="O52" s="45" t="n">
        <v>9726018.064999999</v>
      </c>
      <c r="P52" s="45" t="n">
        <v>9999999.993890001</v>
      </c>
      <c r="Q52" s="45" t="n">
        <v>2681886.547</v>
      </c>
      <c r="R52" s="45" t="n">
        <v>2757435.29102</v>
      </c>
      <c r="S52" s="45" t="n">
        <v>41976490.772</v>
      </c>
      <c r="T52" s="45" t="n">
        <v>43159067.12669</v>
      </c>
      <c r="U52" s="15" t="n">
        <v>18.32</v>
      </c>
      <c r="V52" s="15" t="n">
        <v>39.99</v>
      </c>
      <c r="W52" s="49" t="n">
        <v>102.817</v>
      </c>
    </row>
    <row r="53">
      <c r="A53" s="44" t="inlineStr">
        <is>
          <t>TL Cinsi Sabit Faizli Kuponlu Senetler</t>
        </is>
      </c>
      <c r="B53" s="44" t="n">
        <v>2025</v>
      </c>
      <c r="C53" s="44" t="inlineStr">
        <is>
          <t>TRT021030T18</t>
        </is>
      </c>
      <c r="D53" s="44" t="inlineStr">
        <is>
          <t>12.11.2025</t>
        </is>
      </c>
      <c r="E53" s="44" t="inlineStr">
        <is>
          <t>02.10.2030</t>
        </is>
      </c>
      <c r="F53" s="44" t="n">
        <v>1785</v>
      </c>
      <c r="G53" s="44" t="inlineStr">
        <is>
          <t>6 ay</t>
        </is>
      </c>
      <c r="H53" s="15" t="n">
        <v>16.95</v>
      </c>
      <c r="I53" s="45" t="n">
        <v>18227000</v>
      </c>
      <c r="J53" s="45" t="n">
        <v>18740505.27</v>
      </c>
      <c r="K53" s="45" t="n">
        <v>3025000</v>
      </c>
      <c r="L53" s="45" t="n">
        <v>3120415</v>
      </c>
      <c r="M53" s="45" t="n">
        <v>0</v>
      </c>
      <c r="N53" s="45" t="n">
        <v>0</v>
      </c>
      <c r="O53" s="45" t="n">
        <v>3877697.418</v>
      </c>
      <c r="P53" s="45" t="n">
        <v>3999999.99456</v>
      </c>
      <c r="Q53" s="45" t="n">
        <v>969581.8860000001</v>
      </c>
      <c r="R53" s="45" t="n">
        <v>1000162.49868</v>
      </c>
      <c r="S53" s="45" t="n">
        <v>7872279.304</v>
      </c>
      <c r="T53" s="45" t="n">
        <v>8120577.49324</v>
      </c>
      <c r="U53" s="15" t="n">
        <v>16.93</v>
      </c>
      <c r="V53" s="15" t="n">
        <v>36.72</v>
      </c>
      <c r="W53" s="49" t="n">
        <v>103.154</v>
      </c>
    </row>
    <row r="54">
      <c r="A54" s="44" t="inlineStr">
        <is>
          <t>TL Cinsi Sabit Faizli Kuponlu Senetler</t>
        </is>
      </c>
      <c r="B54" s="44" t="n">
        <v>2025</v>
      </c>
      <c r="C54" s="44" t="inlineStr">
        <is>
          <t>TRT131027T36</t>
        </is>
      </c>
      <c r="D54" s="44" t="inlineStr">
        <is>
          <t>10.12.2025</t>
        </is>
      </c>
      <c r="E54" s="44" t="inlineStr">
        <is>
          <t>13.10.2027</t>
        </is>
      </c>
      <c r="F54" s="44" t="n">
        <v>672</v>
      </c>
      <c r="G54" s="44" t="inlineStr">
        <is>
          <t>6 ay</t>
        </is>
      </c>
      <c r="H54" s="15" t="n">
        <v>18.39</v>
      </c>
      <c r="I54" s="45" t="n">
        <v>38868018.538</v>
      </c>
      <c r="J54" s="45" t="n">
        <v>41885488.09972</v>
      </c>
      <c r="K54" s="45" t="n">
        <v>9620000</v>
      </c>
      <c r="L54" s="45" t="n">
        <v>10390576</v>
      </c>
      <c r="M54" s="45" t="n">
        <v>12406258.675</v>
      </c>
      <c r="N54" s="45" t="n">
        <v>13399999.99486</v>
      </c>
      <c r="O54" s="45" t="n">
        <v>13424682.894</v>
      </c>
      <c r="P54" s="45" t="n">
        <v>14499999.9938</v>
      </c>
      <c r="Q54" s="45" t="n">
        <v>0</v>
      </c>
      <c r="R54" s="45" t="n">
        <v>0</v>
      </c>
      <c r="S54" s="45" t="n">
        <v>35450941.569</v>
      </c>
      <c r="T54" s="45" t="n">
        <v>38290575.98866</v>
      </c>
      <c r="U54" s="15" t="n">
        <v>17.35</v>
      </c>
      <c r="V54" s="15" t="n">
        <v>37.72</v>
      </c>
      <c r="W54" s="49" t="n">
        <v>108.01</v>
      </c>
    </row>
    <row r="55">
      <c r="A55" s="44" t="inlineStr">
        <is>
          <t>TL Cinsi Sabit Faizli Kuponlu Senetler</t>
        </is>
      </c>
      <c r="B55" s="44" t="n">
        <v>2025</v>
      </c>
      <c r="C55" s="44" t="inlineStr">
        <is>
          <t>TRT021030T18</t>
        </is>
      </c>
      <c r="D55" s="44" t="inlineStr">
        <is>
          <t>10.12.2025</t>
        </is>
      </c>
      <c r="E55" s="44" t="inlineStr">
        <is>
          <t>02.10.2030</t>
        </is>
      </c>
      <c r="F55" s="44" t="n">
        <v>1757</v>
      </c>
      <c r="G55" s="44" t="inlineStr">
        <is>
          <t>6 ay</t>
        </is>
      </c>
      <c r="H55" s="15" t="n">
        <v>16.95</v>
      </c>
      <c r="I55" s="45" t="n">
        <v>21399000</v>
      </c>
      <c r="J55" s="45" t="n">
        <v>23531748.74</v>
      </c>
      <c r="K55" s="45" t="n">
        <v>7514000</v>
      </c>
      <c r="L55" s="45" t="n">
        <v>8283760.01</v>
      </c>
      <c r="M55" s="45" t="n">
        <v>4544465.004</v>
      </c>
      <c r="N55" s="45" t="n">
        <v>5009999.99901</v>
      </c>
      <c r="O55" s="45" t="n">
        <v>11338485.537</v>
      </c>
      <c r="P55" s="45" t="n">
        <v>12499999.99541</v>
      </c>
      <c r="Q55" s="45" t="n">
        <v>2099305.442</v>
      </c>
      <c r="R55" s="45" t="n">
        <v>2314358.29148</v>
      </c>
      <c r="S55" s="45" t="n">
        <v>25496255.983</v>
      </c>
      <c r="T55" s="45" t="n">
        <v>28108118.2959</v>
      </c>
      <c r="U55" s="15" t="n">
        <v>15.97</v>
      </c>
      <c r="V55" s="15" t="n">
        <v>34.49</v>
      </c>
      <c r="W55" s="49" t="n">
        <v>110.244</v>
      </c>
    </row>
    <row r="56">
      <c r="A56" s="44" t="inlineStr">
        <is>
          <t>TL Cinsi Sabit Faizli Kuponlu Senetler</t>
        </is>
      </c>
      <c r="B56" s="44" t="n">
        <v>2025</v>
      </c>
      <c r="C56" s="44" t="inlineStr">
        <is>
          <t>(*) İlgili ihalede yükümlülüğün yerine getirilmemesi sebebiyle, ihalede kabul edilen tutar ve toplam satış tutarlarında yukarıda belirtilen istatistiklerden nominal satış tutarı 300.000.000,00 TL; net satış tutarı ise 343.384.000,00 TL eksik gerçekleşmiştir.</t>
        </is>
      </c>
      <c r="D56" s="44" t="inlineStr">
        <is>
          <t>nan</t>
        </is>
      </c>
      <c r="E56" s="44" t="inlineStr">
        <is>
          <t>nan</t>
        </is>
      </c>
      <c r="F56" s="44" t="n"/>
      <c r="G56" s="44" t="n"/>
      <c r="H56" s="1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15" t="n"/>
      <c r="V56" s="15" t="n"/>
      <c r="W56" s="49" t="n"/>
    </row>
    <row r="57">
      <c r="A57" s="44" t="inlineStr">
        <is>
          <t>TL Cinsi Sabit Faizli Kuponlu Senetler</t>
        </is>
      </c>
      <c r="B57" s="44" t="n">
        <v>2024</v>
      </c>
      <c r="C57" s="44" t="inlineStr">
        <is>
          <t>TRT051033T12</t>
        </is>
      </c>
      <c r="D57" s="44" t="inlineStr">
        <is>
          <t>10.01.2024</t>
        </is>
      </c>
      <c r="E57" s="44" t="inlineStr">
        <is>
          <t>05.10.2033</t>
        </is>
      </c>
      <c r="F57" s="44" t="n">
        <v>3556</v>
      </c>
      <c r="G57" s="44" t="inlineStr">
        <is>
          <t>6 ay</t>
        </is>
      </c>
      <c r="H57" s="15" t="n">
        <v>13.1</v>
      </c>
      <c r="I57" s="45" t="n">
        <v>69730047.52500001</v>
      </c>
      <c r="J57" s="45" t="n">
        <v>72875275.44546001</v>
      </c>
      <c r="K57" s="45" t="n">
        <v>10390000</v>
      </c>
      <c r="L57" s="45" t="n">
        <v>10977161.83</v>
      </c>
      <c r="M57" s="45" t="n">
        <v>2839.537</v>
      </c>
      <c r="N57" s="45" t="n">
        <v>2999.99924</v>
      </c>
      <c r="O57" s="45" t="n">
        <v>9465125.74</v>
      </c>
      <c r="P57" s="45" t="n">
        <v>9999999.99556</v>
      </c>
      <c r="Q57" s="45" t="n">
        <v>4999000</v>
      </c>
      <c r="R57" s="45" t="n">
        <v>5281493.49</v>
      </c>
      <c r="S57" s="45" t="n">
        <v>24856965.277</v>
      </c>
      <c r="T57" s="45" t="n">
        <v>26261655.3148</v>
      </c>
      <c r="U57" s="15" t="n">
        <v>13.13</v>
      </c>
      <c r="V57" s="15" t="n">
        <v>27.98</v>
      </c>
      <c r="W57" s="49" t="n">
        <v>105.651</v>
      </c>
    </row>
    <row r="58">
      <c r="A58" s="44" t="inlineStr">
        <is>
          <t>TL Cinsi Sabit Faizli Kuponlu Senetler</t>
        </is>
      </c>
      <c r="B58" s="44" t="n">
        <v>2024</v>
      </c>
      <c r="C58" s="44" t="inlineStr">
        <is>
          <t>TRT011025T16</t>
        </is>
      </c>
      <c r="D58" s="44" t="inlineStr">
        <is>
          <t>10.01.2024</t>
        </is>
      </c>
      <c r="E58" s="44" t="inlineStr">
        <is>
          <t>01.10.2025</t>
        </is>
      </c>
      <c r="F58" s="44" t="n">
        <v>630</v>
      </c>
      <c r="G58" s="44" t="inlineStr">
        <is>
          <t>6 ay</t>
        </is>
      </c>
      <c r="H58" s="15" t="n">
        <v>6.3</v>
      </c>
      <c r="I58" s="45" t="n">
        <v>45356009.183</v>
      </c>
      <c r="J58" s="45" t="n">
        <v>33276420.38808</v>
      </c>
      <c r="K58" s="45" t="n">
        <v>14606000</v>
      </c>
      <c r="L58" s="45" t="n">
        <v>10834798.92</v>
      </c>
      <c r="M58" s="45" t="n">
        <v>2709625.235</v>
      </c>
      <c r="N58" s="45" t="n">
        <v>2009999.99932</v>
      </c>
      <c r="O58" s="45" t="n">
        <v>13480722.561</v>
      </c>
      <c r="P58" s="45" t="n">
        <v>9999999.99574</v>
      </c>
      <c r="Q58" s="45" t="n">
        <v>4409538.284</v>
      </c>
      <c r="R58" s="45" t="n">
        <v>3270995.49907</v>
      </c>
      <c r="S58" s="45" t="n">
        <v>35205886.08</v>
      </c>
      <c r="T58" s="45" t="n">
        <v>26115794.41413</v>
      </c>
      <c r="U58" s="15" t="n">
        <v>18.38</v>
      </c>
      <c r="V58" s="15" t="n">
        <v>40.14</v>
      </c>
      <c r="W58" s="49" t="n">
        <v>74.18000000000001</v>
      </c>
    </row>
    <row r="59">
      <c r="A59" s="44" t="inlineStr">
        <is>
          <t>TL Cinsi Sabit Faizli Kuponlu Senetler</t>
        </is>
      </c>
      <c r="B59" s="44" t="n">
        <v>2024</v>
      </c>
      <c r="C59" s="44" t="inlineStr">
        <is>
          <t>TRT081128T15</t>
        </is>
      </c>
      <c r="D59" s="44" t="inlineStr">
        <is>
          <t>24.01.2024</t>
        </is>
      </c>
      <c r="E59" s="44" t="inlineStr">
        <is>
          <t>08.11.2028</t>
        </is>
      </c>
      <c r="F59" s="44" t="n">
        <v>1750</v>
      </c>
      <c r="G59" s="44" t="inlineStr">
        <is>
          <t>6 ay</t>
        </is>
      </c>
      <c r="H59" s="15" t="n">
        <v>15.54</v>
      </c>
      <c r="I59" s="45" t="n">
        <v>33597082.272</v>
      </c>
      <c r="J59" s="45" t="n">
        <v>37293018.5676</v>
      </c>
      <c r="K59" s="45" t="n">
        <v>16926000</v>
      </c>
      <c r="L59" s="45" t="n">
        <v>18915179.62</v>
      </c>
      <c r="M59" s="45" t="n">
        <v>1789677.142</v>
      </c>
      <c r="N59" s="45" t="n">
        <v>1999999.99973</v>
      </c>
      <c r="O59" s="45" t="n">
        <v>8948385.705</v>
      </c>
      <c r="P59" s="45" t="n">
        <v>9999999.99305</v>
      </c>
      <c r="Q59" s="45" t="n">
        <v>7720936.089</v>
      </c>
      <c r="R59" s="45" t="n">
        <v>8628300.49818</v>
      </c>
      <c r="S59" s="45" t="n">
        <v>35384998.936</v>
      </c>
      <c r="T59" s="45" t="n">
        <v>39543480.11096</v>
      </c>
      <c r="U59" s="15" t="n">
        <v>14.35</v>
      </c>
      <c r="V59" s="15" t="n">
        <v>30.75</v>
      </c>
      <c r="W59" s="49" t="n">
        <v>111.752</v>
      </c>
    </row>
    <row r="60">
      <c r="A60" s="44" t="inlineStr">
        <is>
          <t>TL Cinsi Sabit Faizli Kuponlu Senetler</t>
        </is>
      </c>
      <c r="B60" s="44" t="n">
        <v>2024</v>
      </c>
      <c r="C60" s="44" t="inlineStr">
        <is>
          <t>TRT051033T12</t>
        </is>
      </c>
      <c r="D60" s="44" t="inlineStr">
        <is>
          <t>14.02.2024</t>
        </is>
      </c>
      <c r="E60" s="44" t="inlineStr">
        <is>
          <t>05.10.2033</t>
        </is>
      </c>
      <c r="F60" s="44" t="n">
        <v>3521</v>
      </c>
      <c r="G60" s="44" t="inlineStr">
        <is>
          <t>6 ay</t>
        </is>
      </c>
      <c r="H60" s="15" t="n">
        <v>13.1</v>
      </c>
      <c r="I60" s="45" t="n">
        <v>47554200</v>
      </c>
      <c r="J60" s="45" t="n">
        <v>52868374.154</v>
      </c>
      <c r="K60" s="45" t="n">
        <v>8842000</v>
      </c>
      <c r="L60" s="45" t="n">
        <v>9965615.939999999</v>
      </c>
      <c r="M60" s="45" t="n">
        <v>8872.484</v>
      </c>
      <c r="N60" s="45" t="n">
        <v>9999.99927</v>
      </c>
      <c r="O60" s="45" t="n">
        <v>8872484.642999999</v>
      </c>
      <c r="P60" s="45" t="n">
        <v>9999999.99141</v>
      </c>
      <c r="Q60" s="45" t="n">
        <v>4509589.665</v>
      </c>
      <c r="R60" s="45" t="n">
        <v>5082668.31963</v>
      </c>
      <c r="S60" s="45" t="n">
        <v>22232946.792</v>
      </c>
      <c r="T60" s="45" t="n">
        <v>25058284.25031</v>
      </c>
      <c r="U60" s="15" t="n">
        <v>12.5</v>
      </c>
      <c r="V60" s="15" t="n">
        <v>26.56</v>
      </c>
      <c r="W60" s="49" t="n">
        <v>112.708</v>
      </c>
    </row>
    <row r="61">
      <c r="A61" s="44" t="inlineStr">
        <is>
          <t>TL Cinsi Sabit Faizli Kuponlu Senetler</t>
        </is>
      </c>
      <c r="B61" s="44" t="n">
        <v>2024</v>
      </c>
      <c r="C61" s="44" t="inlineStr">
        <is>
          <t>TRT180226T16</t>
        </is>
      </c>
      <c r="D61" s="44" t="inlineStr">
        <is>
          <t>21.02.2024</t>
        </is>
      </c>
      <c r="E61" s="44" t="inlineStr">
        <is>
          <t>18.02.2026</t>
        </is>
      </c>
      <c r="F61" s="44" t="n">
        <v>728</v>
      </c>
      <c r="G61" s="44" t="inlineStr">
        <is>
          <t>6 ay</t>
        </is>
      </c>
      <c r="H61" s="15" t="n">
        <v>18.5</v>
      </c>
      <c r="I61" s="45" t="n">
        <v>15246000</v>
      </c>
      <c r="J61" s="45" t="n">
        <v>14682645.92</v>
      </c>
      <c r="K61" s="45" t="n">
        <v>6976000</v>
      </c>
      <c r="L61" s="45" t="n">
        <v>6804546.72</v>
      </c>
      <c r="M61" s="45" t="n">
        <v>3101228.188</v>
      </c>
      <c r="N61" s="45" t="n">
        <v>3024999.99914</v>
      </c>
      <c r="O61" s="45" t="n">
        <v>1537799.098</v>
      </c>
      <c r="P61" s="45" t="n">
        <v>1499999.99617</v>
      </c>
      <c r="Q61" s="45" t="n">
        <v>2415312.754</v>
      </c>
      <c r="R61" s="45" t="n">
        <v>2355944.3665</v>
      </c>
      <c r="S61" s="45" t="n">
        <v>14030340.04</v>
      </c>
      <c r="T61" s="45" t="n">
        <v>13685491.08181</v>
      </c>
      <c r="U61" s="15" t="n">
        <v>19.44</v>
      </c>
      <c r="V61" s="15" t="n">
        <v>42.66</v>
      </c>
      <c r="W61" s="49" t="n">
        <v>97.542</v>
      </c>
    </row>
    <row r="62">
      <c r="A62" s="44" t="inlineStr">
        <is>
          <t>TL Cinsi Sabit Faizli Kuponlu Senetler</t>
        </is>
      </c>
      <c r="B62" s="44" t="n">
        <v>2024</v>
      </c>
      <c r="C62" s="44" t="inlineStr">
        <is>
          <t>TRT081128T15</t>
        </is>
      </c>
      <c r="D62" s="44" t="inlineStr">
        <is>
          <t>21.02.2024</t>
        </is>
      </c>
      <c r="E62" s="44" t="inlineStr">
        <is>
          <t>08.11.2028</t>
        </is>
      </c>
      <c r="F62" s="44" t="n">
        <v>1722</v>
      </c>
      <c r="G62" s="44" t="inlineStr">
        <is>
          <t>6 ay</t>
        </is>
      </c>
      <c r="H62" s="15" t="n">
        <v>15.54</v>
      </c>
      <c r="I62" s="45" t="n">
        <v>21490110</v>
      </c>
      <c r="J62" s="45" t="n">
        <v>24959850.823</v>
      </c>
      <c r="K62" s="45" t="n">
        <v>11318110</v>
      </c>
      <c r="L62" s="45" t="n">
        <v>13247060.223</v>
      </c>
      <c r="M62" s="45" t="n">
        <v>17087.736</v>
      </c>
      <c r="N62" s="45" t="n">
        <v>19999.99885</v>
      </c>
      <c r="O62" s="45" t="n">
        <v>5980707.939</v>
      </c>
      <c r="P62" s="45" t="n">
        <v>6999999.99304</v>
      </c>
      <c r="Q62" s="45" t="n">
        <v>0</v>
      </c>
      <c r="R62" s="45" t="n">
        <v>0</v>
      </c>
      <c r="S62" s="45" t="n">
        <v>17315905.675</v>
      </c>
      <c r="T62" s="45" t="n">
        <v>20267060.21489</v>
      </c>
      <c r="U62" s="15" t="n">
        <v>13.79</v>
      </c>
      <c r="V62" s="15" t="n">
        <v>29.49</v>
      </c>
      <c r="W62" s="49" t="n">
        <v>117.043</v>
      </c>
    </row>
    <row r="63">
      <c r="A63" s="44" t="inlineStr">
        <is>
          <t>TL Cinsi Sabit Faizli Kuponlu Senetler</t>
        </is>
      </c>
      <c r="B63" s="44" t="n">
        <v>2024</v>
      </c>
      <c r="C63" s="44" t="inlineStr">
        <is>
          <t>TRT051033T12</t>
        </is>
      </c>
      <c r="D63" s="44" t="inlineStr">
        <is>
          <t>13.03.2024</t>
        </is>
      </c>
      <c r="E63" s="44" t="inlineStr">
        <is>
          <t>05.10.2033</t>
        </is>
      </c>
      <c r="F63" s="44" t="n">
        <v>3493</v>
      </c>
      <c r="G63" s="44" t="inlineStr">
        <is>
          <t>6 ay</t>
        </is>
      </c>
      <c r="H63" s="15" t="n">
        <v>13.1</v>
      </c>
      <c r="I63" s="45" t="n">
        <v>29461000</v>
      </c>
      <c r="J63" s="45" t="n">
        <v>33154538.38</v>
      </c>
      <c r="K63" s="45" t="n">
        <v>7752000</v>
      </c>
      <c r="L63" s="45" t="n">
        <v>8799996.060000001</v>
      </c>
      <c r="M63" s="45" t="n">
        <v>0</v>
      </c>
      <c r="N63" s="45" t="n">
        <v>0</v>
      </c>
      <c r="O63" s="45" t="n">
        <v>7928188.226</v>
      </c>
      <c r="P63" s="45" t="n">
        <v>8999999.992280001</v>
      </c>
      <c r="Q63" s="45" t="n">
        <v>2454304.759</v>
      </c>
      <c r="R63" s="45" t="n">
        <v>2786102.21937</v>
      </c>
      <c r="S63" s="45" t="n">
        <v>18134492.985</v>
      </c>
      <c r="T63" s="45" t="n">
        <v>20586098.27165</v>
      </c>
      <c r="U63" s="15" t="n">
        <v>12.67</v>
      </c>
      <c r="V63" s="15" t="n">
        <v>26.94</v>
      </c>
      <c r="W63" s="49" t="n">
        <v>113.519</v>
      </c>
    </row>
    <row r="64">
      <c r="A64" s="44" t="inlineStr">
        <is>
          <t>TL Cinsi Sabit Faizli Kuponlu Senetler</t>
        </is>
      </c>
      <c r="B64" s="44" t="n">
        <v>2024</v>
      </c>
      <c r="C64" s="44" t="inlineStr">
        <is>
          <t>TRT180226T16</t>
        </is>
      </c>
      <c r="D64" s="44" t="inlineStr">
        <is>
          <t>20.03.2024</t>
        </is>
      </c>
      <c r="E64" s="44" t="inlineStr">
        <is>
          <t>18.02.2026</t>
        </is>
      </c>
      <c r="F64" s="44" t="n">
        <v>700</v>
      </c>
      <c r="G64" s="44" t="inlineStr">
        <is>
          <t>6 ay</t>
        </is>
      </c>
      <c r="H64" s="15" t="n">
        <v>18.5</v>
      </c>
      <c r="I64" s="45" t="n">
        <v>10733320</v>
      </c>
      <c r="J64" s="45" t="n">
        <v>10086677.7448</v>
      </c>
      <c r="K64" s="45" t="n">
        <v>2717320</v>
      </c>
      <c r="L64" s="45" t="n">
        <v>2592123.3848</v>
      </c>
      <c r="M64" s="45" t="n">
        <v>3144884.844</v>
      </c>
      <c r="N64" s="45" t="n">
        <v>2999999.99924</v>
      </c>
      <c r="O64" s="45" t="n">
        <v>262073.735</v>
      </c>
      <c r="P64" s="45" t="n">
        <v>249999.99803</v>
      </c>
      <c r="Q64" s="45" t="n">
        <v>100000</v>
      </c>
      <c r="R64" s="45" t="n">
        <v>95393</v>
      </c>
      <c r="S64" s="45" t="n">
        <v>6224278.579000001</v>
      </c>
      <c r="T64" s="45" t="n">
        <v>5937516.382069999</v>
      </c>
      <c r="U64" s="15" t="n">
        <v>21.44</v>
      </c>
      <c r="V64" s="15" t="n">
        <v>47.49</v>
      </c>
      <c r="W64" s="49" t="n">
        <v>95.393</v>
      </c>
    </row>
    <row r="65">
      <c r="A65" s="44" t="inlineStr">
        <is>
          <t>TL Cinsi Sabit Faizli Kuponlu Senetler</t>
        </is>
      </c>
      <c r="B65" s="44" t="n">
        <v>2024</v>
      </c>
      <c r="C65" s="44" t="inlineStr">
        <is>
          <t>TRT081128T15</t>
        </is>
      </c>
      <c r="D65" s="44" t="inlineStr">
        <is>
          <t>20.03.2024</t>
        </is>
      </c>
      <c r="E65" s="44" t="inlineStr">
        <is>
          <t>08.11.2028</t>
        </is>
      </c>
      <c r="F65" s="44" t="n">
        <v>1694</v>
      </c>
      <c r="G65" s="44" t="inlineStr">
        <is>
          <t>6 ay</t>
        </is>
      </c>
      <c r="H65" s="15" t="n">
        <v>15.54</v>
      </c>
      <c r="I65" s="45" t="n">
        <v>18938900</v>
      </c>
      <c r="J65" s="45" t="n">
        <v>21178663.831</v>
      </c>
      <c r="K65" s="45" t="n">
        <v>7904900</v>
      </c>
      <c r="L65" s="45" t="n">
        <v>8880642.321</v>
      </c>
      <c r="M65" s="45" t="n">
        <v>0</v>
      </c>
      <c r="N65" s="45" t="n">
        <v>0</v>
      </c>
      <c r="O65" s="45" t="n">
        <v>9791355.119999999</v>
      </c>
      <c r="P65" s="45" t="n">
        <v>10999999.99602</v>
      </c>
      <c r="Q65" s="45" t="n">
        <v>396698.532</v>
      </c>
      <c r="R65" s="45" t="n">
        <v>445666.99879</v>
      </c>
      <c r="S65" s="45" t="n">
        <v>18092953.652</v>
      </c>
      <c r="T65" s="45" t="n">
        <v>20326309.31581</v>
      </c>
      <c r="U65" s="15" t="n">
        <v>15.16</v>
      </c>
      <c r="V65" s="15" t="n">
        <v>32.62</v>
      </c>
      <c r="W65" s="49" t="n">
        <v>112.344</v>
      </c>
    </row>
    <row r="66">
      <c r="A66" s="44" t="inlineStr">
        <is>
          <t>TL Cinsi Sabit Faizli Kuponlu Senetler</t>
        </is>
      </c>
      <c r="B66" s="44" t="n">
        <v>2024</v>
      </c>
      <c r="C66" s="44" t="inlineStr">
        <is>
          <t>TRT180226T16</t>
        </is>
      </c>
      <c r="D66" s="44" t="inlineStr">
        <is>
          <t>17.04.2024</t>
        </is>
      </c>
      <c r="E66" s="44" t="inlineStr">
        <is>
          <t>18.02.2026</t>
        </is>
      </c>
      <c r="F66" s="44" t="n">
        <v>672</v>
      </c>
      <c r="G66" s="44" t="inlineStr">
        <is>
          <t>6 ay</t>
        </is>
      </c>
      <c r="H66" s="15" t="n">
        <v>18.5</v>
      </c>
      <c r="I66" s="45" t="n">
        <v>16018003.715</v>
      </c>
      <c r="J66" s="45" t="n">
        <v>16048226.8543</v>
      </c>
      <c r="K66" s="45" t="n">
        <v>11055001.715</v>
      </c>
      <c r="L66" s="45" t="n">
        <v>11178070.2793</v>
      </c>
      <c r="M66" s="45" t="n">
        <v>5449348.747</v>
      </c>
      <c r="N66" s="45" t="n">
        <v>5509999.99856</v>
      </c>
      <c r="O66" s="45" t="n">
        <v>1582388.017</v>
      </c>
      <c r="P66" s="45" t="n">
        <v>1599999.99562</v>
      </c>
      <c r="Q66" s="45" t="inlineStr">
        <is>
          <t>-</t>
        </is>
      </c>
      <c r="R66" s="45" t="inlineStr">
        <is>
          <t>-</t>
        </is>
      </c>
      <c r="S66" s="45" t="n">
        <v>18086738.479</v>
      </c>
      <c r="T66" s="45" t="n">
        <v>18288070.27348</v>
      </c>
      <c r="U66" s="15" t="n">
        <v>20.23</v>
      </c>
      <c r="V66" s="15" t="n">
        <v>44.55</v>
      </c>
      <c r="W66" s="49" t="n">
        <v>101.113</v>
      </c>
    </row>
    <row r="67">
      <c r="A67" s="44" t="inlineStr">
        <is>
          <t>TL Cinsi Sabit Faizli Kuponlu Senetler</t>
        </is>
      </c>
      <c r="B67" s="44" t="n">
        <v>2024</v>
      </c>
      <c r="C67" s="44" t="inlineStr">
        <is>
          <t>TRT081128T15</t>
        </is>
      </c>
      <c r="D67" s="44" t="inlineStr">
        <is>
          <t>17.04.2024</t>
        </is>
      </c>
      <c r="E67" s="44" t="inlineStr">
        <is>
          <t>08.11.2028</t>
        </is>
      </c>
      <c r="F67" s="44" t="n">
        <v>1666</v>
      </c>
      <c r="G67" s="44" t="inlineStr">
        <is>
          <t>6 ay</t>
        </is>
      </c>
      <c r="H67" s="15" t="n">
        <v>15.54</v>
      </c>
      <c r="I67" s="45" t="n">
        <v>14213000</v>
      </c>
      <c r="J67" s="45" t="n">
        <v>15850181.96</v>
      </c>
      <c r="K67" s="45" t="n">
        <v>9409000</v>
      </c>
      <c r="L67" s="45" t="n">
        <v>10557919.47</v>
      </c>
      <c r="M67" s="45" t="inlineStr">
        <is>
          <t>-</t>
        </is>
      </c>
      <c r="N67" s="45" t="inlineStr">
        <is>
          <t>-</t>
        </is>
      </c>
      <c r="O67" s="45" t="n">
        <v>3119123.79</v>
      </c>
      <c r="P67" s="45" t="n">
        <v>3499999.99599</v>
      </c>
      <c r="Q67" s="45" t="inlineStr">
        <is>
          <t>-</t>
        </is>
      </c>
      <c r="R67" s="45" t="inlineStr">
        <is>
          <t>-</t>
        </is>
      </c>
      <c r="S67" s="45" t="n">
        <v>12528123.79</v>
      </c>
      <c r="T67" s="45" t="n">
        <v>14057919.46599</v>
      </c>
      <c r="U67" s="15" t="n">
        <v>15.71</v>
      </c>
      <c r="V67" s="15" t="n">
        <v>33.88</v>
      </c>
      <c r="W67" s="49" t="n">
        <v>112.211</v>
      </c>
    </row>
    <row r="68">
      <c r="A68" s="44" t="inlineStr">
        <is>
          <t>TL Cinsi Sabit Faizli Kuponlu Senetler</t>
        </is>
      </c>
      <c r="B68" s="44" t="n">
        <v>2024</v>
      </c>
      <c r="C68" s="44" t="inlineStr">
        <is>
          <t>TRT051033T12</t>
        </is>
      </c>
      <c r="D68" s="44" t="inlineStr">
        <is>
          <t>24.04.2024</t>
        </is>
      </c>
      <c r="E68" s="44" t="inlineStr">
        <is>
          <t>05.10.2033</t>
        </is>
      </c>
      <c r="F68" s="44" t="n">
        <v>3451</v>
      </c>
      <c r="G68" s="44" t="inlineStr">
        <is>
          <t>6 ay</t>
        </is>
      </c>
      <c r="H68" s="15" t="n">
        <v>13.1</v>
      </c>
      <c r="I68" s="45" t="n">
        <v>32154130.5</v>
      </c>
      <c r="J68" s="45" t="n">
        <v>30985103.4785</v>
      </c>
      <c r="K68" s="45" t="n">
        <v>18578130.5</v>
      </c>
      <c r="L68" s="45" t="n">
        <v>18080531.2985</v>
      </c>
      <c r="M68" s="45" t="n">
        <v>0</v>
      </c>
      <c r="N68" s="45" t="n">
        <v>0</v>
      </c>
      <c r="O68" s="45" t="n">
        <v>3082550.702</v>
      </c>
      <c r="P68" s="45" t="n">
        <v>2999999.99419</v>
      </c>
      <c r="Q68" s="45" t="n">
        <v>8950687.65</v>
      </c>
      <c r="R68" s="45" t="n">
        <v>8710988.23474</v>
      </c>
      <c r="S68" s="45" t="n">
        <v>30611368.852</v>
      </c>
      <c r="T68" s="45" t="n">
        <v>29791519.52743</v>
      </c>
      <c r="U68" s="15" t="n">
        <v>13.57</v>
      </c>
      <c r="V68" s="15" t="n">
        <v>28.98</v>
      </c>
      <c r="W68" s="49" t="n">
        <v>97.322</v>
      </c>
    </row>
    <row r="69">
      <c r="A69" s="44" t="inlineStr">
        <is>
          <t>TL Cinsi Sabit Faizli Kuponlu Senetler</t>
        </is>
      </c>
      <c r="B69" s="44" t="n">
        <v>2024</v>
      </c>
      <c r="C69" s="44" t="inlineStr">
        <is>
          <t>TRT180226T16</t>
        </is>
      </c>
      <c r="D69" s="44" t="inlineStr">
        <is>
          <t>08.05.2024</t>
        </is>
      </c>
      <c r="E69" s="44" t="inlineStr">
        <is>
          <t>18.02.2026</t>
        </is>
      </c>
      <c r="F69" s="44" t="n">
        <v>651</v>
      </c>
      <c r="G69" s="44" t="inlineStr">
        <is>
          <t>6 ay</t>
        </is>
      </c>
      <c r="H69" s="15" t="n">
        <v>18.5</v>
      </c>
      <c r="I69" s="45" t="n">
        <v>38342200</v>
      </c>
      <c r="J69" s="45" t="n">
        <v>39238995.463</v>
      </c>
      <c r="K69" s="45" t="n">
        <v>15088000</v>
      </c>
      <c r="L69" s="45" t="n">
        <v>15505190.69</v>
      </c>
      <c r="M69" s="45" t="n">
        <v>3921568.626</v>
      </c>
      <c r="N69" s="45" t="n">
        <v>4029999.99851</v>
      </c>
      <c r="O69" s="45" t="n">
        <v>11677127.422</v>
      </c>
      <c r="P69" s="45" t="n">
        <v>11999999.99522</v>
      </c>
      <c r="Q69" s="45" t="n">
        <v>5727974.719</v>
      </c>
      <c r="R69" s="45" t="n">
        <v>5886353.21998</v>
      </c>
      <c r="S69" s="45" t="n">
        <v>36414670.767</v>
      </c>
      <c r="T69" s="45" t="n">
        <v>37421543.90371</v>
      </c>
      <c r="U69" s="15" t="n">
        <v>20.45</v>
      </c>
      <c r="V69" s="15" t="n">
        <v>45.09</v>
      </c>
      <c r="W69" s="49" t="n">
        <v>102.765</v>
      </c>
    </row>
    <row r="70">
      <c r="A70" s="44" t="inlineStr">
        <is>
          <t>TL Cinsi Sabit Faizli Kuponlu Senetler</t>
        </is>
      </c>
      <c r="B70" s="44" t="n">
        <v>2024</v>
      </c>
      <c r="C70" s="44" t="inlineStr">
        <is>
          <t>TRT051033T12</t>
        </is>
      </c>
      <c r="D70" s="44" t="inlineStr">
        <is>
          <t>08.05.2024</t>
        </is>
      </c>
      <c r="E70" s="44" t="inlineStr">
        <is>
          <t>05.10.2033</t>
        </is>
      </c>
      <c r="F70" s="44" t="n">
        <v>3437</v>
      </c>
      <c r="G70" s="44" t="inlineStr">
        <is>
          <t>6 ay</t>
        </is>
      </c>
      <c r="H70" s="15" t="n">
        <v>13.1</v>
      </c>
      <c r="I70" s="45" t="n">
        <v>62772830</v>
      </c>
      <c r="J70" s="45" t="n">
        <v>61760105.51975</v>
      </c>
      <c r="K70" s="45" t="n">
        <v>25383325</v>
      </c>
      <c r="L70" s="45" t="n">
        <v>25097695.50975</v>
      </c>
      <c r="M70" s="45" t="n">
        <v>0</v>
      </c>
      <c r="N70" s="45" t="n">
        <v>0</v>
      </c>
      <c r="O70" s="45" t="n">
        <v>15170670.032</v>
      </c>
      <c r="P70" s="45" t="n">
        <v>14999999.99415</v>
      </c>
      <c r="Q70" s="45" t="n">
        <v>8085138.484</v>
      </c>
      <c r="R70" s="45" t="n">
        <v>7994180.67606</v>
      </c>
      <c r="S70" s="45" t="n">
        <v>48639133.516</v>
      </c>
      <c r="T70" s="45" t="n">
        <v>48091876.17996</v>
      </c>
      <c r="U70" s="15" t="n">
        <v>13.48</v>
      </c>
      <c r="V70" s="15" t="n">
        <v>28.77</v>
      </c>
      <c r="W70" s="49" t="n">
        <v>98.875</v>
      </c>
    </row>
    <row r="71">
      <c r="A71" s="44" t="inlineStr">
        <is>
          <t>TL Cinsi Sabit Faizli Kuponlu Senetler</t>
        </is>
      </c>
      <c r="B71" s="44" t="n">
        <v>2024</v>
      </c>
      <c r="C71" s="44" t="inlineStr">
        <is>
          <t>TRT081128T15</t>
        </is>
      </c>
      <c r="D71" s="44" t="inlineStr">
        <is>
          <t>22.05.2024</t>
        </is>
      </c>
      <c r="E71" s="44" t="inlineStr">
        <is>
          <t>08.11.2028</t>
        </is>
      </c>
      <c r="F71" s="44" t="n">
        <v>1631</v>
      </c>
      <c r="G71" s="44" t="inlineStr">
        <is>
          <t>6 ay</t>
        </is>
      </c>
      <c r="H71" s="15" t="n">
        <v>15.54</v>
      </c>
      <c r="I71" s="45" t="n">
        <v>49625175</v>
      </c>
      <c r="J71" s="45" t="n">
        <v>51203499.905</v>
      </c>
      <c r="K71" s="45" t="n">
        <v>18233120</v>
      </c>
      <c r="L71" s="45" t="n">
        <v>18910721.7596</v>
      </c>
      <c r="M71" s="45" t="n">
        <v>2429711.904</v>
      </c>
      <c r="N71" s="45" t="n">
        <v>2519999.99836</v>
      </c>
      <c r="O71" s="45" t="n">
        <v>14462570.86</v>
      </c>
      <c r="P71" s="45" t="n">
        <v>14999999.99316</v>
      </c>
      <c r="Q71" s="45" t="n">
        <v>7115223.687</v>
      </c>
      <c r="R71" s="45" t="n">
        <v>7379625.39921</v>
      </c>
      <c r="S71" s="45" t="n">
        <v>42240626.451</v>
      </c>
      <c r="T71" s="45" t="n">
        <v>43810347.15033</v>
      </c>
      <c r="U71" s="15" t="n">
        <v>14.88</v>
      </c>
      <c r="V71" s="15" t="n">
        <v>31.97</v>
      </c>
      <c r="W71" s="49" t="n">
        <v>103.716</v>
      </c>
    </row>
    <row r="72">
      <c r="A72" s="44" t="inlineStr">
        <is>
          <t>TL Cinsi Sabit Faizli Kuponlu Senetler</t>
        </is>
      </c>
      <c r="B72" s="44" t="n">
        <v>2024</v>
      </c>
      <c r="C72" s="44" t="inlineStr">
        <is>
          <t>TRT180226T16</t>
        </is>
      </c>
      <c r="D72" s="44" t="inlineStr">
        <is>
          <t>05.06.2024</t>
        </is>
      </c>
      <c r="E72" s="44" t="inlineStr">
        <is>
          <t>18.02.2026</t>
        </is>
      </c>
      <c r="F72" s="44" t="n">
        <v>623</v>
      </c>
      <c r="G72" s="44" t="inlineStr">
        <is>
          <t>6 ay</t>
        </is>
      </c>
      <c r="H72" s="15" t="n">
        <v>18.5</v>
      </c>
      <c r="I72" s="45" t="n">
        <v>67220648.873</v>
      </c>
      <c r="J72" s="45" t="n">
        <v>72966254.44489001</v>
      </c>
      <c r="K72" s="45" t="n">
        <v>20975000</v>
      </c>
      <c r="L72" s="45" t="n">
        <v>22813971.5</v>
      </c>
      <c r="M72" s="45" t="n">
        <v>2758189.524</v>
      </c>
      <c r="N72" s="45" t="n">
        <v>2999999.99957</v>
      </c>
      <c r="O72" s="45" t="n">
        <v>18387930.158</v>
      </c>
      <c r="P72" s="45" t="n">
        <v>19999999.99494</v>
      </c>
      <c r="Q72" s="45" t="n">
        <v>1300000</v>
      </c>
      <c r="R72" s="45" t="n">
        <v>1413971</v>
      </c>
      <c r="S72" s="45" t="n">
        <v>43421119.682</v>
      </c>
      <c r="T72" s="45" t="n">
        <v>47227942.49450999</v>
      </c>
      <c r="U72" s="15" t="n">
        <v>19.14</v>
      </c>
      <c r="V72" s="15" t="n">
        <v>41.94</v>
      </c>
      <c r="W72" s="49" t="n">
        <v>108.767</v>
      </c>
    </row>
    <row r="73">
      <c r="A73" s="44" t="inlineStr">
        <is>
          <t>TL Cinsi Sabit Faizli Kuponlu Senetler</t>
        </is>
      </c>
      <c r="B73" s="44" t="n">
        <v>2024</v>
      </c>
      <c r="C73" s="44" t="inlineStr">
        <is>
          <t>TRT051033T12</t>
        </is>
      </c>
      <c r="D73" s="44" t="inlineStr">
        <is>
          <t>05.06.2024</t>
        </is>
      </c>
      <c r="E73" s="44" t="inlineStr">
        <is>
          <t>05.10.2033</t>
        </is>
      </c>
      <c r="F73" s="44" t="n">
        <v>3409</v>
      </c>
      <c r="G73" s="44" t="inlineStr">
        <is>
          <t>6 ay</t>
        </is>
      </c>
      <c r="H73" s="15" t="n">
        <v>13.1</v>
      </c>
      <c r="I73" s="45" t="n">
        <v>32859021</v>
      </c>
      <c r="J73" s="45" t="n">
        <v>34268868.49972</v>
      </c>
      <c r="K73" s="45" t="n">
        <v>21221008</v>
      </c>
      <c r="L73" s="45" t="n">
        <v>22204881.40848</v>
      </c>
      <c r="M73" s="45" t="inlineStr">
        <is>
          <t>-</t>
        </is>
      </c>
      <c r="N73" s="45" t="inlineStr">
        <is>
          <t>-</t>
        </is>
      </c>
      <c r="O73" s="45" t="n">
        <v>16246798.42</v>
      </c>
      <c r="P73" s="45" t="n">
        <v>16999999.99475</v>
      </c>
      <c r="Q73" s="45" t="n">
        <v>2700000</v>
      </c>
      <c r="R73" s="45" t="n">
        <v>2825172</v>
      </c>
      <c r="S73" s="45" t="n">
        <v>40167806.42</v>
      </c>
      <c r="T73" s="45" t="n">
        <v>42030053.40323</v>
      </c>
      <c r="U73" s="15" t="n">
        <v>12.92</v>
      </c>
      <c r="V73" s="15" t="n">
        <v>27.5</v>
      </c>
      <c r="W73" s="49" t="n">
        <v>104.636</v>
      </c>
    </row>
    <row r="74">
      <c r="A74" s="44" t="inlineStr">
        <is>
          <t>TL Cinsi Sabit Faizli Kuponlu Senetler</t>
        </is>
      </c>
      <c r="B74" s="44" t="n">
        <v>2024</v>
      </c>
      <c r="C74" s="44" t="inlineStr">
        <is>
          <t>TRT081128T15</t>
        </is>
      </c>
      <c r="D74" s="44" t="inlineStr">
        <is>
          <t>12.06.2024</t>
        </is>
      </c>
      <c r="E74" s="44" t="inlineStr">
        <is>
          <t>08.11.2028</t>
        </is>
      </c>
      <c r="F74" s="44" t="n">
        <v>1610</v>
      </c>
      <c r="G74" s="44" t="inlineStr">
        <is>
          <t>6 ay</t>
        </is>
      </c>
      <c r="H74" s="15" t="n">
        <v>15.54</v>
      </c>
      <c r="I74" s="45" t="n">
        <v>22891400</v>
      </c>
      <c r="J74" s="45" t="n">
        <v>23605683.378</v>
      </c>
      <c r="K74" s="45" t="n">
        <v>16099300</v>
      </c>
      <c r="L74" s="45" t="n">
        <v>16642095.954</v>
      </c>
      <c r="M74" s="45" t="n">
        <v>1451069.922</v>
      </c>
      <c r="N74" s="45" t="n">
        <v>1499999.99977</v>
      </c>
      <c r="O74" s="45" t="n">
        <v>9673799.477</v>
      </c>
      <c r="P74" s="45" t="n">
        <v>9999999.99535</v>
      </c>
      <c r="Q74" s="45" t="n">
        <v>1340284.844</v>
      </c>
      <c r="R74" s="45" t="n">
        <v>1385479.24894</v>
      </c>
      <c r="S74" s="45" t="n">
        <v>28564454.243</v>
      </c>
      <c r="T74" s="45" t="n">
        <v>29527575.19806</v>
      </c>
      <c r="U74" s="15" t="n">
        <v>15.3</v>
      </c>
      <c r="V74" s="15" t="n">
        <v>32.94</v>
      </c>
      <c r="W74" s="49" t="n">
        <v>103.372</v>
      </c>
    </row>
    <row r="75">
      <c r="A75" s="44" t="inlineStr">
        <is>
          <t>TL Cinsi Sabit Faizli Kuponlu Senetler</t>
        </is>
      </c>
      <c r="B75" s="44" t="n">
        <v>2024</v>
      </c>
      <c r="C75" s="44" t="inlineStr">
        <is>
          <t>TRT081128T15</t>
        </is>
      </c>
      <c r="D75" s="44" t="inlineStr">
        <is>
          <t>10.07.2024</t>
        </is>
      </c>
      <c r="E75" s="44" t="inlineStr">
        <is>
          <t>08.11.2028</t>
        </is>
      </c>
      <c r="F75" s="44" t="n">
        <v>1582</v>
      </c>
      <c r="G75" s="44" t="inlineStr">
        <is>
          <t>6 ay</t>
        </is>
      </c>
      <c r="H75" s="15" t="n">
        <v>15.54</v>
      </c>
      <c r="I75" s="45" t="n">
        <v>21180007</v>
      </c>
      <c r="J75" s="45" t="n">
        <v>23375251.40924</v>
      </c>
      <c r="K75" s="45" t="n">
        <v>9625507</v>
      </c>
      <c r="L75" s="45" t="n">
        <v>10659938.66924</v>
      </c>
      <c r="M75" s="45" t="n">
        <v>677219.247</v>
      </c>
      <c r="N75" s="45" t="n">
        <v>749999.99948</v>
      </c>
      <c r="O75" s="45" t="n">
        <v>9932548.959000001</v>
      </c>
      <c r="P75" s="45" t="n">
        <v>10999999.99563</v>
      </c>
      <c r="Q75" s="45" t="n">
        <v>400735.008</v>
      </c>
      <c r="R75" s="45" t="n">
        <v>443801.99931</v>
      </c>
      <c r="S75" s="45" t="n">
        <v>20636010.214</v>
      </c>
      <c r="T75" s="45" t="n">
        <v>22853740.66366</v>
      </c>
      <c r="U75" s="15" t="n">
        <v>14.26</v>
      </c>
      <c r="V75" s="15" t="n">
        <v>30.54</v>
      </c>
      <c r="W75" s="49" t="n">
        <v>110.747</v>
      </c>
    </row>
    <row r="76">
      <c r="A76" s="44" t="inlineStr">
        <is>
          <t>TL Cinsi Sabit Faizli Kuponlu Senetler</t>
        </is>
      </c>
      <c r="B76" s="44" t="n">
        <v>2024</v>
      </c>
      <c r="C76" s="44" t="inlineStr">
        <is>
          <t>TRT180226T16</t>
        </is>
      </c>
      <c r="D76" s="44" t="inlineStr">
        <is>
          <t>24.07.2024</t>
        </is>
      </c>
      <c r="E76" s="44" t="inlineStr">
        <is>
          <t>18.02.2026</t>
        </is>
      </c>
      <c r="F76" s="44" t="n">
        <v>574</v>
      </c>
      <c r="G76" s="44" t="inlineStr">
        <is>
          <t>6 ay</t>
        </is>
      </c>
      <c r="H76" s="15" t="n">
        <v>18.5</v>
      </c>
      <c r="I76" s="45" t="n">
        <v>23987124.324</v>
      </c>
      <c r="J76" s="45" t="n">
        <v>27237999.62639</v>
      </c>
      <c r="K76" s="45" t="n">
        <v>14318080</v>
      </c>
      <c r="L76" s="45" t="n">
        <v>16284350.13545</v>
      </c>
      <c r="M76" s="45" t="n">
        <v>2857569.921</v>
      </c>
      <c r="N76" s="45" t="n">
        <v>3249999.99825</v>
      </c>
      <c r="O76" s="45" t="n">
        <v>11430279.685</v>
      </c>
      <c r="P76" s="45" t="n">
        <v>12999999.99413</v>
      </c>
      <c r="Q76" s="45" t="n">
        <v>510377.726</v>
      </c>
      <c r="R76" s="45" t="n">
        <v>580467.89912</v>
      </c>
      <c r="S76" s="45" t="n">
        <v>29116307.332</v>
      </c>
      <c r="T76" s="45" t="n">
        <v>33114818.02695</v>
      </c>
      <c r="U76" s="15" t="n">
        <v>19.27</v>
      </c>
      <c r="V76" s="15" t="n">
        <v>42.25</v>
      </c>
      <c r="W76" s="49" t="n">
        <v>113.733</v>
      </c>
    </row>
    <row r="77">
      <c r="A77" s="44" t="inlineStr">
        <is>
          <t>TL Cinsi Sabit Faizli Kuponlu Senetler</t>
        </is>
      </c>
      <c r="B77" s="44" t="n">
        <v>2024</v>
      </c>
      <c r="C77" s="44" t="inlineStr">
        <is>
          <t>TRT051033T12</t>
        </is>
      </c>
      <c r="D77" s="44" t="inlineStr">
        <is>
          <t>24.07.2024</t>
        </is>
      </c>
      <c r="E77" s="44" t="inlineStr">
        <is>
          <t>05.10.2033</t>
        </is>
      </c>
      <c r="F77" s="44" t="n">
        <v>3360</v>
      </c>
      <c r="G77" s="44" t="inlineStr">
        <is>
          <t>6 ay</t>
        </is>
      </c>
      <c r="H77" s="15" t="n">
        <v>13.1</v>
      </c>
      <c r="I77" s="45" t="n">
        <v>19314001</v>
      </c>
      <c r="J77" s="45" t="n">
        <v>20380128.145</v>
      </c>
      <c r="K77" s="45" t="n">
        <v>4794001</v>
      </c>
      <c r="L77" s="45" t="n">
        <v>5082358.405</v>
      </c>
      <c r="M77" s="45" t="n">
        <v>0</v>
      </c>
      <c r="N77" s="45" t="n">
        <v>0</v>
      </c>
      <c r="O77" s="45" t="n">
        <v>5659576.47</v>
      </c>
      <c r="P77" s="45" t="n">
        <v>5999999.99467</v>
      </c>
      <c r="Q77" s="45" t="n">
        <v>1821007.967</v>
      </c>
      <c r="R77" s="45" t="n">
        <v>1930541.59621</v>
      </c>
      <c r="S77" s="45" t="n">
        <v>12274585.437</v>
      </c>
      <c r="T77" s="45" t="n">
        <v>13012899.99588</v>
      </c>
      <c r="U77" s="15" t="n">
        <v>13.22</v>
      </c>
      <c r="V77" s="15" t="n">
        <v>28.19</v>
      </c>
      <c r="W77" s="49" t="n">
        <v>106.015</v>
      </c>
    </row>
    <row r="78">
      <c r="A78" s="44" t="inlineStr">
        <is>
          <t>TL Cinsi Sabit Faizli Kuponlu Senetler</t>
        </is>
      </c>
      <c r="B78" s="44" t="n">
        <v>2024</v>
      </c>
      <c r="C78" s="44" t="inlineStr">
        <is>
          <t>TRT120826T16</t>
        </is>
      </c>
      <c r="D78" s="44" t="inlineStr">
        <is>
          <t>14.08.2024</t>
        </is>
      </c>
      <c r="E78" s="44" t="inlineStr">
        <is>
          <t>12.08.2026</t>
        </is>
      </c>
      <c r="F78" s="44" t="n">
        <v>728</v>
      </c>
      <c r="G78" s="44" t="inlineStr">
        <is>
          <t>6 ay</t>
        </is>
      </c>
      <c r="H78" s="15" t="n">
        <v>18</v>
      </c>
      <c r="I78" s="45" t="n">
        <v>53978011</v>
      </c>
      <c r="J78" s="45" t="n">
        <v>52205475.69145</v>
      </c>
      <c r="K78" s="45" t="n">
        <v>13710005</v>
      </c>
      <c r="L78" s="45" t="n">
        <v>13402936.99145</v>
      </c>
      <c r="M78" s="45" t="n">
        <v>3610883.795</v>
      </c>
      <c r="N78" s="45" t="n">
        <v>3529999.998</v>
      </c>
      <c r="O78" s="45" t="n">
        <v>15343698.848</v>
      </c>
      <c r="P78" s="45" t="n">
        <v>14999999.99381</v>
      </c>
      <c r="Q78" s="45" t="n">
        <v>3821604.459</v>
      </c>
      <c r="R78" s="45" t="n">
        <v>3736000.51912</v>
      </c>
      <c r="S78" s="45" t="n">
        <v>36486192.102</v>
      </c>
      <c r="T78" s="45" t="n">
        <v>35668937.50238001</v>
      </c>
      <c r="U78" s="15" t="n">
        <v>18.85</v>
      </c>
      <c r="V78" s="15" t="n">
        <v>41.24</v>
      </c>
      <c r="W78" s="49" t="n">
        <v>97.76000000000001</v>
      </c>
    </row>
    <row r="79">
      <c r="A79" s="44" t="inlineStr">
        <is>
          <t>TL Cinsi Sabit Faizli Kuponlu Senetler</t>
        </is>
      </c>
      <c r="B79" s="44" t="n">
        <v>2024</v>
      </c>
      <c r="C79" s="44" t="inlineStr">
        <is>
          <t>TRT081128T15</t>
        </is>
      </c>
      <c r="D79" s="44" t="inlineStr">
        <is>
          <t>14.08.2024</t>
        </is>
      </c>
      <c r="E79" s="44" t="inlineStr">
        <is>
          <t>08.11.2028</t>
        </is>
      </c>
      <c r="F79" s="44" t="n">
        <v>1547</v>
      </c>
      <c r="G79" s="44" t="inlineStr">
        <is>
          <t>6 ay</t>
        </is>
      </c>
      <c r="H79" s="15" t="n">
        <v>15.54</v>
      </c>
      <c r="I79" s="45" t="n">
        <v>11908630.669</v>
      </c>
      <c r="J79" s="45" t="n">
        <v>12978202.18375</v>
      </c>
      <c r="K79" s="45" t="n">
        <v>6088630.669</v>
      </c>
      <c r="L79" s="45" t="n">
        <v>6671971.58375</v>
      </c>
      <c r="M79" s="45" t="n">
        <v>1825133.919</v>
      </c>
      <c r="N79" s="45" t="n">
        <v>1999999.99978</v>
      </c>
      <c r="O79" s="45" t="n">
        <v>1825133.916</v>
      </c>
      <c r="P79" s="45" t="n">
        <v>1999999.99649</v>
      </c>
      <c r="Q79" s="45" t="n">
        <v>0</v>
      </c>
      <c r="R79" s="45" t="n">
        <v>0</v>
      </c>
      <c r="S79" s="45" t="n">
        <v>9738898.503999999</v>
      </c>
      <c r="T79" s="45" t="n">
        <v>10671971.58002</v>
      </c>
      <c r="U79" s="15" t="n">
        <v>15.09</v>
      </c>
      <c r="V79" s="15" t="n">
        <v>32.45</v>
      </c>
      <c r="W79" s="49" t="n">
        <v>109.581</v>
      </c>
    </row>
    <row r="80">
      <c r="A80" s="44" t="inlineStr">
        <is>
          <t>TL Cinsi Sabit Faizli Kuponlu Senetler</t>
        </is>
      </c>
      <c r="B80" s="44" t="n">
        <v>2024</v>
      </c>
      <c r="C80" s="44" t="inlineStr">
        <is>
          <t>TRT051033T12</t>
        </is>
      </c>
      <c r="D80" s="44" t="inlineStr">
        <is>
          <t>21.08.2024</t>
        </is>
      </c>
      <c r="E80" s="44" t="inlineStr">
        <is>
          <t>05.10.2033</t>
        </is>
      </c>
      <c r="F80" s="44" t="n">
        <v>3332</v>
      </c>
      <c r="G80" s="44" t="inlineStr">
        <is>
          <t>6 ay</t>
        </is>
      </c>
      <c r="H80" s="15" t="n">
        <v>13.1</v>
      </c>
      <c r="I80" s="45" t="n">
        <v>32495455</v>
      </c>
      <c r="J80" s="45" t="n">
        <v>34499130.14595</v>
      </c>
      <c r="K80" s="45" t="n">
        <v>3885000</v>
      </c>
      <c r="L80" s="45" t="n">
        <v>4142520.25</v>
      </c>
      <c r="M80" s="45" t="n">
        <v>0</v>
      </c>
      <c r="N80" s="45" t="n">
        <v>0</v>
      </c>
      <c r="O80" s="45" t="n">
        <v>4689155.854</v>
      </c>
      <c r="P80" s="45" t="n">
        <v>4999999.99556</v>
      </c>
      <c r="Q80" s="45" t="n">
        <v>732578.453</v>
      </c>
      <c r="R80" s="45" t="n">
        <v>781141.07865</v>
      </c>
      <c r="S80" s="45" t="n">
        <v>9306734.307</v>
      </c>
      <c r="T80" s="45" t="n">
        <v>9923661.324209999</v>
      </c>
      <c r="U80" s="15" t="n">
        <v>13.44</v>
      </c>
      <c r="V80" s="15" t="n">
        <v>28.68</v>
      </c>
      <c r="W80" s="49" t="n">
        <v>106.629</v>
      </c>
    </row>
    <row r="81">
      <c r="A81" s="44" t="inlineStr">
        <is>
          <t>TL Cinsi Sabit Faizli Kuponlu Senetler</t>
        </is>
      </c>
      <c r="B81" s="44" t="n">
        <v>2024</v>
      </c>
      <c r="C81" s="44" t="inlineStr">
        <is>
          <t>TRT051033T12</t>
        </is>
      </c>
      <c r="D81" s="44" t="inlineStr">
        <is>
          <t>11.09.2024</t>
        </is>
      </c>
      <c r="E81" s="44" t="inlineStr">
        <is>
          <t>05.10.2033</t>
        </is>
      </c>
      <c r="F81" s="44" t="n">
        <v>3311</v>
      </c>
      <c r="G81" s="44" t="inlineStr">
        <is>
          <t>6 ay</t>
        </is>
      </c>
      <c r="H81" s="15" t="n">
        <v>13.1</v>
      </c>
      <c r="I81" s="45" t="n">
        <v>13382056.839</v>
      </c>
      <c r="J81" s="45" t="n">
        <v>14449384.36868</v>
      </c>
      <c r="K81" s="45" t="n">
        <v>10326056.839</v>
      </c>
      <c r="L81" s="45" t="n">
        <v>11174091.30868</v>
      </c>
      <c r="M81" s="45" t="n">
        <v>0</v>
      </c>
      <c r="N81" s="45" t="n">
        <v>0</v>
      </c>
      <c r="O81" s="45" t="n">
        <v>5082568.632</v>
      </c>
      <c r="P81" s="45" t="n">
        <v>5499999.99373</v>
      </c>
      <c r="Q81" s="45" t="n">
        <v>0</v>
      </c>
      <c r="R81" s="45" t="n">
        <v>0</v>
      </c>
      <c r="S81" s="45" t="n">
        <v>15408625.471</v>
      </c>
      <c r="T81" s="45" t="n">
        <v>16674091.30241</v>
      </c>
      <c r="U81" s="15" t="n">
        <v>13.43</v>
      </c>
      <c r="V81" s="15" t="n">
        <v>28.67</v>
      </c>
      <c r="W81" s="49" t="n">
        <v>108.213</v>
      </c>
    </row>
    <row r="82">
      <c r="A82" s="44" t="inlineStr">
        <is>
          <t>TL Cinsi Sabit Faizli Kuponlu Senetler</t>
        </is>
      </c>
      <c r="B82" s="44" t="n">
        <v>2024</v>
      </c>
      <c r="C82" s="44" t="inlineStr">
        <is>
          <t>TRT120826T16</t>
        </is>
      </c>
      <c r="D82" s="44" t="inlineStr">
        <is>
          <t>18.09.2024</t>
        </is>
      </c>
      <c r="E82" s="44" t="inlineStr">
        <is>
          <t>12.08.2026</t>
        </is>
      </c>
      <c r="F82" s="44" t="n">
        <v>693</v>
      </c>
      <c r="G82" s="44" t="inlineStr">
        <is>
          <t>6 ay</t>
        </is>
      </c>
      <c r="H82" s="15" t="n">
        <v>18</v>
      </c>
      <c r="I82" s="45" t="n">
        <v>25182000</v>
      </c>
      <c r="J82" s="45" t="n">
        <v>25486968.27</v>
      </c>
      <c r="K82" s="45" t="n">
        <v>16709000</v>
      </c>
      <c r="L82" s="45" t="n">
        <v>16941589.07</v>
      </c>
      <c r="M82" s="45" t="n">
        <v>8876439.955</v>
      </c>
      <c r="N82" s="45" t="n">
        <v>8999999.99917</v>
      </c>
      <c r="O82" s="45" t="n">
        <v>12328388.825</v>
      </c>
      <c r="P82" s="45" t="n">
        <v>12499999.99746</v>
      </c>
      <c r="Q82" s="45" t="n">
        <v>250000</v>
      </c>
      <c r="R82" s="45" t="n">
        <v>253480</v>
      </c>
      <c r="S82" s="45" t="n">
        <v>38163828.78</v>
      </c>
      <c r="T82" s="45" t="n">
        <v>38695069.06663</v>
      </c>
      <c r="U82" s="15" t="n">
        <v>18.72</v>
      </c>
      <c r="V82" s="15" t="n">
        <v>40.93</v>
      </c>
      <c r="W82" s="49" t="n">
        <v>101.392</v>
      </c>
    </row>
    <row r="83">
      <c r="A83" s="44" t="inlineStr">
        <is>
          <t>TL Cinsi Sabit Faizli Kuponlu Senetler</t>
        </is>
      </c>
      <c r="B83" s="44" t="n">
        <v>2024</v>
      </c>
      <c r="C83" s="44" t="inlineStr">
        <is>
          <t>TRT120929T12</t>
        </is>
      </c>
      <c r="D83" s="44" t="inlineStr">
        <is>
          <t>18.09.2024</t>
        </is>
      </c>
      <c r="E83" s="44" t="inlineStr">
        <is>
          <t>12.09.2029</t>
        </is>
      </c>
      <c r="F83" s="44" t="n">
        <v>1820</v>
      </c>
      <c r="G83" s="44" t="inlineStr">
        <is>
          <t>6 ay</t>
        </is>
      </c>
      <c r="H83" s="15" t="n">
        <v>15</v>
      </c>
      <c r="I83" s="45" t="n">
        <v>16178214.061</v>
      </c>
      <c r="J83" s="45" t="n">
        <v>15609481.29937</v>
      </c>
      <c r="K83" s="45" t="n">
        <v>9657000</v>
      </c>
      <c r="L83" s="45" t="n">
        <v>9415127</v>
      </c>
      <c r="M83" s="45" t="n">
        <v>5128468.126</v>
      </c>
      <c r="N83" s="45" t="n">
        <v>4999999.99944</v>
      </c>
      <c r="O83" s="45" t="n">
        <v>1538540.434</v>
      </c>
      <c r="P83" s="45" t="n">
        <v>1499999.99611</v>
      </c>
      <c r="Q83" s="45" t="n">
        <v>5573014.46</v>
      </c>
      <c r="R83" s="45" t="n">
        <v>5433410.44777</v>
      </c>
      <c r="S83" s="45" t="n">
        <v>21897023.02</v>
      </c>
      <c r="T83" s="45" t="n">
        <v>21348537.44332</v>
      </c>
      <c r="U83" s="15" t="n">
        <v>15.51</v>
      </c>
      <c r="V83" s="15" t="n">
        <v>33.42</v>
      </c>
      <c r="W83" s="49" t="n">
        <v>97.495</v>
      </c>
    </row>
    <row r="84">
      <c r="A84" s="44" t="inlineStr">
        <is>
          <t>TL Cinsi Sabit Faizli Kuponlu Senetler</t>
        </is>
      </c>
      <c r="B84" s="44" t="n">
        <v>2024</v>
      </c>
      <c r="C84" s="44" t="inlineStr">
        <is>
          <t>TRT270934T18</t>
        </is>
      </c>
      <c r="D84" s="44" t="inlineStr">
        <is>
          <t>09.10.2024</t>
        </is>
      </c>
      <c r="E84" s="44" t="inlineStr">
        <is>
          <t>27.09.2034</t>
        </is>
      </c>
      <c r="F84" s="44" t="n">
        <v>3640</v>
      </c>
      <c r="G84" s="44" t="inlineStr">
        <is>
          <t>6 ay</t>
        </is>
      </c>
      <c r="H84" s="15" t="n">
        <v>13.85</v>
      </c>
      <c r="I84" s="45" t="n">
        <v>38457763.157</v>
      </c>
      <c r="J84" s="45" t="n">
        <v>37628568.03715</v>
      </c>
      <c r="K84" s="45" t="n">
        <v>10681100</v>
      </c>
      <c r="L84" s="45" t="n">
        <v>10576697.762</v>
      </c>
      <c r="M84" s="45" t="n">
        <v>0</v>
      </c>
      <c r="N84" s="45" t="n">
        <v>0</v>
      </c>
      <c r="O84" s="45" t="n">
        <v>6059198.364</v>
      </c>
      <c r="P84" s="45" t="n">
        <v>5999999.99599</v>
      </c>
      <c r="Q84" s="45" t="n">
        <v>4195181.705</v>
      </c>
      <c r="R84" s="45" t="n">
        <v>4154194.77973</v>
      </c>
      <c r="S84" s="45" t="n">
        <v>20935480.069</v>
      </c>
      <c r="T84" s="45" t="n">
        <v>20730892.53772</v>
      </c>
      <c r="U84" s="15" t="n">
        <v>14</v>
      </c>
      <c r="V84" s="15" t="n">
        <v>29.95</v>
      </c>
      <c r="W84" s="49" t="n">
        <v>99.023</v>
      </c>
    </row>
    <row r="85">
      <c r="A85" s="44" t="inlineStr">
        <is>
          <t>TL Cinsi Sabit Faizli Kuponlu Senetler</t>
        </is>
      </c>
      <c r="B85" s="44" t="n">
        <v>2024</v>
      </c>
      <c r="C85" s="44" t="inlineStr">
        <is>
          <t>TRT120826T16</t>
        </is>
      </c>
      <c r="D85" s="44" t="inlineStr">
        <is>
          <t>16.10.2024</t>
        </is>
      </c>
      <c r="E85" s="44" t="inlineStr">
        <is>
          <t>12.08.2026</t>
        </is>
      </c>
      <c r="F85" s="44" t="n">
        <v>665</v>
      </c>
      <c r="G85" s="44" t="inlineStr">
        <is>
          <t>6 ay</t>
        </is>
      </c>
      <c r="H85" s="15" t="n">
        <v>18</v>
      </c>
      <c r="I85" s="45" t="n">
        <v>22923000</v>
      </c>
      <c r="J85" s="45" t="n">
        <v>23357566.34</v>
      </c>
      <c r="K85" s="45" t="n">
        <v>15916000</v>
      </c>
      <c r="L85" s="45" t="n">
        <v>16250098.47</v>
      </c>
      <c r="M85" s="45" t="n">
        <v>4916796.442</v>
      </c>
      <c r="N85" s="45" t="n">
        <v>5019999.99932</v>
      </c>
      <c r="O85" s="45" t="n">
        <v>4407486.847</v>
      </c>
      <c r="P85" s="45" t="n">
        <v>4499999.99592</v>
      </c>
      <c r="Q85" s="45" t="n">
        <v>3897143.393</v>
      </c>
      <c r="R85" s="45" t="n">
        <v>3978944.43283</v>
      </c>
      <c r="S85" s="45" t="n">
        <v>29137426.682</v>
      </c>
      <c r="T85" s="45" t="n">
        <v>29749042.89807</v>
      </c>
      <c r="U85" s="15" t="n">
        <v>19.54</v>
      </c>
      <c r="V85" s="15" t="n">
        <v>42.89</v>
      </c>
      <c r="W85" s="49" t="n">
        <v>102.099</v>
      </c>
    </row>
    <row r="86">
      <c r="A86" s="44" t="inlineStr">
        <is>
          <t>TL Cinsi Sabit Faizli Kuponlu Senetler</t>
        </is>
      </c>
      <c r="B86" s="44" t="n">
        <v>2024</v>
      </c>
      <c r="C86" s="44" t="inlineStr">
        <is>
          <t>TRT120929T12</t>
        </is>
      </c>
      <c r="D86" s="44" t="inlineStr">
        <is>
          <t>16.10.2024</t>
        </is>
      </c>
      <c r="E86" s="44" t="inlineStr">
        <is>
          <t>12.09.2029</t>
        </is>
      </c>
      <c r="F86" s="44" t="n">
        <v>1792</v>
      </c>
      <c r="G86" s="44" t="inlineStr">
        <is>
          <t>6 ay</t>
        </is>
      </c>
      <c r="H86" s="15" t="n">
        <v>15</v>
      </c>
      <c r="I86" s="45" t="n">
        <v>15461500</v>
      </c>
      <c r="J86" s="45" t="n">
        <v>15148147.392</v>
      </c>
      <c r="K86" s="45" t="n">
        <v>9791600</v>
      </c>
      <c r="L86" s="45" t="n">
        <v>9627647.380999999</v>
      </c>
      <c r="M86" s="45" t="n">
        <v>5085124.992</v>
      </c>
      <c r="N86" s="45" t="n">
        <v>4999999.99963</v>
      </c>
      <c r="O86" s="45" t="n">
        <v>2542562.492</v>
      </c>
      <c r="P86" s="45" t="n">
        <v>2499999.99588</v>
      </c>
      <c r="Q86" s="45" t="n">
        <v>4886203.022</v>
      </c>
      <c r="R86" s="45" t="n">
        <v>4804407.98342</v>
      </c>
      <c r="S86" s="45" t="n">
        <v>22305490.506</v>
      </c>
      <c r="T86" s="45" t="n">
        <v>21932055.35993</v>
      </c>
      <c r="U86" s="15" t="n">
        <v>15.79</v>
      </c>
      <c r="V86" s="15" t="n">
        <v>34.08</v>
      </c>
      <c r="W86" s="49" t="n">
        <v>98.32599999999999</v>
      </c>
    </row>
    <row r="87">
      <c r="A87" s="44" t="inlineStr">
        <is>
          <t>TL Cinsi Sabit Faizli Kuponlu Senetler</t>
        </is>
      </c>
      <c r="B87" s="44" t="n">
        <v>2024</v>
      </c>
      <c r="C87" s="44" t="inlineStr">
        <is>
          <t>TRT270934T18</t>
        </is>
      </c>
      <c r="D87" s="44" t="inlineStr">
        <is>
          <t>06.11.2024</t>
        </is>
      </c>
      <c r="E87" s="44" t="inlineStr">
        <is>
          <t>27.09.2034</t>
        </is>
      </c>
      <c r="F87" s="44" t="n">
        <v>3612</v>
      </c>
      <c r="G87" s="44" t="inlineStr">
        <is>
          <t>6 ay</t>
        </is>
      </c>
      <c r="H87" s="15" t="n">
        <v>13.85</v>
      </c>
      <c r="I87" s="45" t="n">
        <v>18407700</v>
      </c>
      <c r="J87" s="45" t="n">
        <v>17884111.39</v>
      </c>
      <c r="K87" s="45" t="n">
        <v>9088600</v>
      </c>
      <c r="L87" s="45" t="n">
        <v>8877422.152000001</v>
      </c>
      <c r="M87" s="45" t="n">
        <v>0</v>
      </c>
      <c r="N87" s="45" t="n">
        <v>0</v>
      </c>
      <c r="O87" s="45" t="n">
        <v>3071378.839</v>
      </c>
      <c r="P87" s="45" t="n">
        <v>2999999.99478</v>
      </c>
      <c r="Q87" s="45" t="n">
        <v>4618726.725</v>
      </c>
      <c r="R87" s="45" t="n">
        <v>4511387.51591</v>
      </c>
      <c r="S87" s="45" t="n">
        <v>16778705.564</v>
      </c>
      <c r="T87" s="45" t="n">
        <v>16388809.66269</v>
      </c>
      <c r="U87" s="15" t="n">
        <v>14.53</v>
      </c>
      <c r="V87" s="15" t="n">
        <v>31.16</v>
      </c>
      <c r="W87" s="49" t="n">
        <v>97.676</v>
      </c>
    </row>
    <row r="88">
      <c r="A88" s="44" t="inlineStr">
        <is>
          <t>TL Cinsi Sabit Faizli Kuponlu Senetler</t>
        </is>
      </c>
      <c r="B88" s="44" t="n">
        <v>2024</v>
      </c>
      <c r="C88" s="44" t="inlineStr">
        <is>
          <t>TRT120826T16</t>
        </is>
      </c>
      <c r="D88" s="44" t="inlineStr">
        <is>
          <t>13.11.2024</t>
        </is>
      </c>
      <c r="E88" s="44" t="inlineStr">
        <is>
          <t>12.08.2026</t>
        </is>
      </c>
      <c r="F88" s="44" t="n">
        <v>637</v>
      </c>
      <c r="G88" s="44" t="inlineStr">
        <is>
          <t>6 ay</t>
        </is>
      </c>
      <c r="H88" s="15" t="n">
        <v>18</v>
      </c>
      <c r="I88" s="45" t="n">
        <v>40375000</v>
      </c>
      <c r="J88" s="45" t="n">
        <v>42160130.32</v>
      </c>
      <c r="K88" s="45" t="n">
        <v>26952000</v>
      </c>
      <c r="L88" s="45" t="n">
        <v>28199860.03</v>
      </c>
      <c r="M88" s="45" t="n">
        <v>3851667.78</v>
      </c>
      <c r="N88" s="45" t="n">
        <v>4029999.99821</v>
      </c>
      <c r="O88" s="45" t="n">
        <v>9557488.286</v>
      </c>
      <c r="P88" s="45" t="n">
        <v>9999999.99364</v>
      </c>
      <c r="Q88" s="45" t="n">
        <v>14163717.247</v>
      </c>
      <c r="R88" s="45" t="n">
        <v>14819497.35553</v>
      </c>
      <c r="S88" s="45" t="n">
        <v>54524873.313</v>
      </c>
      <c r="T88" s="45" t="n">
        <v>57049357.37738</v>
      </c>
      <c r="U88" s="15" t="n">
        <v>19.67</v>
      </c>
      <c r="V88" s="15" t="n">
        <v>43.21</v>
      </c>
      <c r="W88" s="49" t="n">
        <v>104.63</v>
      </c>
    </row>
    <row r="89">
      <c r="A89" s="44" t="inlineStr">
        <is>
          <t>TL Cinsi Sabit Faizli Kuponlu Senetler</t>
        </is>
      </c>
      <c r="B89" s="44" t="n">
        <v>2024</v>
      </c>
      <c r="C89" s="44" t="inlineStr">
        <is>
          <t>TRT120929T12</t>
        </is>
      </c>
      <c r="D89" s="44" t="inlineStr">
        <is>
          <t>13.11.2024</t>
        </is>
      </c>
      <c r="E89" s="44" t="inlineStr">
        <is>
          <t>12.09.2029</t>
        </is>
      </c>
      <c r="F89" s="44" t="n">
        <v>1764</v>
      </c>
      <c r="G89" s="44" t="inlineStr">
        <is>
          <t>6 ay</t>
        </is>
      </c>
      <c r="H89" s="15" t="n">
        <v>15</v>
      </c>
      <c r="I89" s="45" t="n">
        <v>30037500</v>
      </c>
      <c r="J89" s="45" t="n">
        <v>29361841.53</v>
      </c>
      <c r="K89" s="45" t="n">
        <v>20015750</v>
      </c>
      <c r="L89" s="45" t="n">
        <v>19604100.575</v>
      </c>
      <c r="M89" s="45" t="n">
        <v>4084008.045</v>
      </c>
      <c r="N89" s="45" t="n">
        <v>3999999.99951</v>
      </c>
      <c r="O89" s="45" t="n">
        <v>7147014.073</v>
      </c>
      <c r="P89" s="45" t="n">
        <v>6999999.99354</v>
      </c>
      <c r="Q89" s="45" t="n">
        <v>6274618.409</v>
      </c>
      <c r="R89" s="45" t="n">
        <v>6145549.50833</v>
      </c>
      <c r="S89" s="45" t="n">
        <v>37521390.527</v>
      </c>
      <c r="T89" s="45" t="n">
        <v>36749650.07638</v>
      </c>
      <c r="U89" s="15" t="n">
        <v>16.37</v>
      </c>
      <c r="V89" s="15" t="n">
        <v>35.41</v>
      </c>
      <c r="W89" s="49" t="n">
        <v>97.943</v>
      </c>
    </row>
    <row r="90">
      <c r="A90" s="44" t="inlineStr">
        <is>
          <t>TL Cinsi Sabit Faizli Kuponlu Senetler</t>
        </is>
      </c>
      <c r="B90" s="44" t="n">
        <v>2024</v>
      </c>
      <c r="C90" s="44" t="inlineStr">
        <is>
          <t>TRT120929T12</t>
        </is>
      </c>
      <c r="D90" s="44" t="inlineStr">
        <is>
          <t>11.12.2024</t>
        </is>
      </c>
      <c r="E90" s="44" t="inlineStr">
        <is>
          <t>12.09.2029</t>
        </is>
      </c>
      <c r="F90" s="44" t="n">
        <v>1736</v>
      </c>
      <c r="G90" s="44" t="inlineStr">
        <is>
          <t>6 ay</t>
        </is>
      </c>
      <c r="H90" s="15" t="n">
        <v>15</v>
      </c>
      <c r="I90" s="45" t="n">
        <v>19957000</v>
      </c>
      <c r="J90" s="45" t="n">
        <v>20255427.18</v>
      </c>
      <c r="K90" s="45" t="n">
        <v>9945000</v>
      </c>
      <c r="L90" s="45" t="n">
        <v>10156165.84</v>
      </c>
      <c r="M90" s="45" t="n">
        <v>9792113.431</v>
      </c>
      <c r="N90" s="45" t="n">
        <v>9999999.99914</v>
      </c>
      <c r="O90" s="45" t="n">
        <v>2448028.355</v>
      </c>
      <c r="P90" s="45" t="n">
        <v>2499999.99697</v>
      </c>
      <c r="Q90" s="45" t="n">
        <v>825010</v>
      </c>
      <c r="R90" s="45" t="n">
        <v>842524.9623</v>
      </c>
      <c r="S90" s="45" t="n">
        <v>23010151.786</v>
      </c>
      <c r="T90" s="45" t="n">
        <v>23498690.79841</v>
      </c>
      <c r="U90" s="15" t="n">
        <v>15.95</v>
      </c>
      <c r="V90" s="15" t="n">
        <v>34.45</v>
      </c>
      <c r="W90" s="49" t="n">
        <v>102.123</v>
      </c>
    </row>
    <row r="91">
      <c r="A91" s="44" t="inlineStr">
        <is>
          <t>TL Cinsi Sabit Faizli Kuponlu Senetler</t>
        </is>
      </c>
      <c r="B91" s="44" t="n">
        <v>2024</v>
      </c>
      <c r="C91" s="44" t="inlineStr">
        <is>
          <t>TRT120826T16</t>
        </is>
      </c>
      <c r="D91" s="44" t="inlineStr">
        <is>
          <t>18.12.2024</t>
        </is>
      </c>
      <c r="E91" s="44" t="inlineStr">
        <is>
          <t>12.08.2026</t>
        </is>
      </c>
      <c r="F91" s="44" t="n">
        <v>602</v>
      </c>
      <c r="G91" s="44" t="inlineStr">
        <is>
          <t>6 ay</t>
        </is>
      </c>
      <c r="H91" s="15" t="n">
        <v>18</v>
      </c>
      <c r="I91" s="45" t="n">
        <v>40422510</v>
      </c>
      <c r="J91" s="45" t="n">
        <v>43451792.1029</v>
      </c>
      <c r="K91" s="45" t="n">
        <v>12608500</v>
      </c>
      <c r="L91" s="45" t="n">
        <v>13581027.12</v>
      </c>
      <c r="M91" s="45" t="n">
        <v>3713572.177</v>
      </c>
      <c r="N91" s="45" t="n">
        <v>3999999.99901</v>
      </c>
      <c r="O91" s="45" t="n">
        <v>6498751.307</v>
      </c>
      <c r="P91" s="45" t="n">
        <v>6999999.9953</v>
      </c>
      <c r="Q91" s="45" t="n">
        <v>6135092.204</v>
      </c>
      <c r="R91" s="45" t="n">
        <v>6608291.8657</v>
      </c>
      <c r="S91" s="45" t="n">
        <v>28955915.688</v>
      </c>
      <c r="T91" s="45" t="n">
        <v>31189318.98001</v>
      </c>
      <c r="U91" s="15" t="n">
        <v>19.94</v>
      </c>
      <c r="V91" s="15" t="n">
        <v>43.85</v>
      </c>
      <c r="W91" s="49" t="n">
        <v>107.713</v>
      </c>
    </row>
    <row r="92">
      <c r="A92" s="44" t="inlineStr">
        <is>
          <t>TL Cinsi Sabit Faizli Kuponlu Senetler</t>
        </is>
      </c>
      <c r="B92" s="44" t="n">
        <v>2024</v>
      </c>
      <c r="C92" s="44" t="inlineStr">
        <is>
          <t>TRT270934T18</t>
        </is>
      </c>
      <c r="D92" s="44" t="inlineStr">
        <is>
          <t>18.12.2024</t>
        </is>
      </c>
      <c r="E92" s="44" t="inlineStr">
        <is>
          <t>27.09.2034</t>
        </is>
      </c>
      <c r="F92" s="44" t="n">
        <v>3570</v>
      </c>
      <c r="G92" s="44" t="inlineStr">
        <is>
          <t>6 ay</t>
        </is>
      </c>
      <c r="H92" s="15" t="n">
        <v>13.85</v>
      </c>
      <c r="I92" s="45" t="n">
        <v>23860000</v>
      </c>
      <c r="J92" s="45" t="n">
        <v>24204404.03</v>
      </c>
      <c r="K92" s="45" t="n">
        <v>6250000</v>
      </c>
      <c r="L92" s="45" t="n">
        <v>6369681</v>
      </c>
      <c r="M92" s="45" t="n">
        <v>0</v>
      </c>
      <c r="N92" s="45" t="n">
        <v>0</v>
      </c>
      <c r="O92" s="45" t="n">
        <v>981209.827</v>
      </c>
      <c r="P92" s="45" t="n">
        <v>999999.99518</v>
      </c>
      <c r="Q92" s="45" t="n">
        <v>3389637.245</v>
      </c>
      <c r="R92" s="45" t="n">
        <v>3454548.79824</v>
      </c>
      <c r="S92" s="45" t="n">
        <v>10620847.072</v>
      </c>
      <c r="T92" s="45" t="n">
        <v>10824229.79342</v>
      </c>
      <c r="U92" s="15" t="n">
        <v>14.34</v>
      </c>
      <c r="V92" s="15" t="n">
        <v>30.74</v>
      </c>
      <c r="W92" s="49" t="n">
        <v>101.915</v>
      </c>
    </row>
    <row r="93">
      <c r="A93" s="44" t="inlineStr">
        <is>
          <t>TL Cinsi Sabit Faizli Kuponlu Senetler</t>
        </is>
      </c>
      <c r="B93" s="44" t="n">
        <v>2023</v>
      </c>
      <c r="C93" s="44" t="inlineStr">
        <is>
          <t>TRT131032T13</t>
        </is>
      </c>
      <c r="D93" s="44" t="inlineStr">
        <is>
          <t>18.01.2023</t>
        </is>
      </c>
      <c r="E93" s="44" t="inlineStr">
        <is>
          <t>13.10.2032</t>
        </is>
      </c>
      <c r="F93" s="44" t="n">
        <v>3556</v>
      </c>
      <c r="G93" s="44" t="inlineStr">
        <is>
          <t>6 ay</t>
        </is>
      </c>
      <c r="H93" s="15" t="n">
        <v>5.2</v>
      </c>
      <c r="I93" s="45" t="n">
        <v>13468005</v>
      </c>
      <c r="J93" s="45" t="n">
        <v>13967847.9</v>
      </c>
      <c r="K93" s="45" t="n">
        <v>10157000</v>
      </c>
      <c r="L93" s="45" t="n">
        <v>10577163.2</v>
      </c>
      <c r="M93" s="45" t="n">
        <v>720205.1139999999</v>
      </c>
      <c r="N93" s="45" t="n">
        <v>749999.99957</v>
      </c>
      <c r="O93" s="45" t="n">
        <v>10563008.338</v>
      </c>
      <c r="P93" s="45" t="n">
        <v>10999999.99295</v>
      </c>
      <c r="Q93" s="45" t="n">
        <v>2825712.416</v>
      </c>
      <c r="R93" s="45" t="n">
        <v>2942612.13865</v>
      </c>
      <c r="S93" s="45" t="n">
        <v>24265925.868</v>
      </c>
      <c r="T93" s="45" t="n">
        <v>25269775.33117</v>
      </c>
      <c r="U93" s="15" t="n">
        <v>5.06</v>
      </c>
      <c r="V93" s="15" t="n">
        <v>10.37</v>
      </c>
      <c r="W93" s="49" t="n">
        <v>104.137</v>
      </c>
    </row>
    <row r="94">
      <c r="A94" s="44" t="inlineStr">
        <is>
          <t>TL Cinsi Sabit Faizli Kuponlu Senetler</t>
        </is>
      </c>
      <c r="B94" s="44" t="n">
        <v>2023</v>
      </c>
      <c r="C94" s="44" t="inlineStr">
        <is>
          <t>TRT041224T12</t>
        </is>
      </c>
      <c r="D94" s="44" t="inlineStr">
        <is>
          <t>18.01.2023</t>
        </is>
      </c>
      <c r="E94" s="44" t="inlineStr">
        <is>
          <t>04.12.2024</t>
        </is>
      </c>
      <c r="F94" s="44" t="n">
        <v>686</v>
      </c>
      <c r="G94" s="44" t="inlineStr">
        <is>
          <t>6 ay</t>
        </is>
      </c>
      <c r="H94" s="15" t="n">
        <v>4.65</v>
      </c>
      <c r="I94" s="45" t="n">
        <v>935002</v>
      </c>
      <c r="J94" s="45" t="n">
        <v>923626.5622</v>
      </c>
      <c r="K94" s="45" t="n">
        <v>485000</v>
      </c>
      <c r="L94" s="45" t="n">
        <v>481588.3</v>
      </c>
      <c r="M94" s="45" t="n">
        <v>0</v>
      </c>
      <c r="N94" s="45" t="n">
        <v>0</v>
      </c>
      <c r="O94" s="45" t="n">
        <v>176238.959</v>
      </c>
      <c r="P94" s="45" t="n">
        <v>174999.99911</v>
      </c>
      <c r="Q94" s="45" t="n">
        <v>122749.704</v>
      </c>
      <c r="R94" s="45" t="n">
        <v>121886.77358</v>
      </c>
      <c r="S94" s="45" t="n">
        <v>783988.6630000001</v>
      </c>
      <c r="T94" s="45" t="n">
        <v>778475.0726900001</v>
      </c>
      <c r="U94" s="15" t="n">
        <v>5.17</v>
      </c>
      <c r="V94" s="15" t="n">
        <v>10.62</v>
      </c>
      <c r="W94" s="49" t="n">
        <v>99.297</v>
      </c>
    </row>
    <row r="95">
      <c r="A95" s="44" t="inlineStr">
        <is>
          <t>TL Cinsi Sabit Faizli Kuponlu Senetler</t>
        </is>
      </c>
      <c r="B95" s="44" t="n">
        <v>2023</v>
      </c>
      <c r="C95" s="44" t="inlineStr">
        <is>
          <t>TRT110827T16</t>
        </is>
      </c>
      <c r="D95" s="44" t="inlineStr">
        <is>
          <t>25.01.2023</t>
        </is>
      </c>
      <c r="E95" s="44" t="inlineStr">
        <is>
          <t>11.08.2027</t>
        </is>
      </c>
      <c r="F95" s="44" t="n">
        <v>1659</v>
      </c>
      <c r="G95" s="44" t="inlineStr">
        <is>
          <t>6 ay</t>
        </is>
      </c>
      <c r="H95" s="15" t="n">
        <v>5.25</v>
      </c>
      <c r="I95" s="45" t="n">
        <v>30072000</v>
      </c>
      <c r="J95" s="45" t="n">
        <v>32291889.64</v>
      </c>
      <c r="K95" s="45" t="n">
        <v>21183000</v>
      </c>
      <c r="L95" s="45" t="n">
        <v>22802100.23</v>
      </c>
      <c r="M95" s="45" t="n">
        <v>1161245.97</v>
      </c>
      <c r="N95" s="45" t="n">
        <v>1249999.99949</v>
      </c>
      <c r="O95" s="45" t="n">
        <v>14863948.419</v>
      </c>
      <c r="P95" s="45" t="n">
        <v>15999999.99668</v>
      </c>
      <c r="Q95" s="45" t="n">
        <v>7556083.766</v>
      </c>
      <c r="R95" s="45" t="n">
        <v>8133595.24823</v>
      </c>
      <c r="S95" s="45" t="n">
        <v>44764278.155</v>
      </c>
      <c r="T95" s="45" t="n">
        <v>48185695.47440001</v>
      </c>
      <c r="U95" s="15" t="n">
        <v>4.83</v>
      </c>
      <c r="V95" s="15" t="n">
        <v>9.9</v>
      </c>
      <c r="W95" s="49" t="n">
        <v>107.643</v>
      </c>
    </row>
    <row r="96">
      <c r="A96" s="44" t="inlineStr">
        <is>
          <t>TL Cinsi Sabit Faizli Kuponlu Senetler</t>
        </is>
      </c>
      <c r="B96" s="44" t="n">
        <v>2023</v>
      </c>
      <c r="C96" s="44" t="inlineStr">
        <is>
          <t>TRT041224T12</t>
        </is>
      </c>
      <c r="D96" s="44" t="inlineStr">
        <is>
          <t>08.02.2023</t>
        </is>
      </c>
      <c r="E96" s="44" t="inlineStr">
        <is>
          <t>04.12.2024</t>
        </is>
      </c>
      <c r="F96" s="44" t="n">
        <v>665</v>
      </c>
      <c r="G96" s="44" t="inlineStr">
        <is>
          <t>6 ay</t>
        </is>
      </c>
      <c r="H96" s="15" t="n">
        <v>4.65</v>
      </c>
      <c r="I96" s="45" t="n">
        <v>1615002</v>
      </c>
      <c r="J96" s="45" t="n">
        <v>1599371.725</v>
      </c>
      <c r="K96" s="45" t="n">
        <v>680000</v>
      </c>
      <c r="L96" s="45" t="n">
        <v>677006.25</v>
      </c>
      <c r="M96" s="45" t="n">
        <v>1004419.445</v>
      </c>
      <c r="N96" s="45" t="n">
        <v>999999.99944</v>
      </c>
      <c r="O96" s="45" t="n">
        <v>125552.43</v>
      </c>
      <c r="P96" s="45" t="n">
        <v>124999.9993</v>
      </c>
      <c r="Q96" s="45" t="n">
        <v>0</v>
      </c>
      <c r="R96" s="45" t="n">
        <v>0</v>
      </c>
      <c r="S96" s="45" t="n">
        <v>1809971.875</v>
      </c>
      <c r="T96" s="45" t="n">
        <v>1802006.24874</v>
      </c>
      <c r="U96" s="15" t="n">
        <v>5.27</v>
      </c>
      <c r="V96" s="15" t="n">
        <v>10.82</v>
      </c>
      <c r="W96" s="49" t="n">
        <v>99.56</v>
      </c>
    </row>
    <row r="97">
      <c r="A97" s="44" t="inlineStr">
        <is>
          <t>TL Cinsi Sabit Faizli Kuponlu Senetler</t>
        </is>
      </c>
      <c r="B97" s="44" t="n">
        <v>2023</v>
      </c>
      <c r="C97" s="44" t="inlineStr">
        <is>
          <t>TRT131032T13</t>
        </is>
      </c>
      <c r="D97" s="44" t="inlineStr">
        <is>
          <t>08.02.2023</t>
        </is>
      </c>
      <c r="E97" s="44" t="inlineStr">
        <is>
          <t>13.10.2032</t>
        </is>
      </c>
      <c r="F97" s="44" t="n">
        <v>3535</v>
      </c>
      <c r="G97" s="44" t="inlineStr">
        <is>
          <t>6 ay</t>
        </is>
      </c>
      <c r="H97" s="15" t="n">
        <v>5.2</v>
      </c>
      <c r="I97" s="45" t="n">
        <v>8686005</v>
      </c>
      <c r="J97" s="45" t="n">
        <v>8425821.125</v>
      </c>
      <c r="K97" s="45" t="n">
        <v>6623004</v>
      </c>
      <c r="L97" s="45" t="n">
        <v>6452390.87</v>
      </c>
      <c r="M97" s="45" t="n">
        <v>0</v>
      </c>
      <c r="N97" s="45" t="n">
        <v>0</v>
      </c>
      <c r="O97" s="45" t="n">
        <v>5132205.614</v>
      </c>
      <c r="P97" s="45" t="n">
        <v>4999999.99739</v>
      </c>
      <c r="Q97" s="45" t="n">
        <v>1891579.63</v>
      </c>
      <c r="R97" s="45" t="n">
        <v>1842852.53873</v>
      </c>
      <c r="S97" s="45" t="n">
        <v>13646789.244</v>
      </c>
      <c r="T97" s="45" t="n">
        <v>13295243.40612</v>
      </c>
      <c r="U97" s="15" t="n">
        <v>5.68</v>
      </c>
      <c r="V97" s="15" t="n">
        <v>11.68</v>
      </c>
      <c r="W97" s="49" t="n">
        <v>97.42400000000001</v>
      </c>
    </row>
    <row r="98">
      <c r="A98" s="44" t="inlineStr">
        <is>
          <t>TL Cinsi Sabit Faizli Kuponlu Senetler</t>
        </is>
      </c>
      <c r="B98" s="44" t="n">
        <v>2023</v>
      </c>
      <c r="C98" s="44" t="inlineStr">
        <is>
          <t>TRT160228T16</t>
        </is>
      </c>
      <c r="D98" s="44" t="inlineStr">
        <is>
          <t>22.02.2023</t>
        </is>
      </c>
      <c r="E98" s="44" t="inlineStr">
        <is>
          <t>16.02.2028</t>
        </is>
      </c>
      <c r="F98" s="44" t="n">
        <v>1820</v>
      </c>
      <c r="G98" s="44" t="inlineStr">
        <is>
          <t>6 ay</t>
        </is>
      </c>
      <c r="H98" s="15" t="n">
        <v>4.55</v>
      </c>
      <c r="I98" s="45" t="n">
        <v>18288006</v>
      </c>
      <c r="J98" s="45" t="n">
        <v>18032354</v>
      </c>
      <c r="K98" s="45" t="n">
        <v>14100000</v>
      </c>
      <c r="L98" s="45" t="n">
        <v>13995945.3</v>
      </c>
      <c r="M98" s="45" t="n">
        <v>0</v>
      </c>
      <c r="N98" s="45" t="n">
        <v>0</v>
      </c>
      <c r="O98" s="45" t="n">
        <v>17126392.774</v>
      </c>
      <c r="P98" s="45" t="n">
        <v>16999999.99534</v>
      </c>
      <c r="Q98" s="45" t="n">
        <v>1701500</v>
      </c>
      <c r="R98" s="45" t="n">
        <v>1688942.93</v>
      </c>
      <c r="S98" s="45" t="n">
        <v>32927892.774</v>
      </c>
      <c r="T98" s="45" t="n">
        <v>32684888.22534</v>
      </c>
      <c r="U98" s="15" t="n">
        <v>4.64</v>
      </c>
      <c r="V98" s="15" t="n">
        <v>9.5</v>
      </c>
      <c r="W98" s="49" t="n">
        <v>99.262</v>
      </c>
    </row>
    <row r="99">
      <c r="A99" s="44" t="inlineStr">
        <is>
          <t>TL Cinsi Sabit Faizli Kuponlu Senetler</t>
        </is>
      </c>
      <c r="B99" s="44" t="n">
        <v>2023</v>
      </c>
      <c r="C99" s="44" t="inlineStr">
        <is>
          <t>TRT131032T13</t>
        </is>
      </c>
      <c r="D99" s="44" t="inlineStr">
        <is>
          <t>08.03.2023</t>
        </is>
      </c>
      <c r="E99" s="44" t="inlineStr">
        <is>
          <t>13.10.2032</t>
        </is>
      </c>
      <c r="F99" s="44" t="n">
        <v>3507</v>
      </c>
      <c r="G99" s="44" t="inlineStr">
        <is>
          <t>6 ay</t>
        </is>
      </c>
      <c r="H99" s="15" t="n">
        <v>5.2</v>
      </c>
      <c r="I99" s="45" t="n">
        <v>11350005</v>
      </c>
      <c r="J99" s="45" t="n">
        <v>10978846.93</v>
      </c>
      <c r="K99" s="45" t="n">
        <v>8970002</v>
      </c>
      <c r="L99" s="45" t="n">
        <v>8711016.130000001</v>
      </c>
      <c r="M99" s="45" t="n">
        <v>0</v>
      </c>
      <c r="N99" s="45" t="n">
        <v>0</v>
      </c>
      <c r="O99" s="45" t="n">
        <v>6693233.653</v>
      </c>
      <c r="P99" s="45" t="n">
        <v>6499999.99744</v>
      </c>
      <c r="Q99" s="45" t="n">
        <v>3362809.556</v>
      </c>
      <c r="R99" s="45" t="n">
        <v>3265725.24411</v>
      </c>
      <c r="S99" s="45" t="n">
        <v>19026045.209</v>
      </c>
      <c r="T99" s="45" t="n">
        <v>18476741.37155</v>
      </c>
      <c r="U99" s="15" t="n">
        <v>5.78</v>
      </c>
      <c r="V99" s="15" t="n">
        <v>11.9</v>
      </c>
      <c r="W99" s="49" t="n">
        <v>97.113</v>
      </c>
    </row>
    <row r="100">
      <c r="A100" s="44" t="inlineStr">
        <is>
          <t>TL Cinsi Sabit Faizli Kuponlu Senetler</t>
        </is>
      </c>
      <c r="B100" s="44" t="n">
        <v>2023</v>
      </c>
      <c r="C100" s="44" t="inlineStr">
        <is>
          <t>TRT041224T12</t>
        </is>
      </c>
      <c r="D100" s="44" t="inlineStr">
        <is>
          <t>22.03.2023</t>
        </is>
      </c>
      <c r="E100" s="44" t="inlineStr">
        <is>
          <t>04.12.2024</t>
        </is>
      </c>
      <c r="F100" s="44" t="n">
        <v>623</v>
      </c>
      <c r="G100" s="44" t="inlineStr">
        <is>
          <t>6 ay</t>
        </is>
      </c>
      <c r="H100" s="15" t="n">
        <v>4.65</v>
      </c>
      <c r="I100" s="45" t="n">
        <v>590003</v>
      </c>
      <c r="J100" s="45" t="n">
        <v>578551.1899999999</v>
      </c>
      <c r="K100" s="45" t="n">
        <v>200001</v>
      </c>
      <c r="L100" s="45" t="n">
        <v>196941.74</v>
      </c>
      <c r="M100" s="45" t="inlineStr">
        <is>
          <t>-</t>
        </is>
      </c>
      <c r="N100" s="45" t="inlineStr">
        <is>
          <t>-</t>
        </is>
      </c>
      <c r="O100" s="45" t="n">
        <v>91398.394</v>
      </c>
      <c r="P100" s="45" t="n">
        <v>89999.99858</v>
      </c>
      <c r="Q100" s="45" t="n">
        <v>0</v>
      </c>
      <c r="R100" s="45" t="n">
        <v>0</v>
      </c>
      <c r="S100" s="45" t="n">
        <v>291399.394</v>
      </c>
      <c r="T100" s="45" t="n">
        <v>286941.73858</v>
      </c>
      <c r="U100" s="15" t="n">
        <v>6.04</v>
      </c>
      <c r="V100" s="15" t="n">
        <v>12.44</v>
      </c>
      <c r="W100" s="49" t="n">
        <v>98.47</v>
      </c>
    </row>
    <row r="101">
      <c r="A101" s="44" t="inlineStr">
        <is>
          <t>TL Cinsi Sabit Faizli Kuponlu Senetler</t>
        </is>
      </c>
      <c r="B101" s="44" t="n">
        <v>2023</v>
      </c>
      <c r="C101" s="44" t="inlineStr">
        <is>
          <t>TRT160228T16</t>
        </is>
      </c>
      <c r="D101" s="44" t="inlineStr">
        <is>
          <t>22.03.2023</t>
        </is>
      </c>
      <c r="E101" s="44" t="inlineStr">
        <is>
          <t>16.02.2028</t>
        </is>
      </c>
      <c r="F101" s="44" t="n">
        <v>1792</v>
      </c>
      <c r="G101" s="44" t="inlineStr">
        <is>
          <t>6 ay</t>
        </is>
      </c>
      <c r="H101" s="15" t="n">
        <v>4.55</v>
      </c>
      <c r="I101" s="45" t="n">
        <v>13854005</v>
      </c>
      <c r="J101" s="45" t="n">
        <v>12816442.86</v>
      </c>
      <c r="K101" s="45" t="n">
        <v>10946001</v>
      </c>
      <c r="L101" s="45" t="n">
        <v>10162347.79</v>
      </c>
      <c r="M101" s="45" t="inlineStr">
        <is>
          <t>-</t>
        </is>
      </c>
      <c r="N101" s="45" t="inlineStr">
        <is>
          <t>-</t>
        </is>
      </c>
      <c r="O101" s="45" t="n">
        <v>26927758.207</v>
      </c>
      <c r="P101" s="45" t="n">
        <v>24999999.99696</v>
      </c>
      <c r="Q101" s="45" t="n">
        <v>0</v>
      </c>
      <c r="R101" s="45" t="n">
        <v>0</v>
      </c>
      <c r="S101" s="45" t="n">
        <v>37873759.207</v>
      </c>
      <c r="T101" s="45" t="n">
        <v>35162347.78696</v>
      </c>
      <c r="U101" s="15" t="n">
        <v>5.61</v>
      </c>
      <c r="V101" s="15" t="n">
        <v>11.53</v>
      </c>
      <c r="W101" s="49" t="n">
        <v>92.84099999999999</v>
      </c>
    </row>
    <row r="102">
      <c r="A102" s="44" t="inlineStr">
        <is>
          <t>TL Cinsi Sabit Faizli Kuponlu Senetler</t>
        </is>
      </c>
      <c r="B102" s="44" t="n">
        <v>2023</v>
      </c>
      <c r="C102" s="44" t="inlineStr">
        <is>
          <t>TRT020926T17</t>
        </is>
      </c>
      <c r="D102" s="44" t="inlineStr">
        <is>
          <t>12.04.2023</t>
        </is>
      </c>
      <c r="E102" s="44" t="inlineStr">
        <is>
          <t>02.09.2026</t>
        </is>
      </c>
      <c r="F102" s="44" t="n">
        <v>1239</v>
      </c>
      <c r="G102" s="44" t="inlineStr">
        <is>
          <t>6 ay</t>
        </is>
      </c>
      <c r="H102" s="15" t="n">
        <v>8.449999999999999</v>
      </c>
      <c r="I102" s="45" t="n">
        <v>416000</v>
      </c>
      <c r="J102" s="45" t="n">
        <v>442726.49</v>
      </c>
      <c r="K102" s="45" t="n">
        <v>157000</v>
      </c>
      <c r="L102" s="45" t="n">
        <v>169466.48</v>
      </c>
      <c r="M102" s="45" t="inlineStr">
        <is>
          <t>-</t>
        </is>
      </c>
      <c r="N102" s="45" t="inlineStr">
        <is>
          <t>-</t>
        </is>
      </c>
      <c r="O102" s="45" t="n">
        <v>64850.842</v>
      </c>
      <c r="P102" s="45" t="n">
        <v>69999.99886000001</v>
      </c>
      <c r="Q102" s="45" t="n">
        <v>0</v>
      </c>
      <c r="R102" s="45" t="n">
        <v>0</v>
      </c>
      <c r="S102" s="45" t="n">
        <v>221850.842</v>
      </c>
      <c r="T102" s="45" t="n">
        <v>239466.47886</v>
      </c>
      <c r="U102" s="15" t="n">
        <v>7.23</v>
      </c>
      <c r="V102" s="15" t="n">
        <v>14.99</v>
      </c>
      <c r="W102" s="49" t="n">
        <v>107.94</v>
      </c>
    </row>
    <row r="103">
      <c r="A103" s="44" t="inlineStr">
        <is>
          <t>TL Cinsi Sabit Faizli Kuponlu Senetler</t>
        </is>
      </c>
      <c r="B103" s="44" t="n">
        <v>2023</v>
      </c>
      <c r="C103" s="44" t="inlineStr">
        <is>
          <t>TRT131032T13</t>
        </is>
      </c>
      <c r="D103" s="44" t="inlineStr">
        <is>
          <t>12.04.2023</t>
        </is>
      </c>
      <c r="E103" s="44" t="inlineStr">
        <is>
          <t>13.10.2032</t>
        </is>
      </c>
      <c r="F103" s="44" t="n">
        <v>3472</v>
      </c>
      <c r="G103" s="44" t="inlineStr">
        <is>
          <t>6 ay</t>
        </is>
      </c>
      <c r="H103" s="15" t="n">
        <v>5.2</v>
      </c>
      <c r="I103" s="45" t="n">
        <v>9189005</v>
      </c>
      <c r="J103" s="45" t="n">
        <v>8762625.449999999</v>
      </c>
      <c r="K103" s="45" t="n">
        <v>6767000</v>
      </c>
      <c r="L103" s="45" t="n">
        <v>6477082.06</v>
      </c>
      <c r="M103" s="45" t="inlineStr">
        <is>
          <t>-</t>
        </is>
      </c>
      <c r="N103" s="45" t="inlineStr">
        <is>
          <t>-</t>
        </is>
      </c>
      <c r="O103" s="45" t="n">
        <v>9141627.311000001</v>
      </c>
      <c r="P103" s="45" t="n">
        <v>8749999.996990001</v>
      </c>
      <c r="Q103" s="45" t="n">
        <v>0</v>
      </c>
      <c r="R103" s="45" t="n">
        <v>0</v>
      </c>
      <c r="S103" s="45" t="n">
        <v>15908627.311</v>
      </c>
      <c r="T103" s="45" t="n">
        <v>15227082.05699</v>
      </c>
      <c r="U103" s="15" t="n">
        <v>6.01</v>
      </c>
      <c r="V103" s="15" t="n">
        <v>12.39</v>
      </c>
      <c r="W103" s="49" t="n">
        <v>95.71599999999999</v>
      </c>
    </row>
    <row r="104">
      <c r="A104" s="44" t="inlineStr">
        <is>
          <t>TL Cinsi Sabit Faizli Kuponlu Senetler</t>
        </is>
      </c>
      <c r="B104" s="44" t="n">
        <v>2023</v>
      </c>
      <c r="C104" s="44" t="inlineStr">
        <is>
          <t>TRT160228T16</t>
        </is>
      </c>
      <c r="D104" s="44" t="inlineStr">
        <is>
          <t>19.04.2023</t>
        </is>
      </c>
      <c r="E104" s="44" t="inlineStr">
        <is>
          <t>16.02.2028</t>
        </is>
      </c>
      <c r="F104" s="44" t="n">
        <v>1764</v>
      </c>
      <c r="G104" s="44" t="inlineStr">
        <is>
          <t>6 ay</t>
        </is>
      </c>
      <c r="H104" s="15" t="n">
        <v>4.55</v>
      </c>
      <c r="I104" s="45" t="n">
        <v>9913005</v>
      </c>
      <c r="J104" s="45" t="n">
        <v>7472456.1</v>
      </c>
      <c r="K104" s="45" t="n">
        <v>5323005</v>
      </c>
      <c r="L104" s="45" t="n">
        <v>4045927.69</v>
      </c>
      <c r="M104" s="45" t="inlineStr">
        <is>
          <t>-</t>
        </is>
      </c>
      <c r="N104" s="45" t="inlineStr">
        <is>
          <t>-</t>
        </is>
      </c>
      <c r="O104" s="45" t="n">
        <v>4933691.189</v>
      </c>
      <c r="P104" s="45" t="n">
        <v>3749999.99893</v>
      </c>
      <c r="Q104" s="45" t="n">
        <v>2050000</v>
      </c>
      <c r="R104" s="45" t="n">
        <v>1558164</v>
      </c>
      <c r="S104" s="45" t="n">
        <v>12306696.189</v>
      </c>
      <c r="T104" s="45" t="n">
        <v>9354091.688929999</v>
      </c>
      <c r="U104" s="15" t="n">
        <v>8.49</v>
      </c>
      <c r="V104" s="15" t="n">
        <v>17.71</v>
      </c>
      <c r="W104" s="49" t="n">
        <v>76.008</v>
      </c>
    </row>
    <row r="105">
      <c r="A105" s="44" t="inlineStr">
        <is>
          <t>TL Cinsi Sabit Faizli Kuponlu Senetler</t>
        </is>
      </c>
      <c r="B105" s="44" t="n">
        <v>2023</v>
      </c>
      <c r="C105" s="44" t="inlineStr">
        <is>
          <t>TRT131032T13</t>
        </is>
      </c>
      <c r="D105" s="44" t="inlineStr">
        <is>
          <t>03.05.2023</t>
        </is>
      </c>
      <c r="E105" s="44" t="inlineStr">
        <is>
          <t>13.10.2032</t>
        </is>
      </c>
      <c r="F105" s="44" t="n">
        <v>3451</v>
      </c>
      <c r="G105" s="44" t="inlineStr">
        <is>
          <t>6 ay</t>
        </is>
      </c>
      <c r="H105" s="15" t="n">
        <v>5.2</v>
      </c>
      <c r="I105" s="45" t="n">
        <v>5520000</v>
      </c>
      <c r="J105" s="45" t="n">
        <v>4636608.03</v>
      </c>
      <c r="K105" s="45" t="n">
        <v>3157000</v>
      </c>
      <c r="L105" s="45" t="n">
        <v>2717248.95</v>
      </c>
      <c r="M105" s="45" t="n">
        <v>2323663.022</v>
      </c>
      <c r="N105" s="45" t="n">
        <v>1999999.99967</v>
      </c>
      <c r="O105" s="45" t="n">
        <v>1452289.387</v>
      </c>
      <c r="P105" s="45" t="n">
        <v>1249999.99828</v>
      </c>
      <c r="Q105" s="45" t="n">
        <v>1000</v>
      </c>
      <c r="R105" s="45" t="n">
        <v>860.71</v>
      </c>
      <c r="S105" s="45" t="n">
        <v>6933952.409</v>
      </c>
      <c r="T105" s="45" t="n">
        <v>5968109.65795</v>
      </c>
      <c r="U105" s="15" t="n">
        <v>6.52</v>
      </c>
      <c r="V105" s="15" t="n">
        <v>13.46</v>
      </c>
      <c r="W105" s="49" t="n">
        <v>86.071</v>
      </c>
    </row>
    <row r="106">
      <c r="A106" s="44" t="inlineStr">
        <is>
          <t>TL Cinsi Sabit Faizli Kuponlu Senetler</t>
        </is>
      </c>
      <c r="B106" s="44" t="n">
        <v>2023</v>
      </c>
      <c r="C106" s="44" t="inlineStr">
        <is>
          <t>TRT041224T12</t>
        </is>
      </c>
      <c r="D106" s="44" t="inlineStr">
        <is>
          <t>10.05.2023</t>
        </is>
      </c>
      <c r="E106" s="44" t="inlineStr">
        <is>
          <t>04.12.2024</t>
        </is>
      </c>
      <c r="F106" s="44" t="n">
        <v>574</v>
      </c>
      <c r="G106" s="44" t="inlineStr">
        <is>
          <t>6 ay</t>
        </is>
      </c>
      <c r="H106" s="15" t="n">
        <v>4.65</v>
      </c>
      <c r="I106" s="45" t="n">
        <v>288003</v>
      </c>
      <c r="J106" s="45" t="n">
        <v>276221.41</v>
      </c>
      <c r="K106" s="45" t="n">
        <v>187001</v>
      </c>
      <c r="L106" s="45" t="n">
        <v>179888.99</v>
      </c>
      <c r="M106" s="45" t="n">
        <v>1559300.186</v>
      </c>
      <c r="N106" s="45" t="n">
        <v>1499999.99993</v>
      </c>
      <c r="O106" s="45" t="n">
        <v>129941.681</v>
      </c>
      <c r="P106" s="45" t="n">
        <v>124999.99887</v>
      </c>
      <c r="Q106" s="45" t="n">
        <v>5007.172</v>
      </c>
      <c r="R106" s="45" t="n">
        <v>4816.74925</v>
      </c>
      <c r="S106" s="45" t="n">
        <v>1881250.039</v>
      </c>
      <c r="T106" s="45" t="n">
        <v>1809705.73805</v>
      </c>
      <c r="U106" s="15" t="n">
        <v>7.49</v>
      </c>
      <c r="V106" s="15" t="n">
        <v>15.53</v>
      </c>
      <c r="W106" s="49" t="n">
        <v>96.197</v>
      </c>
    </row>
    <row r="107">
      <c r="A107" s="44" t="inlineStr">
        <is>
          <t>TL Cinsi Sabit Faizli Kuponlu Senetler</t>
        </is>
      </c>
      <c r="B107" s="44" t="n">
        <v>2023</v>
      </c>
      <c r="C107" s="44" t="inlineStr">
        <is>
          <t>TRT080328T15</t>
        </is>
      </c>
      <c r="D107" s="44" t="inlineStr">
        <is>
          <t>10.05.2023</t>
        </is>
      </c>
      <c r="E107" s="44" t="inlineStr">
        <is>
          <t>08.03.2028</t>
        </is>
      </c>
      <c r="F107" s="44" t="n">
        <v>1764</v>
      </c>
      <c r="G107" s="44" t="inlineStr">
        <is>
          <t>6 ay</t>
        </is>
      </c>
      <c r="H107" s="15" t="n">
        <v>6.2</v>
      </c>
      <c r="I107" s="45" t="n">
        <v>14652005</v>
      </c>
      <c r="J107" s="45" t="n">
        <v>12512111.79</v>
      </c>
      <c r="K107" s="45" t="n">
        <v>6668004</v>
      </c>
      <c r="L107" s="45" t="n">
        <v>5825321.32</v>
      </c>
      <c r="M107" s="45" t="n">
        <v>2289324.878</v>
      </c>
      <c r="N107" s="45" t="n">
        <v>1999999.99992</v>
      </c>
      <c r="O107" s="45" t="n">
        <v>2861656.094</v>
      </c>
      <c r="P107" s="45" t="n">
        <v>2499999.99685</v>
      </c>
      <c r="Q107" s="45" t="n">
        <v>1146662.439</v>
      </c>
      <c r="R107" s="45" t="n">
        <v>1001747.23996</v>
      </c>
      <c r="S107" s="45" t="n">
        <v>12965647.411</v>
      </c>
      <c r="T107" s="45" t="n">
        <v>11327068.55673</v>
      </c>
      <c r="U107" s="15" t="n">
        <v>8.449999999999999</v>
      </c>
      <c r="V107" s="15" t="n">
        <v>17.61</v>
      </c>
      <c r="W107" s="49" t="n">
        <v>87.36199999999999</v>
      </c>
    </row>
    <row r="108">
      <c r="A108" s="44" t="inlineStr">
        <is>
          <t>TL Cinsi Sabit Faizli Kuponlu Senetler</t>
        </is>
      </c>
      <c r="B108" s="44" t="n">
        <v>2023</v>
      </c>
      <c r="C108" s="44" t="inlineStr">
        <is>
          <t>TRT041224T12</t>
        </is>
      </c>
      <c r="D108" s="44" t="inlineStr">
        <is>
          <t>14.06.2023</t>
        </is>
      </c>
      <c r="E108" s="44" t="inlineStr">
        <is>
          <t>04.12.2024</t>
        </is>
      </c>
      <c r="F108" s="44" t="n">
        <v>539</v>
      </c>
      <c r="G108" s="44" t="inlineStr">
        <is>
          <t>6 ay</t>
        </is>
      </c>
      <c r="H108" s="15" t="n">
        <v>4.65</v>
      </c>
      <c r="I108" s="45" t="n">
        <v>1416000</v>
      </c>
      <c r="J108" s="45" t="n">
        <v>1270641.35</v>
      </c>
      <c r="K108" s="45" t="n">
        <v>530000</v>
      </c>
      <c r="L108" s="45" t="n">
        <v>483298.8</v>
      </c>
      <c r="M108" s="45" t="n">
        <v>274158.88</v>
      </c>
      <c r="N108" s="45" t="n">
        <v>249999.99949</v>
      </c>
      <c r="O108" s="45" t="n">
        <v>328990.654</v>
      </c>
      <c r="P108" s="45" t="n">
        <v>299999.99758</v>
      </c>
      <c r="Q108" s="45" t="n">
        <v>138646.071</v>
      </c>
      <c r="R108" s="45" t="n">
        <v>126428.57923</v>
      </c>
      <c r="S108" s="45" t="n">
        <v>1271795.605</v>
      </c>
      <c r="T108" s="45" t="n">
        <v>1159727.3763</v>
      </c>
      <c r="U108" s="15" t="n">
        <v>8.19</v>
      </c>
      <c r="V108" s="15" t="n">
        <v>17.05</v>
      </c>
      <c r="W108" s="49" t="n">
        <v>91.188</v>
      </c>
    </row>
    <row r="109">
      <c r="A109" s="44" t="inlineStr">
        <is>
          <t>TL Cinsi Sabit Faizli Kuponlu Senetler</t>
        </is>
      </c>
      <c r="B109" s="44" t="n">
        <v>2023</v>
      </c>
      <c r="C109" s="44" t="inlineStr">
        <is>
          <t>TRT131032T13</t>
        </is>
      </c>
      <c r="D109" s="44" t="inlineStr">
        <is>
          <t>14.06.2023</t>
        </is>
      </c>
      <c r="E109" s="44" t="inlineStr">
        <is>
          <t>13.10.2032</t>
        </is>
      </c>
      <c r="F109" s="44" t="n">
        <v>3409</v>
      </c>
      <c r="G109" s="44" t="inlineStr">
        <is>
          <t>6 ay</t>
        </is>
      </c>
      <c r="H109" s="15" t="n">
        <v>5.2</v>
      </c>
      <c r="I109" s="45" t="n">
        <v>16259000</v>
      </c>
      <c r="J109" s="45" t="n">
        <v>11266146.73</v>
      </c>
      <c r="K109" s="45" t="n">
        <v>12024000</v>
      </c>
      <c r="L109" s="45" t="n">
        <v>8389570.98</v>
      </c>
      <c r="M109" s="45" t="n">
        <v>1433198.612</v>
      </c>
      <c r="N109" s="45" t="n">
        <v>999999.99954</v>
      </c>
      <c r="O109" s="45" t="n">
        <v>8599191.673</v>
      </c>
      <c r="P109" s="45" t="n">
        <v>5999999.99793</v>
      </c>
      <c r="Q109" s="45" t="n">
        <v>2775484.668</v>
      </c>
      <c r="R109" s="45" t="n">
        <v>1936566.67225</v>
      </c>
      <c r="S109" s="45" t="n">
        <v>24831874.953</v>
      </c>
      <c r="T109" s="45" t="n">
        <v>17326137.64972</v>
      </c>
      <c r="U109" s="15" t="n">
        <v>8.67</v>
      </c>
      <c r="V109" s="15" t="n">
        <v>18.09</v>
      </c>
      <c r="W109" s="49" t="n">
        <v>69.774</v>
      </c>
    </row>
    <row r="110">
      <c r="A110" s="44" t="inlineStr">
        <is>
          <t>TL Cinsi Sabit Faizli Kuponlu Senetler</t>
        </is>
      </c>
      <c r="B110" s="44" t="n">
        <v>2023</v>
      </c>
      <c r="C110" s="44" t="inlineStr">
        <is>
          <t>TRT080328T15</t>
        </is>
      </c>
      <c r="D110" s="44" t="inlineStr">
        <is>
          <t>21.06.2023</t>
        </is>
      </c>
      <c r="E110" s="44" t="inlineStr">
        <is>
          <t>08.03.2028</t>
        </is>
      </c>
      <c r="F110" s="44" t="n">
        <v>1722</v>
      </c>
      <c r="G110" s="44" t="inlineStr">
        <is>
          <t>6 ay</t>
        </is>
      </c>
      <c r="H110" s="15" t="n">
        <v>6.2</v>
      </c>
      <c r="I110" s="45" t="n">
        <v>33852000</v>
      </c>
      <c r="J110" s="45" t="n">
        <v>29597463.54</v>
      </c>
      <c r="K110" s="45" t="n">
        <v>20261000</v>
      </c>
      <c r="L110" s="45" t="n">
        <v>17831879.9</v>
      </c>
      <c r="M110" s="45" t="n">
        <v>852166.206</v>
      </c>
      <c r="N110" s="45" t="n">
        <v>749999.99956</v>
      </c>
      <c r="O110" s="45" t="n">
        <v>27269318.603</v>
      </c>
      <c r="P110" s="45" t="n">
        <v>23999999.99567</v>
      </c>
      <c r="Q110" s="45" t="n">
        <v>8434909.885</v>
      </c>
      <c r="R110" s="45" t="n">
        <v>7423648.5389</v>
      </c>
      <c r="S110" s="45" t="n">
        <v>56817394.694</v>
      </c>
      <c r="T110" s="45" t="n">
        <v>50005528.43413</v>
      </c>
      <c r="U110" s="15" t="n">
        <v>8.630000000000001</v>
      </c>
      <c r="V110" s="15" t="n">
        <v>17.99</v>
      </c>
      <c r="W110" s="49" t="n">
        <v>88.011</v>
      </c>
    </row>
    <row r="111">
      <c r="A111" s="44" t="inlineStr">
        <is>
          <t>TL Cinsi Sabit Faizli Kuponlu Senetler</t>
        </is>
      </c>
      <c r="B111" s="44" t="n">
        <v>2023</v>
      </c>
      <c r="C111" s="44" t="inlineStr">
        <is>
          <t>TRT190728T18</t>
        </is>
      </c>
      <c r="D111" s="44" t="inlineStr">
        <is>
          <t>26.07.2023</t>
        </is>
      </c>
      <c r="E111" s="44" t="inlineStr">
        <is>
          <t>19.07.2028</t>
        </is>
      </c>
      <c r="F111" s="44" t="n">
        <v>1820</v>
      </c>
      <c r="G111" s="44" t="inlineStr">
        <is>
          <t>6 ay</t>
        </is>
      </c>
      <c r="H111" s="15" t="n">
        <v>8.65</v>
      </c>
      <c r="I111" s="45" t="n">
        <v>15208506</v>
      </c>
      <c r="J111" s="45" t="n">
        <v>14347124.36</v>
      </c>
      <c r="K111" s="45" t="n">
        <v>11320000</v>
      </c>
      <c r="L111" s="45" t="n">
        <v>10818037.85</v>
      </c>
      <c r="M111" s="45" t="n">
        <v>0</v>
      </c>
      <c r="N111" s="45" t="n">
        <v>0</v>
      </c>
      <c r="O111" s="45" t="n">
        <v>9417575.283</v>
      </c>
      <c r="P111" s="45" t="n">
        <v>8999999.99495</v>
      </c>
      <c r="Q111" s="45" t="n">
        <v>3822627.294</v>
      </c>
      <c r="R111" s="45" t="n">
        <v>3653131.99978</v>
      </c>
      <c r="S111" s="45" t="n">
        <v>24560202.577</v>
      </c>
      <c r="T111" s="45" t="n">
        <v>23471169.84473</v>
      </c>
      <c r="U111" s="15" t="n">
        <v>9.35</v>
      </c>
      <c r="V111" s="15" t="n">
        <v>19.58</v>
      </c>
      <c r="W111" s="49" t="n">
        <v>95.566</v>
      </c>
    </row>
    <row r="112">
      <c r="A112" s="44" t="inlineStr">
        <is>
          <t>TL Cinsi Sabit Faizli Kuponlu Senetler</t>
        </is>
      </c>
      <c r="B112" s="44" t="n">
        <v>2023</v>
      </c>
      <c r="C112" s="44" t="inlineStr">
        <is>
          <t>TRT130733T17</t>
        </is>
      </c>
      <c r="D112" s="44" t="inlineStr">
        <is>
          <t>26.07.2023</t>
        </is>
      </c>
      <c r="E112" s="44" t="inlineStr">
        <is>
          <t>13.07.2033</t>
        </is>
      </c>
      <c r="F112" s="44" t="n">
        <v>3640</v>
      </c>
      <c r="G112" s="44" t="inlineStr">
        <is>
          <t>6 ay</t>
        </is>
      </c>
      <c r="H112" s="15" t="n">
        <v>8.9</v>
      </c>
      <c r="I112" s="45" t="n">
        <v>7555500</v>
      </c>
      <c r="J112" s="45" t="n">
        <v>7105593.025</v>
      </c>
      <c r="K112" s="45" t="n">
        <v>4572500</v>
      </c>
      <c r="L112" s="45" t="n">
        <v>4342872.125</v>
      </c>
      <c r="M112" s="45" t="n">
        <v>0</v>
      </c>
      <c r="N112" s="45" t="n">
        <v>0</v>
      </c>
      <c r="O112" s="45" t="n">
        <v>3948282.758</v>
      </c>
      <c r="P112" s="45" t="n">
        <v>3749999.99788</v>
      </c>
      <c r="Q112" s="45" t="n">
        <v>305069.489</v>
      </c>
      <c r="R112" s="45" t="n">
        <v>289748.89926</v>
      </c>
      <c r="S112" s="45" t="n">
        <v>8825852.247</v>
      </c>
      <c r="T112" s="45" t="n">
        <v>8382621.022140001</v>
      </c>
      <c r="U112" s="15" t="n">
        <v>9.470000000000001</v>
      </c>
      <c r="V112" s="15" t="n">
        <v>19.83</v>
      </c>
      <c r="W112" s="49" t="n">
        <v>94.97799999999999</v>
      </c>
    </row>
    <row r="113">
      <c r="A113" s="44" t="inlineStr">
        <is>
          <t>TL Cinsi Sabit Faizli Kuponlu Senetler</t>
        </is>
      </c>
      <c r="B113" s="44" t="n">
        <v>2023</v>
      </c>
      <c r="C113" s="44" t="inlineStr">
        <is>
          <t>TRT011025T16</t>
        </is>
      </c>
      <c r="D113" s="44" t="inlineStr">
        <is>
          <t>09.08.2023</t>
        </is>
      </c>
      <c r="E113" s="44" t="inlineStr">
        <is>
          <t>01.10.2025</t>
        </is>
      </c>
      <c r="F113" s="44" t="n">
        <v>784</v>
      </c>
      <c r="G113" s="44" t="inlineStr">
        <is>
          <t>6 ay</t>
        </is>
      </c>
      <c r="H113" s="15" t="n">
        <v>6.3</v>
      </c>
      <c r="I113" s="45" t="n">
        <v>1081000</v>
      </c>
      <c r="J113" s="45" t="n">
        <v>1013339.81</v>
      </c>
      <c r="K113" s="45" t="n">
        <v>272000</v>
      </c>
      <c r="L113" s="45" t="n">
        <v>260538.92</v>
      </c>
      <c r="M113" s="45" t="n">
        <v>0</v>
      </c>
      <c r="N113" s="45" t="n">
        <v>0</v>
      </c>
      <c r="O113" s="45" t="n">
        <v>52199.693</v>
      </c>
      <c r="P113" s="45" t="n">
        <v>49999.99793</v>
      </c>
      <c r="Q113" s="45" t="n">
        <v>98836.84600000001</v>
      </c>
      <c r="R113" s="45" t="n">
        <v>94671.86130999999</v>
      </c>
      <c r="S113" s="45" t="n">
        <v>423036.539</v>
      </c>
      <c r="T113" s="45" t="n">
        <v>405210.77924</v>
      </c>
      <c r="U113" s="15" t="n">
        <v>8.76</v>
      </c>
      <c r="V113" s="15" t="n">
        <v>18.28</v>
      </c>
      <c r="W113" s="49" t="n">
        <v>95.786</v>
      </c>
    </row>
    <row r="114">
      <c r="A114" s="44" t="inlineStr">
        <is>
          <t>TL Cinsi Sabit Faizli Kuponlu Senetler</t>
        </is>
      </c>
      <c r="B114" s="44" t="n">
        <v>2023</v>
      </c>
      <c r="C114" s="44" t="inlineStr">
        <is>
          <t>TRT190728T18</t>
        </is>
      </c>
      <c r="D114" s="44" t="inlineStr">
        <is>
          <t>09.08.2023</t>
        </is>
      </c>
      <c r="E114" s="44" t="inlineStr">
        <is>
          <t>19.07.2028</t>
        </is>
      </c>
      <c r="F114" s="44" t="n">
        <v>1806</v>
      </c>
      <c r="G114" s="44" t="inlineStr">
        <is>
          <t>6 ay</t>
        </is>
      </c>
      <c r="H114" s="15" t="n">
        <v>8.65</v>
      </c>
      <c r="I114" s="45" t="n">
        <v>32090000</v>
      </c>
      <c r="J114" s="45" t="n">
        <v>29910198.46</v>
      </c>
      <c r="K114" s="45" t="n">
        <v>25118000</v>
      </c>
      <c r="L114" s="45" t="n">
        <v>23500801.73</v>
      </c>
      <c r="M114" s="45" t="n">
        <v>0</v>
      </c>
      <c r="N114" s="45" t="n">
        <v>0</v>
      </c>
      <c r="O114" s="45" t="n">
        <v>21376199.734</v>
      </c>
      <c r="P114" s="45" t="n">
        <v>19999999.99511</v>
      </c>
      <c r="Q114" s="45" t="n">
        <v>4187778.702</v>
      </c>
      <c r="R114" s="45" t="n">
        <v>3918169.50917</v>
      </c>
      <c r="S114" s="45" t="n">
        <v>50681978.436</v>
      </c>
      <c r="T114" s="45" t="n">
        <v>47418971.23428001</v>
      </c>
      <c r="U114" s="15" t="n">
        <v>9.800000000000001</v>
      </c>
      <c r="V114" s="15" t="n">
        <v>20.55</v>
      </c>
      <c r="W114" s="49" t="n">
        <v>93.562</v>
      </c>
    </row>
    <row r="115">
      <c r="A115" s="44" t="inlineStr">
        <is>
          <t>TL Cinsi Sabit Faizli Kuponlu Senetler</t>
        </is>
      </c>
      <c r="B115" s="44" t="n">
        <v>2023</v>
      </c>
      <c r="C115" s="44" t="inlineStr">
        <is>
          <t>TRT130733T17</t>
        </is>
      </c>
      <c r="D115" s="44" t="inlineStr">
        <is>
          <t>16.08.2023</t>
        </is>
      </c>
      <c r="E115" s="44" t="inlineStr">
        <is>
          <t>13.07.2033</t>
        </is>
      </c>
      <c r="F115" s="44" t="n">
        <v>3619</v>
      </c>
      <c r="G115" s="44" t="inlineStr">
        <is>
          <t>6 ay</t>
        </is>
      </c>
      <c r="H115" s="15" t="n">
        <v>8.9</v>
      </c>
      <c r="I115" s="45" t="n">
        <v>13494004</v>
      </c>
      <c r="J115" s="45" t="n">
        <v>11686625.08</v>
      </c>
      <c r="K115" s="45" t="n">
        <v>9113001</v>
      </c>
      <c r="L115" s="45" t="n">
        <v>7980468.89</v>
      </c>
      <c r="M115" s="45" t="n">
        <v>1141917.507</v>
      </c>
      <c r="N115" s="45" t="n">
        <v>999999.99923</v>
      </c>
      <c r="O115" s="45" t="n">
        <v>8564381.304</v>
      </c>
      <c r="P115" s="45" t="n">
        <v>7499999.99555</v>
      </c>
      <c r="Q115" s="45" t="n">
        <v>770751.419</v>
      </c>
      <c r="R115" s="45" t="n">
        <v>674962.43265</v>
      </c>
      <c r="S115" s="45" t="n">
        <v>19590051.23</v>
      </c>
      <c r="T115" s="45" t="n">
        <v>17155431.31743</v>
      </c>
      <c r="U115" s="15" t="n">
        <v>10.54</v>
      </c>
      <c r="V115" s="15" t="n">
        <v>22.18</v>
      </c>
      <c r="W115" s="49" t="n">
        <v>87.572</v>
      </c>
    </row>
    <row r="116">
      <c r="A116" s="44" t="inlineStr">
        <is>
          <t>TL Cinsi Sabit Faizli Kuponlu Senetler</t>
        </is>
      </c>
      <c r="B116" s="44" t="n">
        <v>2023</v>
      </c>
      <c r="C116" s="44" t="inlineStr">
        <is>
          <t>TRT011025T16</t>
        </is>
      </c>
      <c r="D116" s="44" t="inlineStr">
        <is>
          <t>13.09.2023</t>
        </is>
      </c>
      <c r="E116" s="44" t="inlineStr">
        <is>
          <t>01.10.2025</t>
        </is>
      </c>
      <c r="F116" s="44" t="n">
        <v>749</v>
      </c>
      <c r="G116" s="44" t="inlineStr">
        <is>
          <t>6 ay</t>
        </is>
      </c>
      <c r="H116" s="15" t="n">
        <v>6.3</v>
      </c>
      <c r="I116" s="45" t="n">
        <v>2697003</v>
      </c>
      <c r="J116" s="45" t="n">
        <v>2162733.61</v>
      </c>
      <c r="K116" s="45" t="n">
        <v>525000</v>
      </c>
      <c r="L116" s="45" t="n">
        <v>463067.36</v>
      </c>
      <c r="M116" s="45" t="n">
        <v>226749.657</v>
      </c>
      <c r="N116" s="45" t="n">
        <v>199999.99996</v>
      </c>
      <c r="O116" s="45" t="n">
        <v>396811.898</v>
      </c>
      <c r="P116" s="45" t="n">
        <v>349999.99839</v>
      </c>
      <c r="Q116" s="45" t="n">
        <v>0</v>
      </c>
      <c r="R116" s="45" t="n">
        <v>0</v>
      </c>
      <c r="S116" s="45" t="n">
        <v>1148561.555</v>
      </c>
      <c r="T116" s="45" t="n">
        <v>1013067.35835</v>
      </c>
      <c r="U116" s="15" t="n">
        <v>11.86</v>
      </c>
      <c r="V116" s="15" t="n">
        <v>25.14</v>
      </c>
      <c r="W116" s="49" t="n">
        <v>88.203</v>
      </c>
    </row>
    <row r="117">
      <c r="A117" s="44" t="inlineStr">
        <is>
          <t>TL Cinsi Sabit Faizli Kuponlu Senetler</t>
        </is>
      </c>
      <c r="B117" s="44" t="n">
        <v>2023</v>
      </c>
      <c r="C117" s="44" t="inlineStr">
        <is>
          <t>TRT190728T18</t>
        </is>
      </c>
      <c r="D117" s="44" t="inlineStr">
        <is>
          <t>13.09.2023</t>
        </is>
      </c>
      <c r="E117" s="44" t="inlineStr">
        <is>
          <t>19.07.2028</t>
        </is>
      </c>
      <c r="F117" s="44" t="n">
        <v>1771</v>
      </c>
      <c r="G117" s="44" t="inlineStr">
        <is>
          <t>6 ay</t>
        </is>
      </c>
      <c r="H117" s="15" t="n">
        <v>8.65</v>
      </c>
      <c r="I117" s="45" t="n">
        <v>15630102.276</v>
      </c>
      <c r="J117" s="45" t="n">
        <v>12129872.85897</v>
      </c>
      <c r="K117" s="45" t="n">
        <v>11461005</v>
      </c>
      <c r="L117" s="45" t="n">
        <v>8958811.775</v>
      </c>
      <c r="M117" s="45" t="n">
        <v>4477535.564</v>
      </c>
      <c r="N117" s="45" t="n">
        <v>3499999.99967</v>
      </c>
      <c r="O117" s="45" t="n">
        <v>19189438.129</v>
      </c>
      <c r="P117" s="45" t="n">
        <v>14999999.99668</v>
      </c>
      <c r="Q117" s="45" t="n">
        <v>0</v>
      </c>
      <c r="R117" s="45" t="n">
        <v>0</v>
      </c>
      <c r="S117" s="45" t="n">
        <v>35127978.693</v>
      </c>
      <c r="T117" s="45" t="n">
        <v>27458811.77135</v>
      </c>
      <c r="U117" s="15" t="n">
        <v>13.18</v>
      </c>
      <c r="V117" s="15" t="n">
        <v>28.09</v>
      </c>
      <c r="W117" s="49" t="n">
        <v>78.16800000000001</v>
      </c>
    </row>
    <row r="118">
      <c r="A118" s="44" t="inlineStr">
        <is>
          <t>TL Cinsi Sabit Faizli Kuponlu Senetler</t>
        </is>
      </c>
      <c r="B118" s="44" t="n">
        <v>2023</v>
      </c>
      <c r="C118" s="44" t="inlineStr">
        <is>
          <t>TRT130733T17</t>
        </is>
      </c>
      <c r="D118" s="44" t="inlineStr">
        <is>
          <t>20.09.2023</t>
        </is>
      </c>
      <c r="E118" s="44" t="inlineStr">
        <is>
          <t>13.07.2033</t>
        </is>
      </c>
      <c r="F118" s="44" t="n">
        <v>3584</v>
      </c>
      <c r="G118" s="44" t="inlineStr">
        <is>
          <t>6 ay</t>
        </is>
      </c>
      <c r="H118" s="15" t="n">
        <v>8.9</v>
      </c>
      <c r="I118" s="45" t="n">
        <v>27249840.79</v>
      </c>
      <c r="J118" s="45" t="n">
        <v>19657210.2623</v>
      </c>
      <c r="K118" s="45" t="n">
        <v>12924600</v>
      </c>
      <c r="L118" s="45" t="n">
        <v>9427016.788000001</v>
      </c>
      <c r="M118" s="45" t="n">
        <v>2056512.976</v>
      </c>
      <c r="N118" s="45" t="n">
        <v>1499999.99956</v>
      </c>
      <c r="O118" s="45" t="n">
        <v>20565129.76</v>
      </c>
      <c r="P118" s="45" t="n">
        <v>14999999.99566</v>
      </c>
      <c r="Q118" s="45" t="n">
        <v>3652419.83</v>
      </c>
      <c r="R118" s="45" t="n">
        <v>2664038.4998</v>
      </c>
      <c r="S118" s="45" t="n">
        <v>39198662.566</v>
      </c>
      <c r="T118" s="45" t="n">
        <v>28591055.28302</v>
      </c>
      <c r="U118" s="15" t="n">
        <v>13.19</v>
      </c>
      <c r="V118" s="15" t="n">
        <v>28.12</v>
      </c>
      <c r="W118" s="49" t="n">
        <v>72.93899999999999</v>
      </c>
    </row>
    <row r="119">
      <c r="A119" s="44" t="inlineStr">
        <is>
          <t>TL Cinsi Sabit Faizli Kuponlu Senetler</t>
        </is>
      </c>
      <c r="B119" s="44" t="n">
        <v>2023</v>
      </c>
      <c r="C119" s="44" t="inlineStr">
        <is>
          <t>TRT190728T18</t>
        </is>
      </c>
      <c r="D119" s="44" t="inlineStr">
        <is>
          <t>18.10.2023</t>
        </is>
      </c>
      <c r="E119" s="44" t="inlineStr">
        <is>
          <t>19.07.2028</t>
        </is>
      </c>
      <c r="F119" s="44" t="n">
        <v>1736</v>
      </c>
      <c r="G119" s="44" t="inlineStr">
        <is>
          <t>6 ay</t>
        </is>
      </c>
      <c r="H119" s="15" t="n">
        <v>8.65</v>
      </c>
      <c r="I119" s="45" t="n">
        <v>18028106</v>
      </c>
      <c r="J119" s="45" t="n">
        <v>13455622.593</v>
      </c>
      <c r="K119" s="45" t="n">
        <v>10578102</v>
      </c>
      <c r="L119" s="45" t="n">
        <v>7987005.683</v>
      </c>
      <c r="M119" s="45" t="n">
        <v>0</v>
      </c>
      <c r="N119" s="45" t="n">
        <v>0</v>
      </c>
      <c r="O119" s="45" t="n">
        <v>4966558.504</v>
      </c>
      <c r="P119" s="45" t="n">
        <v>3749999.99844</v>
      </c>
      <c r="Q119" s="45" t="n">
        <v>1101336.997</v>
      </c>
      <c r="R119" s="45" t="n">
        <v>831564.4995799999</v>
      </c>
      <c r="S119" s="45" t="n">
        <v>16645997.501</v>
      </c>
      <c r="T119" s="45" t="n">
        <v>12568570.18102</v>
      </c>
      <c r="U119" s="15" t="n">
        <v>14.27</v>
      </c>
      <c r="V119" s="15" t="n">
        <v>30.57</v>
      </c>
      <c r="W119" s="49" t="n">
        <v>75.505</v>
      </c>
    </row>
    <row r="120">
      <c r="A120" s="44" t="inlineStr">
        <is>
          <t>TL Cinsi Sabit Faizli Kuponlu Senetler</t>
        </is>
      </c>
      <c r="B120" s="44" t="n">
        <v>2023</v>
      </c>
      <c r="C120" s="44" t="inlineStr">
        <is>
          <t>TRT051033T12</t>
        </is>
      </c>
      <c r="D120" s="44" t="inlineStr">
        <is>
          <t>18.10.2023</t>
        </is>
      </c>
      <c r="E120" s="44" t="inlineStr">
        <is>
          <t>05.10.2033</t>
        </is>
      </c>
      <c r="F120" s="44" t="n">
        <v>3640</v>
      </c>
      <c r="G120" s="44" t="inlineStr">
        <is>
          <t>6 ay</t>
        </is>
      </c>
      <c r="H120" s="15" t="n">
        <v>13.1</v>
      </c>
      <c r="I120" s="45" t="n">
        <v>20392529.689</v>
      </c>
      <c r="J120" s="45" t="n">
        <v>19219203.98959</v>
      </c>
      <c r="K120" s="45" t="n">
        <v>7449004.45</v>
      </c>
      <c r="L120" s="45" t="n">
        <v>7129524.019</v>
      </c>
      <c r="M120" s="45" t="n">
        <v>0</v>
      </c>
      <c r="N120" s="45" t="n">
        <v>0</v>
      </c>
      <c r="O120" s="45" t="n">
        <v>6268871.912</v>
      </c>
      <c r="P120" s="45" t="n">
        <v>5999999.99568</v>
      </c>
      <c r="Q120" s="45" t="n">
        <v>683630.7070000001</v>
      </c>
      <c r="R120" s="45" t="n">
        <v>654309.78597</v>
      </c>
      <c r="S120" s="45" t="n">
        <v>14401507.069</v>
      </c>
      <c r="T120" s="45" t="n">
        <v>13783833.80065</v>
      </c>
      <c r="U120" s="15" t="n">
        <v>13.74</v>
      </c>
      <c r="V120" s="15" t="n">
        <v>29.36</v>
      </c>
      <c r="W120" s="49" t="n">
        <v>95.711</v>
      </c>
    </row>
    <row r="121">
      <c r="A121" s="44" t="inlineStr">
        <is>
          <t>TL Cinsi Sabit Faizli Kuponlu Senetler</t>
        </is>
      </c>
      <c r="B121" s="44" t="n">
        <v>2023</v>
      </c>
      <c r="C121" s="44" t="inlineStr">
        <is>
          <t>TRT011025T16</t>
        </is>
      </c>
      <c r="D121" s="44" t="inlineStr">
        <is>
          <t>25.10.2023</t>
        </is>
      </c>
      <c r="E121" s="44" t="inlineStr">
        <is>
          <t>01.10.2025</t>
        </is>
      </c>
      <c r="F121" s="44" t="n">
        <v>707</v>
      </c>
      <c r="G121" s="44" t="inlineStr">
        <is>
          <t>6 ay</t>
        </is>
      </c>
      <c r="H121" s="15" t="n">
        <v>6.3</v>
      </c>
      <c r="I121" s="45" t="n">
        <v>3843008.896</v>
      </c>
      <c r="J121" s="45" t="n">
        <v>2819912.4796</v>
      </c>
      <c r="K121" s="45" t="n">
        <v>1784001</v>
      </c>
      <c r="L121" s="45" t="n">
        <v>1348877.83</v>
      </c>
      <c r="M121" s="45" t="n">
        <v>529030.551</v>
      </c>
      <c r="N121" s="45" t="n">
        <v>399999.99961</v>
      </c>
      <c r="O121" s="45" t="n">
        <v>92580.344</v>
      </c>
      <c r="P121" s="45" t="n">
        <v>69999.9981</v>
      </c>
      <c r="Q121" s="45" t="n">
        <v>434349.836</v>
      </c>
      <c r="R121" s="45" t="n">
        <v>328411.911</v>
      </c>
      <c r="S121" s="45" t="n">
        <v>2839961.731</v>
      </c>
      <c r="T121" s="45" t="n">
        <v>2147289.73871</v>
      </c>
      <c r="U121" s="15" t="n">
        <v>15.34</v>
      </c>
      <c r="V121" s="15" t="n">
        <v>33.03</v>
      </c>
      <c r="W121" s="49" t="n">
        <v>75.61</v>
      </c>
    </row>
    <row r="122">
      <c r="A122" s="44" t="inlineStr">
        <is>
          <t>TL Cinsi Sabit Faizli Kuponlu Senetler</t>
        </is>
      </c>
      <c r="B122" s="44" t="n">
        <v>2023</v>
      </c>
      <c r="C122" s="44" t="inlineStr">
        <is>
          <t>TRT011025T16</t>
        </is>
      </c>
      <c r="D122" s="44" t="inlineStr">
        <is>
          <t>08.11.2023</t>
        </is>
      </c>
      <c r="E122" s="44" t="inlineStr">
        <is>
          <t>01.10.2025</t>
        </is>
      </c>
      <c r="F122" s="44" t="n">
        <v>693</v>
      </c>
      <c r="G122" s="44" t="inlineStr">
        <is>
          <t>6 ay</t>
        </is>
      </c>
      <c r="H122" s="15" t="n">
        <v>6.3</v>
      </c>
      <c r="I122" s="45" t="n">
        <v>23949016</v>
      </c>
      <c r="J122" s="45" t="n">
        <v>16119034.555</v>
      </c>
      <c r="K122" s="45" t="n">
        <v>5838003</v>
      </c>
      <c r="L122" s="45" t="n">
        <v>3986552.5</v>
      </c>
      <c r="M122" s="45" t="n">
        <v>4393287.057</v>
      </c>
      <c r="N122" s="45" t="n">
        <v>2999999.99974</v>
      </c>
      <c r="O122" s="45" t="n">
        <v>5857716.071</v>
      </c>
      <c r="P122" s="45" t="n">
        <v>3999999.99624</v>
      </c>
      <c r="Q122" s="45" t="n">
        <v>2175556.906</v>
      </c>
      <c r="R122" s="45" t="n">
        <v>1485600.78883</v>
      </c>
      <c r="S122" s="45" t="n">
        <v>18264563.034</v>
      </c>
      <c r="T122" s="45" t="n">
        <v>12472153.28481</v>
      </c>
      <c r="U122" s="15" t="n">
        <v>19.24</v>
      </c>
      <c r="V122" s="15" t="n">
        <v>42.18</v>
      </c>
      <c r="W122" s="49" t="n">
        <v>68.286</v>
      </c>
    </row>
    <row r="123">
      <c r="A123" s="44" t="inlineStr">
        <is>
          <t>TL Cinsi Sabit Faizli Kuponlu Senetler</t>
        </is>
      </c>
      <c r="B123" s="44" t="n">
        <v>2023</v>
      </c>
      <c r="C123" s="44" t="inlineStr">
        <is>
          <t>TRT051033T12</t>
        </is>
      </c>
      <c r="D123" s="44" t="inlineStr">
        <is>
          <t>08.11.2023</t>
        </is>
      </c>
      <c r="E123" s="44" t="inlineStr">
        <is>
          <t>05.10.2033</t>
        </is>
      </c>
      <c r="F123" s="44" t="n">
        <v>3619</v>
      </c>
      <c r="G123" s="44" t="inlineStr">
        <is>
          <t>6 ay</t>
        </is>
      </c>
      <c r="H123" s="15" t="n">
        <v>13.1</v>
      </c>
      <c r="I123" s="45" t="n">
        <v>16585382.111</v>
      </c>
      <c r="J123" s="45" t="n">
        <v>14707567.1029</v>
      </c>
      <c r="K123" s="45" t="n">
        <v>7876015.111</v>
      </c>
      <c r="L123" s="45" t="n">
        <v>7104338.8799</v>
      </c>
      <c r="M123" s="45" t="n">
        <v>0</v>
      </c>
      <c r="N123" s="45" t="n">
        <v>0</v>
      </c>
      <c r="O123" s="45" t="n">
        <v>3325868.604</v>
      </c>
      <c r="P123" s="45" t="n">
        <v>2999999.99817</v>
      </c>
      <c r="Q123" s="45" t="n">
        <v>2312392.836</v>
      </c>
      <c r="R123" s="45" t="n">
        <v>2085824.58593</v>
      </c>
      <c r="S123" s="45" t="n">
        <v>13514276.551</v>
      </c>
      <c r="T123" s="45" t="n">
        <v>12190163.464</v>
      </c>
      <c r="U123" s="15" t="n">
        <v>14.88</v>
      </c>
      <c r="V123" s="15" t="n">
        <v>31.98</v>
      </c>
      <c r="W123" s="49" t="n">
        <v>90.202</v>
      </c>
    </row>
    <row r="124">
      <c r="A124" s="44" t="inlineStr">
        <is>
          <t>TL Cinsi Sabit Faizli Kuponlu Senetler</t>
        </is>
      </c>
      <c r="B124" s="44" t="n">
        <v>2023</v>
      </c>
      <c r="C124" s="44" t="inlineStr">
        <is>
          <t>TRT081128T15</t>
        </is>
      </c>
      <c r="D124" s="44" t="inlineStr">
        <is>
          <t>15.11.2023</t>
        </is>
      </c>
      <c r="E124" s="44" t="inlineStr">
        <is>
          <t>08.11.2028</t>
        </is>
      </c>
      <c r="F124" s="44" t="n">
        <v>1820</v>
      </c>
      <c r="G124" s="44" t="inlineStr">
        <is>
          <t>6 ay</t>
        </is>
      </c>
      <c r="H124" s="15" t="n">
        <v>15.54</v>
      </c>
      <c r="I124" s="45" t="n">
        <v>12519109</v>
      </c>
      <c r="J124" s="45" t="n">
        <v>11668773.48</v>
      </c>
      <c r="K124" s="45" t="n">
        <v>3816004</v>
      </c>
      <c r="L124" s="45" t="n">
        <v>3645586.54</v>
      </c>
      <c r="M124" s="45" t="n">
        <v>3140243.264</v>
      </c>
      <c r="N124" s="45" t="n">
        <v>2999999.99983</v>
      </c>
      <c r="O124" s="45" t="n">
        <v>2616869.382</v>
      </c>
      <c r="P124" s="45" t="n">
        <v>2499999.9954</v>
      </c>
      <c r="Q124" s="45" t="n">
        <v>200969.91</v>
      </c>
      <c r="R124" s="45" t="n">
        <v>191994.59382</v>
      </c>
      <c r="S124" s="45" t="n">
        <v>9774086.556000002</v>
      </c>
      <c r="T124" s="45" t="n">
        <v>9337581.12905</v>
      </c>
      <c r="U124" s="15" t="n">
        <v>16.48</v>
      </c>
      <c r="V124" s="15" t="n">
        <v>35.68</v>
      </c>
      <c r="W124" s="49" t="n">
        <v>95.53400000000001</v>
      </c>
    </row>
    <row r="125">
      <c r="A125" s="44" t="inlineStr">
        <is>
          <t>TL Cinsi Sabit Faizli Kuponlu Senetler</t>
        </is>
      </c>
      <c r="B125" s="44" t="n">
        <v>2023</v>
      </c>
      <c r="C125" s="44" t="inlineStr">
        <is>
          <t>TRT011025T16</t>
        </is>
      </c>
      <c r="D125" s="44" t="inlineStr">
        <is>
          <t>06.12.2023</t>
        </is>
      </c>
      <c r="E125" s="44" t="inlineStr">
        <is>
          <t>01.10.2025</t>
        </is>
      </c>
      <c r="F125" s="44" t="n">
        <v>665</v>
      </c>
      <c r="G125" s="44" t="inlineStr">
        <is>
          <t>6 ay</t>
        </is>
      </c>
      <c r="H125" s="15" t="n">
        <v>6.3</v>
      </c>
      <c r="I125" s="45" t="n">
        <v>50032007</v>
      </c>
      <c r="J125" s="45" t="n">
        <v>35484153.395</v>
      </c>
      <c r="K125" s="45" t="n">
        <v>10185000</v>
      </c>
      <c r="L125" s="45" t="n">
        <v>7283591.15</v>
      </c>
      <c r="M125" s="45" t="n">
        <v>489421.503</v>
      </c>
      <c r="N125" s="45" t="n">
        <v>349999.99944</v>
      </c>
      <c r="O125" s="45" t="n">
        <v>9788430.071</v>
      </c>
      <c r="P125" s="45" t="n">
        <v>6999999.99666</v>
      </c>
      <c r="Q125" s="45" t="n">
        <v>6146826.269</v>
      </c>
      <c r="R125" s="45" t="n">
        <v>4395779.86975</v>
      </c>
      <c r="S125" s="45" t="n">
        <v>26609677.843</v>
      </c>
      <c r="T125" s="45" t="n">
        <v>19029371.01585</v>
      </c>
      <c r="U125" s="15" t="n">
        <v>18.54</v>
      </c>
      <c r="V125" s="15" t="n">
        <v>40.51</v>
      </c>
      <c r="W125" s="49" t="n">
        <v>71.51300000000001</v>
      </c>
    </row>
    <row r="126">
      <c r="A126" s="44" t="inlineStr">
        <is>
          <t>TL Cinsi Sabit Faizli Kuponlu Senetler</t>
        </is>
      </c>
      <c r="B126" s="44" t="n">
        <v>2023</v>
      </c>
      <c r="C126" s="44" t="inlineStr">
        <is>
          <t>TRT051033T12</t>
        </is>
      </c>
      <c r="D126" s="44" t="inlineStr">
        <is>
          <t>06.12.2023</t>
        </is>
      </c>
      <c r="E126" s="44" t="inlineStr">
        <is>
          <t>05.10.2033</t>
        </is>
      </c>
      <c r="F126" s="44" t="n">
        <v>3591</v>
      </c>
      <c r="G126" s="44" t="inlineStr">
        <is>
          <t>6 ay</t>
        </is>
      </c>
      <c r="H126" s="15" t="n">
        <v>13.1</v>
      </c>
      <c r="I126" s="45" t="n">
        <v>38190110.95</v>
      </c>
      <c r="J126" s="45" t="n">
        <v>40208917.20275</v>
      </c>
      <c r="K126" s="45" t="n">
        <v>13635500</v>
      </c>
      <c r="L126" s="45" t="n">
        <v>14546997.92</v>
      </c>
      <c r="M126" s="45" t="n">
        <v>4686.694</v>
      </c>
      <c r="N126" s="45" t="n">
        <v>4999.99949</v>
      </c>
      <c r="O126" s="45" t="n">
        <v>9373388.943</v>
      </c>
      <c r="P126" s="45" t="n">
        <v>9999999.99382</v>
      </c>
      <c r="Q126" s="45" t="n">
        <v>1961670.46</v>
      </c>
      <c r="R126" s="45" t="n">
        <v>2092808.13025</v>
      </c>
      <c r="S126" s="45" t="n">
        <v>24975246.097</v>
      </c>
      <c r="T126" s="45" t="n">
        <v>26644806.04356</v>
      </c>
      <c r="U126" s="15" t="n">
        <v>12.64</v>
      </c>
      <c r="V126" s="15" t="n">
        <v>26.87</v>
      </c>
      <c r="W126" s="49" t="n">
        <v>106.685</v>
      </c>
    </row>
    <row r="127">
      <c r="A127" s="44" t="inlineStr">
        <is>
          <t>TL Cinsi Sabit Faizli Kuponlu Senetler</t>
        </is>
      </c>
      <c r="B127" s="44" t="n">
        <v>2023</v>
      </c>
      <c r="C127" s="44" t="inlineStr">
        <is>
          <t>TRT081128T15</t>
        </is>
      </c>
      <c r="D127" s="44" t="inlineStr">
        <is>
          <t>13.12.2023</t>
        </is>
      </c>
      <c r="E127" s="44" t="inlineStr">
        <is>
          <t>08.11.2028</t>
        </is>
      </c>
      <c r="F127" s="44" t="n">
        <v>1792</v>
      </c>
      <c r="G127" s="44" t="inlineStr">
        <is>
          <t>6 ay</t>
        </is>
      </c>
      <c r="H127" s="15" t="n">
        <v>15.54</v>
      </c>
      <c r="I127" s="45" t="n">
        <v>30887609.716</v>
      </c>
      <c r="J127" s="45" t="n">
        <v>33270189.40711</v>
      </c>
      <c r="K127" s="45" t="n">
        <v>9370605</v>
      </c>
      <c r="L127" s="45" t="n">
        <v>10186520.93815</v>
      </c>
      <c r="M127" s="45" t="n">
        <v>0</v>
      </c>
      <c r="N127" s="45" t="n">
        <v>0</v>
      </c>
      <c r="O127" s="45" t="n">
        <v>8739087.634</v>
      </c>
      <c r="P127" s="45" t="n">
        <v>9499999.994270001</v>
      </c>
      <c r="Q127" s="45" t="n">
        <v>2780435.022</v>
      </c>
      <c r="R127" s="45" t="n">
        <v>3022527.49937</v>
      </c>
      <c r="S127" s="45" t="n">
        <v>20890127.656</v>
      </c>
      <c r="T127" s="45" t="n">
        <v>22709048.43179</v>
      </c>
      <c r="U127" s="15" t="n">
        <v>14.28</v>
      </c>
      <c r="V127" s="15" t="n">
        <v>30.6</v>
      </c>
      <c r="W127" s="49" t="n">
        <v>108.707</v>
      </c>
    </row>
    <row r="128">
      <c r="A128" s="44" t="inlineStr">
        <is>
          <t>TL Cinsi Sabit Faizli Kuponlu Senetler</t>
        </is>
      </c>
      <c r="B128" s="44" t="n">
        <v>2022</v>
      </c>
      <c r="C128" s="44" t="inlineStr">
        <is>
          <t>TRT020926T17</t>
        </is>
      </c>
      <c r="D128" s="44" t="inlineStr">
        <is>
          <t>12.01.2022</t>
        </is>
      </c>
      <c r="E128" s="44" t="inlineStr">
        <is>
          <t>02.09.2026</t>
        </is>
      </c>
      <c r="F128" s="44" t="n">
        <v>1694</v>
      </c>
      <c r="G128" s="44" t="inlineStr">
        <is>
          <t>6 ay</t>
        </is>
      </c>
      <c r="H128" s="15" t="n">
        <v>8.449999999999999</v>
      </c>
      <c r="I128" s="45" t="n">
        <v>2368004</v>
      </c>
      <c r="J128" s="45" t="n">
        <v>1997414.23612</v>
      </c>
      <c r="K128" s="45" t="n">
        <v>1222002</v>
      </c>
      <c r="L128" s="45" t="n">
        <v>1033988.81081</v>
      </c>
      <c r="M128" s="45" t="n">
        <v>3131869.43</v>
      </c>
      <c r="N128" s="45" t="n">
        <v>2649999.9995</v>
      </c>
      <c r="O128" s="45" t="n">
        <v>768194.387</v>
      </c>
      <c r="P128" s="45" t="n">
        <v>649999.99862</v>
      </c>
      <c r="Q128" s="45" t="n">
        <v>323849.686</v>
      </c>
      <c r="R128" s="45" t="n">
        <v>274022.17332</v>
      </c>
      <c r="S128" s="45" t="n">
        <v>5445915.503</v>
      </c>
      <c r="T128" s="45" t="n">
        <v>4608010.982249999</v>
      </c>
      <c r="U128" s="15" t="n">
        <v>12.4</v>
      </c>
      <c r="V128" s="15" t="n">
        <v>26.34</v>
      </c>
      <c r="W128" s="49" t="n">
        <v>84.614</v>
      </c>
    </row>
    <row r="129">
      <c r="A129" s="44" t="inlineStr">
        <is>
          <t>TL Cinsi Sabit Faizli Kuponlu Senetler</t>
        </is>
      </c>
      <c r="B129" s="44" t="n">
        <v>2022</v>
      </c>
      <c r="C129" s="44" t="inlineStr">
        <is>
          <t>TRT200923T18</t>
        </is>
      </c>
      <c r="D129" s="44" t="inlineStr">
        <is>
          <t>26.01.2022</t>
        </is>
      </c>
      <c r="E129" s="44" t="inlineStr">
        <is>
          <t>20.09.2023</t>
        </is>
      </c>
      <c r="F129" s="44" t="n">
        <v>602</v>
      </c>
      <c r="G129" s="44" t="inlineStr">
        <is>
          <t>6 ay</t>
        </is>
      </c>
      <c r="H129" s="15" t="n">
        <v>8.6</v>
      </c>
      <c r="I129" s="45" t="n">
        <v>3606543.72</v>
      </c>
      <c r="J129" s="45" t="n">
        <v>3579194.24181</v>
      </c>
      <c r="K129" s="45" t="n">
        <v>1996002.099</v>
      </c>
      <c r="L129" s="45" t="n">
        <v>1984772.6729</v>
      </c>
      <c r="M129" s="45" t="n">
        <v>402264.75</v>
      </c>
      <c r="N129" s="45" t="n">
        <v>399999.99946</v>
      </c>
      <c r="O129" s="45" t="n">
        <v>1005661.873</v>
      </c>
      <c r="P129" s="45" t="n">
        <v>999999.99667</v>
      </c>
      <c r="Q129" s="45" t="n">
        <v>926494.3419999999</v>
      </c>
      <c r="R129" s="45" t="n">
        <v>921278.1788599999</v>
      </c>
      <c r="S129" s="45" t="n">
        <v>4330423.064</v>
      </c>
      <c r="T129" s="45" t="n">
        <v>4306050.84789</v>
      </c>
      <c r="U129" s="15" t="n">
        <v>11.02</v>
      </c>
      <c r="V129" s="15" t="n">
        <v>23.25</v>
      </c>
      <c r="W129" s="49" t="n">
        <v>99.437</v>
      </c>
    </row>
    <row r="130">
      <c r="A130" s="44" t="inlineStr">
        <is>
          <t>TL Cinsi Sabit Faizli Kuponlu Senetler</t>
        </is>
      </c>
      <c r="B130" s="44" t="n">
        <v>2022</v>
      </c>
      <c r="C130" s="44" t="inlineStr">
        <is>
          <t>TRT200923T18</t>
        </is>
      </c>
      <c r="D130" s="44" t="inlineStr">
        <is>
          <t>16.02.2022</t>
        </is>
      </c>
      <c r="E130" s="44" t="inlineStr">
        <is>
          <t>20.09.2023</t>
        </is>
      </c>
      <c r="F130" s="44" t="n">
        <v>581</v>
      </c>
      <c r="G130" s="44" t="inlineStr">
        <is>
          <t>6 ay</t>
        </is>
      </c>
      <c r="H130" s="15" t="n">
        <v>8.6</v>
      </c>
      <c r="I130" s="45" t="n">
        <v>5515001.677</v>
      </c>
      <c r="J130" s="45" t="n">
        <v>5666015.6042</v>
      </c>
      <c r="K130" s="45" t="n">
        <v>3143001</v>
      </c>
      <c r="L130" s="45" t="n">
        <v>3237013.65979</v>
      </c>
      <c r="M130" s="45" t="n">
        <v>3398355.195</v>
      </c>
      <c r="N130" s="45" t="n">
        <v>3499999.99888</v>
      </c>
      <c r="O130" s="45" t="n">
        <v>1844821.388</v>
      </c>
      <c r="P130" s="45" t="n">
        <v>1899999.99571</v>
      </c>
      <c r="Q130" s="45" t="n">
        <v>1095640.563</v>
      </c>
      <c r="R130" s="45" t="n">
        <v>1128411.17224</v>
      </c>
      <c r="S130" s="45" t="n">
        <v>9481818.146000002</v>
      </c>
      <c r="T130" s="45" t="n">
        <v>9765424.826620001</v>
      </c>
      <c r="U130" s="15" t="n">
        <v>10.09</v>
      </c>
      <c r="V130" s="15" t="n">
        <v>21.19</v>
      </c>
      <c r="W130" s="49" t="n">
        <v>102.991</v>
      </c>
    </row>
    <row r="131">
      <c r="A131" s="44" t="inlineStr">
        <is>
          <t>TL Cinsi Sabit Faizli Kuponlu Senetler</t>
        </is>
      </c>
      <c r="B131" s="44" t="n">
        <v>2022</v>
      </c>
      <c r="C131" s="44" t="inlineStr">
        <is>
          <t>TRT020926T17</t>
        </is>
      </c>
      <c r="D131" s="44" t="inlineStr">
        <is>
          <t>23.02.2022</t>
        </is>
      </c>
      <c r="E131" s="44" t="inlineStr">
        <is>
          <t>02.09.2026</t>
        </is>
      </c>
      <c r="F131" s="44" t="n">
        <v>1652</v>
      </c>
      <c r="G131" s="44" t="inlineStr">
        <is>
          <t>6 ay</t>
        </is>
      </c>
      <c r="H131" s="15" t="n">
        <v>8.449999999999999</v>
      </c>
      <c r="I131" s="45" t="n">
        <v>3748502</v>
      </c>
      <c r="J131" s="45" t="n">
        <v>3471378.24962</v>
      </c>
      <c r="K131" s="45" t="n">
        <v>2160501</v>
      </c>
      <c r="L131" s="45" t="n">
        <v>2007946.62481</v>
      </c>
      <c r="M131" s="45" t="n">
        <v>3362420.511</v>
      </c>
      <c r="N131" s="45" t="n">
        <v>3124999.99872</v>
      </c>
      <c r="O131" s="45" t="n">
        <v>941477.741</v>
      </c>
      <c r="P131" s="45" t="n">
        <v>874999.99771</v>
      </c>
      <c r="Q131" s="45" t="n">
        <v>150266.841</v>
      </c>
      <c r="R131" s="45" t="n">
        <v>139656.49936</v>
      </c>
      <c r="S131" s="45" t="n">
        <v>6614666.093</v>
      </c>
      <c r="T131" s="45" t="n">
        <v>6147603.1206</v>
      </c>
      <c r="U131" s="15" t="n">
        <v>11.13</v>
      </c>
      <c r="V131" s="15" t="n">
        <v>23.49</v>
      </c>
      <c r="W131" s="49" t="n">
        <v>92.93899999999999</v>
      </c>
    </row>
    <row r="132">
      <c r="A132" s="44" t="inlineStr">
        <is>
          <t>TL Cinsi Sabit Faizli Kuponlu Senetler</t>
        </is>
      </c>
      <c r="B132" s="44" t="n">
        <v>2022</v>
      </c>
      <c r="C132" s="44" t="inlineStr">
        <is>
          <t>TRT200923T18</t>
        </is>
      </c>
      <c r="D132" s="44" t="inlineStr">
        <is>
          <t>09.03.2022</t>
        </is>
      </c>
      <c r="E132" s="44" t="inlineStr">
        <is>
          <t>20.09.2023</t>
        </is>
      </c>
      <c r="F132" s="44" t="n">
        <v>560</v>
      </c>
      <c r="G132" s="44" t="inlineStr">
        <is>
          <t>6 ay</t>
        </is>
      </c>
      <c r="H132" s="15" t="n">
        <v>8.6</v>
      </c>
      <c r="I132" s="45" t="n">
        <v>2792504</v>
      </c>
      <c r="J132" s="45" t="n">
        <v>2777604.7792</v>
      </c>
      <c r="K132" s="45" t="n">
        <v>1595002</v>
      </c>
      <c r="L132" s="45" t="n">
        <v>1589294.7436</v>
      </c>
      <c r="M132" s="45" t="n">
        <v>2007185.724</v>
      </c>
      <c r="N132" s="45" t="n">
        <v>1999999.9991</v>
      </c>
      <c r="O132" s="45" t="n">
        <v>903233.573</v>
      </c>
      <c r="P132" s="45" t="n">
        <v>899999.99682</v>
      </c>
      <c r="Q132" s="45" t="n">
        <v>135082.042</v>
      </c>
      <c r="R132" s="45" t="n">
        <v>134598.44829</v>
      </c>
      <c r="S132" s="45" t="n">
        <v>4640503.339000001</v>
      </c>
      <c r="T132" s="45" t="n">
        <v>4623893.18781</v>
      </c>
      <c r="U132" s="15" t="n">
        <v>11.97</v>
      </c>
      <c r="V132" s="15" t="n">
        <v>25.36</v>
      </c>
      <c r="W132" s="49" t="n">
        <v>99.642</v>
      </c>
    </row>
    <row r="133">
      <c r="A133" s="44" t="inlineStr">
        <is>
          <t>TL Cinsi Sabit Faizli Kuponlu Senetler</t>
        </is>
      </c>
      <c r="B133" s="44" t="n">
        <v>2022</v>
      </c>
      <c r="C133" s="44" t="inlineStr">
        <is>
          <t>TRT020926T17</t>
        </is>
      </c>
      <c r="D133" s="44" t="inlineStr">
        <is>
          <t>23.03.2022</t>
        </is>
      </c>
      <c r="E133" s="44" t="inlineStr">
        <is>
          <t>02.09.2026</t>
        </is>
      </c>
      <c r="F133" s="44" t="n">
        <v>1624</v>
      </c>
      <c r="G133" s="44" t="inlineStr">
        <is>
          <t>6 ay</t>
        </is>
      </c>
      <c r="H133" s="15" t="n">
        <v>8.449999999999999</v>
      </c>
      <c r="I133" s="45" t="n">
        <v>2596010.953</v>
      </c>
      <c r="J133" s="45" t="n">
        <v>2007220.94934</v>
      </c>
      <c r="K133" s="45" t="n">
        <v>1154002</v>
      </c>
      <c r="L133" s="45" t="n">
        <v>896613.95468</v>
      </c>
      <c r="M133" s="45" t="n">
        <v>6435337.726</v>
      </c>
      <c r="N133" s="45" t="n">
        <v>4999999.9996</v>
      </c>
      <c r="O133" s="45" t="n">
        <v>643533.77</v>
      </c>
      <c r="P133" s="45" t="n">
        <v>499999.99794</v>
      </c>
      <c r="Q133" s="45" t="n">
        <v>0</v>
      </c>
      <c r="R133" s="45" t="n">
        <v>0</v>
      </c>
      <c r="S133" s="45" t="n">
        <v>8232873.495999999</v>
      </c>
      <c r="T133" s="45" t="n">
        <v>6396613.952219999</v>
      </c>
      <c r="U133" s="15" t="n">
        <v>12.92</v>
      </c>
      <c r="V133" s="15" t="n">
        <v>27.52</v>
      </c>
      <c r="W133" s="49" t="n">
        <v>77.696</v>
      </c>
    </row>
    <row r="134">
      <c r="A134" s="44" t="inlineStr">
        <is>
          <t>TL Cinsi Sabit Faizli Kuponlu Senetler</t>
        </is>
      </c>
      <c r="B134" s="44" t="n">
        <v>2022</v>
      </c>
      <c r="C134" s="44" t="inlineStr">
        <is>
          <t>TRT170424T17</t>
        </is>
      </c>
      <c r="D134" s="44" t="inlineStr">
        <is>
          <t>20.04.2022</t>
        </is>
      </c>
      <c r="E134" s="44" t="inlineStr">
        <is>
          <t>17.04.2024</t>
        </is>
      </c>
      <c r="F134" s="44" t="n">
        <v>728</v>
      </c>
      <c r="G134" s="44" t="inlineStr">
        <is>
          <t>6 ay</t>
        </is>
      </c>
      <c r="H134" s="15" t="n">
        <v>10.45</v>
      </c>
      <c r="I134" s="45" t="n">
        <v>2508006</v>
      </c>
      <c r="J134" s="45" t="n">
        <v>2482913.2838</v>
      </c>
      <c r="K134" s="45" t="n">
        <v>1088002</v>
      </c>
      <c r="L134" s="45" t="n">
        <v>1082112.9946</v>
      </c>
      <c r="M134" s="45" t="n">
        <v>1910334.91</v>
      </c>
      <c r="N134" s="45" t="n">
        <v>1899999.99814</v>
      </c>
      <c r="O134" s="45" t="n">
        <v>653535.626</v>
      </c>
      <c r="P134" s="45" t="n">
        <v>649999.99827</v>
      </c>
      <c r="Q134" s="45" t="n">
        <v>120020.964</v>
      </c>
      <c r="R134" s="45" t="n">
        <v>119371.65058</v>
      </c>
      <c r="S134" s="45" t="n">
        <v>3771893.5</v>
      </c>
      <c r="T134" s="45" t="n">
        <v>3751484.64159</v>
      </c>
      <c r="U134" s="15" t="n">
        <v>10.62</v>
      </c>
      <c r="V134" s="15" t="n">
        <v>22.37</v>
      </c>
      <c r="W134" s="49" t="n">
        <v>99.459</v>
      </c>
    </row>
    <row r="135">
      <c r="A135" s="44" t="inlineStr">
        <is>
          <t>TL Cinsi Sabit Faizli Kuponlu Senetler</t>
        </is>
      </c>
      <c r="B135" s="44" t="n">
        <v>2022</v>
      </c>
      <c r="C135" s="44" t="inlineStr">
        <is>
          <t>TRT020926T17</t>
        </is>
      </c>
      <c r="D135" s="44" t="inlineStr">
        <is>
          <t>20.04.2022</t>
        </is>
      </c>
      <c r="E135" s="44" t="inlineStr">
        <is>
          <t>02.09.2026</t>
        </is>
      </c>
      <c r="F135" s="44" t="n">
        <v>1596</v>
      </c>
      <c r="G135" s="44" t="inlineStr">
        <is>
          <t>6 ay</t>
        </is>
      </c>
      <c r="H135" s="15" t="n">
        <v>8.449999999999999</v>
      </c>
      <c r="I135" s="45" t="n">
        <v>3403005</v>
      </c>
      <c r="J135" s="45" t="n">
        <v>2893117.68911</v>
      </c>
      <c r="K135" s="45" t="n">
        <v>2137004</v>
      </c>
      <c r="L135" s="45" t="n">
        <v>1822971.19928</v>
      </c>
      <c r="M135" s="45" t="n">
        <v>1230877.439</v>
      </c>
      <c r="N135" s="45" t="n">
        <v>1049999.99934</v>
      </c>
      <c r="O135" s="45" t="n">
        <v>996424.59</v>
      </c>
      <c r="P135" s="45" t="n">
        <v>849999.99651</v>
      </c>
      <c r="Q135" s="45" t="n">
        <v>449617.079</v>
      </c>
      <c r="R135" s="45" t="n">
        <v>383545.84924</v>
      </c>
      <c r="S135" s="45" t="n">
        <v>4813923.108</v>
      </c>
      <c r="T135" s="45" t="n">
        <v>4106517.04437</v>
      </c>
      <c r="U135" s="15" t="n">
        <v>11.55</v>
      </c>
      <c r="V135" s="15" t="n">
        <v>24.44</v>
      </c>
      <c r="W135" s="49" t="n">
        <v>85.30500000000001</v>
      </c>
    </row>
    <row r="136">
      <c r="A136" s="44" t="inlineStr">
        <is>
          <t>TL Cinsi Sabit Faizli Kuponlu Senetler</t>
        </is>
      </c>
      <c r="B136" s="44" t="n">
        <v>2022</v>
      </c>
      <c r="C136" s="44" t="inlineStr">
        <is>
          <t>TRT170424T17</t>
        </is>
      </c>
      <c r="D136" s="44" t="inlineStr">
        <is>
          <t>11.05.2022</t>
        </is>
      </c>
      <c r="E136" s="44" t="inlineStr">
        <is>
          <t>17.04.2024</t>
        </is>
      </c>
      <c r="F136" s="44" t="n">
        <v>707</v>
      </c>
      <c r="G136" s="44" t="inlineStr">
        <is>
          <t>6 ay</t>
        </is>
      </c>
      <c r="H136" s="15" t="n">
        <v>10.45</v>
      </c>
      <c r="I136" s="45" t="n">
        <v>1899006</v>
      </c>
      <c r="J136" s="45" t="n">
        <v>1861520.139</v>
      </c>
      <c r="K136" s="45" t="n">
        <v>1074006</v>
      </c>
      <c r="L136" s="45" t="n">
        <v>1057209.489</v>
      </c>
      <c r="M136" s="45" t="n">
        <v>4342923.32</v>
      </c>
      <c r="N136" s="45" t="n">
        <v>4274999.99928</v>
      </c>
      <c r="O136" s="45" t="n">
        <v>863505.219</v>
      </c>
      <c r="P136" s="45" t="n">
        <v>849999.99737</v>
      </c>
      <c r="Q136" s="45" t="n">
        <v>0</v>
      </c>
      <c r="R136" s="45" t="n">
        <v>0</v>
      </c>
      <c r="S136" s="45" t="n">
        <v>6280434.539000001</v>
      </c>
      <c r="T136" s="45" t="n">
        <v>6182209.48565</v>
      </c>
      <c r="U136" s="15" t="n">
        <v>11.35</v>
      </c>
      <c r="V136" s="15" t="n">
        <v>23.99</v>
      </c>
      <c r="W136" s="49" t="n">
        <v>98.43600000000001</v>
      </c>
    </row>
    <row r="137">
      <c r="A137" s="44" t="inlineStr">
        <is>
          <t>TL Cinsi Sabit Faizli Kuponlu Senetler</t>
        </is>
      </c>
      <c r="B137" s="44" t="n">
        <v>2022</v>
      </c>
      <c r="C137" s="44" t="inlineStr">
        <is>
          <t>TRT280432T14</t>
        </is>
      </c>
      <c r="D137" s="44" t="inlineStr">
        <is>
          <t>11.05.2022</t>
        </is>
      </c>
      <c r="E137" s="44" t="inlineStr">
        <is>
          <t>28.04.2032</t>
        </is>
      </c>
      <c r="F137" s="44" t="n">
        <v>3640</v>
      </c>
      <c r="G137" s="44" t="inlineStr">
        <is>
          <t>6 ay</t>
        </is>
      </c>
      <c r="H137" s="15" t="n">
        <v>10.75</v>
      </c>
      <c r="I137" s="45" t="n">
        <v>3541506</v>
      </c>
      <c r="J137" s="45" t="n">
        <v>3349361.755</v>
      </c>
      <c r="K137" s="45" t="n">
        <v>2028506</v>
      </c>
      <c r="L137" s="45" t="n">
        <v>1939599.685</v>
      </c>
      <c r="M137" s="45" t="n">
        <v>52291.956</v>
      </c>
      <c r="N137" s="45" t="n">
        <v>49999.99957</v>
      </c>
      <c r="O137" s="45" t="n">
        <v>1568758.689</v>
      </c>
      <c r="P137" s="45" t="n">
        <v>1499999.99568</v>
      </c>
      <c r="Q137" s="45" t="n">
        <v>0</v>
      </c>
      <c r="R137" s="45" t="n">
        <v>0</v>
      </c>
      <c r="S137" s="45" t="n">
        <v>3649556.645</v>
      </c>
      <c r="T137" s="45" t="n">
        <v>3489599.68025</v>
      </c>
      <c r="U137" s="15" t="n">
        <v>11.31</v>
      </c>
      <c r="V137" s="15" t="n">
        <v>23.9</v>
      </c>
      <c r="W137" s="49" t="n">
        <v>95.617</v>
      </c>
    </row>
    <row r="138">
      <c r="A138" s="44" t="inlineStr">
        <is>
          <t>TL Cinsi Sabit Faizli Kuponlu Senetler</t>
        </is>
      </c>
      <c r="B138" s="44" t="n">
        <v>2022</v>
      </c>
      <c r="C138" s="44" t="inlineStr">
        <is>
          <t>TRT020926T17</t>
        </is>
      </c>
      <c r="D138" s="44" t="inlineStr">
        <is>
          <t>25.05.2022</t>
        </is>
      </c>
      <c r="E138" s="44" t="inlineStr">
        <is>
          <t>02.09.2026</t>
        </is>
      </c>
      <c r="F138" s="44" t="n">
        <v>1561</v>
      </c>
      <c r="G138" s="44" t="inlineStr">
        <is>
          <t>6 ay</t>
        </is>
      </c>
      <c r="H138" s="15" t="n">
        <v>8.449999999999999</v>
      </c>
      <c r="I138" s="45" t="n">
        <v>6408605</v>
      </c>
      <c r="J138" s="45" t="n">
        <v>5208382.145</v>
      </c>
      <c r="K138" s="45" t="n">
        <v>4858101</v>
      </c>
      <c r="L138" s="45" t="n">
        <v>3955462.765</v>
      </c>
      <c r="M138" s="45" t="n">
        <v>61409.972</v>
      </c>
      <c r="N138" s="45" t="n">
        <v>49999.9992</v>
      </c>
      <c r="O138" s="45" t="n">
        <v>4175878.158</v>
      </c>
      <c r="P138" s="45" t="n">
        <v>3399999.99624</v>
      </c>
      <c r="Q138" s="45" t="n">
        <v>0</v>
      </c>
      <c r="R138" s="45" t="n">
        <v>0</v>
      </c>
      <c r="S138" s="45" t="n">
        <v>9095389.129999999</v>
      </c>
      <c r="T138" s="45" t="n">
        <v>7405462.76044</v>
      </c>
      <c r="U138" s="15" t="n">
        <v>12.83</v>
      </c>
      <c r="V138" s="15" t="n">
        <v>27.31</v>
      </c>
      <c r="W138" s="49" t="n">
        <v>81.42</v>
      </c>
    </row>
    <row r="139">
      <c r="A139" s="44" t="inlineStr">
        <is>
          <t>TL Cinsi Sabit Faizli Kuponlu Senetler</t>
        </is>
      </c>
      <c r="B139" s="44" t="n">
        <v>2022</v>
      </c>
      <c r="C139" s="44" t="inlineStr">
        <is>
          <t>TRT170424T17</t>
        </is>
      </c>
      <c r="D139" s="44" t="inlineStr">
        <is>
          <t>08.06.2022</t>
        </is>
      </c>
      <c r="E139" s="44" t="inlineStr">
        <is>
          <t>17.04.2024</t>
        </is>
      </c>
      <c r="F139" s="44" t="n">
        <v>679</v>
      </c>
      <c r="G139" s="44" t="inlineStr">
        <is>
          <t>6 ay</t>
        </is>
      </c>
      <c r="H139" s="15" t="n">
        <v>10.45</v>
      </c>
      <c r="I139" s="45" t="n">
        <v>2666007</v>
      </c>
      <c r="J139" s="45" t="n">
        <v>2583042.465</v>
      </c>
      <c r="K139" s="45" t="n">
        <v>1540001</v>
      </c>
      <c r="L139" s="45" t="n">
        <v>1495465.07</v>
      </c>
      <c r="M139" s="45" t="n">
        <v>2574453.185</v>
      </c>
      <c r="N139" s="45" t="n">
        <v>2499999.99889</v>
      </c>
      <c r="O139" s="45" t="n">
        <v>1287226.591</v>
      </c>
      <c r="P139" s="45" t="n">
        <v>1249999.99798</v>
      </c>
      <c r="Q139" s="45" t="n">
        <v>0</v>
      </c>
      <c r="R139" s="45" t="n">
        <v>0</v>
      </c>
      <c r="S139" s="45" t="n">
        <v>5401680.776000001</v>
      </c>
      <c r="T139" s="45" t="n">
        <v>5245465.06687</v>
      </c>
      <c r="U139" s="15" t="n">
        <v>12.41</v>
      </c>
      <c r="V139" s="15" t="n">
        <v>26.36</v>
      </c>
      <c r="W139" s="49" t="n">
        <v>97.108</v>
      </c>
    </row>
    <row r="140">
      <c r="A140" s="44" t="inlineStr">
        <is>
          <t>TL Cinsi Sabit Faizli Kuponlu Senetler</t>
        </is>
      </c>
      <c r="B140" s="44" t="n">
        <v>2022</v>
      </c>
      <c r="C140" s="44" t="inlineStr">
        <is>
          <t>TRT280432T14</t>
        </is>
      </c>
      <c r="D140" s="44" t="inlineStr">
        <is>
          <t>08.06.2022</t>
        </is>
      </c>
      <c r="E140" s="44" t="inlineStr">
        <is>
          <t>28.04.2032</t>
        </is>
      </c>
      <c r="F140" s="44" t="n">
        <v>3612</v>
      </c>
      <c r="G140" s="44" t="inlineStr">
        <is>
          <t>6 ay</t>
        </is>
      </c>
      <c r="H140" s="15" t="n">
        <v>10.75</v>
      </c>
      <c r="I140" s="45" t="n">
        <v>3246007</v>
      </c>
      <c r="J140" s="45" t="n">
        <v>3124237.55</v>
      </c>
      <c r="K140" s="45" t="n">
        <v>1127005</v>
      </c>
      <c r="L140" s="45" t="n">
        <v>1103817.6</v>
      </c>
      <c r="M140" s="45" t="n">
        <v>0</v>
      </c>
      <c r="N140" s="45" t="n">
        <v>0</v>
      </c>
      <c r="O140" s="45" t="n">
        <v>2144104.222</v>
      </c>
      <c r="P140" s="45" t="n">
        <v>2099999.99815</v>
      </c>
      <c r="Q140" s="45" t="n">
        <v>0</v>
      </c>
      <c r="R140" s="45" t="n">
        <v>0</v>
      </c>
      <c r="S140" s="45" t="n">
        <v>3271109.222</v>
      </c>
      <c r="T140" s="45" t="n">
        <v>3203817.59815</v>
      </c>
      <c r="U140" s="15" t="n">
        <v>11.21</v>
      </c>
      <c r="V140" s="15" t="n">
        <v>23.69</v>
      </c>
      <c r="W140" s="49" t="n">
        <v>97.943</v>
      </c>
    </row>
    <row r="141">
      <c r="A141" s="44" t="inlineStr">
        <is>
          <t>TL Cinsi Sabit Faizli Kuponlu Senetler</t>
        </is>
      </c>
      <c r="B141" s="44" t="n">
        <v>2022</v>
      </c>
      <c r="C141" s="44" t="inlineStr">
        <is>
          <t>TRT090627T12</t>
        </is>
      </c>
      <c r="D141" s="44" t="inlineStr">
        <is>
          <t>15.06.2022</t>
        </is>
      </c>
      <c r="E141" s="44" t="inlineStr">
        <is>
          <t>09.06.2027</t>
        </is>
      </c>
      <c r="F141" s="44" t="n">
        <v>1820</v>
      </c>
      <c r="G141" s="44" t="inlineStr">
        <is>
          <t>6 ay</t>
        </is>
      </c>
      <c r="H141" s="15" t="n">
        <v>10.1</v>
      </c>
      <c r="I141" s="45" t="n">
        <v>19091505</v>
      </c>
      <c r="J141" s="45" t="n">
        <v>19926078.4248</v>
      </c>
      <c r="K141" s="45" t="n">
        <v>15229000</v>
      </c>
      <c r="L141" s="45" t="n">
        <v>16007191.92</v>
      </c>
      <c r="M141" s="45" t="n">
        <v>3501094.091</v>
      </c>
      <c r="N141" s="45" t="n">
        <v>3679999.99905</v>
      </c>
      <c r="O141" s="45" t="n">
        <v>9513842.637</v>
      </c>
      <c r="P141" s="45" t="n">
        <v>9999999.995759999</v>
      </c>
      <c r="Q141" s="45" t="n">
        <v>0</v>
      </c>
      <c r="R141" s="45" t="n">
        <v>0</v>
      </c>
      <c r="S141" s="45" t="n">
        <v>28243936.728</v>
      </c>
      <c r="T141" s="45" t="n">
        <v>29687191.91481</v>
      </c>
      <c r="U141" s="15" t="n">
        <v>9.289999999999999</v>
      </c>
      <c r="V141" s="15" t="n">
        <v>19.45</v>
      </c>
      <c r="W141" s="49" t="n">
        <v>105.11</v>
      </c>
    </row>
    <row r="142">
      <c r="A142" s="44" t="inlineStr">
        <is>
          <t>TL Cinsi Sabit Faizli Kuponlu Senetler</t>
        </is>
      </c>
      <c r="B142" s="44" t="n">
        <v>2022</v>
      </c>
      <c r="C142" s="44" t="inlineStr">
        <is>
          <t>TRT280432T14</t>
        </is>
      </c>
      <c r="D142" s="44" t="inlineStr">
        <is>
          <t>06.07.2022</t>
        </is>
      </c>
      <c r="E142" s="44" t="inlineStr">
        <is>
          <t>28.04.2032</t>
        </is>
      </c>
      <c r="F142" s="44" t="n">
        <v>3584</v>
      </c>
      <c r="G142" s="44" t="inlineStr">
        <is>
          <t>6 ay</t>
        </is>
      </c>
      <c r="H142" s="15" t="n">
        <v>10.75</v>
      </c>
      <c r="I142" s="45" t="n">
        <v>6635001</v>
      </c>
      <c r="J142" s="45" t="n">
        <v>7825379.31</v>
      </c>
      <c r="K142" s="45" t="n">
        <v>4799000</v>
      </c>
      <c r="L142" s="45" t="n">
        <v>5683182.47</v>
      </c>
      <c r="M142" s="45" t="n">
        <v>0</v>
      </c>
      <c r="N142" s="45" t="n">
        <v>0</v>
      </c>
      <c r="O142" s="45" t="n">
        <v>8444234.273</v>
      </c>
      <c r="P142" s="45" t="n">
        <v>9999999.99546</v>
      </c>
      <c r="Q142" s="45" t="n">
        <v>633832.2610000001</v>
      </c>
      <c r="R142" s="45" t="n">
        <v>750609.51677</v>
      </c>
      <c r="S142" s="45" t="n">
        <v>13877066.534</v>
      </c>
      <c r="T142" s="45" t="n">
        <v>16433791.98223</v>
      </c>
      <c r="U142" s="15" t="n">
        <v>9.07</v>
      </c>
      <c r="V142" s="15" t="n">
        <v>18.95</v>
      </c>
      <c r="W142" s="49" t="n">
        <v>118.424</v>
      </c>
    </row>
    <row r="143">
      <c r="A143" s="44" t="inlineStr">
        <is>
          <t>TL Cinsi Sabit Faizli Kuponlu Senetler</t>
        </is>
      </c>
      <c r="B143" s="44" t="n">
        <v>2022</v>
      </c>
      <c r="C143" s="44" t="inlineStr">
        <is>
          <t>TRT090627T12</t>
        </is>
      </c>
      <c r="D143" s="44" t="inlineStr">
        <is>
          <t>06.07.2022</t>
        </is>
      </c>
      <c r="E143" s="44" t="inlineStr">
        <is>
          <t>09.06.2027</t>
        </is>
      </c>
      <c r="F143" s="44" t="n">
        <v>1799</v>
      </c>
      <c r="G143" s="44" t="inlineStr">
        <is>
          <t>6 ay</t>
        </is>
      </c>
      <c r="H143" s="15" t="n">
        <v>10.1</v>
      </c>
      <c r="I143" s="45" t="n">
        <v>5099003</v>
      </c>
      <c r="J143" s="45" t="n">
        <v>5381796.965</v>
      </c>
      <c r="K143" s="45" t="n">
        <v>3289000</v>
      </c>
      <c r="L143" s="45" t="n">
        <v>3480751.3</v>
      </c>
      <c r="M143" s="45" t="n">
        <v>2026835.49</v>
      </c>
      <c r="N143" s="45" t="n">
        <v>2144999.99907</v>
      </c>
      <c r="O143" s="45" t="n">
        <v>6614381.552</v>
      </c>
      <c r="P143" s="45" t="n">
        <v>6999999.99647</v>
      </c>
      <c r="Q143" s="45" t="n">
        <v>733212.049</v>
      </c>
      <c r="R143" s="45" t="n">
        <v>775958.31146</v>
      </c>
      <c r="S143" s="45" t="n">
        <v>12663429.091</v>
      </c>
      <c r="T143" s="45" t="n">
        <v>13401709.607</v>
      </c>
      <c r="U143" s="15" t="n">
        <v>9.35</v>
      </c>
      <c r="V143" s="15" t="n">
        <v>19.57</v>
      </c>
      <c r="W143" s="49" t="n">
        <v>105.83</v>
      </c>
    </row>
    <row r="144">
      <c r="A144" s="44" t="inlineStr">
        <is>
          <t>TL Cinsi Sabit Faizli Kuponlu Senetler</t>
        </is>
      </c>
      <c r="B144" s="44" t="n">
        <v>2022</v>
      </c>
      <c r="C144" s="44" t="inlineStr">
        <is>
          <t>TRT090627T12</t>
        </is>
      </c>
      <c r="D144" s="44" t="inlineStr">
        <is>
          <t>10.08.2022</t>
        </is>
      </c>
      <c r="E144" s="44" t="inlineStr">
        <is>
          <t>09.06.2027</t>
        </is>
      </c>
      <c r="F144" s="44" t="n">
        <v>1764</v>
      </c>
      <c r="G144" s="44" t="inlineStr">
        <is>
          <t>6 ay</t>
        </is>
      </c>
      <c r="H144" s="15" t="n">
        <v>10.1</v>
      </c>
      <c r="I144" s="45" t="n">
        <v>10070000</v>
      </c>
      <c r="J144" s="45" t="n">
        <v>11432831.6</v>
      </c>
      <c r="K144" s="45" t="n">
        <v>7160000</v>
      </c>
      <c r="L144" s="45" t="n">
        <v>8160945.75</v>
      </c>
      <c r="M144" s="45" t="n">
        <v>877346.902</v>
      </c>
      <c r="N144" s="45" t="n">
        <v>999999.9989</v>
      </c>
      <c r="O144" s="45" t="n">
        <v>7018775.219</v>
      </c>
      <c r="P144" s="45" t="n">
        <v>7999999.99461</v>
      </c>
      <c r="Q144" s="45" t="n">
        <v>686715.497</v>
      </c>
      <c r="R144" s="45" t="n">
        <v>782718.32348</v>
      </c>
      <c r="S144" s="45" t="n">
        <v>15742837.618</v>
      </c>
      <c r="T144" s="45" t="n">
        <v>17943664.06699</v>
      </c>
      <c r="U144" s="15" t="n">
        <v>8.4</v>
      </c>
      <c r="V144" s="15" t="n">
        <v>17.51</v>
      </c>
      <c r="W144" s="49" t="n">
        <v>113.98</v>
      </c>
    </row>
    <row r="145">
      <c r="A145" s="44" t="inlineStr">
        <is>
          <t>TL Cinsi Sabit Faizli Kuponlu Senetler</t>
        </is>
      </c>
      <c r="B145" s="44" t="n">
        <v>2022</v>
      </c>
      <c r="C145" s="44" t="inlineStr">
        <is>
          <t>TRT170424T17</t>
        </is>
      </c>
      <c r="D145" s="44" t="inlineStr">
        <is>
          <t>10.08.2022</t>
        </is>
      </c>
      <c r="E145" s="44" t="inlineStr">
        <is>
          <t>17.04.2024</t>
        </is>
      </c>
      <c r="F145" s="44" t="n">
        <v>616</v>
      </c>
      <c r="G145" s="44" t="inlineStr">
        <is>
          <t>6 ay</t>
        </is>
      </c>
      <c r="H145" s="15" t="n">
        <v>10.45</v>
      </c>
      <c r="I145" s="45" t="n">
        <v>1982001</v>
      </c>
      <c r="J145" s="45" t="n">
        <v>2117167.9</v>
      </c>
      <c r="K145" s="45" t="n">
        <v>1065000</v>
      </c>
      <c r="L145" s="45" t="n">
        <v>1139480.3</v>
      </c>
      <c r="M145" s="45" t="n">
        <v>2897385.808</v>
      </c>
      <c r="N145" s="45" t="n">
        <v>3099999.99756</v>
      </c>
      <c r="O145" s="45" t="n">
        <v>1495424.931</v>
      </c>
      <c r="P145" s="45" t="n">
        <v>1599999.99642</v>
      </c>
      <c r="Q145" s="45" t="n">
        <v>447535.531</v>
      </c>
      <c r="R145" s="45" t="n">
        <v>478831.69068</v>
      </c>
      <c r="S145" s="45" t="n">
        <v>5905346.27</v>
      </c>
      <c r="T145" s="45" t="n">
        <v>6318311.98466</v>
      </c>
      <c r="U145" s="15" t="n">
        <v>10.2</v>
      </c>
      <c r="V145" s="15" t="n">
        <v>21.44</v>
      </c>
      <c r="W145" s="49" t="n">
        <v>106.993</v>
      </c>
    </row>
    <row r="146">
      <c r="A146" s="44" t="inlineStr">
        <is>
          <t>TL Cinsi Sabit Faizli Kuponlu Senetler</t>
        </is>
      </c>
      <c r="B146" s="44" t="n">
        <v>2022</v>
      </c>
      <c r="C146" s="44" t="inlineStr">
        <is>
          <t>TRT280432T14</t>
        </is>
      </c>
      <c r="D146" s="44" t="inlineStr">
        <is>
          <t>17.08.2022</t>
        </is>
      </c>
      <c r="E146" s="44" t="inlineStr">
        <is>
          <t>28.04.2032</t>
        </is>
      </c>
      <c r="F146" s="44" t="n">
        <v>3542</v>
      </c>
      <c r="G146" s="44" t="inlineStr">
        <is>
          <t>6 ay</t>
        </is>
      </c>
      <c r="H146" s="15" t="n">
        <v>10.75</v>
      </c>
      <c r="I146" s="45" t="n">
        <v>8440000</v>
      </c>
      <c r="J146" s="45" t="n">
        <v>11071955.43</v>
      </c>
      <c r="K146" s="45" t="n">
        <v>6625000</v>
      </c>
      <c r="L146" s="45" t="n">
        <v>8716453.58</v>
      </c>
      <c r="M146" s="45" t="n">
        <v>1634123.539</v>
      </c>
      <c r="N146" s="45" t="n">
        <v>2149999.99903</v>
      </c>
      <c r="O146" s="45" t="n">
        <v>6080459.679</v>
      </c>
      <c r="P146" s="45" t="n">
        <v>7999999.99506</v>
      </c>
      <c r="Q146" s="45" t="n">
        <v>0</v>
      </c>
      <c r="R146" s="45" t="n">
        <v>0</v>
      </c>
      <c r="S146" s="45" t="n">
        <v>14339583.218</v>
      </c>
      <c r="T146" s="45" t="n">
        <v>18866453.57409</v>
      </c>
      <c r="U146" s="15" t="n">
        <v>8.07</v>
      </c>
      <c r="V146" s="15" t="n">
        <v>16.79</v>
      </c>
      <c r="W146" s="49" t="n">
        <v>131.569</v>
      </c>
    </row>
    <row r="147">
      <c r="A147" s="44" t="inlineStr">
        <is>
          <t>TL Cinsi Sabit Faizli Kuponlu Senetler</t>
        </is>
      </c>
      <c r="B147" s="44" t="n">
        <v>2022</v>
      </c>
      <c r="C147" s="44" t="inlineStr">
        <is>
          <t>TRT280432T14</t>
        </is>
      </c>
      <c r="D147" s="44" t="inlineStr">
        <is>
          <t>14.09.2022</t>
        </is>
      </c>
      <c r="E147" s="44" t="inlineStr">
        <is>
          <t>28.04.2032</t>
        </is>
      </c>
      <c r="F147" s="44" t="n">
        <v>3514</v>
      </c>
      <c r="G147" s="44" t="inlineStr">
        <is>
          <t>6 ay</t>
        </is>
      </c>
      <c r="H147" s="15" t="n">
        <v>10.75</v>
      </c>
      <c r="I147" s="45" t="n">
        <v>5391000</v>
      </c>
      <c r="J147" s="45" t="n">
        <v>9060116.01</v>
      </c>
      <c r="K147" s="45" t="n">
        <v>4065000</v>
      </c>
      <c r="L147" s="45" t="n">
        <v>6874898.8</v>
      </c>
      <c r="M147" s="45" t="n">
        <v>827794.99</v>
      </c>
      <c r="N147" s="45" t="n">
        <v>1399999.99889</v>
      </c>
      <c r="O147" s="45" t="n">
        <v>4730257.083</v>
      </c>
      <c r="P147" s="45" t="n">
        <v>7999999.98905</v>
      </c>
      <c r="Q147" s="45" t="n">
        <v>300000</v>
      </c>
      <c r="R147" s="45" t="n">
        <v>507372</v>
      </c>
      <c r="S147" s="45" t="n">
        <v>9923052.073000001</v>
      </c>
      <c r="T147" s="45" t="n">
        <v>16782270.78794</v>
      </c>
      <c r="U147" s="15" t="n">
        <v>5.49</v>
      </c>
      <c r="V147" s="15" t="n">
        <v>11.27</v>
      </c>
      <c r="W147" s="49" t="n">
        <v>169.124</v>
      </c>
    </row>
    <row r="148">
      <c r="A148" s="44" t="inlineStr">
        <is>
          <t>TL Cinsi Sabit Faizli Kuponlu Senetler</t>
        </is>
      </c>
      <c r="B148" s="44" t="n">
        <v>2022</v>
      </c>
      <c r="C148" s="44" t="inlineStr">
        <is>
          <t>TRT170424T17</t>
        </is>
      </c>
      <c r="D148" s="44" t="inlineStr">
        <is>
          <t>14.09.2022</t>
        </is>
      </c>
      <c r="E148" s="44" t="inlineStr">
        <is>
          <t>17.04.2024</t>
        </is>
      </c>
      <c r="F148" s="44" t="n">
        <v>581</v>
      </c>
      <c r="G148" s="44" t="inlineStr">
        <is>
          <t>6 ay</t>
        </is>
      </c>
      <c r="H148" s="15" t="n">
        <v>10.45</v>
      </c>
      <c r="I148" s="45" t="n">
        <v>1701000</v>
      </c>
      <c r="J148" s="45" t="n">
        <v>1997954.68</v>
      </c>
      <c r="K148" s="45" t="n">
        <v>819000</v>
      </c>
      <c r="L148" s="45" t="n">
        <v>964456.0600000001</v>
      </c>
      <c r="M148" s="45" t="n">
        <v>0</v>
      </c>
      <c r="N148" s="45" t="n">
        <v>0</v>
      </c>
      <c r="O148" s="45" t="n">
        <v>254755.433</v>
      </c>
      <c r="P148" s="45" t="n">
        <v>299999.9979</v>
      </c>
      <c r="Q148" s="45" t="n">
        <v>165245.679</v>
      </c>
      <c r="R148" s="45" t="n">
        <v>194593.31159</v>
      </c>
      <c r="S148" s="45" t="n">
        <v>1239001.112</v>
      </c>
      <c r="T148" s="45" t="n">
        <v>1459049.36949</v>
      </c>
      <c r="U148" s="15" t="n">
        <v>7.07</v>
      </c>
      <c r="V148" s="15" t="n">
        <v>14.63</v>
      </c>
      <c r="W148" s="49" t="n">
        <v>117.76</v>
      </c>
    </row>
    <row r="149">
      <c r="A149" s="44" t="inlineStr">
        <is>
          <t>TL Cinsi Sabit Faizli Kuponlu Senetler</t>
        </is>
      </c>
      <c r="B149" s="44" t="n">
        <v>2022</v>
      </c>
      <c r="C149" s="44" t="inlineStr">
        <is>
          <t>TRT150927T11</t>
        </is>
      </c>
      <c r="D149" s="44" t="inlineStr">
        <is>
          <t>21.09.2022</t>
        </is>
      </c>
      <c r="E149" s="44" t="inlineStr">
        <is>
          <t>15.09.2027</t>
        </is>
      </c>
      <c r="F149" s="44" t="n">
        <v>1820</v>
      </c>
      <c r="G149" s="44" t="inlineStr">
        <is>
          <t>6 ay</t>
        </is>
      </c>
      <c r="H149" s="15" t="n">
        <v>5.14</v>
      </c>
      <c r="I149" s="45" t="n">
        <v>15237001</v>
      </c>
      <c r="J149" s="45" t="n">
        <v>15140213.6</v>
      </c>
      <c r="K149" s="45" t="n">
        <v>10005000</v>
      </c>
      <c r="L149" s="45" t="n">
        <v>9998724.199999999</v>
      </c>
      <c r="M149" s="45" t="n">
        <v>1400882.556</v>
      </c>
      <c r="N149" s="45" t="n">
        <v>1399999.99999</v>
      </c>
      <c r="O149" s="45" t="n">
        <v>10006303.967</v>
      </c>
      <c r="P149" s="45" t="n">
        <v>9999999.995510001</v>
      </c>
      <c r="Q149" s="45" t="n">
        <v>1768652.309</v>
      </c>
      <c r="R149" s="45" t="n">
        <v>1767538.05804</v>
      </c>
      <c r="S149" s="45" t="n">
        <v>23180838.832</v>
      </c>
      <c r="T149" s="45" t="n">
        <v>23166262.25354</v>
      </c>
      <c r="U149" s="15" t="n">
        <v>5.15</v>
      </c>
      <c r="V149" s="15" t="n">
        <v>10.56</v>
      </c>
      <c r="W149" s="49" t="n">
        <v>99.937</v>
      </c>
    </row>
    <row r="150">
      <c r="A150" s="44" t="inlineStr">
        <is>
          <t>TL Cinsi Sabit Faizli Kuponlu Senetler</t>
        </is>
      </c>
      <c r="B150" s="44" t="n">
        <v>2022</v>
      </c>
      <c r="C150" s="44" t="inlineStr">
        <is>
          <t>TRT150927T11</t>
        </is>
      </c>
      <c r="D150" s="44" t="inlineStr">
        <is>
          <t>12.10.2022</t>
        </is>
      </c>
      <c r="E150" s="44" t="inlineStr">
        <is>
          <t>15.09.2027</t>
        </is>
      </c>
      <c r="F150" s="44" t="n">
        <v>1799</v>
      </c>
      <c r="G150" s="44" t="inlineStr">
        <is>
          <t>6 ay</t>
        </is>
      </c>
      <c r="H150" s="15" t="n">
        <v>5.14</v>
      </c>
      <c r="I150" s="45" t="n">
        <v>9932001</v>
      </c>
      <c r="J150" s="45" t="n">
        <v>9903631.560000001</v>
      </c>
      <c r="K150" s="45" t="n">
        <v>7678000</v>
      </c>
      <c r="L150" s="45" t="n">
        <v>7672317.38</v>
      </c>
      <c r="M150" s="45" t="n">
        <v>1501110.822</v>
      </c>
      <c r="N150" s="45" t="n">
        <v>1499999.99999</v>
      </c>
      <c r="O150" s="45" t="n">
        <v>12008886.571</v>
      </c>
      <c r="P150" s="45" t="n">
        <v>11999999.99494</v>
      </c>
      <c r="Q150" s="45" t="n">
        <v>1572525.466</v>
      </c>
      <c r="R150" s="45" t="n">
        <v>1571361.79715</v>
      </c>
      <c r="S150" s="45" t="n">
        <v>22760522.859</v>
      </c>
      <c r="T150" s="45" t="n">
        <v>22743679.17208</v>
      </c>
      <c r="U150" s="15" t="n">
        <v>5.23</v>
      </c>
      <c r="V150" s="15" t="n">
        <v>10.73</v>
      </c>
      <c r="W150" s="49" t="n">
        <v>99.926</v>
      </c>
    </row>
    <row r="151">
      <c r="A151" s="44" t="inlineStr">
        <is>
          <t>TL Cinsi Sabit Faizli Kuponlu Senetler</t>
        </is>
      </c>
      <c r="B151" s="44" t="n">
        <v>2022</v>
      </c>
      <c r="C151" s="44" t="inlineStr">
        <is>
          <t>TRT131032T13</t>
        </is>
      </c>
      <c r="D151" s="44" t="inlineStr">
        <is>
          <t>26.10.2022</t>
        </is>
      </c>
      <c r="E151" s="44" t="inlineStr">
        <is>
          <t>13.10.2032</t>
        </is>
      </c>
      <c r="F151" s="44" t="n">
        <v>3640</v>
      </c>
      <c r="G151" s="44" t="inlineStr">
        <is>
          <t>6 ay</t>
        </is>
      </c>
      <c r="H151" s="15" t="n">
        <v>5.2</v>
      </c>
      <c r="I151" s="45" t="n">
        <v>6752009</v>
      </c>
      <c r="J151" s="45" t="n">
        <v>6666136.74</v>
      </c>
      <c r="K151" s="45" t="n">
        <v>5231002</v>
      </c>
      <c r="L151" s="45" t="n">
        <v>5203519.1</v>
      </c>
      <c r="M151" s="45" t="n">
        <v>1507916.561</v>
      </c>
      <c r="N151" s="45" t="n">
        <v>1499999.99905</v>
      </c>
      <c r="O151" s="45" t="n">
        <v>11058054.782</v>
      </c>
      <c r="P151" s="45" t="n">
        <v>10999999.99439</v>
      </c>
      <c r="Q151" s="45" t="n">
        <v>1407388.791</v>
      </c>
      <c r="R151" s="45" t="n">
        <v>1399999.99985</v>
      </c>
      <c r="S151" s="45" t="n">
        <v>19204362.134</v>
      </c>
      <c r="T151" s="45" t="n">
        <v>19103519.09329</v>
      </c>
      <c r="U151" s="15" t="n">
        <v>5.24</v>
      </c>
      <c r="V151" s="15" t="n">
        <v>10.76</v>
      </c>
      <c r="W151" s="49" t="n">
        <v>99.47499999999999</v>
      </c>
    </row>
    <row r="152">
      <c r="A152" s="44" t="inlineStr">
        <is>
          <t>TL Cinsi Sabit Faizli Kuponlu Senetler</t>
        </is>
      </c>
      <c r="B152" s="44" t="n">
        <v>2022</v>
      </c>
      <c r="C152" s="44" t="inlineStr">
        <is>
          <t>TRT170424T17</t>
        </is>
      </c>
      <c r="D152" s="44" t="inlineStr">
        <is>
          <t>26.10.2022</t>
        </is>
      </c>
      <c r="E152" s="44" t="inlineStr">
        <is>
          <t>17.04.2024</t>
        </is>
      </c>
      <c r="F152" s="44" t="n">
        <v>539</v>
      </c>
      <c r="G152" s="44" t="inlineStr">
        <is>
          <t>6 ay</t>
        </is>
      </c>
      <c r="H152" s="15" t="n">
        <v>10.45</v>
      </c>
      <c r="I152" s="45" t="n">
        <v>2103001</v>
      </c>
      <c r="J152" s="45" t="n">
        <v>2272358.83</v>
      </c>
      <c r="K152" s="45" t="n">
        <v>1383000</v>
      </c>
      <c r="L152" s="45" t="n">
        <v>1496224.12</v>
      </c>
      <c r="M152" s="45" t="n">
        <v>0</v>
      </c>
      <c r="N152" s="45" t="n">
        <v>0</v>
      </c>
      <c r="O152" s="45" t="n">
        <v>231081.366</v>
      </c>
      <c r="P152" s="45" t="n">
        <v>249999.99742</v>
      </c>
      <c r="Q152" s="45" t="n">
        <v>433837.695</v>
      </c>
      <c r="R152" s="45" t="n">
        <v>469355.98709</v>
      </c>
      <c r="S152" s="45" t="n">
        <v>2047919.061</v>
      </c>
      <c r="T152" s="45" t="n">
        <v>2215580.10451</v>
      </c>
      <c r="U152" s="15" t="n">
        <v>7.42</v>
      </c>
      <c r="V152" s="15" t="n">
        <v>15.39</v>
      </c>
      <c r="W152" s="49" t="n">
        <v>108.187</v>
      </c>
    </row>
    <row r="153">
      <c r="A153" s="44" t="inlineStr">
        <is>
          <t>TL Cinsi Sabit Faizli Kuponlu Senetler</t>
        </is>
      </c>
      <c r="B153" s="44" t="n">
        <v>2022</v>
      </c>
      <c r="C153" s="44" t="inlineStr">
        <is>
          <t>TRT131032T13</t>
        </is>
      </c>
      <c r="D153" s="44" t="inlineStr">
        <is>
          <t>09.11.2022</t>
        </is>
      </c>
      <c r="E153" s="44" t="inlineStr">
        <is>
          <t>13.10.2032</t>
        </is>
      </c>
      <c r="F153" s="44" t="n">
        <v>3626</v>
      </c>
      <c r="G153" s="44" t="inlineStr">
        <is>
          <t>6 ay</t>
        </is>
      </c>
      <c r="H153" s="15" t="n">
        <v>5.2</v>
      </c>
      <c r="I153" s="45" t="n">
        <v>5300010</v>
      </c>
      <c r="J153" s="45" t="n">
        <v>4880958.87</v>
      </c>
      <c r="K153" s="45" t="n">
        <v>3701004</v>
      </c>
      <c r="L153" s="45" t="n">
        <v>3430627.32</v>
      </c>
      <c r="M153" s="45" t="n">
        <v>0</v>
      </c>
      <c r="N153" s="45" t="n">
        <v>0</v>
      </c>
      <c r="O153" s="45" t="n">
        <v>3506122.226</v>
      </c>
      <c r="P153" s="45" t="n">
        <v>3249999.9974</v>
      </c>
      <c r="Q153" s="45" t="n">
        <v>10022.223</v>
      </c>
      <c r="R153" s="45" t="n">
        <v>9290.099609999999</v>
      </c>
      <c r="S153" s="45" t="n">
        <v>7217148.449</v>
      </c>
      <c r="T153" s="45" t="n">
        <v>6689917.417009999</v>
      </c>
      <c r="U153" s="15" t="n">
        <v>5.86</v>
      </c>
      <c r="V153" s="15" t="n">
        <v>12.07</v>
      </c>
      <c r="W153" s="49" t="n">
        <v>92.69499999999999</v>
      </c>
    </row>
    <row r="154">
      <c r="A154" s="44" t="inlineStr">
        <is>
          <t>TL Cinsi Sabit Faizli Kuponlu Senetler</t>
        </is>
      </c>
      <c r="B154" s="44" t="n">
        <v>2022</v>
      </c>
      <c r="C154" s="44" t="inlineStr">
        <is>
          <t>TRT150927T11</t>
        </is>
      </c>
      <c r="D154" s="44" t="inlineStr">
        <is>
          <t>23.11.2022</t>
        </is>
      </c>
      <c r="E154" s="44" t="inlineStr">
        <is>
          <t>15.09.2027</t>
        </is>
      </c>
      <c r="F154" s="44" t="n">
        <v>1757</v>
      </c>
      <c r="G154" s="44" t="inlineStr">
        <is>
          <t>6 ay</t>
        </is>
      </c>
      <c r="H154" s="15" t="n">
        <v>5.14</v>
      </c>
      <c r="I154" s="45" t="n">
        <v>7655001</v>
      </c>
      <c r="J154" s="45" t="n">
        <v>7863838.42</v>
      </c>
      <c r="K154" s="45" t="n">
        <v>5835000</v>
      </c>
      <c r="L154" s="45" t="n">
        <v>6027420.65</v>
      </c>
      <c r="M154" s="45" t="n">
        <v>1452109.43</v>
      </c>
      <c r="N154" s="45" t="n">
        <v>1499999.999</v>
      </c>
      <c r="O154" s="45" t="n">
        <v>12584948.398</v>
      </c>
      <c r="P154" s="45" t="n">
        <v>12999999.99617</v>
      </c>
      <c r="Q154" s="45" t="n">
        <v>0</v>
      </c>
      <c r="R154" s="45" t="n">
        <v>0</v>
      </c>
      <c r="S154" s="45" t="n">
        <v>19872057.828</v>
      </c>
      <c r="T154" s="45" t="n">
        <v>20527420.64517</v>
      </c>
      <c r="U154" s="15" t="n">
        <v>4.93</v>
      </c>
      <c r="V154" s="15" t="n">
        <v>10.11</v>
      </c>
      <c r="W154" s="49" t="n">
        <v>103.298</v>
      </c>
    </row>
    <row r="155">
      <c r="A155" s="44" t="inlineStr">
        <is>
          <t>TL Cinsi Sabit Faizli Kuponlu Senetler</t>
        </is>
      </c>
      <c r="B155" s="44" t="n">
        <v>2022</v>
      </c>
      <c r="C155" s="44" t="inlineStr">
        <is>
          <t>TRT041224T12</t>
        </is>
      </c>
      <c r="D155" s="44" t="inlineStr">
        <is>
          <t>07.12.2022</t>
        </is>
      </c>
      <c r="E155" s="44" t="inlineStr">
        <is>
          <t>04.12.2024</t>
        </is>
      </c>
      <c r="F155" s="44" t="n">
        <v>728</v>
      </c>
      <c r="G155" s="44" t="inlineStr">
        <is>
          <t>6 ay</t>
        </is>
      </c>
      <c r="H155" s="15" t="n">
        <v>4.65</v>
      </c>
      <c r="I155" s="45" t="n">
        <v>1726002</v>
      </c>
      <c r="J155" s="45" t="n">
        <v>1669824.67</v>
      </c>
      <c r="K155" s="45" t="n">
        <v>1146002</v>
      </c>
      <c r="L155" s="45" t="n">
        <v>1115843.92</v>
      </c>
      <c r="M155" s="45" t="n">
        <v>410812.586</v>
      </c>
      <c r="N155" s="45" t="n">
        <v>399999.99874</v>
      </c>
      <c r="O155" s="45" t="n">
        <v>513515.731</v>
      </c>
      <c r="P155" s="45" t="n">
        <v>499999.99696</v>
      </c>
      <c r="Q155" s="45" t="n">
        <v>100239.298</v>
      </c>
      <c r="R155" s="45" t="n">
        <v>97600.99967999999</v>
      </c>
      <c r="S155" s="45" t="n">
        <v>2170569.615</v>
      </c>
      <c r="T155" s="45" t="n">
        <v>2113444.91538</v>
      </c>
      <c r="U155" s="15" t="n">
        <v>5.4</v>
      </c>
      <c r="V155" s="15" t="n">
        <v>11.09</v>
      </c>
      <c r="W155" s="49" t="n">
        <v>97.36799999999999</v>
      </c>
    </row>
    <row r="156">
      <c r="A156" s="44" t="inlineStr">
        <is>
          <t>TL Cinsi Sabit Faizli Kuponlu Senetler</t>
        </is>
      </c>
      <c r="B156" s="44" t="n">
        <v>2022</v>
      </c>
      <c r="C156" s="44" t="inlineStr">
        <is>
          <t>TRT150927T11</t>
        </is>
      </c>
      <c r="D156" s="44" t="inlineStr">
        <is>
          <t>07.12.2022</t>
        </is>
      </c>
      <c r="E156" s="44" t="inlineStr">
        <is>
          <t>15.09.2027</t>
        </is>
      </c>
      <c r="F156" s="44" t="n">
        <v>1743</v>
      </c>
      <c r="G156" s="44" t="inlineStr">
        <is>
          <t>6 ay</t>
        </is>
      </c>
      <c r="H156" s="15" t="n">
        <v>5.14</v>
      </c>
      <c r="I156" s="45" t="n">
        <v>20138002</v>
      </c>
      <c r="J156" s="45" t="n">
        <v>20529876.11</v>
      </c>
      <c r="K156" s="45" t="n">
        <v>15925000</v>
      </c>
      <c r="L156" s="45" t="n">
        <v>16277875.67</v>
      </c>
      <c r="M156" s="45" t="n">
        <v>1467480.629</v>
      </c>
      <c r="N156" s="45" t="n">
        <v>1499999.99974</v>
      </c>
      <c r="O156" s="45" t="n">
        <v>10761524.608</v>
      </c>
      <c r="P156" s="45" t="n">
        <v>10999999.9933</v>
      </c>
      <c r="Q156" s="45" t="n">
        <v>1915580.974</v>
      </c>
      <c r="R156" s="45" t="n">
        <v>1958030.24838</v>
      </c>
      <c r="S156" s="45" t="n">
        <v>30069586.211</v>
      </c>
      <c r="T156" s="45" t="n">
        <v>30735905.91142</v>
      </c>
      <c r="U156" s="15" t="n">
        <v>5.13</v>
      </c>
      <c r="V156" s="15" t="n">
        <v>10.52</v>
      </c>
      <c r="W156" s="49" t="n">
        <v>102.216</v>
      </c>
    </row>
    <row r="157">
      <c r="A157" s="44" t="inlineStr">
        <is>
          <t>TL Cinsi Sabit Faizli Kuponlu Senetler</t>
        </is>
      </c>
      <c r="B157" s="44" t="n">
        <v>2022</v>
      </c>
      <c r="C157" s="44" t="inlineStr">
        <is>
          <t>TRT131032T13</t>
        </is>
      </c>
      <c r="D157" s="44" t="inlineStr">
        <is>
          <t>14.12.2022</t>
        </is>
      </c>
      <c r="E157" s="44" t="inlineStr">
        <is>
          <t>13.10.2032</t>
        </is>
      </c>
      <c r="F157" s="44" t="n">
        <v>3591</v>
      </c>
      <c r="G157" s="44" t="inlineStr">
        <is>
          <t>6 ay</t>
        </is>
      </c>
      <c r="H157" s="15" t="n">
        <v>5.2</v>
      </c>
      <c r="I157" s="45" t="n">
        <v>5261001</v>
      </c>
      <c r="J157" s="45" t="n">
        <v>5099850.14</v>
      </c>
      <c r="K157" s="45" t="n">
        <v>2938000</v>
      </c>
      <c r="L157" s="45" t="n">
        <v>2878116.5</v>
      </c>
      <c r="M157" s="45" t="n">
        <v>1531205.977</v>
      </c>
      <c r="N157" s="45" t="n">
        <v>1499999.99919</v>
      </c>
      <c r="O157" s="45" t="n">
        <v>2552009.96</v>
      </c>
      <c r="P157" s="45" t="n">
        <v>2499999.99702</v>
      </c>
      <c r="Q157" s="45" t="n">
        <v>317971.559</v>
      </c>
      <c r="R157" s="45" t="n">
        <v>311491.29863</v>
      </c>
      <c r="S157" s="45" t="n">
        <v>7339187.496</v>
      </c>
      <c r="T157" s="45" t="n">
        <v>7189607.794840001</v>
      </c>
      <c r="U157" s="15" t="n">
        <v>5.49</v>
      </c>
      <c r="V157" s="15" t="n">
        <v>11.28</v>
      </c>
      <c r="W157" s="49" t="n">
        <v>97.962</v>
      </c>
    </row>
    <row r="158">
      <c r="A158" s="44" t="inlineStr">
        <is>
          <t>TL Cinsi Sabit Faizli Kuponlu Senetler</t>
        </is>
      </c>
      <c r="B158" s="44" t="n">
        <v>2021</v>
      </c>
      <c r="C158" s="44" t="inlineStr">
        <is>
          <t>TRT091122T10</t>
        </is>
      </c>
      <c r="D158" s="44" t="inlineStr">
        <is>
          <t>06.01.2021</t>
        </is>
      </c>
      <c r="E158" s="44" t="inlineStr">
        <is>
          <t>09.11.2022</t>
        </is>
      </c>
      <c r="F158" s="44" t="n">
        <v>672</v>
      </c>
      <c r="G158" s="44" t="inlineStr">
        <is>
          <t>6 ay</t>
        </is>
      </c>
      <c r="H158" s="15" t="n">
        <v>6.95</v>
      </c>
      <c r="I158" s="45" t="n">
        <v>4697000</v>
      </c>
      <c r="J158" s="45" t="n">
        <v>4740332.37</v>
      </c>
      <c r="K158" s="45" t="n">
        <v>2138000</v>
      </c>
      <c r="L158" s="45" t="n">
        <v>2161986.09</v>
      </c>
      <c r="M158" s="45" t="n">
        <v>0</v>
      </c>
      <c r="N158" s="45" t="n">
        <v>0</v>
      </c>
      <c r="O158" s="45" t="n">
        <v>1730582.856</v>
      </c>
      <c r="P158" s="45" t="n">
        <v>1749999.99566</v>
      </c>
      <c r="Q158" s="45" t="n">
        <v>236000</v>
      </c>
      <c r="R158" s="45" t="n">
        <v>238647.92</v>
      </c>
      <c r="S158" s="45" t="n">
        <v>4104582.856</v>
      </c>
      <c r="T158" s="45" t="n">
        <v>4150634.00566</v>
      </c>
      <c r="U158" s="15" t="n">
        <v>7.26</v>
      </c>
      <c r="V158" s="15" t="n">
        <v>15.04</v>
      </c>
      <c r="W158" s="49" t="n">
        <v>101.122</v>
      </c>
    </row>
    <row r="159">
      <c r="A159" s="44" t="inlineStr">
        <is>
          <t>TL Cinsi Sabit Faizli Kuponlu Senetler</t>
        </is>
      </c>
      <c r="B159" s="44" t="n">
        <v>2021</v>
      </c>
      <c r="C159" s="44" t="inlineStr">
        <is>
          <t>TRT011025T16</t>
        </is>
      </c>
      <c r="D159" s="44" t="inlineStr">
        <is>
          <t>06.01.2021</t>
        </is>
      </c>
      <c r="E159" s="44" t="inlineStr">
        <is>
          <t>01.10.2025</t>
        </is>
      </c>
      <c r="F159" s="44" t="n">
        <v>1729</v>
      </c>
      <c r="G159" s="44" t="inlineStr">
        <is>
          <t>6 ay</t>
        </is>
      </c>
      <c r="H159" s="15" t="n">
        <v>6.3</v>
      </c>
      <c r="I159" s="45" t="n">
        <v>4884500</v>
      </c>
      <c r="J159" s="45" t="n">
        <v>4950821.105</v>
      </c>
      <c r="K159" s="45" t="n">
        <v>2613500</v>
      </c>
      <c r="L159" s="45" t="n">
        <v>2658451.685</v>
      </c>
      <c r="M159" s="45" t="n">
        <v>491545.418</v>
      </c>
      <c r="N159" s="45" t="n">
        <v>499999.99919</v>
      </c>
      <c r="O159" s="45" t="n">
        <v>1622099.876</v>
      </c>
      <c r="P159" s="45" t="n">
        <v>1649999.99387</v>
      </c>
      <c r="Q159" s="45" t="n">
        <v>252561.688</v>
      </c>
      <c r="R159" s="45" t="n">
        <v>256905.74904</v>
      </c>
      <c r="S159" s="45" t="n">
        <v>4979706.982</v>
      </c>
      <c r="T159" s="45" t="n">
        <v>5065357.4271</v>
      </c>
      <c r="U159" s="15" t="n">
        <v>6.5</v>
      </c>
      <c r="V159" s="15" t="n">
        <v>13.42</v>
      </c>
      <c r="W159" s="49" t="n">
        <v>101.72</v>
      </c>
    </row>
    <row r="160">
      <c r="A160" s="44" t="inlineStr">
        <is>
          <t>TL Cinsi Sabit Faizli Kuponlu Senetler</t>
        </is>
      </c>
      <c r="B160" s="44" t="n">
        <v>2021</v>
      </c>
      <c r="C160" s="44" t="inlineStr">
        <is>
          <t>TRT131130T14</t>
        </is>
      </c>
      <c r="D160" s="44" t="inlineStr">
        <is>
          <t>06.01.2021</t>
        </is>
      </c>
      <c r="E160" s="44" t="inlineStr">
        <is>
          <t>13.11.2030</t>
        </is>
      </c>
      <c r="F160" s="44" t="n">
        <v>3598</v>
      </c>
      <c r="G160" s="44" t="inlineStr">
        <is>
          <t>6 ay</t>
        </is>
      </c>
      <c r="H160" s="15" t="n">
        <v>5.85</v>
      </c>
      <c r="I160" s="45" t="n">
        <v>6094500</v>
      </c>
      <c r="J160" s="45" t="n">
        <v>5794742.835</v>
      </c>
      <c r="K160" s="45" t="n">
        <v>3849500</v>
      </c>
      <c r="L160" s="45" t="n">
        <v>3671091.165</v>
      </c>
      <c r="M160" s="45" t="n">
        <v>524301.368</v>
      </c>
      <c r="N160" s="45" t="n">
        <v>499999.99959</v>
      </c>
      <c r="O160" s="45" t="n">
        <v>1572904.101</v>
      </c>
      <c r="P160" s="45" t="n">
        <v>1499999.99594</v>
      </c>
      <c r="Q160" s="45" t="n">
        <v>1147819.245</v>
      </c>
      <c r="R160" s="45" t="n">
        <v>1094617.823</v>
      </c>
      <c r="S160" s="45" t="n">
        <v>7094524.714</v>
      </c>
      <c r="T160" s="45" t="n">
        <v>6765708.98353</v>
      </c>
      <c r="U160" s="15" t="n">
        <v>6.39</v>
      </c>
      <c r="V160" s="15" t="n">
        <v>13.19</v>
      </c>
      <c r="W160" s="49" t="n">
        <v>95.36499999999999</v>
      </c>
    </row>
    <row r="161">
      <c r="A161" s="44" t="inlineStr">
        <is>
          <t>TL Cinsi Sabit Faizli Kuponlu Senetler</t>
        </is>
      </c>
      <c r="B161" s="44" t="n">
        <v>2021</v>
      </c>
      <c r="C161" s="44" t="inlineStr">
        <is>
          <t>TRT131130T14</t>
        </is>
      </c>
      <c r="D161" s="44" t="inlineStr">
        <is>
          <t>17.02.2021</t>
        </is>
      </c>
      <c r="E161" s="44" t="inlineStr">
        <is>
          <t>13.11.2030</t>
        </is>
      </c>
      <c r="F161" s="44" t="n">
        <v>3556</v>
      </c>
      <c r="G161" s="44" t="inlineStr">
        <is>
          <t>6 ay</t>
        </is>
      </c>
      <c r="H161" s="15" t="n">
        <v>5.85</v>
      </c>
      <c r="I161" s="45" t="n">
        <v>6191667.437</v>
      </c>
      <c r="J161" s="45" t="n">
        <v>6018184.72223</v>
      </c>
      <c r="K161" s="45" t="n">
        <v>3579167.437</v>
      </c>
      <c r="L161" s="45" t="n">
        <v>3487656.74223</v>
      </c>
      <c r="M161" s="45" t="n">
        <v>513120.49</v>
      </c>
      <c r="N161" s="45" t="n">
        <v>499999.99907</v>
      </c>
      <c r="O161" s="45" t="n">
        <v>1128865.077</v>
      </c>
      <c r="P161" s="45" t="n">
        <v>1099999.99698</v>
      </c>
      <c r="Q161" s="45" t="n">
        <v>0</v>
      </c>
      <c r="R161" s="45" t="n">
        <v>0</v>
      </c>
      <c r="S161" s="45" t="n">
        <v>5221153.004000001</v>
      </c>
      <c r="T161" s="45" t="n">
        <v>5087656.73828</v>
      </c>
      <c r="U161" s="15" t="n">
        <v>6.32</v>
      </c>
      <c r="V161" s="15" t="n">
        <v>13.04</v>
      </c>
      <c r="W161" s="49" t="n">
        <v>97.443</v>
      </c>
    </row>
    <row r="162">
      <c r="A162" s="44" t="inlineStr">
        <is>
          <t>TL Cinsi Sabit Faizli Kuponlu Senetler</t>
        </is>
      </c>
      <c r="B162" s="44" t="n">
        <v>2021</v>
      </c>
      <c r="C162" s="44" t="inlineStr">
        <is>
          <t>TRT091122T10</t>
        </is>
      </c>
      <c r="D162" s="44" t="inlineStr">
        <is>
          <t>17.02.2021</t>
        </is>
      </c>
      <c r="E162" s="44" t="inlineStr">
        <is>
          <t>09.11.2022</t>
        </is>
      </c>
      <c r="F162" s="44" t="n">
        <v>630</v>
      </c>
      <c r="G162" s="44" t="inlineStr">
        <is>
          <t>6 ay</t>
        </is>
      </c>
      <c r="H162" s="15" t="n">
        <v>6.95</v>
      </c>
      <c r="I162" s="45" t="n">
        <v>2088750</v>
      </c>
      <c r="J162" s="45" t="n">
        <v>2141343.59</v>
      </c>
      <c r="K162" s="45" t="n">
        <v>1196750</v>
      </c>
      <c r="L162" s="45" t="n">
        <v>1230725.1</v>
      </c>
      <c r="M162" s="45" t="n">
        <v>0</v>
      </c>
      <c r="N162" s="45" t="n">
        <v>0</v>
      </c>
      <c r="O162" s="45" t="n">
        <v>486196.867</v>
      </c>
      <c r="P162" s="45" t="n">
        <v>499999.99605</v>
      </c>
      <c r="Q162" s="45" t="n">
        <v>10000</v>
      </c>
      <c r="R162" s="45" t="n">
        <v>10283.9</v>
      </c>
      <c r="S162" s="45" t="n">
        <v>1692946.867</v>
      </c>
      <c r="T162" s="45" t="n">
        <v>1741008.99605</v>
      </c>
      <c r="U162" s="15" t="n">
        <v>7.23</v>
      </c>
      <c r="V162" s="15" t="n">
        <v>14.99</v>
      </c>
      <c r="W162" s="49" t="n">
        <v>102.839</v>
      </c>
    </row>
    <row r="163">
      <c r="A163" s="44" t="inlineStr">
        <is>
          <t>TL Cinsi Sabit Faizli Kuponlu Senetler</t>
        </is>
      </c>
      <c r="B163" s="44" t="n">
        <v>2021</v>
      </c>
      <c r="C163" s="44" t="inlineStr">
        <is>
          <t>TRT011025T16</t>
        </is>
      </c>
      <c r="D163" s="44" t="inlineStr">
        <is>
          <t>17.02.2021</t>
        </is>
      </c>
      <c r="E163" s="44" t="inlineStr">
        <is>
          <t>01.10.2025</t>
        </is>
      </c>
      <c r="F163" s="44" t="n">
        <v>1687</v>
      </c>
      <c r="G163" s="44" t="inlineStr">
        <is>
          <t>6 ay</t>
        </is>
      </c>
      <c r="H163" s="15" t="n">
        <v>6.3</v>
      </c>
      <c r="I163" s="45" t="n">
        <v>3326000</v>
      </c>
      <c r="J163" s="45" t="n">
        <v>3418301.92</v>
      </c>
      <c r="K163" s="45" t="n">
        <v>2095000</v>
      </c>
      <c r="L163" s="45" t="n">
        <v>2156893.15</v>
      </c>
      <c r="M163" s="45" t="n">
        <v>485653.787</v>
      </c>
      <c r="N163" s="45" t="n">
        <v>499999.99987</v>
      </c>
      <c r="O163" s="45" t="n">
        <v>971307.5699999999</v>
      </c>
      <c r="P163" s="45" t="n">
        <v>999999.9956</v>
      </c>
      <c r="Q163" s="45" t="n">
        <v>0</v>
      </c>
      <c r="R163" s="45" t="n">
        <v>0</v>
      </c>
      <c r="S163" s="45" t="n">
        <v>3551961.357</v>
      </c>
      <c r="T163" s="45" t="n">
        <v>3656893.14547</v>
      </c>
      <c r="U163" s="15" t="n">
        <v>6.54</v>
      </c>
      <c r="V163" s="15" t="n">
        <v>13.5</v>
      </c>
      <c r="W163" s="49" t="n">
        <v>102.954</v>
      </c>
    </row>
    <row r="164">
      <c r="A164" s="44" t="inlineStr">
        <is>
          <t>TL Cinsi Sabit Faizli Kuponlu Senetler</t>
        </is>
      </c>
      <c r="B164" s="44" t="n">
        <v>2021</v>
      </c>
      <c r="C164" s="44" t="inlineStr">
        <is>
          <t>TRT131130T14</t>
        </is>
      </c>
      <c r="D164" s="44" t="inlineStr">
        <is>
          <t>17.03.2021</t>
        </is>
      </c>
      <c r="E164" s="44" t="inlineStr">
        <is>
          <t>13.11.2030</t>
        </is>
      </c>
      <c r="F164" s="44" t="n">
        <v>3528</v>
      </c>
      <c r="G164" s="44" t="inlineStr">
        <is>
          <t>6 ay</t>
        </is>
      </c>
      <c r="H164" s="15" t="n">
        <v>5.85</v>
      </c>
      <c r="I164" s="45" t="n">
        <v>2994300</v>
      </c>
      <c r="J164" s="45" t="n">
        <v>2759504.336</v>
      </c>
      <c r="K164" s="45" t="n">
        <v>1598300</v>
      </c>
      <c r="L164" s="45" t="n">
        <v>1477292.716</v>
      </c>
      <c r="M164" s="45" t="n">
        <v>649146.912</v>
      </c>
      <c r="N164" s="45" t="n">
        <v>599999.9992899999</v>
      </c>
      <c r="O164" s="45" t="n">
        <v>540955.758</v>
      </c>
      <c r="P164" s="45" t="n">
        <v>499999.99757</v>
      </c>
      <c r="Q164" s="45" t="n">
        <v>154845.668</v>
      </c>
      <c r="R164" s="45" t="n">
        <v>143122.30248</v>
      </c>
      <c r="S164" s="45" t="n">
        <v>2943248.338</v>
      </c>
      <c r="T164" s="45" t="n">
        <v>2720415.01534</v>
      </c>
      <c r="U164" s="15" t="n">
        <v>6.91</v>
      </c>
      <c r="V164" s="15" t="n">
        <v>14.29</v>
      </c>
      <c r="W164" s="49" t="n">
        <v>92.429</v>
      </c>
    </row>
    <row r="165">
      <c r="A165" s="44" t="inlineStr">
        <is>
          <t>TL Cinsi Sabit Faizli Kuponlu Senetler</t>
        </is>
      </c>
      <c r="B165" s="44" t="n">
        <v>2021</v>
      </c>
      <c r="C165" s="44" t="inlineStr">
        <is>
          <t>TRT091122T10</t>
        </is>
      </c>
      <c r="D165" s="44" t="inlineStr">
        <is>
          <t>17.03.2021</t>
        </is>
      </c>
      <c r="E165" s="44" t="inlineStr">
        <is>
          <t>09.11.2022</t>
        </is>
      </c>
      <c r="F165" s="44" t="n">
        <v>602</v>
      </c>
      <c r="G165" s="44" t="inlineStr">
        <is>
          <t>6 ay</t>
        </is>
      </c>
      <c r="H165" s="15" t="n">
        <v>6.95</v>
      </c>
      <c r="I165" s="45" t="n">
        <v>2521000</v>
      </c>
      <c r="J165" s="45" t="n">
        <v>2561514.07</v>
      </c>
      <c r="K165" s="45" t="n">
        <v>1282000</v>
      </c>
      <c r="L165" s="45" t="n">
        <v>1307409.02</v>
      </c>
      <c r="M165" s="45" t="n">
        <v>98056.519</v>
      </c>
      <c r="N165" s="45" t="n">
        <v>99999.99920999999</v>
      </c>
      <c r="O165" s="45" t="n">
        <v>392226.075</v>
      </c>
      <c r="P165" s="45" t="n">
        <v>399999.99581</v>
      </c>
      <c r="Q165" s="45" t="n">
        <v>250000</v>
      </c>
      <c r="R165" s="45" t="n">
        <v>254955</v>
      </c>
      <c r="S165" s="45" t="n">
        <v>2022282.594</v>
      </c>
      <c r="T165" s="45" t="n">
        <v>2062364.01502</v>
      </c>
      <c r="U165" s="15" t="n">
        <v>7.94</v>
      </c>
      <c r="V165" s="15" t="n">
        <v>16.5</v>
      </c>
      <c r="W165" s="49" t="n">
        <v>101.982</v>
      </c>
    </row>
    <row r="166">
      <c r="A166" s="44" t="inlineStr">
        <is>
          <t>TL Cinsi Sabit Faizli Kuponlu Senetler</t>
        </is>
      </c>
      <c r="B166" s="44" t="n">
        <v>2021</v>
      </c>
      <c r="C166" s="44" t="inlineStr">
        <is>
          <t>TRT011025T16</t>
        </is>
      </c>
      <c r="D166" s="44" t="inlineStr">
        <is>
          <t>17.03.2021</t>
        </is>
      </c>
      <c r="E166" s="44" t="inlineStr">
        <is>
          <t>01.10.2025</t>
        </is>
      </c>
      <c r="F166" s="44" t="n">
        <v>1659</v>
      </c>
      <c r="G166" s="44" t="inlineStr">
        <is>
          <t>6 ay</t>
        </is>
      </c>
      <c r="H166" s="15" t="n">
        <v>6.3</v>
      </c>
      <c r="I166" s="45" t="n">
        <v>3706000</v>
      </c>
      <c r="J166" s="45" t="n">
        <v>3614730.86</v>
      </c>
      <c r="K166" s="45" t="n">
        <v>1499000</v>
      </c>
      <c r="L166" s="45" t="n">
        <v>1465880.67</v>
      </c>
      <c r="M166" s="45" t="n">
        <v>613553.394</v>
      </c>
      <c r="N166" s="45" t="n">
        <v>599999.99953</v>
      </c>
      <c r="O166" s="45" t="n">
        <v>613553.39</v>
      </c>
      <c r="P166" s="45" t="n">
        <v>599999.9956199999</v>
      </c>
      <c r="Q166" s="45" t="n">
        <v>404637.818</v>
      </c>
      <c r="R166" s="45" t="n">
        <v>395699.3686</v>
      </c>
      <c r="S166" s="45" t="n">
        <v>3130744.602</v>
      </c>
      <c r="T166" s="45" t="n">
        <v>3061580.03375</v>
      </c>
      <c r="U166" s="15" t="n">
        <v>7.51</v>
      </c>
      <c r="V166" s="15" t="n">
        <v>15.57</v>
      </c>
      <c r="W166" s="49" t="n">
        <v>97.791</v>
      </c>
    </row>
    <row r="167">
      <c r="A167" s="44" t="inlineStr">
        <is>
          <t>TL Cinsi Sabit Faizli Kuponlu Senetler</t>
        </is>
      </c>
      <c r="B167" s="44" t="n">
        <v>2021</v>
      </c>
      <c r="C167" s="44" t="inlineStr">
        <is>
          <t>TRT140623T19</t>
        </is>
      </c>
      <c r="D167" s="44" t="inlineStr">
        <is>
          <t>14.04.2021</t>
        </is>
      </c>
      <c r="E167" s="44" t="inlineStr">
        <is>
          <t>14.06.2023</t>
        </is>
      </c>
      <c r="F167" s="44" t="n">
        <v>791</v>
      </c>
      <c r="G167" s="44" t="inlineStr">
        <is>
          <t>6 ay</t>
        </is>
      </c>
      <c r="H167" s="15" t="n">
        <v>8.1</v>
      </c>
      <c r="I167" s="45" t="n">
        <v>3415800</v>
      </c>
      <c r="J167" s="45" t="n">
        <v>3464620.72</v>
      </c>
      <c r="K167" s="45" t="n">
        <v>1743400</v>
      </c>
      <c r="L167" s="45" t="n">
        <v>1774277.62</v>
      </c>
      <c r="M167" s="45" t="n">
        <v>1965196.372</v>
      </c>
      <c r="N167" s="45" t="n">
        <v>1999999.99975</v>
      </c>
      <c r="O167" s="45" t="n">
        <v>687818.726</v>
      </c>
      <c r="P167" s="45" t="n">
        <v>699999.9956500001</v>
      </c>
      <c r="Q167" s="45" t="n">
        <v>528938.347</v>
      </c>
      <c r="R167" s="45" t="n">
        <v>538305.84512</v>
      </c>
      <c r="S167" s="45" t="n">
        <v>4925353.445</v>
      </c>
      <c r="T167" s="45" t="n">
        <v>5012583.460519999</v>
      </c>
      <c r="U167" s="15" t="n">
        <v>9.09</v>
      </c>
      <c r="V167" s="15" t="n">
        <v>19.02</v>
      </c>
      <c r="W167" s="49" t="n">
        <v>101.771</v>
      </c>
    </row>
    <row r="168">
      <c r="A168" s="44" t="inlineStr">
        <is>
          <t>TL Cinsi Sabit Faizli Kuponlu Senetler</t>
        </is>
      </c>
      <c r="B168" s="44" t="n">
        <v>2021</v>
      </c>
      <c r="C168" s="44" t="inlineStr">
        <is>
          <t>TRT091122T10</t>
        </is>
      </c>
      <c r="D168" s="44" t="inlineStr">
        <is>
          <t>21.04.2021</t>
        </is>
      </c>
      <c r="E168" s="44" t="inlineStr">
        <is>
          <t>09.11.2022</t>
        </is>
      </c>
      <c r="F168" s="44" t="n">
        <v>567</v>
      </c>
      <c r="G168" s="44" t="inlineStr">
        <is>
          <t>6 ay</t>
        </is>
      </c>
      <c r="H168" s="15" t="n">
        <v>6.95</v>
      </c>
      <c r="I168" s="45" t="n">
        <v>2825000</v>
      </c>
      <c r="J168" s="45" t="n">
        <v>2863489.38</v>
      </c>
      <c r="K168" s="45" t="n">
        <v>1055000</v>
      </c>
      <c r="L168" s="45" t="n">
        <v>1073178.18</v>
      </c>
      <c r="M168" s="45" t="n">
        <v>589837.106</v>
      </c>
      <c r="N168" s="45" t="n">
        <v>599999.99934</v>
      </c>
      <c r="O168" s="45" t="n">
        <v>491530.92</v>
      </c>
      <c r="P168" s="45" t="n">
        <v>499999.99775</v>
      </c>
      <c r="Q168" s="45" t="n">
        <v>0</v>
      </c>
      <c r="R168" s="45" t="n">
        <v>0</v>
      </c>
      <c r="S168" s="45" t="n">
        <v>2136368.026</v>
      </c>
      <c r="T168" s="45" t="n">
        <v>2173178.17709</v>
      </c>
      <c r="U168" s="15" t="n">
        <v>8.619999999999999</v>
      </c>
      <c r="V168" s="15" t="n">
        <v>17.98</v>
      </c>
      <c r="W168" s="49" t="n">
        <v>101.723</v>
      </c>
    </row>
    <row r="169">
      <c r="A169" s="44" t="inlineStr">
        <is>
          <t>TL Cinsi Sabit Faizli Kuponlu Senetler</t>
        </is>
      </c>
      <c r="B169" s="44" t="n">
        <v>2021</v>
      </c>
      <c r="C169" s="44" t="inlineStr">
        <is>
          <t>TRT011025T16</t>
        </is>
      </c>
      <c r="D169" s="44" t="inlineStr">
        <is>
          <t>21.04.2021</t>
        </is>
      </c>
      <c r="E169" s="44" t="inlineStr">
        <is>
          <t>01.10.2025</t>
        </is>
      </c>
      <c r="F169" s="44" t="n">
        <v>1624</v>
      </c>
      <c r="G169" s="44" t="inlineStr">
        <is>
          <t>6 ay</t>
        </is>
      </c>
      <c r="H169" s="15" t="n">
        <v>6.3</v>
      </c>
      <c r="I169" s="45" t="n">
        <v>3497500</v>
      </c>
      <c r="J169" s="45" t="n">
        <v>2962462.305</v>
      </c>
      <c r="K169" s="45" t="n">
        <v>1924000</v>
      </c>
      <c r="L169" s="45" t="n">
        <v>1632158.57</v>
      </c>
      <c r="M169" s="45" t="n">
        <v>5952942.284</v>
      </c>
      <c r="N169" s="45" t="n">
        <v>5049999.99836</v>
      </c>
      <c r="O169" s="45" t="n">
        <v>766220.292</v>
      </c>
      <c r="P169" s="45" t="n">
        <v>649999.99812</v>
      </c>
      <c r="Q169" s="45" t="n">
        <v>100145</v>
      </c>
      <c r="R169" s="45" t="n">
        <v>84955.0064</v>
      </c>
      <c r="S169" s="45" t="n">
        <v>8743307.575999999</v>
      </c>
      <c r="T169" s="45" t="n">
        <v>7417113.57288</v>
      </c>
      <c r="U169" s="15" t="n">
        <v>8.91</v>
      </c>
      <c r="V169" s="15" t="n">
        <v>18.62</v>
      </c>
      <c r="W169" s="49" t="n">
        <v>84.83199999999999</v>
      </c>
    </row>
    <row r="170">
      <c r="A170" s="44" t="inlineStr">
        <is>
          <t>TL Cinsi Sabit Faizli Kuponlu Senetler</t>
        </is>
      </c>
      <c r="B170" s="44" t="n">
        <v>2021</v>
      </c>
      <c r="C170" s="44" t="inlineStr">
        <is>
          <t>TRT180123T10</t>
        </is>
      </c>
      <c r="D170" s="44" t="inlineStr">
        <is>
          <t>05.05.2021</t>
        </is>
      </c>
      <c r="E170" s="44" t="inlineStr">
        <is>
          <t>18.01.2023</t>
        </is>
      </c>
      <c r="F170" s="44" t="n">
        <v>623</v>
      </c>
      <c r="G170" s="44" t="inlineStr">
        <is>
          <t>6 ay</t>
        </is>
      </c>
      <c r="H170" s="15" t="n">
        <v>6.1</v>
      </c>
      <c r="I170" s="45" t="n">
        <v>3043000</v>
      </c>
      <c r="J170" s="45" t="n">
        <v>2911956.93</v>
      </c>
      <c r="K170" s="45" t="n">
        <v>1008000</v>
      </c>
      <c r="L170" s="45" t="n">
        <v>968577.63</v>
      </c>
      <c r="M170" s="45" t="n">
        <v>0</v>
      </c>
      <c r="N170" s="45" t="n">
        <v>0</v>
      </c>
      <c r="O170" s="45" t="n">
        <v>364245.644</v>
      </c>
      <c r="P170" s="45" t="n">
        <v>349999.99687</v>
      </c>
      <c r="Q170" s="45" t="n">
        <v>30000.26</v>
      </c>
      <c r="R170" s="45" t="n">
        <v>28826.94983</v>
      </c>
      <c r="S170" s="45" t="n">
        <v>1402245.904</v>
      </c>
      <c r="T170" s="45" t="n">
        <v>1347404.5767</v>
      </c>
      <c r="U170" s="15" t="n">
        <v>8.68</v>
      </c>
      <c r="V170" s="15" t="n">
        <v>18.11</v>
      </c>
      <c r="W170" s="49" t="n">
        <v>96.089</v>
      </c>
    </row>
    <row r="171">
      <c r="A171" s="44" t="inlineStr">
        <is>
          <t>TL Cinsi Sabit Faizli Kuponlu Senetler</t>
        </is>
      </c>
      <c r="B171" s="44" t="n">
        <v>2021</v>
      </c>
      <c r="C171" s="44" t="inlineStr">
        <is>
          <t>TRT011025T16</t>
        </is>
      </c>
      <c r="D171" s="44" t="inlineStr">
        <is>
          <t>26.05.2021</t>
        </is>
      </c>
      <c r="E171" s="44" t="inlineStr">
        <is>
          <t>01.10.2025</t>
        </is>
      </c>
      <c r="F171" s="44" t="n">
        <v>1589</v>
      </c>
      <c r="G171" s="44" t="inlineStr">
        <is>
          <t>6 ay</t>
        </is>
      </c>
      <c r="H171" s="15" t="n">
        <v>6.3</v>
      </c>
      <c r="I171" s="45" t="n">
        <v>3453600</v>
      </c>
      <c r="J171" s="45" t="n">
        <v>2949713.066</v>
      </c>
      <c r="K171" s="45" t="n">
        <v>1581600</v>
      </c>
      <c r="L171" s="45" t="n">
        <v>1353088.616</v>
      </c>
      <c r="M171" s="45" t="n">
        <v>1636431.643</v>
      </c>
      <c r="N171" s="45" t="n">
        <v>1399999.99922</v>
      </c>
      <c r="O171" s="45" t="n">
        <v>701327.844</v>
      </c>
      <c r="P171" s="45" t="n">
        <v>599999.99708</v>
      </c>
      <c r="Q171" s="45" t="n">
        <v>300628.705</v>
      </c>
      <c r="R171" s="45" t="n">
        <v>257193.8697</v>
      </c>
      <c r="S171" s="45" t="n">
        <v>4219988.192</v>
      </c>
      <c r="T171" s="45" t="n">
        <v>3610282.482</v>
      </c>
      <c r="U171" s="15" t="n">
        <v>9.039999999999999</v>
      </c>
      <c r="V171" s="15" t="n">
        <v>18.9</v>
      </c>
      <c r="W171" s="49" t="n">
        <v>85.55200000000001</v>
      </c>
    </row>
    <row r="172">
      <c r="A172" s="44" t="inlineStr">
        <is>
          <t>TL Cinsi Sabit Faizli Kuponlu Senetler</t>
        </is>
      </c>
      <c r="B172" s="44" t="n">
        <v>2021</v>
      </c>
      <c r="C172" s="44" t="inlineStr">
        <is>
          <t>TRT091122T10</t>
        </is>
      </c>
      <c r="D172" s="44" t="inlineStr">
        <is>
          <t>26.05.2021</t>
        </is>
      </c>
      <c r="E172" s="44" t="inlineStr">
        <is>
          <t>09.11.2022</t>
        </is>
      </c>
      <c r="F172" s="44" t="n">
        <v>532</v>
      </c>
      <c r="G172" s="44" t="inlineStr">
        <is>
          <t>6 ay</t>
        </is>
      </c>
      <c r="H172" s="15" t="n">
        <v>6.95</v>
      </c>
      <c r="I172" s="45" t="n">
        <v>939000</v>
      </c>
      <c r="J172" s="45" t="n">
        <v>897486.05</v>
      </c>
      <c r="K172" s="45" t="n">
        <v>402000</v>
      </c>
      <c r="L172" s="45" t="n">
        <v>384637.28</v>
      </c>
      <c r="M172" s="45" t="n">
        <v>0</v>
      </c>
      <c r="N172" s="45" t="n">
        <v>0</v>
      </c>
      <c r="O172" s="45" t="n">
        <v>313541.871</v>
      </c>
      <c r="P172" s="45" t="n">
        <v>299999.99759</v>
      </c>
      <c r="Q172" s="45" t="inlineStr">
        <is>
          <t>-</t>
        </is>
      </c>
      <c r="R172" s="45" t="inlineStr">
        <is>
          <t>-</t>
        </is>
      </c>
      <c r="S172" s="45" t="n">
        <v>715541.871</v>
      </c>
      <c r="T172" s="45" t="n">
        <v>684637.2775900001</v>
      </c>
      <c r="U172" s="15" t="n">
        <v>8.9</v>
      </c>
      <c r="V172" s="15" t="n">
        <v>18.59</v>
      </c>
      <c r="W172" s="49" t="n">
        <v>95.681</v>
      </c>
    </row>
    <row r="173">
      <c r="A173" s="44" t="inlineStr">
        <is>
          <t>TL Cinsi Sabit Faizli Kuponlu Senetler</t>
        </is>
      </c>
      <c r="B173" s="44" t="n">
        <v>2021</v>
      </c>
      <c r="C173" s="44" t="inlineStr">
        <is>
          <t>TRT011025T16</t>
        </is>
      </c>
      <c r="D173" s="44" t="inlineStr">
        <is>
          <t>09.06.2021</t>
        </is>
      </c>
      <c r="E173" s="44" t="inlineStr">
        <is>
          <t>01.10.2025</t>
        </is>
      </c>
      <c r="F173" s="44" t="n">
        <v>1575</v>
      </c>
      <c r="G173" s="44" t="inlineStr">
        <is>
          <t>6 ay</t>
        </is>
      </c>
      <c r="H173" s="15" t="n">
        <v>6.3</v>
      </c>
      <c r="I173" s="45" t="n">
        <v>5856000</v>
      </c>
      <c r="J173" s="45" t="n">
        <v>4972913.76</v>
      </c>
      <c r="K173" s="45" t="n">
        <v>3382000</v>
      </c>
      <c r="L173" s="45" t="n">
        <v>2874545.34</v>
      </c>
      <c r="M173" s="45" t="n">
        <v>2206012.117</v>
      </c>
      <c r="N173" s="45" t="n">
        <v>1874999.99885</v>
      </c>
      <c r="O173" s="45" t="n">
        <v>941231.831</v>
      </c>
      <c r="P173" s="45" t="n">
        <v>799999.9947799999</v>
      </c>
      <c r="Q173" s="45" t="n">
        <v>1083691.846</v>
      </c>
      <c r="R173" s="45" t="n">
        <v>921083.88451</v>
      </c>
      <c r="S173" s="45" t="n">
        <v>7612935.794000001</v>
      </c>
      <c r="T173" s="45" t="n">
        <v>6470629.21814</v>
      </c>
      <c r="U173" s="15" t="n">
        <v>9.26</v>
      </c>
      <c r="V173" s="15" t="n">
        <v>19.38</v>
      </c>
      <c r="W173" s="49" t="n">
        <v>84.995</v>
      </c>
    </row>
    <row r="174">
      <c r="A174" s="44" t="inlineStr">
        <is>
          <t>TL Cinsi Sabit Faizli Kuponlu Senetler</t>
        </is>
      </c>
      <c r="B174" s="44" t="n">
        <v>2021</v>
      </c>
      <c r="C174" s="44" t="inlineStr">
        <is>
          <t>TRT140623T19</t>
        </is>
      </c>
      <c r="D174" s="44" t="inlineStr">
        <is>
          <t>23.06.2021</t>
        </is>
      </c>
      <c r="E174" s="44" t="inlineStr">
        <is>
          <t>14.06.2023</t>
        </is>
      </c>
      <c r="F174" s="44" t="n">
        <v>721</v>
      </c>
      <c r="G174" s="44" t="inlineStr">
        <is>
          <t>6 ay</t>
        </is>
      </c>
      <c r="H174" s="15" t="n">
        <v>8.1</v>
      </c>
      <c r="I174" s="45" t="n">
        <v>2384500</v>
      </c>
      <c r="J174" s="45" t="n">
        <v>2324613.885</v>
      </c>
      <c r="K174" s="45" t="n">
        <v>1588000</v>
      </c>
      <c r="L174" s="45" t="n">
        <v>1550160.06</v>
      </c>
      <c r="M174" s="45" t="n">
        <v>281713.226</v>
      </c>
      <c r="N174" s="45" t="n">
        <v>274999.99982</v>
      </c>
      <c r="O174" s="45" t="n">
        <v>1126852.901</v>
      </c>
      <c r="P174" s="45" t="n">
        <v>1099999.99636</v>
      </c>
      <c r="Q174" s="45" t="n">
        <v>475122.673</v>
      </c>
      <c r="R174" s="45" t="n">
        <v>463800.4997</v>
      </c>
      <c r="S174" s="45" t="n">
        <v>3471688.8</v>
      </c>
      <c r="T174" s="45" t="n">
        <v>3388960.55588</v>
      </c>
      <c r="U174" s="15" t="n">
        <v>8.93</v>
      </c>
      <c r="V174" s="15" t="n">
        <v>18.66</v>
      </c>
      <c r="W174" s="49" t="n">
        <v>97.617</v>
      </c>
    </row>
    <row r="175">
      <c r="A175" s="44" t="inlineStr">
        <is>
          <t>TL Cinsi Sabit Faizli Kuponlu Senetler</t>
        </is>
      </c>
      <c r="B175" s="44" t="n">
        <v>2021</v>
      </c>
      <c r="C175" s="44" t="inlineStr">
        <is>
          <t>TRT140623T19</t>
        </is>
      </c>
      <c r="D175" s="44" t="inlineStr">
        <is>
          <t>14.07.2021</t>
        </is>
      </c>
      <c r="E175" s="44" t="inlineStr">
        <is>
          <t>14.06.2023</t>
        </is>
      </c>
      <c r="F175" s="44" t="n">
        <v>700</v>
      </c>
      <c r="G175" s="44" t="inlineStr">
        <is>
          <t>6 ay</t>
        </is>
      </c>
      <c r="H175" s="15" t="n">
        <v>8.1</v>
      </c>
      <c r="I175" s="45" t="n">
        <v>3794500</v>
      </c>
      <c r="J175" s="45" t="n">
        <v>3718118.64</v>
      </c>
      <c r="K175" s="45" t="n">
        <v>2405500</v>
      </c>
      <c r="L175" s="45" t="n">
        <v>2363580.5</v>
      </c>
      <c r="M175" s="45" t="n">
        <v>1017739.194</v>
      </c>
      <c r="N175" s="45" t="n">
        <v>999999.99985</v>
      </c>
      <c r="O175" s="45" t="n">
        <v>712417.432</v>
      </c>
      <c r="P175" s="45" t="n">
        <v>699999.9961399999</v>
      </c>
      <c r="Q175" s="45" t="n">
        <v>150029.463</v>
      </c>
      <c r="R175" s="45" t="n">
        <v>147414.44946</v>
      </c>
      <c r="S175" s="45" t="n">
        <v>4285686.089</v>
      </c>
      <c r="T175" s="45" t="n">
        <v>4210994.94545</v>
      </c>
      <c r="U175" s="15" t="n">
        <v>9.039999999999999</v>
      </c>
      <c r="V175" s="15" t="n">
        <v>18.9</v>
      </c>
      <c r="W175" s="49" t="n">
        <v>98.25700000000001</v>
      </c>
    </row>
    <row r="176">
      <c r="A176" s="44" t="inlineStr">
        <is>
          <t>TL Cinsi Sabit Faizli Kuponlu Senetler</t>
        </is>
      </c>
      <c r="B176" s="44" t="n">
        <v>2021</v>
      </c>
      <c r="C176" s="44" t="inlineStr">
        <is>
          <t>TRT131130T14</t>
        </is>
      </c>
      <c r="D176" s="44" t="inlineStr">
        <is>
          <t>28.07.2021</t>
        </is>
      </c>
      <c r="E176" s="44" t="inlineStr">
        <is>
          <t>13.11.2030</t>
        </is>
      </c>
      <c r="F176" s="44" t="n">
        <v>3395</v>
      </c>
      <c r="G176" s="44" t="inlineStr">
        <is>
          <t>6 ay</t>
        </is>
      </c>
      <c r="H176" s="15" t="n">
        <v>5.85</v>
      </c>
      <c r="I176" s="45" t="n">
        <v>4629600</v>
      </c>
      <c r="J176" s="45" t="n">
        <v>3586205.75</v>
      </c>
      <c r="K176" s="45" t="n">
        <v>2845000</v>
      </c>
      <c r="L176" s="45" t="n">
        <v>2211532.55</v>
      </c>
      <c r="M176" s="45" t="n">
        <v>1286438.366</v>
      </c>
      <c r="N176" s="45" t="n">
        <v>999999.99942</v>
      </c>
      <c r="O176" s="45" t="n">
        <v>1608047.954</v>
      </c>
      <c r="P176" s="45" t="n">
        <v>1249999.99656</v>
      </c>
      <c r="Q176" s="45" t="n">
        <v>1000133.145</v>
      </c>
      <c r="R176" s="45" t="n">
        <v>777443.49893</v>
      </c>
      <c r="S176" s="45" t="n">
        <v>6739619.465</v>
      </c>
      <c r="T176" s="45" t="n">
        <v>5238976.04491</v>
      </c>
      <c r="U176" s="15" t="n">
        <v>8.48</v>
      </c>
      <c r="V176" s="15" t="n">
        <v>17.68</v>
      </c>
      <c r="W176" s="49" t="n">
        <v>77.73399999999999</v>
      </c>
    </row>
    <row r="177">
      <c r="A177" s="44" t="inlineStr">
        <is>
          <t>TL Cinsi Sabit Faizli Kuponlu Senetler</t>
        </is>
      </c>
      <c r="B177" s="44" t="n">
        <v>2021</v>
      </c>
      <c r="C177" s="44" t="inlineStr">
        <is>
          <t>TRT181023T19</t>
        </is>
      </c>
      <c r="D177" s="44" t="inlineStr">
        <is>
          <t>18.08.2021</t>
        </is>
      </c>
      <c r="E177" s="44" t="inlineStr">
        <is>
          <t>18.10.2023</t>
        </is>
      </c>
      <c r="F177" s="44" t="n">
        <v>791</v>
      </c>
      <c r="G177" s="44" t="inlineStr">
        <is>
          <t>6 ay</t>
        </is>
      </c>
      <c r="H177" s="15" t="n">
        <v>10.05</v>
      </c>
      <c r="I177" s="45" t="n">
        <v>4886500</v>
      </c>
      <c r="J177" s="45" t="n">
        <v>5373931.47</v>
      </c>
      <c r="K177" s="45" t="n">
        <v>3014500</v>
      </c>
      <c r="L177" s="45" t="n">
        <v>3319706.57</v>
      </c>
      <c r="M177" s="45" t="n">
        <v>635641.316</v>
      </c>
      <c r="N177" s="45" t="n">
        <v>699999.99925</v>
      </c>
      <c r="O177" s="45" t="n">
        <v>908059.022</v>
      </c>
      <c r="P177" s="45" t="n">
        <v>999999.99798</v>
      </c>
      <c r="Q177" s="45" t="n">
        <v>1054161.225</v>
      </c>
      <c r="R177" s="45" t="n">
        <v>1160895.04903</v>
      </c>
      <c r="S177" s="45" t="n">
        <v>5612361.563</v>
      </c>
      <c r="T177" s="45" t="n">
        <v>6180601.61626</v>
      </c>
      <c r="U177" s="15" t="n">
        <v>9</v>
      </c>
      <c r="V177" s="15" t="n">
        <v>18.81</v>
      </c>
      <c r="W177" s="49" t="n">
        <v>110.125</v>
      </c>
    </row>
    <row r="178">
      <c r="A178" s="44" t="inlineStr">
        <is>
          <t>TL Cinsi Sabit Faizli Kuponlu Senetler</t>
        </is>
      </c>
      <c r="B178" s="44" t="n">
        <v>2021</v>
      </c>
      <c r="C178" s="44" t="inlineStr">
        <is>
          <t>TRT131130T14</t>
        </is>
      </c>
      <c r="D178" s="44" t="inlineStr">
        <is>
          <t>18.08.2021</t>
        </is>
      </c>
      <c r="E178" s="44" t="inlineStr">
        <is>
          <t>13.11.2030</t>
        </is>
      </c>
      <c r="F178" s="44" t="n">
        <v>3374</v>
      </c>
      <c r="G178" s="44" t="inlineStr">
        <is>
          <t>6 ay</t>
        </is>
      </c>
      <c r="H178" s="15" t="n">
        <v>5.85</v>
      </c>
      <c r="I178" s="45" t="n">
        <v>3479000</v>
      </c>
      <c r="J178" s="45" t="n">
        <v>2749315.2</v>
      </c>
      <c r="K178" s="45" t="n">
        <v>1933000</v>
      </c>
      <c r="L178" s="45" t="n">
        <v>1530217</v>
      </c>
      <c r="M178" s="45" t="n">
        <v>63160.82</v>
      </c>
      <c r="N178" s="45" t="n">
        <v>49999.99994</v>
      </c>
      <c r="O178" s="45" t="n">
        <v>568447.379</v>
      </c>
      <c r="P178" s="45" t="n">
        <v>449999.99863</v>
      </c>
      <c r="Q178" s="45" t="n">
        <v>50077.056</v>
      </c>
      <c r="R178" s="45" t="n">
        <v>39642.49984</v>
      </c>
      <c r="S178" s="45" t="n">
        <v>2614685.255</v>
      </c>
      <c r="T178" s="45" t="n">
        <v>2069859.49841</v>
      </c>
      <c r="U178" s="15" t="n">
        <v>8.390000000000001</v>
      </c>
      <c r="V178" s="15" t="n">
        <v>17.48</v>
      </c>
      <c r="W178" s="49" t="n">
        <v>79.163</v>
      </c>
    </row>
    <row r="179">
      <c r="A179" s="44" t="inlineStr">
        <is>
          <t>TL Cinsi Sabit Faizli Kuponlu Senetler</t>
        </is>
      </c>
      <c r="B179" s="44" t="n">
        <v>2021</v>
      </c>
      <c r="C179" s="44" t="inlineStr">
        <is>
          <t>TRT020926T17</t>
        </is>
      </c>
      <c r="D179" s="44" t="inlineStr">
        <is>
          <t>08.09.2021</t>
        </is>
      </c>
      <c r="E179" s="44" t="inlineStr">
        <is>
          <t>02.09.2026</t>
        </is>
      </c>
      <c r="F179" s="44" t="n">
        <v>1820</v>
      </c>
      <c r="G179" s="44" t="inlineStr">
        <is>
          <t>6 ay</t>
        </is>
      </c>
      <c r="H179" s="15" t="n">
        <v>8.449999999999999</v>
      </c>
      <c r="I179" s="45" t="n">
        <v>4407500</v>
      </c>
      <c r="J179" s="45" t="n">
        <v>4386650.37</v>
      </c>
      <c r="K179" s="45" t="n">
        <v>2807500</v>
      </c>
      <c r="L179" s="45" t="n">
        <v>2802351.21</v>
      </c>
      <c r="M179" s="45" t="n">
        <v>2504583.387</v>
      </c>
      <c r="N179" s="45" t="n">
        <v>2499999.9994</v>
      </c>
      <c r="O179" s="45" t="n">
        <v>1252291.69</v>
      </c>
      <c r="P179" s="45" t="n">
        <v>1249999.9962</v>
      </c>
      <c r="Q179" s="45" t="n">
        <v>39783.849</v>
      </c>
      <c r="R179" s="45" t="n">
        <v>39711.04456</v>
      </c>
      <c r="S179" s="45" t="n">
        <v>6604158.926</v>
      </c>
      <c r="T179" s="45" t="n">
        <v>6592062.250159999</v>
      </c>
      <c r="U179" s="15" t="n">
        <v>8.48</v>
      </c>
      <c r="V179" s="15" t="n">
        <v>17.67</v>
      </c>
      <c r="W179" s="49" t="n">
        <v>99.81699999999999</v>
      </c>
    </row>
    <row r="180">
      <c r="A180" s="44" t="inlineStr">
        <is>
          <t>TL Cinsi Sabit Faizli Kuponlu Senetler</t>
        </is>
      </c>
      <c r="B180" s="44" t="n">
        <v>2021</v>
      </c>
      <c r="C180" s="44" t="inlineStr">
        <is>
          <t>TRT200923T18</t>
        </is>
      </c>
      <c r="D180" s="44" t="inlineStr">
        <is>
          <t>22.09.2021</t>
        </is>
      </c>
      <c r="E180" s="44" t="inlineStr">
        <is>
          <t>20.09.2023</t>
        </is>
      </c>
      <c r="F180" s="44" t="n">
        <v>728</v>
      </c>
      <c r="G180" s="44" t="inlineStr">
        <is>
          <t>6 ay</t>
        </is>
      </c>
      <c r="H180" s="15" t="n">
        <v>8.6</v>
      </c>
      <c r="I180" s="45" t="n">
        <v>2375500</v>
      </c>
      <c r="J180" s="45" t="n">
        <v>2366919.855</v>
      </c>
      <c r="K180" s="45" t="n">
        <v>1103000</v>
      </c>
      <c r="L180" s="45" t="n">
        <v>1100544.45</v>
      </c>
      <c r="M180" s="45" t="n">
        <v>1623620.674</v>
      </c>
      <c r="N180" s="45" t="n">
        <v>1619999.9999</v>
      </c>
      <c r="O180" s="45" t="n">
        <v>601340.988</v>
      </c>
      <c r="P180" s="45" t="n">
        <v>599999.9976</v>
      </c>
      <c r="Q180" s="45" t="n">
        <v>253072.762</v>
      </c>
      <c r="R180" s="45" t="n">
        <v>252508.40974</v>
      </c>
      <c r="S180" s="45" t="n">
        <v>3581034.424</v>
      </c>
      <c r="T180" s="45" t="n">
        <v>3573052.85724</v>
      </c>
      <c r="U180" s="15" t="n">
        <v>8.67</v>
      </c>
      <c r="V180" s="15" t="n">
        <v>18.09</v>
      </c>
      <c r="W180" s="49" t="n">
        <v>99.777</v>
      </c>
    </row>
    <row r="181">
      <c r="A181" s="44" t="inlineStr">
        <is>
          <t>TL Cinsi Sabit Faizli Kuponlu Senetler</t>
        </is>
      </c>
      <c r="B181" s="44" t="n">
        <v>2021</v>
      </c>
      <c r="C181" s="44" t="inlineStr">
        <is>
          <t>TRT020926T17</t>
        </is>
      </c>
      <c r="D181" s="44" t="inlineStr">
        <is>
          <t>06.10.2021</t>
        </is>
      </c>
      <c r="E181" s="44" t="inlineStr">
        <is>
          <t>02.09.2026</t>
        </is>
      </c>
      <c r="F181" s="44" t="n">
        <v>1792</v>
      </c>
      <c r="G181" s="44" t="inlineStr">
        <is>
          <t>6 ay</t>
        </is>
      </c>
      <c r="H181" s="15" t="n">
        <v>8.449999999999999</v>
      </c>
      <c r="I181" s="45" t="n">
        <v>4851000</v>
      </c>
      <c r="J181" s="45" t="n">
        <v>4713010.85</v>
      </c>
      <c r="K181" s="45" t="n">
        <v>2355000</v>
      </c>
      <c r="L181" s="45" t="n">
        <v>2293272.55</v>
      </c>
      <c r="M181" s="45" t="n">
        <v>1026915.454</v>
      </c>
      <c r="N181" s="45" t="n">
        <v>999999.99995</v>
      </c>
      <c r="O181" s="45" t="n">
        <v>1334990.088</v>
      </c>
      <c r="P181" s="45" t="n">
        <v>1299999.99779</v>
      </c>
      <c r="Q181" s="45" t="inlineStr">
        <is>
          <t>-</t>
        </is>
      </c>
      <c r="R181" s="45" t="inlineStr">
        <is>
          <t>-</t>
        </is>
      </c>
      <c r="S181" s="45" t="n">
        <v>4716905.541999999</v>
      </c>
      <c r="T181" s="45" t="n">
        <v>4593272.547739999</v>
      </c>
      <c r="U181" s="15" t="n">
        <v>9.06</v>
      </c>
      <c r="V181" s="15" t="n">
        <v>18.94</v>
      </c>
      <c r="W181" s="49" t="n">
        <v>97.379</v>
      </c>
    </row>
    <row r="182">
      <c r="A182" s="44" t="inlineStr">
        <is>
          <t>TL Cinsi Sabit Faizli Kuponlu Senetler</t>
        </is>
      </c>
      <c r="B182" s="44" t="n">
        <v>2021</v>
      </c>
      <c r="C182" s="44" t="inlineStr">
        <is>
          <t>TRT200923T18</t>
        </is>
      </c>
      <c r="D182" s="44" t="inlineStr">
        <is>
          <t>20.10.2021</t>
        </is>
      </c>
      <c r="E182" s="44" t="inlineStr">
        <is>
          <t>20.09.2023</t>
        </is>
      </c>
      <c r="F182" s="44" t="n">
        <v>700</v>
      </c>
      <c r="G182" s="44" t="inlineStr">
        <is>
          <t>6 ay</t>
        </is>
      </c>
      <c r="H182" s="15" t="n">
        <v>8.6</v>
      </c>
      <c r="I182" s="45" t="n">
        <v>2175001</v>
      </c>
      <c r="J182" s="45" t="n">
        <v>2167073.05</v>
      </c>
      <c r="K182" s="45" t="n">
        <v>1150001</v>
      </c>
      <c r="L182" s="45" t="n">
        <v>1148261</v>
      </c>
      <c r="M182" s="45" t="n">
        <v>4406654.046</v>
      </c>
      <c r="N182" s="45" t="n">
        <v>4399999.99839</v>
      </c>
      <c r="O182" s="45" t="n">
        <v>1352041.579</v>
      </c>
      <c r="P182" s="45" t="n">
        <v>1349999.99621</v>
      </c>
      <c r="Q182" s="45" t="n">
        <v>97541.31200000001</v>
      </c>
      <c r="R182" s="45" t="n">
        <v>97394.02462</v>
      </c>
      <c r="S182" s="45" t="n">
        <v>7006237.937</v>
      </c>
      <c r="T182" s="45" t="n">
        <v>6995655.01922</v>
      </c>
      <c r="U182" s="15" t="n">
        <v>9.06</v>
      </c>
      <c r="V182" s="15" t="n">
        <v>18.93</v>
      </c>
      <c r="W182" s="49" t="n">
        <v>99.849</v>
      </c>
    </row>
    <row r="183">
      <c r="A183" s="44" t="inlineStr">
        <is>
          <t>TL Cinsi Sabit Faizli Kuponlu Senetler</t>
        </is>
      </c>
      <c r="B183" s="44" t="n">
        <v>2021</v>
      </c>
      <c r="C183" s="44" t="inlineStr">
        <is>
          <t>TRT020926T17</t>
        </is>
      </c>
      <c r="D183" s="44" t="inlineStr">
        <is>
          <t>10.11.2021</t>
        </is>
      </c>
      <c r="E183" s="44" t="inlineStr">
        <is>
          <t>02.09.2026</t>
        </is>
      </c>
      <c r="F183" s="44" t="n">
        <v>1757</v>
      </c>
      <c r="G183" s="44" t="inlineStr">
        <is>
          <t>6 ay</t>
        </is>
      </c>
      <c r="H183" s="15" t="n">
        <v>8.449999999999999</v>
      </c>
      <c r="I183" s="45" t="n">
        <v>4266000</v>
      </c>
      <c r="J183" s="45" t="n">
        <v>4157843.34</v>
      </c>
      <c r="K183" s="45" t="n">
        <v>2711000</v>
      </c>
      <c r="L183" s="45" t="n">
        <v>2646729.19</v>
      </c>
      <c r="M183" s="45" t="n">
        <v>153642.872</v>
      </c>
      <c r="N183" s="45" t="n">
        <v>149999.9995</v>
      </c>
      <c r="O183" s="45" t="n">
        <v>870642.939</v>
      </c>
      <c r="P183" s="45" t="n">
        <v>849999.9949</v>
      </c>
      <c r="Q183" s="45" t="n">
        <v>486346.658</v>
      </c>
      <c r="R183" s="45" t="n">
        <v>474815.37873</v>
      </c>
      <c r="S183" s="45" t="n">
        <v>4221632.469</v>
      </c>
      <c r="T183" s="45" t="n">
        <v>4121544.56313</v>
      </c>
      <c r="U183" s="15" t="n">
        <v>9.289999999999999</v>
      </c>
      <c r="V183" s="15" t="n">
        <v>19.44</v>
      </c>
      <c r="W183" s="49" t="n">
        <v>97.629</v>
      </c>
    </row>
    <row r="184">
      <c r="A184" s="44" t="inlineStr">
        <is>
          <t>TL Cinsi Sabit Faizli Kuponlu Senetler</t>
        </is>
      </c>
      <c r="B184" s="44" t="n">
        <v>2021</v>
      </c>
      <c r="C184" s="44" t="inlineStr">
        <is>
          <t>TRT200923T18</t>
        </is>
      </c>
      <c r="D184" s="44" t="inlineStr">
        <is>
          <t>24.11.2021</t>
        </is>
      </c>
      <c r="E184" s="44" t="inlineStr">
        <is>
          <t>20.09.2023</t>
        </is>
      </c>
      <c r="F184" s="44" t="n">
        <v>665</v>
      </c>
      <c r="G184" s="44" t="inlineStr">
        <is>
          <t>6 ay</t>
        </is>
      </c>
      <c r="H184" s="15" t="n">
        <v>8.6</v>
      </c>
      <c r="I184" s="45" t="n">
        <v>2184114.66</v>
      </c>
      <c r="J184" s="45" t="n">
        <v>2152083.27518</v>
      </c>
      <c r="K184" s="45" t="n">
        <v>625101.401</v>
      </c>
      <c r="L184" s="45" t="n">
        <v>619275.6706</v>
      </c>
      <c r="M184" s="45" t="n">
        <v>580409.414</v>
      </c>
      <c r="N184" s="45" t="n">
        <v>574999.99826</v>
      </c>
      <c r="O184" s="45" t="n">
        <v>428998.262</v>
      </c>
      <c r="P184" s="45" t="n">
        <v>424999.99821</v>
      </c>
      <c r="Q184" s="45" t="inlineStr">
        <is>
          <t>-</t>
        </is>
      </c>
      <c r="R184" s="45" t="inlineStr">
        <is>
          <t>-</t>
        </is>
      </c>
      <c r="S184" s="45" t="n">
        <v>1634509.077</v>
      </c>
      <c r="T184" s="45" t="n">
        <v>1619275.66707</v>
      </c>
      <c r="U184" s="15" t="n">
        <v>9.9</v>
      </c>
      <c r="V184" s="15" t="n">
        <v>20.77</v>
      </c>
      <c r="W184" s="49" t="n">
        <v>99.068</v>
      </c>
    </row>
    <row r="185">
      <c r="A185" s="44" t="inlineStr">
        <is>
          <t>TL Cinsi Sabit Faizli Kuponlu Senetler</t>
        </is>
      </c>
      <c r="B185" s="44" t="n">
        <v>2021</v>
      </c>
      <c r="C185" s="44" t="inlineStr">
        <is>
          <t>TRT020926T17</t>
        </is>
      </c>
      <c r="D185" s="44" t="inlineStr">
        <is>
          <t>08.12.2021</t>
        </is>
      </c>
      <c r="E185" s="44" t="inlineStr">
        <is>
          <t>02.09.2026</t>
        </is>
      </c>
      <c r="F185" s="44" t="n">
        <v>1729</v>
      </c>
      <c r="G185" s="44" t="inlineStr">
        <is>
          <t>6 ay</t>
        </is>
      </c>
      <c r="H185" s="15" t="n">
        <v>8.449999999999999</v>
      </c>
      <c r="I185" s="45" t="n">
        <v>1290003</v>
      </c>
      <c r="J185" s="45" t="n">
        <v>1166794.53</v>
      </c>
      <c r="K185" s="45" t="n">
        <v>647001</v>
      </c>
      <c r="L185" s="45" t="n">
        <v>586953.4399999999</v>
      </c>
      <c r="M185" s="45" t="n">
        <v>165345.737</v>
      </c>
      <c r="N185" s="45" t="n">
        <v>149999.99915</v>
      </c>
      <c r="O185" s="45" t="n">
        <v>551152.456</v>
      </c>
      <c r="P185" s="45" t="n">
        <v>499999.99656</v>
      </c>
      <c r="Q185" s="45" t="n">
        <v>50022.817</v>
      </c>
      <c r="R185" s="45" t="n">
        <v>45380.19935</v>
      </c>
      <c r="S185" s="45" t="n">
        <v>1413522.01</v>
      </c>
      <c r="T185" s="45" t="n">
        <v>1282333.63506</v>
      </c>
      <c r="U185" s="15" t="n">
        <v>10.77</v>
      </c>
      <c r="V185" s="15" t="n">
        <v>22.7</v>
      </c>
      <c r="W185" s="49" t="n">
        <v>90.71899999999999</v>
      </c>
    </row>
    <row r="186">
      <c r="A186" s="44" t="inlineStr">
        <is>
          <t>TL Cinsi Sabit Faizli Kuponlu Senetler</t>
        </is>
      </c>
      <c r="B186" s="44" t="n">
        <v>2021</v>
      </c>
      <c r="C186" s="44" t="inlineStr">
        <is>
          <t>TRT200923T18</t>
        </is>
      </c>
      <c r="D186" s="44" t="inlineStr">
        <is>
          <t>15.12.2021</t>
        </is>
      </c>
      <c r="E186" s="44" t="inlineStr">
        <is>
          <t>20.09.2023</t>
        </is>
      </c>
      <c r="F186" s="44" t="n">
        <v>644</v>
      </c>
      <c r="G186" s="44" t="inlineStr">
        <is>
          <t>6 ay</t>
        </is>
      </c>
      <c r="H186" s="15" t="n">
        <v>8.6</v>
      </c>
      <c r="I186" s="45" t="n">
        <v>1322007.128</v>
      </c>
      <c r="J186" s="45" t="n">
        <v>1306480.89412</v>
      </c>
      <c r="K186" s="45" t="n">
        <v>576000</v>
      </c>
      <c r="L186" s="45" t="n">
        <v>572536.29</v>
      </c>
      <c r="M186" s="45" t="n">
        <v>1131802.13</v>
      </c>
      <c r="N186" s="45" t="n">
        <v>1124999.9992</v>
      </c>
      <c r="O186" s="45" t="n">
        <v>326965.057</v>
      </c>
      <c r="P186" s="45" t="n">
        <v>324999.99701</v>
      </c>
      <c r="Q186" s="45" t="inlineStr">
        <is>
          <t>-</t>
        </is>
      </c>
      <c r="R186" s="45" t="inlineStr">
        <is>
          <t>-</t>
        </is>
      </c>
      <c r="S186" s="45" t="n">
        <v>2034767.187</v>
      </c>
      <c r="T186" s="45" t="n">
        <v>2022536.28621</v>
      </c>
      <c r="U186" s="15" t="n">
        <v>10.17</v>
      </c>
      <c r="V186" s="15" t="n">
        <v>21.36</v>
      </c>
      <c r="W186" s="49" t="n">
        <v>99.399</v>
      </c>
    </row>
    <row r="187">
      <c r="A187" s="44" t="inlineStr">
        <is>
          <t>TL Cinsi Sabit Faizli Kuponlu Senetler</t>
        </is>
      </c>
      <c r="B187" s="44" t="n">
        <v>2020</v>
      </c>
      <c r="C187" s="44" t="inlineStr">
        <is>
          <t>TRT201021T25</t>
        </is>
      </c>
      <c r="D187" s="44" t="inlineStr">
        <is>
          <t>29.01.2020</t>
        </is>
      </c>
      <c r="E187" s="44" t="inlineStr">
        <is>
          <t>20.10.2021</t>
        </is>
      </c>
      <c r="F187" s="44" t="n">
        <v>630</v>
      </c>
      <c r="G187" s="44" t="inlineStr">
        <is>
          <t>6 ay</t>
        </is>
      </c>
      <c r="H187" s="15" t="n">
        <v>6.9</v>
      </c>
      <c r="I187" s="45" t="n">
        <v>3465000</v>
      </c>
      <c r="J187" s="45" t="n">
        <v>3798562.77</v>
      </c>
      <c r="K187" s="45" t="n">
        <v>1994000</v>
      </c>
      <c r="L187" s="45" t="n">
        <v>2189787.17</v>
      </c>
      <c r="M187" s="45" t="n">
        <v>409765.158</v>
      </c>
      <c r="N187" s="45" t="n">
        <v>449999.99886</v>
      </c>
      <c r="O187" s="45" t="n">
        <v>682941.929</v>
      </c>
      <c r="P187" s="45" t="n">
        <v>749999.997</v>
      </c>
      <c r="Q187" s="45" t="n">
        <v>146741.829</v>
      </c>
      <c r="R187" s="45" t="n">
        <v>161150.40919</v>
      </c>
      <c r="S187" s="45" t="n">
        <v>3233448.916</v>
      </c>
      <c r="T187" s="45" t="n">
        <v>3550937.57505</v>
      </c>
      <c r="U187" s="15" t="n">
        <v>4.93</v>
      </c>
      <c r="V187" s="15" t="n">
        <v>10.09</v>
      </c>
      <c r="W187" s="49" t="n">
        <v>109.819</v>
      </c>
    </row>
    <row r="188">
      <c r="A188" s="44" t="inlineStr">
        <is>
          <t>TL Cinsi Sabit Faizli Kuponlu Senetler</t>
        </is>
      </c>
      <c r="B188" s="44" t="n">
        <v>2020</v>
      </c>
      <c r="C188" s="44" t="inlineStr">
        <is>
          <t>TRT201021T25</t>
        </is>
      </c>
      <c r="D188" s="44" t="inlineStr">
        <is>
          <t>26.02.2020</t>
        </is>
      </c>
      <c r="E188" s="44" t="inlineStr">
        <is>
          <t>20.10.2021</t>
        </is>
      </c>
      <c r="F188" s="44" t="n">
        <v>602</v>
      </c>
      <c r="G188" s="44" t="inlineStr">
        <is>
          <t>6 ay</t>
        </is>
      </c>
      <c r="H188" s="15" t="n">
        <v>6.9</v>
      </c>
      <c r="I188" s="45" t="n">
        <v>3477500</v>
      </c>
      <c r="J188" s="45" t="n">
        <v>3750577.545</v>
      </c>
      <c r="K188" s="45" t="n">
        <v>1258000</v>
      </c>
      <c r="L188" s="45" t="n">
        <v>1359900.8</v>
      </c>
      <c r="M188" s="45" t="n">
        <v>1017576.318</v>
      </c>
      <c r="N188" s="45" t="n">
        <v>1099999.99976</v>
      </c>
      <c r="O188" s="45" t="n">
        <v>740055.501</v>
      </c>
      <c r="P188" s="45" t="n">
        <v>799999.99657</v>
      </c>
      <c r="Q188" s="45" t="n">
        <v>0</v>
      </c>
      <c r="R188" s="45" t="n">
        <v>0</v>
      </c>
      <c r="S188" s="45" t="n">
        <v>3015631.819</v>
      </c>
      <c r="T188" s="45" t="n">
        <v>3259900.79633</v>
      </c>
      <c r="U188" s="15" t="n">
        <v>5.75</v>
      </c>
      <c r="V188" s="15" t="n">
        <v>11.84</v>
      </c>
      <c r="W188" s="49" t="n">
        <v>108.1</v>
      </c>
    </row>
    <row r="189">
      <c r="A189" s="44" t="inlineStr">
        <is>
          <t>TL Cinsi Sabit Faizli Kuponlu Senetler</t>
        </is>
      </c>
      <c r="B189" s="44" t="n">
        <v>2020</v>
      </c>
      <c r="C189" s="44" t="inlineStr">
        <is>
          <t>TRT201021T25</t>
        </is>
      </c>
      <c r="D189" s="44" t="inlineStr">
        <is>
          <t>25.03.2020</t>
        </is>
      </c>
      <c r="E189" s="44" t="inlineStr">
        <is>
          <t>20.10.2021</t>
        </is>
      </c>
      <c r="F189" s="44" t="n">
        <v>574</v>
      </c>
      <c r="G189" s="44" t="inlineStr">
        <is>
          <t>6 ay</t>
        </is>
      </c>
      <c r="H189" s="15" t="n">
        <v>6.9</v>
      </c>
      <c r="I189" s="45" t="n">
        <v>2310000</v>
      </c>
      <c r="J189" s="45" t="n">
        <v>2541215.94</v>
      </c>
      <c r="K189" s="45" t="n">
        <v>1458000</v>
      </c>
      <c r="L189" s="45" t="n">
        <v>1607768.28</v>
      </c>
      <c r="M189" s="45" t="n">
        <v>1995066.744</v>
      </c>
      <c r="N189" s="45" t="n">
        <v>2199999.99994</v>
      </c>
      <c r="O189" s="45" t="n">
        <v>906848.519</v>
      </c>
      <c r="P189" s="45" t="n">
        <v>999999.99889</v>
      </c>
      <c r="Q189" s="45" t="n">
        <v>0</v>
      </c>
      <c r="R189" s="45" t="n">
        <v>0</v>
      </c>
      <c r="S189" s="45" t="n">
        <v>4359915.263</v>
      </c>
      <c r="T189" s="45" t="n">
        <v>4807768.27883</v>
      </c>
      <c r="U189" s="15" t="n">
        <v>5.33</v>
      </c>
      <c r="V189" s="15" t="n">
        <v>10.94</v>
      </c>
      <c r="W189" s="49" t="n">
        <v>110.272</v>
      </c>
    </row>
    <row r="190">
      <c r="A190" s="44" t="inlineStr">
        <is>
          <t>TL Cinsi Sabit Faizli Kuponlu Senetler</t>
        </is>
      </c>
      <c r="B190" s="44" t="n">
        <v>2020</v>
      </c>
      <c r="C190" s="44" t="inlineStr">
        <is>
          <t>TRT201021T25</t>
        </is>
      </c>
      <c r="D190" s="44" t="inlineStr">
        <is>
          <t>29.04.2020</t>
        </is>
      </c>
      <c r="E190" s="44" t="inlineStr">
        <is>
          <t>20.10.2021</t>
        </is>
      </c>
      <c r="F190" s="44" t="n">
        <v>539</v>
      </c>
      <c r="G190" s="44" t="inlineStr">
        <is>
          <t>6 ay</t>
        </is>
      </c>
      <c r="H190" s="15" t="n">
        <v>6.9</v>
      </c>
      <c r="I190" s="45" t="n">
        <v>3256000</v>
      </c>
      <c r="J190" s="45" t="n">
        <v>3485329.87</v>
      </c>
      <c r="K190" s="45" t="n">
        <v>1945000</v>
      </c>
      <c r="L190" s="45" t="n">
        <v>2083117.18</v>
      </c>
      <c r="M190" s="45" t="n">
        <v>280109.429</v>
      </c>
      <c r="N190" s="45" t="n">
        <v>299999.99955</v>
      </c>
      <c r="O190" s="45" t="n">
        <v>933698.096</v>
      </c>
      <c r="P190" s="45" t="n">
        <v>999999.99781</v>
      </c>
      <c r="Q190" s="45" t="n">
        <v>0</v>
      </c>
      <c r="R190" s="45" t="n">
        <v>0</v>
      </c>
      <c r="S190" s="45" t="n">
        <v>3158807.525</v>
      </c>
      <c r="T190" s="45" t="n">
        <v>3383117.17736</v>
      </c>
      <c r="U190" s="15" t="n">
        <v>4.39</v>
      </c>
      <c r="V190" s="15" t="n">
        <v>8.970000000000001</v>
      </c>
      <c r="W190" s="49" t="n">
        <v>107.101</v>
      </c>
    </row>
    <row r="191">
      <c r="A191" s="44" t="inlineStr">
        <is>
          <t>TL Cinsi Sabit Faizli Kuponlu Senetler</t>
        </is>
      </c>
      <c r="B191" s="44" t="n">
        <v>2020</v>
      </c>
      <c r="C191" s="44" t="inlineStr">
        <is>
          <t>TRT040522T13</t>
        </is>
      </c>
      <c r="D191" s="44" t="inlineStr">
        <is>
          <t>06.05.2020</t>
        </is>
      </c>
      <c r="E191" s="44" t="inlineStr">
        <is>
          <t>04.05.2022</t>
        </is>
      </c>
      <c r="F191" s="44" t="n">
        <v>728</v>
      </c>
      <c r="G191" s="44" t="inlineStr">
        <is>
          <t>6 ay</t>
        </is>
      </c>
      <c r="H191" s="15" t="n">
        <v>4.5</v>
      </c>
      <c r="I191" s="45" t="n">
        <v>7990000</v>
      </c>
      <c r="J191" s="45" t="n">
        <v>7914431.68</v>
      </c>
      <c r="K191" s="45" t="n">
        <v>3335000</v>
      </c>
      <c r="L191" s="45" t="n">
        <v>3309273.3</v>
      </c>
      <c r="M191" s="45" t="n">
        <v>0</v>
      </c>
      <c r="N191" s="45" t="n">
        <v>0</v>
      </c>
      <c r="O191" s="45" t="n">
        <v>4031079.62</v>
      </c>
      <c r="P191" s="45" t="n">
        <v>3999999.99613</v>
      </c>
      <c r="Q191" s="45" t="n">
        <v>0</v>
      </c>
      <c r="R191" s="45" t="n">
        <v>0</v>
      </c>
      <c r="S191" s="45" t="n">
        <v>7366079.62</v>
      </c>
      <c r="T191" s="45" t="n">
        <v>7309273.29613</v>
      </c>
      <c r="U191" s="15" t="n">
        <v>4.72</v>
      </c>
      <c r="V191" s="15" t="n">
        <v>9.65</v>
      </c>
      <c r="W191" s="49" t="n">
        <v>99.229</v>
      </c>
    </row>
    <row r="192">
      <c r="A192" s="44" t="inlineStr">
        <is>
          <t>TL Cinsi Sabit Faizli Kuponlu Senetler</t>
        </is>
      </c>
      <c r="B192" s="44" t="n">
        <v>2020</v>
      </c>
      <c r="C192" s="44" t="inlineStr">
        <is>
          <t>TRT220921T18</t>
        </is>
      </c>
      <c r="D192" s="44" t="inlineStr">
        <is>
          <t>13.05.2020</t>
        </is>
      </c>
      <c r="E192" s="44" t="inlineStr">
        <is>
          <t>22.09.2021</t>
        </is>
      </c>
      <c r="F192" s="44" t="n">
        <v>497</v>
      </c>
      <c r="G192" s="44" t="inlineStr">
        <is>
          <t>6 ay</t>
        </is>
      </c>
      <c r="H192" s="15" t="n">
        <v>4.6</v>
      </c>
      <c r="I192" s="45" t="n">
        <v>2175200</v>
      </c>
      <c r="J192" s="45" t="n">
        <v>2214196.19</v>
      </c>
      <c r="K192" s="45" t="n">
        <v>1045000</v>
      </c>
      <c r="L192" s="45" t="n">
        <v>1064185.45</v>
      </c>
      <c r="M192" s="45" t="n">
        <v>196394.202</v>
      </c>
      <c r="N192" s="45" t="n">
        <v>199999.99955</v>
      </c>
      <c r="O192" s="45" t="n">
        <v>1276562.314</v>
      </c>
      <c r="P192" s="45" t="n">
        <v>1299999.9981</v>
      </c>
      <c r="Q192" s="45" t="n">
        <v>0</v>
      </c>
      <c r="R192" s="45" t="n">
        <v>0</v>
      </c>
      <c r="S192" s="45" t="n">
        <v>2517956.516</v>
      </c>
      <c r="T192" s="45" t="n">
        <v>2564185.44765</v>
      </c>
      <c r="U192" s="15" t="n">
        <v>4.36</v>
      </c>
      <c r="V192" s="15" t="n">
        <v>8.9</v>
      </c>
      <c r="W192" s="49" t="n">
        <v>101.836</v>
      </c>
    </row>
    <row r="193">
      <c r="A193" s="44" t="inlineStr">
        <is>
          <t>TL Cinsi Sabit Faizli Kuponlu Senetler</t>
        </is>
      </c>
      <c r="B193" s="44" t="n">
        <v>2020</v>
      </c>
      <c r="C193" s="44" t="inlineStr">
        <is>
          <t>TRT040522T13</t>
        </is>
      </c>
      <c r="D193" s="44" t="inlineStr">
        <is>
          <t>10.06.2020</t>
        </is>
      </c>
      <c r="E193" s="44" t="inlineStr">
        <is>
          <t>04.05.2022</t>
        </is>
      </c>
      <c r="F193" s="44" t="n">
        <v>693</v>
      </c>
      <c r="G193" s="44" t="inlineStr">
        <is>
          <t>6 ay</t>
        </is>
      </c>
      <c r="H193" s="15" t="n">
        <v>4.5</v>
      </c>
      <c r="I193" s="45" t="n">
        <v>3676000</v>
      </c>
      <c r="J193" s="45" t="n">
        <v>3698729.55</v>
      </c>
      <c r="K193" s="45" t="n">
        <v>1511000</v>
      </c>
      <c r="L193" s="45" t="n">
        <v>1523414.5</v>
      </c>
      <c r="M193" s="45" t="n">
        <v>297554.105</v>
      </c>
      <c r="N193" s="45" t="n">
        <v>299999.99974</v>
      </c>
      <c r="O193" s="45" t="n">
        <v>1388585.821</v>
      </c>
      <c r="P193" s="45" t="n">
        <v>1399999.99646</v>
      </c>
      <c r="Q193" s="45" t="n">
        <v>0</v>
      </c>
      <c r="R193" s="45" t="n">
        <v>0</v>
      </c>
      <c r="S193" s="45" t="n">
        <v>3197139.926</v>
      </c>
      <c r="T193" s="45" t="n">
        <v>3223414.4962</v>
      </c>
      <c r="U193" s="15" t="n">
        <v>4.51</v>
      </c>
      <c r="V193" s="15" t="n">
        <v>9.220000000000001</v>
      </c>
      <c r="W193" s="49" t="n">
        <v>100.822</v>
      </c>
    </row>
    <row r="194">
      <c r="A194" s="44" t="inlineStr">
        <is>
          <t>TL Cinsi Sabit Faizli Kuponlu Senetler</t>
        </is>
      </c>
      <c r="B194" s="44" t="n">
        <v>2020</v>
      </c>
      <c r="C194" s="44" t="inlineStr">
        <is>
          <t>TRT180123T10</t>
        </is>
      </c>
      <c r="D194" s="44" t="inlineStr">
        <is>
          <t>24.06.2020</t>
        </is>
      </c>
      <c r="E194" s="44" t="inlineStr">
        <is>
          <t>18.01.2023</t>
        </is>
      </c>
      <c r="F194" s="44" t="n">
        <v>938</v>
      </c>
      <c r="G194" s="44" t="inlineStr">
        <is>
          <t>6 ay</t>
        </is>
      </c>
      <c r="H194" s="15" t="n">
        <v>6.1</v>
      </c>
      <c r="I194" s="45" t="n">
        <v>3405000</v>
      </c>
      <c r="J194" s="45" t="n">
        <v>3774406.25</v>
      </c>
      <c r="K194" s="45" t="n">
        <v>1385000</v>
      </c>
      <c r="L194" s="45" t="n">
        <v>1540607.95</v>
      </c>
      <c r="M194" s="45" t="n">
        <v>134849.642</v>
      </c>
      <c r="N194" s="45" t="n">
        <v>149999.99928</v>
      </c>
      <c r="O194" s="45" t="n">
        <v>1663145.588</v>
      </c>
      <c r="P194" s="45" t="n">
        <v>1849999.99481</v>
      </c>
      <c r="Q194" s="45" t="n">
        <v>0</v>
      </c>
      <c r="R194" s="45" t="n">
        <v>0</v>
      </c>
      <c r="S194" s="45" t="n">
        <v>3182995.23</v>
      </c>
      <c r="T194" s="45" t="n">
        <v>3540607.94409</v>
      </c>
      <c r="U194" s="15" t="n">
        <v>4.74</v>
      </c>
      <c r="V194" s="15" t="n">
        <v>9.699999999999999</v>
      </c>
      <c r="W194" s="49" t="n">
        <v>111.235</v>
      </c>
    </row>
    <row r="195">
      <c r="A195" s="44" t="inlineStr">
        <is>
          <t>TL Cinsi Sabit Faizli Kuponlu Senetler</t>
        </is>
      </c>
      <c r="B195" s="44" t="n">
        <v>2020</v>
      </c>
      <c r="C195" s="44" t="inlineStr">
        <is>
          <t>TRT040522T13</t>
        </is>
      </c>
      <c r="D195" s="44" t="inlineStr">
        <is>
          <t>08.07.2020</t>
        </is>
      </c>
      <c r="E195" s="44" t="inlineStr">
        <is>
          <t>04.05.2022</t>
        </is>
      </c>
      <c r="F195" s="44" t="n">
        <v>665</v>
      </c>
      <c r="G195" s="44" t="inlineStr">
        <is>
          <t>6 ay</t>
        </is>
      </c>
      <c r="H195" s="15" t="n">
        <v>4.5</v>
      </c>
      <c r="I195" s="45" t="n">
        <v>3914000</v>
      </c>
      <c r="J195" s="45" t="n">
        <v>3935028.24</v>
      </c>
      <c r="K195" s="45" t="n">
        <v>1694000</v>
      </c>
      <c r="L195" s="45" t="n">
        <v>1706180.74</v>
      </c>
      <c r="M195" s="45" t="n">
        <v>446787.597</v>
      </c>
      <c r="N195" s="45" t="n">
        <v>449999.99982</v>
      </c>
      <c r="O195" s="45" t="n">
        <v>1191433.59</v>
      </c>
      <c r="P195" s="45" t="n">
        <v>1199999.99752</v>
      </c>
      <c r="Q195" s="45" t="n">
        <v>0</v>
      </c>
      <c r="R195" s="45" t="n">
        <v>0</v>
      </c>
      <c r="S195" s="45" t="n">
        <v>3332221.187</v>
      </c>
      <c r="T195" s="45" t="n">
        <v>3356180.73734</v>
      </c>
      <c r="U195" s="15" t="n">
        <v>4.75</v>
      </c>
      <c r="V195" s="15" t="n">
        <v>9.720000000000001</v>
      </c>
      <c r="W195" s="49" t="n">
        <v>100.719</v>
      </c>
    </row>
    <row r="196">
      <c r="A196" s="44" t="inlineStr">
        <is>
          <t>TL Cinsi Sabit Faizli Kuponlu Senetler</t>
        </is>
      </c>
      <c r="B196" s="44" t="n">
        <v>2020</v>
      </c>
      <c r="C196" s="44" t="inlineStr">
        <is>
          <t>TRT180123T10</t>
        </is>
      </c>
      <c r="D196" s="44" t="inlineStr">
        <is>
          <t>22.07.2020</t>
        </is>
      </c>
      <c r="E196" s="44" t="inlineStr">
        <is>
          <t>18.01.2023</t>
        </is>
      </c>
      <c r="F196" s="44" t="n">
        <v>910</v>
      </c>
      <c r="G196" s="44" t="inlineStr">
        <is>
          <t>6 ay</t>
        </is>
      </c>
      <c r="H196" s="15" t="n">
        <v>6.1</v>
      </c>
      <c r="I196" s="45" t="n">
        <v>2593000</v>
      </c>
      <c r="J196" s="45" t="n">
        <v>2681974.75</v>
      </c>
      <c r="K196" s="45" t="n">
        <v>957000</v>
      </c>
      <c r="L196" s="45" t="n">
        <v>992199.87</v>
      </c>
      <c r="M196" s="45" t="n">
        <v>0</v>
      </c>
      <c r="N196" s="45" t="n">
        <v>0</v>
      </c>
      <c r="O196" s="45" t="n">
        <v>964524.773</v>
      </c>
      <c r="P196" s="45" t="n">
        <v>999999.99413</v>
      </c>
      <c r="Q196" s="45" t="n">
        <v>0</v>
      </c>
      <c r="R196" s="45" t="n">
        <v>0</v>
      </c>
      <c r="S196" s="45" t="n">
        <v>1921524.773</v>
      </c>
      <c r="T196" s="45" t="n">
        <v>1992199.86413</v>
      </c>
      <c r="U196" s="15" t="n">
        <v>5.24</v>
      </c>
      <c r="V196" s="15" t="n">
        <v>10.76</v>
      </c>
      <c r="W196" s="49" t="n">
        <v>103.678</v>
      </c>
    </row>
    <row r="197">
      <c r="A197" s="44" t="inlineStr">
        <is>
          <t>TL Cinsi Sabit Faizli Kuponlu Senetler</t>
        </is>
      </c>
      <c r="B197" s="44" t="n">
        <v>2020</v>
      </c>
      <c r="C197" s="44" t="inlineStr">
        <is>
          <t>TRT040522T13</t>
        </is>
      </c>
      <c r="D197" s="44" t="inlineStr">
        <is>
          <t>12.08.2020</t>
        </is>
      </c>
      <c r="E197" s="44" t="inlineStr">
        <is>
          <t>04.05.2022</t>
        </is>
      </c>
      <c r="F197" s="44" t="n">
        <v>630</v>
      </c>
      <c r="G197" s="44" t="inlineStr">
        <is>
          <t>6 ay</t>
        </is>
      </c>
      <c r="H197" s="15" t="n">
        <v>4.5</v>
      </c>
      <c r="I197" s="45" t="n">
        <v>2366000</v>
      </c>
      <c r="J197" s="45" t="n">
        <v>2256144.93</v>
      </c>
      <c r="K197" s="45" t="n">
        <v>787000</v>
      </c>
      <c r="L197" s="45" t="n">
        <v>751894.26</v>
      </c>
      <c r="M197" s="45" t="n">
        <v>1360700.865</v>
      </c>
      <c r="N197" s="45" t="n">
        <v>1299999.99941</v>
      </c>
      <c r="O197" s="45" t="n">
        <v>732685.078</v>
      </c>
      <c r="P197" s="45" t="n">
        <v>699999.9966599999</v>
      </c>
      <c r="Q197" s="45" t="n">
        <v>44831.433</v>
      </c>
      <c r="R197" s="45" t="n">
        <v>42831.50277</v>
      </c>
      <c r="S197" s="45" t="n">
        <v>2925217.376</v>
      </c>
      <c r="T197" s="45" t="n">
        <v>2794725.75884</v>
      </c>
      <c r="U197" s="15" t="n">
        <v>6.79</v>
      </c>
      <c r="V197" s="15" t="n">
        <v>14.03</v>
      </c>
      <c r="W197" s="49" t="n">
        <v>95.539</v>
      </c>
    </row>
    <row r="198">
      <c r="A198" s="44" t="inlineStr">
        <is>
          <t>TL Cinsi Sabit Faizli Kuponlu Senetler</t>
        </is>
      </c>
      <c r="B198" s="44" t="n">
        <v>2020</v>
      </c>
      <c r="C198" s="44" t="inlineStr">
        <is>
          <t>TRT240724T15</t>
        </is>
      </c>
      <c r="D198" s="44" t="inlineStr">
        <is>
          <t>26.08.2020</t>
        </is>
      </c>
      <c r="E198" s="44" t="inlineStr">
        <is>
          <t>24.07.2024</t>
        </is>
      </c>
      <c r="F198" s="44" t="n">
        <v>1428</v>
      </c>
      <c r="G198" s="44" t="inlineStr">
        <is>
          <t>6 ay</t>
        </is>
      </c>
      <c r="H198" s="15" t="n">
        <v>4.5</v>
      </c>
      <c r="I198" s="45" t="n">
        <v>2236000</v>
      </c>
      <c r="J198" s="45" t="n">
        <v>1941518.32</v>
      </c>
      <c r="K198" s="45" t="n">
        <v>899000</v>
      </c>
      <c r="L198" s="45" t="n">
        <v>782188.8199999999</v>
      </c>
      <c r="M198" s="45" t="n">
        <v>2574505.499</v>
      </c>
      <c r="N198" s="45" t="n">
        <v>2239999.99952</v>
      </c>
      <c r="O198" s="45" t="n">
        <v>747066.325</v>
      </c>
      <c r="P198" s="45" t="n">
        <v>649999.99739</v>
      </c>
      <c r="Q198" s="45" t="n">
        <v>0</v>
      </c>
      <c r="R198" s="45" t="n">
        <v>0</v>
      </c>
      <c r="S198" s="45" t="n">
        <v>4220571.824</v>
      </c>
      <c r="T198" s="45" t="n">
        <v>3672188.81691</v>
      </c>
      <c r="U198" s="15" t="n">
        <v>6.81</v>
      </c>
      <c r="V198" s="15" t="n">
        <v>14.07</v>
      </c>
      <c r="W198" s="49" t="n">
        <v>87.00700000000001</v>
      </c>
    </row>
    <row r="199">
      <c r="A199" s="44" t="inlineStr">
        <is>
          <t>TL Cinsi Sabit Faizli Kuponlu Senetler</t>
        </is>
      </c>
      <c r="B199" s="44" t="n">
        <v>2020</v>
      </c>
      <c r="C199" s="44" t="inlineStr">
        <is>
          <t>TRT040522T13</t>
        </is>
      </c>
      <c r="D199" s="44" t="inlineStr">
        <is>
          <t>16.09.2020</t>
        </is>
      </c>
      <c r="E199" s="44" t="inlineStr">
        <is>
          <t>04.05.2022</t>
        </is>
      </c>
      <c r="F199" s="44" t="n">
        <v>595</v>
      </c>
      <c r="G199" s="44" t="inlineStr">
        <is>
          <t>6 ay</t>
        </is>
      </c>
      <c r="H199" s="15" t="n">
        <v>4.5</v>
      </c>
      <c r="I199" s="45" t="n">
        <v>3494000</v>
      </c>
      <c r="J199" s="45" t="n">
        <v>3403167.42</v>
      </c>
      <c r="K199" s="45" t="n">
        <v>758000</v>
      </c>
      <c r="L199" s="45" t="n">
        <v>740616.27</v>
      </c>
      <c r="M199" s="45" t="n">
        <v>25586.703</v>
      </c>
      <c r="N199" s="45" t="n">
        <v>24999.9999</v>
      </c>
      <c r="O199" s="45" t="n">
        <v>614080.8689999999</v>
      </c>
      <c r="P199" s="45" t="n">
        <v>599999.99466</v>
      </c>
      <c r="Q199" s="45" t="n">
        <v>56010.152</v>
      </c>
      <c r="R199" s="45" t="n">
        <v>54725.83921</v>
      </c>
      <c r="S199" s="45" t="n">
        <v>1453677.724</v>
      </c>
      <c r="T199" s="45" t="n">
        <v>1420342.10377</v>
      </c>
      <c r="U199" s="15" t="n">
        <v>6.44</v>
      </c>
      <c r="V199" s="15" t="n">
        <v>13.29</v>
      </c>
      <c r="W199" s="49" t="n">
        <v>97.70699999999999</v>
      </c>
    </row>
    <row r="200">
      <c r="A200" s="44" t="inlineStr">
        <is>
          <t>TL Cinsi Sabit Faizli Kuponlu Senetler</t>
        </is>
      </c>
      <c r="B200" s="44" t="n">
        <v>2020</v>
      </c>
      <c r="C200" s="44" t="inlineStr">
        <is>
          <t>TRT110226T13</t>
        </is>
      </c>
      <c r="D200" s="44" t="inlineStr">
        <is>
          <t>23.09.2020</t>
        </is>
      </c>
      <c r="E200" s="44" t="inlineStr">
        <is>
          <t>11.02.2026</t>
        </is>
      </c>
      <c r="F200" s="44" t="n">
        <v>1967</v>
      </c>
      <c r="G200" s="44" t="inlineStr">
        <is>
          <t>6 ay</t>
        </is>
      </c>
      <c r="H200" s="15" t="n">
        <v>5.3</v>
      </c>
      <c r="I200" s="45" t="n">
        <v>3337000</v>
      </c>
      <c r="J200" s="45" t="n">
        <v>2993318</v>
      </c>
      <c r="K200" s="45" t="n">
        <v>834000</v>
      </c>
      <c r="L200" s="45" t="n">
        <v>755315</v>
      </c>
      <c r="M200" s="45" t="n">
        <v>1104179</v>
      </c>
      <c r="N200" s="45" t="n">
        <v>1000000</v>
      </c>
      <c r="O200" s="45" t="n">
        <v>828134</v>
      </c>
      <c r="P200" s="45" t="n">
        <v>750000</v>
      </c>
      <c r="Q200" s="45" t="inlineStr">
        <is>
          <t xml:space="preserve">               -     </t>
        </is>
      </c>
      <c r="R200" s="45" t="inlineStr">
        <is>
          <t xml:space="preserve">               -     </t>
        </is>
      </c>
      <c r="S200" s="45" t="n">
        <v>2766314</v>
      </c>
      <c r="T200" s="45" t="n">
        <v>2505315</v>
      </c>
      <c r="U200" s="15" t="n">
        <v>6.69</v>
      </c>
      <c r="V200" s="15" t="n">
        <v>13.82</v>
      </c>
      <c r="W200" s="49" t="n">
        <v>90.565</v>
      </c>
    </row>
    <row r="201">
      <c r="A201" s="44" t="inlineStr">
        <is>
          <t>TL Cinsi Sabit Faizli Kuponlu Senetler</t>
        </is>
      </c>
      <c r="B201" s="44" t="n">
        <v>2020</v>
      </c>
      <c r="C201" s="44" t="inlineStr">
        <is>
          <t>TRT011025T16</t>
        </is>
      </c>
      <c r="D201" s="44" t="inlineStr">
        <is>
          <t>07.10.2020</t>
        </is>
      </c>
      <c r="E201" s="44" t="inlineStr">
        <is>
          <t>01.10.2025</t>
        </is>
      </c>
      <c r="F201" s="44" t="n">
        <v>1820</v>
      </c>
      <c r="G201" s="44" t="inlineStr">
        <is>
          <t>6 ay</t>
        </is>
      </c>
      <c r="H201" s="15" t="n">
        <v>6.3</v>
      </c>
      <c r="I201" s="45" t="n">
        <v>2718000</v>
      </c>
      <c r="J201" s="45" t="n">
        <v>2709157.28</v>
      </c>
      <c r="K201" s="45" t="n">
        <v>1749000</v>
      </c>
      <c r="L201" s="45" t="n">
        <v>1749731.66</v>
      </c>
      <c r="M201" s="45" t="n">
        <v>499790.088</v>
      </c>
      <c r="N201" s="45" t="n">
        <v>499999.99984</v>
      </c>
      <c r="O201" s="45" t="n">
        <v>1499370.26</v>
      </c>
      <c r="P201" s="45" t="n">
        <v>1499999.99552</v>
      </c>
      <c r="Q201" s="45" t="n">
        <v>0</v>
      </c>
      <c r="R201" s="45" t="n">
        <v>0</v>
      </c>
      <c r="S201" s="45" t="n">
        <v>3748160.348</v>
      </c>
      <c r="T201" s="45" t="n">
        <v>3749731.65536</v>
      </c>
      <c r="U201" s="15" t="n">
        <v>6.29</v>
      </c>
      <c r="V201" s="15" t="n">
        <v>12.98</v>
      </c>
      <c r="W201" s="49" t="n">
        <v>100.042</v>
      </c>
    </row>
    <row r="202">
      <c r="A202" s="44" t="inlineStr">
        <is>
          <t>TL Cinsi Sabit Faizli Kuponlu Senetler</t>
        </is>
      </c>
      <c r="B202" s="44" t="n">
        <v>2020</v>
      </c>
      <c r="C202" s="44" t="inlineStr">
        <is>
          <t>TRT040522T13</t>
        </is>
      </c>
      <c r="D202" s="44" t="inlineStr">
        <is>
          <t>21.10.2020</t>
        </is>
      </c>
      <c r="E202" s="44" t="inlineStr">
        <is>
          <t>04.05.2022</t>
        </is>
      </c>
      <c r="F202" s="44" t="n">
        <v>560</v>
      </c>
      <c r="G202" s="44" t="inlineStr">
        <is>
          <t>6 ay</t>
        </is>
      </c>
      <c r="H202" s="15" t="n">
        <v>4.5</v>
      </c>
      <c r="I202" s="45" t="n">
        <v>2775000</v>
      </c>
      <c r="J202" s="45" t="n">
        <v>2717414.68</v>
      </c>
      <c r="K202" s="45" t="n">
        <v>1061000</v>
      </c>
      <c r="L202" s="45" t="n">
        <v>1041244.52</v>
      </c>
      <c r="M202" s="45" t="n">
        <v>0</v>
      </c>
      <c r="N202" s="45" t="n">
        <v>0</v>
      </c>
      <c r="O202" s="45" t="n">
        <v>1273716.599</v>
      </c>
      <c r="P202" s="45" t="n">
        <v>1249999.99591</v>
      </c>
      <c r="Q202" s="45" t="n">
        <v>0</v>
      </c>
      <c r="R202" s="45" t="n">
        <v>0</v>
      </c>
      <c r="S202" s="45" t="n">
        <v>2334716.599</v>
      </c>
      <c r="T202" s="45" t="n">
        <v>2291244.51591</v>
      </c>
      <c r="U202" s="15" t="n">
        <v>6.73</v>
      </c>
      <c r="V202" s="15" t="n">
        <v>13.9</v>
      </c>
      <c r="W202" s="49" t="n">
        <v>98.13800000000001</v>
      </c>
    </row>
    <row r="203">
      <c r="A203" s="44" t="inlineStr">
        <is>
          <t>TL Cinsi Sabit Faizli Kuponlu Senetler</t>
        </is>
      </c>
      <c r="B203" s="44" t="n">
        <v>2020</v>
      </c>
      <c r="C203" s="44" t="inlineStr">
        <is>
          <t>TRT091122T10</t>
        </is>
      </c>
      <c r="D203" s="44" t="inlineStr">
        <is>
          <t>11.11.2020</t>
        </is>
      </c>
      <c r="E203" s="44" t="inlineStr">
        <is>
          <t>09.11.2022</t>
        </is>
      </c>
      <c r="F203" s="44" t="n">
        <v>728</v>
      </c>
      <c r="G203" s="44" t="inlineStr">
        <is>
          <t>6 ay</t>
        </is>
      </c>
      <c r="H203" s="15" t="n">
        <v>6.95</v>
      </c>
      <c r="I203" s="45" t="n">
        <v>2055000</v>
      </c>
      <c r="J203" s="45" t="n">
        <v>2038550.59</v>
      </c>
      <c r="K203" s="45" t="n">
        <v>621000</v>
      </c>
      <c r="L203" s="45" t="n">
        <v>617881.3</v>
      </c>
      <c r="M203" s="45" t="n">
        <v>222115.017</v>
      </c>
      <c r="N203" s="45" t="n">
        <v>220999.99961</v>
      </c>
      <c r="O203" s="45" t="n">
        <v>1005045.323</v>
      </c>
      <c r="P203" s="45" t="n">
        <v>999999.99549</v>
      </c>
      <c r="Q203" s="45" t="n">
        <v>0</v>
      </c>
      <c r="R203" s="45" t="n">
        <v>0</v>
      </c>
      <c r="S203" s="45" t="n">
        <v>1848160.34</v>
      </c>
      <c r="T203" s="45" t="n">
        <v>1838881.2951</v>
      </c>
      <c r="U203" s="15" t="n">
        <v>7.1</v>
      </c>
      <c r="V203" s="15" t="n">
        <v>14.7</v>
      </c>
      <c r="W203" s="49" t="n">
        <v>99.498</v>
      </c>
    </row>
    <row r="204">
      <c r="A204" s="44" t="inlineStr">
        <is>
          <t>TL Cinsi Sabit Faizli Kuponlu Senetler</t>
        </is>
      </c>
      <c r="B204" s="44" t="n">
        <v>2020</v>
      </c>
      <c r="C204" s="44" t="inlineStr">
        <is>
          <t>TRT011025T16</t>
        </is>
      </c>
      <c r="D204" s="44" t="inlineStr">
        <is>
          <t>11.11.2020</t>
        </is>
      </c>
      <c r="E204" s="44" t="inlineStr">
        <is>
          <t>01.10.2025</t>
        </is>
      </c>
      <c r="F204" s="44" t="n">
        <v>1785</v>
      </c>
      <c r="G204" s="44" t="inlineStr">
        <is>
          <t>6 ay</t>
        </is>
      </c>
      <c r="H204" s="15" t="n">
        <v>6.3</v>
      </c>
      <c r="I204" s="45" t="n">
        <v>2067000</v>
      </c>
      <c r="J204" s="45" t="n">
        <v>2028926.2</v>
      </c>
      <c r="K204" s="45" t="n">
        <v>472000</v>
      </c>
      <c r="L204" s="45" t="n">
        <v>466440.1</v>
      </c>
      <c r="M204" s="45" t="n">
        <v>505960.211</v>
      </c>
      <c r="N204" s="45" t="n">
        <v>499999.99971</v>
      </c>
      <c r="O204" s="45" t="n">
        <v>505960.207</v>
      </c>
      <c r="P204" s="45" t="n">
        <v>499999.99576</v>
      </c>
      <c r="Q204" s="45" t="n">
        <v>132015.543</v>
      </c>
      <c r="R204" s="45" t="n">
        <v>130460.3999</v>
      </c>
      <c r="S204" s="45" t="n">
        <v>1615935.961</v>
      </c>
      <c r="T204" s="45" t="n">
        <v>1596900.49537</v>
      </c>
      <c r="U204" s="15" t="n">
        <v>6.63</v>
      </c>
      <c r="V204" s="15" t="n">
        <v>13.71</v>
      </c>
      <c r="W204" s="49" t="n">
        <v>98.822</v>
      </c>
    </row>
    <row r="205">
      <c r="A205" s="44" t="inlineStr">
        <is>
          <t>TL Cinsi Sabit Faizli Kuponlu Senetler</t>
        </is>
      </c>
      <c r="B205" s="44" t="n">
        <v>2020</v>
      </c>
      <c r="C205" s="44" t="inlineStr">
        <is>
          <t>TRT131130T14</t>
        </is>
      </c>
      <c r="D205" s="44" t="inlineStr">
        <is>
          <t>25.11.2020</t>
        </is>
      </c>
      <c r="E205" s="44" t="inlineStr">
        <is>
          <t>13.11.2030</t>
        </is>
      </c>
      <c r="F205" s="44" t="n">
        <v>3640</v>
      </c>
      <c r="G205" s="44" t="inlineStr">
        <is>
          <t>6 ay</t>
        </is>
      </c>
      <c r="H205" s="15" t="n">
        <v>5.85</v>
      </c>
      <c r="I205" s="45" t="n">
        <v>3485323</v>
      </c>
      <c r="J205" s="45" t="n">
        <v>3388247.84389</v>
      </c>
      <c r="K205" s="45" t="n">
        <v>1519632</v>
      </c>
      <c r="L205" s="45" t="n">
        <v>1496964.58767</v>
      </c>
      <c r="M205" s="45" t="n">
        <v>1101433.385</v>
      </c>
      <c r="N205" s="45" t="n">
        <v>1084999.99889</v>
      </c>
      <c r="O205" s="45" t="n">
        <v>1015145.973</v>
      </c>
      <c r="P205" s="45" t="n">
        <v>999999.99509</v>
      </c>
      <c r="Q205" s="45" t="n">
        <v>52235.595</v>
      </c>
      <c r="R205" s="45" t="n">
        <v>51456.23992</v>
      </c>
      <c r="S205" s="45" t="n">
        <v>3688446.953</v>
      </c>
      <c r="T205" s="45" t="n">
        <v>3633420.82157</v>
      </c>
      <c r="U205" s="15" t="n">
        <v>5.98</v>
      </c>
      <c r="V205" s="15" t="n">
        <v>12.32</v>
      </c>
      <c r="W205" s="49" t="n">
        <v>98.508</v>
      </c>
    </row>
    <row r="206">
      <c r="A206" s="44" t="inlineStr">
        <is>
          <t>TL Cinsi Sabit Faizli Kuponlu Senetler</t>
        </is>
      </c>
      <c r="B206" s="44" t="n">
        <v>2020</v>
      </c>
      <c r="C206" s="44" t="inlineStr">
        <is>
          <t>TRT091122T10</t>
        </is>
      </c>
      <c r="D206" s="44" t="inlineStr">
        <is>
          <t>09.12.2020</t>
        </is>
      </c>
      <c r="E206" s="44" t="inlineStr">
        <is>
          <t>09.11.2022</t>
        </is>
      </c>
      <c r="F206" s="44" t="n">
        <v>700</v>
      </c>
      <c r="G206" s="44" t="inlineStr">
        <is>
          <t>6 ay</t>
        </is>
      </c>
      <c r="H206" s="15" t="n">
        <v>6.95</v>
      </c>
      <c r="I206" s="45" t="n">
        <v>1314000</v>
      </c>
      <c r="J206" s="45" t="n">
        <v>1324012.85</v>
      </c>
      <c r="K206" s="45" t="n">
        <v>808000</v>
      </c>
      <c r="L206" s="45" t="n">
        <v>816167.67</v>
      </c>
      <c r="M206" s="45" t="n">
        <v>0</v>
      </c>
      <c r="N206" s="45" t="n">
        <v>0</v>
      </c>
      <c r="O206" s="45" t="n">
        <v>791992.948</v>
      </c>
      <c r="P206" s="45" t="n">
        <v>799999.9966900001</v>
      </c>
      <c r="Q206" s="45" t="n">
        <v>0</v>
      </c>
      <c r="R206" s="45" t="n">
        <v>0</v>
      </c>
      <c r="S206" s="45" t="n">
        <v>1599992.948</v>
      </c>
      <c r="T206" s="45" t="n">
        <v>1616167.66669</v>
      </c>
      <c r="U206" s="15" t="n">
        <v>6.96</v>
      </c>
      <c r="V206" s="15" t="n">
        <v>14.4</v>
      </c>
      <c r="W206" s="49" t="n">
        <v>101.011</v>
      </c>
    </row>
    <row r="207">
      <c r="A207" s="44" t="inlineStr">
        <is>
          <t>TL Cinsi Sabit Faizli Kuponlu Senetler</t>
        </is>
      </c>
      <c r="B207" s="44" t="n">
        <v>2020</v>
      </c>
      <c r="C207" s="44" t="inlineStr">
        <is>
          <t>TRT011025T16</t>
        </is>
      </c>
      <c r="D207" s="44" t="inlineStr">
        <is>
          <t>09.12.2020</t>
        </is>
      </c>
      <c r="E207" s="44" t="inlineStr">
        <is>
          <t>01.10.2025</t>
        </is>
      </c>
      <c r="F207" s="44" t="n">
        <v>1757</v>
      </c>
      <c r="G207" s="44" t="inlineStr">
        <is>
          <t>6 ay</t>
        </is>
      </c>
      <c r="H207" s="15" t="n">
        <v>6.3</v>
      </c>
      <c r="I207" s="45" t="n">
        <v>1415000</v>
      </c>
      <c r="J207" s="45" t="n">
        <v>1411960.1</v>
      </c>
      <c r="K207" s="45" t="n">
        <v>940000</v>
      </c>
      <c r="L207" s="45" t="n">
        <v>940123.75</v>
      </c>
      <c r="M207" s="45" t="n">
        <v>499935.008</v>
      </c>
      <c r="N207" s="45" t="n">
        <v>499999.99955</v>
      </c>
      <c r="O207" s="45" t="n">
        <v>699909.008</v>
      </c>
      <c r="P207" s="45" t="n">
        <v>699999.99619</v>
      </c>
      <c r="Q207" s="45" t="n">
        <v>0</v>
      </c>
      <c r="R207" s="45" t="n">
        <v>0</v>
      </c>
      <c r="S207" s="45" t="n">
        <v>2139844.016</v>
      </c>
      <c r="T207" s="45" t="n">
        <v>2140123.74574</v>
      </c>
      <c r="U207" s="15" t="n">
        <v>6.6</v>
      </c>
      <c r="V207" s="15" t="n">
        <v>13.64</v>
      </c>
      <c r="W207" s="49" t="n">
        <v>100.013</v>
      </c>
    </row>
    <row r="208">
      <c r="A208" s="44" t="inlineStr">
        <is>
          <t>TL Cinsi Sabit Faizli Kuponlu Senetler</t>
        </is>
      </c>
      <c r="B208" s="44" t="n">
        <v>2020</v>
      </c>
      <c r="C208" s="44" t="inlineStr">
        <is>
          <t>TRT131130T14</t>
        </is>
      </c>
      <c r="D208" s="44" t="inlineStr">
        <is>
          <t>09.12.2020</t>
        </is>
      </c>
      <c r="E208" s="44" t="inlineStr">
        <is>
          <t>13.11.2030</t>
        </is>
      </c>
      <c r="F208" s="44" t="n">
        <v>3626</v>
      </c>
      <c r="G208" s="44" t="inlineStr">
        <is>
          <t>6 ay</t>
        </is>
      </c>
      <c r="H208" s="15" t="n">
        <v>5.85</v>
      </c>
      <c r="I208" s="45" t="n">
        <v>2771000</v>
      </c>
      <c r="J208" s="45" t="n">
        <v>2579307.94</v>
      </c>
      <c r="K208" s="45" t="n">
        <v>1633000</v>
      </c>
      <c r="L208" s="45" t="n">
        <v>1542256.45</v>
      </c>
      <c r="M208" s="45" t="n">
        <v>1058839.723</v>
      </c>
      <c r="N208" s="45" t="n">
        <v>999999.99959</v>
      </c>
      <c r="O208" s="45" t="n">
        <v>794129.7879999999</v>
      </c>
      <c r="P208" s="45" t="n">
        <v>749999.99569</v>
      </c>
      <c r="Q208" s="45" t="n">
        <v>20079.836</v>
      </c>
      <c r="R208" s="45" t="n">
        <v>18963.99951</v>
      </c>
      <c r="S208" s="45" t="n">
        <v>3506049.347</v>
      </c>
      <c r="T208" s="45" t="n">
        <v>3311220.44479</v>
      </c>
      <c r="U208" s="15" t="n">
        <v>6.39</v>
      </c>
      <c r="V208" s="15" t="n">
        <v>13.19</v>
      </c>
      <c r="W208" s="49" t="n">
        <v>94.443</v>
      </c>
    </row>
    <row r="209">
      <c r="A209" s="44" t="inlineStr">
        <is>
          <t>TL Cinsi Sabit Faizli Kuponlu Senetler</t>
        </is>
      </c>
      <c r="B209" s="44" t="n">
        <v>2019</v>
      </c>
      <c r="C209" s="44" t="inlineStr">
        <is>
          <t>TRT120820T12</t>
        </is>
      </c>
      <c r="D209" s="44" t="inlineStr">
        <is>
          <t>23.01.2019</t>
        </is>
      </c>
      <c r="E209" s="44" t="inlineStr">
        <is>
          <t>12.08.2020</t>
        </is>
      </c>
      <c r="F209" s="44" t="n">
        <v>567</v>
      </c>
      <c r="G209" s="44" t="inlineStr">
        <is>
          <t>6 ay</t>
        </is>
      </c>
      <c r="H209" s="15" t="n">
        <v>11.5</v>
      </c>
      <c r="I209" s="45" t="n">
        <v>2022000</v>
      </c>
      <c r="J209" s="45" t="n">
        <v>2325473.55</v>
      </c>
      <c r="K209" s="45" t="n">
        <v>667000</v>
      </c>
      <c r="L209" s="45" t="n">
        <v>784437.9</v>
      </c>
      <c r="M209" s="45" t="n">
        <v>0</v>
      </c>
      <c r="N209" s="45" t="n">
        <v>0</v>
      </c>
      <c r="O209" s="45" t="n">
        <v>552688.187</v>
      </c>
      <c r="P209" s="45" t="n">
        <v>649999.99609</v>
      </c>
      <c r="Q209" s="45" t="n">
        <v>0</v>
      </c>
      <c r="R209" s="45" t="n">
        <v>0</v>
      </c>
      <c r="S209" s="45" t="n">
        <v>1219688.187</v>
      </c>
      <c r="T209" s="45" t="n">
        <v>1434437.89609</v>
      </c>
      <c r="U209" s="15" t="n">
        <v>8.66</v>
      </c>
      <c r="V209" s="15" t="n">
        <v>18.06</v>
      </c>
      <c r="W209" s="49" t="n">
        <v>117.607</v>
      </c>
    </row>
    <row r="210">
      <c r="A210" s="44" t="inlineStr">
        <is>
          <t>TL Cinsi Sabit Faizli Kuponlu Senetler</t>
        </is>
      </c>
      <c r="B210" s="44" t="n">
        <v>2019</v>
      </c>
      <c r="C210" s="44" t="inlineStr">
        <is>
          <t>TRT120820T12</t>
        </is>
      </c>
      <c r="D210" s="44" t="inlineStr">
        <is>
          <t>20.02.2019</t>
        </is>
      </c>
      <c r="E210" s="44" t="inlineStr">
        <is>
          <t>12.08.2020</t>
        </is>
      </c>
      <c r="F210" s="44" t="n">
        <v>539</v>
      </c>
      <c r="G210" s="44" t="inlineStr">
        <is>
          <t>6 ay</t>
        </is>
      </c>
      <c r="H210" s="15" t="n">
        <v>11.5</v>
      </c>
      <c r="I210" s="45" t="n">
        <v>2737500</v>
      </c>
      <c r="J210" s="45" t="n">
        <v>2910555.4</v>
      </c>
      <c r="K210" s="45" t="n">
        <v>1404500</v>
      </c>
      <c r="L210" s="45" t="n">
        <v>1506234.75</v>
      </c>
      <c r="M210" s="45" t="n">
        <v>3109760.077</v>
      </c>
      <c r="N210" s="45" t="n">
        <v>3334999.99938</v>
      </c>
      <c r="O210" s="45" t="n">
        <v>410283.184</v>
      </c>
      <c r="P210" s="45" t="n">
        <v>439999.99502</v>
      </c>
      <c r="Q210" s="45" t="n">
        <v>0</v>
      </c>
      <c r="R210" s="45" t="n">
        <v>0</v>
      </c>
      <c r="S210" s="45" t="n">
        <v>4924543.261</v>
      </c>
      <c r="T210" s="45" t="n">
        <v>5281234.7444</v>
      </c>
      <c r="U210" s="15" t="n">
        <v>8.789999999999999</v>
      </c>
      <c r="V210" s="15" t="n">
        <v>18.34</v>
      </c>
      <c r="W210" s="49" t="n">
        <v>107.243</v>
      </c>
    </row>
    <row r="211">
      <c r="A211" s="44" t="inlineStr">
        <is>
          <t>TL Cinsi Sabit Faizli Kuponlu Senetler</t>
        </is>
      </c>
      <c r="B211" s="44" t="n">
        <v>2019</v>
      </c>
      <c r="C211" s="44" t="inlineStr">
        <is>
          <t>TRT120820T12</t>
        </is>
      </c>
      <c r="D211" s="44" t="inlineStr">
        <is>
          <t>27.03.2019</t>
        </is>
      </c>
      <c r="E211" s="44" t="inlineStr">
        <is>
          <t>12.08.2020</t>
        </is>
      </c>
      <c r="F211" s="44" t="n">
        <v>504</v>
      </c>
      <c r="G211" s="44" t="inlineStr">
        <is>
          <t>6 ay</t>
        </is>
      </c>
      <c r="H211" s="15" t="n">
        <v>11.5</v>
      </c>
      <c r="I211" s="45" t="n">
        <v>1061000</v>
      </c>
      <c r="J211" s="45" t="n">
        <v>1140522.47</v>
      </c>
      <c r="K211" s="45" t="n">
        <v>811000</v>
      </c>
      <c r="L211" s="45" t="n">
        <v>874356.47</v>
      </c>
      <c r="M211" s="45" t="n">
        <v>1629688.716</v>
      </c>
      <c r="N211" s="45" t="n">
        <v>1756999.99849</v>
      </c>
      <c r="O211" s="45" t="n">
        <v>649278.37</v>
      </c>
      <c r="P211" s="45" t="n">
        <v>699999.99626</v>
      </c>
      <c r="Q211" s="45" t="n">
        <v>0</v>
      </c>
      <c r="R211" s="45" t="n">
        <v>0</v>
      </c>
      <c r="S211" s="45" t="n">
        <v>3089967.086</v>
      </c>
      <c r="T211" s="45" t="n">
        <v>3331356.46475</v>
      </c>
      <c r="U211" s="15" t="n">
        <v>9.27</v>
      </c>
      <c r="V211" s="15" t="n">
        <v>19.39</v>
      </c>
      <c r="W211" s="49" t="n">
        <v>107.812</v>
      </c>
    </row>
    <row r="212">
      <c r="A212" s="44" t="inlineStr">
        <is>
          <t>TL Cinsi Sabit Faizli Kuponlu Senetler</t>
        </is>
      </c>
      <c r="B212" s="44" t="n">
        <v>2019</v>
      </c>
      <c r="C212" s="44" t="inlineStr">
        <is>
          <t>TRT210421T14</t>
        </is>
      </c>
      <c r="D212" s="44" t="inlineStr">
        <is>
          <t>24.04.2019</t>
        </is>
      </c>
      <c r="E212" s="44" t="inlineStr">
        <is>
          <t>21.04.2021</t>
        </is>
      </c>
      <c r="F212" s="44" t="n">
        <v>728</v>
      </c>
      <c r="G212" s="44" t="inlineStr">
        <is>
          <t>6 ay</t>
        </is>
      </c>
      <c r="H212" s="15" t="n">
        <v>10.45</v>
      </c>
      <c r="I212" s="45" t="n">
        <v>2512000</v>
      </c>
      <c r="J212" s="45" t="n">
        <v>2464428.73</v>
      </c>
      <c r="K212" s="45" t="n">
        <v>1310000</v>
      </c>
      <c r="L212" s="45" t="n">
        <v>1306444.9</v>
      </c>
      <c r="M212" s="45" t="n">
        <v>952581.495</v>
      </c>
      <c r="N212" s="45" t="n">
        <v>949999.99915</v>
      </c>
      <c r="O212" s="45" t="n">
        <v>962608.665</v>
      </c>
      <c r="P212" s="45" t="n">
        <v>959999.99554</v>
      </c>
      <c r="Q212" s="45" t="n">
        <v>0</v>
      </c>
      <c r="R212" s="45" t="n">
        <v>0</v>
      </c>
      <c r="S212" s="45" t="n">
        <v>3225190.16</v>
      </c>
      <c r="T212" s="45" t="n">
        <v>3216444.89469</v>
      </c>
      <c r="U212" s="15" t="n">
        <v>10.54</v>
      </c>
      <c r="V212" s="15" t="n">
        <v>22.18</v>
      </c>
      <c r="W212" s="49" t="n">
        <v>99.729</v>
      </c>
    </row>
    <row r="213">
      <c r="A213" s="44" t="inlineStr">
        <is>
          <t>TL Cinsi Sabit Faizli Kuponlu Senetler</t>
        </is>
      </c>
      <c r="B213" s="44" t="n">
        <v>2019</v>
      </c>
      <c r="C213" s="44" t="inlineStr">
        <is>
          <t>TRT210421T14</t>
        </is>
      </c>
      <c r="D213" s="44" t="inlineStr">
        <is>
          <t>15.05.2019</t>
        </is>
      </c>
      <c r="E213" s="44" t="inlineStr">
        <is>
          <t>21.04.2021</t>
        </is>
      </c>
      <c r="F213" s="44" t="n">
        <v>707</v>
      </c>
      <c r="G213" s="44" t="inlineStr">
        <is>
          <t>6 ay</t>
        </is>
      </c>
      <c r="H213" s="15" t="n">
        <v>10.45</v>
      </c>
      <c r="I213" s="45" t="n">
        <v>2550023.04</v>
      </c>
      <c r="J213" s="45" t="n">
        <v>2455340.01658</v>
      </c>
      <c r="K213" s="45" t="n">
        <v>1730000</v>
      </c>
      <c r="L213" s="45" t="n">
        <v>1673185.5</v>
      </c>
      <c r="M213" s="45" t="n">
        <v>1296579.674</v>
      </c>
      <c r="N213" s="45" t="n">
        <v>1253999.9975</v>
      </c>
      <c r="O213" s="45" t="n">
        <v>1643988.581</v>
      </c>
      <c r="P213" s="45" t="n">
        <v>1589999.99599</v>
      </c>
      <c r="Q213" s="45" t="n">
        <v>0</v>
      </c>
      <c r="R213" s="45" t="n">
        <v>0</v>
      </c>
      <c r="S213" s="45" t="n">
        <v>4670568.255</v>
      </c>
      <c r="T213" s="45" t="n">
        <v>4517185.493489999</v>
      </c>
      <c r="U213" s="15" t="n">
        <v>11.94</v>
      </c>
      <c r="V213" s="15" t="n">
        <v>25.31</v>
      </c>
      <c r="W213" s="49" t="n">
        <v>96.71599999999999</v>
      </c>
    </row>
    <row r="214">
      <c r="A214" s="44" t="inlineStr">
        <is>
          <t>TL Cinsi Sabit Faizli Kuponlu Senetler</t>
        </is>
      </c>
      <c r="B214" s="44" t="n">
        <v>2019</v>
      </c>
      <c r="C214" s="44" t="inlineStr">
        <is>
          <t>TRT210421T14</t>
        </is>
      </c>
      <c r="D214" s="44" t="inlineStr">
        <is>
          <t>12.06.2019</t>
        </is>
      </c>
      <c r="E214" s="44" t="inlineStr">
        <is>
          <t>21.04.2021</t>
        </is>
      </c>
      <c r="F214" s="44" t="n">
        <v>679</v>
      </c>
      <c r="G214" s="44" t="inlineStr">
        <is>
          <t>6 ay</t>
        </is>
      </c>
      <c r="H214" s="15" t="n">
        <v>10.45</v>
      </c>
      <c r="I214" s="45" t="n">
        <v>2115023.2</v>
      </c>
      <c r="J214" s="45" t="n">
        <v>2146319.67051</v>
      </c>
      <c r="K214" s="45" t="n">
        <v>1511000</v>
      </c>
      <c r="L214" s="45" t="n">
        <v>1535110.83</v>
      </c>
      <c r="M214" s="45" t="n">
        <v>1072876.884</v>
      </c>
      <c r="N214" s="45" t="n">
        <v>1089999.99907</v>
      </c>
      <c r="O214" s="45" t="n">
        <v>885861.6459999999</v>
      </c>
      <c r="P214" s="45" t="n">
        <v>899999.99788</v>
      </c>
      <c r="Q214" s="45" t="n">
        <v>116050</v>
      </c>
      <c r="R214" s="45" t="n">
        <v>117902.158</v>
      </c>
      <c r="S214" s="45" t="n">
        <v>3585788.53</v>
      </c>
      <c r="T214" s="45" t="n">
        <v>3643012.98495</v>
      </c>
      <c r="U214" s="15" t="n">
        <v>10.83</v>
      </c>
      <c r="V214" s="15" t="n">
        <v>22.83</v>
      </c>
      <c r="W214" s="49" t="n">
        <v>101.596</v>
      </c>
    </row>
    <row r="215">
      <c r="A215" s="44" t="inlineStr">
        <is>
          <t>TL Cinsi Sabit Faizli Kuponlu Senetler</t>
        </is>
      </c>
      <c r="B215" s="44" t="n">
        <v>2019</v>
      </c>
      <c r="C215" s="44" t="inlineStr">
        <is>
          <t>TRT210421T14</t>
        </is>
      </c>
      <c r="D215" s="44" t="inlineStr">
        <is>
          <t>10.07.2019</t>
        </is>
      </c>
      <c r="E215" s="44" t="inlineStr">
        <is>
          <t>21.04.2021</t>
        </is>
      </c>
      <c r="F215" s="44" t="n">
        <v>651</v>
      </c>
      <c r="G215" s="44" t="inlineStr">
        <is>
          <t>6 ay</t>
        </is>
      </c>
      <c r="H215" s="15" t="n">
        <v>10.45</v>
      </c>
      <c r="I215" s="45" t="n">
        <v>3687000</v>
      </c>
      <c r="J215" s="45" t="n">
        <v>3967199.43</v>
      </c>
      <c r="K215" s="45" t="n">
        <v>2610000</v>
      </c>
      <c r="L215" s="45" t="n">
        <v>2814444.65</v>
      </c>
      <c r="M215" s="45" t="n">
        <v>1632153.421</v>
      </c>
      <c r="N215" s="45" t="n">
        <v>1759999.99846</v>
      </c>
      <c r="O215" s="45" t="n">
        <v>1391039.843</v>
      </c>
      <c r="P215" s="45" t="n">
        <v>1499999.99392</v>
      </c>
      <c r="Q215" s="45" t="n">
        <v>0</v>
      </c>
      <c r="R215" s="45" t="n">
        <v>0</v>
      </c>
      <c r="S215" s="45" t="n">
        <v>5633193.264</v>
      </c>
      <c r="T215" s="45" t="n">
        <v>6074444.642379999</v>
      </c>
      <c r="U215" s="15" t="n">
        <v>9.25</v>
      </c>
      <c r="V215" s="15" t="n">
        <v>19.35</v>
      </c>
      <c r="W215" s="49" t="n">
        <v>107.833</v>
      </c>
    </row>
    <row r="216">
      <c r="A216" s="44" t="inlineStr">
        <is>
          <t>TL Cinsi Sabit Faizli Kuponlu Senetler</t>
        </is>
      </c>
      <c r="B216" s="44" t="n">
        <v>2019</v>
      </c>
      <c r="C216" s="44" t="inlineStr">
        <is>
          <t>TRT210421T14</t>
        </is>
      </c>
      <c r="D216" s="44" t="inlineStr">
        <is>
          <t>18.09.2019</t>
        </is>
      </c>
      <c r="E216" s="44" t="inlineStr">
        <is>
          <t>21.04.2021</t>
        </is>
      </c>
      <c r="F216" s="44" t="n">
        <v>581</v>
      </c>
      <c r="G216" s="44" t="inlineStr">
        <is>
          <t>6 ay</t>
        </is>
      </c>
      <c r="H216" s="15" t="n">
        <v>10.45</v>
      </c>
      <c r="I216" s="45" t="n">
        <v>4782000</v>
      </c>
      <c r="J216" s="45" t="n">
        <v>5568164.77</v>
      </c>
      <c r="K216" s="45" t="n">
        <v>1041000</v>
      </c>
      <c r="L216" s="45" t="n">
        <v>1214384.52</v>
      </c>
      <c r="M216" s="45" t="n">
        <v>900082.291</v>
      </c>
      <c r="N216" s="45" t="n">
        <v>1049999.99739</v>
      </c>
      <c r="O216" s="45" t="n">
        <v>663489.225</v>
      </c>
      <c r="P216" s="45" t="n">
        <v>773999.99028</v>
      </c>
      <c r="Q216" s="45" t="n">
        <v>208863.517</v>
      </c>
      <c r="R216" s="45" t="n">
        <v>243651.82439</v>
      </c>
      <c r="S216" s="45" t="n">
        <v>2813435.033</v>
      </c>
      <c r="T216" s="45" t="n">
        <v>3282036.33206</v>
      </c>
      <c r="U216" s="15" t="n">
        <v>7.44</v>
      </c>
      <c r="V216" s="15" t="n">
        <v>15.44</v>
      </c>
      <c r="W216" s="49" t="n">
        <v>116.656</v>
      </c>
    </row>
    <row r="217">
      <c r="A217" s="44" t="inlineStr">
        <is>
          <t>TL Cinsi Sabit Faizli Kuponlu Senetler</t>
        </is>
      </c>
      <c r="B217" s="44" t="n">
        <v>2019</v>
      </c>
      <c r="C217" s="44" t="inlineStr">
        <is>
          <t>TRT201021T25</t>
        </is>
      </c>
      <c r="D217" s="44" t="inlineStr">
        <is>
          <t>23.10.2019</t>
        </is>
      </c>
      <c r="E217" s="44" t="inlineStr">
        <is>
          <t>20.10.2021</t>
        </is>
      </c>
      <c r="F217" s="44" t="n">
        <v>728</v>
      </c>
      <c r="G217" s="44" t="inlineStr">
        <is>
          <t>6 ay</t>
        </is>
      </c>
      <c r="H217" s="15" t="n">
        <v>6.9</v>
      </c>
      <c r="I217" s="45" t="n">
        <v>2483000</v>
      </c>
      <c r="J217" s="45" t="n">
        <v>2468005.65</v>
      </c>
      <c r="K217" s="45" t="n">
        <v>1458000</v>
      </c>
      <c r="L217" s="45" t="n">
        <v>1453435.15</v>
      </c>
      <c r="M217" s="45" t="n">
        <v>652040.887</v>
      </c>
      <c r="N217" s="45" t="n">
        <v>649999.9990299999</v>
      </c>
      <c r="O217" s="45" t="n">
        <v>1003139.822</v>
      </c>
      <c r="P217" s="45" t="n">
        <v>999999.99436</v>
      </c>
      <c r="Q217" s="45" t="n">
        <v>580525.763</v>
      </c>
      <c r="R217" s="45" t="n">
        <v>578708.71737</v>
      </c>
      <c r="S217" s="45" t="n">
        <v>3693706.472</v>
      </c>
      <c r="T217" s="45" t="n">
        <v>3682143.86076</v>
      </c>
      <c r="U217" s="15" t="n">
        <v>6.99</v>
      </c>
      <c r="V217" s="15" t="n">
        <v>14.47</v>
      </c>
      <c r="W217" s="49" t="n">
        <v>99.687</v>
      </c>
    </row>
    <row r="218">
      <c r="A218" s="44" t="inlineStr">
        <is>
          <t>TL Cinsi Sabit Faizli Kuponlu Senetler</t>
        </is>
      </c>
      <c r="B218" s="44" t="n">
        <v>2019</v>
      </c>
      <c r="C218" s="44" t="inlineStr">
        <is>
          <t>TRT240724T15</t>
        </is>
      </c>
      <c r="D218" s="44" t="inlineStr">
        <is>
          <t>06.11.2019</t>
        </is>
      </c>
      <c r="E218" s="44" t="inlineStr">
        <is>
          <t>24.07.2024</t>
        </is>
      </c>
      <c r="F218" s="44" t="n">
        <v>1722</v>
      </c>
      <c r="G218" s="44" t="inlineStr">
        <is>
          <t>6 ay</t>
        </is>
      </c>
      <c r="H218" s="15" t="n">
        <v>4.5</v>
      </c>
      <c r="I218" s="45" t="n">
        <v>3336500</v>
      </c>
      <c r="J218" s="45" t="n">
        <v>3021664.965</v>
      </c>
      <c r="K218" s="45" t="n">
        <v>1477500</v>
      </c>
      <c r="L218" s="45" t="n">
        <v>1345744.895</v>
      </c>
      <c r="M218" s="45" t="n">
        <v>0</v>
      </c>
      <c r="N218" s="45" t="n">
        <v>0</v>
      </c>
      <c r="O218" s="45" t="n">
        <v>1097899.714</v>
      </c>
      <c r="P218" s="45" t="n">
        <v>999999.99651</v>
      </c>
      <c r="Q218" s="45" t="n">
        <v>0</v>
      </c>
      <c r="R218" s="45" t="n">
        <v>0</v>
      </c>
      <c r="S218" s="45" t="n">
        <v>2575399.714</v>
      </c>
      <c r="T218" s="45" t="n">
        <v>2345744.89151</v>
      </c>
      <c r="U218" s="15" t="n">
        <v>6.11</v>
      </c>
      <c r="V218" s="15" t="n">
        <v>12.59</v>
      </c>
      <c r="W218" s="49" t="n">
        <v>91.083</v>
      </c>
    </row>
    <row r="219">
      <c r="A219" s="44" t="inlineStr">
        <is>
          <t>TL Cinsi Sabit Faizli Kuponlu Senetler</t>
        </is>
      </c>
      <c r="B219" s="44" t="n">
        <v>2019</v>
      </c>
      <c r="C219" s="44" t="inlineStr">
        <is>
          <t>TRT201021T25</t>
        </is>
      </c>
      <c r="D219" s="44" t="inlineStr">
        <is>
          <t>13.11.2019</t>
        </is>
      </c>
      <c r="E219" s="44" t="inlineStr">
        <is>
          <t>20.10.2021</t>
        </is>
      </c>
      <c r="F219" s="44" t="n">
        <v>707</v>
      </c>
      <c r="G219" s="44" t="inlineStr">
        <is>
          <t>6 ay</t>
        </is>
      </c>
      <c r="H219" s="15" t="n">
        <v>6.9</v>
      </c>
      <c r="I219" s="45" t="n">
        <v>3744150</v>
      </c>
      <c r="J219" s="45" t="n">
        <v>3883319.304</v>
      </c>
      <c r="K219" s="45" t="n">
        <v>1680000</v>
      </c>
      <c r="L219" s="45" t="n">
        <v>1746432.5</v>
      </c>
      <c r="M219" s="45" t="n">
        <v>1481424.475</v>
      </c>
      <c r="N219" s="45" t="n">
        <v>1539999.99874</v>
      </c>
      <c r="O219" s="45" t="n">
        <v>1846970.769</v>
      </c>
      <c r="P219" s="45" t="n">
        <v>1919999.99322</v>
      </c>
      <c r="Q219" s="45" t="n">
        <v>228074.917</v>
      </c>
      <c r="R219" s="45" t="n">
        <v>237092.99922</v>
      </c>
      <c r="S219" s="45" t="n">
        <v>5236470.161</v>
      </c>
      <c r="T219" s="45" t="n">
        <v>5443525.49118</v>
      </c>
      <c r="U219" s="15" t="n">
        <v>5.96</v>
      </c>
      <c r="V219" s="15" t="n">
        <v>12.27</v>
      </c>
      <c r="W219" s="49" t="n">
        <v>103.954</v>
      </c>
    </row>
    <row r="220">
      <c r="A220" s="44" t="inlineStr">
        <is>
          <t>TL Cinsi Sabit Faizli Kuponlu Senetler</t>
        </is>
      </c>
      <c r="B220" s="44" t="n">
        <v>2019</v>
      </c>
      <c r="C220" s="44" t="inlineStr">
        <is>
          <t>TRT110226T13</t>
        </is>
      </c>
      <c r="D220" s="44" t="inlineStr">
        <is>
          <t>13.11.2019</t>
        </is>
      </c>
      <c r="E220" s="44" t="inlineStr">
        <is>
          <t>11.02.2026</t>
        </is>
      </c>
      <c r="F220" s="44" t="n">
        <v>2282</v>
      </c>
      <c r="G220" s="44" t="inlineStr">
        <is>
          <t>6 ay</t>
        </is>
      </c>
      <c r="H220" s="15" t="n">
        <v>5.3</v>
      </c>
      <c r="I220" s="45" t="n">
        <v>2849000</v>
      </c>
      <c r="J220" s="45" t="n">
        <v>2711985.2</v>
      </c>
      <c r="K220" s="45" t="n">
        <v>855000</v>
      </c>
      <c r="L220" s="45" t="n">
        <v>817822.65</v>
      </c>
      <c r="M220" s="45" t="n">
        <v>26136.411</v>
      </c>
      <c r="N220" s="45" t="n">
        <v>24999.99985</v>
      </c>
      <c r="O220" s="45" t="n">
        <v>757955.92</v>
      </c>
      <c r="P220" s="45" t="n">
        <v>724999.9966</v>
      </c>
      <c r="Q220" s="45" t="n">
        <v>24036.444</v>
      </c>
      <c r="R220" s="45" t="n">
        <v>22991.33941</v>
      </c>
      <c r="S220" s="45" t="n">
        <v>1663128.775</v>
      </c>
      <c r="T220" s="45" t="n">
        <v>1590813.98586</v>
      </c>
      <c r="U220" s="15" t="n">
        <v>6.09</v>
      </c>
      <c r="V220" s="15" t="n">
        <v>12.54</v>
      </c>
      <c r="W220" s="49" t="n">
        <v>95.652</v>
      </c>
    </row>
    <row r="221">
      <c r="A221" s="44" t="inlineStr">
        <is>
          <t>TL Cinsi Sabit Faizli Kuponlu Senetler</t>
        </is>
      </c>
      <c r="B221" s="44" t="n">
        <v>2019</v>
      </c>
      <c r="C221" s="44" t="inlineStr">
        <is>
          <t>TRT201021T25</t>
        </is>
      </c>
      <c r="D221" s="44" t="inlineStr">
        <is>
          <t>18.12.2019</t>
        </is>
      </c>
      <c r="E221" s="44" t="inlineStr">
        <is>
          <t>20.10.2021</t>
        </is>
      </c>
      <c r="F221" s="44" t="n">
        <v>672</v>
      </c>
      <c r="G221" s="44" t="inlineStr">
        <is>
          <t>6 ay</t>
        </is>
      </c>
      <c r="H221" s="15" t="n">
        <v>6.9</v>
      </c>
      <c r="I221" s="45" t="n">
        <v>3672000</v>
      </c>
      <c r="J221" s="45" t="n">
        <v>3875929.239</v>
      </c>
      <c r="K221" s="45" t="n">
        <v>2286300</v>
      </c>
      <c r="L221" s="45" t="n">
        <v>2417306.339</v>
      </c>
      <c r="M221" s="45" t="n">
        <v>756644.282</v>
      </c>
      <c r="N221" s="45" t="n">
        <v>799999.99936</v>
      </c>
      <c r="O221" s="45" t="n">
        <v>1418708.025</v>
      </c>
      <c r="P221" s="45" t="n">
        <v>1499999.99482</v>
      </c>
      <c r="Q221" s="45" t="n">
        <v>0</v>
      </c>
      <c r="R221" s="45" t="n">
        <v>0</v>
      </c>
      <c r="S221" s="45" t="n">
        <v>4461652.307</v>
      </c>
      <c r="T221" s="45" t="n">
        <v>4717306.33318</v>
      </c>
      <c r="U221" s="15" t="n">
        <v>5.77</v>
      </c>
      <c r="V221" s="15" t="n">
        <v>11.88</v>
      </c>
      <c r="W221" s="49" t="n">
        <v>105.73</v>
      </c>
    </row>
    <row r="222">
      <c r="A222" s="44" t="inlineStr">
        <is>
          <t>TL Cinsi Sabit Faizli Kuponlu Senetler</t>
        </is>
      </c>
      <c r="B222" s="44" t="n">
        <v>2018</v>
      </c>
      <c r="C222" s="44" t="inlineStr">
        <is>
          <t>TRT131119T19</t>
        </is>
      </c>
      <c r="D222" s="44" t="inlineStr">
        <is>
          <t>10.01.2018</t>
        </is>
      </c>
      <c r="E222" s="44" t="inlineStr">
        <is>
          <t>13.11.2019</t>
        </is>
      </c>
      <c r="F222" s="44" t="n">
        <v>672</v>
      </c>
      <c r="G222" s="44" t="inlineStr">
        <is>
          <t>6 ay</t>
        </is>
      </c>
      <c r="H222" s="15" t="n">
        <v>6.5</v>
      </c>
      <c r="I222" s="45" t="n">
        <v>1943400</v>
      </c>
      <c r="J222" s="45" t="n">
        <v>1978165.91</v>
      </c>
      <c r="K222" s="45" t="n">
        <v>645400</v>
      </c>
      <c r="L222" s="45" t="n">
        <v>657823.45</v>
      </c>
      <c r="M222" s="45" t="n">
        <v>348295.315</v>
      </c>
      <c r="N222" s="45" t="n">
        <v>354999.99981</v>
      </c>
      <c r="O222" s="45" t="n">
        <v>845916.116</v>
      </c>
      <c r="P222" s="45" t="n">
        <v>862200.00122</v>
      </c>
      <c r="Q222" s="45" t="n">
        <v>0</v>
      </c>
      <c r="R222" s="45" t="n">
        <v>0</v>
      </c>
      <c r="S222" s="45" t="n">
        <v>1839611.431</v>
      </c>
      <c r="T222" s="45" t="n">
        <v>1875023.45103</v>
      </c>
      <c r="U222" s="15" t="n">
        <v>6.51</v>
      </c>
      <c r="V222" s="15" t="n">
        <v>13.44</v>
      </c>
      <c r="W222" s="49" t="n">
        <v>101.925</v>
      </c>
    </row>
    <row r="223">
      <c r="A223" s="44" t="inlineStr">
        <is>
          <t>TL Cinsi Sabit Faizli Kuponlu Senetler</t>
        </is>
      </c>
      <c r="B223" s="44" t="n">
        <v>2018</v>
      </c>
      <c r="C223" s="44" t="inlineStr">
        <is>
          <t>TRT180123T10</t>
        </is>
      </c>
      <c r="D223" s="44" t="inlineStr">
        <is>
          <t>24.01.2018</t>
        </is>
      </c>
      <c r="E223" s="44" t="inlineStr">
        <is>
          <t>18.01.2023</t>
        </is>
      </c>
      <c r="F223" s="44" t="n">
        <v>1820</v>
      </c>
      <c r="G223" s="44" t="inlineStr">
        <is>
          <t>6 ay</t>
        </is>
      </c>
      <c r="H223" s="15" t="n">
        <v>6.1</v>
      </c>
      <c r="I223" s="45" t="n">
        <v>1877001.01</v>
      </c>
      <c r="J223" s="45" t="n">
        <v>1868888.47398</v>
      </c>
      <c r="K223" s="45" t="n">
        <v>853500</v>
      </c>
      <c r="L223" s="45" t="n">
        <v>852246.295</v>
      </c>
      <c r="M223" s="45" t="n">
        <v>460677.194</v>
      </c>
      <c r="N223" s="45" t="n">
        <v>459999.99852</v>
      </c>
      <c r="O223" s="45" t="n">
        <v>966420.638</v>
      </c>
      <c r="P223" s="45" t="n">
        <v>964999.99968</v>
      </c>
      <c r="Q223" s="45" t="n">
        <v>123605.908</v>
      </c>
      <c r="R223" s="45" t="n">
        <v>123424.20732</v>
      </c>
      <c r="S223" s="45" t="n">
        <v>2404203.74</v>
      </c>
      <c r="T223" s="45" t="n">
        <v>2400670.50052</v>
      </c>
      <c r="U223" s="15" t="n">
        <v>6.12</v>
      </c>
      <c r="V223" s="15" t="n">
        <v>12.61</v>
      </c>
      <c r="W223" s="49" t="n">
        <v>99.85299999999999</v>
      </c>
    </row>
    <row r="224">
      <c r="A224" s="44" t="inlineStr">
        <is>
          <t>TL Cinsi Sabit Faizli Kuponlu Senetler</t>
        </is>
      </c>
      <c r="B224" s="44" t="n">
        <v>2018</v>
      </c>
      <c r="C224" s="44" t="inlineStr">
        <is>
          <t>TRT110827T16</t>
        </is>
      </c>
      <c r="D224" s="44" t="inlineStr">
        <is>
          <t>24.01.2018</t>
        </is>
      </c>
      <c r="E224" s="44" t="inlineStr">
        <is>
          <t>11.08.2027</t>
        </is>
      </c>
      <c r="F224" s="44" t="n">
        <v>3486</v>
      </c>
      <c r="G224" s="44" t="inlineStr">
        <is>
          <t>6 ay</t>
        </is>
      </c>
      <c r="H224" s="15" t="n">
        <v>5.25</v>
      </c>
      <c r="I224" s="45" t="n">
        <v>1692600</v>
      </c>
      <c r="J224" s="45" t="n">
        <v>1636564.761</v>
      </c>
      <c r="K224" s="45" t="n">
        <v>632000</v>
      </c>
      <c r="L224" s="45" t="n">
        <v>612252.62</v>
      </c>
      <c r="M224" s="45" t="n">
        <v>464516.128</v>
      </c>
      <c r="N224" s="45" t="n">
        <v>449999.999</v>
      </c>
      <c r="O224" s="45" t="n">
        <v>802270.968</v>
      </c>
      <c r="P224" s="45" t="n">
        <v>777200.00026</v>
      </c>
      <c r="Q224" s="45" t="n">
        <v>116075.932</v>
      </c>
      <c r="R224" s="45" t="n">
        <v>112448.55913</v>
      </c>
      <c r="S224" s="45" t="n">
        <v>2014863.028</v>
      </c>
      <c r="T224" s="45" t="n">
        <v>1951901.17839</v>
      </c>
      <c r="U224" s="15" t="n">
        <v>5.92</v>
      </c>
      <c r="V224" s="15" t="n">
        <v>12.19</v>
      </c>
      <c r="W224" s="49" t="n">
        <v>96.875</v>
      </c>
    </row>
    <row r="225">
      <c r="A225" s="44" t="inlineStr">
        <is>
          <t>TL Cinsi Sabit Faizli Kuponlu Senetler</t>
        </is>
      </c>
      <c r="B225" s="44" t="n">
        <v>2018</v>
      </c>
      <c r="C225" s="44" t="inlineStr">
        <is>
          <t>TRT180123T10</t>
        </is>
      </c>
      <c r="D225" s="44" t="inlineStr">
        <is>
          <t>14.02.2018</t>
        </is>
      </c>
      <c r="E225" s="44" t="inlineStr">
        <is>
          <t>18.01.2023</t>
        </is>
      </c>
      <c r="F225" s="44" t="n">
        <v>1799</v>
      </c>
      <c r="G225" s="44" t="inlineStr">
        <is>
          <t>6 ay</t>
        </is>
      </c>
      <c r="H225" s="15" t="n">
        <v>6.1</v>
      </c>
      <c r="I225" s="45" t="n">
        <v>3787000</v>
      </c>
      <c r="J225" s="45" t="n">
        <v>3822762.44</v>
      </c>
      <c r="K225" s="45" t="n">
        <v>2406000</v>
      </c>
      <c r="L225" s="45" t="n">
        <v>2430636.14</v>
      </c>
      <c r="M225" s="45" t="n">
        <v>574121</v>
      </c>
      <c r="N225" s="45" t="n">
        <v>579999.99904</v>
      </c>
      <c r="O225" s="45" t="n">
        <v>1934342.333</v>
      </c>
      <c r="P225" s="45" t="n">
        <v>1954149.99848</v>
      </c>
      <c r="Q225" s="45" t="n">
        <v>0</v>
      </c>
      <c r="R225" s="45" t="n">
        <v>0</v>
      </c>
      <c r="S225" s="45" t="n">
        <v>4914463.333000001</v>
      </c>
      <c r="T225" s="45" t="n">
        <v>4964786.13752</v>
      </c>
      <c r="U225" s="15" t="n">
        <v>6.05</v>
      </c>
      <c r="V225" s="15" t="n">
        <v>12.47</v>
      </c>
      <c r="W225" s="49" t="n">
        <v>101.024</v>
      </c>
    </row>
    <row r="226">
      <c r="A226" s="44" t="inlineStr">
        <is>
          <t>TL Cinsi Sabit Faizli Kuponlu Senetler</t>
        </is>
      </c>
      <c r="B226" s="44" t="n">
        <v>2018</v>
      </c>
      <c r="C226" s="44" t="inlineStr">
        <is>
          <t>TRT131119T19</t>
        </is>
      </c>
      <c r="D226" s="44" t="inlineStr">
        <is>
          <t>14.02.2018</t>
        </is>
      </c>
      <c r="E226" s="44" t="inlineStr">
        <is>
          <t>13.11.2019</t>
        </is>
      </c>
      <c r="F226" s="44" t="n">
        <v>637</v>
      </c>
      <c r="G226" s="44" t="inlineStr">
        <is>
          <t>6 ay</t>
        </is>
      </c>
      <c r="H226" s="15" t="n">
        <v>6.5</v>
      </c>
      <c r="I226" s="45" t="n">
        <v>1998393.505</v>
      </c>
      <c r="J226" s="45" t="n">
        <v>2060240.71578</v>
      </c>
      <c r="K226" s="45" t="n">
        <v>631000</v>
      </c>
      <c r="L226" s="45" t="n">
        <v>650996.04</v>
      </c>
      <c r="M226" s="45" t="n">
        <v>319863.524</v>
      </c>
      <c r="N226" s="45" t="n">
        <v>329999.99908</v>
      </c>
      <c r="O226" s="45" t="n">
        <v>1039192.975</v>
      </c>
      <c r="P226" s="45" t="n">
        <v>1072125.00038</v>
      </c>
      <c r="Q226" s="45" t="n">
        <v>66013.492</v>
      </c>
      <c r="R226" s="45" t="n">
        <v>68105.45956</v>
      </c>
      <c r="S226" s="45" t="n">
        <v>2056069.991</v>
      </c>
      <c r="T226" s="45" t="n">
        <v>2121226.49902</v>
      </c>
      <c r="U226" s="15" t="n">
        <v>6.51</v>
      </c>
      <c r="V226" s="15" t="n">
        <v>13.44</v>
      </c>
      <c r="W226" s="49" t="n">
        <v>103.169</v>
      </c>
    </row>
    <row r="227">
      <c r="A227" s="44" t="inlineStr">
        <is>
          <t>TL Cinsi Sabit Faizli Kuponlu Senetler</t>
        </is>
      </c>
      <c r="B227" s="44" t="n">
        <v>2018</v>
      </c>
      <c r="C227" s="44" t="inlineStr">
        <is>
          <t>TRT110827T16</t>
        </is>
      </c>
      <c r="D227" s="44" t="inlineStr">
        <is>
          <t>14.02.2018</t>
        </is>
      </c>
      <c r="E227" s="44" t="inlineStr">
        <is>
          <t>11.08.2027</t>
        </is>
      </c>
      <c r="F227" s="44" t="n">
        <v>3465</v>
      </c>
      <c r="G227" s="44" t="inlineStr">
        <is>
          <t>6 ay</t>
        </is>
      </c>
      <c r="H227" s="15" t="n">
        <v>5.25</v>
      </c>
      <c r="I227" s="45" t="n">
        <v>2004800</v>
      </c>
      <c r="J227" s="45" t="n">
        <v>1958868.215</v>
      </c>
      <c r="K227" s="45" t="n">
        <v>1330800</v>
      </c>
      <c r="L227" s="45" t="n">
        <v>1301482.11</v>
      </c>
      <c r="M227" s="45" t="n">
        <v>306757.876</v>
      </c>
      <c r="N227" s="45" t="n">
        <v>299999.99999</v>
      </c>
      <c r="O227" s="45" t="n">
        <v>2276641.923</v>
      </c>
      <c r="P227" s="45" t="n">
        <v>2226487.50144</v>
      </c>
      <c r="Q227" s="45" t="n">
        <v>293365.731</v>
      </c>
      <c r="R227" s="45" t="n">
        <v>286902.88396</v>
      </c>
      <c r="S227" s="45" t="n">
        <v>4207565.529999999</v>
      </c>
      <c r="T227" s="45" t="n">
        <v>4114872.49539</v>
      </c>
      <c r="U227" s="15" t="n">
        <v>5.89</v>
      </c>
      <c r="V227" s="15" t="n">
        <v>12.13</v>
      </c>
      <c r="W227" s="49" t="n">
        <v>97.797</v>
      </c>
    </row>
    <row r="228">
      <c r="A228" s="44" t="inlineStr">
        <is>
          <t>TL Cinsi Sabit Faizli Kuponlu Senetler</t>
        </is>
      </c>
      <c r="B228" s="44" t="n">
        <v>2018</v>
      </c>
      <c r="C228" s="44" t="inlineStr">
        <is>
          <t>TRT180123T10</t>
        </is>
      </c>
      <c r="D228" s="44" t="inlineStr">
        <is>
          <t>14.03.2018</t>
        </is>
      </c>
      <c r="E228" s="44" t="inlineStr">
        <is>
          <t>18.01.2023</t>
        </is>
      </c>
      <c r="F228" s="44" t="n">
        <v>1771</v>
      </c>
      <c r="G228" s="44" t="inlineStr">
        <is>
          <t>6 ay</t>
        </is>
      </c>
      <c r="H228" s="15" t="n">
        <v>6.1</v>
      </c>
      <c r="I228" s="45" t="n">
        <v>2538781</v>
      </c>
      <c r="J228" s="45" t="n">
        <v>2512745.70322</v>
      </c>
      <c r="K228" s="45" t="n">
        <v>955681</v>
      </c>
      <c r="L228" s="45" t="n">
        <v>948025.98922</v>
      </c>
      <c r="M228" s="45" t="n">
        <v>579642.939</v>
      </c>
      <c r="N228" s="45" t="n">
        <v>574999.9990599999</v>
      </c>
      <c r="O228" s="45" t="n">
        <v>1140787.71</v>
      </c>
      <c r="P228" s="45" t="n">
        <v>1131650.00045</v>
      </c>
      <c r="Q228" s="45" t="n">
        <v>179802.648</v>
      </c>
      <c r="R228" s="45" t="n">
        <v>178362.42879</v>
      </c>
      <c r="S228" s="45" t="n">
        <v>2855914.297</v>
      </c>
      <c r="T228" s="45" t="n">
        <v>2833038.41752</v>
      </c>
      <c r="U228" s="15" t="n">
        <v>6.44</v>
      </c>
      <c r="V228" s="15" t="n">
        <v>13.3</v>
      </c>
      <c r="W228" s="49" t="n">
        <v>99.199</v>
      </c>
    </row>
    <row r="229">
      <c r="A229" s="44" t="inlineStr">
        <is>
          <t>TL Cinsi Sabit Faizli Kuponlu Senetler</t>
        </is>
      </c>
      <c r="B229" s="44" t="n">
        <v>2018</v>
      </c>
      <c r="C229" s="44" t="inlineStr">
        <is>
          <t>TRT131119T19</t>
        </is>
      </c>
      <c r="D229" s="44" t="inlineStr">
        <is>
          <t>21.03.2018</t>
        </is>
      </c>
      <c r="E229" s="44" t="inlineStr">
        <is>
          <t>13.11.2019</t>
        </is>
      </c>
      <c r="F229" s="44" t="n">
        <v>602</v>
      </c>
      <c r="G229" s="44" t="inlineStr">
        <is>
          <t>6 ay</t>
        </is>
      </c>
      <c r="H229" s="15" t="n">
        <v>6.5</v>
      </c>
      <c r="I229" s="45" t="n">
        <v>1866204.85</v>
      </c>
      <c r="J229" s="45" t="n">
        <v>1933435.51196</v>
      </c>
      <c r="K229" s="45" t="n">
        <v>600000</v>
      </c>
      <c r="L229" s="45" t="n">
        <v>622193.3100000001</v>
      </c>
      <c r="M229" s="45" t="n">
        <v>144649.418</v>
      </c>
      <c r="N229" s="45" t="n">
        <v>149999.99997</v>
      </c>
      <c r="O229" s="45" t="n">
        <v>1015786.073</v>
      </c>
      <c r="P229" s="45" t="n">
        <v>1053359.99983</v>
      </c>
      <c r="Q229" s="45" t="n">
        <v>116015.852</v>
      </c>
      <c r="R229" s="45" t="n">
        <v>120307.27836</v>
      </c>
      <c r="S229" s="45" t="n">
        <v>1876451.343</v>
      </c>
      <c r="T229" s="45" t="n">
        <v>1945860.58816</v>
      </c>
      <c r="U229" s="15" t="n">
        <v>6.76</v>
      </c>
      <c r="V229" s="15" t="n">
        <v>13.98</v>
      </c>
      <c r="W229" s="49" t="n">
        <v>103.699</v>
      </c>
    </row>
    <row r="230">
      <c r="A230" s="44" t="inlineStr">
        <is>
          <t>TL Cinsi Sabit Faizli Kuponlu Senetler</t>
        </is>
      </c>
      <c r="B230" s="44" t="n">
        <v>2018</v>
      </c>
      <c r="C230" s="44" t="inlineStr">
        <is>
          <t>TRT080328T15</t>
        </is>
      </c>
      <c r="D230" s="44" t="inlineStr">
        <is>
          <t>21.03.2018</t>
        </is>
      </c>
      <c r="E230" s="44" t="inlineStr">
        <is>
          <t>08.03.2028</t>
        </is>
      </c>
      <c r="F230" s="44" t="n">
        <v>3640</v>
      </c>
      <c r="G230" s="44" t="inlineStr">
        <is>
          <t>6 ay</t>
        </is>
      </c>
      <c r="H230" s="15" t="n">
        <v>6.2</v>
      </c>
      <c r="I230" s="45" t="n">
        <v>3326505.11</v>
      </c>
      <c r="J230" s="45" t="n">
        <v>3303339.44651</v>
      </c>
      <c r="K230" s="45" t="n">
        <v>625000</v>
      </c>
      <c r="L230" s="45" t="n">
        <v>623343.25</v>
      </c>
      <c r="M230" s="45" t="n">
        <v>526394.946</v>
      </c>
      <c r="N230" s="45" t="n">
        <v>524999.9994</v>
      </c>
      <c r="O230" s="45" t="n">
        <v>788690.028</v>
      </c>
      <c r="P230" s="45" t="n">
        <v>786599.99942</v>
      </c>
      <c r="Q230" s="45" t="n">
        <v>109225.146</v>
      </c>
      <c r="R230" s="45" t="n">
        <v>108935.69936</v>
      </c>
      <c r="S230" s="45" t="n">
        <v>2049310.12</v>
      </c>
      <c r="T230" s="45" t="n">
        <v>2043878.94818</v>
      </c>
      <c r="U230" s="15" t="n">
        <v>6.22</v>
      </c>
      <c r="V230" s="15" t="n">
        <v>12.83</v>
      </c>
      <c r="W230" s="49" t="n">
        <v>99.735</v>
      </c>
    </row>
    <row r="231">
      <c r="A231" s="44" t="inlineStr">
        <is>
          <t>TL Cinsi Sabit Faizli Kuponlu Senetler</t>
        </is>
      </c>
      <c r="B231" s="44" t="n">
        <v>2018</v>
      </c>
      <c r="C231" s="44" t="inlineStr">
        <is>
          <t>TRT080328T15</t>
        </is>
      </c>
      <c r="D231" s="44" t="inlineStr">
        <is>
          <t>11.04.2018</t>
        </is>
      </c>
      <c r="E231" s="44" t="inlineStr">
        <is>
          <t>08.03.2028</t>
        </is>
      </c>
      <c r="F231" s="44" t="n">
        <v>3619</v>
      </c>
      <c r="G231" s="44" t="inlineStr">
        <is>
          <t>6 ay</t>
        </is>
      </c>
      <c r="H231" s="15" t="n">
        <v>6.2</v>
      </c>
      <c r="I231" s="45" t="n">
        <v>1657600</v>
      </c>
      <c r="J231" s="45" t="n">
        <v>1628844.063</v>
      </c>
      <c r="K231" s="45" t="n">
        <v>975500</v>
      </c>
      <c r="L231" s="45" t="n">
        <v>960754.39</v>
      </c>
      <c r="M231" s="45" t="n">
        <v>0</v>
      </c>
      <c r="N231" s="45" t="n">
        <v>0</v>
      </c>
      <c r="O231" s="45" t="n">
        <v>1023474.939</v>
      </c>
      <c r="P231" s="45" t="n">
        <v>1007999.99793</v>
      </c>
      <c r="Q231" s="45" t="n">
        <v>0</v>
      </c>
      <c r="R231" s="45" t="n">
        <v>0</v>
      </c>
      <c r="S231" s="45" t="n">
        <v>1998974.939</v>
      </c>
      <c r="T231" s="45" t="n">
        <v>1968754.38793</v>
      </c>
      <c r="U231" s="15" t="n">
        <v>6.4</v>
      </c>
      <c r="V231" s="15" t="n">
        <v>13.21</v>
      </c>
      <c r="W231" s="49" t="n">
        <v>98.488</v>
      </c>
    </row>
    <row r="232">
      <c r="A232" s="44" t="inlineStr">
        <is>
          <t>TL Cinsi Sabit Faizli Kuponlu Senetler</t>
        </is>
      </c>
      <c r="B232" s="44" t="n">
        <v>2018</v>
      </c>
      <c r="C232" s="44" t="inlineStr">
        <is>
          <t>TRT180123T10</t>
        </is>
      </c>
      <c r="D232" s="44" t="inlineStr">
        <is>
          <t>18.04.2018</t>
        </is>
      </c>
      <c r="E232" s="44" t="inlineStr">
        <is>
          <t>18.01.2023</t>
        </is>
      </c>
      <c r="F232" s="44" t="n">
        <v>1736</v>
      </c>
      <c r="G232" s="44" t="inlineStr">
        <is>
          <t>6 ay</t>
        </is>
      </c>
      <c r="H232" s="15" t="n">
        <v>6.1</v>
      </c>
      <c r="I232" s="45" t="n">
        <v>3074002</v>
      </c>
      <c r="J232" s="45" t="n">
        <v>3046464.9997</v>
      </c>
      <c r="K232" s="45" t="n">
        <v>727000</v>
      </c>
      <c r="L232" s="45" t="n">
        <v>722773.26</v>
      </c>
      <c r="M232" s="45" t="n">
        <v>533097.294</v>
      </c>
      <c r="N232" s="45" t="n">
        <v>529999.99872</v>
      </c>
      <c r="O232" s="45" t="n">
        <v>1157826.975</v>
      </c>
      <c r="P232" s="45" t="n">
        <v>1151100.00027</v>
      </c>
      <c r="Q232" s="45" t="n">
        <v>156410.786</v>
      </c>
      <c r="R232" s="45" t="n">
        <v>155502.03934</v>
      </c>
      <c r="S232" s="45" t="n">
        <v>2574335.055</v>
      </c>
      <c r="T232" s="45" t="n">
        <v>2559375.29833</v>
      </c>
      <c r="U232" s="15" t="n">
        <v>6.58</v>
      </c>
      <c r="V232" s="15" t="n">
        <v>13.6</v>
      </c>
      <c r="W232" s="49" t="n">
        <v>99.419</v>
      </c>
    </row>
    <row r="233">
      <c r="A233" s="44" t="inlineStr">
        <is>
          <t>TL Cinsi Sabit Faizli Kuponlu Senetler</t>
        </is>
      </c>
      <c r="B233" s="44" t="n">
        <v>2018</v>
      </c>
      <c r="C233" s="44" t="inlineStr">
        <is>
          <t>TRT131119T19</t>
        </is>
      </c>
      <c r="D233" s="44" t="inlineStr">
        <is>
          <t>16.05.2018</t>
        </is>
      </c>
      <c r="E233" s="44" t="inlineStr">
        <is>
          <t>13.11.2019</t>
        </is>
      </c>
      <c r="F233" s="44" t="n">
        <v>546</v>
      </c>
      <c r="G233" s="44" t="inlineStr">
        <is>
          <t>6 ay</t>
        </is>
      </c>
      <c r="H233" s="15" t="n">
        <v>6.5</v>
      </c>
      <c r="I233" s="45" t="n">
        <v>721317.415</v>
      </c>
      <c r="J233" s="45" t="n">
        <v>692625.10615</v>
      </c>
      <c r="K233" s="45" t="n">
        <v>471317.415</v>
      </c>
      <c r="L233" s="45" t="n">
        <v>453250.10615</v>
      </c>
      <c r="M233" s="45" t="n">
        <v>0</v>
      </c>
      <c r="N233" s="45" t="n">
        <v>0</v>
      </c>
      <c r="O233" s="45" t="n">
        <v>1108228.394</v>
      </c>
      <c r="P233" s="45" t="n">
        <v>1065749.99965</v>
      </c>
      <c r="Q233" s="45" t="n">
        <v>0</v>
      </c>
      <c r="R233" s="45" t="n">
        <v>0</v>
      </c>
      <c r="S233" s="45" t="n">
        <v>1579545.809</v>
      </c>
      <c r="T233" s="45" t="n">
        <v>1519000.1058</v>
      </c>
      <c r="U233" s="15" t="n">
        <v>7.99</v>
      </c>
      <c r="V233" s="15" t="n">
        <v>16.61</v>
      </c>
      <c r="W233" s="49" t="n">
        <v>96.167</v>
      </c>
    </row>
    <row r="234">
      <c r="A234" s="44" t="inlineStr">
        <is>
          <t>TL Cinsi Sabit Faizli Kuponlu Senetler</t>
        </is>
      </c>
      <c r="B234" s="44" t="n">
        <v>2018</v>
      </c>
      <c r="C234" s="44" t="inlineStr">
        <is>
          <t>TRT180123T10</t>
        </is>
      </c>
      <c r="D234" s="44" t="inlineStr">
        <is>
          <t>16.05.2018</t>
        </is>
      </c>
      <c r="E234" s="44" t="inlineStr">
        <is>
          <t>18.01.2023</t>
        </is>
      </c>
      <c r="F234" s="44" t="n">
        <v>1708</v>
      </c>
      <c r="G234" s="44" t="inlineStr">
        <is>
          <t>6 ay</t>
        </is>
      </c>
      <c r="H234" s="15" t="n">
        <v>6.1</v>
      </c>
      <c r="I234" s="45" t="n">
        <v>921200</v>
      </c>
      <c r="J234" s="45" t="n">
        <v>857971.498</v>
      </c>
      <c r="K234" s="45" t="n">
        <v>588200</v>
      </c>
      <c r="L234" s="45" t="n">
        <v>549194.4179999999</v>
      </c>
      <c r="M234" s="45" t="n">
        <v>117812.121</v>
      </c>
      <c r="N234" s="45" t="n">
        <v>109999.99926</v>
      </c>
      <c r="O234" s="45" t="n">
        <v>1069145.005</v>
      </c>
      <c r="P234" s="45" t="n">
        <v>998249.9997</v>
      </c>
      <c r="Q234" s="45" t="n">
        <v>0</v>
      </c>
      <c r="R234" s="45" t="n">
        <v>0</v>
      </c>
      <c r="S234" s="45" t="n">
        <v>1775157.126</v>
      </c>
      <c r="T234" s="45" t="n">
        <v>1657444.41696</v>
      </c>
      <c r="U234" s="15" t="n">
        <v>7.69</v>
      </c>
      <c r="V234" s="15" t="n">
        <v>15.96</v>
      </c>
      <c r="W234" s="49" t="n">
        <v>93.369</v>
      </c>
    </row>
    <row r="235">
      <c r="A235" s="44" t="inlineStr">
        <is>
          <t>TL Cinsi Sabit Faizli Kuponlu Senetler</t>
        </is>
      </c>
      <c r="B235" s="44" t="n">
        <v>2018</v>
      </c>
      <c r="C235" s="44" t="inlineStr">
        <is>
          <t>TRT140623T19</t>
        </is>
      </c>
      <c r="D235" s="44" t="inlineStr">
        <is>
          <t>20.06.2018</t>
        </is>
      </c>
      <c r="E235" s="44" t="inlineStr">
        <is>
          <t>14.06.2023</t>
        </is>
      </c>
      <c r="F235" s="44" t="n">
        <v>1820</v>
      </c>
      <c r="G235" s="44" t="inlineStr">
        <is>
          <t>6 ay</t>
        </is>
      </c>
      <c r="H235" s="15" t="n">
        <v>8.1</v>
      </c>
      <c r="I235" s="45" t="n">
        <v>1610031.835</v>
      </c>
      <c r="J235" s="45" t="n">
        <v>1579787.41621</v>
      </c>
      <c r="K235" s="45" t="n">
        <v>844000</v>
      </c>
      <c r="L235" s="45" t="n">
        <v>833954.745</v>
      </c>
      <c r="M235" s="45" t="n">
        <v>516142.09</v>
      </c>
      <c r="N235" s="45" t="n">
        <v>509999.99913</v>
      </c>
      <c r="O235" s="45" t="n">
        <v>1970448.334</v>
      </c>
      <c r="P235" s="45" t="n">
        <v>1946999.99883</v>
      </c>
      <c r="Q235" s="45" t="n">
        <v>0</v>
      </c>
      <c r="R235" s="45" t="n">
        <v>0</v>
      </c>
      <c r="S235" s="45" t="n">
        <v>3330590.424</v>
      </c>
      <c r="T235" s="45" t="n">
        <v>3290954.74296</v>
      </c>
      <c r="U235" s="15" t="n">
        <v>8.279999999999999</v>
      </c>
      <c r="V235" s="15" t="n">
        <v>17.24</v>
      </c>
      <c r="W235" s="49" t="n">
        <v>98.81</v>
      </c>
    </row>
    <row r="236">
      <c r="A236" s="44" t="inlineStr">
        <is>
          <t>TL Cinsi Sabit Faizli Kuponlu Senetler</t>
        </is>
      </c>
      <c r="B236" s="44" t="n">
        <v>2018</v>
      </c>
      <c r="C236" s="44" t="inlineStr">
        <is>
          <t>TRT131119T19</t>
        </is>
      </c>
      <c r="D236" s="44" t="inlineStr">
        <is>
          <t>20.06.2018</t>
        </is>
      </c>
      <c r="E236" s="44" t="inlineStr">
        <is>
          <t>13.11.2019</t>
        </is>
      </c>
      <c r="F236" s="44" t="n">
        <v>511</v>
      </c>
      <c r="G236" s="44" t="inlineStr">
        <is>
          <t>6 ay</t>
        </is>
      </c>
      <c r="H236" s="15" t="n">
        <v>6.5</v>
      </c>
      <c r="I236" s="45" t="n">
        <v>1871232.05</v>
      </c>
      <c r="J236" s="45" t="n">
        <v>1767811.43558</v>
      </c>
      <c r="K236" s="45" t="n">
        <v>675000</v>
      </c>
      <c r="L236" s="45" t="n">
        <v>639061.1</v>
      </c>
      <c r="M236" s="45" t="n">
        <v>538679.284</v>
      </c>
      <c r="N236" s="45" t="n">
        <v>509999.99892</v>
      </c>
      <c r="O236" s="45" t="n">
        <v>2163378.259</v>
      </c>
      <c r="P236" s="45" t="n">
        <v>2048200.0005</v>
      </c>
      <c r="Q236" s="45" t="n">
        <v>0</v>
      </c>
      <c r="R236" s="45" t="n">
        <v>0</v>
      </c>
      <c r="S236" s="45" t="n">
        <v>3377057.543</v>
      </c>
      <c r="T236" s="45" t="n">
        <v>3197261.09942</v>
      </c>
      <c r="U236" s="15" t="n">
        <v>9.25</v>
      </c>
      <c r="V236" s="15" t="n">
        <v>19.35</v>
      </c>
      <c r="W236" s="49" t="n">
        <v>94.676</v>
      </c>
    </row>
    <row r="237">
      <c r="A237" s="44" t="inlineStr">
        <is>
          <t>TL Cinsi Sabit Faizli Kuponlu Senetler</t>
        </is>
      </c>
      <c r="B237" s="44" t="n">
        <v>2018</v>
      </c>
      <c r="C237" s="44" t="inlineStr">
        <is>
          <t>TRT080328T15</t>
        </is>
      </c>
      <c r="D237" s="44" t="inlineStr">
        <is>
          <t>20.06.2018</t>
        </is>
      </c>
      <c r="E237" s="44" t="inlineStr">
        <is>
          <t>08.03.2028</t>
        </is>
      </c>
      <c r="F237" s="44" t="n">
        <v>3549</v>
      </c>
      <c r="G237" s="44" t="inlineStr">
        <is>
          <t>6 ay</t>
        </is>
      </c>
      <c r="H237" s="15" t="n">
        <v>6.2</v>
      </c>
      <c r="I237" s="45" t="n">
        <v>1712000</v>
      </c>
      <c r="J237" s="45" t="n">
        <v>1436431.69</v>
      </c>
      <c r="K237" s="45" t="n">
        <v>829000</v>
      </c>
      <c r="L237" s="45" t="n">
        <v>699557.74</v>
      </c>
      <c r="M237" s="45" t="n">
        <v>604365.652</v>
      </c>
      <c r="N237" s="45" t="n">
        <v>509999.99909</v>
      </c>
      <c r="O237" s="45" t="n">
        <v>1542198.943</v>
      </c>
      <c r="P237" s="45" t="n">
        <v>1301400.00006</v>
      </c>
      <c r="Q237" s="45" t="n">
        <v>70000</v>
      </c>
      <c r="R237" s="45" t="n">
        <v>59070.2</v>
      </c>
      <c r="S237" s="45" t="n">
        <v>3045564.595</v>
      </c>
      <c r="T237" s="45" t="n">
        <v>2570027.93915</v>
      </c>
      <c r="U237" s="15" t="n">
        <v>8.140000000000001</v>
      </c>
      <c r="V237" s="15" t="n">
        <v>16.94</v>
      </c>
      <c r="W237" s="49" t="n">
        <v>84.386</v>
      </c>
    </row>
    <row r="238">
      <c r="A238" s="44" t="inlineStr">
        <is>
          <t>TL Cinsi Sabit Faizli Kuponlu Senetler</t>
        </is>
      </c>
      <c r="B238" s="44" t="n">
        <v>2018</v>
      </c>
      <c r="C238" s="44" t="inlineStr">
        <is>
          <t>TRT140623T19</t>
        </is>
      </c>
      <c r="D238" s="44" t="inlineStr">
        <is>
          <t>11.07.2018</t>
        </is>
      </c>
      <c r="E238" s="44" t="inlineStr">
        <is>
          <t>14.06.2023</t>
        </is>
      </c>
      <c r="F238" s="44" t="n">
        <v>1799</v>
      </c>
      <c r="G238" s="44" t="inlineStr">
        <is>
          <t>6 ay</t>
        </is>
      </c>
      <c r="H238" s="15" t="n">
        <v>8.1</v>
      </c>
      <c r="I238" s="45" t="n">
        <v>3989000</v>
      </c>
      <c r="J238" s="45" t="n">
        <v>3860335.64</v>
      </c>
      <c r="K238" s="45" t="n">
        <v>1640000</v>
      </c>
      <c r="L238" s="45" t="n">
        <v>1595026.15</v>
      </c>
      <c r="M238" s="45" t="n">
        <v>185074.749</v>
      </c>
      <c r="N238" s="45" t="n">
        <v>179999.99938</v>
      </c>
      <c r="O238" s="45" t="n">
        <v>3210491.681</v>
      </c>
      <c r="P238" s="45" t="n">
        <v>3122459.99911</v>
      </c>
      <c r="Q238" s="45" t="n">
        <v>0</v>
      </c>
      <c r="R238" s="45" t="n">
        <v>0</v>
      </c>
      <c r="S238" s="45" t="n">
        <v>5035566.43</v>
      </c>
      <c r="T238" s="45" t="n">
        <v>4897486.148490001</v>
      </c>
      <c r="U238" s="15" t="n">
        <v>8.66</v>
      </c>
      <c r="V238" s="15" t="n">
        <v>18.08</v>
      </c>
      <c r="W238" s="49" t="n">
        <v>97.258</v>
      </c>
    </row>
    <row r="239">
      <c r="A239" s="44" t="inlineStr">
        <is>
          <t>TL Cinsi Sabit Faizli Kuponlu Senetler</t>
        </is>
      </c>
      <c r="B239" s="44" t="n">
        <v>2018</v>
      </c>
      <c r="C239" s="44" t="inlineStr">
        <is>
          <t>TRT131119T19</t>
        </is>
      </c>
      <c r="D239" s="44" t="inlineStr">
        <is>
          <t>11.07.2018</t>
        </is>
      </c>
      <c r="E239" s="44" t="inlineStr">
        <is>
          <t>13.11.2019</t>
        </is>
      </c>
      <c r="F239" s="44" t="n">
        <v>490</v>
      </c>
      <c r="G239" s="44" t="inlineStr">
        <is>
          <t>6 ay</t>
        </is>
      </c>
      <c r="H239" s="15" t="n">
        <v>6.5</v>
      </c>
      <c r="I239" s="45" t="n">
        <v>2605000</v>
      </c>
      <c r="J239" s="45" t="n">
        <v>2460785.35</v>
      </c>
      <c r="K239" s="45" t="n">
        <v>744000</v>
      </c>
      <c r="L239" s="45" t="n">
        <v>704699.8199999999</v>
      </c>
      <c r="M239" s="45" t="n">
        <v>929073.67</v>
      </c>
      <c r="N239" s="45" t="n">
        <v>879999.99876</v>
      </c>
      <c r="O239" s="45" t="n">
        <v>2104604.194</v>
      </c>
      <c r="P239" s="45" t="n">
        <v>1993439.00047</v>
      </c>
      <c r="Q239" s="45" t="n">
        <v>0</v>
      </c>
      <c r="R239" s="45" t="n">
        <v>0</v>
      </c>
      <c r="S239" s="45" t="n">
        <v>3777677.864</v>
      </c>
      <c r="T239" s="45" t="n">
        <v>3578138.81923</v>
      </c>
      <c r="U239" s="15" t="n">
        <v>9.67</v>
      </c>
      <c r="V239" s="15" t="n">
        <v>20.28</v>
      </c>
      <c r="W239" s="49" t="n">
        <v>94.718</v>
      </c>
    </row>
    <row r="240">
      <c r="A240" s="44" t="inlineStr">
        <is>
          <t>TL Cinsi Sabit Faizli Kuponlu Senetler</t>
        </is>
      </c>
      <c r="B240" s="44" t="n">
        <v>2018</v>
      </c>
      <c r="C240" s="44" t="inlineStr">
        <is>
          <t>TRT080328T15</t>
        </is>
      </c>
      <c r="D240" s="44" t="inlineStr">
        <is>
          <t>11.07.2018</t>
        </is>
      </c>
      <c r="E240" s="44" t="inlineStr">
        <is>
          <t>08.03.2028</t>
        </is>
      </c>
      <c r="F240" s="44" t="n">
        <v>3528</v>
      </c>
      <c r="G240" s="44" t="inlineStr">
        <is>
          <t>6 ay</t>
        </is>
      </c>
      <c r="H240" s="15" t="n">
        <v>6.2</v>
      </c>
      <c r="I240" s="45" t="n">
        <v>1968800</v>
      </c>
      <c r="J240" s="45" t="n">
        <v>1614219.38</v>
      </c>
      <c r="K240" s="45" t="n">
        <v>863000</v>
      </c>
      <c r="L240" s="45" t="n">
        <v>713742.4399999999</v>
      </c>
      <c r="M240" s="45" t="n">
        <v>217641.013</v>
      </c>
      <c r="N240" s="45" t="n">
        <v>179999.9998</v>
      </c>
      <c r="O240" s="45" t="n">
        <v>2412739.254</v>
      </c>
      <c r="P240" s="45" t="n">
        <v>1995456.00002</v>
      </c>
      <c r="Q240" s="45" t="n">
        <v>0</v>
      </c>
      <c r="R240" s="45" t="n">
        <v>0</v>
      </c>
      <c r="S240" s="45" t="n">
        <v>3493380.267</v>
      </c>
      <c r="T240" s="45" t="n">
        <v>2889198.43982</v>
      </c>
      <c r="U240" s="15" t="n">
        <v>8.44</v>
      </c>
      <c r="V240" s="15" t="n">
        <v>17.6</v>
      </c>
      <c r="W240" s="49" t="n">
        <v>82.705</v>
      </c>
    </row>
    <row r="241">
      <c r="A241" s="44" t="inlineStr">
        <is>
          <t>TL Cinsi Sabit Faizli Kuponlu Senetler</t>
        </is>
      </c>
      <c r="B241" s="44" t="n">
        <v>2018</v>
      </c>
      <c r="C241" s="44" t="inlineStr">
        <is>
          <t>TRT140623T19</t>
        </is>
      </c>
      <c r="D241" s="44" t="inlineStr">
        <is>
          <t>08.08.2018</t>
        </is>
      </c>
      <c r="E241" s="44" t="inlineStr">
        <is>
          <t>14.06.2023</t>
        </is>
      </c>
      <c r="F241" s="44" t="n">
        <v>1771</v>
      </c>
      <c r="G241" s="44" t="inlineStr">
        <is>
          <t>6 ay</t>
        </is>
      </c>
      <c r="H241" s="15" t="n">
        <v>8.1</v>
      </c>
      <c r="I241" s="45" t="n">
        <v>1359001.59</v>
      </c>
      <c r="J241" s="45" t="n">
        <v>1187895.37755</v>
      </c>
      <c r="K241" s="45" t="n">
        <v>614001.59</v>
      </c>
      <c r="L241" s="45" t="n">
        <v>539661.8475499999</v>
      </c>
      <c r="M241" s="45" t="n">
        <v>341324.109</v>
      </c>
      <c r="N241" s="45" t="n">
        <v>299999.99912</v>
      </c>
      <c r="O241" s="45" t="n">
        <v>1294187.251</v>
      </c>
      <c r="P241" s="45" t="n">
        <v>1137500.00052</v>
      </c>
      <c r="Q241" s="45" t="n">
        <v>44103.58</v>
      </c>
      <c r="R241" s="45" t="n">
        <v>38763.95957</v>
      </c>
      <c r="S241" s="45" t="n">
        <v>2293616.53</v>
      </c>
      <c r="T241" s="45" t="n">
        <v>2015925.80676</v>
      </c>
      <c r="U241" s="15" t="n">
        <v>10.5</v>
      </c>
      <c r="V241" s="15" t="n">
        <v>22.1</v>
      </c>
      <c r="W241" s="49" t="n">
        <v>87.893</v>
      </c>
    </row>
    <row r="242">
      <c r="A242" s="44" t="inlineStr">
        <is>
          <t>TL Cinsi Sabit Faizli Kuponlu Senetler</t>
        </is>
      </c>
      <c r="B242" s="44" t="n">
        <v>2018</v>
      </c>
      <c r="C242" s="44" t="inlineStr">
        <is>
          <t>TRT120820T12</t>
        </is>
      </c>
      <c r="D242" s="44" t="inlineStr">
        <is>
          <t>15.08.2018</t>
        </is>
      </c>
      <c r="E242" s="44" t="inlineStr">
        <is>
          <t>12.08.2020</t>
        </is>
      </c>
      <c r="F242" s="44" t="n">
        <v>728</v>
      </c>
      <c r="G242" s="44" t="inlineStr">
        <is>
          <t>6 ay</t>
        </is>
      </c>
      <c r="H242" s="15" t="n">
        <v>11.5</v>
      </c>
      <c r="I242" s="45" t="n">
        <v>912070.265</v>
      </c>
      <c r="J242" s="45" t="n">
        <v>902686.01646</v>
      </c>
      <c r="K242" s="45" t="n">
        <v>422000</v>
      </c>
      <c r="L242" s="45" t="n">
        <v>418707.32</v>
      </c>
      <c r="M242" s="45" t="n">
        <v>932271.718</v>
      </c>
      <c r="N242" s="45" t="n">
        <v>924999.9986</v>
      </c>
      <c r="O242" s="45" t="n">
        <v>380971.578</v>
      </c>
      <c r="P242" s="45" t="n">
        <v>377999.9997</v>
      </c>
      <c r="Q242" s="45" t="n">
        <v>0</v>
      </c>
      <c r="R242" s="45" t="n">
        <v>0</v>
      </c>
      <c r="S242" s="45" t="n">
        <v>1735243.296</v>
      </c>
      <c r="T242" s="45" t="n">
        <v>1721707.3183</v>
      </c>
      <c r="U242" s="15" t="n">
        <v>11.76</v>
      </c>
      <c r="V242" s="15" t="n">
        <v>24.89</v>
      </c>
      <c r="W242" s="49" t="n">
        <v>99.22</v>
      </c>
    </row>
    <row r="243">
      <c r="A243" s="44" t="inlineStr">
        <is>
          <t>TL Cinsi Sabit Faizli Kuponlu Senetler</t>
        </is>
      </c>
      <c r="B243" s="44" t="n">
        <v>2018</v>
      </c>
      <c r="C243" s="44" t="inlineStr">
        <is>
          <t>TRT120820T12</t>
        </is>
      </c>
      <c r="D243" s="44" t="inlineStr">
        <is>
          <t>12.09.2018</t>
        </is>
      </c>
      <c r="E243" s="44" t="inlineStr">
        <is>
          <t>12.08.2020</t>
        </is>
      </c>
      <c r="F243" s="44" t="n">
        <v>700</v>
      </c>
      <c r="G243" s="44" t="inlineStr">
        <is>
          <t>6 ay</t>
        </is>
      </c>
      <c r="H243" s="15" t="n">
        <v>11.5</v>
      </c>
      <c r="I243" s="45" t="n">
        <v>2539320.42</v>
      </c>
      <c r="J243" s="45" t="n">
        <v>2491373.94165</v>
      </c>
      <c r="K243" s="45" t="n">
        <v>875000</v>
      </c>
      <c r="L243" s="45" t="n">
        <v>880595.05</v>
      </c>
      <c r="M243" s="45" t="n">
        <v>1649459.95</v>
      </c>
      <c r="N243" s="45" t="n">
        <v>1659999.99908</v>
      </c>
      <c r="O243" s="45" t="n">
        <v>795914.11</v>
      </c>
      <c r="P243" s="45" t="n">
        <v>801000.00116</v>
      </c>
      <c r="Q243" s="45" t="n">
        <v>0</v>
      </c>
      <c r="R243" s="45" t="n">
        <v>0</v>
      </c>
      <c r="S243" s="45" t="n">
        <v>3320374.06</v>
      </c>
      <c r="T243" s="45" t="n">
        <v>3341595.05024</v>
      </c>
      <c r="U243" s="15" t="n">
        <v>11.85</v>
      </c>
      <c r="V243" s="15" t="n">
        <v>25.11</v>
      </c>
      <c r="W243" s="49" t="n">
        <v>100.639</v>
      </c>
    </row>
    <row r="244">
      <c r="A244" s="44" t="inlineStr">
        <is>
          <t>TL Cinsi Sabit Faizli Kuponlu Senetler</t>
        </is>
      </c>
      <c r="B244" s="44" t="n">
        <v>2018</v>
      </c>
      <c r="C244" s="44" t="inlineStr">
        <is>
          <t>TRT120820T12</t>
        </is>
      </c>
      <c r="D244" s="44" t="inlineStr">
        <is>
          <t>24.10.2018</t>
        </is>
      </c>
      <c r="E244" s="44" t="inlineStr">
        <is>
          <t>12.08.2020</t>
        </is>
      </c>
      <c r="F244" s="44" t="n">
        <v>658</v>
      </c>
      <c r="G244" s="44" t="inlineStr">
        <is>
          <t>6 ay</t>
        </is>
      </c>
      <c r="H244" s="15" t="n">
        <v>11.5</v>
      </c>
      <c r="I244" s="45" t="n">
        <v>1355070</v>
      </c>
      <c r="J244" s="45" t="n">
        <v>1381731.5561</v>
      </c>
      <c r="K244" s="45" t="n">
        <v>715000</v>
      </c>
      <c r="L244" s="45" t="n">
        <v>730702.21</v>
      </c>
      <c r="M244" s="45" t="n">
        <v>489255.939</v>
      </c>
      <c r="N244" s="45" t="n">
        <v>499999.99942</v>
      </c>
      <c r="O244" s="45" t="n">
        <v>614642.452</v>
      </c>
      <c r="P244" s="45" t="n">
        <v>628140.00026</v>
      </c>
      <c r="Q244" s="45" t="n">
        <v>0</v>
      </c>
      <c r="R244" s="45" t="n">
        <v>0</v>
      </c>
      <c r="S244" s="45" t="n">
        <v>1818898.391</v>
      </c>
      <c r="T244" s="45" t="n">
        <v>1858842.20968</v>
      </c>
      <c r="U244" s="15" t="n">
        <v>12.24</v>
      </c>
      <c r="V244" s="15" t="n">
        <v>25.98</v>
      </c>
      <c r="W244" s="49" t="n">
        <v>102.196</v>
      </c>
    </row>
    <row r="245">
      <c r="A245" s="44" t="inlineStr">
        <is>
          <t>TL Cinsi Sabit Faizli Kuponlu Senetler</t>
        </is>
      </c>
      <c r="B245" s="44" t="n">
        <v>2018</v>
      </c>
      <c r="C245" s="44" t="inlineStr">
        <is>
          <t>TRT181023T19</t>
        </is>
      </c>
      <c r="D245" s="44" t="inlineStr">
        <is>
          <t>24.10.2018</t>
        </is>
      </c>
      <c r="E245" s="44" t="inlineStr">
        <is>
          <t>18.10.2023</t>
        </is>
      </c>
      <c r="F245" s="44" t="n">
        <v>1820</v>
      </c>
      <c r="G245" s="44" t="inlineStr">
        <is>
          <t>6 ay</t>
        </is>
      </c>
      <c r="H245" s="15" t="n">
        <v>10.05</v>
      </c>
      <c r="I245" s="45" t="n">
        <v>839000</v>
      </c>
      <c r="J245" s="45" t="n">
        <v>819742.4</v>
      </c>
      <c r="K245" s="45" t="n">
        <v>257000</v>
      </c>
      <c r="L245" s="45" t="n">
        <v>254808.86</v>
      </c>
      <c r="M245" s="45" t="n">
        <v>1119549.758</v>
      </c>
      <c r="N245" s="45" t="n">
        <v>1109999.99856</v>
      </c>
      <c r="O245" s="45" t="n">
        <v>346455.264</v>
      </c>
      <c r="P245" s="45" t="n">
        <v>343500.0006</v>
      </c>
      <c r="Q245" s="45" t="n">
        <v>0</v>
      </c>
      <c r="R245" s="45" t="n">
        <v>0</v>
      </c>
      <c r="S245" s="45" t="n">
        <v>1723005.022</v>
      </c>
      <c r="T245" s="45" t="n">
        <v>1708308.85916</v>
      </c>
      <c r="U245" s="15" t="n">
        <v>10.19</v>
      </c>
      <c r="V245" s="15" t="n">
        <v>21.42</v>
      </c>
      <c r="W245" s="49" t="n">
        <v>99.14700000000001</v>
      </c>
    </row>
    <row r="246">
      <c r="A246" s="44" t="inlineStr">
        <is>
          <t>TL Cinsi Sabit Faizli Kuponlu Senetler</t>
        </is>
      </c>
      <c r="B246" s="44" t="n">
        <v>2018</v>
      </c>
      <c r="C246" s="44" t="inlineStr">
        <is>
          <t>TRT181023T19</t>
        </is>
      </c>
      <c r="D246" s="44" t="inlineStr">
        <is>
          <t>14.11.2018</t>
        </is>
      </c>
      <c r="E246" s="44" t="inlineStr">
        <is>
          <t>18.10.2023</t>
        </is>
      </c>
      <c r="F246" s="44" t="n">
        <v>1799</v>
      </c>
      <c r="G246" s="44" t="inlineStr">
        <is>
          <t>6 ay</t>
        </is>
      </c>
      <c r="H246" s="15" t="n">
        <v>10.05</v>
      </c>
      <c r="I246" s="45" t="n">
        <v>1845000</v>
      </c>
      <c r="J246" s="45" t="n">
        <v>2027151.95</v>
      </c>
      <c r="K246" s="45" t="n">
        <v>70000</v>
      </c>
      <c r="L246" s="45" t="n">
        <v>77972.3</v>
      </c>
      <c r="M246" s="45" t="n">
        <v>673316.035</v>
      </c>
      <c r="N246" s="45" t="n">
        <v>749999.99823</v>
      </c>
      <c r="O246" s="45" t="n">
        <v>135053.731</v>
      </c>
      <c r="P246" s="45" t="n">
        <v>150435.00042</v>
      </c>
      <c r="Q246" s="45" t="n">
        <v>0</v>
      </c>
      <c r="R246" s="45" t="n">
        <v>0</v>
      </c>
      <c r="S246" s="45" t="n">
        <v>878369.7660000001</v>
      </c>
      <c r="T246" s="45" t="n">
        <v>978407.29865</v>
      </c>
      <c r="U246" s="15" t="n">
        <v>8.470000000000001</v>
      </c>
      <c r="V246" s="15" t="n">
        <v>17.67</v>
      </c>
      <c r="W246" s="49" t="n">
        <v>111.389</v>
      </c>
    </row>
    <row r="247">
      <c r="A247" s="44" t="inlineStr">
        <is>
          <t>TL Cinsi Sabit Faizli Kuponlu Senetler</t>
        </is>
      </c>
      <c r="B247" s="44" t="n">
        <v>2018</v>
      </c>
      <c r="C247" s="44" t="inlineStr">
        <is>
          <t>TRT120820T12</t>
        </is>
      </c>
      <c r="D247" s="44" t="inlineStr">
        <is>
          <t>14.11.2018</t>
        </is>
      </c>
      <c r="E247" s="44" t="inlineStr">
        <is>
          <t>12.08.2020</t>
        </is>
      </c>
      <c r="F247" s="44" t="n">
        <v>637</v>
      </c>
      <c r="G247" s="44" t="inlineStr">
        <is>
          <t>6 ay</t>
        </is>
      </c>
      <c r="H247" s="15" t="n">
        <v>11.5</v>
      </c>
      <c r="I247" s="45" t="n">
        <v>1598000</v>
      </c>
      <c r="J247" s="45" t="n">
        <v>1750930.16</v>
      </c>
      <c r="K247" s="45" t="n">
        <v>179000</v>
      </c>
      <c r="L247" s="45" t="n">
        <v>202072.5</v>
      </c>
      <c r="M247" s="45" t="n">
        <v>699796.2610000001</v>
      </c>
      <c r="N247" s="45" t="n">
        <v>789999.99905</v>
      </c>
      <c r="O247" s="45" t="n">
        <v>129315.261</v>
      </c>
      <c r="P247" s="45" t="n">
        <v>145983.99813</v>
      </c>
      <c r="Q247" s="45" t="n">
        <v>0</v>
      </c>
      <c r="R247" s="45" t="n">
        <v>0</v>
      </c>
      <c r="S247" s="45" t="n">
        <v>1008111.522</v>
      </c>
      <c r="T247" s="45" t="n">
        <v>1138056.49718</v>
      </c>
      <c r="U247" s="15" t="n">
        <v>8.99</v>
      </c>
      <c r="V247" s="15" t="n">
        <v>18.79</v>
      </c>
      <c r="W247" s="49" t="n">
        <v>112.89</v>
      </c>
    </row>
    <row r="248">
      <c r="A248" s="44" t="inlineStr">
        <is>
          <t>TL Cinsi Sabit Faizli Kuponlu Senetler</t>
        </is>
      </c>
      <c r="B248" s="44" t="n">
        <v>2018</v>
      </c>
      <c r="C248" s="44" t="inlineStr">
        <is>
          <t>TRT120820T12</t>
        </is>
      </c>
      <c r="D248" s="44" t="inlineStr">
        <is>
          <t>12.12.2018</t>
        </is>
      </c>
      <c r="E248" s="44" t="inlineStr">
        <is>
          <t>12.08.2020</t>
        </is>
      </c>
      <c r="F248" s="44" t="n">
        <v>609</v>
      </c>
      <c r="G248" s="44" t="inlineStr">
        <is>
          <t>6 ay</t>
        </is>
      </c>
      <c r="H248" s="15" t="n">
        <v>11.5</v>
      </c>
      <c r="I248" s="45" t="n">
        <v>1478000</v>
      </c>
      <c r="J248" s="45" t="n">
        <v>1656690.57</v>
      </c>
      <c r="K248" s="45" t="n">
        <v>440000</v>
      </c>
      <c r="L248" s="45" t="n">
        <v>504351.4</v>
      </c>
      <c r="M248" s="45" t="n">
        <v>719738.276</v>
      </c>
      <c r="N248" s="45" t="n">
        <v>824999.9988600001</v>
      </c>
      <c r="O248" s="45" t="n">
        <v>1300854.961</v>
      </c>
      <c r="P248" s="45" t="n">
        <v>1491104.99906</v>
      </c>
      <c r="Q248" s="45" t="n">
        <v>0</v>
      </c>
      <c r="R248" s="45" t="n">
        <v>0</v>
      </c>
      <c r="S248" s="45" t="n">
        <v>2460593.237</v>
      </c>
      <c r="T248" s="45" t="n">
        <v>2820456.39792</v>
      </c>
      <c r="U248" s="15" t="n">
        <v>8.91</v>
      </c>
      <c r="V248" s="15" t="n">
        <v>18.62</v>
      </c>
      <c r="W248" s="49" t="n">
        <v>114.625</v>
      </c>
    </row>
    <row r="249">
      <c r="A249" s="44" t="inlineStr">
        <is>
          <t>TL Cinsi Sabit Faizli Kuponlu Senetler</t>
        </is>
      </c>
      <c r="B249" s="44" t="n">
        <v>2017</v>
      </c>
      <c r="C249" s="44" t="inlineStr">
        <is>
          <t>TRT110718T18</t>
        </is>
      </c>
      <c r="D249" s="44" t="inlineStr">
        <is>
          <t>04.01.2017</t>
        </is>
      </c>
      <c r="E249" s="44" t="inlineStr">
        <is>
          <t>11.07.2018</t>
        </is>
      </c>
      <c r="F249" s="44" t="n">
        <v>553</v>
      </c>
      <c r="G249" s="44" t="inlineStr">
        <is>
          <t>6 ay</t>
        </is>
      </c>
      <c r="H249" s="15" t="n">
        <v>4.35</v>
      </c>
      <c r="I249" s="45" t="n">
        <v>4207600</v>
      </c>
      <c r="J249" s="45" t="n">
        <v>4266725.812</v>
      </c>
      <c r="K249" s="45" t="n">
        <v>1104000</v>
      </c>
      <c r="L249" s="45" t="n">
        <v>1120693.54</v>
      </c>
      <c r="M249" s="45" t="n">
        <v>492552.603</v>
      </c>
      <c r="N249" s="45" t="n">
        <v>499999.99836</v>
      </c>
      <c r="O249" s="45" t="n">
        <v>997813.067</v>
      </c>
      <c r="P249" s="45" t="n">
        <v>1012900.00058</v>
      </c>
      <c r="Q249" s="45" t="n">
        <v>140000</v>
      </c>
      <c r="R249" s="45" t="n">
        <v>142116.8</v>
      </c>
      <c r="S249" s="45" t="n">
        <v>2734365.67</v>
      </c>
      <c r="T249" s="45" t="n">
        <v>2775710.33894</v>
      </c>
      <c r="U249" s="15" t="n">
        <v>5.32</v>
      </c>
      <c r="V249" s="15" t="n">
        <v>10.93</v>
      </c>
      <c r="W249" s="49" t="n">
        <v>101.512</v>
      </c>
    </row>
    <row r="250">
      <c r="A250" s="44" t="inlineStr">
        <is>
          <t>TL Cinsi Sabit Faizli Kuponlu Senetler</t>
        </is>
      </c>
      <c r="B250" s="44" t="n">
        <v>2017</v>
      </c>
      <c r="C250" s="44" t="inlineStr">
        <is>
          <t>TRT220921T18</t>
        </is>
      </c>
      <c r="D250" s="44" t="inlineStr">
        <is>
          <t>04.01.2017</t>
        </is>
      </c>
      <c r="E250" s="44" t="inlineStr">
        <is>
          <t>22.09.2021</t>
        </is>
      </c>
      <c r="F250" s="44" t="n">
        <v>1722</v>
      </c>
      <c r="G250" s="44" t="inlineStr">
        <is>
          <t>6 ay</t>
        </is>
      </c>
      <c r="H250" s="15" t="n">
        <v>4.6</v>
      </c>
      <c r="I250" s="45" t="n">
        <v>1145100</v>
      </c>
      <c r="J250" s="45" t="n">
        <v>1086827.634</v>
      </c>
      <c r="K250" s="45" t="n">
        <v>630100</v>
      </c>
      <c r="L250" s="45" t="n">
        <v>599167.934</v>
      </c>
      <c r="M250" s="45" t="n">
        <v>841299.3860000001</v>
      </c>
      <c r="N250" s="45" t="n">
        <v>799999.99914</v>
      </c>
      <c r="O250" s="45" t="n">
        <v>1080543.902</v>
      </c>
      <c r="P250" s="45" t="n">
        <v>1027500.00185</v>
      </c>
      <c r="Q250" s="45" t="n">
        <v>100550.505</v>
      </c>
      <c r="R250" s="45" t="n">
        <v>95614.48071</v>
      </c>
      <c r="S250" s="45" t="n">
        <v>2652493.793</v>
      </c>
      <c r="T250" s="45" t="n">
        <v>2522282.4157</v>
      </c>
      <c r="U250" s="15" t="n">
        <v>5.62</v>
      </c>
      <c r="V250" s="15" t="n">
        <v>11.56</v>
      </c>
      <c r="W250" s="49" t="n">
        <v>95.09099999999999</v>
      </c>
    </row>
    <row r="251">
      <c r="A251" s="44" t="inlineStr">
        <is>
          <t>TL Cinsi Sabit Faizli Kuponlu Senetler</t>
        </is>
      </c>
      <c r="B251" s="44" t="n">
        <v>2017</v>
      </c>
      <c r="C251" s="44" t="inlineStr">
        <is>
          <t>TRT110226T13</t>
        </is>
      </c>
      <c r="D251" s="44" t="inlineStr">
        <is>
          <t>04.01.2017</t>
        </is>
      </c>
      <c r="E251" s="44" t="inlineStr">
        <is>
          <t>11.02.2026</t>
        </is>
      </c>
      <c r="F251" s="44" t="n">
        <v>3325</v>
      </c>
      <c r="G251" s="44" t="inlineStr">
        <is>
          <t>6 ay</t>
        </is>
      </c>
      <c r="H251" s="15" t="n">
        <v>5.3</v>
      </c>
      <c r="I251" s="45" t="n">
        <v>1861363</v>
      </c>
      <c r="J251" s="45" t="n">
        <v>1849129.83824</v>
      </c>
      <c r="K251" s="45" t="n">
        <v>737102</v>
      </c>
      <c r="L251" s="45" t="n">
        <v>734482.19248</v>
      </c>
      <c r="M251" s="45" t="n">
        <v>752671.9840000001</v>
      </c>
      <c r="N251" s="45" t="n">
        <v>749999.99845</v>
      </c>
      <c r="O251" s="45" t="n">
        <v>970144.0110000001</v>
      </c>
      <c r="P251" s="45" t="n">
        <v>966699.99976</v>
      </c>
      <c r="Q251" s="45" t="n">
        <v>61942.395</v>
      </c>
      <c r="R251" s="45" t="n">
        <v>61722.4995</v>
      </c>
      <c r="S251" s="45" t="n">
        <v>2521860.39</v>
      </c>
      <c r="T251" s="45" t="n">
        <v>2512904.69019</v>
      </c>
      <c r="U251" s="15" t="n">
        <v>5.68</v>
      </c>
      <c r="V251" s="15" t="n">
        <v>11.67</v>
      </c>
      <c r="W251" s="49" t="n">
        <v>99.645</v>
      </c>
    </row>
    <row r="252">
      <c r="A252" s="44" t="inlineStr">
        <is>
          <t>TL Cinsi Sabit Faizli Kuponlu Senetler</t>
        </is>
      </c>
      <c r="B252" s="44" t="n">
        <v>2017</v>
      </c>
      <c r="C252" s="44" t="inlineStr">
        <is>
          <t>TRT110226T13</t>
        </is>
      </c>
      <c r="D252" s="44" t="inlineStr">
        <is>
          <t>15.02.2017</t>
        </is>
      </c>
      <c r="E252" s="44" t="inlineStr">
        <is>
          <t>11.02.2026</t>
        </is>
      </c>
      <c r="F252" s="44" t="n">
        <v>3283</v>
      </c>
      <c r="G252" s="44" t="inlineStr">
        <is>
          <t>6 ay</t>
        </is>
      </c>
      <c r="H252" s="15" t="n">
        <v>5.3</v>
      </c>
      <c r="I252" s="45" t="n">
        <v>3369600</v>
      </c>
      <c r="J252" s="45" t="n">
        <v>3538237.398</v>
      </c>
      <c r="K252" s="45" t="n">
        <v>1183000</v>
      </c>
      <c r="L252" s="45" t="n">
        <v>1244768.45</v>
      </c>
      <c r="M252" s="45" t="n">
        <v>556685.451</v>
      </c>
      <c r="N252" s="45" t="n">
        <v>585749.99839</v>
      </c>
      <c r="O252" s="45" t="n">
        <v>579371.04</v>
      </c>
      <c r="P252" s="45" t="n">
        <v>609620.0020100001</v>
      </c>
      <c r="Q252" s="45" t="n">
        <v>19200</v>
      </c>
      <c r="R252" s="45" t="n">
        <v>20202.432</v>
      </c>
      <c r="S252" s="45" t="n">
        <v>2338256.491</v>
      </c>
      <c r="T252" s="45" t="n">
        <v>2460340.8824</v>
      </c>
      <c r="U252" s="15" t="n">
        <v>5.29</v>
      </c>
      <c r="V252" s="15" t="n">
        <v>10.86</v>
      </c>
      <c r="W252" s="49" t="n">
        <v>105.221</v>
      </c>
    </row>
    <row r="253">
      <c r="A253" s="44" t="inlineStr">
        <is>
          <t>TL Cinsi Sabit Faizli Kuponlu Senetler</t>
        </is>
      </c>
      <c r="B253" s="44" t="n">
        <v>2017</v>
      </c>
      <c r="C253" s="44" t="inlineStr">
        <is>
          <t>TRT220921T18</t>
        </is>
      </c>
      <c r="D253" s="44" t="inlineStr">
        <is>
          <t>22.02.2017</t>
        </is>
      </c>
      <c r="E253" s="44" t="inlineStr">
        <is>
          <t>22.09.2021</t>
        </is>
      </c>
      <c r="F253" s="44" t="n">
        <v>1673</v>
      </c>
      <c r="G253" s="44" t="inlineStr">
        <is>
          <t>6 ay</t>
        </is>
      </c>
      <c r="H253" s="15" t="n">
        <v>4.6</v>
      </c>
      <c r="I253" s="45" t="n">
        <v>1974803.095</v>
      </c>
      <c r="J253" s="45" t="n">
        <v>1938593.2131</v>
      </c>
      <c r="K253" s="45" t="n">
        <v>996200</v>
      </c>
      <c r="L253" s="45" t="n">
        <v>979132.882</v>
      </c>
      <c r="M253" s="45" t="n">
        <v>305228.565</v>
      </c>
      <c r="N253" s="45" t="n">
        <v>299999.99968</v>
      </c>
      <c r="O253" s="45" t="n">
        <v>507595.105</v>
      </c>
      <c r="P253" s="45" t="n">
        <v>498900.00086</v>
      </c>
      <c r="Q253" s="45" t="n">
        <v>198022.842</v>
      </c>
      <c r="R253" s="45" t="n">
        <v>194630.71071</v>
      </c>
      <c r="S253" s="45" t="n">
        <v>2007046.512</v>
      </c>
      <c r="T253" s="45" t="n">
        <v>1972663.59325</v>
      </c>
      <c r="U253" s="15" t="n">
        <v>5.36</v>
      </c>
      <c r="V253" s="15" t="n">
        <v>11.01</v>
      </c>
      <c r="W253" s="49" t="n">
        <v>98.28700000000001</v>
      </c>
    </row>
    <row r="254">
      <c r="A254" s="44" t="inlineStr">
        <is>
          <t>TL Cinsi Sabit Faizli Kuponlu Senetler</t>
        </is>
      </c>
      <c r="B254" s="44" t="n">
        <v>2017</v>
      </c>
      <c r="C254" s="44" t="inlineStr">
        <is>
          <t>TRT020322T17</t>
        </is>
      </c>
      <c r="D254" s="44" t="inlineStr">
        <is>
          <t>08.03.2017</t>
        </is>
      </c>
      <c r="E254" s="44" t="inlineStr">
        <is>
          <t>02.03.2022</t>
        </is>
      </c>
      <c r="F254" s="44" t="n">
        <v>1820</v>
      </c>
      <c r="G254" s="44" t="inlineStr">
        <is>
          <t>6 ay</t>
        </is>
      </c>
      <c r="H254" s="15" t="n">
        <v>5.5</v>
      </c>
      <c r="I254" s="45" t="n">
        <v>2727000</v>
      </c>
      <c r="J254" s="45" t="n">
        <v>2704616.897</v>
      </c>
      <c r="K254" s="45" t="n">
        <v>1942000</v>
      </c>
      <c r="L254" s="45" t="n">
        <v>1928775.847</v>
      </c>
      <c r="M254" s="45" t="n">
        <v>1032028.111</v>
      </c>
      <c r="N254" s="45" t="n">
        <v>1024999.99957</v>
      </c>
      <c r="O254" s="45" t="n">
        <v>1309724.221</v>
      </c>
      <c r="P254" s="45" t="n">
        <v>1300804.99905</v>
      </c>
      <c r="Q254" s="45" t="n">
        <v>347038.002</v>
      </c>
      <c r="R254" s="45" t="n">
        <v>344674.67321</v>
      </c>
      <c r="S254" s="45" t="n">
        <v>4630790.334000001</v>
      </c>
      <c r="T254" s="45" t="n">
        <v>4599255.518829999</v>
      </c>
      <c r="U254" s="15" t="n">
        <v>5.59</v>
      </c>
      <c r="V254" s="15" t="n">
        <v>11.49</v>
      </c>
      <c r="W254" s="49" t="n">
        <v>99.319</v>
      </c>
    </row>
    <row r="255">
      <c r="A255" s="44" t="inlineStr">
        <is>
          <t>TL Cinsi Sabit Faizli Kuponlu Senetler</t>
        </is>
      </c>
      <c r="B255" s="44" t="n">
        <v>2017</v>
      </c>
      <c r="C255" s="44" t="inlineStr">
        <is>
          <t>TRT110718T18</t>
        </is>
      </c>
      <c r="D255" s="44" t="inlineStr">
        <is>
          <t>08.03.2017</t>
        </is>
      </c>
      <c r="E255" s="44" t="inlineStr">
        <is>
          <t>11.07.2018</t>
        </is>
      </c>
      <c r="F255" s="44" t="n">
        <v>490</v>
      </c>
      <c r="G255" s="44" t="inlineStr">
        <is>
          <t>6 ay</t>
        </is>
      </c>
      <c r="H255" s="15" t="n">
        <v>4.35</v>
      </c>
      <c r="I255" s="45" t="n">
        <v>3194100</v>
      </c>
      <c r="J255" s="45" t="n">
        <v>3136075.242</v>
      </c>
      <c r="K255" s="45" t="n">
        <v>1124400</v>
      </c>
      <c r="L255" s="45" t="n">
        <v>1105851.302</v>
      </c>
      <c r="M255" s="45" t="n">
        <v>533807.829</v>
      </c>
      <c r="N255" s="45" t="n">
        <v>524999.99982</v>
      </c>
      <c r="O255" s="45" t="n">
        <v>814056.9399999999</v>
      </c>
      <c r="P255" s="45" t="n">
        <v>800625.00049</v>
      </c>
      <c r="Q255" s="45" t="n">
        <v>270527.767</v>
      </c>
      <c r="R255" s="45" t="n">
        <v>266064.05884</v>
      </c>
      <c r="S255" s="45" t="n">
        <v>2742792.536</v>
      </c>
      <c r="T255" s="45" t="n">
        <v>2697540.36115</v>
      </c>
      <c r="U255" s="15" t="n">
        <v>5.57</v>
      </c>
      <c r="V255" s="15" t="n">
        <v>11.44</v>
      </c>
      <c r="W255" s="49" t="n">
        <v>98.34999999999999</v>
      </c>
    </row>
    <row r="256">
      <c r="A256" s="44" t="inlineStr">
        <is>
          <t>TL Cinsi Sabit Faizli Kuponlu Senetler</t>
        </is>
      </c>
      <c r="B256" s="44" t="n">
        <v>2017</v>
      </c>
      <c r="C256" s="44" t="inlineStr">
        <is>
          <t>TRT240227T17</t>
        </is>
      </c>
      <c r="D256" s="44" t="inlineStr">
        <is>
          <t>08.03.2017</t>
        </is>
      </c>
      <c r="E256" s="44" t="inlineStr">
        <is>
          <t>24.02.2027</t>
        </is>
      </c>
      <c r="F256" s="44" t="n">
        <v>3640</v>
      </c>
      <c r="G256" s="44" t="inlineStr">
        <is>
          <t>6 ay</t>
        </is>
      </c>
      <c r="H256" s="15" t="n">
        <v>5.5</v>
      </c>
      <c r="I256" s="45" t="n">
        <v>4715289.653</v>
      </c>
      <c r="J256" s="45" t="n">
        <v>4701097.47986</v>
      </c>
      <c r="K256" s="45" t="n">
        <v>2189689.653</v>
      </c>
      <c r="L256" s="45" t="n">
        <v>2188867.19686</v>
      </c>
      <c r="M256" s="45" t="n">
        <v>1500570.216</v>
      </c>
      <c r="N256" s="45" t="n">
        <v>1499999.99932</v>
      </c>
      <c r="O256" s="45" t="n">
        <v>1562993.938</v>
      </c>
      <c r="P256" s="45" t="n">
        <v>1562400.00031</v>
      </c>
      <c r="Q256" s="45" t="n">
        <v>379393.621</v>
      </c>
      <c r="R256" s="45" t="n">
        <v>379249.45143</v>
      </c>
      <c r="S256" s="45" t="n">
        <v>5632647.428</v>
      </c>
      <c r="T256" s="45" t="n">
        <v>5630516.647919999</v>
      </c>
      <c r="U256" s="15" t="n">
        <v>5.5</v>
      </c>
      <c r="V256" s="15" t="n">
        <v>11.31</v>
      </c>
      <c r="W256" s="49" t="n">
        <v>99.962</v>
      </c>
    </row>
    <row r="257">
      <c r="A257" s="44" t="inlineStr">
        <is>
          <t>TL Cinsi Sabit Faizli Kuponlu Senetler</t>
        </is>
      </c>
      <c r="B257" s="44" t="n">
        <v>2017</v>
      </c>
      <c r="C257" s="44" t="inlineStr">
        <is>
          <t>TRT240227T17</t>
        </is>
      </c>
      <c r="D257" s="44" t="inlineStr">
        <is>
          <t>05.04.2017</t>
        </is>
      </c>
      <c r="E257" s="44" t="inlineStr">
        <is>
          <t>24.02.2027</t>
        </is>
      </c>
      <c r="F257" s="44" t="n">
        <v>3612</v>
      </c>
      <c r="G257" s="44" t="inlineStr">
        <is>
          <t>6 ay</t>
        </is>
      </c>
      <c r="H257" s="15" t="n">
        <v>5.5</v>
      </c>
      <c r="I257" s="45" t="n">
        <v>2579537.5</v>
      </c>
      <c r="J257" s="45" t="n">
        <v>2647801.93213</v>
      </c>
      <c r="K257" s="45" t="n">
        <v>1235000</v>
      </c>
      <c r="L257" s="45" t="n">
        <v>1271331.94</v>
      </c>
      <c r="M257" s="45" t="n">
        <v>301140.448</v>
      </c>
      <c r="N257" s="45" t="n">
        <v>309999.99998</v>
      </c>
      <c r="O257" s="45" t="n">
        <v>562957.784</v>
      </c>
      <c r="P257" s="45" t="n">
        <v>579520.002</v>
      </c>
      <c r="Q257" s="45" t="n">
        <v>0</v>
      </c>
      <c r="R257" s="45" t="n">
        <v>0</v>
      </c>
      <c r="S257" s="45" t="n">
        <v>2099098.232</v>
      </c>
      <c r="T257" s="45" t="n">
        <v>2160851.94198</v>
      </c>
      <c r="U257" s="15" t="n">
        <v>5.32</v>
      </c>
      <c r="V257" s="15" t="n">
        <v>10.93</v>
      </c>
      <c r="W257" s="49" t="n">
        <v>102.942</v>
      </c>
    </row>
    <row r="258">
      <c r="A258" s="44" t="inlineStr">
        <is>
          <t>TL Cinsi Sabit Faizli Kuponlu Senetler</t>
        </is>
      </c>
      <c r="B258" s="44" t="n">
        <v>2017</v>
      </c>
      <c r="C258" s="44" t="inlineStr">
        <is>
          <t>TRT020322T17</t>
        </is>
      </c>
      <c r="D258" s="44" t="inlineStr">
        <is>
          <t>26.04.2017</t>
        </is>
      </c>
      <c r="E258" s="44" t="inlineStr">
        <is>
          <t>02.03.2022</t>
        </is>
      </c>
      <c r="F258" s="44" t="n">
        <v>1771</v>
      </c>
      <c r="G258" s="44" t="inlineStr">
        <is>
          <t>6 ay</t>
        </is>
      </c>
      <c r="H258" s="15" t="n">
        <v>5.5</v>
      </c>
      <c r="I258" s="45" t="n">
        <v>1305507.35</v>
      </c>
      <c r="J258" s="45" t="n">
        <v>1340579.43024</v>
      </c>
      <c r="K258" s="45" t="n">
        <v>535000</v>
      </c>
      <c r="L258" s="45" t="n">
        <v>550326.1899999999</v>
      </c>
      <c r="M258" s="45" t="n">
        <v>622174.694</v>
      </c>
      <c r="N258" s="45" t="n">
        <v>639999.99898</v>
      </c>
      <c r="O258" s="45" t="n">
        <v>488640.452</v>
      </c>
      <c r="P258" s="45" t="n">
        <v>502640.00095</v>
      </c>
      <c r="Q258" s="45" t="n">
        <v>0</v>
      </c>
      <c r="R258" s="45" t="n">
        <v>0</v>
      </c>
      <c r="S258" s="45" t="n">
        <v>1645815.146</v>
      </c>
      <c r="T258" s="45" t="n">
        <v>1692966.18993</v>
      </c>
      <c r="U258" s="15" t="n">
        <v>5.31</v>
      </c>
      <c r="V258" s="15" t="n">
        <v>10.9</v>
      </c>
      <c r="W258" s="49" t="n">
        <v>102.865</v>
      </c>
    </row>
    <row r="259">
      <c r="A259" s="44" t="inlineStr">
        <is>
          <t>TL Cinsi Sabit Faizli Kuponlu Senetler</t>
        </is>
      </c>
      <c r="B259" s="44" t="n">
        <v>2017</v>
      </c>
      <c r="C259" s="44" t="inlineStr">
        <is>
          <t>TRT150519T15</t>
        </is>
      </c>
      <c r="D259" s="44" t="inlineStr">
        <is>
          <t>17.05.2017</t>
        </is>
      </c>
      <c r="E259" s="44" t="inlineStr">
        <is>
          <t>15.05.2019</t>
        </is>
      </c>
      <c r="F259" s="44" t="n">
        <v>728</v>
      </c>
      <c r="G259" s="44" t="inlineStr">
        <is>
          <t>6 ay</t>
        </is>
      </c>
      <c r="H259" s="15" t="n">
        <v>5.55</v>
      </c>
      <c r="I259" s="45" t="n">
        <v>1773700</v>
      </c>
      <c r="J259" s="45" t="n">
        <v>1772840.139</v>
      </c>
      <c r="K259" s="45" t="n">
        <v>1055000</v>
      </c>
      <c r="L259" s="45" t="n">
        <v>1055159.28</v>
      </c>
      <c r="M259" s="45" t="n">
        <v>553916.912</v>
      </c>
      <c r="N259" s="45" t="n">
        <v>553999.99954</v>
      </c>
      <c r="O259" s="45" t="n">
        <v>761885.7169999999</v>
      </c>
      <c r="P259" s="45" t="n">
        <v>761999.99986</v>
      </c>
      <c r="Q259" s="45" t="n">
        <v>0</v>
      </c>
      <c r="R259" s="45" t="n">
        <v>0</v>
      </c>
      <c r="S259" s="45" t="n">
        <v>2370802.629</v>
      </c>
      <c r="T259" s="45" t="n">
        <v>2371159.2794</v>
      </c>
      <c r="U259" s="15" t="n">
        <v>5.55</v>
      </c>
      <c r="V259" s="15" t="n">
        <v>11.4</v>
      </c>
      <c r="W259" s="49" t="n">
        <v>100.015</v>
      </c>
    </row>
    <row r="260">
      <c r="A260" s="44" t="inlineStr">
        <is>
          <t>TL Cinsi Sabit Faizli Kuponlu Senetler</t>
        </is>
      </c>
      <c r="B260" s="44" t="n">
        <v>2017</v>
      </c>
      <c r="C260" s="44" t="inlineStr">
        <is>
          <t>TRT020322T17</t>
        </is>
      </c>
      <c r="D260" s="44" t="inlineStr">
        <is>
          <t>17.05.2017</t>
        </is>
      </c>
      <c r="E260" s="44" t="inlineStr">
        <is>
          <t>02.03.2022</t>
        </is>
      </c>
      <c r="F260" s="44" t="n">
        <v>1750</v>
      </c>
      <c r="G260" s="44" t="inlineStr">
        <is>
          <t>6 ay</t>
        </is>
      </c>
      <c r="H260" s="15" t="n">
        <v>5.5</v>
      </c>
      <c r="I260" s="45" t="n">
        <v>1404600</v>
      </c>
      <c r="J260" s="45" t="n">
        <v>1449830.859</v>
      </c>
      <c r="K260" s="45" t="n">
        <v>789600</v>
      </c>
      <c r="L260" s="45" t="n">
        <v>815497.6090000001</v>
      </c>
      <c r="M260" s="45" t="n">
        <v>668086.753</v>
      </c>
      <c r="N260" s="45" t="n">
        <v>689999.9985</v>
      </c>
      <c r="O260" s="45" t="n">
        <v>937742.061</v>
      </c>
      <c r="P260" s="45" t="n">
        <v>968500.0006199999</v>
      </c>
      <c r="Q260" s="45" t="n">
        <v>0</v>
      </c>
      <c r="R260" s="45" t="n">
        <v>0</v>
      </c>
      <c r="S260" s="45" t="n">
        <v>2395428.814</v>
      </c>
      <c r="T260" s="45" t="n">
        <v>2473997.60812</v>
      </c>
      <c r="U260" s="15" t="n">
        <v>5.34</v>
      </c>
      <c r="V260" s="15" t="n">
        <v>10.96</v>
      </c>
      <c r="W260" s="49" t="n">
        <v>103.28</v>
      </c>
    </row>
    <row r="261">
      <c r="A261" s="44" t="inlineStr">
        <is>
          <t>TL Cinsi Sabit Faizli Kuponlu Senetler</t>
        </is>
      </c>
      <c r="B261" s="44" t="n">
        <v>2017</v>
      </c>
      <c r="C261" s="44" t="inlineStr">
        <is>
          <t>TRT020322T17</t>
        </is>
      </c>
      <c r="D261" s="44" t="inlineStr">
        <is>
          <t>14.06.2017</t>
        </is>
      </c>
      <c r="E261" s="44" t="inlineStr">
        <is>
          <t>02.03.2022</t>
        </is>
      </c>
      <c r="F261" s="44" t="n">
        <v>1722</v>
      </c>
      <c r="G261" s="44" t="inlineStr">
        <is>
          <t>6 ay</t>
        </is>
      </c>
      <c r="H261" s="15" t="n">
        <v>5.5</v>
      </c>
      <c r="I261" s="45" t="n">
        <v>4276300</v>
      </c>
      <c r="J261" s="45" t="n">
        <v>4488849.646</v>
      </c>
      <c r="K261" s="45" t="n">
        <v>2415000</v>
      </c>
      <c r="L261" s="45" t="n">
        <v>2538782.84</v>
      </c>
      <c r="M261" s="45" t="n">
        <v>922702.281</v>
      </c>
      <c r="N261" s="45" t="n">
        <v>969999.99992</v>
      </c>
      <c r="O261" s="45" t="n">
        <v>1074520.1</v>
      </c>
      <c r="P261" s="45" t="n">
        <v>1129600.00033</v>
      </c>
      <c r="Q261" s="45" t="n">
        <v>0</v>
      </c>
      <c r="R261" s="45" t="n">
        <v>0</v>
      </c>
      <c r="S261" s="45" t="n">
        <v>4412222.381</v>
      </c>
      <c r="T261" s="45" t="n">
        <v>4638382.84025</v>
      </c>
      <c r="U261" s="15" t="n">
        <v>5.2</v>
      </c>
      <c r="V261" s="15" t="n">
        <v>10.67</v>
      </c>
      <c r="W261" s="49" t="n">
        <v>105.126</v>
      </c>
    </row>
    <row r="262">
      <c r="A262" s="44" t="inlineStr">
        <is>
          <t>TL Cinsi Sabit Faizli Kuponlu Senetler</t>
        </is>
      </c>
      <c r="B262" s="44" t="n">
        <v>2017</v>
      </c>
      <c r="C262" s="44" t="inlineStr">
        <is>
          <t>TRT150519T15</t>
        </is>
      </c>
      <c r="D262" s="44" t="inlineStr">
        <is>
          <t>14.06.2017</t>
        </is>
      </c>
      <c r="E262" s="44" t="inlineStr">
        <is>
          <t>15.05.2019</t>
        </is>
      </c>
      <c r="F262" s="44" t="n">
        <v>700</v>
      </c>
      <c r="G262" s="44" t="inlineStr">
        <is>
          <t>6 ay</t>
        </is>
      </c>
      <c r="H262" s="15" t="n">
        <v>5.55</v>
      </c>
      <c r="I262" s="45" t="n">
        <v>1972500</v>
      </c>
      <c r="J262" s="45" t="n">
        <v>1997301.805</v>
      </c>
      <c r="K262" s="45" t="n">
        <v>1405500</v>
      </c>
      <c r="L262" s="45" t="n">
        <v>1423861.875</v>
      </c>
      <c r="M262" s="45" t="n">
        <v>394843.345</v>
      </c>
      <c r="N262" s="45" t="n">
        <v>399999.99909</v>
      </c>
      <c r="O262" s="45" t="n">
        <v>529287.505</v>
      </c>
      <c r="P262" s="45" t="n">
        <v>536199.99981</v>
      </c>
      <c r="Q262" s="45" t="n">
        <v>173667.434</v>
      </c>
      <c r="R262" s="45" t="n">
        <v>175935.53069</v>
      </c>
      <c r="S262" s="45" t="n">
        <v>2503298.284</v>
      </c>
      <c r="T262" s="45" t="n">
        <v>2535997.40459</v>
      </c>
      <c r="U262" s="15" t="n">
        <v>5.41</v>
      </c>
      <c r="V262" s="15" t="n">
        <v>11.11</v>
      </c>
      <c r="W262" s="49" t="n">
        <v>101.306</v>
      </c>
    </row>
    <row r="263">
      <c r="A263" s="44" t="inlineStr">
        <is>
          <t>TL Cinsi Sabit Faizli Kuponlu Senetler</t>
        </is>
      </c>
      <c r="B263" s="44" t="n">
        <v>2017</v>
      </c>
      <c r="C263" s="44" t="inlineStr">
        <is>
          <t>TRT240227T17</t>
        </is>
      </c>
      <c r="D263" s="44" t="inlineStr">
        <is>
          <t>14.06.2017</t>
        </is>
      </c>
      <c r="E263" s="44" t="inlineStr">
        <is>
          <t>24.02.2027</t>
        </is>
      </c>
      <c r="F263" s="44" t="n">
        <v>3542</v>
      </c>
      <c r="G263" s="44" t="inlineStr">
        <is>
          <t>6 ay</t>
        </is>
      </c>
      <c r="H263" s="15" t="n">
        <v>5.5</v>
      </c>
      <c r="I263" s="45" t="n">
        <v>2620300</v>
      </c>
      <c r="J263" s="45" t="n">
        <v>2809622.657</v>
      </c>
      <c r="K263" s="45" t="n">
        <v>1922300</v>
      </c>
      <c r="L263" s="45" t="n">
        <v>2065601.287</v>
      </c>
      <c r="M263" s="45" t="n">
        <v>837559.9080000001</v>
      </c>
      <c r="N263" s="45" t="n">
        <v>899999.99914</v>
      </c>
      <c r="O263" s="45" t="n">
        <v>726350.5649999999</v>
      </c>
      <c r="P263" s="45" t="n">
        <v>780499.99962</v>
      </c>
      <c r="Q263" s="45" t="n">
        <v>0</v>
      </c>
      <c r="R263" s="45" t="n">
        <v>0</v>
      </c>
      <c r="S263" s="45" t="n">
        <v>3486210.473</v>
      </c>
      <c r="T263" s="45" t="n">
        <v>3746101.28576</v>
      </c>
      <c r="U263" s="15" t="n">
        <v>5.13</v>
      </c>
      <c r="V263" s="15" t="n">
        <v>10.52</v>
      </c>
      <c r="W263" s="49" t="n">
        <v>107.455</v>
      </c>
    </row>
    <row r="264">
      <c r="A264" s="44" t="inlineStr">
        <is>
          <t>TL Cinsi Sabit Faizli Kuponlu Senetler</t>
        </is>
      </c>
      <c r="B264" s="44" t="n">
        <v>2017</v>
      </c>
      <c r="C264" s="44" t="inlineStr">
        <is>
          <t>TRT150519T15</t>
        </is>
      </c>
      <c r="D264" s="44" t="inlineStr">
        <is>
          <t>12.07.2017</t>
        </is>
      </c>
      <c r="E264" s="44" t="inlineStr">
        <is>
          <t>15.05.2019</t>
        </is>
      </c>
      <c r="F264" s="44" t="n">
        <v>672</v>
      </c>
      <c r="G264" s="44" t="inlineStr">
        <is>
          <t>6 ay</t>
        </is>
      </c>
      <c r="H264" s="15" t="n">
        <v>5.55</v>
      </c>
      <c r="I264" s="45" t="n">
        <v>3836004.85</v>
      </c>
      <c r="J264" s="45" t="n">
        <v>3885303.84846</v>
      </c>
      <c r="K264" s="45" t="n">
        <v>1968000</v>
      </c>
      <c r="L264" s="45" t="n">
        <v>1994425.43</v>
      </c>
      <c r="M264" s="45" t="n">
        <v>294050.896</v>
      </c>
      <c r="N264" s="45" t="n">
        <v>297999.99953</v>
      </c>
      <c r="O264" s="45" t="n">
        <v>1042795.26</v>
      </c>
      <c r="P264" s="45" t="n">
        <v>1056800.00035</v>
      </c>
      <c r="Q264" s="45" t="n">
        <v>348437.457</v>
      </c>
      <c r="R264" s="45" t="n">
        <v>353116.97205</v>
      </c>
      <c r="S264" s="45" t="n">
        <v>3653283.613</v>
      </c>
      <c r="T264" s="45" t="n">
        <v>3702342.40193</v>
      </c>
      <c r="U264" s="15" t="n">
        <v>5.65</v>
      </c>
      <c r="V264" s="15" t="n">
        <v>11.62</v>
      </c>
      <c r="W264" s="49" t="n">
        <v>101.343</v>
      </c>
    </row>
    <row r="265">
      <c r="A265" s="44" t="inlineStr">
        <is>
          <t>TL Cinsi Sabit Faizli Kuponlu Senetler</t>
        </is>
      </c>
      <c r="B265" s="44" t="n">
        <v>2017</v>
      </c>
      <c r="C265" s="44" t="inlineStr">
        <is>
          <t>TRT020322T17</t>
        </is>
      </c>
      <c r="D265" s="44" t="inlineStr">
        <is>
          <t>19.07.2017</t>
        </is>
      </c>
      <c r="E265" s="44" t="inlineStr">
        <is>
          <t>02.03.2022</t>
        </is>
      </c>
      <c r="F265" s="44" t="n">
        <v>1687</v>
      </c>
      <c r="G265" s="44" t="inlineStr">
        <is>
          <t>6 ay</t>
        </is>
      </c>
      <c r="H265" s="15" t="n">
        <v>5.5</v>
      </c>
      <c r="I265" s="45" t="n">
        <v>3765257.4</v>
      </c>
      <c r="J265" s="45" t="n">
        <v>3973851.45192</v>
      </c>
      <c r="K265" s="45" t="n">
        <v>986500</v>
      </c>
      <c r="L265" s="45" t="n">
        <v>1043715.265</v>
      </c>
      <c r="M265" s="45" t="n">
        <v>765595.463</v>
      </c>
      <c r="N265" s="45" t="n">
        <v>809999.99986</v>
      </c>
      <c r="O265" s="45" t="n">
        <v>1800000</v>
      </c>
      <c r="P265" s="45" t="n">
        <v>1904400</v>
      </c>
      <c r="Q265" s="45" t="n">
        <v>199852.569</v>
      </c>
      <c r="R265" s="45" t="n">
        <v>211444.018</v>
      </c>
      <c r="S265" s="45" t="n">
        <v>3751948.032</v>
      </c>
      <c r="T265" s="45" t="n">
        <v>3969559.28286</v>
      </c>
      <c r="U265" s="15" t="n">
        <v>5.25</v>
      </c>
      <c r="V265" s="15" t="n">
        <v>10.77</v>
      </c>
      <c r="W265" s="49" t="n">
        <v>105.8</v>
      </c>
    </row>
    <row r="266">
      <c r="A266" s="44" t="inlineStr">
        <is>
          <t>TL Cinsi Sabit Faizli Kuponlu Senetler</t>
        </is>
      </c>
      <c r="B266" s="44" t="n">
        <v>2017</v>
      </c>
      <c r="C266" s="44" t="inlineStr">
        <is>
          <t>TRT240227T17</t>
        </is>
      </c>
      <c r="D266" s="44" t="inlineStr">
        <is>
          <t>19.07.2017</t>
        </is>
      </c>
      <c r="E266" s="44" t="inlineStr">
        <is>
          <t>24.02.2027</t>
        </is>
      </c>
      <c r="F266" s="44" t="n">
        <v>3507</v>
      </c>
      <c r="G266" s="44" t="inlineStr">
        <is>
          <t>6 ay</t>
        </is>
      </c>
      <c r="H266" s="15" t="n">
        <v>5.5</v>
      </c>
      <c r="I266" s="45" t="n">
        <v>5695400</v>
      </c>
      <c r="J266" s="45" t="n">
        <v>6129053.599</v>
      </c>
      <c r="K266" s="45" t="n">
        <v>2213000</v>
      </c>
      <c r="L266" s="45" t="n">
        <v>2387907.64</v>
      </c>
      <c r="M266" s="45" t="n">
        <v>657992.289</v>
      </c>
      <c r="N266" s="45" t="n">
        <v>709999.99952</v>
      </c>
      <c r="O266" s="45" t="n">
        <v>1568894.573</v>
      </c>
      <c r="P266" s="45" t="n">
        <v>1692900.00006</v>
      </c>
      <c r="Q266" s="45" t="n">
        <v>450568.652</v>
      </c>
      <c r="R266" s="45" t="n">
        <v>486181.59826</v>
      </c>
      <c r="S266" s="45" t="n">
        <v>4890455.514</v>
      </c>
      <c r="T266" s="45" t="n">
        <v>5276989.237840001</v>
      </c>
      <c r="U266" s="15" t="n">
        <v>5.17</v>
      </c>
      <c r="V266" s="15" t="n">
        <v>10.62</v>
      </c>
      <c r="W266" s="49" t="n">
        <v>107.904</v>
      </c>
    </row>
    <row r="267">
      <c r="A267" s="44" t="inlineStr">
        <is>
          <t>TL Cinsi Sabit Faizli Kuponlu Senetler</t>
        </is>
      </c>
      <c r="B267" s="44" t="n">
        <v>2017</v>
      </c>
      <c r="C267" s="44" t="inlineStr">
        <is>
          <t>TRT170822T15</t>
        </is>
      </c>
      <c r="D267" s="44" t="inlineStr">
        <is>
          <t>23.08.2017</t>
        </is>
      </c>
      <c r="E267" s="44" t="inlineStr">
        <is>
          <t>17.08.2022</t>
        </is>
      </c>
      <c r="F267" s="44" t="n">
        <v>1820</v>
      </c>
      <c r="G267" s="44" t="inlineStr">
        <is>
          <t>6 ay</t>
        </is>
      </c>
      <c r="H267" s="15" t="n">
        <v>5.35</v>
      </c>
      <c r="I267" s="45" t="n">
        <v>3225400</v>
      </c>
      <c r="J267" s="45" t="n">
        <v>3225237.397</v>
      </c>
      <c r="K267" s="45" t="n">
        <v>1694000</v>
      </c>
      <c r="L267" s="45" t="n">
        <v>1696956.25</v>
      </c>
      <c r="M267" s="45" t="n">
        <v>339406.039</v>
      </c>
      <c r="N267" s="45" t="n">
        <v>339999.99957</v>
      </c>
      <c r="O267" s="45" t="n">
        <v>1355791.364</v>
      </c>
      <c r="P267" s="45" t="n">
        <v>1358163.99889</v>
      </c>
      <c r="Q267" s="45" t="n">
        <v>90538.83100000001</v>
      </c>
      <c r="R267" s="45" t="n">
        <v>90697.27395</v>
      </c>
      <c r="S267" s="45" t="n">
        <v>3479736.234</v>
      </c>
      <c r="T267" s="45" t="n">
        <v>3485817.52241</v>
      </c>
      <c r="U267" s="15" t="n">
        <v>5.33</v>
      </c>
      <c r="V267" s="15" t="n">
        <v>10.94</v>
      </c>
      <c r="W267" s="49" t="n">
        <v>100.175</v>
      </c>
    </row>
    <row r="268">
      <c r="A268" s="44" t="inlineStr">
        <is>
          <t>TL Cinsi Sabit Faizli Kuponlu Senetler</t>
        </is>
      </c>
      <c r="B268" s="44" t="n">
        <v>2017</v>
      </c>
      <c r="C268" s="44" t="inlineStr">
        <is>
          <t>TRT150519T15</t>
        </is>
      </c>
      <c r="D268" s="44" t="inlineStr">
        <is>
          <t>23.08.2017</t>
        </is>
      </c>
      <c r="E268" s="44" t="inlineStr">
        <is>
          <t>15.05.2019</t>
        </is>
      </c>
      <c r="F268" s="44" t="n">
        <v>630</v>
      </c>
      <c r="G268" s="44" t="inlineStr">
        <is>
          <t>6 ay</t>
        </is>
      </c>
      <c r="H268" s="15" t="n">
        <v>5.55</v>
      </c>
      <c r="I268" s="45" t="n">
        <v>1855150</v>
      </c>
      <c r="J268" s="45" t="n">
        <v>1899889.357</v>
      </c>
      <c r="K268" s="45" t="n">
        <v>833000</v>
      </c>
      <c r="L268" s="45" t="n">
        <v>853882.9300000001</v>
      </c>
      <c r="M268" s="45" t="n">
        <v>117065.176</v>
      </c>
      <c r="N268" s="45" t="n">
        <v>119999.99996</v>
      </c>
      <c r="O268" s="45" t="n">
        <v>875062.1899999999</v>
      </c>
      <c r="P268" s="45" t="n">
        <v>896999.99911</v>
      </c>
      <c r="Q268" s="45" t="n">
        <v>0</v>
      </c>
      <c r="R268" s="45" t="n">
        <v>0</v>
      </c>
      <c r="S268" s="45" t="n">
        <v>1825127.366</v>
      </c>
      <c r="T268" s="45" t="n">
        <v>1870882.92907</v>
      </c>
      <c r="U268" s="15" t="n">
        <v>5.69</v>
      </c>
      <c r="V268" s="15" t="n">
        <v>11.71</v>
      </c>
      <c r="W268" s="49" t="n">
        <v>102.507</v>
      </c>
    </row>
    <row r="269">
      <c r="A269" s="44" t="inlineStr">
        <is>
          <t>TL Cinsi Sabit Faizli Kuponlu Senetler</t>
        </is>
      </c>
      <c r="B269" s="44" t="n">
        <v>2017</v>
      </c>
      <c r="C269" s="44" t="inlineStr">
        <is>
          <t>TRT110827T16</t>
        </is>
      </c>
      <c r="D269" s="44" t="inlineStr">
        <is>
          <t>23.08.2017</t>
        </is>
      </c>
      <c r="E269" s="44" t="inlineStr">
        <is>
          <t>11.08.2027</t>
        </is>
      </c>
      <c r="F269" s="44" t="n">
        <v>3640</v>
      </c>
      <c r="G269" s="44" t="inlineStr">
        <is>
          <t>6 ay</t>
        </is>
      </c>
      <c r="H269" s="15" t="n">
        <v>5.25</v>
      </c>
      <c r="I269" s="45" t="n">
        <v>2262100</v>
      </c>
      <c r="J269" s="45" t="n">
        <v>2272212.409</v>
      </c>
      <c r="K269" s="45" t="n">
        <v>1382900</v>
      </c>
      <c r="L269" s="45" t="n">
        <v>1392347.694</v>
      </c>
      <c r="M269" s="45" t="n">
        <v>89389.469</v>
      </c>
      <c r="N269" s="45" t="n">
        <v>89999.99907000001</v>
      </c>
      <c r="O269" s="45" t="n">
        <v>1145282.125</v>
      </c>
      <c r="P269" s="45" t="n">
        <v>1153104.40191</v>
      </c>
      <c r="Q269" s="45" t="n">
        <v>0</v>
      </c>
      <c r="R269" s="45" t="n">
        <v>0</v>
      </c>
      <c r="S269" s="45" t="n">
        <v>2617571.594</v>
      </c>
      <c r="T269" s="45" t="n">
        <v>2635452.09498</v>
      </c>
      <c r="U269" s="15" t="n">
        <v>5.19</v>
      </c>
      <c r="V269" s="15" t="n">
        <v>10.66</v>
      </c>
      <c r="W269" s="49" t="n">
        <v>100.683</v>
      </c>
    </row>
    <row r="270">
      <c r="A270" s="44" t="inlineStr">
        <is>
          <t>TL Cinsi Sabit Faizli Kuponlu Senetler</t>
        </is>
      </c>
      <c r="B270" s="44" t="n">
        <v>2017</v>
      </c>
      <c r="C270" s="44" t="inlineStr">
        <is>
          <t>TRT170822T15</t>
        </is>
      </c>
      <c r="D270" s="44" t="inlineStr">
        <is>
          <t>13.09.2017</t>
        </is>
      </c>
      <c r="E270" s="44" t="inlineStr">
        <is>
          <t>17.08.2022</t>
        </is>
      </c>
      <c r="F270" s="44" t="n">
        <v>1799</v>
      </c>
      <c r="G270" s="44" t="inlineStr">
        <is>
          <t>6 ay</t>
        </is>
      </c>
      <c r="H270" s="15" t="n">
        <v>5.35</v>
      </c>
      <c r="I270" s="45" t="n">
        <v>5253100</v>
      </c>
      <c r="J270" s="45" t="n">
        <v>5290351.189</v>
      </c>
      <c r="K270" s="45" t="n">
        <v>2147000</v>
      </c>
      <c r="L270" s="45" t="n">
        <v>2164590.45</v>
      </c>
      <c r="M270" s="45" t="n">
        <v>446344.438</v>
      </c>
      <c r="N270" s="45" t="n">
        <v>449999.99894</v>
      </c>
      <c r="O270" s="45" t="n">
        <v>1582054.97</v>
      </c>
      <c r="P270" s="45" t="n">
        <v>1595012.00021</v>
      </c>
      <c r="Q270" s="45" t="n">
        <v>460021.423</v>
      </c>
      <c r="R270" s="45" t="n">
        <v>463788.99845</v>
      </c>
      <c r="S270" s="45" t="n">
        <v>4635420.831</v>
      </c>
      <c r="T270" s="45" t="n">
        <v>4673391.447600001</v>
      </c>
      <c r="U270" s="15" t="n">
        <v>5.32</v>
      </c>
      <c r="V270" s="15" t="n">
        <v>10.93</v>
      </c>
      <c r="W270" s="49" t="n">
        <v>100.819</v>
      </c>
    </row>
    <row r="271">
      <c r="A271" s="44" t="inlineStr">
        <is>
          <t>TL Cinsi Sabit Faizli Kuponlu Senetler</t>
        </is>
      </c>
      <c r="B271" s="44" t="n">
        <v>2017</v>
      </c>
      <c r="C271" s="44" t="inlineStr">
        <is>
          <t>TRT110827T16</t>
        </is>
      </c>
      <c r="D271" s="44" t="inlineStr">
        <is>
          <t>20.09.2017</t>
        </is>
      </c>
      <c r="E271" s="44" t="inlineStr">
        <is>
          <t>11.08.2027</t>
        </is>
      </c>
      <c r="F271" s="44" t="n">
        <v>3612</v>
      </c>
      <c r="G271" s="44" t="inlineStr">
        <is>
          <t>6 ay</t>
        </is>
      </c>
      <c r="H271" s="15" t="n">
        <v>5.25</v>
      </c>
      <c r="I271" s="45" t="n">
        <v>2425000</v>
      </c>
      <c r="J271" s="45" t="n">
        <v>2427530.52</v>
      </c>
      <c r="K271" s="45" t="n">
        <v>1718000</v>
      </c>
      <c r="L271" s="45" t="n">
        <v>1725565.18</v>
      </c>
      <c r="M271" s="45" t="n">
        <v>527678.215</v>
      </c>
      <c r="N271" s="45" t="n">
        <v>529999.99914</v>
      </c>
      <c r="O271" s="45" t="n">
        <v>525487.853</v>
      </c>
      <c r="P271" s="45" t="n">
        <v>527799.9995799999</v>
      </c>
      <c r="Q271" s="45" t="n">
        <v>299818.119</v>
      </c>
      <c r="R271" s="45" t="n">
        <v>301137.31873</v>
      </c>
      <c r="S271" s="45" t="n">
        <v>3070984.187</v>
      </c>
      <c r="T271" s="45" t="n">
        <v>3084502.49745</v>
      </c>
      <c r="U271" s="15" t="n">
        <v>5.28</v>
      </c>
      <c r="V271" s="15" t="n">
        <v>10.84</v>
      </c>
      <c r="W271" s="49" t="n">
        <v>100.44</v>
      </c>
    </row>
    <row r="272">
      <c r="A272" s="44" t="inlineStr">
        <is>
          <t>TL Cinsi Sabit Faizli Kuponlu Senetler</t>
        </is>
      </c>
      <c r="B272" s="44" t="n">
        <v>2017</v>
      </c>
      <c r="C272" s="44" t="inlineStr">
        <is>
          <t>TRT150519T15</t>
        </is>
      </c>
      <c r="D272" s="44" t="inlineStr">
        <is>
          <t>27.09.2017</t>
        </is>
      </c>
      <c r="E272" s="44" t="inlineStr">
        <is>
          <t>15.05.2019</t>
        </is>
      </c>
      <c r="F272" s="44" t="n">
        <v>595</v>
      </c>
      <c r="G272" s="44" t="inlineStr">
        <is>
          <t>6 ay</t>
        </is>
      </c>
      <c r="H272" s="15" t="n">
        <v>5.55</v>
      </c>
      <c r="I272" s="45" t="n">
        <v>2795000</v>
      </c>
      <c r="J272" s="45" t="n">
        <v>2885558.34</v>
      </c>
      <c r="K272" s="45" t="n">
        <v>413000</v>
      </c>
      <c r="L272" s="45" t="n">
        <v>426784.78</v>
      </c>
      <c r="M272" s="45" t="n">
        <v>193539.646</v>
      </c>
      <c r="N272" s="45" t="n">
        <v>199999.99938</v>
      </c>
      <c r="O272" s="45" t="n">
        <v>479736.398</v>
      </c>
      <c r="P272" s="45" t="n">
        <v>495749.99895</v>
      </c>
      <c r="Q272" s="45" t="n">
        <v>20000</v>
      </c>
      <c r="R272" s="45" t="n">
        <v>20667.6</v>
      </c>
      <c r="S272" s="45" t="n">
        <v>1106276.044</v>
      </c>
      <c r="T272" s="45" t="n">
        <v>1143202.37833</v>
      </c>
      <c r="U272" s="15" t="n">
        <v>5.79</v>
      </c>
      <c r="V272" s="15" t="n">
        <v>11.91</v>
      </c>
      <c r="W272" s="49" t="n">
        <v>103.338</v>
      </c>
    </row>
    <row r="273">
      <c r="A273" s="44" t="inlineStr">
        <is>
          <t>TL Cinsi Sabit Faizli Kuponlu Senetler</t>
        </is>
      </c>
      <c r="B273" s="44" t="n">
        <v>2017</v>
      </c>
      <c r="C273" s="44" t="inlineStr">
        <is>
          <t>TRT170822T15</t>
        </is>
      </c>
      <c r="D273" s="44" t="inlineStr">
        <is>
          <t>25.10.2017</t>
        </is>
      </c>
      <c r="E273" s="44" t="inlineStr">
        <is>
          <t>17.08.2022</t>
        </is>
      </c>
      <c r="F273" s="44" t="n">
        <v>1757</v>
      </c>
      <c r="G273" s="44" t="inlineStr">
        <is>
          <t>6 ay</t>
        </is>
      </c>
      <c r="H273" s="15" t="n">
        <v>5.35</v>
      </c>
      <c r="I273" s="45" t="n">
        <v>2948000</v>
      </c>
      <c r="J273" s="45" t="n">
        <v>2905310.73</v>
      </c>
      <c r="K273" s="45" t="n">
        <v>2037000</v>
      </c>
      <c r="L273" s="45" t="n">
        <v>2008865.87</v>
      </c>
      <c r="M273" s="45" t="n">
        <v>684452.285</v>
      </c>
      <c r="N273" s="45" t="n">
        <v>674999.99895</v>
      </c>
      <c r="O273" s="45" t="n">
        <v>1590667.112</v>
      </c>
      <c r="P273" s="45" t="n">
        <v>1568699.99919</v>
      </c>
      <c r="Q273" s="45" t="n">
        <v>0</v>
      </c>
      <c r="R273" s="45" t="n">
        <v>0</v>
      </c>
      <c r="S273" s="45" t="n">
        <v>4312119.397</v>
      </c>
      <c r="T273" s="45" t="n">
        <v>4252565.86814</v>
      </c>
      <c r="U273" s="15" t="n">
        <v>5.79</v>
      </c>
      <c r="V273" s="15" t="n">
        <v>11.92</v>
      </c>
      <c r="W273" s="49" t="n">
        <v>98.619</v>
      </c>
    </row>
    <row r="274">
      <c r="A274" s="44" t="inlineStr">
        <is>
          <t>TL Cinsi Sabit Faizli Kuponlu Senetler</t>
        </is>
      </c>
      <c r="B274" s="44" t="n">
        <v>2017</v>
      </c>
      <c r="C274" s="44" t="inlineStr">
        <is>
          <t>TRT150519T15</t>
        </is>
      </c>
      <c r="D274" s="44" t="inlineStr">
        <is>
          <t>25.10.2017</t>
        </is>
      </c>
      <c r="E274" s="44" t="inlineStr">
        <is>
          <t>15.05.2019</t>
        </is>
      </c>
      <c r="F274" s="44" t="n">
        <v>567</v>
      </c>
      <c r="G274" s="44" t="inlineStr">
        <is>
          <t>6 ay</t>
        </is>
      </c>
      <c r="H274" s="15" t="n">
        <v>5.55</v>
      </c>
      <c r="I274" s="45" t="n">
        <v>2039001.5</v>
      </c>
      <c r="J274" s="45" t="n">
        <v>2107837.92407</v>
      </c>
      <c r="K274" s="45" t="n">
        <v>594000</v>
      </c>
      <c r="L274" s="45" t="n">
        <v>614752.91</v>
      </c>
      <c r="M274" s="45" t="n">
        <v>483119.794</v>
      </c>
      <c r="N274" s="45" t="n">
        <v>499999.9996</v>
      </c>
      <c r="O274" s="45" t="n">
        <v>1094991.014</v>
      </c>
      <c r="P274" s="45" t="n">
        <v>1133250.00003</v>
      </c>
      <c r="Q274" s="45" t="n">
        <v>0</v>
      </c>
      <c r="R274" s="45" t="n">
        <v>0</v>
      </c>
      <c r="S274" s="45" t="n">
        <v>2172110.808</v>
      </c>
      <c r="T274" s="45" t="n">
        <v>2248002.90963</v>
      </c>
      <c r="U274" s="15" t="n">
        <v>6.06</v>
      </c>
      <c r="V274" s="15" t="n">
        <v>12.48</v>
      </c>
      <c r="W274" s="49" t="n">
        <v>103.494</v>
      </c>
    </row>
    <row r="275">
      <c r="A275" s="44" t="inlineStr">
        <is>
          <t>TL Cinsi Sabit Faizli Kuponlu Senetler</t>
        </is>
      </c>
      <c r="B275" s="44" t="n">
        <v>2017</v>
      </c>
      <c r="C275" s="44" t="inlineStr">
        <is>
          <t>TRT110827T16</t>
        </is>
      </c>
      <c r="D275" s="44" t="inlineStr">
        <is>
          <t>25.10.2017</t>
        </is>
      </c>
      <c r="E275" s="44" t="inlineStr">
        <is>
          <t>11.08.2027</t>
        </is>
      </c>
      <c r="F275" s="44" t="n">
        <v>3577</v>
      </c>
      <c r="G275" s="44" t="inlineStr">
        <is>
          <t>6 ay</t>
        </is>
      </c>
      <c r="H275" s="15" t="n">
        <v>5.25</v>
      </c>
      <c r="I275" s="45" t="n">
        <v>4668900</v>
      </c>
      <c r="J275" s="45" t="n">
        <v>4515588.667</v>
      </c>
      <c r="K275" s="45" t="n">
        <v>3073900</v>
      </c>
      <c r="L275" s="45" t="n">
        <v>2977801.042</v>
      </c>
      <c r="M275" s="45" t="n">
        <v>619361.232</v>
      </c>
      <c r="N275" s="45" t="n">
        <v>599999.99988</v>
      </c>
      <c r="O275" s="45" t="n">
        <v>1529719.016</v>
      </c>
      <c r="P275" s="45" t="n">
        <v>1481899.99956</v>
      </c>
      <c r="Q275" s="45" t="n">
        <v>0</v>
      </c>
      <c r="R275" s="45" t="n">
        <v>0</v>
      </c>
      <c r="S275" s="45" t="n">
        <v>5222980.248</v>
      </c>
      <c r="T275" s="45" t="n">
        <v>5059701.04144</v>
      </c>
      <c r="U275" s="15" t="n">
        <v>5.67</v>
      </c>
      <c r="V275" s="15" t="n">
        <v>11.66</v>
      </c>
      <c r="W275" s="49" t="n">
        <v>96.874</v>
      </c>
    </row>
    <row r="276">
      <c r="A276" s="44" t="inlineStr">
        <is>
          <t>TL Cinsi Sabit Faizli Kuponlu Senetler</t>
        </is>
      </c>
      <c r="B276" s="44" t="n">
        <v>2017</v>
      </c>
      <c r="C276" s="44" t="inlineStr">
        <is>
          <t>TRT131119T19</t>
        </is>
      </c>
      <c r="D276" s="44" t="inlineStr">
        <is>
          <t>15.11.2017</t>
        </is>
      </c>
      <c r="E276" s="44" t="inlineStr">
        <is>
          <t>13.11.2019</t>
        </is>
      </c>
      <c r="F276" s="44" t="n">
        <v>728</v>
      </c>
      <c r="G276" s="44" t="inlineStr">
        <is>
          <t>6 ay</t>
        </is>
      </c>
      <c r="H276" s="15" t="n">
        <v>6.5</v>
      </c>
      <c r="I276" s="45" t="n">
        <v>1358400</v>
      </c>
      <c r="J276" s="45" t="n">
        <v>1348781.786</v>
      </c>
      <c r="K276" s="45" t="n">
        <v>485100</v>
      </c>
      <c r="L276" s="45" t="n">
        <v>482536.943</v>
      </c>
      <c r="M276" s="45" t="n">
        <v>241273.926</v>
      </c>
      <c r="N276" s="45" t="n">
        <v>239999.99967</v>
      </c>
      <c r="O276" s="45" t="n">
        <v>553914.6679999999</v>
      </c>
      <c r="P276" s="45" t="n">
        <v>550989.99855</v>
      </c>
      <c r="Q276" s="45" t="n">
        <v>16000</v>
      </c>
      <c r="R276" s="45" t="n">
        <v>15915.52</v>
      </c>
      <c r="S276" s="45" t="n">
        <v>1296288.594</v>
      </c>
      <c r="T276" s="45" t="n">
        <v>1289442.46122</v>
      </c>
      <c r="U276" s="15" t="n">
        <v>6.65</v>
      </c>
      <c r="V276" s="15" t="n">
        <v>13.75</v>
      </c>
      <c r="W276" s="49" t="n">
        <v>99.47199999999999</v>
      </c>
    </row>
    <row r="277">
      <c r="A277" s="44" t="inlineStr">
        <is>
          <t>TL Cinsi Sabit Faizli Kuponlu Senetler</t>
        </is>
      </c>
      <c r="B277" s="44" t="n">
        <v>2017</v>
      </c>
      <c r="C277" s="44" t="inlineStr">
        <is>
          <t>TRT110827T16</t>
        </is>
      </c>
      <c r="D277" s="44" t="inlineStr">
        <is>
          <t>15.11.2017</t>
        </is>
      </c>
      <c r="E277" s="44" t="inlineStr">
        <is>
          <t>11.08.2027</t>
        </is>
      </c>
      <c r="F277" s="44" t="n">
        <v>3556</v>
      </c>
      <c r="G277" s="44" t="inlineStr">
        <is>
          <t>6 ay</t>
        </is>
      </c>
      <c r="H277" s="15" t="n">
        <v>5.25</v>
      </c>
      <c r="I277" s="45" t="n">
        <v>1813810</v>
      </c>
      <c r="J277" s="45" t="n">
        <v>1701391.8815</v>
      </c>
      <c r="K277" s="45" t="n">
        <v>922810</v>
      </c>
      <c r="L277" s="45" t="n">
        <v>867635.6415</v>
      </c>
      <c r="M277" s="45" t="n">
        <v>255262.122</v>
      </c>
      <c r="N277" s="45" t="n">
        <v>239999.99973</v>
      </c>
      <c r="O277" s="45" t="n">
        <v>757171.272</v>
      </c>
      <c r="P277" s="45" t="n">
        <v>711900.00163</v>
      </c>
      <c r="Q277" s="45" t="n">
        <v>0</v>
      </c>
      <c r="R277" s="45" t="n">
        <v>0</v>
      </c>
      <c r="S277" s="45" t="n">
        <v>1935243.394</v>
      </c>
      <c r="T277" s="45" t="n">
        <v>1819535.64286</v>
      </c>
      <c r="U277" s="15" t="n">
        <v>5.99</v>
      </c>
      <c r="V277" s="15" t="n">
        <v>12.33</v>
      </c>
      <c r="W277" s="49" t="n">
        <v>94.021</v>
      </c>
    </row>
    <row r="278">
      <c r="A278" s="44" t="inlineStr">
        <is>
          <t>TL Cinsi Sabit Faizli Kuponlu Senetler</t>
        </is>
      </c>
      <c r="B278" s="44" t="n">
        <v>2017</v>
      </c>
      <c r="C278" s="44" t="inlineStr">
        <is>
          <t>TRT170822T15</t>
        </is>
      </c>
      <c r="D278" s="44" t="inlineStr">
        <is>
          <t>22.11.2017</t>
        </is>
      </c>
      <c r="E278" s="44" t="inlineStr">
        <is>
          <t>17.08.2022</t>
        </is>
      </c>
      <c r="F278" s="44" t="n">
        <v>1729</v>
      </c>
      <c r="G278" s="44" t="inlineStr">
        <is>
          <t>6 ay</t>
        </is>
      </c>
      <c r="H278" s="15" t="n">
        <v>5.35</v>
      </c>
      <c r="I278" s="45" t="n">
        <v>1699001.625</v>
      </c>
      <c r="J278" s="45" t="n">
        <v>1584333.98895</v>
      </c>
      <c r="K278" s="45" t="n">
        <v>490000</v>
      </c>
      <c r="L278" s="45" t="n">
        <v>457846.23</v>
      </c>
      <c r="M278" s="45" t="n">
        <v>645347.716</v>
      </c>
      <c r="N278" s="45" t="n">
        <v>602999.99887</v>
      </c>
      <c r="O278" s="45" t="n">
        <v>530191.1409999999</v>
      </c>
      <c r="P278" s="45" t="n">
        <v>495399.99833</v>
      </c>
      <c r="Q278" s="45" t="n">
        <v>0</v>
      </c>
      <c r="R278" s="45" t="n">
        <v>0</v>
      </c>
      <c r="S278" s="45" t="n">
        <v>1665538.857</v>
      </c>
      <c r="T278" s="45" t="n">
        <v>1556246.2272</v>
      </c>
      <c r="U278" s="15" t="n">
        <v>6.69</v>
      </c>
      <c r="V278" s="15" t="n">
        <v>13.82</v>
      </c>
      <c r="W278" s="49" t="n">
        <v>93.438</v>
      </c>
    </row>
    <row r="279">
      <c r="A279" s="44" t="inlineStr">
        <is>
          <t>TL Cinsi Sabit Faizli Kuponlu Senetler</t>
        </is>
      </c>
      <c r="B279" s="44" t="n">
        <v>2017</v>
      </c>
      <c r="C279" s="44" t="inlineStr">
        <is>
          <t>TRT131119T19</t>
        </is>
      </c>
      <c r="D279" s="44" t="inlineStr">
        <is>
          <t>13.12.2017</t>
        </is>
      </c>
      <c r="E279" s="44" t="inlineStr">
        <is>
          <t>13.11.2019</t>
        </is>
      </c>
      <c r="F279" s="44" t="n">
        <v>700</v>
      </c>
      <c r="G279" s="44" t="inlineStr">
        <is>
          <t>6 ay</t>
        </is>
      </c>
      <c r="H279" s="15" t="n">
        <v>6.5</v>
      </c>
      <c r="I279" s="45" t="n">
        <v>452150</v>
      </c>
      <c r="J279" s="45" t="n">
        <v>456576.34825</v>
      </c>
      <c r="K279" s="45" t="n">
        <v>155000</v>
      </c>
      <c r="L279" s="45" t="n">
        <v>156643.6</v>
      </c>
      <c r="M279" s="45" t="n">
        <v>512566.791</v>
      </c>
      <c r="N279" s="45" t="n">
        <v>517999.99898</v>
      </c>
      <c r="O279" s="45" t="n">
        <v>365723.333</v>
      </c>
      <c r="P279" s="45" t="n">
        <v>369600.00032</v>
      </c>
      <c r="Q279" s="45" t="n">
        <v>0</v>
      </c>
      <c r="R279" s="45" t="n">
        <v>0</v>
      </c>
      <c r="S279" s="45" t="n">
        <v>1033290.124</v>
      </c>
      <c r="T279" s="45" t="n">
        <v>1044243.5993</v>
      </c>
      <c r="U279" s="15" t="n">
        <v>6.47</v>
      </c>
      <c r="V279" s="15" t="n">
        <v>13.37</v>
      </c>
      <c r="W279" s="49" t="n">
        <v>101.06</v>
      </c>
    </row>
    <row r="280">
      <c r="A280" s="44" t="inlineStr">
        <is>
          <t>TL Cinsi Sabit Faizli Kuponlu Senetler</t>
        </is>
      </c>
      <c r="B280" s="44" t="n">
        <v>2017</v>
      </c>
      <c r="C280" s="44" t="inlineStr">
        <is>
          <t>TRT170822T15</t>
        </is>
      </c>
      <c r="D280" s="44" t="inlineStr">
        <is>
          <t>13.12.2017</t>
        </is>
      </c>
      <c r="E280" s="44" t="inlineStr">
        <is>
          <t>17.08.2022</t>
        </is>
      </c>
      <c r="F280" s="44" t="n">
        <v>1708</v>
      </c>
      <c r="G280" s="44" t="inlineStr">
        <is>
          <t>6 ay</t>
        </is>
      </c>
      <c r="H280" s="15" t="n">
        <v>5.35</v>
      </c>
      <c r="I280" s="45" t="n">
        <v>2342000</v>
      </c>
      <c r="J280" s="45" t="n">
        <v>2273248.23</v>
      </c>
      <c r="K280" s="45" t="n">
        <v>663000</v>
      </c>
      <c r="L280" s="45" t="n">
        <v>644814.1</v>
      </c>
      <c r="M280" s="45" t="n">
        <v>457550.613</v>
      </c>
      <c r="N280" s="45" t="n">
        <v>444999.99968</v>
      </c>
      <c r="O280" s="45" t="n">
        <v>636612.274</v>
      </c>
      <c r="P280" s="45" t="n">
        <v>619149.99931</v>
      </c>
      <c r="Q280" s="45" t="n">
        <v>0</v>
      </c>
      <c r="R280" s="45" t="n">
        <v>0</v>
      </c>
      <c r="S280" s="45" t="n">
        <v>1757162.887</v>
      </c>
      <c r="T280" s="45" t="n">
        <v>1708964.09899</v>
      </c>
      <c r="U280" s="15" t="n">
        <v>6.21</v>
      </c>
      <c r="V280" s="15" t="n">
        <v>12.81</v>
      </c>
      <c r="W280" s="49" t="n">
        <v>97.25700000000001</v>
      </c>
    </row>
    <row r="281">
      <c r="A281" s="44" t="inlineStr">
        <is>
          <t>TL Cinsi Sabit Faizli Kuponlu Senetler</t>
        </is>
      </c>
      <c r="B281" s="44" t="n">
        <v>2016</v>
      </c>
      <c r="C281" s="44" t="inlineStr">
        <is>
          <t>TRT080720T19</t>
        </is>
      </c>
      <c r="D281" s="44" t="inlineStr">
        <is>
          <t>27.01.2016</t>
        </is>
      </c>
      <c r="E281" s="44" t="inlineStr">
        <is>
          <t>08.07.2020</t>
        </is>
      </c>
      <c r="F281" s="44" t="n">
        <v>1624</v>
      </c>
      <c r="G281" s="44" t="inlineStr">
        <is>
          <t>6 ay</t>
        </is>
      </c>
      <c r="H281" s="15" t="n">
        <v>4.7</v>
      </c>
      <c r="I281" s="45" t="n">
        <v>3298350</v>
      </c>
      <c r="J281" s="45" t="n">
        <v>3153856.959</v>
      </c>
      <c r="K281" s="45" t="n">
        <v>1130500</v>
      </c>
      <c r="L281" s="45" t="n">
        <v>1082805.695</v>
      </c>
      <c r="M281" s="45" t="n">
        <v>835238.721</v>
      </c>
      <c r="N281" s="45" t="n">
        <v>799999.99936</v>
      </c>
      <c r="O281" s="45" t="n">
        <v>1105866.509</v>
      </c>
      <c r="P281" s="45" t="n">
        <v>1059210.00099</v>
      </c>
      <c r="Q281" s="45" t="n">
        <v>38021.068</v>
      </c>
      <c r="R281" s="45" t="n">
        <v>36416.95914</v>
      </c>
      <c r="S281" s="45" t="n">
        <v>3109626.298</v>
      </c>
      <c r="T281" s="45" t="n">
        <v>2978432.65449</v>
      </c>
      <c r="U281" s="15" t="n">
        <v>5.36</v>
      </c>
      <c r="V281" s="15" t="n">
        <v>11</v>
      </c>
      <c r="W281" s="49" t="n">
        <v>95.78100000000001</v>
      </c>
    </row>
    <row r="282">
      <c r="A282" s="44" t="inlineStr">
        <is>
          <t>TL Cinsi Sabit Faizli Kuponlu Senetler</t>
        </is>
      </c>
      <c r="B282" s="44" t="n">
        <v>2016</v>
      </c>
      <c r="C282" s="44" t="inlineStr">
        <is>
          <t>TRT140617T17</t>
        </is>
      </c>
      <c r="D282" s="44" t="inlineStr">
        <is>
          <t>27.01.2016</t>
        </is>
      </c>
      <c r="E282" s="44" t="inlineStr">
        <is>
          <t>14.06.2017</t>
        </is>
      </c>
      <c r="F282" s="44" t="n">
        <v>504</v>
      </c>
      <c r="G282" s="44" t="inlineStr">
        <is>
          <t>6 ay</t>
        </is>
      </c>
      <c r="H282" s="15" t="n">
        <v>4.8</v>
      </c>
      <c r="I282" s="45" t="n">
        <v>1784200</v>
      </c>
      <c r="J282" s="45" t="n">
        <v>1770971.78</v>
      </c>
      <c r="K282" s="45" t="n">
        <v>591000</v>
      </c>
      <c r="L282" s="45" t="n">
        <v>587178.1</v>
      </c>
      <c r="M282" s="45" t="n">
        <v>1132326.15</v>
      </c>
      <c r="N282" s="45" t="n">
        <v>1124999.99981</v>
      </c>
      <c r="O282" s="45" t="n">
        <v>586796.573</v>
      </c>
      <c r="P282" s="45" t="n">
        <v>582999.99918</v>
      </c>
      <c r="Q282" s="45" t="n">
        <v>111002.957</v>
      </c>
      <c r="R282" s="45" t="n">
        <v>110284.76786</v>
      </c>
      <c r="S282" s="45" t="n">
        <v>2421125.68</v>
      </c>
      <c r="T282" s="45" t="n">
        <v>2405462.86685</v>
      </c>
      <c r="U282" s="15" t="n">
        <v>5.49</v>
      </c>
      <c r="V282" s="15" t="n">
        <v>11.28</v>
      </c>
      <c r="W282" s="49" t="n">
        <v>99.35299999999999</v>
      </c>
    </row>
    <row r="283">
      <c r="A283" s="44" t="inlineStr">
        <is>
          <t>TL Cinsi Sabit Faizli Kuponlu Senetler</t>
        </is>
      </c>
      <c r="B283" s="44" t="n">
        <v>2016</v>
      </c>
      <c r="C283" s="44" t="inlineStr">
        <is>
          <t>TRT120325T12</t>
        </is>
      </c>
      <c r="D283" s="44" t="inlineStr">
        <is>
          <t>27.01.2016</t>
        </is>
      </c>
      <c r="E283" s="44" t="inlineStr">
        <is>
          <t>12.03.2025</t>
        </is>
      </c>
      <c r="F283" s="44" t="n">
        <v>3332</v>
      </c>
      <c r="G283" s="44" t="inlineStr">
        <is>
          <t>6 ay</t>
        </is>
      </c>
      <c r="H283" s="15" t="n">
        <v>4</v>
      </c>
      <c r="I283" s="45" t="n">
        <v>1940900</v>
      </c>
      <c r="J283" s="45" t="n">
        <v>1672984.485</v>
      </c>
      <c r="K283" s="45" t="n">
        <v>1116000</v>
      </c>
      <c r="L283" s="45" t="n">
        <v>964460.5699999999</v>
      </c>
      <c r="M283" s="45" t="n">
        <v>925700.929</v>
      </c>
      <c r="N283" s="45" t="n">
        <v>799999.99985</v>
      </c>
      <c r="O283" s="45" t="n">
        <v>1015725.344</v>
      </c>
      <c r="P283" s="45" t="n">
        <v>877799.99954</v>
      </c>
      <c r="Q283" s="45" t="n">
        <v>269750.551</v>
      </c>
      <c r="R283" s="45" t="n">
        <v>233121.12368</v>
      </c>
      <c r="S283" s="45" t="n">
        <v>3327176.824</v>
      </c>
      <c r="T283" s="45" t="n">
        <v>2875381.69307</v>
      </c>
      <c r="U283" s="15" t="n">
        <v>5.43</v>
      </c>
      <c r="V283" s="15" t="n">
        <v>11.15</v>
      </c>
      <c r="W283" s="49" t="n">
        <v>86.42100000000001</v>
      </c>
    </row>
    <row r="284">
      <c r="A284" s="44" t="inlineStr">
        <is>
          <t>TL Cinsi Sabit Faizli Kuponlu Senetler</t>
        </is>
      </c>
      <c r="B284" s="44" t="n">
        <v>2016</v>
      </c>
      <c r="C284" s="44" t="inlineStr">
        <is>
          <t>TRT170221T12</t>
        </is>
      </c>
      <c r="D284" s="44" t="inlineStr">
        <is>
          <t>24.02.2016</t>
        </is>
      </c>
      <c r="E284" s="44" t="inlineStr">
        <is>
          <t>17.02.2021</t>
        </is>
      </c>
      <c r="F284" s="44" t="n">
        <v>1820</v>
      </c>
      <c r="G284" s="44" t="inlineStr">
        <is>
          <t>6 ay</t>
        </is>
      </c>
      <c r="H284" s="15" t="n">
        <v>5.35</v>
      </c>
      <c r="I284" s="45" t="n">
        <v>3436600</v>
      </c>
      <c r="J284" s="45" t="n">
        <v>3440387.495</v>
      </c>
      <c r="K284" s="45" t="n">
        <v>1252500</v>
      </c>
      <c r="L284" s="45" t="n">
        <v>1256014.794</v>
      </c>
      <c r="M284" s="45" t="n">
        <v>408851.127</v>
      </c>
      <c r="N284" s="45" t="n">
        <v>409999.99867</v>
      </c>
      <c r="O284" s="45" t="n">
        <v>760918.617</v>
      </c>
      <c r="P284" s="45" t="n">
        <v>763056.7983</v>
      </c>
      <c r="Q284" s="45" t="n">
        <v>174862.968</v>
      </c>
      <c r="R284" s="45" t="n">
        <v>175354.33294</v>
      </c>
      <c r="S284" s="45" t="n">
        <v>2597132.712</v>
      </c>
      <c r="T284" s="45" t="n">
        <v>2604425.92391</v>
      </c>
      <c r="U284" s="15" t="n">
        <v>5.31</v>
      </c>
      <c r="V284" s="15" t="n">
        <v>10.91</v>
      </c>
      <c r="W284" s="49" t="n">
        <v>100.281</v>
      </c>
    </row>
    <row r="285">
      <c r="A285" s="44" t="inlineStr">
        <is>
          <t>TL Cinsi Sabit Faizli Kuponlu Senetler</t>
        </is>
      </c>
      <c r="B285" s="44" t="n">
        <v>2016</v>
      </c>
      <c r="C285" s="44" t="inlineStr">
        <is>
          <t>TRT140617T17</t>
        </is>
      </c>
      <c r="D285" s="44" t="inlineStr">
        <is>
          <t>24.02.2016</t>
        </is>
      </c>
      <c r="E285" s="44" t="inlineStr">
        <is>
          <t>14.06.2017</t>
        </is>
      </c>
      <c r="F285" s="44" t="n">
        <v>476</v>
      </c>
      <c r="G285" s="44" t="inlineStr">
        <is>
          <t>6 ay</t>
        </is>
      </c>
      <c r="H285" s="15" t="n">
        <v>4.8</v>
      </c>
      <c r="I285" s="45" t="n">
        <v>1830843.524</v>
      </c>
      <c r="J285" s="45" t="n">
        <v>1834871.62619</v>
      </c>
      <c r="K285" s="45" t="n">
        <v>621748.67</v>
      </c>
      <c r="L285" s="45" t="n">
        <v>623437.23706</v>
      </c>
      <c r="M285" s="45" t="n">
        <v>379168.661</v>
      </c>
      <c r="N285" s="45" t="n">
        <v>380199.99976</v>
      </c>
      <c r="O285" s="45" t="n">
        <v>584909.049</v>
      </c>
      <c r="P285" s="45" t="n">
        <v>586500.0016</v>
      </c>
      <c r="Q285" s="45" t="n">
        <v>82388.645</v>
      </c>
      <c r="R285" s="45" t="n">
        <v>82612.74211000001</v>
      </c>
      <c r="S285" s="45" t="n">
        <v>1668215.025</v>
      </c>
      <c r="T285" s="45" t="n">
        <v>1672749.98053</v>
      </c>
      <c r="U285" s="15" t="n">
        <v>5.45</v>
      </c>
      <c r="V285" s="15" t="n">
        <v>11.2</v>
      </c>
      <c r="W285" s="49" t="n">
        <v>100.272</v>
      </c>
    </row>
    <row r="286">
      <c r="A286" s="44" t="inlineStr">
        <is>
          <t>TL Cinsi Sabit Faizli Kuponlu Senetler</t>
        </is>
      </c>
      <c r="B286" s="44" t="n">
        <v>2016</v>
      </c>
      <c r="C286" s="44" t="inlineStr">
        <is>
          <t>TRT110226T13</t>
        </is>
      </c>
      <c r="D286" s="44" t="inlineStr">
        <is>
          <t>24.02.2016</t>
        </is>
      </c>
      <c r="E286" s="44" t="inlineStr">
        <is>
          <t>11.02.2026</t>
        </is>
      </c>
      <c r="F286" s="44" t="n">
        <v>3640</v>
      </c>
      <c r="G286" s="44" t="inlineStr">
        <is>
          <t>6 ay</t>
        </is>
      </c>
      <c r="H286" s="15" t="n">
        <v>5.3</v>
      </c>
      <c r="I286" s="45" t="n">
        <v>3155400</v>
      </c>
      <c r="J286" s="45" t="n">
        <v>3172089.708</v>
      </c>
      <c r="K286" s="45" t="n">
        <v>1276600</v>
      </c>
      <c r="L286" s="45" t="n">
        <v>1285805.128</v>
      </c>
      <c r="M286" s="45" t="n">
        <v>273031.443</v>
      </c>
      <c r="N286" s="45" t="n">
        <v>274999.9997</v>
      </c>
      <c r="O286" s="45" t="n">
        <v>704406.231</v>
      </c>
      <c r="P286" s="45" t="n">
        <v>709484.99993</v>
      </c>
      <c r="Q286" s="45" t="n">
        <v>144723.589</v>
      </c>
      <c r="R286" s="45" t="n">
        <v>145767.04608</v>
      </c>
      <c r="S286" s="45" t="n">
        <v>2398761.263</v>
      </c>
      <c r="T286" s="45" t="n">
        <v>2416057.17371</v>
      </c>
      <c r="U286" s="15" t="n">
        <v>5.24</v>
      </c>
      <c r="V286" s="15" t="n">
        <v>10.76</v>
      </c>
      <c r="W286" s="49" t="n">
        <v>100.721</v>
      </c>
    </row>
    <row r="287">
      <c r="A287" s="44" t="inlineStr">
        <is>
          <t>TL Cinsi Sabit Faizli Kuponlu Senetler</t>
        </is>
      </c>
      <c r="B287" s="44" t="n">
        <v>2016</v>
      </c>
      <c r="C287" s="44" t="inlineStr">
        <is>
          <t>TRT110226T13</t>
        </is>
      </c>
      <c r="D287" s="44" t="inlineStr">
        <is>
          <t>16.03.2016</t>
        </is>
      </c>
      <c r="E287" s="44" t="inlineStr">
        <is>
          <t>11.02.2026</t>
        </is>
      </c>
      <c r="F287" s="44" t="n">
        <v>3619</v>
      </c>
      <c r="G287" s="44" t="inlineStr">
        <is>
          <t>6 ay</t>
        </is>
      </c>
      <c r="H287" s="15" t="n">
        <v>5.3</v>
      </c>
      <c r="I287" s="45" t="n">
        <v>1775200</v>
      </c>
      <c r="J287" s="45" t="n">
        <v>1854795.328</v>
      </c>
      <c r="K287" s="45" t="n">
        <v>655000</v>
      </c>
      <c r="L287" s="45" t="n">
        <v>686331.62</v>
      </c>
      <c r="M287" s="45" t="n">
        <v>620329.633</v>
      </c>
      <c r="N287" s="45" t="n">
        <v>649999.9993500001</v>
      </c>
      <c r="O287" s="45" t="n">
        <v>469971.275</v>
      </c>
      <c r="P287" s="45" t="n">
        <v>492450.00109</v>
      </c>
      <c r="Q287" s="45" t="n">
        <v>0</v>
      </c>
      <c r="R287" s="45" t="n">
        <v>0</v>
      </c>
      <c r="S287" s="45" t="n">
        <v>1745300.908</v>
      </c>
      <c r="T287" s="45" t="n">
        <v>1828781.62044</v>
      </c>
      <c r="U287" s="15" t="n">
        <v>4.96</v>
      </c>
      <c r="V287" s="15" t="n">
        <v>10.17</v>
      </c>
      <c r="W287" s="49" t="n">
        <v>104.783</v>
      </c>
    </row>
    <row r="288">
      <c r="A288" s="44" t="inlineStr">
        <is>
          <t>TL Cinsi Sabit Faizli Kuponlu Senetler</t>
        </is>
      </c>
      <c r="B288" s="44" t="n">
        <v>2016</v>
      </c>
      <c r="C288" s="44" t="inlineStr">
        <is>
          <t>TRT170221T12</t>
        </is>
      </c>
      <c r="D288" s="44" t="inlineStr">
        <is>
          <t>23.03.2016</t>
        </is>
      </c>
      <c r="E288" s="44" t="inlineStr">
        <is>
          <t>17.02.2021</t>
        </is>
      </c>
      <c r="F288" s="44" t="n">
        <v>1792</v>
      </c>
      <c r="G288" s="44" t="inlineStr">
        <is>
          <t>6 ay</t>
        </is>
      </c>
      <c r="H288" s="15" t="n">
        <v>5.35</v>
      </c>
      <c r="I288" s="45" t="n">
        <v>2726000</v>
      </c>
      <c r="J288" s="45" t="n">
        <v>2832156.21</v>
      </c>
      <c r="K288" s="45" t="n">
        <v>1599000</v>
      </c>
      <c r="L288" s="45" t="n">
        <v>1663335.51</v>
      </c>
      <c r="M288" s="45" t="n">
        <v>519115.964</v>
      </c>
      <c r="N288" s="45" t="n">
        <v>539999.99923</v>
      </c>
      <c r="O288" s="45" t="n">
        <v>219326.495</v>
      </c>
      <c r="P288" s="45" t="n">
        <v>228149.99989</v>
      </c>
      <c r="Q288" s="45" t="n">
        <v>483311.74</v>
      </c>
      <c r="R288" s="45" t="n">
        <v>502755.3713</v>
      </c>
      <c r="S288" s="45" t="n">
        <v>2820754.199</v>
      </c>
      <c r="T288" s="45" t="n">
        <v>2934240.88042</v>
      </c>
      <c r="U288" s="15" t="n">
        <v>4.93</v>
      </c>
      <c r="V288" s="15" t="n">
        <v>10.1</v>
      </c>
      <c r="W288" s="49" t="n">
        <v>104.023</v>
      </c>
    </row>
    <row r="289">
      <c r="A289" s="44" t="inlineStr">
        <is>
          <t>TL Cinsi Sabit Faizli Kuponlu Senetler</t>
        </is>
      </c>
      <c r="B289" s="44" t="n">
        <v>2016</v>
      </c>
      <c r="C289" s="44" t="inlineStr">
        <is>
          <t>TRT170221T12</t>
        </is>
      </c>
      <c r="D289" s="44" t="inlineStr">
        <is>
          <t>13.04.2016</t>
        </is>
      </c>
      <c r="E289" s="44" t="inlineStr">
        <is>
          <t>17.02.2021</t>
        </is>
      </c>
      <c r="F289" s="44" t="n">
        <v>1771</v>
      </c>
      <c r="G289" s="44" t="inlineStr">
        <is>
          <t>6 ay</t>
        </is>
      </c>
      <c r="H289" s="15" t="n">
        <v>5.35</v>
      </c>
      <c r="I289" s="45" t="n">
        <v>3149950</v>
      </c>
      <c r="J289" s="45" t="n">
        <v>3353775.78</v>
      </c>
      <c r="K289" s="45" t="n">
        <v>1125750</v>
      </c>
      <c r="L289" s="45" t="n">
        <v>1200418.83</v>
      </c>
      <c r="M289" s="45" t="n">
        <v>1059709.47</v>
      </c>
      <c r="N289" s="45" t="n">
        <v>1129999.99915</v>
      </c>
      <c r="O289" s="45" t="n">
        <v>677726.409</v>
      </c>
      <c r="P289" s="45" t="n">
        <v>722680.0017199999</v>
      </c>
      <c r="Q289" s="45" t="n">
        <v>210337.728</v>
      </c>
      <c r="R289" s="45" t="n">
        <v>224289.4295</v>
      </c>
      <c r="S289" s="45" t="n">
        <v>3073523.607</v>
      </c>
      <c r="T289" s="45" t="n">
        <v>3277388.26037</v>
      </c>
      <c r="U289" s="15" t="n">
        <v>4.67</v>
      </c>
      <c r="V289" s="15" t="n">
        <v>9.56</v>
      </c>
      <c r="W289" s="49" t="n">
        <v>106.633</v>
      </c>
    </row>
    <row r="290">
      <c r="A290" s="44" t="inlineStr">
        <is>
          <t>TL Cinsi Sabit Faizli Kuponlu Senetler</t>
        </is>
      </c>
      <c r="B290" s="44" t="n">
        <v>2016</v>
      </c>
      <c r="C290" s="44" t="inlineStr">
        <is>
          <t>TRT110226T13</t>
        </is>
      </c>
      <c r="D290" s="44" t="inlineStr">
        <is>
          <t>04.05.2016</t>
        </is>
      </c>
      <c r="E290" s="44" t="inlineStr">
        <is>
          <t>11.02.2026</t>
        </is>
      </c>
      <c r="F290" s="44" t="n">
        <v>3570</v>
      </c>
      <c r="G290" s="44" t="inlineStr">
        <is>
          <t>6 ay</t>
        </is>
      </c>
      <c r="H290" s="15" t="n">
        <v>5.3</v>
      </c>
      <c r="I290" s="45" t="n">
        <v>1305300</v>
      </c>
      <c r="J290" s="45" t="n">
        <v>1452208.234</v>
      </c>
      <c r="K290" s="45" t="n">
        <v>960000</v>
      </c>
      <c r="L290" s="45" t="n">
        <v>1069794.93</v>
      </c>
      <c r="M290" s="45" t="n">
        <v>717894.415</v>
      </c>
      <c r="N290" s="45" t="n">
        <v>799999.99924</v>
      </c>
      <c r="O290" s="45" t="n">
        <v>703042.973</v>
      </c>
      <c r="P290" s="45" t="n">
        <v>783449.99782</v>
      </c>
      <c r="Q290" s="45" t="n">
        <v>0</v>
      </c>
      <c r="R290" s="45" t="n">
        <v>0</v>
      </c>
      <c r="S290" s="45" t="n">
        <v>2380937.388</v>
      </c>
      <c r="T290" s="45" t="n">
        <v>2653244.92706</v>
      </c>
      <c r="U290" s="15" t="n">
        <v>4.56</v>
      </c>
      <c r="V290" s="15" t="n">
        <v>9.33</v>
      </c>
      <c r="W290" s="49" t="n">
        <v>111.437</v>
      </c>
    </row>
    <row r="291">
      <c r="A291" s="44" t="inlineStr">
        <is>
          <t>TL Cinsi Sabit Faizli Kuponlu Senetler</t>
        </is>
      </c>
      <c r="B291" s="44" t="n">
        <v>2016</v>
      </c>
      <c r="C291" s="44" t="inlineStr">
        <is>
          <t>TRT170221T12</t>
        </is>
      </c>
      <c r="D291" s="44" t="inlineStr">
        <is>
          <t>18.05.2016</t>
        </is>
      </c>
      <c r="E291" s="44" t="inlineStr">
        <is>
          <t>17.02.2021</t>
        </is>
      </c>
      <c r="F291" s="44" t="n">
        <v>1736</v>
      </c>
      <c r="G291" s="44" t="inlineStr">
        <is>
          <t>6 ay</t>
        </is>
      </c>
      <c r="H291" s="15" t="n">
        <v>5.35</v>
      </c>
      <c r="I291" s="45" t="n">
        <v>3147200</v>
      </c>
      <c r="J291" s="45" t="n">
        <v>3328444.418</v>
      </c>
      <c r="K291" s="45" t="n">
        <v>1813000</v>
      </c>
      <c r="L291" s="45" t="n">
        <v>1919736.86</v>
      </c>
      <c r="M291" s="45" t="n">
        <v>404204.482</v>
      </c>
      <c r="N291" s="45" t="n">
        <v>427999.99986</v>
      </c>
      <c r="O291" s="45" t="n">
        <v>383191.515</v>
      </c>
      <c r="P291" s="45" t="n">
        <v>405749.99949</v>
      </c>
      <c r="Q291" s="45" t="n">
        <v>0</v>
      </c>
      <c r="R291" s="45" t="n">
        <v>0</v>
      </c>
      <c r="S291" s="45" t="n">
        <v>2600395.997</v>
      </c>
      <c r="T291" s="45" t="n">
        <v>2753486.85935</v>
      </c>
      <c r="U291" s="15" t="n">
        <v>4.89</v>
      </c>
      <c r="V291" s="15" t="n">
        <v>10.02</v>
      </c>
      <c r="W291" s="49" t="n">
        <v>105.887</v>
      </c>
    </row>
    <row r="292">
      <c r="A292" s="44" t="inlineStr">
        <is>
          <t>TL Cinsi Sabit Faizli Kuponlu Senetler</t>
        </is>
      </c>
      <c r="B292" s="44" t="n">
        <v>2016</v>
      </c>
      <c r="C292" s="44" t="inlineStr">
        <is>
          <t>TRT170221T12</t>
        </is>
      </c>
      <c r="D292" s="44" t="inlineStr">
        <is>
          <t>08.06.2016</t>
        </is>
      </c>
      <c r="E292" s="44" t="inlineStr">
        <is>
          <t>17.02.2021</t>
        </is>
      </c>
      <c r="F292" s="44" t="n">
        <v>1715</v>
      </c>
      <c r="G292" s="44" t="inlineStr">
        <is>
          <t>6 ay</t>
        </is>
      </c>
      <c r="H292" s="15" t="n">
        <v>5.35</v>
      </c>
      <c r="I292" s="45" t="n">
        <v>2442000</v>
      </c>
      <c r="J292" s="45" t="n">
        <v>2659456.04</v>
      </c>
      <c r="K292" s="45" t="n">
        <v>1319000</v>
      </c>
      <c r="L292" s="45" t="n">
        <v>1438090.71</v>
      </c>
      <c r="M292" s="45" t="n">
        <v>405396.729</v>
      </c>
      <c r="N292" s="45" t="n">
        <v>441999.99966</v>
      </c>
      <c r="O292" s="45" t="n">
        <v>775940.346</v>
      </c>
      <c r="P292" s="45" t="n">
        <v>845999.99985</v>
      </c>
      <c r="Q292" s="45" t="n">
        <v>0</v>
      </c>
      <c r="R292" s="45" t="n">
        <v>0</v>
      </c>
      <c r="S292" s="45" t="n">
        <v>2500337.075</v>
      </c>
      <c r="T292" s="45" t="n">
        <v>2726090.70951</v>
      </c>
      <c r="U292" s="15" t="n">
        <v>4.56</v>
      </c>
      <c r="V292" s="15" t="n">
        <v>9.32</v>
      </c>
      <c r="W292" s="49" t="n">
        <v>109.029</v>
      </c>
    </row>
    <row r="293">
      <c r="A293" s="44" t="inlineStr">
        <is>
          <t>TL Cinsi Sabit Faizli Kuponlu Senetler</t>
        </is>
      </c>
      <c r="B293" s="44" t="n">
        <v>2016</v>
      </c>
      <c r="C293" s="44" t="inlineStr">
        <is>
          <t>TRT110718T18</t>
        </is>
      </c>
      <c r="D293" s="44" t="inlineStr">
        <is>
          <t>13.07.2016</t>
        </is>
      </c>
      <c r="E293" s="44" t="inlineStr">
        <is>
          <t>11.07.2018</t>
        </is>
      </c>
      <c r="F293" s="44" t="n">
        <v>728</v>
      </c>
      <c r="G293" s="44" t="inlineStr">
        <is>
          <t>6 ay</t>
        </is>
      </c>
      <c r="H293" s="15" t="n">
        <v>4.35</v>
      </c>
      <c r="I293" s="45" t="n">
        <v>1365000</v>
      </c>
      <c r="J293" s="45" t="n">
        <v>1364470.65</v>
      </c>
      <c r="K293" s="45" t="n">
        <v>615000</v>
      </c>
      <c r="L293" s="45" t="n">
        <v>616873.4</v>
      </c>
      <c r="M293" s="45" t="n">
        <v>259209.41</v>
      </c>
      <c r="N293" s="45" t="n">
        <v>259999.9987</v>
      </c>
      <c r="O293" s="45" t="n">
        <v>649020.4889999999</v>
      </c>
      <c r="P293" s="45" t="n">
        <v>651000.00151</v>
      </c>
      <c r="Q293" s="45" t="n">
        <v>52000</v>
      </c>
      <c r="R293" s="45" t="n">
        <v>52158.6</v>
      </c>
      <c r="S293" s="45" t="n">
        <v>1575229.899</v>
      </c>
      <c r="T293" s="45" t="n">
        <v>1580032.00021</v>
      </c>
      <c r="U293" s="15" t="n">
        <v>4.27</v>
      </c>
      <c r="V293" s="15" t="n">
        <v>8.710000000000001</v>
      </c>
      <c r="W293" s="49" t="n">
        <v>100.305</v>
      </c>
    </row>
    <row r="294">
      <c r="A294" s="44" t="inlineStr">
        <is>
          <t>TL Cinsi Sabit Faizli Kuponlu Senetler</t>
        </is>
      </c>
      <c r="B294" s="44" t="n">
        <v>2016</v>
      </c>
      <c r="C294" s="44" t="inlineStr">
        <is>
          <t>TRT110226T13</t>
        </is>
      </c>
      <c r="D294" s="44" t="inlineStr">
        <is>
          <t>13.07.2016</t>
        </is>
      </c>
      <c r="E294" s="44" t="inlineStr">
        <is>
          <t>11.02.2026</t>
        </is>
      </c>
      <c r="F294" s="44" t="n">
        <v>3500</v>
      </c>
      <c r="G294" s="44" t="inlineStr">
        <is>
          <t>6 ay</t>
        </is>
      </c>
      <c r="H294" s="15" t="n">
        <v>5.3</v>
      </c>
      <c r="I294" s="45" t="n">
        <v>2780270</v>
      </c>
      <c r="J294" s="45" t="n">
        <v>3173960.2979</v>
      </c>
      <c r="K294" s="45" t="n">
        <v>1741270</v>
      </c>
      <c r="L294" s="45" t="n">
        <v>1991271.9379</v>
      </c>
      <c r="M294" s="45" t="n">
        <v>87445.455</v>
      </c>
      <c r="N294" s="45" t="n">
        <v>99999.99897</v>
      </c>
      <c r="O294" s="45" t="n">
        <v>1269445.684</v>
      </c>
      <c r="P294" s="45" t="n">
        <v>1451700.00084</v>
      </c>
      <c r="Q294" s="45" t="n">
        <v>0</v>
      </c>
      <c r="R294" s="45" t="n">
        <v>0</v>
      </c>
      <c r="S294" s="45" t="n">
        <v>3098161.139</v>
      </c>
      <c r="T294" s="45" t="n">
        <v>3542971.93771</v>
      </c>
      <c r="U294" s="15" t="n">
        <v>4.49</v>
      </c>
      <c r="V294" s="15" t="n">
        <v>9.18</v>
      </c>
      <c r="W294" s="49" t="n">
        <v>114.357</v>
      </c>
    </row>
    <row r="295">
      <c r="A295" s="44" t="inlineStr">
        <is>
          <t>TL Cinsi Sabit Faizli Kuponlu Senetler</t>
        </is>
      </c>
      <c r="B295" s="44" t="n">
        <v>2016</v>
      </c>
      <c r="C295" s="44" t="inlineStr">
        <is>
          <t>TRT170221T12</t>
        </is>
      </c>
      <c r="D295" s="44" t="inlineStr">
        <is>
          <t>13.07.2016</t>
        </is>
      </c>
      <c r="E295" s="44" t="inlineStr">
        <is>
          <t>17.02.2021</t>
        </is>
      </c>
      <c r="F295" s="44" t="n">
        <v>1680</v>
      </c>
      <c r="G295" s="44" t="inlineStr">
        <is>
          <t>6 ay</t>
        </is>
      </c>
      <c r="H295" s="15" t="n">
        <v>5.35</v>
      </c>
      <c r="I295" s="45" t="n">
        <v>1532400</v>
      </c>
      <c r="J295" s="45" t="n">
        <v>1700445.52</v>
      </c>
      <c r="K295" s="45" t="n">
        <v>965400</v>
      </c>
      <c r="L295" s="45" t="n">
        <v>1072292.02</v>
      </c>
      <c r="M295" s="45" t="n">
        <v>43215.211</v>
      </c>
      <c r="N295" s="45" t="n">
        <v>47999.99916</v>
      </c>
      <c r="O295" s="45" t="n">
        <v>935271.716</v>
      </c>
      <c r="P295" s="45" t="n">
        <v>1038825.0004</v>
      </c>
      <c r="Q295" s="45" t="n">
        <v>0</v>
      </c>
      <c r="R295" s="45" t="n">
        <v>0</v>
      </c>
      <c r="S295" s="45" t="n">
        <v>1943886.927</v>
      </c>
      <c r="T295" s="45" t="n">
        <v>2159117.01956</v>
      </c>
      <c r="U295" s="15" t="n">
        <v>4.41</v>
      </c>
      <c r="V295" s="15" t="n">
        <v>9.02</v>
      </c>
      <c r="W295" s="49" t="n">
        <v>111.072</v>
      </c>
    </row>
    <row r="296">
      <c r="A296" s="44" t="inlineStr">
        <is>
          <t>TL Cinsi Sabit Faizli Kuponlu Senetler</t>
        </is>
      </c>
      <c r="B296" s="44" t="n">
        <v>2016</v>
      </c>
      <c r="C296" s="44" t="inlineStr">
        <is>
          <t>TRT110226T13</t>
        </is>
      </c>
      <c r="D296" s="44" t="inlineStr">
        <is>
          <t>17.08.2016</t>
        </is>
      </c>
      <c r="E296" s="44" t="inlineStr">
        <is>
          <t>11.02.2026</t>
        </is>
      </c>
      <c r="F296" s="44" t="n">
        <v>3465</v>
      </c>
      <c r="G296" s="44" t="inlineStr">
        <is>
          <t>6 ay</t>
        </is>
      </c>
      <c r="H296" s="15" t="n">
        <v>5.3</v>
      </c>
      <c r="I296" s="45" t="n">
        <v>1934000</v>
      </c>
      <c r="J296" s="45" t="n">
        <v>2160075.23</v>
      </c>
      <c r="K296" s="45" t="n">
        <v>985000</v>
      </c>
      <c r="L296" s="45" t="n">
        <v>1102165.09</v>
      </c>
      <c r="M296" s="45" t="n">
        <v>174270.521</v>
      </c>
      <c r="N296" s="45" t="n">
        <v>194999.99947</v>
      </c>
      <c r="O296" s="45" t="n">
        <v>503373.698</v>
      </c>
      <c r="P296" s="45" t="n">
        <v>563249.9993800001</v>
      </c>
      <c r="Q296" s="45" t="n">
        <v>230539.014</v>
      </c>
      <c r="R296" s="45" t="n">
        <v>257961.62972</v>
      </c>
      <c r="S296" s="45" t="n">
        <v>1893183.233</v>
      </c>
      <c r="T296" s="45" t="n">
        <v>2118376.71857</v>
      </c>
      <c r="U296" s="15" t="n">
        <v>4.75</v>
      </c>
      <c r="V296" s="15" t="n">
        <v>9.720000000000001</v>
      </c>
      <c r="W296" s="49" t="n">
        <v>111.895</v>
      </c>
    </row>
    <row r="297">
      <c r="A297" s="44" t="inlineStr">
        <is>
          <t>TL Cinsi Sabit Faizli Kuponlu Senetler</t>
        </is>
      </c>
      <c r="B297" s="44" t="n">
        <v>2016</v>
      </c>
      <c r="C297" s="44" t="inlineStr">
        <is>
          <t>TRT170221T12</t>
        </is>
      </c>
      <c r="D297" s="44" t="inlineStr">
        <is>
          <t>24.08.2016</t>
        </is>
      </c>
      <c r="E297" s="44" t="inlineStr">
        <is>
          <t>17.02.2021</t>
        </is>
      </c>
      <c r="F297" s="44" t="n">
        <v>1638</v>
      </c>
      <c r="G297" s="44" t="inlineStr">
        <is>
          <t>6 ay</t>
        </is>
      </c>
      <c r="H297" s="15" t="n">
        <v>5.35</v>
      </c>
      <c r="I297" s="45" t="n">
        <v>3740400</v>
      </c>
      <c r="J297" s="45" t="n">
        <v>3893975.002</v>
      </c>
      <c r="K297" s="45" t="n">
        <v>1223500</v>
      </c>
      <c r="L297" s="45" t="n">
        <v>1276210.11</v>
      </c>
      <c r="M297" s="45" t="n">
        <v>356636.115</v>
      </c>
      <c r="N297" s="45" t="n">
        <v>371999.99883</v>
      </c>
      <c r="O297" s="45" t="n">
        <v>863548.338</v>
      </c>
      <c r="P297" s="45" t="n">
        <v>900750.0004</v>
      </c>
      <c r="Q297" s="45" t="n">
        <v>234071.863</v>
      </c>
      <c r="R297" s="45" t="n">
        <v>244155.67886</v>
      </c>
      <c r="S297" s="45" t="n">
        <v>2677756.316</v>
      </c>
      <c r="T297" s="45" t="n">
        <v>2793115.78809</v>
      </c>
      <c r="U297" s="15" t="n">
        <v>4.75</v>
      </c>
      <c r="V297" s="15" t="n">
        <v>9.73</v>
      </c>
      <c r="W297" s="49" t="n">
        <v>104.308</v>
      </c>
    </row>
    <row r="298">
      <c r="A298" s="44" t="inlineStr">
        <is>
          <t>TL Cinsi Sabit Faizli Kuponlu Senetler</t>
        </is>
      </c>
      <c r="B298" s="44" t="n">
        <v>2016</v>
      </c>
      <c r="C298" s="44" t="inlineStr">
        <is>
          <t>TRT110718T18</t>
        </is>
      </c>
      <c r="D298" s="44" t="inlineStr">
        <is>
          <t>28.09.2016</t>
        </is>
      </c>
      <c r="E298" s="44" t="inlineStr">
        <is>
          <t>11.07.2018</t>
        </is>
      </c>
      <c r="F298" s="44" t="n">
        <v>651</v>
      </c>
      <c r="G298" s="44" t="inlineStr">
        <is>
          <t>6 ay</t>
        </is>
      </c>
      <c r="H298" s="15" t="n">
        <v>4.35</v>
      </c>
      <c r="I298" s="45" t="n">
        <v>2628000</v>
      </c>
      <c r="J298" s="45" t="n">
        <v>2669474.27</v>
      </c>
      <c r="K298" s="45" t="n">
        <v>998000</v>
      </c>
      <c r="L298" s="45" t="n">
        <v>1014671.59</v>
      </c>
      <c r="M298" s="45" t="n">
        <v>245891.158</v>
      </c>
      <c r="N298" s="45" t="n">
        <v>249999.99925</v>
      </c>
      <c r="O298" s="45" t="n">
        <v>826194.2929999999</v>
      </c>
      <c r="P298" s="45" t="n">
        <v>839999.9996400001</v>
      </c>
      <c r="Q298" s="45" t="n">
        <v>0</v>
      </c>
      <c r="R298" s="45" t="n">
        <v>0</v>
      </c>
      <c r="S298" s="45" t="n">
        <v>2070085.451</v>
      </c>
      <c r="T298" s="45" t="n">
        <v>2104671.58889</v>
      </c>
      <c r="U298" s="15" t="n">
        <v>4.4</v>
      </c>
      <c r="V298" s="15" t="n">
        <v>8.98</v>
      </c>
      <c r="W298" s="49" t="n">
        <v>101.671</v>
      </c>
    </row>
    <row r="299">
      <c r="A299" s="44" t="inlineStr">
        <is>
          <t>TL Cinsi Sabit Faizli Kuponlu Senetler</t>
        </is>
      </c>
      <c r="B299" s="44" t="n">
        <v>2016</v>
      </c>
      <c r="C299" s="44" t="inlineStr">
        <is>
          <t>TRT110226T13</t>
        </is>
      </c>
      <c r="D299" s="44" t="inlineStr">
        <is>
          <t>28.09.2016</t>
        </is>
      </c>
      <c r="E299" s="44" t="inlineStr">
        <is>
          <t>11.02.2026</t>
        </is>
      </c>
      <c r="F299" s="44" t="n">
        <v>3423</v>
      </c>
      <c r="G299" s="44" t="inlineStr">
        <is>
          <t>6 ay</t>
        </is>
      </c>
      <c r="H299" s="15" t="n">
        <v>5.3</v>
      </c>
      <c r="I299" s="45" t="n">
        <v>3612100</v>
      </c>
      <c r="J299" s="45" t="n">
        <v>3831020.054</v>
      </c>
      <c r="K299" s="45" t="n">
        <v>1016000</v>
      </c>
      <c r="L299" s="45" t="n">
        <v>1081269.54</v>
      </c>
      <c r="M299" s="45" t="n">
        <v>187927.535</v>
      </c>
      <c r="N299" s="45" t="n">
        <v>199999.99985</v>
      </c>
      <c r="O299" s="45" t="n">
        <v>890776.5159999999</v>
      </c>
      <c r="P299" s="45" t="n">
        <v>947999.9994</v>
      </c>
      <c r="Q299" s="45" t="n">
        <v>132607.023</v>
      </c>
      <c r="R299" s="45" t="n">
        <v>141125.69816</v>
      </c>
      <c r="S299" s="45" t="n">
        <v>2227311.074</v>
      </c>
      <c r="T299" s="45" t="n">
        <v>2370395.23741</v>
      </c>
      <c r="U299" s="15" t="n">
        <v>4.85</v>
      </c>
      <c r="V299" s="15" t="n">
        <v>9.94</v>
      </c>
      <c r="W299" s="49" t="n">
        <v>106.424</v>
      </c>
    </row>
    <row r="300">
      <c r="A300" s="44" t="inlineStr">
        <is>
          <t>TL Cinsi Sabit Faizli Kuponlu Senetler</t>
        </is>
      </c>
      <c r="B300" s="44" t="n">
        <v>2016</v>
      </c>
      <c r="C300" s="44" t="inlineStr">
        <is>
          <t>TRT220921T18</t>
        </is>
      </c>
      <c r="D300" s="44" t="inlineStr">
        <is>
          <t>28.09.2016</t>
        </is>
      </c>
      <c r="E300" s="44" t="inlineStr">
        <is>
          <t>22.09.2021</t>
        </is>
      </c>
      <c r="F300" s="44" t="n">
        <v>1820</v>
      </c>
      <c r="G300" s="44" t="inlineStr">
        <is>
          <t>6 ay</t>
        </is>
      </c>
      <c r="H300" s="15" t="n">
        <v>4.6</v>
      </c>
      <c r="I300" s="45" t="n">
        <v>4167900</v>
      </c>
      <c r="J300" s="45" t="n">
        <v>4181463.499</v>
      </c>
      <c r="K300" s="45" t="n">
        <v>1420000</v>
      </c>
      <c r="L300" s="45" t="n">
        <v>1426869.5</v>
      </c>
      <c r="M300" s="45" t="n">
        <v>547350.821</v>
      </c>
      <c r="N300" s="45" t="n">
        <v>549999.99898</v>
      </c>
      <c r="O300" s="45" t="n">
        <v>854016.559</v>
      </c>
      <c r="P300" s="45" t="n">
        <v>858149.99916</v>
      </c>
      <c r="Q300" s="45" t="n">
        <v>241229.169</v>
      </c>
      <c r="R300" s="45" t="n">
        <v>242396.71818</v>
      </c>
      <c r="S300" s="45" t="n">
        <v>3062596.549</v>
      </c>
      <c r="T300" s="45" t="n">
        <v>3077416.21632</v>
      </c>
      <c r="U300" s="15" t="n">
        <v>4.54</v>
      </c>
      <c r="V300" s="15" t="n">
        <v>9.279999999999999</v>
      </c>
      <c r="W300" s="49" t="n">
        <v>100.484</v>
      </c>
    </row>
    <row r="301">
      <c r="A301" s="44" t="inlineStr">
        <is>
          <t>TL Cinsi Sabit Faizli Kuponlu Senetler</t>
        </is>
      </c>
      <c r="B301" s="44" t="n">
        <v>2016</v>
      </c>
      <c r="C301" s="44" t="inlineStr">
        <is>
          <t>TRT220921T18</t>
        </is>
      </c>
      <c r="D301" s="44" t="inlineStr">
        <is>
          <t>26.10.2016</t>
        </is>
      </c>
      <c r="E301" s="44" t="inlineStr">
        <is>
          <t>22.09.2021</t>
        </is>
      </c>
      <c r="F301" s="44" t="n">
        <v>1792</v>
      </c>
      <c r="G301" s="44" t="inlineStr">
        <is>
          <t>6 ay</t>
        </is>
      </c>
      <c r="H301" s="15" t="n">
        <v>4.6</v>
      </c>
      <c r="I301" s="45" t="n">
        <v>2964200</v>
      </c>
      <c r="J301" s="45" t="n">
        <v>2953121.753</v>
      </c>
      <c r="K301" s="45" t="n">
        <v>1372200</v>
      </c>
      <c r="L301" s="45" t="n">
        <v>1369175.366</v>
      </c>
      <c r="M301" s="45" t="n">
        <v>250551.211</v>
      </c>
      <c r="N301" s="45" t="n">
        <v>249999.99833</v>
      </c>
      <c r="O301" s="45" t="n">
        <v>989777.5110000001</v>
      </c>
      <c r="P301" s="45" t="n">
        <v>987600.00049</v>
      </c>
      <c r="Q301" s="45" t="n">
        <v>0</v>
      </c>
      <c r="R301" s="45" t="n">
        <v>0</v>
      </c>
      <c r="S301" s="45" t="n">
        <v>2612528.722</v>
      </c>
      <c r="T301" s="45" t="n">
        <v>2606775.36482</v>
      </c>
      <c r="U301" s="15" t="n">
        <v>4.72</v>
      </c>
      <c r="V301" s="15" t="n">
        <v>9.66</v>
      </c>
      <c r="W301" s="49" t="n">
        <v>99.78</v>
      </c>
    </row>
    <row r="302">
      <c r="A302" s="44" t="inlineStr">
        <is>
          <t>TL Cinsi Sabit Faizli Kuponlu Senetler</t>
        </is>
      </c>
      <c r="B302" s="44" t="n">
        <v>2016</v>
      </c>
      <c r="C302" s="44" t="inlineStr">
        <is>
          <t>TRT110718T18</t>
        </is>
      </c>
      <c r="D302" s="44" t="inlineStr">
        <is>
          <t>16.11.2016</t>
        </is>
      </c>
      <c r="E302" s="44" t="inlineStr">
        <is>
          <t>11.07.2018</t>
        </is>
      </c>
      <c r="F302" s="44" t="n">
        <v>602</v>
      </c>
      <c r="G302" s="44" t="inlineStr">
        <is>
          <t>6 ay</t>
        </is>
      </c>
      <c r="H302" s="15" t="n">
        <v>4.35</v>
      </c>
      <c r="I302" s="45" t="n">
        <v>1039300</v>
      </c>
      <c r="J302" s="45" t="n">
        <v>1051394.234</v>
      </c>
      <c r="K302" s="45" t="n">
        <v>739200</v>
      </c>
      <c r="L302" s="45" t="n">
        <v>748247.414</v>
      </c>
      <c r="M302" s="45" t="n">
        <v>380344.582</v>
      </c>
      <c r="N302" s="45" t="n">
        <v>384999.99969</v>
      </c>
      <c r="O302" s="45" t="n">
        <v>565330.356</v>
      </c>
      <c r="P302" s="45" t="n">
        <v>572249.99957</v>
      </c>
      <c r="Q302" s="45" t="n">
        <v>0</v>
      </c>
      <c r="R302" s="45" t="n">
        <v>0</v>
      </c>
      <c r="S302" s="45" t="n">
        <v>1684874.938</v>
      </c>
      <c r="T302" s="45" t="n">
        <v>1705497.41326</v>
      </c>
      <c r="U302" s="15" t="n">
        <v>4.94</v>
      </c>
      <c r="V302" s="15" t="n">
        <v>10.13</v>
      </c>
      <c r="W302" s="49" t="n">
        <v>101.224</v>
      </c>
    </row>
    <row r="303">
      <c r="A303" s="44" t="inlineStr">
        <is>
          <t>TL Cinsi Sabit Faizli Kuponlu Senetler</t>
        </is>
      </c>
      <c r="B303" s="44" t="n">
        <v>2016</v>
      </c>
      <c r="C303" s="44" t="inlineStr">
        <is>
          <t>TRT110226T13</t>
        </is>
      </c>
      <c r="D303" s="44" t="inlineStr">
        <is>
          <t>16.11.2016</t>
        </is>
      </c>
      <c r="E303" s="44" t="inlineStr">
        <is>
          <t>11.02.2026</t>
        </is>
      </c>
      <c r="F303" s="44" t="n">
        <v>3374</v>
      </c>
      <c r="G303" s="44" t="inlineStr">
        <is>
          <t>6 ay</t>
        </is>
      </c>
      <c r="H303" s="15" t="n">
        <v>5.3</v>
      </c>
      <c r="I303" s="45" t="n">
        <v>2171400</v>
      </c>
      <c r="J303" s="45" t="n">
        <v>2194850.59</v>
      </c>
      <c r="K303" s="45" t="n">
        <v>1415600</v>
      </c>
      <c r="L303" s="45" t="n">
        <v>1434085.44</v>
      </c>
      <c r="M303" s="45" t="n">
        <v>493554.182</v>
      </c>
      <c r="N303" s="45" t="n">
        <v>499999.99962</v>
      </c>
      <c r="O303" s="45" t="n">
        <v>594634.078</v>
      </c>
      <c r="P303" s="45" t="n">
        <v>602399.9990599999</v>
      </c>
      <c r="Q303" s="45" t="n">
        <v>50059.3</v>
      </c>
      <c r="R303" s="45" t="n">
        <v>50713.07446</v>
      </c>
      <c r="S303" s="45" t="n">
        <v>2553847.56</v>
      </c>
      <c r="T303" s="45" t="n">
        <v>2587198.51314</v>
      </c>
      <c r="U303" s="15" t="n">
        <v>5.4</v>
      </c>
      <c r="V303" s="15" t="n">
        <v>11.08</v>
      </c>
      <c r="W303" s="49" t="n">
        <v>101.306</v>
      </c>
    </row>
    <row r="304">
      <c r="A304" s="44" t="inlineStr">
        <is>
          <t>TL Cinsi Sabit Faizli Kuponlu Senetler</t>
        </is>
      </c>
      <c r="B304" s="44" t="n">
        <v>2016</v>
      </c>
      <c r="C304" s="44" t="inlineStr">
        <is>
          <t>TRT220921T18</t>
        </is>
      </c>
      <c r="D304" s="44" t="inlineStr">
        <is>
          <t>16.11.2016</t>
        </is>
      </c>
      <c r="E304" s="44" t="inlineStr">
        <is>
          <t>22.09.2021</t>
        </is>
      </c>
      <c r="F304" s="44" t="n">
        <v>1771</v>
      </c>
      <c r="G304" s="44" t="inlineStr">
        <is>
          <t>6 ay</t>
        </is>
      </c>
      <c r="H304" s="15" t="n">
        <v>4.6</v>
      </c>
      <c r="I304" s="45" t="n">
        <v>3131900</v>
      </c>
      <c r="J304" s="45" t="n">
        <v>2998204.678</v>
      </c>
      <c r="K304" s="45" t="n">
        <v>1437500</v>
      </c>
      <c r="L304" s="45" t="n">
        <v>1377962.41</v>
      </c>
      <c r="M304" s="45" t="n">
        <v>542469.068</v>
      </c>
      <c r="N304" s="45" t="n">
        <v>519999.9992</v>
      </c>
      <c r="O304" s="45" t="n">
        <v>1346491.687</v>
      </c>
      <c r="P304" s="45" t="n">
        <v>1290720.00133</v>
      </c>
      <c r="Q304" s="45" t="n">
        <v>0</v>
      </c>
      <c r="R304" s="45" t="n">
        <v>0</v>
      </c>
      <c r="S304" s="45" t="n">
        <v>3326460.755</v>
      </c>
      <c r="T304" s="45" t="n">
        <v>3188682.41053</v>
      </c>
      <c r="U304" s="15" t="n">
        <v>5.32</v>
      </c>
      <c r="V304" s="15" t="n">
        <v>10.92</v>
      </c>
      <c r="W304" s="49" t="n">
        <v>95.858</v>
      </c>
    </row>
    <row r="305">
      <c r="A305" s="44" t="inlineStr">
        <is>
          <t>TL Cinsi Sabit Faizli Kuponlu Senetler</t>
        </is>
      </c>
      <c r="B305" s="44" t="n">
        <v>2016</v>
      </c>
      <c r="C305" s="44" t="inlineStr">
        <is>
          <t>TRT220921T18</t>
        </is>
      </c>
      <c r="D305" s="44" t="inlineStr">
        <is>
          <t>14.12.2016</t>
        </is>
      </c>
      <c r="E305" s="44" t="inlineStr">
        <is>
          <t>22.09.2021</t>
        </is>
      </c>
      <c r="F305" s="44" t="n">
        <v>1743</v>
      </c>
      <c r="G305" s="44" t="inlineStr">
        <is>
          <t>6 ay</t>
        </is>
      </c>
      <c r="H305" s="15" t="n">
        <v>4.6</v>
      </c>
      <c r="I305" s="45" t="n">
        <v>1335400</v>
      </c>
      <c r="J305" s="45" t="n">
        <v>1262134.374</v>
      </c>
      <c r="K305" s="45" t="n">
        <v>762300</v>
      </c>
      <c r="L305" s="45" t="n">
        <v>721588.836</v>
      </c>
      <c r="M305" s="45" t="n">
        <v>274670.131</v>
      </c>
      <c r="N305" s="45" t="n">
        <v>259999.9993</v>
      </c>
      <c r="O305" s="45" t="n">
        <v>583990.956</v>
      </c>
      <c r="P305" s="45" t="n">
        <v>552799.9990299999</v>
      </c>
      <c r="Q305" s="45" t="n">
        <v>109610.682</v>
      </c>
      <c r="R305" s="45" t="n">
        <v>103756.37548</v>
      </c>
      <c r="S305" s="45" t="n">
        <v>1730571.769</v>
      </c>
      <c r="T305" s="45" t="n">
        <v>1638145.20981</v>
      </c>
      <c r="U305" s="15" t="n">
        <v>5.6</v>
      </c>
      <c r="V305" s="15" t="n">
        <v>11.51</v>
      </c>
      <c r="W305" s="49" t="n">
        <v>94.65900000000001</v>
      </c>
    </row>
    <row r="306">
      <c r="A306" s="44" t="inlineStr">
        <is>
          <t>TL Cinsi Sabit Faizli Kuponlu Senetler</t>
        </is>
      </c>
      <c r="B306" s="44" t="n">
        <v>2016</v>
      </c>
      <c r="C306" s="44" t="inlineStr">
        <is>
          <t>TRT110718T18</t>
        </is>
      </c>
      <c r="D306" s="44" t="inlineStr">
        <is>
          <t>14.12.2016</t>
        </is>
      </c>
      <c r="E306" s="44" t="inlineStr">
        <is>
          <t>11.07.2018</t>
        </is>
      </c>
      <c r="F306" s="44" t="n">
        <v>574</v>
      </c>
      <c r="G306" s="44" t="inlineStr">
        <is>
          <t>6 ay</t>
        </is>
      </c>
      <c r="H306" s="15" t="n">
        <v>4.35</v>
      </c>
      <c r="I306" s="45" t="n">
        <v>1456000</v>
      </c>
      <c r="J306" s="45" t="n">
        <v>1462574.08</v>
      </c>
      <c r="K306" s="45" t="n">
        <v>709000</v>
      </c>
      <c r="L306" s="45" t="n">
        <v>712828.99</v>
      </c>
      <c r="M306" s="45" t="n">
        <v>198925.8</v>
      </c>
      <c r="N306" s="45" t="n">
        <v>199999.99932</v>
      </c>
      <c r="O306" s="45" t="n">
        <v>776606.326</v>
      </c>
      <c r="P306" s="45" t="n">
        <v>780800.0001600001</v>
      </c>
      <c r="Q306" s="45" t="n">
        <v>120014.858</v>
      </c>
      <c r="R306" s="45" t="n">
        <v>120662.93823</v>
      </c>
      <c r="S306" s="45" t="n">
        <v>1804546.984</v>
      </c>
      <c r="T306" s="45" t="n">
        <v>1814291.92771</v>
      </c>
      <c r="U306" s="15" t="n">
        <v>5.46</v>
      </c>
      <c r="V306" s="15" t="n">
        <v>11.21</v>
      </c>
      <c r="W306" s="49" t="n">
        <v>100.54</v>
      </c>
    </row>
    <row r="307">
      <c r="A307" s="44" t="inlineStr">
        <is>
          <t>TL Cinsi Sabit Faizli Kuponlu Senetler</t>
        </is>
      </c>
      <c r="B307" s="44" t="n">
        <v>2016</v>
      </c>
      <c r="C307" s="44" t="inlineStr">
        <is>
          <t>TRT110226T13</t>
        </is>
      </c>
      <c r="D307" s="44" t="inlineStr">
        <is>
          <t>14.12.2016</t>
        </is>
      </c>
      <c r="E307" s="44" t="inlineStr">
        <is>
          <t>11.02.2026</t>
        </is>
      </c>
      <c r="F307" s="44" t="n">
        <v>3346</v>
      </c>
      <c r="G307" s="44" t="inlineStr">
        <is>
          <t>6 ay</t>
        </is>
      </c>
      <c r="H307" s="15" t="n">
        <v>5.3</v>
      </c>
      <c r="I307" s="45" t="n">
        <v>1619658.107</v>
      </c>
      <c r="J307" s="45" t="n">
        <v>1609063.634</v>
      </c>
      <c r="K307" s="45" t="n">
        <v>584158.107</v>
      </c>
      <c r="L307" s="45" t="n">
        <v>582003.39439</v>
      </c>
      <c r="M307" s="45" t="n">
        <v>301111.099</v>
      </c>
      <c r="N307" s="45" t="n">
        <v>299999.99904</v>
      </c>
      <c r="O307" s="45" t="n">
        <v>647991.0870000001</v>
      </c>
      <c r="P307" s="45" t="n">
        <v>645599.99989</v>
      </c>
      <c r="Q307" s="45" t="n">
        <v>93119.94</v>
      </c>
      <c r="R307" s="45" t="n">
        <v>92776.32742</v>
      </c>
      <c r="S307" s="45" t="n">
        <v>1626380.233</v>
      </c>
      <c r="T307" s="45" t="n">
        <v>1620379.72074</v>
      </c>
      <c r="U307" s="15" t="n">
        <v>5.62</v>
      </c>
      <c r="V307" s="15" t="n">
        <v>11.55</v>
      </c>
      <c r="W307" s="49" t="n">
        <v>99.631</v>
      </c>
    </row>
    <row r="308">
      <c r="A308" s="44" t="inlineStr">
        <is>
          <t>TL Cinsi Sabit Faizli Kuponlu Senetler</t>
        </is>
      </c>
      <c r="B308" s="44" t="n">
        <v>2015</v>
      </c>
      <c r="C308" s="44" t="inlineStr">
        <is>
          <t>TRT100719T18</t>
        </is>
      </c>
      <c r="D308" s="44" t="inlineStr">
        <is>
          <t>07.01.2015</t>
        </is>
      </c>
      <c r="E308" s="44" t="inlineStr">
        <is>
          <t>10.07.2019</t>
        </is>
      </c>
      <c r="F308" s="44" t="n">
        <v>1645</v>
      </c>
      <c r="G308" s="44" t="inlineStr">
        <is>
          <t>6 Ay</t>
        </is>
      </c>
      <c r="H308" s="15" t="n">
        <v>4.25</v>
      </c>
      <c r="I308" s="45" t="n">
        <v>3208700</v>
      </c>
      <c r="J308" s="45" t="n">
        <v>3418311.231</v>
      </c>
      <c r="K308" s="45" t="n">
        <v>1624000</v>
      </c>
      <c r="L308" s="45" t="n">
        <v>1733596.18</v>
      </c>
      <c r="M308" s="45" t="n">
        <v>253866.546</v>
      </c>
      <c r="N308" s="45" t="n">
        <v>270999.99919</v>
      </c>
      <c r="O308" s="45" t="n">
        <v>1146277.717</v>
      </c>
      <c r="P308" s="45" t="n">
        <v>1223640.00012</v>
      </c>
      <c r="Q308" s="45" t="n">
        <v>217890.579</v>
      </c>
      <c r="R308" s="45" t="n">
        <v>232596.01418</v>
      </c>
      <c r="S308" s="45" t="n">
        <v>3242034.842</v>
      </c>
      <c r="T308" s="45" t="n">
        <v>3460832.19349</v>
      </c>
      <c r="U308" s="15" t="n">
        <v>3.89</v>
      </c>
      <c r="V308" s="15" t="n">
        <v>7.94</v>
      </c>
      <c r="W308" s="49" t="n">
        <v>106.749</v>
      </c>
    </row>
    <row r="309">
      <c r="A309" s="44" t="inlineStr">
        <is>
          <t>TL Cinsi Sabit Faizli Kuponlu Senetler</t>
        </is>
      </c>
      <c r="B309" s="44" t="n">
        <v>2015</v>
      </c>
      <c r="C309" s="44" t="inlineStr">
        <is>
          <t>TRT161116T19</t>
        </is>
      </c>
      <c r="D309" s="44" t="inlineStr">
        <is>
          <t>07.01.2015</t>
        </is>
      </c>
      <c r="E309" s="44" t="inlineStr">
        <is>
          <t>16.11.2016</t>
        </is>
      </c>
      <c r="F309" s="44" t="n">
        <v>679</v>
      </c>
      <c r="G309" s="44" t="inlineStr">
        <is>
          <t>6 Ay</t>
        </is>
      </c>
      <c r="H309" s="15" t="n">
        <v>4.1</v>
      </c>
      <c r="I309" s="45" t="n">
        <v>2135300</v>
      </c>
      <c r="J309" s="45" t="n">
        <v>2175274.35</v>
      </c>
      <c r="K309" s="45" t="n">
        <v>670200</v>
      </c>
      <c r="L309" s="45" t="n">
        <v>684223.1</v>
      </c>
      <c r="M309" s="45" t="n">
        <v>0</v>
      </c>
      <c r="N309" s="45" t="n">
        <v>0</v>
      </c>
      <c r="O309" s="45" t="n">
        <v>518951.044</v>
      </c>
      <c r="P309" s="45" t="n">
        <v>529807.4998399999</v>
      </c>
      <c r="Q309" s="45" t="n">
        <v>108053.577</v>
      </c>
      <c r="R309" s="45" t="n">
        <v>110314.05783</v>
      </c>
      <c r="S309" s="45" t="n">
        <v>1297204.621</v>
      </c>
      <c r="T309" s="45" t="n">
        <v>1324344.65767</v>
      </c>
      <c r="U309" s="15" t="n">
        <v>3.81</v>
      </c>
      <c r="V309" s="15" t="n">
        <v>7.76</v>
      </c>
      <c r="W309" s="49" t="n">
        <v>102.092</v>
      </c>
    </row>
    <row r="310">
      <c r="A310" s="44" t="inlineStr">
        <is>
          <t>TL Cinsi Sabit Faizli Kuponlu Senetler</t>
        </is>
      </c>
      <c r="B310" s="44" t="n">
        <v>2015</v>
      </c>
      <c r="C310" s="44" t="inlineStr">
        <is>
          <t>TRT240724T15</t>
        </is>
      </c>
      <c r="D310" s="44" t="inlineStr">
        <is>
          <t>07.01.2015</t>
        </is>
      </c>
      <c r="E310" s="44" t="inlineStr">
        <is>
          <t>24.07.2024</t>
        </is>
      </c>
      <c r="F310" s="44" t="n">
        <v>3486</v>
      </c>
      <c r="G310" s="44" t="inlineStr">
        <is>
          <t>6 Ay</t>
        </is>
      </c>
      <c r="H310" s="15" t="n">
        <v>4.5</v>
      </c>
      <c r="I310" s="45" t="n">
        <v>1563600</v>
      </c>
      <c r="J310" s="45" t="n">
        <v>1767006.64</v>
      </c>
      <c r="K310" s="45" t="n">
        <v>809400</v>
      </c>
      <c r="L310" s="45" t="n">
        <v>917157.308</v>
      </c>
      <c r="M310" s="45" t="n">
        <v>441255.637</v>
      </c>
      <c r="N310" s="45" t="n">
        <v>499999.99995</v>
      </c>
      <c r="O310" s="45" t="n">
        <v>520178.62</v>
      </c>
      <c r="P310" s="45" t="n">
        <v>589429.9996799999</v>
      </c>
      <c r="Q310" s="45" t="n">
        <v>58260.143</v>
      </c>
      <c r="R310" s="45" t="n">
        <v>66016.31584000001</v>
      </c>
      <c r="S310" s="45" t="n">
        <v>1829094.4</v>
      </c>
      <c r="T310" s="45" t="n">
        <v>2072603.62347</v>
      </c>
      <c r="U310" s="15" t="n">
        <v>3.79</v>
      </c>
      <c r="V310" s="15" t="n">
        <v>7.73</v>
      </c>
      <c r="W310" s="49" t="n">
        <v>113.313</v>
      </c>
    </row>
    <row r="311">
      <c r="A311" s="44" t="inlineStr">
        <is>
          <t>TL Cinsi Sabit Faizli Kuponlu Senetler</t>
        </is>
      </c>
      <c r="B311" s="44" t="n">
        <v>2015</v>
      </c>
      <c r="C311" s="44" t="inlineStr">
        <is>
          <t>TRT050220T17</t>
        </is>
      </c>
      <c r="D311" s="44" t="inlineStr">
        <is>
          <t>11.02.2015</t>
        </is>
      </c>
      <c r="E311" s="44" t="inlineStr">
        <is>
          <t>05.02.2020</t>
        </is>
      </c>
      <c r="F311" s="44" t="n">
        <v>1820</v>
      </c>
      <c r="G311" s="44" t="inlineStr">
        <is>
          <t>6 Ay</t>
        </is>
      </c>
      <c r="H311" s="15" t="n">
        <v>3.7</v>
      </c>
      <c r="I311" s="45" t="n">
        <v>2944003.47</v>
      </c>
      <c r="J311" s="45" t="n">
        <v>2882031.17205</v>
      </c>
      <c r="K311" s="45" t="n">
        <v>1216103.47</v>
      </c>
      <c r="L311" s="45" t="n">
        <v>1194641.95205</v>
      </c>
      <c r="M311" s="45" t="n">
        <v>628085.7120000001</v>
      </c>
      <c r="N311" s="45" t="n">
        <v>616999.9991799999</v>
      </c>
      <c r="O311" s="45" t="n">
        <v>1168173.258</v>
      </c>
      <c r="P311" s="45" t="n">
        <v>1147555</v>
      </c>
      <c r="Q311" s="45" t="n">
        <v>74572.042</v>
      </c>
      <c r="R311" s="45" t="n">
        <v>73255.84546</v>
      </c>
      <c r="S311" s="45" t="n">
        <v>3086934.482</v>
      </c>
      <c r="T311" s="45" t="n">
        <v>3032452.79669</v>
      </c>
      <c r="U311" s="15" t="n">
        <v>3.92</v>
      </c>
      <c r="V311" s="15" t="n">
        <v>7.99</v>
      </c>
      <c r="W311" s="49" t="n">
        <v>98.235</v>
      </c>
    </row>
    <row r="312">
      <c r="A312" s="44" t="inlineStr">
        <is>
          <t>TL Cinsi Sabit Faizli Kuponlu Senetler</t>
        </is>
      </c>
      <c r="B312" s="44" t="n">
        <v>2015</v>
      </c>
      <c r="C312" s="44" t="inlineStr">
        <is>
          <t>TRT161116T19</t>
        </is>
      </c>
      <c r="D312" s="44" t="inlineStr">
        <is>
          <t>11.02.2015</t>
        </is>
      </c>
      <c r="E312" s="44" t="inlineStr">
        <is>
          <t>16.11.2016</t>
        </is>
      </c>
      <c r="F312" s="44" t="n">
        <v>644</v>
      </c>
      <c r="G312" s="44" t="inlineStr">
        <is>
          <t>6 ay</t>
        </is>
      </c>
      <c r="H312" s="15" t="n">
        <v>4.1</v>
      </c>
      <c r="I312" s="45" t="n">
        <v>1546500</v>
      </c>
      <c r="J312" s="45" t="n">
        <v>1574628.185</v>
      </c>
      <c r="K312" s="45" t="n">
        <v>801300</v>
      </c>
      <c r="L312" s="45" t="n">
        <v>816666.009</v>
      </c>
      <c r="M312" s="45" t="n">
        <v>196236.189</v>
      </c>
      <c r="N312" s="45" t="n">
        <v>199999.99911</v>
      </c>
      <c r="O312" s="45" t="n">
        <v>740014.5209999999</v>
      </c>
      <c r="P312" s="45" t="n">
        <v>754207.99951</v>
      </c>
      <c r="Q312" s="45" t="n">
        <v>4841</v>
      </c>
      <c r="R312" s="45" t="n">
        <v>4933.85038</v>
      </c>
      <c r="S312" s="45" t="n">
        <v>1742391.71</v>
      </c>
      <c r="T312" s="45" t="n">
        <v>1775807.858</v>
      </c>
      <c r="U312" s="15" t="n">
        <v>4.09</v>
      </c>
      <c r="V312" s="15" t="n">
        <v>8.34</v>
      </c>
      <c r="W312" s="49" t="n">
        <v>101.918</v>
      </c>
    </row>
    <row r="313">
      <c r="A313" s="44" t="inlineStr">
        <is>
          <t>TL Cinsi Sabit Faizli Kuponlu Senetler</t>
        </is>
      </c>
      <c r="B313" s="44" t="n">
        <v>2015</v>
      </c>
      <c r="C313" s="44" t="inlineStr">
        <is>
          <t>TRT240724T15</t>
        </is>
      </c>
      <c r="D313" s="44" t="inlineStr">
        <is>
          <t>11.02.2015</t>
        </is>
      </c>
      <c r="E313" s="44" t="inlineStr">
        <is>
          <t>24.07.2024</t>
        </is>
      </c>
      <c r="F313" s="44" t="n">
        <v>3451</v>
      </c>
      <c r="G313" s="44" t="inlineStr">
        <is>
          <t>6 ay</t>
        </is>
      </c>
      <c r="H313" s="15" t="n">
        <v>4.5</v>
      </c>
      <c r="I313" s="45" t="n">
        <v>2629709.98</v>
      </c>
      <c r="J313" s="45" t="n">
        <v>2843008.1196</v>
      </c>
      <c r="K313" s="45" t="n">
        <v>1299100</v>
      </c>
      <c r="L313" s="45" t="n">
        <v>1408191.583</v>
      </c>
      <c r="M313" s="45" t="n">
        <v>461267.378</v>
      </c>
      <c r="N313" s="45" t="n">
        <v>499999.99973</v>
      </c>
      <c r="O313" s="45" t="n">
        <v>714418.296</v>
      </c>
      <c r="P313" s="45" t="n">
        <v>774408.0003200001</v>
      </c>
      <c r="Q313" s="45" t="n">
        <v>0</v>
      </c>
      <c r="R313" s="45" t="n">
        <v>0</v>
      </c>
      <c r="S313" s="45" t="n">
        <v>2474785.674</v>
      </c>
      <c r="T313" s="45" t="n">
        <v>2682599.58305</v>
      </c>
      <c r="U313" s="15" t="n">
        <v>3.88</v>
      </c>
      <c r="V313" s="15" t="n">
        <v>7.91</v>
      </c>
      <c r="W313" s="49" t="n">
        <v>108.397</v>
      </c>
    </row>
    <row r="314">
      <c r="A314" s="44" t="inlineStr">
        <is>
          <t>TL Cinsi Sabit Faizli Kuponlu Senetler</t>
        </is>
      </c>
      <c r="B314" s="44" t="n">
        <v>2015</v>
      </c>
      <c r="C314" s="44" t="inlineStr">
        <is>
          <t>TRT050220T17</t>
        </is>
      </c>
      <c r="D314" s="44" t="inlineStr">
        <is>
          <t>25.03.2015</t>
        </is>
      </c>
      <c r="E314" s="44" t="inlineStr">
        <is>
          <t>05.02.2020</t>
        </is>
      </c>
      <c r="F314" s="44" t="n">
        <v>1778</v>
      </c>
      <c r="G314" s="44" t="inlineStr">
        <is>
          <t>6 ay</t>
        </is>
      </c>
      <c r="H314" s="15" t="n">
        <v>3.7</v>
      </c>
      <c r="I314" s="45" t="n">
        <v>1759500</v>
      </c>
      <c r="J314" s="45" t="n">
        <v>1724028.54</v>
      </c>
      <c r="K314" s="45" t="n">
        <v>1077000</v>
      </c>
      <c r="L314" s="45" t="n">
        <v>1056771.26</v>
      </c>
      <c r="M314" s="45" t="n">
        <v>965125.048</v>
      </c>
      <c r="N314" s="45" t="n">
        <v>946999.9996</v>
      </c>
      <c r="O314" s="45" t="n">
        <v>442928.191</v>
      </c>
      <c r="P314" s="45" t="n">
        <v>434609.99957</v>
      </c>
      <c r="Q314" s="45" t="n">
        <v>0</v>
      </c>
      <c r="R314" s="45" t="n">
        <v>0</v>
      </c>
      <c r="S314" s="45" t="n">
        <v>2485053.239</v>
      </c>
      <c r="T314" s="45" t="n">
        <v>2438381.25917</v>
      </c>
      <c r="U314" s="15" t="n">
        <v>4.04</v>
      </c>
      <c r="V314" s="15" t="n">
        <v>8.25</v>
      </c>
      <c r="W314" s="49" t="n">
        <v>98.122</v>
      </c>
    </row>
    <row r="315">
      <c r="A315" s="44" t="inlineStr">
        <is>
          <t>TL Cinsi Sabit Faizli Kuponlu Senetler</t>
        </is>
      </c>
      <c r="B315" s="44" t="n">
        <v>2015</v>
      </c>
      <c r="C315" s="44" t="inlineStr">
        <is>
          <t>TRT120325T12</t>
        </is>
      </c>
      <c r="D315" s="44" t="inlineStr">
        <is>
          <t>25.03.2015</t>
        </is>
      </c>
      <c r="E315" s="44" t="inlineStr">
        <is>
          <t>12.03.2025</t>
        </is>
      </c>
      <c r="F315" s="44" t="n">
        <v>3640</v>
      </c>
      <c r="G315" s="44" t="inlineStr">
        <is>
          <t>6 ay</t>
        </is>
      </c>
      <c r="H315" s="15" t="n">
        <v>4</v>
      </c>
      <c r="I315" s="45" t="n">
        <v>1634900</v>
      </c>
      <c r="J315" s="45" t="n">
        <v>1632736.562</v>
      </c>
      <c r="K315" s="45" t="n">
        <v>818350</v>
      </c>
      <c r="L315" s="45" t="n">
        <v>819428.8345</v>
      </c>
      <c r="M315" s="45" t="n">
        <v>499340.87</v>
      </c>
      <c r="N315" s="45" t="n">
        <v>499999.99995</v>
      </c>
      <c r="O315" s="45" t="n">
        <v>737686.254</v>
      </c>
      <c r="P315" s="45" t="n">
        <v>738659.99986</v>
      </c>
      <c r="Q315" s="45" t="n">
        <v>0</v>
      </c>
      <c r="R315" s="45" t="n">
        <v>0</v>
      </c>
      <c r="S315" s="45" t="n">
        <v>2055377.124</v>
      </c>
      <c r="T315" s="45" t="n">
        <v>2058088.83431</v>
      </c>
      <c r="U315" s="15" t="n">
        <v>3.99</v>
      </c>
      <c r="V315" s="15" t="n">
        <v>8.140000000000001</v>
      </c>
      <c r="W315" s="49" t="n">
        <v>100.132</v>
      </c>
    </row>
    <row r="316">
      <c r="A316" s="44" t="inlineStr">
        <is>
          <t>TL Cinsi Sabit Faizli Kuponlu Senetler</t>
        </is>
      </c>
      <c r="B316" s="44" t="n">
        <v>2015</v>
      </c>
      <c r="C316" s="44" t="inlineStr">
        <is>
          <t>TRT050220T17</t>
        </is>
      </c>
      <c r="D316" s="44" t="inlineStr">
        <is>
          <t>29.04.2015</t>
        </is>
      </c>
      <c r="E316" s="44" t="inlineStr">
        <is>
          <t>05.02.2020</t>
        </is>
      </c>
      <c r="F316" s="44" t="n">
        <v>1743</v>
      </c>
      <c r="G316" s="44" t="inlineStr">
        <is>
          <t>6 ay</t>
        </is>
      </c>
      <c r="H316" s="15" t="n">
        <v>3.7</v>
      </c>
      <c r="I316" s="45" t="n">
        <v>1769400</v>
      </c>
      <c r="J316" s="45" t="n">
        <v>1639553.405</v>
      </c>
      <c r="K316" s="45" t="n">
        <v>1339300</v>
      </c>
      <c r="L316" s="45" t="n">
        <v>1243287.178</v>
      </c>
      <c r="M316" s="45" t="n">
        <v>1174176.729</v>
      </c>
      <c r="N316" s="45" t="n">
        <v>1089999.9993</v>
      </c>
      <c r="O316" s="45" t="n">
        <v>243318.504</v>
      </c>
      <c r="P316" s="45" t="n">
        <v>225875.00045</v>
      </c>
      <c r="Q316" s="45" t="n">
        <v>260655.748</v>
      </c>
      <c r="R316" s="45" t="n">
        <v>241969.33743</v>
      </c>
      <c r="S316" s="45" t="n">
        <v>3017450.981000001</v>
      </c>
      <c r="T316" s="45" t="n">
        <v>2801131.51518</v>
      </c>
      <c r="U316" s="15" t="n">
        <v>4.86</v>
      </c>
      <c r="V316" s="15" t="n">
        <v>9.949999999999999</v>
      </c>
      <c r="W316" s="49" t="n">
        <v>92.831</v>
      </c>
    </row>
    <row r="317">
      <c r="A317" s="44" t="inlineStr">
        <is>
          <t>TL Cinsi Sabit Faizli Kuponlu Senetler</t>
        </is>
      </c>
      <c r="B317" s="44" t="n">
        <v>2015</v>
      </c>
      <c r="C317" s="44" t="inlineStr">
        <is>
          <t>TRT161116T19</t>
        </is>
      </c>
      <c r="D317" s="44" t="inlineStr">
        <is>
          <t>29.04.2015</t>
        </is>
      </c>
      <c r="E317" s="44" t="inlineStr">
        <is>
          <t>16.11.2016</t>
        </is>
      </c>
      <c r="F317" s="44" t="n">
        <v>567</v>
      </c>
      <c r="G317" s="44" t="inlineStr">
        <is>
          <t>6 ay</t>
        </is>
      </c>
      <c r="H317" s="15" t="n">
        <v>4.1</v>
      </c>
      <c r="I317" s="45" t="n">
        <v>3368370</v>
      </c>
      <c r="J317" s="45" t="n">
        <v>3408691.4493</v>
      </c>
      <c r="K317" s="45" t="n">
        <v>547900</v>
      </c>
      <c r="L317" s="45" t="n">
        <v>555988.826</v>
      </c>
      <c r="M317" s="45" t="n">
        <v>640545.547</v>
      </c>
      <c r="N317" s="45" t="n">
        <v>649999.99927</v>
      </c>
      <c r="O317" s="45" t="n">
        <v>572610.765</v>
      </c>
      <c r="P317" s="45" t="n">
        <v>581062.49989</v>
      </c>
      <c r="Q317" s="45" t="n">
        <v>0</v>
      </c>
      <c r="R317" s="45" t="n">
        <v>0</v>
      </c>
      <c r="S317" s="45" t="n">
        <v>1761056.312</v>
      </c>
      <c r="T317" s="45" t="n">
        <v>1787051.32516</v>
      </c>
      <c r="U317" s="15" t="n">
        <v>4.86</v>
      </c>
      <c r="V317" s="15" t="n">
        <v>9.949999999999999</v>
      </c>
      <c r="W317" s="49" t="n">
        <v>101.476</v>
      </c>
    </row>
    <row r="318">
      <c r="A318" s="44" t="inlineStr">
        <is>
          <t>TL Cinsi Sabit Faizli Kuponlu Senetler</t>
        </is>
      </c>
      <c r="B318" s="44" t="n">
        <v>2015</v>
      </c>
      <c r="C318" s="44" t="inlineStr">
        <is>
          <t>TRT120325T12</t>
        </is>
      </c>
      <c r="D318" s="44" t="inlineStr">
        <is>
          <t>29.04.2015</t>
        </is>
      </c>
      <c r="E318" s="44" t="inlineStr">
        <is>
          <t>12.03.2025</t>
        </is>
      </c>
      <c r="F318" s="44" t="n">
        <v>3605</v>
      </c>
      <c r="G318" s="44" t="inlineStr">
        <is>
          <t>6 ay</t>
        </is>
      </c>
      <c r="H318" s="15" t="n">
        <v>4</v>
      </c>
      <c r="I318" s="45" t="n">
        <v>3451800</v>
      </c>
      <c r="J318" s="45" t="n">
        <v>3200430.77</v>
      </c>
      <c r="K318" s="45" t="n">
        <v>1338200</v>
      </c>
      <c r="L318" s="45" t="n">
        <v>1244304.762</v>
      </c>
      <c r="M318" s="45" t="n">
        <v>537732.703</v>
      </c>
      <c r="N318" s="45" t="n">
        <v>499999.99923</v>
      </c>
      <c r="O318" s="45" t="n">
        <v>635664.584</v>
      </c>
      <c r="P318" s="45" t="n">
        <v>591060.00014</v>
      </c>
      <c r="Q318" s="45" t="n">
        <v>92039.11199999999</v>
      </c>
      <c r="R318" s="45" t="n">
        <v>85580.72751000001</v>
      </c>
      <c r="S318" s="45" t="n">
        <v>2603636.399</v>
      </c>
      <c r="T318" s="45" t="n">
        <v>2420945.488880001</v>
      </c>
      <c r="U318" s="15" t="n">
        <v>4.61</v>
      </c>
      <c r="V318" s="15" t="n">
        <v>9.43</v>
      </c>
      <c r="W318" s="49" t="n">
        <v>92.983</v>
      </c>
    </row>
    <row r="319">
      <c r="A319" s="44" t="inlineStr">
        <is>
          <t>TL Cinsi Sabit Faizli Kuponlu Senetler</t>
        </is>
      </c>
      <c r="B319" s="44" t="n">
        <v>2015</v>
      </c>
      <c r="C319" s="44" t="inlineStr">
        <is>
          <t>TRT050220T17</t>
        </is>
      </c>
      <c r="D319" s="44" t="inlineStr">
        <is>
          <t>13.05.2015</t>
        </is>
      </c>
      <c r="E319" s="44" t="inlineStr">
        <is>
          <t>05.02.2020</t>
        </is>
      </c>
      <c r="F319" s="44" t="n">
        <v>1729</v>
      </c>
      <c r="G319" s="44" t="inlineStr">
        <is>
          <t>6 ay</t>
        </is>
      </c>
      <c r="H319" s="15" t="n">
        <v>3.7</v>
      </c>
      <c r="I319" s="45" t="n">
        <v>4097900</v>
      </c>
      <c r="J319" s="45" t="n">
        <v>3856104.319</v>
      </c>
      <c r="K319" s="45" t="n">
        <v>1028000</v>
      </c>
      <c r="L319" s="45" t="n">
        <v>969886.5699999999</v>
      </c>
      <c r="M319" s="45" t="n">
        <v>0</v>
      </c>
      <c r="N319" s="45" t="n">
        <v>0</v>
      </c>
      <c r="O319" s="45" t="n">
        <v>1121534.336</v>
      </c>
      <c r="P319" s="45" t="n">
        <v>1058133.99999</v>
      </c>
      <c r="Q319" s="45" t="n">
        <v>274894.428</v>
      </c>
      <c r="R319" s="45" t="n">
        <v>259354.64599</v>
      </c>
      <c r="S319" s="45" t="n">
        <v>2424428.764</v>
      </c>
      <c r="T319" s="45" t="n">
        <v>2287375.21598</v>
      </c>
      <c r="U319" s="15" t="n">
        <v>4.69</v>
      </c>
      <c r="V319" s="15" t="n">
        <v>9.609999999999999</v>
      </c>
      <c r="W319" s="49" t="n">
        <v>94.34699999999999</v>
      </c>
    </row>
    <row r="320">
      <c r="A320" s="44" t="inlineStr">
        <is>
          <t>TL Cinsi Sabit Faizli Kuponlu Senetler</t>
        </is>
      </c>
      <c r="B320" s="44" t="n">
        <v>2015</v>
      </c>
      <c r="C320" s="44" t="inlineStr">
        <is>
          <t>TRT161116T19</t>
        </is>
      </c>
      <c r="D320" s="44" t="inlineStr">
        <is>
          <t>13.05.2015</t>
        </is>
      </c>
      <c r="E320" s="44" t="inlineStr">
        <is>
          <t>16.11.2016</t>
        </is>
      </c>
      <c r="F320" s="44" t="n">
        <v>553</v>
      </c>
      <c r="G320" s="44" t="inlineStr">
        <is>
          <t>6 ay</t>
        </is>
      </c>
      <c r="H320" s="15" t="n">
        <v>4.1</v>
      </c>
      <c r="I320" s="45" t="n">
        <v>1009400</v>
      </c>
      <c r="J320" s="45" t="n">
        <v>1028302.714</v>
      </c>
      <c r="K320" s="45" t="n">
        <v>562400</v>
      </c>
      <c r="L320" s="45" t="n">
        <v>573286.943</v>
      </c>
      <c r="M320" s="45" t="n">
        <v>276644.168</v>
      </c>
      <c r="N320" s="45" t="n">
        <v>281999.99909</v>
      </c>
      <c r="O320" s="45" t="n">
        <v>850758.319</v>
      </c>
      <c r="P320" s="45" t="n">
        <v>867229.00006</v>
      </c>
      <c r="Q320" s="45" t="n">
        <v>110243.642</v>
      </c>
      <c r="R320" s="45" t="n">
        <v>112377.95891</v>
      </c>
      <c r="S320" s="45" t="n">
        <v>1800046.129</v>
      </c>
      <c r="T320" s="45" t="n">
        <v>1834893.90106</v>
      </c>
      <c r="U320" s="15" t="n">
        <v>4.82</v>
      </c>
      <c r="V320" s="15" t="n">
        <v>9.880000000000001</v>
      </c>
      <c r="W320" s="49" t="n">
        <v>101.936</v>
      </c>
    </row>
    <row r="321">
      <c r="A321" s="44" t="inlineStr">
        <is>
          <t>TL Cinsi Sabit Faizli Kuponlu Senetler</t>
        </is>
      </c>
      <c r="B321" s="44" t="n">
        <v>2015</v>
      </c>
      <c r="C321" s="44" t="inlineStr">
        <is>
          <t>TRT120325T12</t>
        </is>
      </c>
      <c r="D321" s="44" t="inlineStr">
        <is>
          <t>13.05.2015</t>
        </is>
      </c>
      <c r="E321" s="44" t="inlineStr">
        <is>
          <t>12.03.2025</t>
        </is>
      </c>
      <c r="F321" s="44" t="n">
        <v>3591</v>
      </c>
      <c r="G321" s="44" t="inlineStr">
        <is>
          <t>6 ay</t>
        </is>
      </c>
      <c r="H321" s="15" t="n">
        <v>4</v>
      </c>
      <c r="I321" s="45" t="n">
        <v>1076100</v>
      </c>
      <c r="J321" s="45" t="n">
        <v>1010529.472</v>
      </c>
      <c r="K321" s="45" t="n">
        <v>511200</v>
      </c>
      <c r="L321" s="45" t="n">
        <v>481253.444</v>
      </c>
      <c r="M321" s="45" t="n">
        <v>0</v>
      </c>
      <c r="N321" s="45" t="n">
        <v>0</v>
      </c>
      <c r="O321" s="45" t="n">
        <v>1116802.277</v>
      </c>
      <c r="P321" s="45" t="n">
        <v>1051379.99961</v>
      </c>
      <c r="Q321" s="45" t="n">
        <v>63213.903</v>
      </c>
      <c r="R321" s="45" t="n">
        <v>59510.83256</v>
      </c>
      <c r="S321" s="45" t="n">
        <v>1691216.18</v>
      </c>
      <c r="T321" s="45" t="n">
        <v>1592144.27617</v>
      </c>
      <c r="U321" s="15" t="n">
        <v>4.54</v>
      </c>
      <c r="V321" s="15" t="n">
        <v>9.279999999999999</v>
      </c>
      <c r="W321" s="49" t="n">
        <v>94.142</v>
      </c>
    </row>
    <row r="322">
      <c r="A322" s="44" t="inlineStr">
        <is>
          <t>TL Cinsi Sabit Faizli Kuponlu Senetler</t>
        </is>
      </c>
      <c r="B322" s="44" t="n">
        <v>2015</v>
      </c>
      <c r="C322" s="44" t="inlineStr">
        <is>
          <t>TRT050220T17</t>
        </is>
      </c>
      <c r="D322" s="44" t="inlineStr">
        <is>
          <t>17.06.2015</t>
        </is>
      </c>
      <c r="E322" s="44" t="inlineStr">
        <is>
          <t>05.02.2020</t>
        </is>
      </c>
      <c r="F322" s="44" t="n">
        <v>1694</v>
      </c>
      <c r="G322" s="44" t="inlineStr">
        <is>
          <t>6 ay</t>
        </is>
      </c>
      <c r="H322" s="15" t="n">
        <v>3.7</v>
      </c>
      <c r="I322" s="45" t="n">
        <v>2175500</v>
      </c>
      <c r="J322" s="45" t="n">
        <v>2053046.39</v>
      </c>
      <c r="K322" s="45" t="n">
        <v>929000</v>
      </c>
      <c r="L322" s="45" t="n">
        <v>878958.8199999999</v>
      </c>
      <c r="M322" s="45" t="n">
        <v>845549.765</v>
      </c>
      <c r="N322" s="45" t="n">
        <v>799999.99916</v>
      </c>
      <c r="O322" s="45" t="n">
        <v>655512.456</v>
      </c>
      <c r="P322" s="45" t="n">
        <v>620200</v>
      </c>
      <c r="Q322" s="45" t="n">
        <v>0</v>
      </c>
      <c r="R322" s="45" t="n">
        <v>0</v>
      </c>
      <c r="S322" s="45" t="n">
        <v>2430062.221</v>
      </c>
      <c r="T322" s="45" t="n">
        <v>2299158.81916</v>
      </c>
      <c r="U322" s="15" t="n">
        <v>4.78</v>
      </c>
      <c r="V322" s="15" t="n">
        <v>9.779999999999999</v>
      </c>
      <c r="W322" s="49" t="n">
        <v>94.613</v>
      </c>
    </row>
    <row r="323">
      <c r="A323" s="44" t="inlineStr">
        <is>
          <t>TL Cinsi Sabit Faizli Kuponlu Senetler</t>
        </is>
      </c>
      <c r="B323" s="44" t="n">
        <v>2015</v>
      </c>
      <c r="C323" s="44" t="inlineStr">
        <is>
          <t>TRT140617T17</t>
        </is>
      </c>
      <c r="D323" s="44" t="inlineStr">
        <is>
          <t>17.06.2015</t>
        </is>
      </c>
      <c r="E323" s="44" t="inlineStr">
        <is>
          <t>14.06.2017</t>
        </is>
      </c>
      <c r="F323" s="44" t="n">
        <v>728</v>
      </c>
      <c r="G323" s="44" t="inlineStr">
        <is>
          <t>6 ay</t>
        </is>
      </c>
      <c r="H323" s="15" t="n">
        <v>4.8</v>
      </c>
      <c r="I323" s="45" t="n">
        <v>511200</v>
      </c>
      <c r="J323" s="45" t="n">
        <v>507206.63</v>
      </c>
      <c r="K323" s="45" t="n">
        <v>368200</v>
      </c>
      <c r="L323" s="45" t="n">
        <v>366306.32</v>
      </c>
      <c r="M323" s="45" t="n">
        <v>502583.278</v>
      </c>
      <c r="N323" s="45" t="n">
        <v>499999.99995</v>
      </c>
      <c r="O323" s="45" t="n">
        <v>719772.129</v>
      </c>
      <c r="P323" s="45" t="n">
        <v>716072.50026</v>
      </c>
      <c r="Q323" s="45" t="n">
        <v>0</v>
      </c>
      <c r="R323" s="45" t="n">
        <v>0</v>
      </c>
      <c r="S323" s="45" t="n">
        <v>1590555.407</v>
      </c>
      <c r="T323" s="45" t="n">
        <v>1582378.82021</v>
      </c>
      <c r="U323" s="15" t="n">
        <v>4.94</v>
      </c>
      <c r="V323" s="15" t="n">
        <v>10.13</v>
      </c>
      <c r="W323" s="49" t="n">
        <v>99.486</v>
      </c>
    </row>
    <row r="324">
      <c r="A324" s="44" t="inlineStr">
        <is>
          <t>TL Cinsi Sabit Faizli Kuponlu Senetler</t>
        </is>
      </c>
      <c r="B324" s="44" t="n">
        <v>2015</v>
      </c>
      <c r="C324" s="44" t="inlineStr">
        <is>
          <t>TRT120325T12</t>
        </is>
      </c>
      <c r="D324" s="44" t="inlineStr">
        <is>
          <t>17.06.2015</t>
        </is>
      </c>
      <c r="E324" s="44" t="inlineStr">
        <is>
          <t>12.03.2025</t>
        </is>
      </c>
      <c r="F324" s="44" t="n">
        <v>3556</v>
      </c>
      <c r="G324" s="44" t="inlineStr">
        <is>
          <t>6 ay</t>
        </is>
      </c>
      <c r="H324" s="15" t="n">
        <v>4</v>
      </c>
      <c r="I324" s="45" t="n">
        <v>1786130</v>
      </c>
      <c r="J324" s="45" t="n">
        <v>1650043.1848</v>
      </c>
      <c r="K324" s="45" t="n">
        <v>1363830</v>
      </c>
      <c r="L324" s="45" t="n">
        <v>1264230.4518</v>
      </c>
      <c r="M324" s="45" t="n">
        <v>701209.316</v>
      </c>
      <c r="N324" s="45" t="n">
        <v>649999.99965</v>
      </c>
      <c r="O324" s="45" t="n">
        <v>582057.672</v>
      </c>
      <c r="P324" s="45" t="n">
        <v>539550.0002100001</v>
      </c>
      <c r="Q324" s="45" t="n">
        <v>0</v>
      </c>
      <c r="R324" s="45" t="n">
        <v>0</v>
      </c>
      <c r="S324" s="45" t="n">
        <v>2647096.988</v>
      </c>
      <c r="T324" s="45" t="n">
        <v>2453780.45166</v>
      </c>
      <c r="U324" s="15" t="n">
        <v>4.73</v>
      </c>
      <c r="V324" s="15" t="n">
        <v>9.67</v>
      </c>
      <c r="W324" s="49" t="n">
        <v>92.697</v>
      </c>
    </row>
    <row r="325">
      <c r="A325" s="44" t="inlineStr">
        <is>
          <t>TL Cinsi Sabit Faizli Kuponlu Senetler</t>
        </is>
      </c>
      <c r="B325" s="44" t="n">
        <v>2015</v>
      </c>
      <c r="C325" s="44" t="inlineStr">
        <is>
          <t>TRT080720T19</t>
        </is>
      </c>
      <c r="D325" s="44" t="inlineStr">
        <is>
          <t>15.07.2015</t>
        </is>
      </c>
      <c r="E325" s="44" t="inlineStr">
        <is>
          <t>08.07.2020</t>
        </is>
      </c>
      <c r="F325" s="44" t="n">
        <v>1820</v>
      </c>
      <c r="G325" s="44" t="inlineStr">
        <is>
          <t>6 ay</t>
        </is>
      </c>
      <c r="H325" s="15" t="n">
        <v>4.7</v>
      </c>
      <c r="I325" s="45" t="n">
        <v>1981700</v>
      </c>
      <c r="J325" s="45" t="n">
        <v>1968038.406</v>
      </c>
      <c r="K325" s="45" t="n">
        <v>804600</v>
      </c>
      <c r="L325" s="45" t="n">
        <v>801251.8149999999</v>
      </c>
      <c r="M325" s="45" t="n">
        <v>733049.485</v>
      </c>
      <c r="N325" s="45" t="n">
        <v>729999.99914</v>
      </c>
      <c r="O325" s="45" t="n">
        <v>762773.1360000001</v>
      </c>
      <c r="P325" s="45" t="n">
        <v>759599.99975</v>
      </c>
      <c r="Q325" s="45" t="n">
        <v>146220.592</v>
      </c>
      <c r="R325" s="45" t="n">
        <v>145612.31434</v>
      </c>
      <c r="S325" s="45" t="n">
        <v>2446643.213</v>
      </c>
      <c r="T325" s="45" t="n">
        <v>2436464.12823</v>
      </c>
      <c r="U325" s="15" t="n">
        <v>4.75</v>
      </c>
      <c r="V325" s="15" t="n">
        <v>9.73</v>
      </c>
      <c r="W325" s="49" t="n">
        <v>99.584</v>
      </c>
    </row>
    <row r="326">
      <c r="A326" s="44" t="inlineStr">
        <is>
          <t>TL Cinsi Sabit Faizli Kuponlu Senetler</t>
        </is>
      </c>
      <c r="B326" s="44" t="n">
        <v>2015</v>
      </c>
      <c r="C326" s="44" t="inlineStr">
        <is>
          <t>TRT140617T17</t>
        </is>
      </c>
      <c r="D326" s="44" t="inlineStr">
        <is>
          <t>15.07.2015</t>
        </is>
      </c>
      <c r="E326" s="44" t="inlineStr">
        <is>
          <t>14.06.2017</t>
        </is>
      </c>
      <c r="F326" s="44" t="n">
        <v>700</v>
      </c>
      <c r="G326" s="44" t="inlineStr">
        <is>
          <t>6 ay</t>
        </is>
      </c>
      <c r="H326" s="15" t="n">
        <v>4.8</v>
      </c>
      <c r="I326" s="45" t="n">
        <v>1353900</v>
      </c>
      <c r="J326" s="45" t="n">
        <v>1364036.358</v>
      </c>
      <c r="K326" s="45" t="n">
        <v>590400</v>
      </c>
      <c r="L326" s="45" t="n">
        <v>595436.6679999999</v>
      </c>
      <c r="M326" s="45" t="n">
        <v>644502.394</v>
      </c>
      <c r="N326" s="45" t="n">
        <v>649999.99942</v>
      </c>
      <c r="O326" s="45" t="n">
        <v>405739.046</v>
      </c>
      <c r="P326" s="45" t="n">
        <v>409200.00006</v>
      </c>
      <c r="Q326" s="45" t="n">
        <v>63635.851</v>
      </c>
      <c r="R326" s="45" t="n">
        <v>64178.66481</v>
      </c>
      <c r="S326" s="45" t="n">
        <v>1704277.291</v>
      </c>
      <c r="T326" s="45" t="n">
        <v>1718815.33229</v>
      </c>
      <c r="U326" s="15" t="n">
        <v>4.76</v>
      </c>
      <c r="V326" s="15" t="n">
        <v>9.75</v>
      </c>
      <c r="W326" s="49" t="n">
        <v>100.853</v>
      </c>
    </row>
    <row r="327">
      <c r="A327" s="44" t="inlineStr">
        <is>
          <t>TL Cinsi Sabit Faizli Kuponlu Senetler</t>
        </is>
      </c>
      <c r="B327" s="44" t="n">
        <v>2015</v>
      </c>
      <c r="C327" s="44" t="inlineStr">
        <is>
          <t>TRT120325T12</t>
        </is>
      </c>
      <c r="D327" s="44" t="inlineStr">
        <is>
          <t>15.07.2015</t>
        </is>
      </c>
      <c r="E327" s="44" t="inlineStr">
        <is>
          <t>12.03.2025</t>
        </is>
      </c>
      <c r="F327" s="44" t="n">
        <v>3528</v>
      </c>
      <c r="G327" s="44" t="inlineStr">
        <is>
          <t>6 ay</t>
        </is>
      </c>
      <c r="H327" s="15" t="n">
        <v>4</v>
      </c>
      <c r="I327" s="45" t="n">
        <v>3226400</v>
      </c>
      <c r="J327" s="45" t="n">
        <v>3040130.177</v>
      </c>
      <c r="K327" s="45" t="n">
        <v>1212250</v>
      </c>
      <c r="L327" s="45" t="n">
        <v>1145839.755</v>
      </c>
      <c r="M327" s="45" t="n">
        <v>740568.333</v>
      </c>
      <c r="N327" s="45" t="n">
        <v>699999.9997200001</v>
      </c>
      <c r="O327" s="45" t="n">
        <v>578939.295</v>
      </c>
      <c r="P327" s="45" t="n">
        <v>547225.0004199999</v>
      </c>
      <c r="Q327" s="45" t="n">
        <v>259710.578</v>
      </c>
      <c r="R327" s="45" t="n">
        <v>245483.63254</v>
      </c>
      <c r="S327" s="45" t="n">
        <v>2791468.206</v>
      </c>
      <c r="T327" s="45" t="n">
        <v>2638548.38768</v>
      </c>
      <c r="U327" s="15" t="n">
        <v>4.63</v>
      </c>
      <c r="V327" s="15" t="n">
        <v>9.470000000000001</v>
      </c>
      <c r="W327" s="49" t="n">
        <v>94.52200000000001</v>
      </c>
    </row>
    <row r="328">
      <c r="A328" s="44" t="inlineStr">
        <is>
          <t>TL Cinsi Sabit Faizli Kuponlu Senetler</t>
        </is>
      </c>
      <c r="B328" s="44" t="n">
        <v>2015</v>
      </c>
      <c r="C328" s="44" t="inlineStr">
        <is>
          <t>TRT080720T19</t>
        </is>
      </c>
      <c r="D328" s="44" t="inlineStr">
        <is>
          <t>19.08.2015</t>
        </is>
      </c>
      <c r="E328" s="44" t="inlineStr">
        <is>
          <t>08.07.2020</t>
        </is>
      </c>
      <c r="F328" s="44" t="n">
        <v>1785</v>
      </c>
      <c r="G328" s="44" t="inlineStr">
        <is>
          <t>6 ay</t>
        </is>
      </c>
      <c r="H328" s="15" t="n">
        <v>4.7</v>
      </c>
      <c r="I328" s="45" t="n">
        <v>1565900</v>
      </c>
      <c r="J328" s="45" t="n">
        <v>1527335.435</v>
      </c>
      <c r="K328" s="45" t="n">
        <v>1161400</v>
      </c>
      <c r="L328" s="45" t="n">
        <v>1136008.76</v>
      </c>
      <c r="M328" s="45" t="n">
        <v>981454.597</v>
      </c>
      <c r="N328" s="45" t="n">
        <v>959999.99951</v>
      </c>
      <c r="O328" s="45" t="n">
        <v>603287.873</v>
      </c>
      <c r="P328" s="45" t="n">
        <v>590100.0001000001</v>
      </c>
      <c r="Q328" s="45" t="n">
        <v>127793.567</v>
      </c>
      <c r="R328" s="45" t="n">
        <v>124999.99963</v>
      </c>
      <c r="S328" s="45" t="n">
        <v>2873936.037</v>
      </c>
      <c r="T328" s="45" t="n">
        <v>2811108.75924</v>
      </c>
      <c r="U328" s="15" t="n">
        <v>5.11</v>
      </c>
      <c r="V328" s="15" t="n">
        <v>10.47</v>
      </c>
      <c r="W328" s="49" t="n">
        <v>97.81399999999999</v>
      </c>
    </row>
    <row r="329">
      <c r="A329" s="44" t="inlineStr">
        <is>
          <t>TL Cinsi Sabit Faizli Kuponlu Senetler</t>
        </is>
      </c>
      <c r="B329" s="44" t="n">
        <v>2015</v>
      </c>
      <c r="C329" s="44" t="inlineStr">
        <is>
          <t>TRT080720T19</t>
        </is>
      </c>
      <c r="D329" s="44" t="inlineStr">
        <is>
          <t>16.09.2015</t>
        </is>
      </c>
      <c r="E329" s="44" t="inlineStr">
        <is>
          <t>08.07.2020</t>
        </is>
      </c>
      <c r="F329" s="44" t="n">
        <v>1757</v>
      </c>
      <c r="G329" s="44" t="inlineStr">
        <is>
          <t>6 ay</t>
        </is>
      </c>
      <c r="H329" s="15" t="n">
        <v>4.7</v>
      </c>
      <c r="I329" s="45" t="n">
        <v>1901405.365</v>
      </c>
      <c r="J329" s="45" t="n">
        <v>1813731.40427</v>
      </c>
      <c r="K329" s="45" t="n">
        <v>771501</v>
      </c>
      <c r="L329" s="45" t="n">
        <v>737803.05428</v>
      </c>
      <c r="M329" s="45" t="n">
        <v>1051949.138</v>
      </c>
      <c r="N329" s="45" t="n">
        <v>1005999.99965</v>
      </c>
      <c r="O329" s="45" t="n">
        <v>290959.093</v>
      </c>
      <c r="P329" s="45" t="n">
        <v>278249.99982</v>
      </c>
      <c r="Q329" s="45" t="n">
        <v>141774.341</v>
      </c>
      <c r="R329" s="45" t="n">
        <v>135581.63779</v>
      </c>
      <c r="S329" s="45" t="n">
        <v>2256183.572</v>
      </c>
      <c r="T329" s="45" t="n">
        <v>2157634.69154</v>
      </c>
      <c r="U329" s="15" t="n">
        <v>5.51</v>
      </c>
      <c r="V329" s="15" t="n">
        <v>11.33</v>
      </c>
      <c r="W329" s="49" t="n">
        <v>95.63200000000001</v>
      </c>
    </row>
    <row r="330">
      <c r="A330" s="44" t="inlineStr">
        <is>
          <t>TL Cinsi Sabit Faizli Kuponlu Senetler</t>
        </is>
      </c>
      <c r="B330" s="44" t="n">
        <v>2015</v>
      </c>
      <c r="C330" s="44" t="inlineStr">
        <is>
          <t>TRT080720T19</t>
        </is>
      </c>
      <c r="D330" s="44" t="inlineStr">
        <is>
          <t>07.10.2015</t>
        </is>
      </c>
      <c r="E330" s="44" t="inlineStr">
        <is>
          <t>08.07.2020</t>
        </is>
      </c>
      <c r="F330" s="44" t="n">
        <v>1736</v>
      </c>
      <c r="G330" s="44" t="inlineStr">
        <is>
          <t>6 ay</t>
        </is>
      </c>
      <c r="H330" s="15" t="n">
        <v>4.7</v>
      </c>
      <c r="I330" s="45" t="n">
        <v>3609450</v>
      </c>
      <c r="J330" s="45" t="n">
        <v>3519798.031</v>
      </c>
      <c r="K330" s="45" t="n">
        <v>1042000</v>
      </c>
      <c r="L330" s="45" t="n">
        <v>1018886.28</v>
      </c>
      <c r="M330" s="45" t="n">
        <v>255670.777</v>
      </c>
      <c r="N330" s="45" t="n">
        <v>249999.99917</v>
      </c>
      <c r="O330" s="45" t="n">
        <v>815196.048</v>
      </c>
      <c r="P330" s="45" t="n">
        <v>797114.99966</v>
      </c>
      <c r="Q330" s="45" t="n">
        <v>161140.721</v>
      </c>
      <c r="R330" s="45" t="n">
        <v>157566.61981</v>
      </c>
      <c r="S330" s="45" t="n">
        <v>2274007.546</v>
      </c>
      <c r="T330" s="45" t="n">
        <v>2223567.89864</v>
      </c>
      <c r="U330" s="15" t="n">
        <v>5.29</v>
      </c>
      <c r="V330" s="15" t="n">
        <v>10.87</v>
      </c>
      <c r="W330" s="49" t="n">
        <v>97.782</v>
      </c>
    </row>
    <row r="331">
      <c r="A331" s="44" t="inlineStr">
        <is>
          <t>TL Cinsi Sabit Faizli Kuponlu Senetler</t>
        </is>
      </c>
      <c r="B331" s="44" t="n">
        <v>2015</v>
      </c>
      <c r="C331" s="44" t="inlineStr">
        <is>
          <t>TRT140617T17</t>
        </is>
      </c>
      <c r="D331" s="44" t="inlineStr">
        <is>
          <t>07.10.2015</t>
        </is>
      </c>
      <c r="E331" s="44" t="inlineStr">
        <is>
          <t>14.06.2017</t>
        </is>
      </c>
      <c r="F331" s="44" t="n">
        <v>616</v>
      </c>
      <c r="G331" s="44" t="inlineStr">
        <is>
          <t>6 ay</t>
        </is>
      </c>
      <c r="H331" s="15" t="n">
        <v>4.8</v>
      </c>
      <c r="I331" s="45" t="n">
        <v>1581000</v>
      </c>
      <c r="J331" s="45" t="n">
        <v>1597287.135</v>
      </c>
      <c r="K331" s="45" t="n">
        <v>525000</v>
      </c>
      <c r="L331" s="45" t="n">
        <v>531655</v>
      </c>
      <c r="M331" s="45" t="n">
        <v>193545.838</v>
      </c>
      <c r="N331" s="45" t="n">
        <v>195999.99923</v>
      </c>
      <c r="O331" s="45" t="n">
        <v>356874.827</v>
      </c>
      <c r="P331" s="45" t="n">
        <v>361399.99981</v>
      </c>
      <c r="Q331" s="45" t="n">
        <v>120000</v>
      </c>
      <c r="R331" s="45" t="n">
        <v>121521.6</v>
      </c>
      <c r="S331" s="45" t="n">
        <v>1195420.665</v>
      </c>
      <c r="T331" s="45" t="n">
        <v>1210576.59904</v>
      </c>
      <c r="U331" s="15" t="n">
        <v>5.35</v>
      </c>
      <c r="V331" s="15" t="n">
        <v>10.98</v>
      </c>
      <c r="W331" s="49" t="n">
        <v>101.268</v>
      </c>
    </row>
    <row r="332">
      <c r="A332" s="44" t="inlineStr">
        <is>
          <t>TL Cinsi Sabit Faizli Kuponlu Senetler</t>
        </is>
      </c>
      <c r="B332" s="44" t="n">
        <v>2015</v>
      </c>
      <c r="C332" s="44" t="inlineStr">
        <is>
          <t>TRT120325T12</t>
        </is>
      </c>
      <c r="D332" s="44" t="inlineStr">
        <is>
          <t>07.10.2015</t>
        </is>
      </c>
      <c r="E332" s="44" t="inlineStr">
        <is>
          <t>12.03.2025</t>
        </is>
      </c>
      <c r="F332" s="44" t="n">
        <v>3444</v>
      </c>
      <c r="G332" s="44" t="inlineStr">
        <is>
          <t>6 ay</t>
        </is>
      </c>
      <c r="H332" s="15" t="n">
        <v>4</v>
      </c>
      <c r="I332" s="45" t="n">
        <v>2285200</v>
      </c>
      <c r="J332" s="45" t="n">
        <v>1974060.0435</v>
      </c>
      <c r="K332" s="45" t="n">
        <v>787000</v>
      </c>
      <c r="L332" s="45" t="n">
        <v>682688.67</v>
      </c>
      <c r="M332" s="45" t="n">
        <v>288197.726</v>
      </c>
      <c r="N332" s="45" t="n">
        <v>249999.9994</v>
      </c>
      <c r="O332" s="45" t="n">
        <v>461775.759</v>
      </c>
      <c r="P332" s="45" t="n">
        <v>400571.9999</v>
      </c>
      <c r="Q332" s="45" t="n">
        <v>145629.395</v>
      </c>
      <c r="R332" s="45" t="n">
        <v>126327.67499</v>
      </c>
      <c r="S332" s="45" t="n">
        <v>1682602.88</v>
      </c>
      <c r="T332" s="45" t="n">
        <v>1459588.34429</v>
      </c>
      <c r="U332" s="15" t="n">
        <v>5.14</v>
      </c>
      <c r="V332" s="15" t="n">
        <v>10.54</v>
      </c>
      <c r="W332" s="49" t="n">
        <v>86.746</v>
      </c>
    </row>
    <row r="333">
      <c r="A333" s="44" t="inlineStr">
        <is>
          <t>TL Cinsi Sabit Faizli Kuponlu Senetler</t>
        </is>
      </c>
      <c r="B333" s="44" t="n">
        <v>2015</v>
      </c>
      <c r="C333" s="44" t="inlineStr">
        <is>
          <t>TRT140617T17</t>
        </is>
      </c>
      <c r="D333" s="44" t="inlineStr">
        <is>
          <t>18.11.2015</t>
        </is>
      </c>
      <c r="E333" s="44" t="inlineStr">
        <is>
          <t>14.06.2017</t>
        </is>
      </c>
      <c r="F333" s="44" t="n">
        <v>574</v>
      </c>
      <c r="G333" s="44" t="inlineStr">
        <is>
          <t>6 ay</t>
        </is>
      </c>
      <c r="H333" s="15" t="n">
        <v>4.8</v>
      </c>
      <c r="I333" s="45" t="n">
        <v>1436200</v>
      </c>
      <c r="J333" s="45" t="n">
        <v>1482630.902</v>
      </c>
      <c r="K333" s="45" t="n">
        <v>585000</v>
      </c>
      <c r="L333" s="45" t="n">
        <v>604499.95</v>
      </c>
      <c r="M333" s="45" t="n">
        <v>193549.011</v>
      </c>
      <c r="N333" s="45" t="n">
        <v>199999.99954</v>
      </c>
      <c r="O333" s="45" t="n">
        <v>516485.537</v>
      </c>
      <c r="P333" s="45" t="n">
        <v>533699.99995</v>
      </c>
      <c r="Q333" s="45" t="n">
        <v>0</v>
      </c>
      <c r="R333" s="45" t="n">
        <v>0</v>
      </c>
      <c r="S333" s="45" t="n">
        <v>1295034.548</v>
      </c>
      <c r="T333" s="45" t="n">
        <v>1338199.94949</v>
      </c>
      <c r="U333" s="15" t="n">
        <v>5.05</v>
      </c>
      <c r="V333" s="15" t="n">
        <v>10.36</v>
      </c>
      <c r="W333" s="49" t="n">
        <v>103.333</v>
      </c>
    </row>
    <row r="334">
      <c r="A334" s="44" t="inlineStr">
        <is>
          <t>TL Cinsi Sabit Faizli Kuponlu Senetler</t>
        </is>
      </c>
      <c r="B334" s="44" t="n">
        <v>2015</v>
      </c>
      <c r="C334" s="44" t="inlineStr">
        <is>
          <t>TRT080720T19</t>
        </is>
      </c>
      <c r="D334" s="44" t="inlineStr">
        <is>
          <t>18.11.2015</t>
        </is>
      </c>
      <c r="E334" s="44" t="inlineStr">
        <is>
          <t>08.07.2020</t>
        </is>
      </c>
      <c r="F334" s="44" t="n">
        <v>1694</v>
      </c>
      <c r="G334" s="44" t="inlineStr">
        <is>
          <t>6 ay</t>
        </is>
      </c>
      <c r="H334" s="15" t="n">
        <v>4.7</v>
      </c>
      <c r="I334" s="45" t="n">
        <v>3180500</v>
      </c>
      <c r="J334" s="45" t="n">
        <v>3212629.487</v>
      </c>
      <c r="K334" s="45" t="n">
        <v>872700</v>
      </c>
      <c r="L334" s="45" t="n">
        <v>884149.6949999999</v>
      </c>
      <c r="M334" s="45" t="n">
        <v>493524.952</v>
      </c>
      <c r="N334" s="45" t="n">
        <v>499999.99937</v>
      </c>
      <c r="O334" s="45" t="n">
        <v>487257.186</v>
      </c>
      <c r="P334" s="45" t="n">
        <v>493650.00028</v>
      </c>
      <c r="Q334" s="45" t="n">
        <v>0</v>
      </c>
      <c r="R334" s="45" t="n">
        <v>0</v>
      </c>
      <c r="S334" s="45" t="n">
        <v>1853482.138</v>
      </c>
      <c r="T334" s="45" t="n">
        <v>1877799.69465</v>
      </c>
      <c r="U334" s="15" t="n">
        <v>4.96</v>
      </c>
      <c r="V334" s="15" t="n">
        <v>10.17</v>
      </c>
      <c r="W334" s="49" t="n">
        <v>101.312</v>
      </c>
    </row>
    <row r="335">
      <c r="A335" s="44" t="inlineStr">
        <is>
          <t>TL Cinsi Sabit Faizli Kuponlu Senetler</t>
        </is>
      </c>
      <c r="B335" s="44" t="n">
        <v>2015</v>
      </c>
      <c r="C335" s="44" t="inlineStr">
        <is>
          <t>TRT080720T19</t>
        </is>
      </c>
      <c r="D335" s="44" t="inlineStr">
        <is>
          <t>16.12.2015</t>
        </is>
      </c>
      <c r="E335" s="44" t="inlineStr">
        <is>
          <t>08.07.2020</t>
        </is>
      </c>
      <c r="F335" s="44" t="n">
        <v>1666</v>
      </c>
      <c r="G335" s="44" t="inlineStr">
        <is>
          <t>6 ay</t>
        </is>
      </c>
      <c r="H335" s="15" t="n">
        <v>4.7</v>
      </c>
      <c r="I335" s="45" t="n">
        <v>910100</v>
      </c>
      <c r="J335" s="45" t="n">
        <v>900000.437</v>
      </c>
      <c r="K335" s="45" t="n">
        <v>500600</v>
      </c>
      <c r="L335" s="45" t="n">
        <v>496299.852</v>
      </c>
      <c r="M335" s="45" t="n">
        <v>1296133.789</v>
      </c>
      <c r="N335" s="45" t="n">
        <v>1284999.99975</v>
      </c>
      <c r="O335" s="45" t="n">
        <v>474475.747</v>
      </c>
      <c r="P335" s="45" t="n">
        <v>470400.00033</v>
      </c>
      <c r="Q335" s="45" t="n">
        <v>6643.927</v>
      </c>
      <c r="R335" s="45" t="n">
        <v>6586.85567</v>
      </c>
      <c r="S335" s="45" t="n">
        <v>2277853.463</v>
      </c>
      <c r="T335" s="45" t="n">
        <v>2258286.70775</v>
      </c>
      <c r="U335" s="15" t="n">
        <v>5.38</v>
      </c>
      <c r="V335" s="15" t="n">
        <v>11.05</v>
      </c>
      <c r="W335" s="49" t="n">
        <v>99.14100000000001</v>
      </c>
    </row>
    <row r="336">
      <c r="A336" s="44" t="inlineStr">
        <is>
          <t>TL Cinsi Sabit Faizli Kuponlu Senetler</t>
        </is>
      </c>
      <c r="B336" s="44" t="n">
        <v>2015</v>
      </c>
      <c r="C336" s="44" t="inlineStr">
        <is>
          <t>TRT120325T12</t>
        </is>
      </c>
      <c r="D336" s="44" t="inlineStr">
        <is>
          <t>16.12.2015</t>
        </is>
      </c>
      <c r="E336" s="44" t="inlineStr">
        <is>
          <t>12.03.2025</t>
        </is>
      </c>
      <c r="F336" s="44" t="n">
        <v>3374</v>
      </c>
      <c r="G336" s="44" t="inlineStr">
        <is>
          <t>6 ay</t>
        </is>
      </c>
      <c r="H336" s="15" t="n">
        <v>4</v>
      </c>
      <c r="I336" s="45" t="n">
        <v>1021500</v>
      </c>
      <c r="J336" s="45" t="n">
        <v>886912.84</v>
      </c>
      <c r="K336" s="45" t="n">
        <v>527000</v>
      </c>
      <c r="L336" s="45" t="n">
        <v>459231.08</v>
      </c>
      <c r="M336" s="45" t="n">
        <v>981168.451</v>
      </c>
      <c r="N336" s="45" t="n">
        <v>854999.99989</v>
      </c>
      <c r="O336" s="45" t="n">
        <v>462698.385</v>
      </c>
      <c r="P336" s="45" t="n">
        <v>403199.99967</v>
      </c>
      <c r="Q336" s="45" t="n">
        <v>99013.859</v>
      </c>
      <c r="R336" s="45" t="n">
        <v>86281.66687</v>
      </c>
      <c r="S336" s="45" t="n">
        <v>2069880.695</v>
      </c>
      <c r="T336" s="45" t="n">
        <v>1803712.74643</v>
      </c>
      <c r="U336" s="15" t="n">
        <v>5.26</v>
      </c>
      <c r="V336" s="15" t="n">
        <v>10.79</v>
      </c>
      <c r="W336" s="49" t="n">
        <v>87.14100000000001</v>
      </c>
    </row>
    <row r="337">
      <c r="A337" s="44" t="inlineStr">
        <is>
          <t>TL Cinsi Sabit Faizli Kuponlu Senetler</t>
        </is>
      </c>
      <c r="B337" s="44" t="n">
        <v>2014</v>
      </c>
      <c r="C337" s="44" t="inlineStr">
        <is>
          <t>TRT141118T19</t>
        </is>
      </c>
      <c r="D337" s="44" t="inlineStr">
        <is>
          <t>29.01.2014</t>
        </is>
      </c>
      <c r="E337" s="44" t="inlineStr">
        <is>
          <t>14.11.2018</t>
        </is>
      </c>
      <c r="F337" s="44" t="n">
        <v>1750</v>
      </c>
      <c r="G337" s="44" t="inlineStr">
        <is>
          <t>6 Ay</t>
        </is>
      </c>
      <c r="H337" s="15" t="n">
        <v>4.4</v>
      </c>
      <c r="I337" s="45" t="n">
        <v>1837726.24</v>
      </c>
      <c r="J337" s="45" t="n">
        <v>1719471.76555</v>
      </c>
      <c r="K337" s="45" t="n">
        <v>1142926.24</v>
      </c>
      <c r="L337" s="45" t="n">
        <v>1071858.94455</v>
      </c>
      <c r="M337" s="45" t="n">
        <v>1230513.318120748</v>
      </c>
      <c r="N337" s="45" t="n">
        <v>1154000</v>
      </c>
      <c r="O337" s="45" t="n">
        <v>605340.0439316713</v>
      </c>
      <c r="P337" s="45" t="n">
        <v>567700</v>
      </c>
      <c r="Q337" s="45" t="n">
        <v>255972.507</v>
      </c>
      <c r="R337" s="45" t="n">
        <v>240056.13651474</v>
      </c>
      <c r="S337" s="45" t="n">
        <v>3234752.10905242</v>
      </c>
      <c r="T337" s="45" t="n">
        <v>3033615.08106474</v>
      </c>
      <c r="U337" s="15" t="n">
        <v>5.48</v>
      </c>
      <c r="V337" s="15" t="n">
        <v>11.25</v>
      </c>
      <c r="W337" s="49" t="n">
        <v>93.782</v>
      </c>
    </row>
    <row r="338">
      <c r="A338" s="44" t="inlineStr">
        <is>
          <t>TL Cinsi Sabit Faizli Kuponlu Senetler</t>
        </is>
      </c>
      <c r="B338" s="44" t="n">
        <v>2014</v>
      </c>
      <c r="C338" s="44" t="inlineStr">
        <is>
          <t>TRT071015T12</t>
        </is>
      </c>
      <c r="D338" s="44" t="inlineStr">
        <is>
          <t>29.01.2014</t>
        </is>
      </c>
      <c r="E338" s="44" t="inlineStr">
        <is>
          <t>07.10.2015</t>
        </is>
      </c>
      <c r="F338" s="44" t="n">
        <v>616</v>
      </c>
      <c r="G338" s="44" t="inlineStr">
        <is>
          <t>6 Ay</t>
        </is>
      </c>
      <c r="H338" s="15" t="n">
        <v>4.15</v>
      </c>
      <c r="I338" s="45" t="n">
        <v>3556808.025</v>
      </c>
      <c r="J338" s="45" t="n">
        <v>3499565.33978</v>
      </c>
      <c r="K338" s="45" t="n">
        <v>883007.025</v>
      </c>
      <c r="L338" s="45" t="n">
        <v>872961.01472</v>
      </c>
      <c r="M338" s="45" t="n">
        <v>0</v>
      </c>
      <c r="N338" s="45" t="n">
        <v>0</v>
      </c>
      <c r="O338" s="45" t="n">
        <v>542296.3322611317</v>
      </c>
      <c r="P338" s="45" t="n">
        <v>536125</v>
      </c>
      <c r="Q338" s="45" t="n">
        <v>149017.437</v>
      </c>
      <c r="R338" s="45" t="n">
        <v>147321.61856694</v>
      </c>
      <c r="S338" s="45" t="n">
        <v>1574320.794261132</v>
      </c>
      <c r="T338" s="45" t="n">
        <v>1556407.63328694</v>
      </c>
      <c r="U338" s="15" t="n">
        <v>5.36</v>
      </c>
      <c r="V338" s="15" t="n">
        <v>11.01</v>
      </c>
      <c r="W338" s="49" t="n">
        <v>98.86199999999999</v>
      </c>
    </row>
    <row r="339">
      <c r="A339" s="44" t="inlineStr">
        <is>
          <t>TL Cinsi Sabit Faizli Kuponlu Senetler</t>
        </is>
      </c>
      <c r="B339" s="44" t="n">
        <v>2014</v>
      </c>
      <c r="C339" s="44" t="inlineStr">
        <is>
          <t>TRT270923T11</t>
        </is>
      </c>
      <c r="D339" s="44" t="inlineStr">
        <is>
          <t>29.01.2014</t>
        </is>
      </c>
      <c r="E339" s="44" t="inlineStr">
        <is>
          <t>27.09.2023</t>
        </is>
      </c>
      <c r="F339" s="44" t="n">
        <v>3528</v>
      </c>
      <c r="G339" s="44" t="inlineStr">
        <is>
          <t>6 Ay</t>
        </is>
      </c>
      <c r="H339" s="15" t="n">
        <v>4.4</v>
      </c>
      <c r="I339" s="45" t="n">
        <v>1677600</v>
      </c>
      <c r="J339" s="45" t="n">
        <v>1564036.162</v>
      </c>
      <c r="K339" s="45" t="n">
        <v>637100</v>
      </c>
      <c r="L339" s="45" t="n">
        <v>601124.944</v>
      </c>
      <c r="M339" s="45" t="n">
        <v>1118141.447542739</v>
      </c>
      <c r="N339" s="45" t="n">
        <v>1055000</v>
      </c>
      <c r="O339" s="45" t="n">
        <v>428730.4060284252</v>
      </c>
      <c r="P339" s="45" t="n">
        <v>404520</v>
      </c>
      <c r="Q339" s="45" t="n">
        <v>100856.801</v>
      </c>
      <c r="R339" s="45" t="n">
        <v>95161.41744753</v>
      </c>
      <c r="S339" s="45" t="n">
        <v>2284828.654571164</v>
      </c>
      <c r="T339" s="45" t="n">
        <v>2155806.36144753</v>
      </c>
      <c r="U339" s="15" t="n">
        <v>5.09</v>
      </c>
      <c r="V339" s="15" t="n">
        <v>10.43</v>
      </c>
      <c r="W339" s="49" t="n">
        <v>94.35299999999999</v>
      </c>
    </row>
    <row r="340">
      <c r="A340" s="44" t="inlineStr">
        <is>
          <t>TL Cinsi Sabit Faizli Kuponlu Senetler</t>
        </is>
      </c>
      <c r="B340" s="44" t="n">
        <v>2014</v>
      </c>
      <c r="C340" s="44" t="inlineStr">
        <is>
          <t>TRT141118T19</t>
        </is>
      </c>
      <c r="D340" s="44" t="inlineStr">
        <is>
          <t>26.02.2014</t>
        </is>
      </c>
      <c r="E340" s="44" t="inlineStr">
        <is>
          <t>14.11.2018</t>
        </is>
      </c>
      <c r="F340" s="44" t="n">
        <v>1722</v>
      </c>
      <c r="G340" s="44" t="inlineStr">
        <is>
          <t>6 Ay</t>
        </is>
      </c>
      <c r="H340" s="15" t="n">
        <v>4.4</v>
      </c>
      <c r="I340" s="45" t="n">
        <v>5122322.14</v>
      </c>
      <c r="J340" s="45" t="n">
        <v>4907110.25039</v>
      </c>
      <c r="K340" s="45" t="n">
        <v>1025000</v>
      </c>
      <c r="L340" s="45" t="n">
        <v>986678.1</v>
      </c>
      <c r="M340" s="45" t="n">
        <v>623305.3884750834</v>
      </c>
      <c r="N340" s="45" t="n">
        <v>600000</v>
      </c>
      <c r="O340" s="45" t="n">
        <v>1008445.788013837</v>
      </c>
      <c r="P340" s="45" t="n">
        <v>970740</v>
      </c>
      <c r="Q340" s="45" t="n">
        <v>122079.824</v>
      </c>
      <c r="R340" s="45" t="n">
        <v>117515.25938064</v>
      </c>
      <c r="S340" s="45" t="n">
        <v>2778831.000488921</v>
      </c>
      <c r="T340" s="45" t="n">
        <v>2674933.35938064</v>
      </c>
      <c r="U340" s="15" t="n">
        <v>5.23</v>
      </c>
      <c r="V340" s="15" t="n">
        <v>10.74</v>
      </c>
      <c r="W340" s="49" t="n">
        <v>96.261</v>
      </c>
    </row>
    <row r="341">
      <c r="A341" s="44" t="inlineStr">
        <is>
          <t>TL Cinsi Sabit Faizli Kuponlu Senetler</t>
        </is>
      </c>
      <c r="B341" s="44" t="n">
        <v>2014</v>
      </c>
      <c r="C341" s="44" t="inlineStr">
        <is>
          <t>TRT240216T10</t>
        </is>
      </c>
      <c r="D341" s="44" t="inlineStr">
        <is>
          <t>26.02.2014</t>
        </is>
      </c>
      <c r="E341" s="44" t="inlineStr">
        <is>
          <t>24.02.2016</t>
        </is>
      </c>
      <c r="F341" s="44" t="n">
        <v>728</v>
      </c>
      <c r="G341" s="44" t="inlineStr">
        <is>
          <t>6 Ay</t>
        </is>
      </c>
      <c r="H341" s="15" t="n">
        <v>5.35</v>
      </c>
      <c r="I341" s="45" t="n">
        <v>1737675</v>
      </c>
      <c r="J341" s="45" t="n">
        <v>1727494.975</v>
      </c>
      <c r="K341" s="45" t="n">
        <v>719075</v>
      </c>
      <c r="L341" s="45" t="n">
        <v>716750.045</v>
      </c>
      <c r="M341" s="45" t="n">
        <v>0</v>
      </c>
      <c r="N341" s="45" t="n">
        <v>0</v>
      </c>
      <c r="O341" s="45" t="n">
        <v>754481.9767850155</v>
      </c>
      <c r="P341" s="45" t="n">
        <v>752045</v>
      </c>
      <c r="Q341" s="45" t="n">
        <v>111642.195</v>
      </c>
      <c r="R341" s="45" t="n">
        <v>111281.59071015</v>
      </c>
      <c r="S341" s="45" t="n">
        <v>1585199.171785016</v>
      </c>
      <c r="T341" s="45" t="n">
        <v>1580076.63571015</v>
      </c>
      <c r="U341" s="15" t="n">
        <v>5.44</v>
      </c>
      <c r="V341" s="15" t="n">
        <v>11.18</v>
      </c>
      <c r="W341" s="49" t="n">
        <v>99.67700000000001</v>
      </c>
    </row>
    <row r="342">
      <c r="A342" s="44" t="inlineStr">
        <is>
          <t>TL Cinsi Sabit Faizli Kuponlu Senetler</t>
        </is>
      </c>
      <c r="B342" s="44" t="n">
        <v>2014</v>
      </c>
      <c r="C342" s="44" t="inlineStr">
        <is>
          <t>TRT270923T11</t>
        </is>
      </c>
      <c r="D342" s="44" t="inlineStr">
        <is>
          <t>26.02.2014</t>
        </is>
      </c>
      <c r="E342" s="44" t="inlineStr">
        <is>
          <t>27.09.2023</t>
        </is>
      </c>
      <c r="F342" s="44" t="n">
        <v>3500</v>
      </c>
      <c r="G342" s="44" t="inlineStr">
        <is>
          <t>6 Ay</t>
        </is>
      </c>
      <c r="H342" s="15" t="n">
        <v>4.4</v>
      </c>
      <c r="I342" s="45" t="n">
        <v>2165300</v>
      </c>
      <c r="J342" s="45" t="n">
        <v>2025947.277</v>
      </c>
      <c r="K342" s="45" t="n">
        <v>763500</v>
      </c>
      <c r="L342" s="45" t="n">
        <v>718575.975</v>
      </c>
      <c r="M342" s="45" t="n">
        <v>637511.1564452378</v>
      </c>
      <c r="N342" s="45" t="n">
        <v>600000</v>
      </c>
      <c r="O342" s="45" t="n">
        <v>650123.2521569127</v>
      </c>
      <c r="P342" s="45" t="n">
        <v>611870</v>
      </c>
      <c r="Q342" s="45" t="n">
        <v>96525.79300000001</v>
      </c>
      <c r="R342" s="45" t="n">
        <v>90846.21533988001</v>
      </c>
      <c r="S342" s="45" t="n">
        <v>2147660.201602151</v>
      </c>
      <c r="T342" s="45" t="n">
        <v>2021292.19033988</v>
      </c>
      <c r="U342" s="15" t="n">
        <v>5.17</v>
      </c>
      <c r="V342" s="15" t="n">
        <v>10.61</v>
      </c>
      <c r="W342" s="49" t="n">
        <v>94.116</v>
      </c>
    </row>
    <row r="343">
      <c r="A343" s="44" t="inlineStr">
        <is>
          <t>TL Cinsi Sabit Faizli Kuponlu Senetler</t>
        </is>
      </c>
      <c r="B343" s="44" t="n">
        <v>2014</v>
      </c>
      <c r="C343" s="44" t="inlineStr">
        <is>
          <t>TRT141118T19</t>
        </is>
      </c>
      <c r="D343" s="44" t="inlineStr">
        <is>
          <t>05.03.2014</t>
        </is>
      </c>
      <c r="E343" s="44" t="inlineStr">
        <is>
          <t>14.11.2018</t>
        </is>
      </c>
      <c r="F343" s="44" t="n">
        <v>1715</v>
      </c>
      <c r="G343" s="44" t="inlineStr">
        <is>
          <t>6 Ay</t>
        </is>
      </c>
      <c r="H343" s="15" t="n">
        <v>4.4</v>
      </c>
      <c r="I343" s="45" t="n">
        <v>2497400</v>
      </c>
      <c r="J343" s="45" t="n">
        <v>2381819.043</v>
      </c>
      <c r="K343" s="45" t="n">
        <v>1277800</v>
      </c>
      <c r="L343" s="45" t="n">
        <v>1220641.482</v>
      </c>
      <c r="M343" s="45" t="n">
        <v>680435.897704314</v>
      </c>
      <c r="N343" s="45" t="n">
        <v>650000</v>
      </c>
      <c r="O343" s="45" t="n">
        <v>1672563.777780104</v>
      </c>
      <c r="P343" s="45" t="n">
        <v>1597750</v>
      </c>
      <c r="Q343" s="45" t="n">
        <v>318459.273</v>
      </c>
      <c r="R343" s="45" t="n">
        <v>304214.58971871</v>
      </c>
      <c r="S343" s="45" t="n">
        <v>3949258.948484418</v>
      </c>
      <c r="T343" s="45" t="n">
        <v>3772606.07171871</v>
      </c>
      <c r="U343" s="15" t="n">
        <v>5.36</v>
      </c>
      <c r="V343" s="15" t="n">
        <v>11.01</v>
      </c>
      <c r="W343" s="49" t="n">
        <v>95.527</v>
      </c>
    </row>
    <row r="344">
      <c r="A344" s="44" t="inlineStr">
        <is>
          <t>TL Cinsi Sabit Faizli Kuponlu Senetler</t>
        </is>
      </c>
      <c r="B344" s="44" t="n">
        <v>2014</v>
      </c>
      <c r="C344" s="44" t="inlineStr">
        <is>
          <t>TRT240216T10</t>
        </is>
      </c>
      <c r="D344" s="44" t="inlineStr">
        <is>
          <t>05.03.2014</t>
        </is>
      </c>
      <c r="E344" s="44" t="inlineStr">
        <is>
          <t>24.02.2016</t>
        </is>
      </c>
      <c r="F344" s="44" t="n">
        <v>721</v>
      </c>
      <c r="G344" s="44" t="inlineStr">
        <is>
          <t>6 Ay</t>
        </is>
      </c>
      <c r="H344" s="15" t="n">
        <v>5.35</v>
      </c>
      <c r="I344" s="45" t="n">
        <v>3494202</v>
      </c>
      <c r="J344" s="45" t="n">
        <v>3476601.29804</v>
      </c>
      <c r="K344" s="45" t="n">
        <v>1797802</v>
      </c>
      <c r="L344" s="45" t="n">
        <v>1791114.03704</v>
      </c>
      <c r="M344" s="45" t="n">
        <v>752800.4175532983</v>
      </c>
      <c r="N344" s="45" t="n">
        <v>750000</v>
      </c>
      <c r="O344" s="45" t="n">
        <v>515116.2323844702</v>
      </c>
      <c r="P344" s="45" t="n">
        <v>513200</v>
      </c>
      <c r="Q344" s="45" t="n">
        <v>331645.4</v>
      </c>
      <c r="R344" s="45" t="n">
        <v>330411.679112</v>
      </c>
      <c r="S344" s="45" t="n">
        <v>3397364.049937768</v>
      </c>
      <c r="T344" s="45" t="n">
        <v>3384725.716152</v>
      </c>
      <c r="U344" s="15" t="n">
        <v>5.51</v>
      </c>
      <c r="V344" s="15" t="n">
        <v>11.33</v>
      </c>
      <c r="W344" s="49" t="n">
        <v>99.628</v>
      </c>
    </row>
    <row r="345">
      <c r="A345" s="44" t="inlineStr">
        <is>
          <t>TL Cinsi Sabit Faizli Kuponlu Senetler</t>
        </is>
      </c>
      <c r="B345" s="44" t="n">
        <v>2014</v>
      </c>
      <c r="C345" s="44" t="inlineStr">
        <is>
          <t>TRT270923T11</t>
        </is>
      </c>
      <c r="D345" s="44" t="inlineStr">
        <is>
          <t>05.03.2014</t>
        </is>
      </c>
      <c r="E345" s="44" t="inlineStr">
        <is>
          <t>27.09.2023</t>
        </is>
      </c>
      <c r="F345" s="44" t="n">
        <v>3493</v>
      </c>
      <c r="G345" s="44" t="inlineStr">
        <is>
          <t>6 Ay</t>
        </is>
      </c>
      <c r="H345" s="15" t="n">
        <v>4.4</v>
      </c>
      <c r="I345" s="45" t="n">
        <v>2764900</v>
      </c>
      <c r="J345" s="45" t="n">
        <v>2570935.493</v>
      </c>
      <c r="K345" s="45" t="n">
        <v>1732300</v>
      </c>
      <c r="L345" s="45" t="n">
        <v>1614764.585</v>
      </c>
      <c r="M345" s="45" t="n">
        <v>0</v>
      </c>
      <c r="N345" s="45" t="n">
        <v>0</v>
      </c>
      <c r="O345" s="45" t="n">
        <v>1420275.706699566</v>
      </c>
      <c r="P345" s="45" t="n">
        <v>1323910</v>
      </c>
      <c r="Q345" s="45" t="n">
        <v>339989.122</v>
      </c>
      <c r="R345" s="45" t="n">
        <v>316920.8600723</v>
      </c>
      <c r="S345" s="45" t="n">
        <v>3492564.828699565</v>
      </c>
      <c r="T345" s="45" t="n">
        <v>3255595.4450723</v>
      </c>
      <c r="U345" s="15" t="n">
        <v>5.27</v>
      </c>
      <c r="V345" s="15" t="n">
        <v>10.81</v>
      </c>
      <c r="W345" s="49" t="n">
        <v>93.215</v>
      </c>
    </row>
    <row r="346">
      <c r="A346" s="44" t="inlineStr">
        <is>
          <t>TL Cinsi Sabit Faizli Kuponlu Senetler</t>
        </is>
      </c>
      <c r="B346" s="44" t="n">
        <v>2014</v>
      </c>
      <c r="C346" s="44" t="inlineStr">
        <is>
          <t>TRT270319T13</t>
        </is>
      </c>
      <c r="D346" s="44" t="inlineStr">
        <is>
          <t>02.04.2014</t>
        </is>
      </c>
      <c r="E346" s="44" t="inlineStr">
        <is>
          <t>27.03.2019</t>
        </is>
      </c>
      <c r="F346" s="44" t="n">
        <v>1820</v>
      </c>
      <c r="G346" s="44" t="inlineStr">
        <is>
          <t>6 Ay</t>
        </is>
      </c>
      <c r="H346" s="15" t="n">
        <v>5.2</v>
      </c>
      <c r="I346" s="45" t="n">
        <v>2332700</v>
      </c>
      <c r="J346" s="45" t="n">
        <v>2341921.815</v>
      </c>
      <c r="K346" s="45" t="n">
        <v>995200</v>
      </c>
      <c r="L346" s="45" t="n">
        <v>1002121.945</v>
      </c>
      <c r="M346" s="45" t="n">
        <v>297926.43203305</v>
      </c>
      <c r="N346" s="45" t="n">
        <v>300000</v>
      </c>
      <c r="O346" s="45" t="n">
        <v>1095952.172876778</v>
      </c>
      <c r="P346" s="45" t="n">
        <v>1103580</v>
      </c>
      <c r="Q346" s="45" t="n">
        <v>156382.127</v>
      </c>
      <c r="R346" s="45" t="n">
        <v>157470.54660392</v>
      </c>
      <c r="S346" s="45" t="n">
        <v>2545460.731909827</v>
      </c>
      <c r="T346" s="45" t="n">
        <v>2563172.49160392</v>
      </c>
      <c r="U346" s="15" t="n">
        <v>5.11</v>
      </c>
      <c r="V346" s="15" t="n">
        <v>10.48</v>
      </c>
      <c r="W346" s="49" t="n">
        <v>100.696</v>
      </c>
    </row>
    <row r="347">
      <c r="A347" s="44" t="inlineStr">
        <is>
          <t>TL Cinsi Sabit Faizli Kuponlu Senetler</t>
        </is>
      </c>
      <c r="B347" s="44" t="n">
        <v>2014</v>
      </c>
      <c r="C347" s="44" t="inlineStr">
        <is>
          <t>TRT240216T10</t>
        </is>
      </c>
      <c r="D347" s="44" t="inlineStr">
        <is>
          <t>02.04.2014</t>
        </is>
      </c>
      <c r="E347" s="44" t="inlineStr">
        <is>
          <t>24.02.2016</t>
        </is>
      </c>
      <c r="F347" s="44" t="n">
        <v>693</v>
      </c>
      <c r="G347" s="44" t="inlineStr">
        <is>
          <t>6 Ay</t>
        </is>
      </c>
      <c r="H347" s="15" t="n">
        <v>5.35</v>
      </c>
      <c r="I347" s="45" t="n">
        <v>2664209.87</v>
      </c>
      <c r="J347" s="45" t="n">
        <v>2700735.40957</v>
      </c>
      <c r="K347" s="45" t="n">
        <v>764200</v>
      </c>
      <c r="L347" s="45" t="n">
        <v>775547.8199999999</v>
      </c>
      <c r="M347" s="45" t="n">
        <v>180322.2151056807</v>
      </c>
      <c r="N347" s="45" t="n">
        <v>183000</v>
      </c>
      <c r="O347" s="45" t="n">
        <v>732078.6323101936</v>
      </c>
      <c r="P347" s="45" t="n">
        <v>742950</v>
      </c>
      <c r="Q347" s="45" t="n">
        <v>205680.299</v>
      </c>
      <c r="R347" s="45" t="n">
        <v>208734.65144015</v>
      </c>
      <c r="S347" s="45" t="n">
        <v>1882281.146415874</v>
      </c>
      <c r="T347" s="45" t="n">
        <v>1910232.47144015</v>
      </c>
      <c r="U347" s="15" t="n">
        <v>5.21</v>
      </c>
      <c r="V347" s="15" t="n">
        <v>10.69</v>
      </c>
      <c r="W347" s="49" t="n">
        <v>101.485</v>
      </c>
    </row>
    <row r="348">
      <c r="A348" s="44" t="inlineStr">
        <is>
          <t>TL Cinsi Sabit Faizli Kuponlu Senetler</t>
        </is>
      </c>
      <c r="B348" s="44" t="n">
        <v>2014</v>
      </c>
      <c r="C348" s="44" t="inlineStr">
        <is>
          <t>TRT200324T13</t>
        </is>
      </c>
      <c r="D348" s="44" t="inlineStr">
        <is>
          <t>02.04.2014</t>
        </is>
      </c>
      <c r="E348" s="44" t="inlineStr">
        <is>
          <t>20.03.2024</t>
        </is>
      </c>
      <c r="F348" s="44" t="n">
        <v>3640</v>
      </c>
      <c r="G348" s="44" t="inlineStr">
        <is>
          <t>6 Ay</t>
        </is>
      </c>
      <c r="H348" s="15" t="n">
        <v>5.2</v>
      </c>
      <c r="I348" s="45" t="n">
        <v>1771400</v>
      </c>
      <c r="J348" s="45" t="n">
        <v>1800069.14</v>
      </c>
      <c r="K348" s="45" t="n">
        <v>765000</v>
      </c>
      <c r="L348" s="45" t="n">
        <v>779831.013</v>
      </c>
      <c r="M348" s="45" t="n">
        <v>686685.1744670833</v>
      </c>
      <c r="N348" s="45" t="n">
        <v>700000</v>
      </c>
      <c r="O348" s="45" t="n">
        <v>538910.5249217669</v>
      </c>
      <c r="P348" s="45" t="n">
        <v>549360</v>
      </c>
      <c r="Q348" s="45" t="n">
        <v>95747.05</v>
      </c>
      <c r="R348" s="45" t="n">
        <v>97603.5852995</v>
      </c>
      <c r="S348" s="45" t="n">
        <v>2086342.74938885</v>
      </c>
      <c r="T348" s="45" t="n">
        <v>2126794.5982995</v>
      </c>
      <c r="U348" s="15" t="n">
        <v>5.04</v>
      </c>
      <c r="V348" s="15" t="n">
        <v>10.34</v>
      </c>
      <c r="W348" s="49" t="n">
        <v>101.939</v>
      </c>
    </row>
    <row r="349">
      <c r="A349" s="44" t="inlineStr">
        <is>
          <t>TL Cinsi Sabit Faizli Kuponlu Senetler</t>
        </is>
      </c>
      <c r="B349" s="44" t="n">
        <v>2014</v>
      </c>
      <c r="C349" s="44" t="inlineStr">
        <is>
          <t>TRT240216T10</t>
        </is>
      </c>
      <c r="D349" s="44" t="inlineStr">
        <is>
          <t>21.05.2014</t>
        </is>
      </c>
      <c r="E349" s="44" t="inlineStr">
        <is>
          <t>24.02.2016</t>
        </is>
      </c>
      <c r="F349" s="44" t="n">
        <v>644</v>
      </c>
      <c r="G349" s="44" t="inlineStr">
        <is>
          <t>6 Ay</t>
        </is>
      </c>
      <c r="H349" s="15" t="n">
        <v>5.35</v>
      </c>
      <c r="I349" s="45" t="n">
        <v>3422100</v>
      </c>
      <c r="J349" s="45" t="n">
        <v>3592847.5</v>
      </c>
      <c r="K349" s="45" t="n">
        <v>502000</v>
      </c>
      <c r="L349" s="45" t="n">
        <v>527592.2</v>
      </c>
      <c r="M349" s="45" t="n">
        <v>380597.1569392377</v>
      </c>
      <c r="N349" s="45" t="n">
        <v>400000</v>
      </c>
      <c r="O349" s="45" t="n">
        <v>622733.0681839806</v>
      </c>
      <c r="P349" s="45" t="n">
        <v>654480</v>
      </c>
      <c r="Q349" s="45" t="n">
        <v>800</v>
      </c>
      <c r="R349" s="45" t="n">
        <v>840.784</v>
      </c>
      <c r="S349" s="45" t="n">
        <v>1506130.225123218</v>
      </c>
      <c r="T349" s="45" t="n">
        <v>1582912.984</v>
      </c>
      <c r="U349" s="15" t="n">
        <v>4.52</v>
      </c>
      <c r="V349" s="15" t="n">
        <v>9.24</v>
      </c>
      <c r="W349" s="49" t="n">
        <v>105.098</v>
      </c>
    </row>
    <row r="350">
      <c r="A350" s="44" t="inlineStr">
        <is>
          <t>TL Cinsi Sabit Faizli Kuponlu Senetler</t>
        </is>
      </c>
      <c r="B350" s="44" t="n">
        <v>2014</v>
      </c>
      <c r="C350" s="44" t="inlineStr">
        <is>
          <t>TRT270319T13</t>
        </is>
      </c>
      <c r="D350" s="44" t="inlineStr">
        <is>
          <t>21.05.2014</t>
        </is>
      </c>
      <c r="E350" s="44" t="inlineStr">
        <is>
          <t>27.03.2019</t>
        </is>
      </c>
      <c r="F350" s="44" t="n">
        <v>1771</v>
      </c>
      <c r="G350" s="44" t="inlineStr">
        <is>
          <t>6 Ay</t>
        </is>
      </c>
      <c r="H350" s="15" t="n">
        <v>5.2</v>
      </c>
      <c r="I350" s="45" t="n">
        <v>4232500</v>
      </c>
      <c r="J350" s="45" t="n">
        <v>4492195.844</v>
      </c>
      <c r="K350" s="45" t="n">
        <v>1509500</v>
      </c>
      <c r="L350" s="45" t="n">
        <v>1606076.195</v>
      </c>
      <c r="M350" s="45" t="n">
        <v>375946.9162954191</v>
      </c>
      <c r="N350" s="45" t="n">
        <v>400000</v>
      </c>
      <c r="O350" s="45" t="n">
        <v>954928.664072633</v>
      </c>
      <c r="P350" s="45" t="n">
        <v>1016025</v>
      </c>
      <c r="Q350" s="45" t="n">
        <v>204650</v>
      </c>
      <c r="R350" s="45" t="n">
        <v>217743.507</v>
      </c>
      <c r="S350" s="45" t="n">
        <v>3045025.580368052</v>
      </c>
      <c r="T350" s="45" t="n">
        <v>3239844.702000001</v>
      </c>
      <c r="U350" s="15" t="n">
        <v>4.55</v>
      </c>
      <c r="V350" s="15" t="n">
        <v>9.31</v>
      </c>
      <c r="W350" s="49" t="n">
        <v>106.398</v>
      </c>
    </row>
    <row r="351">
      <c r="A351" s="44" t="inlineStr">
        <is>
          <t>TL Cinsi Sabit Faizli Kuponlu Senetler</t>
        </is>
      </c>
      <c r="B351" s="44" t="n">
        <v>2014</v>
      </c>
      <c r="C351" s="44" t="inlineStr">
        <is>
          <t>TRT200324T13</t>
        </is>
      </c>
      <c r="D351" s="44" t="inlineStr">
        <is>
          <t>28.05.2014</t>
        </is>
      </c>
      <c r="E351" s="44" t="inlineStr">
        <is>
          <t>20.03.2024</t>
        </is>
      </c>
      <c r="F351" s="44" t="n">
        <v>3584</v>
      </c>
      <c r="G351" s="44" t="inlineStr">
        <is>
          <t>6 Ay</t>
        </is>
      </c>
      <c r="H351" s="15" t="n">
        <v>5.2</v>
      </c>
      <c r="I351" s="45" t="n">
        <v>2603819.16</v>
      </c>
      <c r="J351" s="45" t="n">
        <v>2878951.9081</v>
      </c>
      <c r="K351" s="45" t="n">
        <v>1093200</v>
      </c>
      <c r="L351" s="45" t="n">
        <v>1211804</v>
      </c>
      <c r="M351" s="45" t="n">
        <v>0</v>
      </c>
      <c r="N351" s="45" t="n">
        <v>0</v>
      </c>
      <c r="O351" s="45" t="n">
        <v>705355.9346498389</v>
      </c>
      <c r="P351" s="45" t="n">
        <v>781880</v>
      </c>
      <c r="Q351" s="45" t="n">
        <v>0</v>
      </c>
      <c r="R351" s="45" t="n">
        <v>0</v>
      </c>
      <c r="S351" s="45" t="n">
        <v>1798555.934649839</v>
      </c>
      <c r="T351" s="45" t="n">
        <v>1993683.92</v>
      </c>
      <c r="U351" s="15" t="n">
        <v>4.48</v>
      </c>
      <c r="V351" s="15" t="n">
        <v>9.16</v>
      </c>
      <c r="W351" s="49" t="n">
        <v>110.849</v>
      </c>
    </row>
    <row r="352">
      <c r="A352" s="44" t="inlineStr">
        <is>
          <t>TL Cinsi Sabit Faizli Kuponlu Senetler</t>
        </is>
      </c>
      <c r="B352" s="44" t="n">
        <v>2014</v>
      </c>
      <c r="C352" s="44" t="inlineStr">
        <is>
          <t>TRT270319T13</t>
        </is>
      </c>
      <c r="D352" s="44" t="inlineStr">
        <is>
          <t>04.06.2014</t>
        </is>
      </c>
      <c r="E352" s="44" t="inlineStr">
        <is>
          <t>27.03.2019</t>
        </is>
      </c>
      <c r="F352" s="44" t="n">
        <v>1757</v>
      </c>
      <c r="G352" s="44" t="inlineStr">
        <is>
          <t>6 Ay</t>
        </is>
      </c>
      <c r="H352" s="15" t="n">
        <v>5.2</v>
      </c>
      <c r="I352" s="45" t="n">
        <v>3303501</v>
      </c>
      <c r="J352" s="45" t="n">
        <v>3603530.7025</v>
      </c>
      <c r="K352" s="45" t="n">
        <v>998000</v>
      </c>
      <c r="L352" s="45" t="n">
        <v>1093678.26</v>
      </c>
      <c r="M352" s="45" t="n">
        <v>821265.2960661391</v>
      </c>
      <c r="N352" s="45" t="n">
        <v>900000</v>
      </c>
      <c r="O352" s="45" t="n">
        <v>526307.8649839853</v>
      </c>
      <c r="P352" s="45" t="n">
        <v>576765</v>
      </c>
      <c r="Q352" s="45" t="n">
        <v>0</v>
      </c>
      <c r="R352" s="45" t="n">
        <v>0</v>
      </c>
      <c r="S352" s="45" t="n">
        <v>2345573.161050125</v>
      </c>
      <c r="T352" s="45" t="n">
        <v>2570443.26</v>
      </c>
      <c r="U352" s="15" t="n">
        <v>4.2</v>
      </c>
      <c r="V352" s="15" t="n">
        <v>8.57</v>
      </c>
      <c r="W352" s="49" t="n">
        <v>109.587</v>
      </c>
    </row>
    <row r="353">
      <c r="A353" s="44" t="inlineStr">
        <is>
          <t>TL Cinsi Sabit Faizli Kuponlu Senetler</t>
        </is>
      </c>
      <c r="B353" s="44" t="n">
        <v>2014</v>
      </c>
      <c r="C353" s="44" t="inlineStr">
        <is>
          <t>TRT240216T10</t>
        </is>
      </c>
      <c r="D353" s="44" t="inlineStr">
        <is>
          <t>04.06.2014</t>
        </is>
      </c>
      <c r="E353" s="44" t="inlineStr">
        <is>
          <t>24.02.2016</t>
        </is>
      </c>
      <c r="F353" s="44" t="n">
        <v>630</v>
      </c>
      <c r="G353" s="44" t="inlineStr">
        <is>
          <t>6 Ay</t>
        </is>
      </c>
      <c r="H353" s="15" t="n">
        <v>5.35</v>
      </c>
      <c r="I353" s="45" t="n">
        <v>4160053.7</v>
      </c>
      <c r="J353" s="45" t="n">
        <v>4432319.10456</v>
      </c>
      <c r="K353" s="45" t="n">
        <v>1121752.7</v>
      </c>
      <c r="L353" s="45" t="n">
        <v>1196454.46556</v>
      </c>
      <c r="M353" s="45" t="n">
        <v>0</v>
      </c>
      <c r="N353" s="45" t="n">
        <v>0</v>
      </c>
      <c r="O353" s="45" t="n">
        <v>810395.7471943296</v>
      </c>
      <c r="P353" s="45" t="n">
        <v>864360</v>
      </c>
      <c r="Q353" s="45" t="n">
        <v>0</v>
      </c>
      <c r="R353" s="45" t="n">
        <v>0</v>
      </c>
      <c r="S353" s="45" t="n">
        <v>1932148.447194329</v>
      </c>
      <c r="T353" s="45" t="n">
        <v>2060814.46556</v>
      </c>
      <c r="U353" s="15" t="n">
        <v>4.15</v>
      </c>
      <c r="V353" s="15" t="n">
        <v>8.470000000000001</v>
      </c>
      <c r="W353" s="49" t="n">
        <v>106.659</v>
      </c>
    </row>
    <row r="354">
      <c r="A354" s="44" t="inlineStr">
        <is>
          <t>TL Cinsi Sabit Faizli Kuponlu Senetler</t>
        </is>
      </c>
      <c r="B354" s="44" t="n">
        <v>2014</v>
      </c>
      <c r="C354" s="44" t="inlineStr">
        <is>
          <t>TRT200324T13</t>
        </is>
      </c>
      <c r="D354" s="44" t="inlineStr">
        <is>
          <t>04.06.2014</t>
        </is>
      </c>
      <c r="E354" s="44" t="inlineStr">
        <is>
          <t>20.03.2024</t>
        </is>
      </c>
      <c r="F354" s="44" t="n">
        <v>3577</v>
      </c>
      <c r="G354" s="44" t="inlineStr">
        <is>
          <t>6 Ay</t>
        </is>
      </c>
      <c r="H354" s="15" t="n">
        <v>5.2</v>
      </c>
      <c r="I354" s="45" t="n">
        <v>2266201</v>
      </c>
      <c r="J354" s="45" t="n">
        <v>2519330.17</v>
      </c>
      <c r="K354" s="45" t="n">
        <v>856000</v>
      </c>
      <c r="L354" s="45" t="n">
        <v>954441.0600000001</v>
      </c>
      <c r="M354" s="45" t="n">
        <v>538116.5919282511</v>
      </c>
      <c r="N354" s="45" t="n">
        <v>600000</v>
      </c>
      <c r="O354" s="45" t="n">
        <v>607417.0403587443</v>
      </c>
      <c r="P354" s="45" t="n">
        <v>677270</v>
      </c>
      <c r="Q354" s="45" t="n">
        <v>0</v>
      </c>
      <c r="R354" s="45" t="n">
        <v>0</v>
      </c>
      <c r="S354" s="45" t="n">
        <v>2001533.632286995</v>
      </c>
      <c r="T354" s="45" t="n">
        <v>2231711.06</v>
      </c>
      <c r="U354" s="15" t="n">
        <v>4.45</v>
      </c>
      <c r="V354" s="15" t="n">
        <v>9.09</v>
      </c>
      <c r="W354" s="49" t="n">
        <v>111.5</v>
      </c>
    </row>
    <row r="355">
      <c r="A355" s="44" t="inlineStr">
        <is>
          <t>TL Cinsi Sabit Faizli Kuponlu Senetler</t>
        </is>
      </c>
      <c r="B355" s="44" t="n">
        <v>2014</v>
      </c>
      <c r="C355" s="44" t="inlineStr">
        <is>
          <t>TRT100719T18</t>
        </is>
      </c>
      <c r="D355" s="44" t="inlineStr">
        <is>
          <t>16.07.2014</t>
        </is>
      </c>
      <c r="E355" s="44" t="inlineStr">
        <is>
          <t>10.07.2019</t>
        </is>
      </c>
      <c r="F355" s="44" t="n">
        <v>1820</v>
      </c>
      <c r="G355" s="44" t="inlineStr">
        <is>
          <t>6 Ay</t>
        </is>
      </c>
      <c r="H355" s="15" t="n">
        <v>4.25</v>
      </c>
      <c r="I355" s="45" t="n">
        <v>3685040</v>
      </c>
      <c r="J355" s="45" t="n">
        <v>3683655.2055</v>
      </c>
      <c r="K355" s="45" t="n">
        <v>1235470</v>
      </c>
      <c r="L355" s="45" t="n">
        <v>1238120.181</v>
      </c>
      <c r="M355" s="45" t="n">
        <v>825225.7646060969</v>
      </c>
      <c r="N355" s="45" t="n">
        <v>827000</v>
      </c>
      <c r="O355" s="45" t="n">
        <v>599062.0166641721</v>
      </c>
      <c r="P355" s="45" t="n">
        <v>600350</v>
      </c>
      <c r="Q355" s="45" t="n">
        <v>166109.184</v>
      </c>
      <c r="R355" s="45" t="n">
        <v>166466.3187456</v>
      </c>
      <c r="S355" s="45" t="n">
        <v>2825866.965270269</v>
      </c>
      <c r="T355" s="45" t="n">
        <v>2831936.4997456</v>
      </c>
      <c r="U355" s="15" t="n">
        <v>4.22</v>
      </c>
      <c r="V355" s="15" t="n">
        <v>8.619999999999999</v>
      </c>
      <c r="W355" s="49" t="n">
        <v>100.215</v>
      </c>
    </row>
    <row r="356">
      <c r="A356" s="44" t="inlineStr">
        <is>
          <t>TL Cinsi Sabit Faizli Kuponlu Senetler</t>
        </is>
      </c>
      <c r="B356" s="44" t="n">
        <v>2014</v>
      </c>
      <c r="C356" s="44" t="inlineStr">
        <is>
          <t>TRT130716T18</t>
        </is>
      </c>
      <c r="D356" s="44" t="inlineStr">
        <is>
          <t>16.07.2014</t>
        </is>
      </c>
      <c r="E356" s="44" t="inlineStr">
        <is>
          <t>13.07.2016</t>
        </is>
      </c>
      <c r="F356" s="44" t="n">
        <v>728</v>
      </c>
      <c r="G356" s="44" t="inlineStr">
        <is>
          <t>6 Ay</t>
        </is>
      </c>
      <c r="H356" s="15" t="n">
        <v>4.1</v>
      </c>
      <c r="I356" s="45" t="n">
        <v>3327285</v>
      </c>
      <c r="J356" s="45" t="n">
        <v>3331674.703</v>
      </c>
      <c r="K356" s="45" t="n">
        <v>1097515</v>
      </c>
      <c r="L356" s="45" t="n">
        <v>1100148.332</v>
      </c>
      <c r="M356" s="45" t="n">
        <v>0</v>
      </c>
      <c r="N356" s="45" t="n">
        <v>0</v>
      </c>
      <c r="O356" s="45" t="n">
        <v>911382.6815642461</v>
      </c>
      <c r="P356" s="45" t="n">
        <v>913570.0000000001</v>
      </c>
      <c r="Q356" s="45" t="n">
        <v>225475.903</v>
      </c>
      <c r="R356" s="45" t="n">
        <v>226017.0451672</v>
      </c>
      <c r="S356" s="45" t="n">
        <v>2234373.584564246</v>
      </c>
      <c r="T356" s="45" t="n">
        <v>2239735.3771672</v>
      </c>
      <c r="U356" s="15" t="n">
        <v>4.03</v>
      </c>
      <c r="V356" s="15" t="n">
        <v>8.23</v>
      </c>
      <c r="W356" s="49" t="n">
        <v>100.24</v>
      </c>
    </row>
    <row r="357">
      <c r="A357" s="44" t="inlineStr">
        <is>
          <t>TL Cinsi Sabit Faizli Kuponlu Senetler</t>
        </is>
      </c>
      <c r="B357" s="44" t="n">
        <v>2014</v>
      </c>
      <c r="C357" s="44" t="inlineStr">
        <is>
          <t>TRT200324T13</t>
        </is>
      </c>
      <c r="D357" s="44" t="inlineStr">
        <is>
          <t>16.07.2014</t>
        </is>
      </c>
      <c r="E357" s="44" t="inlineStr">
        <is>
          <t>20.03.2024</t>
        </is>
      </c>
      <c r="F357" s="44" t="n">
        <v>3535</v>
      </c>
      <c r="G357" s="44" t="inlineStr">
        <is>
          <t>6 Ay</t>
        </is>
      </c>
      <c r="H357" s="15" t="n">
        <v>5.2</v>
      </c>
      <c r="I357" s="45" t="n">
        <v>3308415</v>
      </c>
      <c r="J357" s="45" t="n">
        <v>3737063.398</v>
      </c>
      <c r="K357" s="45" t="n">
        <v>689000</v>
      </c>
      <c r="L357" s="45" t="n">
        <v>781414.87</v>
      </c>
      <c r="M357" s="45" t="n">
        <v>552846.6754252159</v>
      </c>
      <c r="N357" s="45" t="n">
        <v>627000</v>
      </c>
      <c r="O357" s="45" t="n">
        <v>422709.4777494643</v>
      </c>
      <c r="P357" s="45" t="n">
        <v>479407.5</v>
      </c>
      <c r="Q357" s="45" t="n">
        <v>35000</v>
      </c>
      <c r="R357" s="45" t="n">
        <v>39694.55</v>
      </c>
      <c r="S357" s="45" t="n">
        <v>1699556.15317468</v>
      </c>
      <c r="T357" s="45" t="n">
        <v>1927516.92</v>
      </c>
      <c r="U357" s="15" t="n">
        <v>4.39</v>
      </c>
      <c r="V357" s="15" t="n">
        <v>8.970000000000001</v>
      </c>
      <c r="W357" s="49" t="n">
        <v>113.413</v>
      </c>
    </row>
    <row r="358">
      <c r="A358" s="44" t="inlineStr">
        <is>
          <t>TL Cinsi Sabit Faizli Kuponlu Senetler</t>
        </is>
      </c>
      <c r="B358" s="44" t="n">
        <v>2014</v>
      </c>
      <c r="C358" s="44" t="inlineStr">
        <is>
          <t>TRT100719T18</t>
        </is>
      </c>
      <c r="D358" s="44" t="inlineStr">
        <is>
          <t>06.08.2014</t>
        </is>
      </c>
      <c r="E358" s="44" t="inlineStr">
        <is>
          <t>10.07.2019</t>
        </is>
      </c>
      <c r="F358" s="44" t="n">
        <v>1799</v>
      </c>
      <c r="G358" s="44" t="inlineStr">
        <is>
          <t>6 Ay</t>
        </is>
      </c>
      <c r="H358" s="15" t="n">
        <v>4.25</v>
      </c>
      <c r="I358" s="45" t="n">
        <v>2245100</v>
      </c>
      <c r="J358" s="45" t="n">
        <v>2215188.027</v>
      </c>
      <c r="K358" s="45" t="n">
        <v>997200</v>
      </c>
      <c r="L358" s="45" t="n">
        <v>986141.535</v>
      </c>
      <c r="M358" s="45" t="n">
        <v>151682.1551000597</v>
      </c>
      <c r="N358" s="45" t="n">
        <v>150000</v>
      </c>
      <c r="O358" s="45" t="n">
        <v>1055551.061269478</v>
      </c>
      <c r="P358" s="45" t="n">
        <v>1043845</v>
      </c>
      <c r="Q358" s="45" t="n">
        <v>0</v>
      </c>
      <c r="R358" s="45" t="n">
        <v>0</v>
      </c>
      <c r="S358" s="45" t="n">
        <v>2204433.216369538</v>
      </c>
      <c r="T358" s="45" t="n">
        <v>2179986.535</v>
      </c>
      <c r="U358" s="15" t="n">
        <v>4.45</v>
      </c>
      <c r="V358" s="15" t="n">
        <v>9.1</v>
      </c>
      <c r="W358" s="49" t="n">
        <v>98.89100000000001</v>
      </c>
    </row>
    <row r="359">
      <c r="A359" s="44" t="inlineStr">
        <is>
          <t>TL Cinsi Sabit Faizli Kuponlu Senetler</t>
        </is>
      </c>
      <c r="B359" s="44" t="n">
        <v>2014</v>
      </c>
      <c r="C359" s="44" t="inlineStr">
        <is>
          <t>TRT130716T18</t>
        </is>
      </c>
      <c r="D359" s="44" t="inlineStr">
        <is>
          <t>06.08.2014</t>
        </is>
      </c>
      <c r="E359" s="44" t="inlineStr">
        <is>
          <t>13.07.2016</t>
        </is>
      </c>
      <c r="F359" s="44" t="n">
        <v>707</v>
      </c>
      <c r="G359" s="44" t="inlineStr">
        <is>
          <t>6 Ay</t>
        </is>
      </c>
      <c r="H359" s="15" t="n">
        <v>4.1</v>
      </c>
      <c r="I359" s="45" t="n">
        <v>3122300</v>
      </c>
      <c r="J359" s="45" t="n">
        <v>3092597.48</v>
      </c>
      <c r="K359" s="45" t="n">
        <v>955700</v>
      </c>
      <c r="L359" s="45" t="n">
        <v>948072.669</v>
      </c>
      <c r="M359" s="45" t="n">
        <v>207657.1036874257</v>
      </c>
      <c r="N359" s="45" t="n">
        <v>206000</v>
      </c>
      <c r="O359" s="45" t="n">
        <v>725543.8398419388</v>
      </c>
      <c r="P359" s="45" t="n">
        <v>719754.0000000001</v>
      </c>
      <c r="Q359" s="45" t="n">
        <v>0</v>
      </c>
      <c r="R359" s="45" t="n">
        <v>0</v>
      </c>
      <c r="S359" s="45" t="n">
        <v>1888900.943529364</v>
      </c>
      <c r="T359" s="45" t="n">
        <v>1873826.669</v>
      </c>
      <c r="U359" s="15" t="n">
        <v>4.46</v>
      </c>
      <c r="V359" s="15" t="n">
        <v>9.119999999999999</v>
      </c>
      <c r="W359" s="49" t="n">
        <v>99.202</v>
      </c>
    </row>
    <row r="360">
      <c r="A360" s="44" t="inlineStr">
        <is>
          <t>TL Cinsi Sabit Faizli Kuponlu Senetler</t>
        </is>
      </c>
      <c r="B360" s="44" t="n">
        <v>2014</v>
      </c>
      <c r="C360" s="44" t="inlineStr">
        <is>
          <t>TRT240724T15</t>
        </is>
      </c>
      <c r="D360" s="44" t="inlineStr">
        <is>
          <t>06.08.2014</t>
        </is>
      </c>
      <c r="E360" s="44" t="inlineStr">
        <is>
          <t>24.07.2024</t>
        </is>
      </c>
      <c r="F360" s="44" t="n">
        <v>3640</v>
      </c>
      <c r="G360" s="44" t="inlineStr">
        <is>
          <t>6 Ay</t>
        </is>
      </c>
      <c r="H360" s="15" t="n">
        <v>4.5</v>
      </c>
      <c r="I360" s="45" t="n">
        <v>3578980</v>
      </c>
      <c r="J360" s="45" t="n">
        <v>3524722.509</v>
      </c>
      <c r="K360" s="45" t="n">
        <v>926090</v>
      </c>
      <c r="L360" s="45" t="n">
        <v>916858.67</v>
      </c>
      <c r="M360" s="45" t="n">
        <v>0</v>
      </c>
      <c r="N360" s="45" t="n">
        <v>0</v>
      </c>
      <c r="O360" s="45" t="n">
        <v>971303.8998818218</v>
      </c>
      <c r="P360" s="45" t="n">
        <v>961620</v>
      </c>
      <c r="Q360" s="45" t="n">
        <v>0</v>
      </c>
      <c r="R360" s="45" t="n">
        <v>0</v>
      </c>
      <c r="S360" s="45" t="n">
        <v>1897393.899881822</v>
      </c>
      <c r="T360" s="45" t="n">
        <v>1878478.67</v>
      </c>
      <c r="U360" s="15" t="n">
        <v>4.58</v>
      </c>
      <c r="V360" s="15" t="n">
        <v>9.359999999999999</v>
      </c>
      <c r="W360" s="49" t="n">
        <v>99.003</v>
      </c>
    </row>
    <row r="361">
      <c r="A361" s="44" t="inlineStr">
        <is>
          <t>TL Cinsi Sabit Faizli Kuponlu Senetler</t>
        </is>
      </c>
      <c r="B361" s="44" t="n">
        <v>2014</v>
      </c>
      <c r="C361" s="44" t="inlineStr">
        <is>
          <t>TRT100719T18</t>
        </is>
      </c>
      <c r="D361" s="44" t="inlineStr">
        <is>
          <t>24.09.2014</t>
        </is>
      </c>
      <c r="E361" s="44" t="inlineStr">
        <is>
          <t>10.07.2019</t>
        </is>
      </c>
      <c r="F361" s="44" t="n">
        <v>1750</v>
      </c>
      <c r="G361" s="44" t="inlineStr">
        <is>
          <t>6 Ay</t>
        </is>
      </c>
      <c r="H361" s="15" t="n">
        <v>4.25</v>
      </c>
      <c r="I361" s="45" t="n">
        <v>3229867</v>
      </c>
      <c r="J361" s="45" t="n">
        <v>3192638.75876</v>
      </c>
      <c r="K361" s="45" t="n">
        <v>1015200</v>
      </c>
      <c r="L361" s="45" t="n">
        <v>1007277.618</v>
      </c>
      <c r="M361" s="45" t="n">
        <v>1259826.647853256</v>
      </c>
      <c r="N361" s="45" t="n">
        <v>1250000</v>
      </c>
      <c r="O361" s="45" t="n">
        <v>501995.5654101996</v>
      </c>
      <c r="P361" s="45" t="n">
        <v>498080</v>
      </c>
      <c r="Q361" s="45" t="n">
        <v>143883.394</v>
      </c>
      <c r="R361" s="45" t="n">
        <v>142761.1035268</v>
      </c>
      <c r="S361" s="45" t="n">
        <v>2920905.607263455</v>
      </c>
      <c r="T361" s="45" t="n">
        <v>2898118.7215268</v>
      </c>
      <c r="U361" s="15" t="n">
        <v>4.56</v>
      </c>
      <c r="V361" s="15" t="n">
        <v>9.33</v>
      </c>
      <c r="W361" s="49" t="n">
        <v>99.22</v>
      </c>
    </row>
    <row r="362">
      <c r="A362" s="44" t="inlineStr">
        <is>
          <t>TL Cinsi Sabit Faizli Kuponlu Senetler</t>
        </is>
      </c>
      <c r="B362" s="44" t="n">
        <v>2014</v>
      </c>
      <c r="C362" s="44" t="inlineStr">
        <is>
          <t>TRT130716T18</t>
        </is>
      </c>
      <c r="D362" s="44" t="inlineStr">
        <is>
          <t>24.09.2014</t>
        </is>
      </c>
      <c r="E362" s="44" t="inlineStr">
        <is>
          <t>13.07.2016</t>
        </is>
      </c>
      <c r="F362" s="44" t="n">
        <v>658</v>
      </c>
      <c r="G362" s="44" t="inlineStr">
        <is>
          <t>6 Ay</t>
        </is>
      </c>
      <c r="H362" s="15" t="n">
        <v>4.1</v>
      </c>
      <c r="I362" s="45" t="n">
        <v>1447900</v>
      </c>
      <c r="J362" s="45" t="n">
        <v>1446558.408</v>
      </c>
      <c r="K362" s="45" t="n">
        <v>735500</v>
      </c>
      <c r="L362" s="45" t="n">
        <v>736083.8860000001</v>
      </c>
      <c r="M362" s="45" t="n">
        <v>0</v>
      </c>
      <c r="N362" s="45" t="n">
        <v>0</v>
      </c>
      <c r="O362" s="45" t="n">
        <v>716134.253939388</v>
      </c>
      <c r="P362" s="45" t="n">
        <v>716700</v>
      </c>
      <c r="Q362" s="45" t="n">
        <v>112138.522</v>
      </c>
      <c r="R362" s="45" t="n">
        <v>112227.11143238</v>
      </c>
      <c r="S362" s="45" t="n">
        <v>1563772.775939388</v>
      </c>
      <c r="T362" s="45" t="n">
        <v>1565010.99743238</v>
      </c>
      <c r="U362" s="15" t="n">
        <v>4.55</v>
      </c>
      <c r="V362" s="15" t="n">
        <v>9.31</v>
      </c>
      <c r="W362" s="49" t="n">
        <v>100.079</v>
      </c>
    </row>
    <row r="363">
      <c r="A363" s="44" t="inlineStr">
        <is>
          <t>TL Cinsi Sabit Faizli Kuponlu Senetler</t>
        </is>
      </c>
      <c r="B363" s="44" t="n">
        <v>2014</v>
      </c>
      <c r="C363" s="44" t="inlineStr">
        <is>
          <t>TRT240724T15</t>
        </is>
      </c>
      <c r="D363" s="44" t="inlineStr">
        <is>
          <t>24.09.2014</t>
        </is>
      </c>
      <c r="E363" s="44" t="inlineStr">
        <is>
          <t>24.07.2024</t>
        </is>
      </c>
      <c r="F363" s="44" t="n">
        <v>3591</v>
      </c>
      <c r="G363" s="44" t="inlineStr">
        <is>
          <t>6 Ay</t>
        </is>
      </c>
      <c r="H363" s="15" t="n">
        <v>4.5</v>
      </c>
      <c r="I363" s="45" t="n">
        <v>2850400</v>
      </c>
      <c r="J363" s="45" t="n">
        <v>2824086.02</v>
      </c>
      <c r="K363" s="45" t="n">
        <v>1185900</v>
      </c>
      <c r="L363" s="45" t="n">
        <v>1179578.469</v>
      </c>
      <c r="M363" s="45" t="n">
        <v>502679.2805654137</v>
      </c>
      <c r="N363" s="45" t="n">
        <v>500000</v>
      </c>
      <c r="O363" s="45" t="n">
        <v>710044.5373842581</v>
      </c>
      <c r="P363" s="45" t="n">
        <v>706260</v>
      </c>
      <c r="Q363" s="45" t="n">
        <v>157648.471</v>
      </c>
      <c r="R363" s="45" t="n">
        <v>156808.20464957</v>
      </c>
      <c r="S363" s="45" t="n">
        <v>2556272.288949672</v>
      </c>
      <c r="T363" s="45" t="n">
        <v>2542646.67364957</v>
      </c>
      <c r="U363" s="15" t="n">
        <v>4.64</v>
      </c>
      <c r="V363" s="15" t="n">
        <v>9.49</v>
      </c>
      <c r="W363" s="49" t="n">
        <v>99.467</v>
      </c>
    </row>
    <row r="364">
      <c r="A364" s="44" t="inlineStr">
        <is>
          <t>TL Cinsi Sabit Faizli Kuponlu Senetler</t>
        </is>
      </c>
      <c r="B364" s="44" t="n">
        <v>2014</v>
      </c>
      <c r="C364" s="44" t="inlineStr">
        <is>
          <t>TRT100719T18</t>
        </is>
      </c>
      <c r="D364" s="44" t="inlineStr">
        <is>
          <t>01.10.2014</t>
        </is>
      </c>
      <c r="E364" s="44" t="inlineStr">
        <is>
          <t>10.07.2019</t>
        </is>
      </c>
      <c r="F364" s="44" t="n">
        <v>1743</v>
      </c>
      <c r="G364" s="44" t="inlineStr">
        <is>
          <t>6 Ay</t>
        </is>
      </c>
      <c r="H364" s="15" t="n">
        <v>4.25</v>
      </c>
      <c r="I364" s="45" t="n">
        <v>1992100</v>
      </c>
      <c r="J364" s="45" t="n">
        <v>1932791.99</v>
      </c>
      <c r="K364" s="45" t="n">
        <v>901100</v>
      </c>
      <c r="L364" s="45" t="n">
        <v>876859.21</v>
      </c>
      <c r="M364" s="45" t="n">
        <v>133593.6697153427</v>
      </c>
      <c r="N364" s="45" t="n">
        <v>130000</v>
      </c>
      <c r="O364" s="45" t="n">
        <v>1040072.962696537</v>
      </c>
      <c r="P364" s="45" t="n">
        <v>1012095</v>
      </c>
      <c r="Q364" s="45" t="n">
        <v>149604.087</v>
      </c>
      <c r="R364" s="45" t="n">
        <v>145579.7370597</v>
      </c>
      <c r="S364" s="45" t="n">
        <v>2224370.719411879</v>
      </c>
      <c r="T364" s="45" t="n">
        <v>2164533.9470597</v>
      </c>
      <c r="U364" s="15" t="n">
        <v>4.84</v>
      </c>
      <c r="V364" s="15" t="n">
        <v>9.92</v>
      </c>
      <c r="W364" s="49" t="n">
        <v>97.31</v>
      </c>
    </row>
    <row r="365">
      <c r="A365" s="44" t="inlineStr">
        <is>
          <t>TL Cinsi Sabit Faizli Kuponlu Senetler</t>
        </is>
      </c>
      <c r="B365" s="44" t="n">
        <v>2014</v>
      </c>
      <c r="C365" s="44" t="inlineStr">
        <is>
          <t>TRT130716T18</t>
        </is>
      </c>
      <c r="D365" s="44" t="inlineStr">
        <is>
          <t>01.10.2014</t>
        </is>
      </c>
      <c r="E365" s="44" t="inlineStr">
        <is>
          <t>13.07.2016</t>
        </is>
      </c>
      <c r="F365" s="44" t="n">
        <v>651</v>
      </c>
      <c r="G365" s="44" t="inlineStr">
        <is>
          <t>6 Ay</t>
        </is>
      </c>
      <c r="H365" s="15" t="n">
        <v>4.1</v>
      </c>
      <c r="I365" s="45" t="n">
        <v>2521520</v>
      </c>
      <c r="J365" s="45" t="n">
        <v>2498686.129</v>
      </c>
      <c r="K365" s="45" t="n">
        <v>712800</v>
      </c>
      <c r="L365" s="45" t="n">
        <v>707066.118</v>
      </c>
      <c r="M365" s="45" t="n">
        <v>100810.5165530868</v>
      </c>
      <c r="N365" s="45" t="n">
        <v>100000</v>
      </c>
      <c r="O365" s="45" t="n">
        <v>736785.7574902214</v>
      </c>
      <c r="P365" s="45" t="n">
        <v>730862</v>
      </c>
      <c r="Q365" s="45" t="n">
        <v>156605.499</v>
      </c>
      <c r="R365" s="45" t="n">
        <v>155346.39078804</v>
      </c>
      <c r="S365" s="45" t="n">
        <v>1707001.773043308</v>
      </c>
      <c r="T365" s="45" t="n">
        <v>1693274.50878804</v>
      </c>
      <c r="U365" s="15" t="n">
        <v>4.88</v>
      </c>
      <c r="V365" s="15" t="n">
        <v>10.01</v>
      </c>
      <c r="W365" s="49" t="n">
        <v>99.196</v>
      </c>
    </row>
    <row r="366">
      <c r="A366" s="44" t="inlineStr">
        <is>
          <t>TL Cinsi Sabit Faizli Kuponlu Senetler</t>
        </is>
      </c>
      <c r="B366" s="44" t="n">
        <v>2014</v>
      </c>
      <c r="C366" s="44" t="inlineStr">
        <is>
          <t>TRT240724T15</t>
        </is>
      </c>
      <c r="D366" s="44" t="inlineStr">
        <is>
          <t>01.10.2014</t>
        </is>
      </c>
      <c r="E366" s="44" t="inlineStr">
        <is>
          <t>24.07.2024</t>
        </is>
      </c>
      <c r="F366" s="44" t="n">
        <v>3584</v>
      </c>
      <c r="G366" s="44" t="inlineStr">
        <is>
          <t>6 Ay</t>
        </is>
      </c>
      <c r="H366" s="15" t="n">
        <v>4.5</v>
      </c>
      <c r="I366" s="45" t="n">
        <v>2816920</v>
      </c>
      <c r="J366" s="45" t="n">
        <v>2720385.56</v>
      </c>
      <c r="K366" s="45" t="n">
        <v>1055360</v>
      </c>
      <c r="L366" s="45" t="n">
        <v>1022621.187</v>
      </c>
      <c r="M366" s="45" t="n">
        <v>0</v>
      </c>
      <c r="N366" s="45" t="n">
        <v>0</v>
      </c>
      <c r="O366" s="45" t="n">
        <v>744110.3015542116</v>
      </c>
      <c r="P366" s="45" t="n">
        <v>721028</v>
      </c>
      <c r="Q366" s="45" t="n">
        <v>205577.506</v>
      </c>
      <c r="R366" s="45" t="n">
        <v>199200.49176388</v>
      </c>
      <c r="S366" s="45" t="n">
        <v>2005047.807554212</v>
      </c>
      <c r="T366" s="45" t="n">
        <v>1942849.67876388</v>
      </c>
      <c r="U366" s="15" t="n">
        <v>4.86</v>
      </c>
      <c r="V366" s="15" t="n">
        <v>9.949999999999999</v>
      </c>
      <c r="W366" s="49" t="n">
        <v>96.898</v>
      </c>
    </row>
    <row r="367">
      <c r="A367" s="44" t="inlineStr">
        <is>
          <t>TL Cinsi Sabit Faizli Kuponlu Senetler</t>
        </is>
      </c>
      <c r="B367" s="44" t="n">
        <v>2014</v>
      </c>
      <c r="C367" s="44" t="inlineStr">
        <is>
          <t>TRT100719T18</t>
        </is>
      </c>
      <c r="D367" s="44" t="inlineStr">
        <is>
          <t>19.11.2014</t>
        </is>
      </c>
      <c r="E367" s="44" t="inlineStr">
        <is>
          <t>10.07.2019</t>
        </is>
      </c>
      <c r="F367" s="44" t="n">
        <v>1694</v>
      </c>
      <c r="G367" s="44" t="inlineStr">
        <is>
          <t>6 Ay</t>
        </is>
      </c>
      <c r="H367" s="15" t="n">
        <v>4.25</v>
      </c>
      <c r="I367" s="45" t="n">
        <v>2380301</v>
      </c>
      <c r="J367" s="45" t="n">
        <v>2480936.13646</v>
      </c>
      <c r="K367" s="45" t="n">
        <v>559001</v>
      </c>
      <c r="L367" s="45" t="n">
        <v>583881.42646</v>
      </c>
      <c r="M367" s="45" t="n">
        <v>1289944.567309073</v>
      </c>
      <c r="N367" s="45" t="n">
        <v>1347360</v>
      </c>
      <c r="O367" s="45" t="n">
        <v>329296.0335468306</v>
      </c>
      <c r="P367" s="45" t="n">
        <v>343953</v>
      </c>
      <c r="Q367" s="45" t="n">
        <v>75068.25</v>
      </c>
      <c r="R367" s="45" t="n">
        <v>78409.5378075</v>
      </c>
      <c r="S367" s="45" t="n">
        <v>2253309.850855904</v>
      </c>
      <c r="T367" s="45" t="n">
        <v>2353603.9642675</v>
      </c>
      <c r="U367" s="15" t="n">
        <v>4.05</v>
      </c>
      <c r="V367" s="15" t="n">
        <v>8.26</v>
      </c>
      <c r="W367" s="49" t="n">
        <v>104.451</v>
      </c>
    </row>
    <row r="368">
      <c r="A368" s="44" t="inlineStr">
        <is>
          <t>TL Cinsi Sabit Faizli Kuponlu Senetler</t>
        </is>
      </c>
      <c r="B368" s="44" t="n">
        <v>2014</v>
      </c>
      <c r="C368" s="44" t="inlineStr">
        <is>
          <t>TRT161116T19</t>
        </is>
      </c>
      <c r="D368" s="44" t="inlineStr">
        <is>
          <t>19.11.2014</t>
        </is>
      </c>
      <c r="E368" s="44" t="inlineStr">
        <is>
          <t>16.11.2016</t>
        </is>
      </c>
      <c r="F368" s="44" t="n">
        <v>728</v>
      </c>
      <c r="G368" s="44" t="inlineStr">
        <is>
          <t>6 Ay</t>
        </is>
      </c>
      <c r="H368" s="15" t="n">
        <v>4.1</v>
      </c>
      <c r="I368" s="45" t="n">
        <v>1666300</v>
      </c>
      <c r="J368" s="45" t="n">
        <v>1673742.703</v>
      </c>
      <c r="K368" s="45" t="n">
        <v>577000</v>
      </c>
      <c r="L368" s="45" t="n">
        <v>580334.397</v>
      </c>
      <c r="M368" s="45" t="n">
        <v>242597.7848038338</v>
      </c>
      <c r="N368" s="45" t="n">
        <v>244000</v>
      </c>
      <c r="O368" s="45" t="n">
        <v>431629.183320408</v>
      </c>
      <c r="P368" s="45" t="n">
        <v>434124</v>
      </c>
      <c r="Q368" s="45" t="n">
        <v>0</v>
      </c>
      <c r="R368" s="45" t="n">
        <v>0</v>
      </c>
      <c r="S368" s="45" t="n">
        <v>1251226.968124242</v>
      </c>
      <c r="T368" s="45" t="n">
        <v>1258458.397</v>
      </c>
      <c r="U368" s="15" t="n">
        <v>3.94</v>
      </c>
      <c r="V368" s="15" t="n">
        <v>8.039999999999999</v>
      </c>
      <c r="W368" s="49" t="n">
        <v>100.578</v>
      </c>
    </row>
    <row r="369">
      <c r="A369" s="44" t="inlineStr">
        <is>
          <t>TL Cinsi Sabit Faizli Kuponlu Senetler</t>
        </is>
      </c>
      <c r="B369" s="44" t="n">
        <v>2014</v>
      </c>
      <c r="C369" s="44" t="inlineStr">
        <is>
          <t>TRT240724T15</t>
        </is>
      </c>
      <c r="D369" s="44" t="inlineStr">
        <is>
          <t>19.11.2014</t>
        </is>
      </c>
      <c r="E369" s="44" t="inlineStr">
        <is>
          <t>24.07.2024</t>
        </is>
      </c>
      <c r="F369" s="44" t="n">
        <v>3535</v>
      </c>
      <c r="G369" s="44" t="inlineStr">
        <is>
          <t>6 Ay</t>
        </is>
      </c>
      <c r="H369" s="15" t="n">
        <v>4.5</v>
      </c>
      <c r="I369" s="45" t="n">
        <v>2116300</v>
      </c>
      <c r="J369" s="45" t="n">
        <v>2264756.568</v>
      </c>
      <c r="K369" s="45" t="n">
        <v>585000</v>
      </c>
      <c r="L369" s="45" t="n">
        <v>628124.5</v>
      </c>
      <c r="M369" s="45" t="n">
        <v>931341.5043027977</v>
      </c>
      <c r="N369" s="45" t="n">
        <v>1000000</v>
      </c>
      <c r="O369" s="45" t="n">
        <v>393887.6057072607</v>
      </c>
      <c r="P369" s="45" t="n">
        <v>422925</v>
      </c>
      <c r="Q369" s="45" t="n">
        <v>0</v>
      </c>
      <c r="R369" s="45" t="n">
        <v>0</v>
      </c>
      <c r="S369" s="45" t="n">
        <v>1910229.110010059</v>
      </c>
      <c r="T369" s="45" t="n">
        <v>2051049.5</v>
      </c>
      <c r="U369" s="15" t="n">
        <v>4.14</v>
      </c>
      <c r="V369" s="15" t="n">
        <v>8.44</v>
      </c>
      <c r="W369" s="49" t="n">
        <v>107.372</v>
      </c>
    </row>
    <row r="370">
      <c r="A370" s="44" t="inlineStr">
        <is>
          <t>TL Cinsi Sabit Faizli Kuponlu Senetler</t>
        </is>
      </c>
      <c r="B370" s="44" t="n">
        <v>2013</v>
      </c>
      <c r="C370" s="44" t="inlineStr">
        <is>
          <t>TRT080317T18</t>
        </is>
      </c>
      <c r="D370" s="44" t="inlineStr">
        <is>
          <t>nan</t>
        </is>
      </c>
      <c r="E370" s="44" t="inlineStr">
        <is>
          <t>nan</t>
        </is>
      </c>
      <c r="F370" s="44" t="n"/>
      <c r="G370" s="44" t="n"/>
      <c r="H370" s="15" t="n"/>
      <c r="I370" s="45" t="n">
        <v>10853764.55</v>
      </c>
      <c r="J370" s="45" t="n">
        <v>12107025.83563</v>
      </c>
      <c r="K370" s="45" t="n">
        <v>1554153</v>
      </c>
      <c r="L370" s="45" t="n">
        <v>1738801.50763</v>
      </c>
      <c r="M370" s="45" t="n">
        <v>536284.0875573154</v>
      </c>
      <c r="N370" s="45" t="n">
        <v>600000</v>
      </c>
      <c r="O370" s="45" t="n">
        <v>570512.419445661</v>
      </c>
      <c r="P370" s="45" t="n">
        <v>638295</v>
      </c>
      <c r="Q370" s="45" t="n">
        <v>186572.948</v>
      </c>
      <c r="R370" s="45" t="n">
        <v>208739.67995188</v>
      </c>
      <c r="S370" s="45" t="n">
        <v>2847522.455002976</v>
      </c>
      <c r="T370" s="45" t="n">
        <v>3185836.18758188</v>
      </c>
      <c r="U370" s="15" t="n">
        <v>3.26</v>
      </c>
      <c r="V370" s="15" t="n">
        <v>6.62</v>
      </c>
      <c r="W370" s="49" t="n">
        <v>111.881</v>
      </c>
    </row>
    <row r="371">
      <c r="A371" s="44" t="inlineStr">
        <is>
          <t>TL Cinsi Sabit Faizli Kuponlu Senetler</t>
        </is>
      </c>
      <c r="B371" s="44" t="n">
        <v>2013</v>
      </c>
      <c r="C371" s="44" t="inlineStr">
        <is>
          <t>TRT070115T13</t>
        </is>
      </c>
      <c r="D371" s="44" t="inlineStr">
        <is>
          <t>nan</t>
        </is>
      </c>
      <c r="E371" s="44" t="inlineStr">
        <is>
          <t>nan</t>
        </is>
      </c>
      <c r="F371" s="44" t="n"/>
      <c r="G371" s="44" t="n"/>
      <c r="H371" s="15" t="n"/>
      <c r="I371" s="45" t="n">
        <v>8854019</v>
      </c>
      <c r="J371" s="45" t="n">
        <v>8921472.341809999</v>
      </c>
      <c r="K371" s="45" t="n">
        <v>1189000</v>
      </c>
      <c r="L371" s="45" t="n">
        <v>1199916.65</v>
      </c>
      <c r="M371" s="45" t="n">
        <v>297271.0517449811</v>
      </c>
      <c r="N371" s="45" t="n">
        <v>300000</v>
      </c>
      <c r="O371" s="45" t="n">
        <v>818294.0605243861</v>
      </c>
      <c r="P371" s="45" t="n">
        <v>825806</v>
      </c>
      <c r="Q371" s="45" t="n">
        <v>168077.012</v>
      </c>
      <c r="R371" s="45" t="n">
        <v>169619.95897016</v>
      </c>
      <c r="S371" s="45" t="n">
        <v>2472642.124269367</v>
      </c>
      <c r="T371" s="45" t="n">
        <v>2495342.60897016</v>
      </c>
      <c r="U371" s="15" t="n">
        <v>3</v>
      </c>
      <c r="V371" s="15" t="n">
        <v>6.1</v>
      </c>
      <c r="W371" s="49" t="n">
        <v>100.918</v>
      </c>
    </row>
    <row r="372">
      <c r="A372" s="44" t="inlineStr">
        <is>
          <t>TL Cinsi Sabit Faizli Kuponlu Senetler</t>
        </is>
      </c>
      <c r="B372" s="44" t="n">
        <v>2013</v>
      </c>
      <c r="C372" s="44" t="inlineStr">
        <is>
          <t>TRT140922T17</t>
        </is>
      </c>
      <c r="D372" s="44" t="inlineStr">
        <is>
          <t>nan</t>
        </is>
      </c>
      <c r="E372" s="44" t="inlineStr">
        <is>
          <t>nan</t>
        </is>
      </c>
      <c r="F372" s="44" t="n"/>
      <c r="G372" s="44" t="n"/>
      <c r="H372" s="15" t="n"/>
      <c r="I372" s="45" t="n">
        <v>3667436.13</v>
      </c>
      <c r="J372" s="45" t="n">
        <v>4219821.61989</v>
      </c>
      <c r="K372" s="45" t="n">
        <v>1251254</v>
      </c>
      <c r="L372" s="45" t="n">
        <v>1446843.08318</v>
      </c>
      <c r="M372" s="45" t="n">
        <v>684937.4302738884</v>
      </c>
      <c r="N372" s="45" t="n">
        <v>792000</v>
      </c>
      <c r="O372" s="45" t="n">
        <v>324923.2472260899</v>
      </c>
      <c r="P372" s="45" t="n">
        <v>375712</v>
      </c>
      <c r="Q372" s="45" t="n">
        <v>108202.557</v>
      </c>
      <c r="R372" s="45" t="n">
        <v>125115.69868467</v>
      </c>
      <c r="S372" s="45" t="n">
        <v>2369317.234499978</v>
      </c>
      <c r="T372" s="45" t="n">
        <v>2739670.78186467</v>
      </c>
      <c r="U372" s="15" t="n">
        <v>3.32</v>
      </c>
      <c r="V372" s="15" t="n">
        <v>6.75</v>
      </c>
      <c r="W372" s="49" t="n">
        <v>115.631</v>
      </c>
    </row>
    <row r="373">
      <c r="A373" s="44" t="inlineStr">
        <is>
          <t>TL Cinsi Sabit Faizli Kuponlu Senetler</t>
        </is>
      </c>
      <c r="B373" s="44" t="n">
        <v>2013</v>
      </c>
      <c r="C373" s="44" t="inlineStr">
        <is>
          <t>TRT140218T10</t>
        </is>
      </c>
      <c r="D373" s="44" t="inlineStr">
        <is>
          <t>nan</t>
        </is>
      </c>
      <c r="E373" s="44" t="inlineStr">
        <is>
          <t>nan</t>
        </is>
      </c>
      <c r="F373" s="44" t="n"/>
      <c r="G373" s="44" t="n"/>
      <c r="H373" s="15" t="n"/>
      <c r="I373" s="45" t="n">
        <v>4965691</v>
      </c>
      <c r="J373" s="45" t="n">
        <v>4970686.154</v>
      </c>
      <c r="K373" s="45" t="n">
        <v>844800</v>
      </c>
      <c r="L373" s="45" t="n">
        <v>848212.55</v>
      </c>
      <c r="M373" s="45" t="n">
        <v>1593562.009481694</v>
      </c>
      <c r="N373" s="45" t="n">
        <v>1600000</v>
      </c>
      <c r="O373" s="45" t="n">
        <v>497549.8984104219</v>
      </c>
      <c r="P373" s="45" t="n">
        <v>499560</v>
      </c>
      <c r="Q373" s="45" t="n">
        <v>94064.97500000001</v>
      </c>
      <c r="R373" s="45" t="n">
        <v>94444.997499</v>
      </c>
      <c r="S373" s="45" t="n">
        <v>3029976.882892116</v>
      </c>
      <c r="T373" s="45" t="n">
        <v>3042217.547499</v>
      </c>
      <c r="U373" s="15" t="n">
        <v>3.1</v>
      </c>
      <c r="V373" s="15" t="n">
        <v>6.3</v>
      </c>
      <c r="W373" s="49" t="n">
        <v>100.404</v>
      </c>
    </row>
    <row r="374">
      <c r="A374" s="44" t="inlineStr">
        <is>
          <t>TL Cinsi Sabit Faizli Kuponlu Senetler</t>
        </is>
      </c>
      <c r="B374" s="44" t="n">
        <v>2013</v>
      </c>
      <c r="C374" s="44" t="inlineStr">
        <is>
          <t>TRT070115T13</t>
        </is>
      </c>
      <c r="D374" s="44" t="inlineStr">
        <is>
          <t>nan</t>
        </is>
      </c>
      <c r="E374" s="44" t="inlineStr">
        <is>
          <t>nan</t>
        </is>
      </c>
      <c r="F374" s="44" t="n"/>
      <c r="G374" s="44" t="n"/>
      <c r="H374" s="15" t="n"/>
      <c r="I374" s="45" t="n">
        <v>1439550</v>
      </c>
      <c r="J374" s="45" t="n">
        <v>1470376.053</v>
      </c>
      <c r="K374" s="45" t="n">
        <v>802450</v>
      </c>
      <c r="L374" s="45" t="n">
        <v>820041.923</v>
      </c>
      <c r="M374" s="45" t="n">
        <v>626272.1152340692</v>
      </c>
      <c r="N374" s="45" t="n">
        <v>640000</v>
      </c>
      <c r="O374" s="45" t="n">
        <v>762858.1493658995</v>
      </c>
      <c r="P374" s="45" t="n">
        <v>779580</v>
      </c>
      <c r="Q374" s="45" t="n">
        <v>114001.174</v>
      </c>
      <c r="R374" s="45" t="n">
        <v>116500.07973408</v>
      </c>
      <c r="S374" s="45" t="n">
        <v>2305581.438599969</v>
      </c>
      <c r="T374" s="45" t="n">
        <v>2356122.00273408</v>
      </c>
      <c r="U374" s="15" t="n">
        <v>2.84</v>
      </c>
      <c r="V374" s="15" t="n">
        <v>5.76</v>
      </c>
      <c r="W374" s="49" t="n">
        <v>102.192</v>
      </c>
    </row>
    <row r="375">
      <c r="A375" s="44" t="inlineStr">
        <is>
          <t>TL Cinsi Sabit Faizli Kuponlu Senetler</t>
        </is>
      </c>
      <c r="B375" s="44" t="n">
        <v>2013</v>
      </c>
      <c r="C375" s="44" t="inlineStr">
        <is>
          <t>TRT140922T17</t>
        </is>
      </c>
      <c r="D375" s="44" t="inlineStr">
        <is>
          <t>nan</t>
        </is>
      </c>
      <c r="E375" s="44" t="inlineStr">
        <is>
          <t>nan</t>
        </is>
      </c>
      <c r="F375" s="44" t="n"/>
      <c r="G375" s="44" t="n"/>
      <c r="H375" s="15" t="n"/>
      <c r="I375" s="45" t="n">
        <v>2265900</v>
      </c>
      <c r="J375" s="45" t="n">
        <v>2616246.929</v>
      </c>
      <c r="K375" s="45" t="n">
        <v>1179600</v>
      </c>
      <c r="L375" s="45" t="n">
        <v>1365759.37</v>
      </c>
      <c r="M375" s="45" t="n">
        <v>553626.6431742412</v>
      </c>
      <c r="N375" s="45" t="n">
        <v>641000</v>
      </c>
      <c r="O375" s="45" t="n">
        <v>416956.0035238638</v>
      </c>
      <c r="P375" s="45" t="n">
        <v>482760</v>
      </c>
      <c r="Q375" s="45" t="n">
        <v>0</v>
      </c>
      <c r="R375" s="45" t="n">
        <v>0</v>
      </c>
      <c r="S375" s="45" t="n">
        <v>2150182.646698105</v>
      </c>
      <c r="T375" s="45" t="n">
        <v>2489519.37</v>
      </c>
      <c r="U375" s="15" t="n">
        <v>3.37</v>
      </c>
      <c r="V375" s="15" t="n">
        <v>6.84</v>
      </c>
      <c r="W375" s="49" t="n">
        <v>115.782</v>
      </c>
    </row>
    <row r="376">
      <c r="A376" s="44" t="inlineStr">
        <is>
          <t>TL Cinsi Sabit Faizli Kuponlu Senetler</t>
        </is>
      </c>
      <c r="B376" s="44" t="n">
        <v>2013</v>
      </c>
      <c r="C376" s="44" t="inlineStr">
        <is>
          <t>TRT140218T10</t>
        </is>
      </c>
      <c r="D376" s="44" t="inlineStr">
        <is>
          <t>nan</t>
        </is>
      </c>
      <c r="E376" s="44" t="inlineStr">
        <is>
          <t>nan</t>
        </is>
      </c>
      <c r="F376" s="44" t="n"/>
      <c r="G376" s="44" t="n"/>
      <c r="H376" s="15" t="n"/>
      <c r="I376" s="45" t="n">
        <v>2192900</v>
      </c>
      <c r="J376" s="45" t="n">
        <v>2182819.276</v>
      </c>
      <c r="K376" s="45" t="n">
        <v>688600</v>
      </c>
      <c r="L376" s="45" t="n">
        <v>687845.5060000001</v>
      </c>
      <c r="M376" s="45" t="n">
        <v>0</v>
      </c>
      <c r="N376" s="45" t="n">
        <v>0</v>
      </c>
      <c r="O376" s="45" t="n">
        <v>677745.5200720793</v>
      </c>
      <c r="P376" s="45" t="n">
        <v>677000</v>
      </c>
      <c r="Q376" s="45" t="n">
        <v>0</v>
      </c>
      <c r="R376" s="45" t="n">
        <v>0</v>
      </c>
      <c r="S376" s="45" t="n">
        <v>1366345.520072079</v>
      </c>
      <c r="T376" s="45" t="n">
        <v>1364845.506</v>
      </c>
      <c r="U376" s="15" t="n">
        <v>3.22</v>
      </c>
      <c r="V376" s="15" t="n">
        <v>6.54</v>
      </c>
      <c r="W376" s="49" t="n">
        <v>99.89</v>
      </c>
    </row>
    <row r="377">
      <c r="A377" s="44" t="inlineStr">
        <is>
          <t>TL Cinsi Sabit Faizli Kuponlu Senetler</t>
        </is>
      </c>
      <c r="B377" s="44" t="n">
        <v>2013</v>
      </c>
      <c r="C377" s="44" t="inlineStr">
        <is>
          <t>TRT070115T13</t>
        </is>
      </c>
      <c r="D377" s="44" t="inlineStr">
        <is>
          <t>nan</t>
        </is>
      </c>
      <c r="E377" s="44" t="inlineStr">
        <is>
          <t>nan</t>
        </is>
      </c>
      <c r="F377" s="44" t="n"/>
      <c r="G377" s="44" t="n"/>
      <c r="H377" s="15" t="n"/>
      <c r="I377" s="45" t="n">
        <v>1609303</v>
      </c>
      <c r="J377" s="45" t="n">
        <v>1640006.345</v>
      </c>
      <c r="K377" s="45" t="n">
        <v>1177600</v>
      </c>
      <c r="L377" s="45" t="n">
        <v>1200515.04</v>
      </c>
      <c r="M377" s="45" t="n">
        <v>0</v>
      </c>
      <c r="N377" s="45" t="n">
        <v>0</v>
      </c>
      <c r="O377" s="45" t="n">
        <v>474000.9416750044</v>
      </c>
      <c r="P377" s="45" t="n">
        <v>483225</v>
      </c>
      <c r="Q377" s="45" t="n">
        <v>0</v>
      </c>
      <c r="R377" s="45" t="n">
        <v>0</v>
      </c>
      <c r="S377" s="45" t="n">
        <v>1651600.941675004</v>
      </c>
      <c r="T377" s="45" t="n">
        <v>1683740.04</v>
      </c>
      <c r="U377" s="15" t="n">
        <v>3.04</v>
      </c>
      <c r="V377" s="15" t="n">
        <v>6.17</v>
      </c>
      <c r="W377" s="49" t="n">
        <v>101.946</v>
      </c>
    </row>
    <row r="378">
      <c r="A378" s="44" t="inlineStr">
        <is>
          <t>TL Cinsi Sabit Faizli Kuponlu Senetler</t>
        </is>
      </c>
      <c r="B378" s="44" t="n">
        <v>2013</v>
      </c>
      <c r="C378" s="44" t="inlineStr">
        <is>
          <t>TRT080323T10</t>
        </is>
      </c>
      <c r="D378" s="44" t="inlineStr">
        <is>
          <t>nan</t>
        </is>
      </c>
      <c r="E378" s="44" t="inlineStr">
        <is>
          <t>nan</t>
        </is>
      </c>
      <c r="F378" s="44" t="n"/>
      <c r="G378" s="44" t="n"/>
      <c r="H378" s="15" t="n"/>
      <c r="I378" s="45" t="n">
        <v>3208300</v>
      </c>
      <c r="J378" s="45" t="n">
        <v>3190045.32</v>
      </c>
      <c r="K378" s="45" t="n">
        <v>1671600</v>
      </c>
      <c r="L378" s="45" t="n">
        <v>1670980.73</v>
      </c>
      <c r="M378" s="45" t="n">
        <v>0</v>
      </c>
      <c r="N378" s="45" t="n">
        <v>0</v>
      </c>
      <c r="O378" s="45" t="n">
        <v>523993.8777347619</v>
      </c>
      <c r="P378" s="45" t="n">
        <v>523800</v>
      </c>
      <c r="Q378" s="45" t="n">
        <v>0</v>
      </c>
      <c r="R378" s="45" t="n">
        <v>0</v>
      </c>
      <c r="S378" s="45" t="n">
        <v>2195593.877734762</v>
      </c>
      <c r="T378" s="45" t="n">
        <v>2194780.73</v>
      </c>
      <c r="U378" s="15" t="n">
        <v>3.55</v>
      </c>
      <c r="V378" s="15" t="n">
        <v>7.23</v>
      </c>
      <c r="W378" s="49" t="n">
        <v>99.96299999999999</v>
      </c>
    </row>
    <row r="379">
      <c r="A379" s="44" t="inlineStr">
        <is>
          <t>TL Cinsi Sabit Faizli Kuponlu Senetler</t>
        </is>
      </c>
      <c r="B379" s="44" t="n">
        <v>2013</v>
      </c>
      <c r="C379" s="44" t="inlineStr">
        <is>
          <t>TRT080323T10</t>
        </is>
      </c>
      <c r="D379" s="44" t="inlineStr">
        <is>
          <t>nan</t>
        </is>
      </c>
      <c r="E379" s="44" t="inlineStr">
        <is>
          <t>nan</t>
        </is>
      </c>
      <c r="F379" s="44" t="n"/>
      <c r="G379" s="44" t="n"/>
      <c r="H379" s="15" t="n"/>
      <c r="I379" s="45" t="n">
        <v>3684361.691</v>
      </c>
      <c r="J379" s="45" t="n">
        <v>3671610.40146</v>
      </c>
      <c r="K379" s="45" t="n">
        <v>1504661.691</v>
      </c>
      <c r="L379" s="45" t="n">
        <v>1504265.76646</v>
      </c>
      <c r="M379" s="45" t="n">
        <v>0</v>
      </c>
      <c r="N379" s="45" t="n">
        <v>0</v>
      </c>
      <c r="O379" s="45" t="n">
        <v>829415.6480684979</v>
      </c>
      <c r="P379" s="45" t="n">
        <v>829200</v>
      </c>
      <c r="Q379" s="45" t="n">
        <v>272408.551</v>
      </c>
      <c r="R379" s="45" t="n">
        <v>272337.72477674</v>
      </c>
      <c r="S379" s="45" t="n">
        <v>2606485.890068498</v>
      </c>
      <c r="T379" s="45" t="n">
        <v>2605803.49123674</v>
      </c>
      <c r="U379" s="15" t="n">
        <v>3.57</v>
      </c>
      <c r="V379" s="15" t="n">
        <v>7.27</v>
      </c>
      <c r="W379" s="49" t="n">
        <v>99.974</v>
      </c>
    </row>
    <row r="380">
      <c r="A380" s="44" t="inlineStr">
        <is>
          <t>TL Cinsi Sabit Faizli Kuponlu Senetler</t>
        </is>
      </c>
      <c r="B380" s="44" t="n">
        <v>2013</v>
      </c>
      <c r="C380" s="44" t="inlineStr">
        <is>
          <t>TRT140218T10</t>
        </is>
      </c>
      <c r="D380" s="44" t="inlineStr">
        <is>
          <t>nan</t>
        </is>
      </c>
      <c r="E380" s="44" t="inlineStr">
        <is>
          <t>nan</t>
        </is>
      </c>
      <c r="F380" s="44" t="n"/>
      <c r="G380" s="44" t="n"/>
      <c r="H380" s="15" t="n"/>
      <c r="I380" s="45" t="n">
        <v>5801650</v>
      </c>
      <c r="J380" s="45" t="n">
        <v>5824514.361</v>
      </c>
      <c r="K380" s="45" t="n">
        <v>1742000</v>
      </c>
      <c r="L380" s="45" t="n">
        <v>1758190.65</v>
      </c>
      <c r="M380" s="45" t="n">
        <v>0</v>
      </c>
      <c r="N380" s="45" t="n">
        <v>0</v>
      </c>
      <c r="O380" s="45" t="n">
        <v>1310554.944564991</v>
      </c>
      <c r="P380" s="45" t="n">
        <v>1322730</v>
      </c>
      <c r="Q380" s="45" t="n">
        <v>399400</v>
      </c>
      <c r="R380" s="45" t="n">
        <v>403110.426</v>
      </c>
      <c r="S380" s="45" t="n">
        <v>3451954.944564991</v>
      </c>
      <c r="T380" s="45" t="n">
        <v>3484031.076</v>
      </c>
      <c r="U380" s="15" t="n">
        <v>3.14</v>
      </c>
      <c r="V380" s="15" t="n">
        <v>6.38</v>
      </c>
      <c r="W380" s="49" t="n">
        <v>100.929</v>
      </c>
    </row>
    <row r="381">
      <c r="A381" s="44" t="inlineStr">
        <is>
          <t>TL Cinsi Sabit Faizli Kuponlu Senetler</t>
        </is>
      </c>
      <c r="B381" s="44" t="n">
        <v>2013</v>
      </c>
      <c r="C381" s="44" t="inlineStr">
        <is>
          <t>TRT070115T13</t>
        </is>
      </c>
      <c r="D381" s="44" t="inlineStr">
        <is>
          <t>nan</t>
        </is>
      </c>
      <c r="E381" s="44" t="inlineStr">
        <is>
          <t>nan</t>
        </is>
      </c>
      <c r="F381" s="44" t="n"/>
      <c r="G381" s="44" t="n"/>
      <c r="H381" s="15" t="n"/>
      <c r="I381" s="45" t="n">
        <v>2485175</v>
      </c>
      <c r="J381" s="45" t="n">
        <v>2547717.12375</v>
      </c>
      <c r="K381" s="45" t="n">
        <v>706375</v>
      </c>
      <c r="L381" s="45" t="n">
        <v>724868.06375</v>
      </c>
      <c r="M381" s="45" t="n">
        <v>277729.0533824476</v>
      </c>
      <c r="N381" s="45" t="n">
        <v>285000</v>
      </c>
      <c r="O381" s="45" t="n">
        <v>936482.878247481</v>
      </c>
      <c r="P381" s="45" t="n">
        <v>961000</v>
      </c>
      <c r="Q381" s="45" t="n">
        <v>140001.051</v>
      </c>
      <c r="R381" s="45" t="n">
        <v>143666.27851518</v>
      </c>
      <c r="S381" s="45" t="n">
        <v>2060587.982629929</v>
      </c>
      <c r="T381" s="45" t="n">
        <v>2114534.34226518</v>
      </c>
      <c r="U381" s="15" t="n">
        <v>2.94</v>
      </c>
      <c r="V381" s="15" t="n">
        <v>5.97</v>
      </c>
      <c r="W381" s="49" t="n">
        <v>102.618</v>
      </c>
    </row>
    <row r="382">
      <c r="A382" s="44" t="inlineStr">
        <is>
          <t>TL Cinsi Sabit Faizli Kuponlu Senetler</t>
        </is>
      </c>
      <c r="B382" s="44" t="n">
        <v>2013</v>
      </c>
      <c r="C382" s="44" t="inlineStr">
        <is>
          <t>TRT140218T10</t>
        </is>
      </c>
      <c r="D382" s="44" t="inlineStr">
        <is>
          <t>nan</t>
        </is>
      </c>
      <c r="E382" s="44" t="inlineStr">
        <is>
          <t>nan</t>
        </is>
      </c>
      <c r="F382" s="44" t="n"/>
      <c r="G382" s="44" t="n"/>
      <c r="H382" s="15" t="n"/>
      <c r="I382" s="45" t="n">
        <v>5997200</v>
      </c>
      <c r="J382" s="45" t="n">
        <v>6186267.231</v>
      </c>
      <c r="K382" s="45" t="n">
        <v>2826000</v>
      </c>
      <c r="L382" s="45" t="n">
        <v>2920036.38</v>
      </c>
      <c r="M382" s="45" t="n">
        <v>329049.2412511614</v>
      </c>
      <c r="N382" s="45" t="n">
        <v>340000</v>
      </c>
      <c r="O382" s="45" t="n">
        <v>1016181.480334469</v>
      </c>
      <c r="P382" s="45" t="n">
        <v>1050000</v>
      </c>
      <c r="Q382" s="45" t="n">
        <v>798600</v>
      </c>
      <c r="R382" s="45" t="n">
        <v>825177.4079999999</v>
      </c>
      <c r="S382" s="45" t="n">
        <v>4969830.72158563</v>
      </c>
      <c r="T382" s="45" t="n">
        <v>5135213.788</v>
      </c>
      <c r="U382" s="15" t="n">
        <v>2.92</v>
      </c>
      <c r="V382" s="15" t="n">
        <v>5.93</v>
      </c>
      <c r="W382" s="49" t="n">
        <v>103.328</v>
      </c>
    </row>
    <row r="383">
      <c r="A383" s="44" t="inlineStr">
        <is>
          <t>TL Cinsi Sabit Faizli Kuponlu Senetler</t>
        </is>
      </c>
      <c r="B383" s="44" t="n">
        <v>2013</v>
      </c>
      <c r="C383" s="44" t="inlineStr">
        <is>
          <t>TRT130515T11</t>
        </is>
      </c>
      <c r="D383" s="44" t="inlineStr">
        <is>
          <t>nan</t>
        </is>
      </c>
      <c r="E383" s="44" t="inlineStr">
        <is>
          <t>nan</t>
        </is>
      </c>
      <c r="F383" s="44" t="n"/>
      <c r="G383" s="44" t="n"/>
      <c r="H383" s="15" t="n"/>
      <c r="I383" s="45" t="n">
        <v>2783401.2</v>
      </c>
      <c r="J383" s="45" t="n">
        <v>2784231.80091</v>
      </c>
      <c r="K383" s="45" t="n">
        <v>1729100</v>
      </c>
      <c r="L383" s="45" t="n">
        <v>1730665.595</v>
      </c>
      <c r="M383" s="45" t="n">
        <v>0</v>
      </c>
      <c r="N383" s="45" t="n">
        <v>0</v>
      </c>
      <c r="O383" s="45" t="n">
        <v>962730.0728337213</v>
      </c>
      <c r="P383" s="45" t="n">
        <v>963606.1571999999</v>
      </c>
      <c r="Q383" s="45" t="n">
        <v>0</v>
      </c>
      <c r="R383" s="45" t="n">
        <v>0</v>
      </c>
      <c r="S383" s="45" t="n">
        <v>2691830.072833722</v>
      </c>
      <c r="T383" s="45" t="n">
        <v>2694271.7522</v>
      </c>
      <c r="U383" s="15" t="n">
        <v>2.48</v>
      </c>
      <c r="V383" s="15" t="n">
        <v>5.01</v>
      </c>
      <c r="W383" s="49" t="n">
        <v>100.091</v>
      </c>
    </row>
    <row r="384">
      <c r="A384" s="44" t="inlineStr">
        <is>
          <t>TL Cinsi Sabit Faizli Kuponlu Senetler</t>
        </is>
      </c>
      <c r="B384" s="44" t="n">
        <v>2013</v>
      </c>
      <c r="C384" s="44" t="inlineStr">
        <is>
          <t>TRT080323T10</t>
        </is>
      </c>
      <c r="D384" s="44" t="inlineStr">
        <is>
          <t>nan</t>
        </is>
      </c>
      <c r="E384" s="44" t="inlineStr">
        <is>
          <t>nan</t>
        </is>
      </c>
      <c r="F384" s="44" t="n"/>
      <c r="G384" s="44" t="n"/>
      <c r="H384" s="15" t="n"/>
      <c r="I384" s="45" t="n">
        <v>1621200</v>
      </c>
      <c r="J384" s="45" t="n">
        <v>1743858.967</v>
      </c>
      <c r="K384" s="45" t="n">
        <v>955600</v>
      </c>
      <c r="L384" s="45" t="n">
        <v>1030199.763</v>
      </c>
      <c r="M384" s="45" t="n">
        <v>0</v>
      </c>
      <c r="N384" s="45" t="n">
        <v>0</v>
      </c>
      <c r="O384" s="45" t="n">
        <v>620831.6714128024</v>
      </c>
      <c r="P384" s="45" t="n">
        <v>669300</v>
      </c>
      <c r="Q384" s="45" t="n">
        <v>0</v>
      </c>
      <c r="R384" s="45" t="n">
        <v>0</v>
      </c>
      <c r="S384" s="45" t="n">
        <v>1576431.671412802</v>
      </c>
      <c r="T384" s="45" t="n">
        <v>1699499.763</v>
      </c>
      <c r="U384" s="15" t="n">
        <v>3.09</v>
      </c>
      <c r="V384" s="15" t="n">
        <v>6.27</v>
      </c>
      <c r="W384" s="49" t="n">
        <v>107.807</v>
      </c>
    </row>
    <row r="385">
      <c r="A385" s="44" t="inlineStr">
        <is>
          <t>TL Cinsi Sabit Faizli Kuponlu Senetler</t>
        </is>
      </c>
      <c r="B385" s="44" t="n">
        <v>2013</v>
      </c>
      <c r="C385" s="44" t="inlineStr">
        <is>
          <t>TRT200618T18</t>
        </is>
      </c>
      <c r="D385" s="44" t="inlineStr">
        <is>
          <t>nan</t>
        </is>
      </c>
      <c r="E385" s="44" t="inlineStr">
        <is>
          <t>nan</t>
        </is>
      </c>
      <c r="F385" s="44" t="n"/>
      <c r="G385" s="44" t="n"/>
      <c r="H385" s="15" t="n"/>
      <c r="I385" s="45" t="n">
        <v>1588000</v>
      </c>
      <c r="J385" s="45" t="n">
        <v>1557182.437</v>
      </c>
      <c r="K385" s="45" t="n">
        <v>1245600</v>
      </c>
      <c r="L385" s="45" t="n">
        <v>1223674.427</v>
      </c>
      <c r="M385" s="45" t="n">
        <v>91612.37785016287</v>
      </c>
      <c r="N385" s="45" t="n">
        <v>90000</v>
      </c>
      <c r="O385" s="45" t="n">
        <v>1016897.394136808</v>
      </c>
      <c r="P385" s="45" t="n">
        <v>999000</v>
      </c>
      <c r="Q385" s="45" t="n">
        <v>118871.644</v>
      </c>
      <c r="R385" s="45" t="n">
        <v>116779.5030656</v>
      </c>
      <c r="S385" s="45" t="n">
        <v>2472981.415986971</v>
      </c>
      <c r="T385" s="45" t="n">
        <v>2429453.9300656</v>
      </c>
      <c r="U385" s="15" t="n">
        <v>4.37</v>
      </c>
      <c r="V385" s="15" t="n">
        <v>8.93</v>
      </c>
      <c r="W385" s="49" t="n">
        <v>98.23999999999999</v>
      </c>
    </row>
    <row r="386">
      <c r="A386" s="44" t="inlineStr">
        <is>
          <t>TL Cinsi Sabit Faizli Kuponlu Senetler</t>
        </is>
      </c>
      <c r="B386" s="44" t="n">
        <v>2013</v>
      </c>
      <c r="C386" s="44" t="inlineStr">
        <is>
          <t>TRT130515T11</t>
        </is>
      </c>
      <c r="D386" s="44" t="inlineStr">
        <is>
          <t>nan</t>
        </is>
      </c>
      <c r="E386" s="44" t="inlineStr">
        <is>
          <t>nan</t>
        </is>
      </c>
      <c r="F386" s="44" t="n"/>
      <c r="G386" s="44" t="n"/>
      <c r="H386" s="15" t="n"/>
      <c r="I386" s="45" t="n">
        <v>1724880.625</v>
      </c>
      <c r="J386" s="45" t="n">
        <v>1644374.01631</v>
      </c>
      <c r="K386" s="45" t="n">
        <v>835530</v>
      </c>
      <c r="L386" s="45" t="n">
        <v>797752.6344</v>
      </c>
      <c r="M386" s="45" t="n">
        <v>0</v>
      </c>
      <c r="N386" s="45" t="n">
        <v>0</v>
      </c>
      <c r="O386" s="45" t="n">
        <v>815100.7027723374</v>
      </c>
      <c r="P386" s="45" t="n">
        <v>778250</v>
      </c>
      <c r="Q386" s="45" t="n">
        <v>0</v>
      </c>
      <c r="R386" s="45" t="n">
        <v>0</v>
      </c>
      <c r="S386" s="45" t="n">
        <v>1650630.702772337</v>
      </c>
      <c r="T386" s="45" t="n">
        <v>1576002.6344</v>
      </c>
      <c r="U386" s="15" t="n">
        <v>3.98</v>
      </c>
      <c r="V386" s="15" t="n">
        <v>8.119999999999999</v>
      </c>
      <c r="W386" s="49" t="n">
        <v>95.479</v>
      </c>
    </row>
    <row r="387">
      <c r="A387" s="44" t="inlineStr">
        <is>
          <t>TL Cinsi Sabit Faizli Kuponlu Senetler</t>
        </is>
      </c>
      <c r="B387" s="44" t="n">
        <v>2013</v>
      </c>
      <c r="C387" s="44" t="inlineStr">
        <is>
          <t>TRT080323T10</t>
        </is>
      </c>
      <c r="D387" s="44" t="inlineStr">
        <is>
          <t>nan</t>
        </is>
      </c>
      <c r="E387" s="44" t="inlineStr">
        <is>
          <t>nan</t>
        </is>
      </c>
      <c r="F387" s="44" t="n"/>
      <c r="G387" s="44" t="n"/>
      <c r="H387" s="15" t="n"/>
      <c r="I387" s="45" t="n">
        <v>2036970.64</v>
      </c>
      <c r="J387" s="45" t="n">
        <v>1868423.97221</v>
      </c>
      <c r="K387" s="45" t="n">
        <v>784870</v>
      </c>
      <c r="L387" s="45" t="n">
        <v>723452.1524</v>
      </c>
      <c r="M387" s="45" t="n">
        <v>1627339.300244101</v>
      </c>
      <c r="N387" s="45" t="n">
        <v>1500000</v>
      </c>
      <c r="O387" s="45" t="n">
        <v>521041.4971521563</v>
      </c>
      <c r="P387" s="45" t="n">
        <v>480270</v>
      </c>
      <c r="Q387" s="45" t="n">
        <v>52962.328</v>
      </c>
      <c r="R387" s="45" t="n">
        <v>48818.025834</v>
      </c>
      <c r="S387" s="45" t="n">
        <v>2986213.125396257</v>
      </c>
      <c r="T387" s="45" t="n">
        <v>2752540.178234</v>
      </c>
      <c r="U387" s="15" t="n">
        <v>4.3</v>
      </c>
      <c r="V387" s="15" t="n">
        <v>8.779999999999999</v>
      </c>
      <c r="W387" s="49" t="n">
        <v>92.175</v>
      </c>
    </row>
    <row r="388">
      <c r="A388" s="44" t="inlineStr">
        <is>
          <t>TL Cinsi Sabit Faizli Kuponlu Senetler</t>
        </is>
      </c>
      <c r="B388" s="44" t="n">
        <v>2013</v>
      </c>
      <c r="C388" s="44" t="inlineStr">
        <is>
          <t>TRT200618T18</t>
        </is>
      </c>
      <c r="D388" s="44" t="inlineStr">
        <is>
          <t>nan</t>
        </is>
      </c>
      <c r="E388" s="44" t="inlineStr">
        <is>
          <t>nan</t>
        </is>
      </c>
      <c r="F388" s="44" t="n"/>
      <c r="G388" s="44" t="n"/>
      <c r="H388" s="15" t="n"/>
      <c r="I388" s="45" t="n">
        <v>2799415</v>
      </c>
      <c r="J388" s="45" t="n">
        <v>2730795.95445</v>
      </c>
      <c r="K388" s="45" t="n">
        <v>1464800</v>
      </c>
      <c r="L388" s="45" t="n">
        <v>1435800.488</v>
      </c>
      <c r="M388" s="45" t="n">
        <v>714139.9714344012</v>
      </c>
      <c r="N388" s="45" t="n">
        <v>700000</v>
      </c>
      <c r="O388" s="45" t="n">
        <v>1273046.317078147</v>
      </c>
      <c r="P388" s="45" t="n">
        <v>1247840</v>
      </c>
      <c r="Q388" s="45" t="n">
        <v>272974.762</v>
      </c>
      <c r="R388" s="45" t="n">
        <v>267569.8617124</v>
      </c>
      <c r="S388" s="45" t="n">
        <v>3724961.050512549</v>
      </c>
      <c r="T388" s="45" t="n">
        <v>3651210.3497124</v>
      </c>
      <c r="U388" s="15" t="n">
        <v>4.46</v>
      </c>
      <c r="V388" s="15" t="n">
        <v>9.119999999999999</v>
      </c>
      <c r="W388" s="49" t="n">
        <v>98.02</v>
      </c>
    </row>
    <row r="389">
      <c r="A389" s="44" t="inlineStr">
        <is>
          <t>TL Cinsi Sabit Faizli Kuponlu Senetler</t>
        </is>
      </c>
      <c r="B389" s="44" t="n">
        <v>2013</v>
      </c>
      <c r="C389" s="44" t="inlineStr">
        <is>
          <t>TRT130515T11</t>
        </is>
      </c>
      <c r="D389" s="44" t="inlineStr">
        <is>
          <t>nan</t>
        </is>
      </c>
      <c r="E389" s="44" t="inlineStr">
        <is>
          <t>nan</t>
        </is>
      </c>
      <c r="F389" s="44" t="n"/>
      <c r="G389" s="44" t="n"/>
      <c r="H389" s="15" t="n"/>
      <c r="I389" s="45" t="n">
        <v>1777465.43</v>
      </c>
      <c r="J389" s="45" t="n">
        <v>1678618.84864</v>
      </c>
      <c r="K389" s="45" t="n">
        <v>811050</v>
      </c>
      <c r="L389" s="45" t="n">
        <v>767077.968</v>
      </c>
      <c r="M389" s="45" t="n">
        <v>0</v>
      </c>
      <c r="N389" s="45" t="n">
        <v>0</v>
      </c>
      <c r="O389" s="45" t="n">
        <v>942462.8349087525</v>
      </c>
      <c r="P389" s="45" t="n">
        <v>891362.5</v>
      </c>
      <c r="Q389" s="45" t="n">
        <v>91231.875</v>
      </c>
      <c r="R389" s="45" t="n">
        <v>86285.28273749999</v>
      </c>
      <c r="S389" s="45" t="n">
        <v>1844744.709908752</v>
      </c>
      <c r="T389" s="45" t="n">
        <v>1744725.7507375</v>
      </c>
      <c r="U389" s="15" t="n">
        <v>4.4</v>
      </c>
      <c r="V389" s="15" t="n">
        <v>8.99</v>
      </c>
      <c r="W389" s="49" t="n">
        <v>94.578</v>
      </c>
    </row>
    <row r="390">
      <c r="A390" s="44" t="inlineStr">
        <is>
          <t>TL Cinsi Sabit Faizli Kuponlu Senetler</t>
        </is>
      </c>
      <c r="B390" s="44" t="n">
        <v>2013</v>
      </c>
      <c r="C390" s="44" t="inlineStr">
        <is>
          <t>TRT080323T10</t>
        </is>
      </c>
      <c r="D390" s="44" t="inlineStr">
        <is>
          <t>nan</t>
        </is>
      </c>
      <c r="E390" s="44" t="inlineStr">
        <is>
          <t>nan</t>
        </is>
      </c>
      <c r="F390" s="44" t="n"/>
      <c r="G390" s="44" t="n"/>
      <c r="H390" s="15" t="n"/>
      <c r="I390" s="45" t="n">
        <v>2987600</v>
      </c>
      <c r="J390" s="45" t="n">
        <v>2714033.896</v>
      </c>
      <c r="K390" s="45" t="n">
        <v>1567060</v>
      </c>
      <c r="L390" s="45" t="n">
        <v>1428424.5682</v>
      </c>
      <c r="M390" s="45" t="n">
        <v>578148.8266979693</v>
      </c>
      <c r="N390" s="45" t="n">
        <v>527000</v>
      </c>
      <c r="O390" s="45" t="n">
        <v>736810.6370607659</v>
      </c>
      <c r="P390" s="45" t="n">
        <v>671625</v>
      </c>
      <c r="Q390" s="45" t="n">
        <v>226441.73</v>
      </c>
      <c r="R390" s="45" t="n">
        <v>206408.4301469</v>
      </c>
      <c r="S390" s="45" t="n">
        <v>3108461.193758735</v>
      </c>
      <c r="T390" s="45" t="n">
        <v>2833457.9983469</v>
      </c>
      <c r="U390" s="15" t="n">
        <v>4.42</v>
      </c>
      <c r="V390" s="15" t="n">
        <v>9.029999999999999</v>
      </c>
      <c r="W390" s="49" t="n">
        <v>91.15300000000001</v>
      </c>
    </row>
    <row r="391">
      <c r="A391" s="44" t="inlineStr">
        <is>
          <t>TL Cinsi Sabit Faizli Kuponlu Senetler</t>
        </is>
      </c>
      <c r="B391" s="44" t="n">
        <v>2013</v>
      </c>
      <c r="C391" s="44" t="inlineStr">
        <is>
          <t>TRT200618T18</t>
        </is>
      </c>
      <c r="D391" s="44" t="inlineStr">
        <is>
          <t>nan</t>
        </is>
      </c>
      <c r="E391" s="44" t="inlineStr">
        <is>
          <t>nan</t>
        </is>
      </c>
      <c r="F391" s="44" t="n"/>
      <c r="G391" s="44" t="n"/>
      <c r="H391" s="15" t="n"/>
      <c r="I391" s="45" t="n">
        <v>1078554.75</v>
      </c>
      <c r="J391" s="45" t="n">
        <v>1064871.25875</v>
      </c>
      <c r="K391" s="45" t="n">
        <v>391000</v>
      </c>
      <c r="L391" s="45" t="n">
        <v>386959.77</v>
      </c>
      <c r="M391" s="45" t="n">
        <v>424383.8855376034</v>
      </c>
      <c r="N391" s="45" t="n">
        <v>420000</v>
      </c>
      <c r="O391" s="45" t="n">
        <v>728020.4512615316</v>
      </c>
      <c r="P391" s="45" t="n">
        <v>720500</v>
      </c>
      <c r="Q391" s="45" t="n">
        <v>0</v>
      </c>
      <c r="R391" s="45" t="n">
        <v>0</v>
      </c>
      <c r="S391" s="45" t="n">
        <v>1543404.336799135</v>
      </c>
      <c r="T391" s="45" t="n">
        <v>1527459.77</v>
      </c>
      <c r="U391" s="15" t="n">
        <v>4.42</v>
      </c>
      <c r="V391" s="15" t="n">
        <v>9.039999999999999</v>
      </c>
      <c r="W391" s="49" t="n">
        <v>98.967</v>
      </c>
    </row>
    <row r="392">
      <c r="A392" s="44" t="inlineStr">
        <is>
          <t>TL Cinsi Sabit Faizli Kuponlu Senetler</t>
        </is>
      </c>
      <c r="B392" s="44" t="n">
        <v>2013</v>
      </c>
      <c r="C392" s="44" t="inlineStr">
        <is>
          <t>TRT130515T11</t>
        </is>
      </c>
      <c r="D392" s="44" t="inlineStr">
        <is>
          <t>nan</t>
        </is>
      </c>
      <c r="E392" s="44" t="inlineStr">
        <is>
          <t>nan</t>
        </is>
      </c>
      <c r="F392" s="44" t="n"/>
      <c r="G392" s="44" t="n"/>
      <c r="H392" s="15" t="n"/>
      <c r="I392" s="45" t="n">
        <v>1076508.41</v>
      </c>
      <c r="J392" s="45" t="n">
        <v>1023076.1495</v>
      </c>
      <c r="K392" s="45" t="n">
        <v>556500</v>
      </c>
      <c r="L392" s="45" t="n">
        <v>529539.77</v>
      </c>
      <c r="M392" s="45" t="n">
        <v>140822.8679522884</v>
      </c>
      <c r="N392" s="45" t="n">
        <v>134000</v>
      </c>
      <c r="O392" s="45" t="n">
        <v>862172.2452840102</v>
      </c>
      <c r="P392" s="45" t="n">
        <v>820400</v>
      </c>
      <c r="Q392" s="45" t="n">
        <v>0</v>
      </c>
      <c r="R392" s="45" t="n">
        <v>0</v>
      </c>
      <c r="S392" s="45" t="n">
        <v>1559495.113236299</v>
      </c>
      <c r="T392" s="45" t="n">
        <v>1483939.77</v>
      </c>
      <c r="U392" s="15" t="n">
        <v>4.41</v>
      </c>
      <c r="V392" s="15" t="n">
        <v>9.02</v>
      </c>
      <c r="W392" s="49" t="n">
        <v>95.155</v>
      </c>
    </row>
    <row r="393">
      <c r="A393" s="44" t="inlineStr">
        <is>
          <t>TL Cinsi Sabit Faizli Kuponlu Senetler</t>
        </is>
      </c>
      <c r="B393" s="44" t="n">
        <v>2013</v>
      </c>
      <c r="C393" s="44" t="inlineStr">
        <is>
          <t>TRT080323T10</t>
        </is>
      </c>
      <c r="D393" s="44" t="inlineStr">
        <is>
          <t>nan</t>
        </is>
      </c>
      <c r="E393" s="44" t="inlineStr">
        <is>
          <t>nan</t>
        </is>
      </c>
      <c r="F393" s="44" t="n"/>
      <c r="G393" s="44" t="n"/>
      <c r="H393" s="15" t="n"/>
      <c r="I393" s="45" t="n">
        <v>1615803.29</v>
      </c>
      <c r="J393" s="45" t="n">
        <v>1458459.8179</v>
      </c>
      <c r="K393" s="45" t="n">
        <v>821703.29</v>
      </c>
      <c r="L393" s="45" t="n">
        <v>744535.6509</v>
      </c>
      <c r="M393" s="45" t="n">
        <v>331092.937787637</v>
      </c>
      <c r="N393" s="45" t="n">
        <v>300000</v>
      </c>
      <c r="O393" s="45" t="n">
        <v>688342.2176604973</v>
      </c>
      <c r="P393" s="45" t="n">
        <v>623700</v>
      </c>
      <c r="Q393" s="45" t="n">
        <v>0</v>
      </c>
      <c r="R393" s="45" t="n">
        <v>0</v>
      </c>
      <c r="S393" s="45" t="n">
        <v>1841138.445448135</v>
      </c>
      <c r="T393" s="45" t="n">
        <v>1668235.6509</v>
      </c>
      <c r="U393" s="15" t="n">
        <v>4.52</v>
      </c>
      <c r="V393" s="15" t="n">
        <v>9.24</v>
      </c>
      <c r="W393" s="49" t="n">
        <v>90.60899999999999</v>
      </c>
    </row>
    <row r="394">
      <c r="A394" s="44" t="inlineStr">
        <is>
          <t>TL Cinsi Sabit Faizli Kuponlu Senetler</t>
        </is>
      </c>
      <c r="B394" s="44" t="n">
        <v>2013</v>
      </c>
      <c r="C394" s="44" t="inlineStr">
        <is>
          <t>TRT200618T18</t>
        </is>
      </c>
      <c r="D394" s="44" t="inlineStr">
        <is>
          <t>nan</t>
        </is>
      </c>
      <c r="E394" s="44" t="inlineStr">
        <is>
          <t>nan</t>
        </is>
      </c>
      <c r="F394" s="44" t="n"/>
      <c r="G394" s="44" t="n"/>
      <c r="H394" s="15" t="n"/>
      <c r="I394" s="45" t="n">
        <v>1325350</v>
      </c>
      <c r="J394" s="45" t="n">
        <v>1287337.0345</v>
      </c>
      <c r="K394" s="45" t="n">
        <v>891650</v>
      </c>
      <c r="L394" s="45" t="n">
        <v>867805.4295</v>
      </c>
      <c r="M394" s="45" t="n">
        <v>0</v>
      </c>
      <c r="N394" s="45" t="n">
        <v>0</v>
      </c>
      <c r="O394" s="45" t="n">
        <v>1295131.825000514</v>
      </c>
      <c r="P394" s="45" t="n">
        <v>1260500</v>
      </c>
      <c r="Q394" s="45" t="n">
        <v>179188.12</v>
      </c>
      <c r="R394" s="45" t="n">
        <v>174396.6296712</v>
      </c>
      <c r="S394" s="45" t="n">
        <v>2365969.945000514</v>
      </c>
      <c r="T394" s="45" t="n">
        <v>2302702.0591712</v>
      </c>
      <c r="U394" s="15" t="n">
        <v>4.73</v>
      </c>
      <c r="V394" s="15" t="n">
        <v>9.69</v>
      </c>
      <c r="W394" s="49" t="n">
        <v>97.32599999999999</v>
      </c>
    </row>
    <row r="395">
      <c r="A395" s="44" t="inlineStr">
        <is>
          <t>TL Cinsi Sabit Faizli Kuponlu Senetler</t>
        </is>
      </c>
      <c r="B395" s="44" t="n">
        <v>2013</v>
      </c>
      <c r="C395" s="44" t="inlineStr">
        <is>
          <t>TRT130515T11</t>
        </is>
      </c>
      <c r="D395" s="44" t="inlineStr">
        <is>
          <t>nan</t>
        </is>
      </c>
      <c r="E395" s="44" t="inlineStr">
        <is>
          <t>nan</t>
        </is>
      </c>
      <c r="F395" s="44" t="n"/>
      <c r="G395" s="44" t="n"/>
      <c r="H395" s="15" t="n"/>
      <c r="I395" s="45" t="n">
        <v>1059900</v>
      </c>
      <c r="J395" s="45" t="n">
        <v>1006571.68</v>
      </c>
      <c r="K395" s="45" t="n">
        <v>474900</v>
      </c>
      <c r="L395" s="45" t="n">
        <v>451610.99</v>
      </c>
      <c r="M395" s="45" t="n">
        <v>0</v>
      </c>
      <c r="N395" s="45" t="n">
        <v>0</v>
      </c>
      <c r="O395" s="45" t="n">
        <v>939051.0641877681</v>
      </c>
      <c r="P395" s="45" t="n">
        <v>893000</v>
      </c>
      <c r="Q395" s="45" t="n">
        <v>89333.66099999999</v>
      </c>
      <c r="R395" s="45" t="n">
        <v>84952.73826455999</v>
      </c>
      <c r="S395" s="45" t="n">
        <v>1503284.725187768</v>
      </c>
      <c r="T395" s="45" t="n">
        <v>1429563.72826456</v>
      </c>
      <c r="U395" s="15" t="n">
        <v>4.65</v>
      </c>
      <c r="V395" s="15" t="n">
        <v>9.52</v>
      </c>
      <c r="W395" s="49" t="n">
        <v>95.096</v>
      </c>
    </row>
    <row r="396">
      <c r="A396" s="44" t="inlineStr">
        <is>
          <t>TL Cinsi Sabit Faizli Kuponlu Senetler</t>
        </is>
      </c>
      <c r="B396" s="44" t="n">
        <v>2013</v>
      </c>
      <c r="C396" s="44" t="inlineStr">
        <is>
          <t>TRT080323T10</t>
        </is>
      </c>
      <c r="D396" s="44" t="inlineStr">
        <is>
          <t>nan</t>
        </is>
      </c>
      <c r="E396" s="44" t="inlineStr">
        <is>
          <t>nan</t>
        </is>
      </c>
      <c r="F396" s="44" t="n"/>
      <c r="G396" s="44" t="n"/>
      <c r="H396" s="15" t="n"/>
      <c r="I396" s="45" t="n">
        <v>1781720.77</v>
      </c>
      <c r="J396" s="45" t="n">
        <v>1543849.37305</v>
      </c>
      <c r="K396" s="45" t="n">
        <v>1354500</v>
      </c>
      <c r="L396" s="45" t="n">
        <v>1177034.262</v>
      </c>
      <c r="M396" s="45" t="n">
        <v>0</v>
      </c>
      <c r="N396" s="45" t="n">
        <v>0</v>
      </c>
      <c r="O396" s="45" t="n">
        <v>1066353.656010495</v>
      </c>
      <c r="P396" s="45" t="n">
        <v>926640</v>
      </c>
      <c r="Q396" s="45" t="n">
        <v>250136.004</v>
      </c>
      <c r="R396" s="45" t="n">
        <v>217363.18475592</v>
      </c>
      <c r="S396" s="45" t="n">
        <v>2670989.660010495</v>
      </c>
      <c r="T396" s="45" t="n">
        <v>2321037.44675592</v>
      </c>
      <c r="U396" s="15" t="n">
        <v>4.9</v>
      </c>
      <c r="V396" s="15" t="n">
        <v>10.05</v>
      </c>
      <c r="W396" s="49" t="n">
        <v>86.898</v>
      </c>
    </row>
    <row r="397">
      <c r="A397" s="44" t="inlineStr">
        <is>
          <t>TL Cinsi Sabit Faizli Kuponlu Senetler</t>
        </is>
      </c>
      <c r="B397" s="44" t="n">
        <v>2013</v>
      </c>
      <c r="C397" s="44" t="inlineStr">
        <is>
          <t>TRT200618T18</t>
        </is>
      </c>
      <c r="D397" s="44" t="inlineStr">
        <is>
          <t>nan</t>
        </is>
      </c>
      <c r="E397" s="44" t="inlineStr">
        <is>
          <t>nan</t>
        </is>
      </c>
      <c r="F397" s="44" t="n"/>
      <c r="G397" s="44" t="n"/>
      <c r="H397" s="15" t="n"/>
      <c r="I397" s="45" t="n">
        <v>6218850</v>
      </c>
      <c r="J397" s="45" t="n">
        <v>6245913.925</v>
      </c>
      <c r="K397" s="45" t="n">
        <v>1359100</v>
      </c>
      <c r="L397" s="45" t="n">
        <v>1368872.759</v>
      </c>
      <c r="M397" s="45" t="n">
        <v>456716.2104468869</v>
      </c>
      <c r="N397" s="45" t="n">
        <v>460000</v>
      </c>
      <c r="O397" s="45" t="n">
        <v>874512.2568730825</v>
      </c>
      <c r="P397" s="45" t="n">
        <v>880800</v>
      </c>
      <c r="Q397" s="45" t="n">
        <v>290278.239</v>
      </c>
      <c r="R397" s="45" t="n">
        <v>292365.33953841</v>
      </c>
      <c r="S397" s="45" t="n">
        <v>2980606.70631997</v>
      </c>
      <c r="T397" s="45" t="n">
        <v>3002038.09853841</v>
      </c>
      <c r="U397" s="15" t="n">
        <v>4.37</v>
      </c>
      <c r="V397" s="15" t="n">
        <v>8.93</v>
      </c>
      <c r="W397" s="49" t="n">
        <v>100.719</v>
      </c>
    </row>
    <row r="398">
      <c r="A398" s="44" t="inlineStr">
        <is>
          <t>TL Cinsi Sabit Faizli Kuponlu Senetler</t>
        </is>
      </c>
      <c r="B398" s="44" t="n">
        <v>2013</v>
      </c>
      <c r="C398" s="44" t="inlineStr">
        <is>
          <t>TRT071015T12</t>
        </is>
      </c>
      <c r="D398" s="44" t="inlineStr">
        <is>
          <t>nan</t>
        </is>
      </c>
      <c r="E398" s="44" t="inlineStr">
        <is>
          <t>nan</t>
        </is>
      </c>
      <c r="F398" s="44" t="n"/>
      <c r="G398" s="44" t="n"/>
      <c r="H398" s="15" t="n"/>
      <c r="I398" s="45" t="n">
        <v>3873800</v>
      </c>
      <c r="J398" s="45" t="n">
        <v>3899795.377</v>
      </c>
      <c r="K398" s="45" t="n">
        <v>865000</v>
      </c>
      <c r="L398" s="45" t="n">
        <v>873178.3</v>
      </c>
      <c r="M398" s="45" t="n">
        <v>0</v>
      </c>
      <c r="N398" s="45" t="n">
        <v>0</v>
      </c>
      <c r="O398" s="45" t="n">
        <v>1091089.206993908</v>
      </c>
      <c r="P398" s="45" t="n">
        <v>1101400</v>
      </c>
      <c r="Q398" s="45" t="n">
        <v>260014.661</v>
      </c>
      <c r="R398" s="45" t="n">
        <v>262471.79954645</v>
      </c>
      <c r="S398" s="45" t="n">
        <v>2216103.867993908</v>
      </c>
      <c r="T398" s="45" t="n">
        <v>2237050.09954645</v>
      </c>
      <c r="U398" s="15" t="n">
        <v>3.89</v>
      </c>
      <c r="V398" s="15" t="n">
        <v>7.93</v>
      </c>
      <c r="W398" s="49" t="n">
        <v>100.945</v>
      </c>
    </row>
    <row r="399">
      <c r="A399" s="44" t="inlineStr">
        <is>
          <t>TL Cinsi Sabit Faizli Kuponlu Senetler</t>
        </is>
      </c>
      <c r="B399" s="44" t="n">
        <v>2013</v>
      </c>
      <c r="C399" s="44" t="inlineStr">
        <is>
          <t>TRT270923T11</t>
        </is>
      </c>
      <c r="D399" s="44" t="inlineStr">
        <is>
          <t>nan</t>
        </is>
      </c>
      <c r="E399" s="44" t="inlineStr">
        <is>
          <t>nan</t>
        </is>
      </c>
      <c r="F399" s="44" t="n"/>
      <c r="G399" s="44" t="n"/>
      <c r="H399" s="15" t="n"/>
      <c r="I399" s="45" t="n">
        <v>3949860</v>
      </c>
      <c r="J399" s="45" t="n">
        <v>3957827.742</v>
      </c>
      <c r="K399" s="45" t="n">
        <v>600000</v>
      </c>
      <c r="L399" s="45" t="n">
        <v>606492.5</v>
      </c>
      <c r="M399" s="45" t="n">
        <v>489701.4305217546</v>
      </c>
      <c r="N399" s="45" t="n">
        <v>495000</v>
      </c>
      <c r="O399" s="45" t="n">
        <v>509060.5940721395</v>
      </c>
      <c r="P399" s="45" t="n">
        <v>514568.6297</v>
      </c>
      <c r="Q399" s="45" t="n">
        <v>116012.742</v>
      </c>
      <c r="R399" s="45" t="n">
        <v>117267.99986844</v>
      </c>
      <c r="S399" s="45" t="n">
        <v>1714774.766593894</v>
      </c>
      <c r="T399" s="45" t="n">
        <v>1733329.12956844</v>
      </c>
      <c r="U399" s="15" t="n">
        <v>4.32</v>
      </c>
      <c r="V399" s="15" t="n">
        <v>8.82</v>
      </c>
      <c r="W399" s="49" t="n">
        <v>101.082</v>
      </c>
    </row>
    <row r="400">
      <c r="A400" s="44" t="inlineStr">
        <is>
          <t>TL Cinsi Sabit Faizli Kuponlu Senetler</t>
        </is>
      </c>
      <c r="B400" s="44" t="n">
        <v>2013</v>
      </c>
      <c r="C400" s="44" t="inlineStr">
        <is>
          <t>TRT141118T19</t>
        </is>
      </c>
      <c r="D400" s="44" t="inlineStr">
        <is>
          <t>nan</t>
        </is>
      </c>
      <c r="E400" s="44" t="inlineStr">
        <is>
          <t>nan</t>
        </is>
      </c>
      <c r="F400" s="44" t="n"/>
      <c r="G400" s="44" t="n"/>
      <c r="H400" s="15" t="n"/>
      <c r="I400" s="45" t="n">
        <v>2353700</v>
      </c>
      <c r="J400" s="45" t="n">
        <v>2368607.364</v>
      </c>
      <c r="K400" s="45" t="n">
        <v>1014800</v>
      </c>
      <c r="L400" s="45" t="n">
        <v>1023979.74</v>
      </c>
      <c r="M400" s="45" t="n">
        <v>49551.55839651157</v>
      </c>
      <c r="N400" s="45" t="n">
        <v>50000</v>
      </c>
      <c r="O400" s="45" t="n">
        <v>1044215.846588375</v>
      </c>
      <c r="P400" s="45" t="n">
        <v>1053666</v>
      </c>
      <c r="Q400" s="45" t="n">
        <v>0</v>
      </c>
      <c r="R400" s="45" t="n">
        <v>0</v>
      </c>
      <c r="S400" s="45" t="n">
        <v>2108567.404984887</v>
      </c>
      <c r="T400" s="45" t="n">
        <v>2127645.74</v>
      </c>
      <c r="U400" s="15" t="n">
        <v>4.29</v>
      </c>
      <c r="V400" s="15" t="n">
        <v>8.76</v>
      </c>
      <c r="W400" s="49" t="n">
        <v>100.905</v>
      </c>
    </row>
    <row r="401">
      <c r="A401" s="44" t="inlineStr">
        <is>
          <t>TL Cinsi Sabit Faizli Kuponlu Senetler</t>
        </is>
      </c>
      <c r="B401" s="44" t="n">
        <v>2013</v>
      </c>
      <c r="C401" s="44" t="inlineStr">
        <is>
          <t>TRT071015T12</t>
        </is>
      </c>
      <c r="D401" s="44" t="inlineStr">
        <is>
          <t>nan</t>
        </is>
      </c>
      <c r="E401" s="44" t="inlineStr">
        <is>
          <t>nan</t>
        </is>
      </c>
      <c r="F401" s="44" t="n"/>
      <c r="G401" s="44" t="n"/>
      <c r="H401" s="15" t="n"/>
      <c r="I401" s="45" t="n">
        <v>3247002.985</v>
      </c>
      <c r="J401" s="45" t="n">
        <v>3260166.9293</v>
      </c>
      <c r="K401" s="45" t="n">
        <v>856700</v>
      </c>
      <c r="L401" s="45" t="n">
        <v>861503.996</v>
      </c>
      <c r="M401" s="45" t="n">
        <v>0</v>
      </c>
      <c r="N401" s="45" t="n">
        <v>0</v>
      </c>
      <c r="O401" s="45" t="n">
        <v>741758.7335050367</v>
      </c>
      <c r="P401" s="45" t="n">
        <v>745920</v>
      </c>
      <c r="Q401" s="45" t="n">
        <v>0</v>
      </c>
      <c r="R401" s="45" t="n">
        <v>0</v>
      </c>
      <c r="S401" s="45" t="n">
        <v>1598458.733505037</v>
      </c>
      <c r="T401" s="45" t="n">
        <v>1607423.996</v>
      </c>
      <c r="U401" s="15" t="n">
        <v>4.26</v>
      </c>
      <c r="V401" s="15" t="n">
        <v>8.710000000000001</v>
      </c>
      <c r="W401" s="49" t="n">
        <v>100.561</v>
      </c>
    </row>
    <row r="402">
      <c r="A402" s="44" t="inlineStr">
        <is>
          <t>TL Cinsi Sabit Faizli Kuponlu Senetler</t>
        </is>
      </c>
      <c r="B402" s="44" t="n">
        <v>2013</v>
      </c>
      <c r="C402" s="44" t="inlineStr">
        <is>
          <t>TRT270923T11</t>
        </is>
      </c>
      <c r="D402" s="44" t="inlineStr">
        <is>
          <t>nan</t>
        </is>
      </c>
      <c r="E402" s="44" t="inlineStr">
        <is>
          <t>nan</t>
        </is>
      </c>
      <c r="F402" s="44" t="n"/>
      <c r="G402" s="44" t="n"/>
      <c r="H402" s="15" t="n"/>
      <c r="I402" s="45" t="n">
        <v>1313500</v>
      </c>
      <c r="J402" s="45" t="n">
        <v>1315369.79</v>
      </c>
      <c r="K402" s="45" t="n">
        <v>568000</v>
      </c>
      <c r="L402" s="45" t="n">
        <v>570510.423</v>
      </c>
      <c r="M402" s="45" t="n">
        <v>679994.4246430777</v>
      </c>
      <c r="N402" s="45" t="n">
        <v>683000</v>
      </c>
      <c r="O402" s="45" t="n">
        <v>566615.5592282114</v>
      </c>
      <c r="P402" s="45" t="n">
        <v>569120</v>
      </c>
      <c r="Q402" s="45" t="n">
        <v>52113.744</v>
      </c>
      <c r="R402" s="45" t="n">
        <v>52344.08674848</v>
      </c>
      <c r="S402" s="45" t="n">
        <v>1866723.727871289</v>
      </c>
      <c r="T402" s="45" t="n">
        <v>1874974.50974848</v>
      </c>
      <c r="U402" s="15" t="n">
        <v>4.44</v>
      </c>
      <c r="V402" s="15" t="n">
        <v>9.08</v>
      </c>
      <c r="W402" s="49" t="n">
        <v>100.442</v>
      </c>
    </row>
    <row r="403">
      <c r="A403" s="44" t="inlineStr">
        <is>
          <t>TL Cinsi Sabit Faizli Kuponlu Senetler</t>
        </is>
      </c>
      <c r="B403" s="44" t="n">
        <v>2013</v>
      </c>
      <c r="C403" s="44" t="inlineStr">
        <is>
          <t>TRT141118T19</t>
        </is>
      </c>
      <c r="D403" s="44" t="inlineStr">
        <is>
          <t>nan</t>
        </is>
      </c>
      <c r="E403" s="44" t="inlineStr">
        <is>
          <t>nan</t>
        </is>
      </c>
      <c r="F403" s="44" t="n"/>
      <c r="G403" s="44" t="n"/>
      <c r="H403" s="15" t="n"/>
      <c r="I403" s="45" t="n">
        <v>1986900</v>
      </c>
      <c r="J403" s="45" t="n">
        <v>1971198.845</v>
      </c>
      <c r="K403" s="45" t="n">
        <v>616600</v>
      </c>
      <c r="L403" s="45" t="n">
        <v>614452.25</v>
      </c>
      <c r="M403" s="45" t="n">
        <v>1185124.232328503</v>
      </c>
      <c r="N403" s="45" t="n">
        <v>1181000</v>
      </c>
      <c r="O403" s="45" t="n">
        <v>287003.7731304941</v>
      </c>
      <c r="P403" s="45" t="n">
        <v>286005</v>
      </c>
      <c r="Q403" s="45" t="n">
        <v>0</v>
      </c>
      <c r="R403" s="45" t="n">
        <v>0</v>
      </c>
      <c r="S403" s="45" t="n">
        <v>2088728.005458997</v>
      </c>
      <c r="T403" s="45" t="n">
        <v>2081457.25</v>
      </c>
      <c r="U403" s="15" t="n">
        <v>4.49</v>
      </c>
      <c r="V403" s="15" t="n">
        <v>9.17</v>
      </c>
      <c r="W403" s="49" t="n">
        <v>99.652</v>
      </c>
    </row>
    <row r="404">
      <c r="A404" s="44" t="inlineStr">
        <is>
          <t>TL Cinsi Sabit Faizli Kuponlu Senetler</t>
        </is>
      </c>
      <c r="B404" s="44" t="n">
        <v>2013</v>
      </c>
      <c r="C404" s="44" t="inlineStr">
        <is>
          <t>TRT071015T12</t>
        </is>
      </c>
      <c r="D404" s="44" t="inlineStr">
        <is>
          <t>nan</t>
        </is>
      </c>
      <c r="E404" s="44" t="inlineStr">
        <is>
          <t>nan</t>
        </is>
      </c>
      <c r="F404" s="44" t="n"/>
      <c r="G404" s="44" t="n"/>
      <c r="H404" s="15" t="n"/>
      <c r="I404" s="45" t="n">
        <v>1321000</v>
      </c>
      <c r="J404" s="45" t="n">
        <v>1322813.445</v>
      </c>
      <c r="K404" s="45" t="n">
        <v>501000</v>
      </c>
      <c r="L404" s="45" t="n">
        <v>502097.53</v>
      </c>
      <c r="M404" s="45" t="n">
        <v>848142.5677765694</v>
      </c>
      <c r="N404" s="45" t="n">
        <v>850000</v>
      </c>
      <c r="O404" s="45" t="n">
        <v>428445.7039084405</v>
      </c>
      <c r="P404" s="45" t="n">
        <v>429384</v>
      </c>
      <c r="Q404" s="45" t="n">
        <v>0</v>
      </c>
      <c r="R404" s="45" t="n">
        <v>0</v>
      </c>
      <c r="S404" s="45" t="n">
        <v>1777588.27168501</v>
      </c>
      <c r="T404" s="45" t="n">
        <v>1781481.53</v>
      </c>
      <c r="U404" s="15" t="n">
        <v>4.46</v>
      </c>
      <c r="V404" s="15" t="n">
        <v>9.119999999999999</v>
      </c>
      <c r="W404" s="49" t="n">
        <v>100.219</v>
      </c>
    </row>
    <row r="405">
      <c r="A405" s="44" t="inlineStr">
        <is>
          <t>TL Cinsi Sabit Faizli Kuponlu Senetler</t>
        </is>
      </c>
      <c r="B405" s="44" t="n">
        <v>2013</v>
      </c>
      <c r="C405" s="44" t="inlineStr">
        <is>
          <t>TRT270923T11</t>
        </is>
      </c>
      <c r="D405" s="44" t="inlineStr">
        <is>
          <t>nan</t>
        </is>
      </c>
      <c r="E405" s="44" t="inlineStr">
        <is>
          <t>nan</t>
        </is>
      </c>
      <c r="F405" s="44" t="n"/>
      <c r="G405" s="44" t="n"/>
      <c r="H405" s="15" t="n"/>
      <c r="I405" s="45" t="n">
        <v>1247300</v>
      </c>
      <c r="J405" s="45" t="n">
        <v>1220749.512</v>
      </c>
      <c r="K405" s="45" t="n">
        <v>650400</v>
      </c>
      <c r="L405" s="45" t="n">
        <v>640078.904</v>
      </c>
      <c r="M405" s="45" t="n">
        <v>304837.7754971397</v>
      </c>
      <c r="N405" s="45" t="n">
        <v>300000</v>
      </c>
      <c r="O405" s="45" t="n">
        <v>473108.2275715607</v>
      </c>
      <c r="P405" s="45" t="n">
        <v>465600</v>
      </c>
      <c r="Q405" s="45" t="n">
        <v>0</v>
      </c>
      <c r="R405" s="45" t="n">
        <v>0</v>
      </c>
      <c r="S405" s="45" t="n">
        <v>1428346.0030687</v>
      </c>
      <c r="T405" s="45" t="n">
        <v>1405678.904</v>
      </c>
      <c r="U405" s="15" t="n">
        <v>4.63</v>
      </c>
      <c r="V405" s="15" t="n">
        <v>9.470000000000001</v>
      </c>
      <c r="W405" s="49" t="n">
        <v>98.413</v>
      </c>
    </row>
    <row r="406">
      <c r="A406" s="44" t="inlineStr">
        <is>
          <t>TL Cinsi Sabit Faizli Kuponlu Senetler</t>
        </is>
      </c>
      <c r="B406" s="44" t="n">
        <v>2012</v>
      </c>
      <c r="C406" s="44" t="inlineStr">
        <is>
          <t>TRT270116T18</t>
        </is>
      </c>
      <c r="D406" s="44" t="inlineStr">
        <is>
          <t>nan</t>
        </is>
      </c>
      <c r="E406" s="44" t="inlineStr">
        <is>
          <t>nan</t>
        </is>
      </c>
      <c r="F406" s="44" t="n"/>
      <c r="G406" s="44" t="n"/>
      <c r="H406" s="15" t="n"/>
      <c r="I406" s="45" t="n">
        <v>2692990</v>
      </c>
      <c r="J406" s="45" t="n">
        <v>2684747.98621</v>
      </c>
      <c r="K406" s="45" t="n">
        <v>1444267</v>
      </c>
      <c r="L406" s="45" t="n">
        <v>1445589.83756</v>
      </c>
      <c r="M406" s="45" t="n">
        <v>1498621.268433042</v>
      </c>
      <c r="N406" s="45" t="n">
        <v>1500000</v>
      </c>
      <c r="O406" s="45" t="n">
        <v>572673.1407105463</v>
      </c>
      <c r="P406" s="45" t="n">
        <v>573200</v>
      </c>
      <c r="Q406" s="45" t="n">
        <v>153576.729</v>
      </c>
      <c r="R406" s="45" t="n">
        <v>153718.01959068</v>
      </c>
      <c r="S406" s="45" t="n">
        <v>3669138.138143588</v>
      </c>
      <c r="T406" s="45" t="n">
        <v>3672507.85715068</v>
      </c>
      <c r="U406" s="15" t="n">
        <v>5.16</v>
      </c>
      <c r="V406" s="15" t="n">
        <v>10.57625600000003</v>
      </c>
      <c r="W406" s="49" t="n">
        <v>100.092</v>
      </c>
    </row>
    <row r="407">
      <c r="A407" s="44" t="inlineStr">
        <is>
          <t>TL Cinsi Sabit Faizli Kuponlu Senetler</t>
        </is>
      </c>
      <c r="B407" s="44" t="n">
        <v>2012</v>
      </c>
      <c r="C407" s="44" t="inlineStr">
        <is>
          <t>TRT041213T23</t>
        </is>
      </c>
      <c r="D407" s="44" t="inlineStr">
        <is>
          <t>nan</t>
        </is>
      </c>
      <c r="E407" s="44" t="inlineStr">
        <is>
          <t>nan</t>
        </is>
      </c>
      <c r="F407" s="44" t="n"/>
      <c r="G407" s="44" t="n"/>
      <c r="H407" s="15" t="n"/>
      <c r="I407" s="45" t="n">
        <v>3136213</v>
      </c>
      <c r="J407" s="45" t="n">
        <v>3171567.71504</v>
      </c>
      <c r="K407" s="45" t="n">
        <v>1358900</v>
      </c>
      <c r="L407" s="45" t="n">
        <v>1376202.613</v>
      </c>
      <c r="M407" s="45" t="n">
        <v>2337246.847629674</v>
      </c>
      <c r="N407" s="45" t="n">
        <v>2367000</v>
      </c>
      <c r="O407" s="45" t="n">
        <v>909383.5474410751</v>
      </c>
      <c r="P407" s="45" t="n">
        <v>920960</v>
      </c>
      <c r="Q407" s="45" t="n">
        <v>246485.849</v>
      </c>
      <c r="R407" s="45" t="n">
        <v>249623.61385777</v>
      </c>
      <c r="S407" s="45" t="n">
        <v>4852016.24407075</v>
      </c>
      <c r="T407" s="45" t="n">
        <v>4913786.22685777</v>
      </c>
      <c r="U407" s="15" t="n">
        <v>5.01</v>
      </c>
      <c r="V407" s="15" t="n">
        <v>10.28</v>
      </c>
      <c r="W407" s="49" t="n">
        <v>101.273</v>
      </c>
    </row>
    <row r="408">
      <c r="A408" s="44" t="inlineStr">
        <is>
          <t>TL Cinsi Sabit Faizli Kuponlu Senetler</t>
        </is>
      </c>
      <c r="B408" s="44" t="n">
        <v>2012</v>
      </c>
      <c r="C408" s="44" t="inlineStr">
        <is>
          <t>TRT120122T17</t>
        </is>
      </c>
      <c r="D408" s="44" t="inlineStr">
        <is>
          <t>nan</t>
        </is>
      </c>
      <c r="E408" s="44" t="inlineStr">
        <is>
          <t>nan</t>
        </is>
      </c>
      <c r="F408" s="44" t="n"/>
      <c r="G408" s="44" t="n"/>
      <c r="H408" s="15" t="n"/>
      <c r="I408" s="45" t="n">
        <v>1140697.718</v>
      </c>
      <c r="J408" s="45" t="n">
        <v>1135973.63121</v>
      </c>
      <c r="K408" s="45" t="n">
        <v>742649.468</v>
      </c>
      <c r="L408" s="45" t="n">
        <v>742052.37078</v>
      </c>
      <c r="M408" s="45" t="n">
        <v>0</v>
      </c>
      <c r="N408" s="45" t="n">
        <v>0</v>
      </c>
      <c r="O408" s="45" t="n">
        <v>625750.6004803843</v>
      </c>
      <c r="P408" s="45" t="n">
        <v>625250</v>
      </c>
      <c r="Q408" s="45" t="n">
        <v>10000</v>
      </c>
      <c r="R408" s="45" t="n">
        <v>9992</v>
      </c>
      <c r="S408" s="45" t="n">
        <v>1378400.068480384</v>
      </c>
      <c r="T408" s="45" t="n">
        <v>1377294.37078</v>
      </c>
      <c r="U408" s="15" t="n">
        <v>4.76</v>
      </c>
      <c r="V408" s="15" t="n">
        <v>9.736576000000019</v>
      </c>
      <c r="W408" s="49" t="n">
        <v>99.92</v>
      </c>
    </row>
    <row r="409">
      <c r="A409" s="44" t="inlineStr">
        <is>
          <t>TL Cinsi Sabit Faizli Kuponlu Senetler</t>
        </is>
      </c>
      <c r="B409" s="44" t="n">
        <v>2012</v>
      </c>
      <c r="C409" s="44" t="inlineStr">
        <is>
          <t>TRT270116T18</t>
        </is>
      </c>
      <c r="D409" s="44" t="inlineStr">
        <is>
          <t>nan</t>
        </is>
      </c>
      <c r="E409" s="44" t="inlineStr">
        <is>
          <t>nan</t>
        </is>
      </c>
      <c r="F409" s="44" t="n"/>
      <c r="G409" s="44" t="n"/>
      <c r="H409" s="15" t="n"/>
      <c r="I409" s="45" t="n">
        <v>3295935.595</v>
      </c>
      <c r="J409" s="45" t="n">
        <v>3263429.302382</v>
      </c>
      <c r="K409" s="45" t="n">
        <v>1339120.595</v>
      </c>
      <c r="L409" s="45" t="n">
        <v>1330556.65652</v>
      </c>
      <c r="M409" s="45" t="n">
        <v>0</v>
      </c>
      <c r="N409" s="45" t="n">
        <v>0</v>
      </c>
      <c r="O409" s="45" t="n">
        <v>505374.3961352656</v>
      </c>
      <c r="P409" s="45" t="n">
        <v>502140</v>
      </c>
      <c r="Q409" s="45" t="n">
        <v>406171.317</v>
      </c>
      <c r="R409" s="45" t="n">
        <v>403571.8205711999</v>
      </c>
      <c r="S409" s="45" t="n">
        <v>2250666.308135265</v>
      </c>
      <c r="T409" s="45" t="n">
        <v>2236268.4770912</v>
      </c>
      <c r="U409" s="15" t="n">
        <v>4.65</v>
      </c>
      <c r="V409" s="15" t="n">
        <v>9.516225</v>
      </c>
      <c r="W409" s="49" t="n">
        <v>99.36</v>
      </c>
    </row>
    <row r="410">
      <c r="A410" s="44" t="inlineStr">
        <is>
          <t>TL Cinsi Sabit Faizli Kuponlu Senetler</t>
        </is>
      </c>
      <c r="B410" s="44" t="n">
        <v>2012</v>
      </c>
      <c r="C410" s="44" t="inlineStr">
        <is>
          <t>TRT041213T23</t>
        </is>
      </c>
      <c r="D410" s="44" t="inlineStr">
        <is>
          <t>nan</t>
        </is>
      </c>
      <c r="E410" s="44" t="inlineStr">
        <is>
          <t>nan</t>
        </is>
      </c>
      <c r="F410" s="44" t="n"/>
      <c r="G410" s="44" t="n"/>
      <c r="H410" s="15" t="n"/>
      <c r="I410" s="45" t="n">
        <v>1807205.67</v>
      </c>
      <c r="J410" s="45" t="n">
        <v>1868459.54675</v>
      </c>
      <c r="K410" s="45" t="n">
        <v>907800</v>
      </c>
      <c r="L410" s="45" t="n">
        <v>939386.02</v>
      </c>
      <c r="M410" s="45" t="n">
        <v>676465.7563370346</v>
      </c>
      <c r="N410" s="45" t="n">
        <v>700000</v>
      </c>
      <c r="O410" s="45" t="n">
        <v>1448583.770620126</v>
      </c>
      <c r="P410" s="45" t="n">
        <v>1498980</v>
      </c>
      <c r="Q410" s="45" t="n">
        <v>0</v>
      </c>
      <c r="R410" s="45" t="n">
        <v>0</v>
      </c>
      <c r="S410" s="45" t="n">
        <v>3032849.52695716</v>
      </c>
      <c r="T410" s="45" t="n">
        <v>3138366.02</v>
      </c>
      <c r="U410" s="15" t="n">
        <v>4.52</v>
      </c>
      <c r="V410" s="15" t="n">
        <v>9.24</v>
      </c>
      <c r="W410" s="49" t="n">
        <v>103.479</v>
      </c>
    </row>
    <row r="411">
      <c r="A411" s="44" t="inlineStr">
        <is>
          <t>TL Cinsi Sabit Faizli Kuponlu Senetler</t>
        </is>
      </c>
      <c r="B411" s="44" t="n">
        <v>2012</v>
      </c>
      <c r="C411" s="44" t="inlineStr">
        <is>
          <t>TRT120122T17</t>
        </is>
      </c>
      <c r="D411" s="44" t="inlineStr">
        <is>
          <t>nan</t>
        </is>
      </c>
      <c r="E411" s="44" t="inlineStr">
        <is>
          <t>nan</t>
        </is>
      </c>
      <c r="F411" s="44" t="n"/>
      <c r="G411" s="44" t="n"/>
      <c r="H411" s="15" t="n"/>
      <c r="I411" s="45" t="n">
        <v>2080100</v>
      </c>
      <c r="J411" s="45" t="n">
        <v>2098226.738</v>
      </c>
      <c r="K411" s="45" t="n">
        <v>915800</v>
      </c>
      <c r="L411" s="45" t="n">
        <v>926289.986</v>
      </c>
      <c r="M411" s="45" t="n">
        <v>0</v>
      </c>
      <c r="N411" s="45" t="n">
        <v>0</v>
      </c>
      <c r="O411" s="45" t="n">
        <v>429185.8223342726</v>
      </c>
      <c r="P411" s="45" t="n">
        <v>434100</v>
      </c>
      <c r="Q411" s="45" t="n">
        <v>230182.932</v>
      </c>
      <c r="R411" s="45" t="n">
        <v>232818.5265714</v>
      </c>
      <c r="S411" s="45" t="n">
        <v>1575168.754334273</v>
      </c>
      <c r="T411" s="45" t="n">
        <v>1593208.5125714</v>
      </c>
      <c r="U411" s="15" t="n">
        <v>4.7</v>
      </c>
      <c r="V411" s="15" t="n">
        <v>9.630899999999977</v>
      </c>
      <c r="W411" s="49" t="n">
        <v>101.145</v>
      </c>
    </row>
    <row r="412">
      <c r="A412" s="44" t="inlineStr">
        <is>
          <t>TL Cinsi Sabit Faizli Kuponlu Senetler</t>
        </is>
      </c>
      <c r="B412" s="44" t="n">
        <v>2012</v>
      </c>
      <c r="C412" s="44" t="inlineStr">
        <is>
          <t>TRT120122T17</t>
        </is>
      </c>
      <c r="D412" s="44" t="inlineStr">
        <is>
          <t>nan</t>
        </is>
      </c>
      <c r="E412" s="44" t="inlineStr">
        <is>
          <t>nan</t>
        </is>
      </c>
      <c r="F412" s="44" t="n"/>
      <c r="G412" s="44" t="n"/>
      <c r="H412" s="15" t="n"/>
      <c r="I412" s="45" t="n">
        <v>2357548</v>
      </c>
      <c r="J412" s="45" t="n">
        <v>2383487.979</v>
      </c>
      <c r="K412" s="45" t="n">
        <v>1560048</v>
      </c>
      <c r="L412" s="45" t="n">
        <v>1578831.762</v>
      </c>
      <c r="M412" s="45" t="n">
        <v>247025.8092565511</v>
      </c>
      <c r="N412" s="45" t="n">
        <v>250000</v>
      </c>
      <c r="O412" s="45" t="n">
        <v>406979.9612663531</v>
      </c>
      <c r="P412" s="45" t="n">
        <v>411880</v>
      </c>
      <c r="Q412" s="45" t="n">
        <v>243544.862</v>
      </c>
      <c r="R412" s="45" t="n">
        <v>246477.14213848</v>
      </c>
      <c r="S412" s="45" t="n">
        <v>2457598.632522904</v>
      </c>
      <c r="T412" s="45" t="n">
        <v>2487188.90413848</v>
      </c>
      <c r="U412" s="15" t="n">
        <v>4.74</v>
      </c>
      <c r="V412" s="15" t="n">
        <v>9.704676000000024</v>
      </c>
      <c r="W412" s="49" t="n">
        <v>101.204</v>
      </c>
    </row>
    <row r="413">
      <c r="A413" s="44" t="inlineStr">
        <is>
          <t>TL Cinsi Sabit Faizli Kuponlu Senetler</t>
        </is>
      </c>
      <c r="B413" s="44" t="n">
        <v>2012</v>
      </c>
      <c r="C413" s="44" t="inlineStr">
        <is>
          <t>TRT050314T14</t>
        </is>
      </c>
      <c r="D413" s="44" t="inlineStr">
        <is>
          <t>nan</t>
        </is>
      </c>
      <c r="E413" s="44" t="inlineStr">
        <is>
          <t>nan</t>
        </is>
      </c>
      <c r="F413" s="44" t="n"/>
      <c r="G413" s="44" t="n"/>
      <c r="H413" s="15" t="n"/>
      <c r="I413" s="45" t="n">
        <v>2508870</v>
      </c>
      <c r="J413" s="45" t="n">
        <v>2498436.13886</v>
      </c>
      <c r="K413" s="45" t="n">
        <v>1553370</v>
      </c>
      <c r="L413" s="45" t="n">
        <v>1547962.57886</v>
      </c>
      <c r="M413" s="45" t="n">
        <v>250873.0381728415</v>
      </c>
      <c r="N413" s="45" t="n">
        <v>250000</v>
      </c>
      <c r="O413" s="45" t="n">
        <v>714611.849235339</v>
      </c>
      <c r="P413" s="45" t="n">
        <v>712125</v>
      </c>
      <c r="Q413" s="45" t="n">
        <v>265686.783</v>
      </c>
      <c r="R413" s="45" t="n">
        <v>264762.19299516</v>
      </c>
      <c r="S413" s="45" t="n">
        <v>2784541.67040818</v>
      </c>
      <c r="T413" s="45" t="n">
        <v>2774849.77185516</v>
      </c>
      <c r="U413" s="15" t="n">
        <v>4.6</v>
      </c>
      <c r="V413" s="15" t="n">
        <v>9.41</v>
      </c>
      <c r="W413" s="49" t="n">
        <v>99.652</v>
      </c>
    </row>
    <row r="414">
      <c r="A414" s="44" t="inlineStr">
        <is>
          <t>TL Cinsi Sabit Faizli Kuponlu Senetler</t>
        </is>
      </c>
      <c r="B414" s="44" t="n">
        <v>2012</v>
      </c>
      <c r="C414" s="44" t="inlineStr">
        <is>
          <t>TRT080317T18</t>
        </is>
      </c>
      <c r="D414" s="44" t="inlineStr">
        <is>
          <t>nan</t>
        </is>
      </c>
      <c r="E414" s="44" t="inlineStr">
        <is>
          <t>nan</t>
        </is>
      </c>
      <c r="F414" s="44" t="n"/>
      <c r="G414" s="44" t="n"/>
      <c r="H414" s="15" t="n"/>
      <c r="I414" s="45" t="n">
        <v>3492459.04</v>
      </c>
      <c r="J414" s="45" t="n">
        <v>3438820.8341</v>
      </c>
      <c r="K414" s="45" t="n">
        <v>1206000</v>
      </c>
      <c r="L414" s="45" t="n">
        <v>1189820.805</v>
      </c>
      <c r="M414" s="45" t="n">
        <v>253400.636542399</v>
      </c>
      <c r="N414" s="45" t="n">
        <v>250000</v>
      </c>
      <c r="O414" s="45" t="n">
        <v>636410.6306635042</v>
      </c>
      <c r="P414" s="45" t="n">
        <v>627870</v>
      </c>
      <c r="Q414" s="45" t="n">
        <v>242800</v>
      </c>
      <c r="R414" s="45" t="n">
        <v>239541.624</v>
      </c>
      <c r="S414" s="45" t="n">
        <v>2338611.267205903</v>
      </c>
      <c r="T414" s="45" t="n">
        <v>2307232.429</v>
      </c>
      <c r="U414" s="15" t="n">
        <v>4.67</v>
      </c>
      <c r="V414" s="15" t="n">
        <v>9.558088999999992</v>
      </c>
      <c r="W414" s="49" t="n">
        <v>98.658</v>
      </c>
    </row>
    <row r="415">
      <c r="A415" s="44" t="inlineStr">
        <is>
          <t>TL Cinsi Sabit Faizli Kuponlu Senetler</t>
        </is>
      </c>
      <c r="B415" s="44" t="n">
        <v>2012</v>
      </c>
      <c r="C415" s="44" t="inlineStr">
        <is>
          <t>TRT080317T18</t>
        </is>
      </c>
      <c r="D415" s="44" t="inlineStr">
        <is>
          <t>nan</t>
        </is>
      </c>
      <c r="E415" s="44" t="inlineStr">
        <is>
          <t>nan</t>
        </is>
      </c>
      <c r="F415" s="44" t="n"/>
      <c r="G415" s="44" t="n"/>
      <c r="H415" s="15" t="n"/>
      <c r="I415" s="45" t="n">
        <v>2268100</v>
      </c>
      <c r="J415" s="45" t="n">
        <v>2258706.253</v>
      </c>
      <c r="K415" s="45" t="n">
        <v>1913500</v>
      </c>
      <c r="L415" s="45" t="n">
        <v>1906921.016</v>
      </c>
      <c r="M415" s="45" t="n">
        <v>0</v>
      </c>
      <c r="N415" s="45" t="n">
        <v>0</v>
      </c>
      <c r="O415" s="45" t="n">
        <v>633087.8221080516</v>
      </c>
      <c r="P415" s="45" t="n">
        <v>630910</v>
      </c>
      <c r="Q415" s="45" t="n">
        <v>309114.249</v>
      </c>
      <c r="R415" s="45" t="n">
        <v>308050.89598344</v>
      </c>
      <c r="S415" s="45" t="n">
        <v>2855702.071108052</v>
      </c>
      <c r="T415" s="45" t="n">
        <v>2845881.91198344</v>
      </c>
      <c r="U415" s="15" t="n">
        <v>4.65</v>
      </c>
      <c r="V415" s="15" t="n">
        <v>9.526225</v>
      </c>
      <c r="W415" s="49" t="n">
        <v>99.65600000000001</v>
      </c>
    </row>
    <row r="416">
      <c r="A416" s="44" t="inlineStr">
        <is>
          <t>TL Cinsi Sabit Faizli Kuponlu Senetler</t>
        </is>
      </c>
      <c r="B416" s="44" t="n">
        <v>2012</v>
      </c>
      <c r="C416" s="44" t="inlineStr">
        <is>
          <t>TRT050314T14</t>
        </is>
      </c>
      <c r="D416" s="44" t="inlineStr">
        <is>
          <t>nan</t>
        </is>
      </c>
      <c r="E416" s="44" t="inlineStr">
        <is>
          <t>nan</t>
        </is>
      </c>
      <c r="F416" s="44" t="n"/>
      <c r="G416" s="44" t="n"/>
      <c r="H416" s="15" t="n"/>
      <c r="I416" s="45" t="n">
        <v>1640353.99</v>
      </c>
      <c r="J416" s="45" t="n">
        <v>1651008.63214</v>
      </c>
      <c r="K416" s="45" t="n">
        <v>971752</v>
      </c>
      <c r="L416" s="45" t="n">
        <v>978893.90914</v>
      </c>
      <c r="M416" s="45" t="n">
        <v>238248.8707996228</v>
      </c>
      <c r="N416" s="45" t="n">
        <v>240000</v>
      </c>
      <c r="O416" s="45" t="n">
        <v>447113.7142006254</v>
      </c>
      <c r="P416" s="45" t="n">
        <v>450400</v>
      </c>
      <c r="Q416" s="45" t="n">
        <v>192110.92</v>
      </c>
      <c r="R416" s="45" t="n">
        <v>193522.935262</v>
      </c>
      <c r="S416" s="45" t="n">
        <v>1849225.505000248</v>
      </c>
      <c r="T416" s="45" t="n">
        <v>1862816.844402</v>
      </c>
      <c r="U416" s="15" t="n">
        <v>4.64</v>
      </c>
      <c r="V416" s="15" t="n">
        <v>9.49</v>
      </c>
      <c r="W416" s="49" t="n">
        <v>100.735</v>
      </c>
    </row>
    <row r="417">
      <c r="A417" s="44" t="inlineStr">
        <is>
          <t>TL Cinsi Sabit Faizli Kuponlu Senetler</t>
        </is>
      </c>
      <c r="B417" s="44" t="n">
        <v>2012</v>
      </c>
      <c r="C417" s="44" t="inlineStr">
        <is>
          <t>TRT120122T17</t>
        </is>
      </c>
      <c r="D417" s="44" t="inlineStr">
        <is>
          <t>nan</t>
        </is>
      </c>
      <c r="E417" s="44" t="inlineStr">
        <is>
          <t>nan</t>
        </is>
      </c>
      <c r="F417" s="44" t="n"/>
      <c r="G417" s="44" t="n"/>
      <c r="H417" s="15" t="n"/>
      <c r="I417" s="45" t="n">
        <v>2246400</v>
      </c>
      <c r="J417" s="45" t="n">
        <v>2298361.489</v>
      </c>
      <c r="K417" s="45" t="n">
        <v>1000900</v>
      </c>
      <c r="L417" s="45" t="n">
        <v>1025867.185</v>
      </c>
      <c r="M417" s="45" t="n">
        <v>2162077.780162741</v>
      </c>
      <c r="N417" s="45" t="n">
        <v>2216000</v>
      </c>
      <c r="O417" s="45" t="n">
        <v>331341.346810545</v>
      </c>
      <c r="P417" s="45" t="n">
        <v>339605</v>
      </c>
      <c r="Q417" s="45" t="n">
        <v>191765.58</v>
      </c>
      <c r="R417" s="45" t="n">
        <v>196548.2135652</v>
      </c>
      <c r="S417" s="45" t="n">
        <v>3686084.706973286</v>
      </c>
      <c r="T417" s="45" t="n">
        <v>3778020.3985652</v>
      </c>
      <c r="U417" s="15" t="n">
        <v>4.74</v>
      </c>
      <c r="V417" s="15" t="n">
        <v>9.704676000000024</v>
      </c>
      <c r="W417" s="49" t="n">
        <v>102.494</v>
      </c>
    </row>
    <row r="418">
      <c r="A418" s="44" t="inlineStr">
        <is>
          <t>TL Cinsi Sabit Faizli Kuponlu Senetler</t>
        </is>
      </c>
      <c r="B418" s="44" t="n">
        <v>2012</v>
      </c>
      <c r="C418" s="44" t="inlineStr">
        <is>
          <t>TRT050314T14</t>
        </is>
      </c>
      <c r="D418" s="44" t="inlineStr">
        <is>
          <t>nan</t>
        </is>
      </c>
      <c r="E418" s="44" t="inlineStr">
        <is>
          <t>nan</t>
        </is>
      </c>
      <c r="F418" s="44" t="n"/>
      <c r="G418" s="44" t="n"/>
      <c r="H418" s="15" t="n"/>
      <c r="I418" s="45" t="n">
        <v>1935716.09</v>
      </c>
      <c r="J418" s="45" t="n">
        <v>1955613.69233</v>
      </c>
      <c r="K418" s="45" t="n">
        <v>807900</v>
      </c>
      <c r="L418" s="45" t="n">
        <v>817007.173</v>
      </c>
      <c r="M418" s="45" t="n">
        <v>173049.7295479941</v>
      </c>
      <c r="N418" s="45" t="n">
        <v>175000</v>
      </c>
      <c r="O418" s="45" t="n">
        <v>176214.0674597289</v>
      </c>
      <c r="P418" s="45" t="n">
        <v>178200</v>
      </c>
      <c r="Q418" s="45" t="n">
        <v>0</v>
      </c>
      <c r="R418" s="45" t="n">
        <v>0</v>
      </c>
      <c r="S418" s="45" t="n">
        <v>1157163.797007723</v>
      </c>
      <c r="T418" s="45" t="n">
        <v>1170207.173</v>
      </c>
      <c r="U418" s="15" t="n">
        <v>4.62</v>
      </c>
      <c r="V418" s="15" t="n">
        <v>9.460000000000001</v>
      </c>
      <c r="W418" s="49" t="n">
        <v>101.127</v>
      </c>
    </row>
    <row r="419">
      <c r="A419" s="44" t="inlineStr">
        <is>
          <t>TL Cinsi Sabit Faizli Kuponlu Senetler</t>
        </is>
      </c>
      <c r="B419" s="44" t="n">
        <v>2012</v>
      </c>
      <c r="C419" s="44" t="inlineStr">
        <is>
          <t>TRT050314T14</t>
        </is>
      </c>
      <c r="D419" s="44" t="inlineStr">
        <is>
          <t>nan</t>
        </is>
      </c>
      <c r="E419" s="44" t="inlineStr">
        <is>
          <t>nan</t>
        </is>
      </c>
      <c r="F419" s="44" t="n"/>
      <c r="G419" s="44" t="n"/>
      <c r="H419" s="15" t="n"/>
      <c r="I419" s="45" t="n">
        <v>1504101</v>
      </c>
      <c r="J419" s="45" t="n">
        <v>1544363.71221</v>
      </c>
      <c r="K419" s="45" t="n">
        <v>896500</v>
      </c>
      <c r="L419" s="45" t="n">
        <v>920917.755</v>
      </c>
      <c r="M419" s="45" t="n">
        <v>380631.5953428604</v>
      </c>
      <c r="N419" s="45" t="n">
        <v>391000</v>
      </c>
      <c r="O419" s="45" t="n">
        <v>373087.1071998754</v>
      </c>
      <c r="P419" s="45" t="n">
        <v>383250</v>
      </c>
      <c r="Q419" s="45" t="n">
        <v>177610.947</v>
      </c>
      <c r="R419" s="45" t="n">
        <v>182449.06919628</v>
      </c>
      <c r="S419" s="45" t="n">
        <v>1827829.649542736</v>
      </c>
      <c r="T419" s="45" t="n">
        <v>1877616.82419628</v>
      </c>
      <c r="U419" s="15" t="n">
        <v>4.45</v>
      </c>
      <c r="V419" s="15" t="n">
        <v>9.1</v>
      </c>
      <c r="W419" s="49" t="n">
        <v>102.724</v>
      </c>
    </row>
    <row r="420">
      <c r="A420" s="44" t="inlineStr">
        <is>
          <t>TL Cinsi Sabit Faizli Kuponlu Senetler</t>
        </is>
      </c>
      <c r="B420" s="44" t="n">
        <v>2012</v>
      </c>
      <c r="C420" s="44" t="inlineStr">
        <is>
          <t>TRT050314T14</t>
        </is>
      </c>
      <c r="D420" s="44" t="inlineStr">
        <is>
          <t>nan</t>
        </is>
      </c>
      <c r="E420" s="44" t="inlineStr">
        <is>
          <t>nan</t>
        </is>
      </c>
      <c r="F420" s="44" t="n"/>
      <c r="G420" s="44" t="n"/>
      <c r="H420" s="15" t="n"/>
      <c r="I420" s="45" t="n">
        <v>3687288</v>
      </c>
      <c r="J420" s="45" t="n">
        <v>3864358.10628</v>
      </c>
      <c r="K420" s="45" t="n">
        <v>2098000</v>
      </c>
      <c r="L420" s="45" t="n">
        <v>2199847.17</v>
      </c>
      <c r="M420" s="45" t="n">
        <v>1198809.773589944</v>
      </c>
      <c r="N420" s="45" t="n">
        <v>1257000</v>
      </c>
      <c r="O420" s="45" t="n">
        <v>725046.2547923781</v>
      </c>
      <c r="P420" s="45" t="n">
        <v>760240</v>
      </c>
      <c r="Q420" s="45" t="n">
        <v>399000</v>
      </c>
      <c r="R420" s="45" t="n">
        <v>418367.46</v>
      </c>
      <c r="S420" s="45" t="n">
        <v>4420856.028382322</v>
      </c>
      <c r="T420" s="45" t="n">
        <v>4635454.63</v>
      </c>
      <c r="U420" s="15" t="n">
        <v>3.92</v>
      </c>
      <c r="V420" s="15" t="n">
        <v>8</v>
      </c>
      <c r="W420" s="49" t="n">
        <v>104.854</v>
      </c>
    </row>
    <row r="421">
      <c r="A421" s="44" t="inlineStr">
        <is>
          <t>TL Cinsi Sabit Faizli Kuponlu Senetler</t>
        </is>
      </c>
      <c r="B421" s="44" t="n">
        <v>2012</v>
      </c>
      <c r="C421" s="44" t="inlineStr">
        <is>
          <t>TRT080317T18</t>
        </is>
      </c>
      <c r="D421" s="44" t="inlineStr">
        <is>
          <t>nan</t>
        </is>
      </c>
      <c r="E421" s="44" t="inlineStr">
        <is>
          <t>nan</t>
        </is>
      </c>
      <c r="F421" s="44" t="n"/>
      <c r="G421" s="44" t="n"/>
      <c r="H421" s="15" t="n"/>
      <c r="I421" s="45" t="n">
        <v>1711996.06</v>
      </c>
      <c r="J421" s="45" t="n">
        <v>1852276.45775</v>
      </c>
      <c r="K421" s="45" t="n">
        <v>1365447</v>
      </c>
      <c r="L421" s="45" t="n">
        <v>1478219.66991</v>
      </c>
      <c r="M421" s="45" t="n">
        <v>554226.4384485355</v>
      </c>
      <c r="N421" s="45" t="n">
        <v>600000</v>
      </c>
      <c r="O421" s="45" t="n">
        <v>873322.3103852797</v>
      </c>
      <c r="P421" s="45" t="n">
        <v>945450</v>
      </c>
      <c r="Q421" s="45" t="n">
        <v>0</v>
      </c>
      <c r="R421" s="45" t="n">
        <v>0</v>
      </c>
      <c r="S421" s="45" t="n">
        <v>2792995.748833815</v>
      </c>
      <c r="T421" s="45" t="n">
        <v>3023669.66991</v>
      </c>
      <c r="U421" s="15" t="n">
        <v>3.89</v>
      </c>
      <c r="V421" s="15" t="n">
        <v>7.93</v>
      </c>
      <c r="W421" s="49" t="n">
        <v>108.259</v>
      </c>
    </row>
    <row r="422">
      <c r="A422" s="44" t="inlineStr">
        <is>
          <t>TL Cinsi Sabit Faizli Kuponlu Senetler</t>
        </is>
      </c>
      <c r="B422" s="44" t="n">
        <v>2012</v>
      </c>
      <c r="C422" s="44" t="inlineStr">
        <is>
          <t>TRT050314T14</t>
        </is>
      </c>
      <c r="D422" s="44" t="inlineStr">
        <is>
          <t>nan</t>
        </is>
      </c>
      <c r="E422" s="44" t="inlineStr">
        <is>
          <t>nan</t>
        </is>
      </c>
      <c r="F422" s="44" t="n"/>
      <c r="G422" s="44" t="n"/>
      <c r="H422" s="15" t="n"/>
      <c r="I422" s="45" t="n">
        <v>2080900</v>
      </c>
      <c r="J422" s="45" t="n">
        <v>2204591.292</v>
      </c>
      <c r="K422" s="45" t="n">
        <v>1958800</v>
      </c>
      <c r="L422" s="45" t="n">
        <v>2075464.974</v>
      </c>
      <c r="M422" s="45" t="n">
        <v>0</v>
      </c>
      <c r="N422" s="45" t="n">
        <v>0</v>
      </c>
      <c r="O422" s="45" t="n">
        <v>1547132.772094077</v>
      </c>
      <c r="P422" s="45" t="n">
        <v>1639280</v>
      </c>
      <c r="Q422" s="45" t="n">
        <v>0</v>
      </c>
      <c r="R422" s="45" t="n">
        <v>0</v>
      </c>
      <c r="S422" s="45" t="n">
        <v>3505932.772094076</v>
      </c>
      <c r="T422" s="45" t="n">
        <v>3714744.974</v>
      </c>
      <c r="U422" s="15" t="n">
        <v>3.76</v>
      </c>
      <c r="V422" s="15" t="n">
        <v>7.66</v>
      </c>
      <c r="W422" s="49" t="n">
        <v>105.956</v>
      </c>
    </row>
    <row r="423">
      <c r="A423" s="44" t="inlineStr">
        <is>
          <t>TL Cinsi Sabit Faizli Kuponlu Senetler</t>
        </is>
      </c>
      <c r="B423" s="44" t="n">
        <v>2012</v>
      </c>
      <c r="C423" s="44" t="inlineStr">
        <is>
          <t>TRT120122T17</t>
        </is>
      </c>
      <c r="D423" s="44" t="inlineStr">
        <is>
          <t>nan</t>
        </is>
      </c>
      <c r="E423" s="44" t="inlineStr">
        <is>
          <t>nan</t>
        </is>
      </c>
      <c r="F423" s="44" t="n"/>
      <c r="G423" s="44" t="n"/>
      <c r="H423" s="15" t="n"/>
      <c r="I423" s="45" t="n">
        <v>1021200</v>
      </c>
      <c r="J423" s="45" t="n">
        <v>1116486.47</v>
      </c>
      <c r="K423" s="45" t="n">
        <v>868700</v>
      </c>
      <c r="L423" s="45" t="n">
        <v>950539.415</v>
      </c>
      <c r="M423" s="45" t="n">
        <v>0</v>
      </c>
      <c r="N423" s="45" t="n">
        <v>0</v>
      </c>
      <c r="O423" s="45" t="n">
        <v>619579.4225971248</v>
      </c>
      <c r="P423" s="45" t="n">
        <v>677600</v>
      </c>
      <c r="Q423" s="45" t="n">
        <v>0</v>
      </c>
      <c r="R423" s="45" t="n">
        <v>0</v>
      </c>
      <c r="S423" s="45" t="n">
        <v>1488279.423</v>
      </c>
      <c r="T423" s="45" t="n">
        <v>1628489.415</v>
      </c>
      <c r="U423" s="15" t="n">
        <v>4.05</v>
      </c>
      <c r="V423" s="15" t="n">
        <v>8.27</v>
      </c>
      <c r="W423" s="49" t="n">
        <v>109.421</v>
      </c>
    </row>
    <row r="424">
      <c r="A424" s="44" t="inlineStr">
        <is>
          <t>TL Cinsi Sabit Faizli Kuponlu Senetler</t>
        </is>
      </c>
      <c r="B424" s="44" t="n">
        <v>2012</v>
      </c>
      <c r="C424" s="44" t="inlineStr">
        <is>
          <t>TRT140922T17</t>
        </is>
      </c>
      <c r="D424" s="44" t="inlineStr">
        <is>
          <t>nan</t>
        </is>
      </c>
      <c r="E424" s="44" t="inlineStr">
        <is>
          <t>nan</t>
        </is>
      </c>
      <c r="F424" s="44" t="n"/>
      <c r="G424" s="44" t="n"/>
      <c r="H424" s="15" t="n"/>
      <c r="I424" s="45" t="n">
        <v>3685493.515</v>
      </c>
      <c r="J424" s="45" t="n">
        <v>3688254.7214</v>
      </c>
      <c r="K424" s="45" t="n">
        <v>959729</v>
      </c>
      <c r="L424" s="45" t="n">
        <v>963876.88294</v>
      </c>
      <c r="M424" s="45" t="n">
        <v>1557272.582443843</v>
      </c>
      <c r="N424" s="45" t="n">
        <v>1564000</v>
      </c>
      <c r="O424" s="45" t="n">
        <v>401863.9477457384</v>
      </c>
      <c r="P424" s="45" t="n">
        <v>403600</v>
      </c>
      <c r="Q424" s="45" t="n">
        <v>194280.027</v>
      </c>
      <c r="R424" s="45" t="n">
        <v>195119.31671664</v>
      </c>
      <c r="S424" s="45" t="n">
        <v>3113145.557189581</v>
      </c>
      <c r="T424" s="45" t="n">
        <v>3126596.19965664</v>
      </c>
      <c r="U424" s="15" t="n">
        <v>4.22</v>
      </c>
      <c r="V424" s="15" t="n">
        <v>8.609999999999999</v>
      </c>
      <c r="W424" s="49" t="n">
        <v>100.432</v>
      </c>
    </row>
    <row r="425">
      <c r="A425" s="44" t="inlineStr">
        <is>
          <t>TL Cinsi Sabit Faizli Kuponlu Senetler</t>
        </is>
      </c>
      <c r="B425" s="44" t="n">
        <v>2012</v>
      </c>
      <c r="C425" s="44" t="inlineStr">
        <is>
          <t>TRT240914T15</t>
        </is>
      </c>
      <c r="D425" s="44" t="inlineStr">
        <is>
          <t>nan</t>
        </is>
      </c>
      <c r="E425" s="44" t="inlineStr">
        <is>
          <t>nan</t>
        </is>
      </c>
      <c r="F425" s="44" t="n"/>
      <c r="G425" s="44" t="n"/>
      <c r="H425" s="15" t="n"/>
      <c r="I425" s="45" t="n">
        <v>6144064</v>
      </c>
      <c r="J425" s="45" t="n">
        <v>6145841.95755</v>
      </c>
      <c r="K425" s="45" t="n">
        <v>2108891</v>
      </c>
      <c r="L425" s="45" t="n">
        <v>2111822.90908</v>
      </c>
      <c r="M425" s="45" t="n">
        <v>349514.1752963381</v>
      </c>
      <c r="N425" s="45" t="n">
        <v>350000</v>
      </c>
      <c r="O425" s="45" t="n">
        <v>1189446.669129909</v>
      </c>
      <c r="P425" s="45" t="n">
        <v>1191100</v>
      </c>
      <c r="Q425" s="45" t="n">
        <v>289782.699</v>
      </c>
      <c r="R425" s="45" t="n">
        <v>290185.49695161</v>
      </c>
      <c r="S425" s="45" t="n">
        <v>3937634.543426248</v>
      </c>
      <c r="T425" s="45" t="n">
        <v>3943108.40603161</v>
      </c>
      <c r="U425" s="15" t="n">
        <v>3.71</v>
      </c>
      <c r="V425" s="15" t="n">
        <v>7.56</v>
      </c>
      <c r="W425" s="49" t="n">
        <v>100.139</v>
      </c>
    </row>
    <row r="426">
      <c r="A426" s="44" t="inlineStr">
        <is>
          <t>TL Cinsi Sabit Faizli Kuponlu Senetler</t>
        </is>
      </c>
      <c r="B426" s="44" t="n">
        <v>2012</v>
      </c>
      <c r="C426" s="44" t="inlineStr">
        <is>
          <t>TRT240914T15</t>
        </is>
      </c>
      <c r="D426" s="44" t="inlineStr">
        <is>
          <t>nan</t>
        </is>
      </c>
      <c r="E426" s="44" t="inlineStr">
        <is>
          <t>nan</t>
        </is>
      </c>
      <c r="F426" s="44" t="n"/>
      <c r="G426" s="44" t="n"/>
      <c r="H426" s="15" t="n"/>
      <c r="I426" s="45" t="n">
        <v>7489033.053</v>
      </c>
      <c r="J426" s="45" t="n">
        <v>7533940.23234</v>
      </c>
      <c r="K426" s="45" t="n">
        <v>1586797</v>
      </c>
      <c r="L426" s="45" t="n">
        <v>1597033.02148</v>
      </c>
      <c r="M426" s="45" t="n">
        <v>457052.0145064335</v>
      </c>
      <c r="N426" s="45" t="n">
        <v>460000</v>
      </c>
      <c r="O426" s="45" t="n">
        <v>512047.2949475881</v>
      </c>
      <c r="P426" s="45" t="n">
        <v>515350</v>
      </c>
      <c r="Q426" s="45" t="n">
        <v>35907.153</v>
      </c>
      <c r="R426" s="45" t="n">
        <v>36138.75413685</v>
      </c>
      <c r="S426" s="45" t="n">
        <v>2591803.462454021</v>
      </c>
      <c r="T426" s="45" t="n">
        <v>2608521.77561685</v>
      </c>
      <c r="U426" s="15" t="n">
        <v>3.69</v>
      </c>
      <c r="V426" s="15" t="n">
        <v>7.51</v>
      </c>
      <c r="W426" s="49" t="n">
        <v>100.645</v>
      </c>
    </row>
    <row r="427">
      <c r="A427" s="44" t="inlineStr">
        <is>
          <t>TL Cinsi Sabit Faizli Kuponlu Senetler</t>
        </is>
      </c>
      <c r="B427" s="44" t="n">
        <v>2012</v>
      </c>
      <c r="C427" s="44" t="inlineStr">
        <is>
          <t>TRT080317T18</t>
        </is>
      </c>
      <c r="D427" s="44" t="inlineStr">
        <is>
          <t>nan</t>
        </is>
      </c>
      <c r="E427" s="44" t="inlineStr">
        <is>
          <t>nan</t>
        </is>
      </c>
      <c r="F427" s="44" t="n"/>
      <c r="G427" s="44" t="n"/>
      <c r="H427" s="15" t="n"/>
      <c r="I427" s="45" t="n">
        <v>3027716</v>
      </c>
      <c r="J427" s="45" t="n">
        <v>3251590.02664</v>
      </c>
      <c r="K427" s="45" t="n">
        <v>675368</v>
      </c>
      <c r="L427" s="45" t="n">
        <v>728487.8223999999</v>
      </c>
      <c r="M427" s="45" t="n">
        <v>1026282.853566959</v>
      </c>
      <c r="N427" s="45" t="n">
        <v>1107000</v>
      </c>
      <c r="O427" s="45" t="n">
        <v>194340.1474064803</v>
      </c>
      <c r="P427" s="45" t="n">
        <v>209625</v>
      </c>
      <c r="Q427" s="45" t="n">
        <v>149058.831</v>
      </c>
      <c r="R427" s="45" t="n">
        <v>160782.30805815</v>
      </c>
      <c r="S427" s="45" t="n">
        <v>2045049.831973439</v>
      </c>
      <c r="T427" s="45" t="n">
        <v>2205895.13045815</v>
      </c>
      <c r="U427" s="15" t="n">
        <v>3.62</v>
      </c>
      <c r="V427" s="15" t="n">
        <v>7.36</v>
      </c>
      <c r="W427" s="49" t="n">
        <v>107.865</v>
      </c>
    </row>
    <row r="428">
      <c r="A428" s="44" t="inlineStr">
        <is>
          <t>TL Cinsi Sabit Faizli Kuponlu Senetler</t>
        </is>
      </c>
      <c r="B428" s="44" t="n">
        <v>2012</v>
      </c>
      <c r="C428" s="44" t="inlineStr">
        <is>
          <t>TRT240914T15</t>
        </is>
      </c>
      <c r="D428" s="44" t="inlineStr">
        <is>
          <t>nan</t>
        </is>
      </c>
      <c r="E428" s="44" t="inlineStr">
        <is>
          <t>nan</t>
        </is>
      </c>
      <c r="F428" s="44" t="n"/>
      <c r="G428" s="44" t="n"/>
      <c r="H428" s="15" t="n"/>
      <c r="I428" s="45" t="n">
        <v>3827039.37</v>
      </c>
      <c r="J428" s="45" t="n">
        <v>3904353.7664</v>
      </c>
      <c r="K428" s="45" t="n">
        <v>1179400</v>
      </c>
      <c r="L428" s="45" t="n">
        <v>1204256.399</v>
      </c>
      <c r="M428" s="45" t="n">
        <v>195871.0385082462</v>
      </c>
      <c r="N428" s="45" t="n">
        <v>200000</v>
      </c>
      <c r="O428" s="45" t="n">
        <v>1117405.100481843</v>
      </c>
      <c r="P428" s="45" t="n">
        <v>1140960</v>
      </c>
      <c r="Q428" s="45" t="n">
        <v>4004.583</v>
      </c>
      <c r="R428" s="45" t="n">
        <v>4088.99960964</v>
      </c>
      <c r="S428" s="45" t="n">
        <v>2496680.721990089</v>
      </c>
      <c r="T428" s="45" t="n">
        <v>2549305.39860964</v>
      </c>
      <c r="U428" s="15" t="n">
        <v>3.39</v>
      </c>
      <c r="V428" s="15" t="n">
        <v>6.9</v>
      </c>
      <c r="W428" s="49" t="n">
        <v>102.108</v>
      </c>
    </row>
    <row r="429">
      <c r="A429" s="44" t="inlineStr">
        <is>
          <t>TL Cinsi Sabit Faizli Kuponlu Senetler</t>
        </is>
      </c>
      <c r="B429" s="44" t="n">
        <v>2012</v>
      </c>
      <c r="C429" s="44" t="inlineStr">
        <is>
          <t>TRT140922T17</t>
        </is>
      </c>
      <c r="D429" s="44" t="inlineStr">
        <is>
          <t>nan</t>
        </is>
      </c>
      <c r="E429" s="44" t="inlineStr">
        <is>
          <t>nan</t>
        </is>
      </c>
      <c r="F429" s="44" t="n"/>
      <c r="G429" s="44" t="n"/>
      <c r="H429" s="15" t="n"/>
      <c r="I429" s="45" t="n">
        <v>2875028.21</v>
      </c>
      <c r="J429" s="45" t="n">
        <v>3070361.29602</v>
      </c>
      <c r="K429" s="45" t="n">
        <v>1301700</v>
      </c>
      <c r="L429" s="45" t="n">
        <v>1394757.967</v>
      </c>
      <c r="M429" s="45" t="n">
        <v>933279.8252900167</v>
      </c>
      <c r="N429" s="45" t="n">
        <v>1000000</v>
      </c>
      <c r="O429" s="45" t="n">
        <v>638960.6995865571</v>
      </c>
      <c r="P429" s="45" t="n">
        <v>684640</v>
      </c>
      <c r="Q429" s="45" t="n">
        <v>264378.426</v>
      </c>
      <c r="R429" s="45" t="n">
        <v>283278.83967474</v>
      </c>
      <c r="S429" s="45" t="n">
        <v>3138318.950876574</v>
      </c>
      <c r="T429" s="45" t="n">
        <v>3362676.80667474</v>
      </c>
      <c r="U429" s="15" t="n">
        <v>3.8</v>
      </c>
      <c r="V429" s="15" t="n">
        <v>7.74</v>
      </c>
      <c r="W429" s="49" t="n">
        <v>107.149</v>
      </c>
    </row>
    <row r="430">
      <c r="A430" s="44" t="inlineStr">
        <is>
          <t>TL Cinsi Sabit Faizli Kuponlu Senetler</t>
        </is>
      </c>
      <c r="B430" s="44" t="n">
        <v>2012</v>
      </c>
      <c r="C430" s="44" t="inlineStr">
        <is>
          <t>TRT240914T15</t>
        </is>
      </c>
      <c r="D430" s="44" t="inlineStr">
        <is>
          <t>nan</t>
        </is>
      </c>
      <c r="E430" s="44" t="inlineStr">
        <is>
          <t>nan</t>
        </is>
      </c>
      <c r="F430" s="44" t="n"/>
      <c r="G430" s="44" t="n"/>
      <c r="H430" s="15" t="n"/>
      <c r="I430" s="45" t="n">
        <v>1506319.15</v>
      </c>
      <c r="J430" s="45" t="n">
        <v>1574683.853</v>
      </c>
      <c r="K430" s="45" t="n">
        <v>601300</v>
      </c>
      <c r="L430" s="45" t="n">
        <v>629029.47</v>
      </c>
      <c r="M430" s="45" t="n">
        <v>0</v>
      </c>
      <c r="N430" s="45" t="n">
        <v>0</v>
      </c>
      <c r="O430" s="45" t="n">
        <v>316263.9085382174</v>
      </c>
      <c r="P430" s="45" t="n">
        <v>330850</v>
      </c>
      <c r="Q430" s="45" t="n">
        <v>179200</v>
      </c>
      <c r="R430" s="45" t="n">
        <v>187464.704</v>
      </c>
      <c r="S430" s="45" t="n">
        <v>1096763.908538217</v>
      </c>
      <c r="T430" s="45" t="n">
        <v>1147344.174</v>
      </c>
      <c r="U430" s="15" t="n">
        <v>2.84</v>
      </c>
      <c r="V430" s="15" t="n">
        <v>5.77</v>
      </c>
      <c r="W430" s="49" t="n">
        <v>104.612</v>
      </c>
    </row>
    <row r="431">
      <c r="A431" s="44" t="inlineStr">
        <is>
          <t>TL Cinsi Sabit Faizli Kuponlu Senetler</t>
        </is>
      </c>
      <c r="B431" s="44" t="n">
        <v>2011</v>
      </c>
      <c r="C431" s="44" t="inlineStr">
        <is>
          <t>TRT150120T16</t>
        </is>
      </c>
      <c r="D431" s="44" t="inlineStr">
        <is>
          <t>nan</t>
        </is>
      </c>
      <c r="E431" s="44" t="inlineStr">
        <is>
          <t>nan</t>
        </is>
      </c>
      <c r="F431" s="44" t="n"/>
      <c r="G431" s="44" t="n"/>
      <c r="H431" s="15" t="n"/>
      <c r="I431" s="45" t="n">
        <v>3297727.87</v>
      </c>
      <c r="J431" s="45" t="n">
        <v>3840709.28968</v>
      </c>
      <c r="K431" s="45" t="n">
        <v>2080221.85</v>
      </c>
      <c r="L431" s="45" t="n">
        <v>2430171.66863</v>
      </c>
      <c r="M431" s="45" t="n">
        <v>0</v>
      </c>
      <c r="N431" s="45" t="n">
        <v>0</v>
      </c>
      <c r="O431" s="45" t="n">
        <v>748482.7474041927</v>
      </c>
      <c r="P431" s="45" t="n">
        <v>874400</v>
      </c>
      <c r="Q431" s="45" t="n">
        <v>108245.405</v>
      </c>
      <c r="R431" s="45" t="n">
        <v>126455.52948315</v>
      </c>
      <c r="S431" s="45" t="n">
        <v>2936950.002404193</v>
      </c>
      <c r="T431" s="45" t="n">
        <v>3431027.19811315</v>
      </c>
      <c r="U431" s="15" t="n">
        <v>4.28</v>
      </c>
      <c r="V431" s="15" t="n">
        <v>8.753183999999981</v>
      </c>
      <c r="W431" s="49" t="n">
        <v>116.823</v>
      </c>
    </row>
    <row r="432">
      <c r="A432" s="44" t="inlineStr">
        <is>
          <t>TL Cinsi Sabit Faizli Kuponlu Senetler</t>
        </is>
      </c>
      <c r="B432" s="44" t="n">
        <v>2011</v>
      </c>
      <c r="C432" s="44" t="inlineStr">
        <is>
          <t>TRT091013T12</t>
        </is>
      </c>
      <c r="D432" s="44" t="inlineStr">
        <is>
          <t>nan</t>
        </is>
      </c>
      <c r="E432" s="44" t="inlineStr">
        <is>
          <t>nan</t>
        </is>
      </c>
      <c r="F432" s="44" t="n"/>
      <c r="G432" s="44" t="n"/>
      <c r="H432" s="15" t="n"/>
      <c r="I432" s="45" t="n">
        <v>6170649.924</v>
      </c>
      <c r="J432" s="45" t="n">
        <v>6182519.71235</v>
      </c>
      <c r="K432" s="45" t="n">
        <v>4184848.924</v>
      </c>
      <c r="L432" s="45" t="n">
        <v>4199563.50035</v>
      </c>
      <c r="M432" s="45" t="n">
        <v>0</v>
      </c>
      <c r="N432" s="45" t="n">
        <v>0</v>
      </c>
      <c r="O432" s="45" t="n">
        <v>1017343.550701531</v>
      </c>
      <c r="P432" s="45" t="n">
        <v>1020924.6</v>
      </c>
      <c r="Q432" s="45" t="n">
        <v>132031.688</v>
      </c>
      <c r="R432" s="45" t="n">
        <v>132496.43954176</v>
      </c>
      <c r="S432" s="45" t="n">
        <v>5334224.16270153</v>
      </c>
      <c r="T432" s="45" t="n">
        <v>5352984.539891761</v>
      </c>
      <c r="U432" s="15" t="n">
        <v>1.98</v>
      </c>
      <c r="V432" s="15" t="n">
        <v>8.158344326336152</v>
      </c>
      <c r="W432" s="49" t="n">
        <v>100.352</v>
      </c>
    </row>
    <row r="433">
      <c r="A433" s="44" t="inlineStr">
        <is>
          <t>TL Cinsi Sabit Faizli Kuponlu Senetler</t>
        </is>
      </c>
      <c r="B433" s="44" t="n">
        <v>2011</v>
      </c>
      <c r="C433" s="44" t="inlineStr">
        <is>
          <t>TRT290114T18</t>
        </is>
      </c>
      <c r="D433" s="44" t="inlineStr">
        <is>
          <t>nan</t>
        </is>
      </c>
      <c r="E433" s="44" t="inlineStr">
        <is>
          <t>nan</t>
        </is>
      </c>
      <c r="F433" s="44" t="n"/>
      <c r="G433" s="44" t="n"/>
      <c r="H433" s="15" t="n"/>
      <c r="I433" s="45" t="n">
        <v>1931866.7</v>
      </c>
      <c r="J433" s="45" t="n">
        <v>1887543.3192</v>
      </c>
      <c r="K433" s="45" t="n">
        <v>1441000</v>
      </c>
      <c r="L433" s="45" t="n">
        <v>1409275.07</v>
      </c>
      <c r="M433" s="45" t="n">
        <v>0</v>
      </c>
      <c r="N433" s="45" t="n">
        <v>0</v>
      </c>
      <c r="O433" s="45" t="n">
        <v>307265.9972596577</v>
      </c>
      <c r="P433" s="45" t="n">
        <v>300500</v>
      </c>
      <c r="Q433" s="45" t="n">
        <v>106344.177</v>
      </c>
      <c r="R433" s="45" t="n">
        <v>104002.47822246</v>
      </c>
      <c r="S433" s="45" t="n">
        <v>1854610.174259658</v>
      </c>
      <c r="T433" s="45" t="n">
        <v>1813777.54822246</v>
      </c>
      <c r="U433" s="15" t="n">
        <v>2.21</v>
      </c>
      <c r="V433" s="15" t="n">
        <v>9.137387398832807</v>
      </c>
      <c r="W433" s="49" t="n">
        <v>97.798</v>
      </c>
    </row>
    <row r="434">
      <c r="A434" s="44" t="inlineStr">
        <is>
          <t>TL Cinsi Sabit Faizli Kuponlu Senetler</t>
        </is>
      </c>
      <c r="B434" s="44" t="n">
        <v>2011</v>
      </c>
      <c r="C434" s="44" t="inlineStr">
        <is>
          <t>TRT270116T18</t>
        </is>
      </c>
      <c r="D434" s="44" t="inlineStr">
        <is>
          <t>nan</t>
        </is>
      </c>
      <c r="E434" s="44" t="inlineStr">
        <is>
          <t>nan</t>
        </is>
      </c>
      <c r="F434" s="44" t="n"/>
      <c r="G434" s="44" t="n"/>
      <c r="H434" s="15" t="n"/>
      <c r="I434" s="45" t="n">
        <v>2360925.169</v>
      </c>
      <c r="J434" s="45" t="n">
        <v>2322627.52475</v>
      </c>
      <c r="K434" s="45" t="n">
        <v>1082953.204</v>
      </c>
      <c r="L434" s="45" t="n">
        <v>1071293.15866</v>
      </c>
      <c r="M434" s="45" t="n">
        <v>1213064.70689324</v>
      </c>
      <c r="N434" s="45" t="n">
        <v>1200000</v>
      </c>
      <c r="O434" s="45" t="n">
        <v>676283.5740929814</v>
      </c>
      <c r="P434" s="45" t="n">
        <v>669000</v>
      </c>
      <c r="Q434" s="45" t="n">
        <v>161369.59</v>
      </c>
      <c r="R434" s="45" t="n">
        <v>159631.6395157</v>
      </c>
      <c r="S434" s="45" t="n">
        <v>3133671.074986221</v>
      </c>
      <c r="T434" s="45" t="n">
        <v>3099924.7981757</v>
      </c>
      <c r="U434" s="15" t="n">
        <v>4.64</v>
      </c>
      <c r="V434" s="15" t="n">
        <v>9.485296000000009</v>
      </c>
      <c r="W434" s="49" t="n">
        <v>98.923</v>
      </c>
    </row>
    <row r="435">
      <c r="A435" s="44" t="inlineStr">
        <is>
          <t>TL Cinsi Sabit Faizli Kuponlu Senetler</t>
        </is>
      </c>
      <c r="B435" s="44" t="n">
        <v>2011</v>
      </c>
      <c r="C435" s="44" t="inlineStr">
        <is>
          <t>TRT290114T18</t>
        </is>
      </c>
      <c r="D435" s="44" t="inlineStr">
        <is>
          <t>nan</t>
        </is>
      </c>
      <c r="E435" s="44" t="inlineStr">
        <is>
          <t>nan</t>
        </is>
      </c>
      <c r="F435" s="44" t="n"/>
      <c r="G435" s="44" t="n"/>
      <c r="H435" s="15" t="n"/>
      <c r="I435" s="45" t="n">
        <v>698274.2</v>
      </c>
      <c r="J435" s="45" t="n">
        <v>681991.8748399999</v>
      </c>
      <c r="K435" s="45" t="n">
        <v>315320.2</v>
      </c>
      <c r="L435" s="45" t="n">
        <v>308559.861</v>
      </c>
      <c r="M435" s="45" t="n">
        <v>204381.9489862655</v>
      </c>
      <c r="N435" s="45" t="n">
        <v>200000</v>
      </c>
      <c r="O435" s="45" t="n">
        <v>107811.4780902551</v>
      </c>
      <c r="P435" s="45" t="n">
        <v>105500</v>
      </c>
      <c r="Q435" s="45" t="n">
        <v>28800</v>
      </c>
      <c r="R435" s="45" t="n">
        <v>28182.528</v>
      </c>
      <c r="S435" s="45" t="n">
        <v>656313.6270765206</v>
      </c>
      <c r="T435" s="45" t="n">
        <v>642242.389</v>
      </c>
      <c r="U435" s="15" t="n">
        <v>2.29</v>
      </c>
      <c r="V435" s="15" t="n">
        <v>9.469477096184752</v>
      </c>
      <c r="W435" s="49" t="n">
        <v>97.85599999999999</v>
      </c>
    </row>
    <row r="436">
      <c r="A436" s="44" t="inlineStr">
        <is>
          <t>TL Cinsi Sabit Faizli Kuponlu Senetler</t>
        </is>
      </c>
      <c r="B436" s="44" t="n">
        <v>2011</v>
      </c>
      <c r="C436" s="44" t="inlineStr">
        <is>
          <t>TRT290114T18</t>
        </is>
      </c>
      <c r="D436" s="44" t="inlineStr">
        <is>
          <t>nan</t>
        </is>
      </c>
      <c r="E436" s="44" t="inlineStr">
        <is>
          <t>nan</t>
        </is>
      </c>
      <c r="F436" s="44" t="n"/>
      <c r="G436" s="44" t="n"/>
      <c r="H436" s="15" t="n"/>
      <c r="I436" s="45" t="n">
        <v>2612671.705</v>
      </c>
      <c r="J436" s="45" t="n">
        <v>2582906.22496</v>
      </c>
      <c r="K436" s="45" t="n">
        <v>1254748.705</v>
      </c>
      <c r="L436" s="45" t="n">
        <v>1241814.24147</v>
      </c>
      <c r="M436" s="45" t="n">
        <v>262708.5248916328</v>
      </c>
      <c r="N436" s="45" t="n">
        <v>260000</v>
      </c>
      <c r="O436" s="45" t="n">
        <v>86895.89669492468</v>
      </c>
      <c r="P436" s="45" t="n">
        <v>86000</v>
      </c>
      <c r="Q436" s="45" t="n">
        <v>206585.854</v>
      </c>
      <c r="R436" s="45" t="n">
        <v>204455.95384526</v>
      </c>
      <c r="S436" s="45" t="n">
        <v>1810938.980586558</v>
      </c>
      <c r="T436" s="45" t="n">
        <v>1792270.19531526</v>
      </c>
      <c r="U436" s="15" t="n">
        <v>2.26</v>
      </c>
      <c r="V436" s="15" t="n">
        <v>9.361099357977755</v>
      </c>
      <c r="W436" s="49" t="n">
        <v>98.96899999999999</v>
      </c>
    </row>
    <row r="437">
      <c r="A437" s="44" t="inlineStr">
        <is>
          <t>TL Cinsi Sabit Faizli Kuponlu Senetler</t>
        </is>
      </c>
      <c r="B437" s="44" t="n">
        <v>2011</v>
      </c>
      <c r="C437" s="44" t="inlineStr">
        <is>
          <t>TRT290114T18</t>
        </is>
      </c>
      <c r="D437" s="44" t="inlineStr">
        <is>
          <t>nan</t>
        </is>
      </c>
      <c r="E437" s="44" t="inlineStr">
        <is>
          <t>nan</t>
        </is>
      </c>
      <c r="F437" s="44" t="n"/>
      <c r="G437" s="44" t="n"/>
      <c r="H437" s="15" t="n"/>
      <c r="I437" s="45" t="n">
        <v>3843626.02</v>
      </c>
      <c r="J437" s="45" t="n">
        <v>3761129.57284</v>
      </c>
      <c r="K437" s="45" t="n">
        <v>1983565</v>
      </c>
      <c r="L437" s="45" t="n">
        <v>1943132.68565</v>
      </c>
      <c r="M437" s="45" t="n">
        <v>1495477.838345481</v>
      </c>
      <c r="N437" s="45" t="n">
        <v>1465000</v>
      </c>
      <c r="O437" s="45" t="n">
        <v>343434.1887670729</v>
      </c>
      <c r="P437" s="45" t="n">
        <v>336435</v>
      </c>
      <c r="Q437" s="45" t="n">
        <v>302578.483</v>
      </c>
      <c r="R437" s="45" t="n">
        <v>296411.93351646</v>
      </c>
      <c r="S437" s="45" t="n">
        <v>4125055.510112554</v>
      </c>
      <c r="T437" s="45" t="n">
        <v>4040979.61916646</v>
      </c>
      <c r="U437" s="15" t="n">
        <v>2.23</v>
      </c>
      <c r="V437" s="15" t="n">
        <v>9.212834556534409</v>
      </c>
      <c r="W437" s="49" t="n">
        <v>97.962</v>
      </c>
    </row>
    <row r="438">
      <c r="A438" s="44" t="inlineStr">
        <is>
          <t>TL Cinsi Sabit Faizli Kuponlu Senetler</t>
        </is>
      </c>
      <c r="B438" s="44" t="n">
        <v>2011</v>
      </c>
      <c r="C438" s="44" t="inlineStr">
        <is>
          <t>TRT270116T18</t>
        </is>
      </c>
      <c r="D438" s="44" t="inlineStr">
        <is>
          <t>nan</t>
        </is>
      </c>
      <c r="E438" s="44" t="inlineStr">
        <is>
          <t>nan</t>
        </is>
      </c>
      <c r="F438" s="44" t="n"/>
      <c r="G438" s="44" t="n"/>
      <c r="H438" s="15" t="n"/>
      <c r="I438" s="45" t="n">
        <v>1535127</v>
      </c>
      <c r="J438" s="45" t="n">
        <v>1562241.87221</v>
      </c>
      <c r="K438" s="45" t="n">
        <v>361702</v>
      </c>
      <c r="L438" s="45" t="n">
        <v>369236.93196</v>
      </c>
      <c r="M438" s="45" t="n">
        <v>293878.5106237081</v>
      </c>
      <c r="N438" s="45" t="n">
        <v>300000</v>
      </c>
      <c r="O438" s="45" t="n">
        <v>363292.6148330281</v>
      </c>
      <c r="P438" s="45" t="n">
        <v>370860</v>
      </c>
      <c r="Q438" s="45" t="n">
        <v>13601.226</v>
      </c>
      <c r="R438" s="45" t="n">
        <v>13884.53953758</v>
      </c>
      <c r="S438" s="45" t="n">
        <v>1032474.351456736</v>
      </c>
      <c r="T438" s="45" t="n">
        <v>1053981.47149758</v>
      </c>
      <c r="U438" s="15" t="n">
        <v>4.54</v>
      </c>
      <c r="V438" s="15" t="n">
        <v>9.286116000000021</v>
      </c>
      <c r="W438" s="49" t="n">
        <v>102.083</v>
      </c>
    </row>
    <row r="439">
      <c r="A439" s="44" t="inlineStr">
        <is>
          <t>TL Cinsi Sabit Faizli Kuponlu Senetler</t>
        </is>
      </c>
      <c r="B439" s="44" t="n">
        <v>2011</v>
      </c>
      <c r="C439" s="44" t="inlineStr">
        <is>
          <t>TRT040614T12</t>
        </is>
      </c>
      <c r="D439" s="44" t="inlineStr">
        <is>
          <t>nan</t>
        </is>
      </c>
      <c r="E439" s="44" t="inlineStr">
        <is>
          <t>nan</t>
        </is>
      </c>
      <c r="F439" s="44" t="n"/>
      <c r="G439" s="44" t="n"/>
      <c r="H439" s="15" t="n"/>
      <c r="I439" s="45" t="n">
        <v>1351516.7</v>
      </c>
      <c r="J439" s="45" t="n">
        <v>1310340.7894</v>
      </c>
      <c r="K439" s="45" t="n">
        <v>625956.3</v>
      </c>
      <c r="L439" s="45" t="n">
        <v>607676.4625</v>
      </c>
      <c r="M439" s="45" t="n">
        <v>1102183.765966214</v>
      </c>
      <c r="N439" s="45" t="n">
        <v>1070000</v>
      </c>
      <c r="O439" s="45" t="n">
        <v>104346.9303667079</v>
      </c>
      <c r="P439" s="45" t="n">
        <v>101300</v>
      </c>
      <c r="Q439" s="45" t="n">
        <v>0</v>
      </c>
      <c r="R439" s="45" t="n">
        <v>0</v>
      </c>
      <c r="S439" s="45" t="n">
        <v>1832486.996332922</v>
      </c>
      <c r="T439" s="45" t="n">
        <v>1778976.4625</v>
      </c>
      <c r="U439" s="15" t="n">
        <v>2.28</v>
      </c>
      <c r="V439" s="15" t="n">
        <v>9.436671964162514</v>
      </c>
      <c r="W439" s="49" t="n">
        <v>97.08</v>
      </c>
    </row>
    <row r="440">
      <c r="A440" s="44" t="inlineStr">
        <is>
          <t>TL Cinsi Sabit Faizli Kuponlu Senetler</t>
        </is>
      </c>
      <c r="B440" s="44" t="n">
        <v>2011</v>
      </c>
      <c r="C440" s="44" t="inlineStr">
        <is>
          <t>TRT040614T12</t>
        </is>
      </c>
      <c r="D440" s="44" t="inlineStr">
        <is>
          <t>nan</t>
        </is>
      </c>
      <c r="E440" s="44" t="inlineStr">
        <is>
          <t>nan</t>
        </is>
      </c>
      <c r="F440" s="44" t="n"/>
      <c r="G440" s="44" t="n"/>
      <c r="H440" s="15" t="n"/>
      <c r="I440" s="45" t="n">
        <v>1628210.305</v>
      </c>
      <c r="J440" s="45" t="n">
        <v>1598527.26685</v>
      </c>
      <c r="K440" s="45" t="n">
        <v>746000</v>
      </c>
      <c r="L440" s="45" t="n">
        <v>733117.2</v>
      </c>
      <c r="M440" s="45" t="n">
        <v>630895.5664322856</v>
      </c>
      <c r="N440" s="45" t="n">
        <v>620000</v>
      </c>
      <c r="O440" s="45" t="n">
        <v>228526.6553376818</v>
      </c>
      <c r="P440" s="45" t="n">
        <v>224580</v>
      </c>
      <c r="Q440" s="45" t="n">
        <v>127648.782</v>
      </c>
      <c r="R440" s="45" t="n">
        <v>125444.28753486</v>
      </c>
      <c r="S440" s="45" t="n">
        <v>1733071.003769967</v>
      </c>
      <c r="T440" s="45" t="n">
        <v>1703141.48753486</v>
      </c>
      <c r="U440" s="15" t="n">
        <v>2.26</v>
      </c>
      <c r="V440" s="15" t="n">
        <v>9.361099357977755</v>
      </c>
      <c r="W440" s="49" t="n">
        <v>98.273</v>
      </c>
    </row>
    <row r="441">
      <c r="A441" s="44" t="inlineStr">
        <is>
          <t>TL Cinsi Sabit Faizli Kuponlu Senetler</t>
        </is>
      </c>
      <c r="B441" s="44" t="n">
        <v>2011</v>
      </c>
      <c r="C441" s="44" t="inlineStr">
        <is>
          <t>TRT150120T16</t>
        </is>
      </c>
      <c r="D441" s="44" t="inlineStr">
        <is>
          <t>nan</t>
        </is>
      </c>
      <c r="E441" s="44" t="inlineStr">
        <is>
          <t>nan</t>
        </is>
      </c>
      <c r="F441" s="44" t="n"/>
      <c r="G441" s="44" t="n"/>
      <c r="H441" s="15" t="n"/>
      <c r="I441" s="45" t="n">
        <v>567670</v>
      </c>
      <c r="J441" s="45" t="n">
        <v>632240.9152</v>
      </c>
      <c r="K441" s="45" t="n">
        <v>411000</v>
      </c>
      <c r="L441" s="45" t="n">
        <v>458171.075</v>
      </c>
      <c r="M441" s="45" t="n">
        <v>224261.5068579169</v>
      </c>
      <c r="N441" s="45" t="n">
        <v>250000</v>
      </c>
      <c r="O441" s="45" t="n">
        <v>380347.515631027</v>
      </c>
      <c r="P441" s="45" t="n">
        <v>424000</v>
      </c>
      <c r="Q441" s="45" t="n">
        <v>79204.592</v>
      </c>
      <c r="R441" s="45" t="n">
        <v>88294.90302384</v>
      </c>
      <c r="S441" s="45" t="n">
        <v>1094813.614488944</v>
      </c>
      <c r="T441" s="45" t="n">
        <v>1220465.97802384</v>
      </c>
      <c r="U441" s="15" t="n">
        <v>4.69</v>
      </c>
      <c r="V441" s="15" t="n">
        <v>9.609960999999979</v>
      </c>
      <c r="W441" s="49" t="n">
        <v>111.477</v>
      </c>
    </row>
    <row r="442">
      <c r="A442" s="44" t="inlineStr">
        <is>
          <t>TL Cinsi Sabit Faizli Kuponlu Senetler</t>
        </is>
      </c>
      <c r="B442" s="44" t="n">
        <v>2011</v>
      </c>
      <c r="C442" s="44" t="inlineStr">
        <is>
          <t>TRT040614T12</t>
        </is>
      </c>
      <c r="D442" s="44" t="inlineStr">
        <is>
          <t>nan</t>
        </is>
      </c>
      <c r="E442" s="44" t="inlineStr">
        <is>
          <t>nan</t>
        </is>
      </c>
      <c r="F442" s="44" t="n"/>
      <c r="G442" s="44" t="n"/>
      <c r="H442" s="15" t="n"/>
      <c r="I442" s="45" t="n">
        <v>2071465</v>
      </c>
      <c r="J442" s="45" t="n">
        <v>2038930.47392</v>
      </c>
      <c r="K442" s="45" t="n">
        <v>1167100</v>
      </c>
      <c r="L442" s="45" t="n">
        <v>1150051.47</v>
      </c>
      <c r="M442" s="45" t="n">
        <v>583525.3047016917</v>
      </c>
      <c r="N442" s="45" t="n">
        <v>575000</v>
      </c>
      <c r="O442" s="45" t="n">
        <v>882645.4500248632</v>
      </c>
      <c r="P442" s="45" t="n">
        <v>869750</v>
      </c>
      <c r="Q442" s="45" t="n">
        <v>281513.181</v>
      </c>
      <c r="R442" s="45" t="n">
        <v>277400.27342559</v>
      </c>
      <c r="S442" s="45" t="n">
        <v>2914783.935726555</v>
      </c>
      <c r="T442" s="45" t="n">
        <v>2872201.74342559</v>
      </c>
      <c r="U442" s="15" t="n">
        <v>2.27</v>
      </c>
      <c r="V442" s="15" t="n">
        <v>9.403879385578408</v>
      </c>
      <c r="W442" s="49" t="n">
        <v>98.539</v>
      </c>
    </row>
    <row r="443">
      <c r="A443" s="44" t="inlineStr">
        <is>
          <t>TL Cinsi Sabit Faizli Kuponlu Senetler</t>
        </is>
      </c>
      <c r="B443" s="44" t="n">
        <v>2011</v>
      </c>
      <c r="C443" s="44" t="inlineStr">
        <is>
          <t>TRT270116T18</t>
        </is>
      </c>
      <c r="D443" s="44" t="inlineStr">
        <is>
          <t>nan</t>
        </is>
      </c>
      <c r="E443" s="44" t="inlineStr">
        <is>
          <t>nan</t>
        </is>
      </c>
      <c r="F443" s="44" t="n"/>
      <c r="G443" s="44" t="n"/>
      <c r="H443" s="15" t="n"/>
      <c r="I443" s="45" t="n">
        <v>1580500</v>
      </c>
      <c r="J443" s="45" t="n">
        <v>1596186.934</v>
      </c>
      <c r="K443" s="45" t="n">
        <v>404500</v>
      </c>
      <c r="L443" s="45" t="n">
        <v>409658.188</v>
      </c>
      <c r="M443" s="45" t="n">
        <v>493705.2579609973</v>
      </c>
      <c r="N443" s="45" t="n">
        <v>500000</v>
      </c>
      <c r="O443" s="45" t="n">
        <v>249864.2310540607</v>
      </c>
      <c r="P443" s="45" t="n">
        <v>253050</v>
      </c>
      <c r="Q443" s="45" t="n">
        <v>60655.107</v>
      </c>
      <c r="R443" s="45" t="n">
        <v>61428.45961425001</v>
      </c>
      <c r="S443" s="45" t="n">
        <v>1208724.596015058</v>
      </c>
      <c r="T443" s="45" t="n">
        <v>1224136.64761425</v>
      </c>
      <c r="U443" s="15" t="n">
        <v>4.37</v>
      </c>
      <c r="V443" s="15" t="n">
        <v>8.930969000000012</v>
      </c>
      <c r="W443" s="49" t="n">
        <v>101.275</v>
      </c>
    </row>
    <row r="444">
      <c r="A444" s="44" t="inlineStr">
        <is>
          <t>TL Cinsi Sabit Faizli Kuponlu Senetler</t>
        </is>
      </c>
      <c r="B444" s="44" t="n">
        <v>2011</v>
      </c>
      <c r="C444" s="44" t="inlineStr">
        <is>
          <t>TRT040614T12</t>
        </is>
      </c>
      <c r="D444" s="44" t="inlineStr">
        <is>
          <t>nan</t>
        </is>
      </c>
      <c r="E444" s="44" t="inlineStr">
        <is>
          <t>nan</t>
        </is>
      </c>
      <c r="F444" s="44" t="n"/>
      <c r="G444" s="44" t="n"/>
      <c r="H444" s="15" t="n"/>
      <c r="I444" s="45" t="n">
        <v>1990700</v>
      </c>
      <c r="J444" s="45" t="n">
        <v>1991436.62</v>
      </c>
      <c r="K444" s="45" t="n">
        <v>1521400</v>
      </c>
      <c r="L444" s="45" t="n">
        <v>1523369.92</v>
      </c>
      <c r="M444" s="45" t="n">
        <v>399484.6647824306</v>
      </c>
      <c r="N444" s="45" t="n">
        <v>400000</v>
      </c>
      <c r="O444" s="45" t="n">
        <v>1012294.140558679</v>
      </c>
      <c r="P444" s="45" t="n">
        <v>1013600</v>
      </c>
      <c r="Q444" s="45" t="n">
        <v>348382.596</v>
      </c>
      <c r="R444" s="45" t="n">
        <v>348832.00954884</v>
      </c>
      <c r="S444" s="45" t="n">
        <v>3281561.40134111</v>
      </c>
      <c r="T444" s="45" t="n">
        <v>3285801.92954884</v>
      </c>
      <c r="U444" s="15" t="n">
        <v>1.99</v>
      </c>
      <c r="V444" s="15" t="n">
        <v>8.190773921992033</v>
      </c>
      <c r="W444" s="49" t="n">
        <v>100.129</v>
      </c>
    </row>
    <row r="445">
      <c r="A445" s="44" t="inlineStr">
        <is>
          <t>TL Cinsi Sabit Faizli Kuponlu Senetler</t>
        </is>
      </c>
      <c r="B445" s="44" t="n">
        <v>2011</v>
      </c>
      <c r="C445" s="44" t="inlineStr">
        <is>
          <t>TRT150120T16</t>
        </is>
      </c>
      <c r="D445" s="44" t="inlineStr">
        <is>
          <t>nan</t>
        </is>
      </c>
      <c r="E445" s="44" t="inlineStr">
        <is>
          <t>nan</t>
        </is>
      </c>
      <c r="F445" s="44" t="n"/>
      <c r="G445" s="44" t="n"/>
      <c r="H445" s="15" t="n"/>
      <c r="I445" s="45" t="n">
        <v>1041400</v>
      </c>
      <c r="J445" s="45" t="n">
        <v>1165361.15</v>
      </c>
      <c r="K445" s="45" t="n">
        <v>893200</v>
      </c>
      <c r="L445" s="45" t="n">
        <v>1000099.81</v>
      </c>
      <c r="M445" s="45" t="n">
        <v>156294.6556158903</v>
      </c>
      <c r="N445" s="45" t="n">
        <v>175000</v>
      </c>
      <c r="O445" s="45" t="n">
        <v>683632.823663904</v>
      </c>
      <c r="P445" s="45" t="n">
        <v>765450</v>
      </c>
      <c r="Q445" s="45" t="n">
        <v>0</v>
      </c>
      <c r="R445" s="45" t="n">
        <v>0</v>
      </c>
      <c r="S445" s="45" t="n">
        <v>1733127.479279794</v>
      </c>
      <c r="T445" s="45" t="n">
        <v>1940549.81</v>
      </c>
      <c r="U445" s="15" t="n">
        <v>4.33</v>
      </c>
      <c r="V445" s="15" t="n">
        <v>8.847488999999985</v>
      </c>
      <c r="W445" s="49" t="n">
        <v>111.968</v>
      </c>
    </row>
    <row r="446">
      <c r="A446" s="44" t="inlineStr">
        <is>
          <t>TL Cinsi Sabit Faizli Kuponlu Senetler</t>
        </is>
      </c>
      <c r="B446" s="44" t="n">
        <v>2011</v>
      </c>
      <c r="C446" s="44" t="inlineStr">
        <is>
          <t>TRT040614T12</t>
        </is>
      </c>
      <c r="D446" s="44" t="inlineStr">
        <is>
          <t>nan</t>
        </is>
      </c>
      <c r="E446" s="44" t="inlineStr">
        <is>
          <t>nan</t>
        </is>
      </c>
      <c r="F446" s="44" t="n"/>
      <c r="G446" s="44" t="n"/>
      <c r="H446" s="15" t="n"/>
      <c r="I446" s="45" t="n">
        <v>1208084</v>
      </c>
      <c r="J446" s="45" t="n">
        <v>1205329.17368</v>
      </c>
      <c r="K446" s="45" t="n">
        <v>690684</v>
      </c>
      <c r="L446" s="45" t="n">
        <v>689631.1415800001</v>
      </c>
      <c r="M446" s="45" t="n">
        <v>443674.3850652992</v>
      </c>
      <c r="N446" s="45" t="n">
        <v>443000</v>
      </c>
      <c r="O446" s="45" t="n">
        <v>350532.8098710039</v>
      </c>
      <c r="P446" s="45" t="n">
        <v>350000</v>
      </c>
      <c r="Q446" s="45" t="n">
        <v>13007.291</v>
      </c>
      <c r="R446" s="45" t="n">
        <v>12987.51991768</v>
      </c>
      <c r="S446" s="45" t="n">
        <v>1497898.485936303</v>
      </c>
      <c r="T446" s="45" t="n">
        <v>1495618.66149768</v>
      </c>
      <c r="U446" s="15" t="n">
        <v>2.1</v>
      </c>
      <c r="V446" s="15" t="n">
        <v>8.658323848099945</v>
      </c>
      <c r="W446" s="49" t="n">
        <v>99.848</v>
      </c>
    </row>
    <row r="447">
      <c r="A447" s="44" t="inlineStr">
        <is>
          <t>TL Cinsi Sabit Faizli Kuponlu Senetler</t>
        </is>
      </c>
      <c r="B447" s="44" t="n">
        <v>2011</v>
      </c>
      <c r="C447" s="44" t="inlineStr">
        <is>
          <t>TRT040614T12</t>
        </is>
      </c>
      <c r="D447" s="44" t="inlineStr">
        <is>
          <t>nan</t>
        </is>
      </c>
      <c r="E447" s="44" t="inlineStr">
        <is>
          <t>nan</t>
        </is>
      </c>
      <c r="F447" s="44" t="n"/>
      <c r="G447" s="44" t="n"/>
      <c r="H447" s="15" t="n"/>
      <c r="I447" s="45" t="n">
        <v>1095282</v>
      </c>
      <c r="J447" s="45" t="n">
        <v>1066426.05338</v>
      </c>
      <c r="K447" s="45" t="n">
        <v>437082</v>
      </c>
      <c r="L447" s="45" t="n">
        <v>427530.29338</v>
      </c>
      <c r="M447" s="45" t="n">
        <v>511169.0436027194</v>
      </c>
      <c r="N447" s="45" t="n">
        <v>500000</v>
      </c>
      <c r="O447" s="45" t="n">
        <v>256606.8598885652</v>
      </c>
      <c r="P447" s="45" t="n">
        <v>251000</v>
      </c>
      <c r="Q447" s="45" t="n">
        <v>0</v>
      </c>
      <c r="R447" s="45" t="n">
        <v>0</v>
      </c>
      <c r="S447" s="45" t="n">
        <v>1204857.903491285</v>
      </c>
      <c r="T447" s="45" t="n">
        <v>1178530.29338</v>
      </c>
      <c r="U447" s="15" t="n">
        <v>2.41</v>
      </c>
      <c r="V447" s="15" t="n">
        <v>10.01411874242562</v>
      </c>
      <c r="W447" s="49" t="n">
        <v>97.815</v>
      </c>
    </row>
    <row r="448">
      <c r="A448" s="44" t="inlineStr">
        <is>
          <t>TL Cinsi Sabit Faizli Kuponlu Senetler</t>
        </is>
      </c>
      <c r="B448" s="44" t="n">
        <v>2011</v>
      </c>
      <c r="C448" s="44" t="inlineStr">
        <is>
          <t>TRT270116T18</t>
        </is>
      </c>
      <c r="D448" s="44" t="inlineStr">
        <is>
          <t>nan</t>
        </is>
      </c>
      <c r="E448" s="44" t="inlineStr">
        <is>
          <t>nan</t>
        </is>
      </c>
      <c r="F448" s="44" t="n"/>
      <c r="G448" s="44" t="n"/>
      <c r="H448" s="15" t="n"/>
      <c r="I448" s="45" t="n">
        <v>377300</v>
      </c>
      <c r="J448" s="45" t="n">
        <v>372442.1</v>
      </c>
      <c r="K448" s="45" t="n">
        <v>327000</v>
      </c>
      <c r="L448" s="45" t="n">
        <v>323352.8</v>
      </c>
      <c r="M448" s="45" t="n">
        <v>303382.7172978712</v>
      </c>
      <c r="N448" s="45" t="n">
        <v>300000</v>
      </c>
      <c r="O448" s="45" t="n">
        <v>96071.19381099257</v>
      </c>
      <c r="P448" s="45" t="n">
        <v>95000</v>
      </c>
      <c r="Q448" s="45" t="n">
        <v>30802</v>
      </c>
      <c r="R448" s="45" t="n">
        <v>30458.5577</v>
      </c>
      <c r="S448" s="45" t="n">
        <v>757255.9111088638</v>
      </c>
      <c r="T448" s="45" t="n">
        <v>748811.3577000001</v>
      </c>
      <c r="U448" s="15" t="n">
        <v>5.05</v>
      </c>
      <c r="V448" s="15" t="n">
        <v>10.34502500000001</v>
      </c>
      <c r="W448" s="49" t="n">
        <v>98.88500000000001</v>
      </c>
    </row>
    <row r="449">
      <c r="A449" s="44" t="inlineStr">
        <is>
          <t>TL Cinsi Sabit Faizli Kuponlu Senetler</t>
        </is>
      </c>
      <c r="B449" s="44" t="n">
        <v>2011</v>
      </c>
      <c r="C449" s="44" t="inlineStr">
        <is>
          <t>TRT041213T23</t>
        </is>
      </c>
      <c r="D449" s="44" t="inlineStr">
        <is>
          <t>nan</t>
        </is>
      </c>
      <c r="E449" s="44" t="inlineStr">
        <is>
          <t>nan</t>
        </is>
      </c>
      <c r="F449" s="44" t="n"/>
      <c r="G449" s="44" t="n"/>
      <c r="H449" s="15" t="n"/>
      <c r="I449" s="45" t="n">
        <v>1547933.096</v>
      </c>
      <c r="J449" s="45" t="n">
        <v>1543326.61238</v>
      </c>
      <c r="K449" s="45" t="n">
        <v>808325.865</v>
      </c>
      <c r="L449" s="45" t="n">
        <v>807041.6380799999</v>
      </c>
      <c r="M449" s="45" t="n">
        <v>936489.0175378852</v>
      </c>
      <c r="N449" s="45" t="n">
        <v>935000</v>
      </c>
      <c r="O449" s="45" t="n">
        <v>405269.3783115154</v>
      </c>
      <c r="P449" s="45" t="n">
        <v>404625</v>
      </c>
      <c r="Q449" s="45" t="n">
        <v>145025.18</v>
      </c>
      <c r="R449" s="45" t="n">
        <v>144794.5899638</v>
      </c>
      <c r="S449" s="45" t="n">
        <v>2295109.440849401</v>
      </c>
      <c r="T449" s="45" t="n">
        <v>2291461.2280438</v>
      </c>
      <c r="U449" s="15" t="n">
        <v>5.04</v>
      </c>
      <c r="V449" s="15" t="n">
        <v>10.34401599999999</v>
      </c>
      <c r="W449" s="49" t="n">
        <v>99.84099999999999</v>
      </c>
    </row>
    <row r="450">
      <c r="A450" s="44" t="inlineStr">
        <is>
          <t>TL Cinsi Sabit Faizli Kuponlu Senetler</t>
        </is>
      </c>
      <c r="B450" s="44" t="n">
        <v>2010</v>
      </c>
      <c r="C450" s="44" t="inlineStr">
        <is>
          <t>TRT090113T13</t>
        </is>
      </c>
      <c r="D450" s="44" t="inlineStr">
        <is>
          <t>nan</t>
        </is>
      </c>
      <c r="E450" s="44" t="inlineStr">
        <is>
          <t>nan</t>
        </is>
      </c>
      <c r="F450" s="44" t="n"/>
      <c r="G450" s="44" t="n"/>
      <c r="H450" s="15" t="n"/>
      <c r="I450" s="45" t="n">
        <v>4919766.97</v>
      </c>
      <c r="J450" s="45" t="n">
        <v>4989049.3406</v>
      </c>
      <c r="K450" s="45" t="n">
        <v>2518000</v>
      </c>
      <c r="L450" s="45" t="n">
        <v>2564344.57</v>
      </c>
      <c r="M450" s="45" t="n">
        <v>687345.9608605572</v>
      </c>
      <c r="N450" s="45" t="n">
        <v>700000</v>
      </c>
      <c r="O450" s="45" t="n">
        <v>1395017.723706562</v>
      </c>
      <c r="P450" s="45" t="n">
        <v>1420700</v>
      </c>
      <c r="Q450" s="45" t="n">
        <v>371254.23</v>
      </c>
      <c r="R450" s="45" t="n">
        <v>378089.0203743</v>
      </c>
      <c r="S450" s="45" t="n">
        <v>4971617.914567119</v>
      </c>
      <c r="T450" s="45" t="n">
        <v>5063133.5903743</v>
      </c>
      <c r="U450" s="15" t="n">
        <v>2.32</v>
      </c>
      <c r="V450" s="15" t="n">
        <v>9.617967837429809</v>
      </c>
      <c r="W450" s="49" t="n">
        <v>101.841</v>
      </c>
    </row>
    <row r="451">
      <c r="A451" s="44" t="inlineStr">
        <is>
          <t>TL Cinsi Sabit Faizli Kuponlu Senetler</t>
        </is>
      </c>
      <c r="B451" s="44" t="n">
        <v>2010</v>
      </c>
      <c r="C451" s="44" t="inlineStr">
        <is>
          <t>TRT150120T16</t>
        </is>
      </c>
      <c r="D451" s="44" t="inlineStr">
        <is>
          <t>nan</t>
        </is>
      </c>
      <c r="E451" s="44" t="inlineStr">
        <is>
          <t>nan</t>
        </is>
      </c>
      <c r="F451" s="44" t="n"/>
      <c r="G451" s="44" t="n"/>
      <c r="H451" s="15" t="n"/>
      <c r="I451" s="45" t="n">
        <v>1242638.875</v>
      </c>
      <c r="J451" s="45" t="n">
        <v>1191276.94691</v>
      </c>
      <c r="K451" s="45" t="n">
        <v>643584.046</v>
      </c>
      <c r="L451" s="45" t="n">
        <v>626564.0622</v>
      </c>
      <c r="M451" s="45" t="n">
        <v>0</v>
      </c>
      <c r="N451" s="45" t="n">
        <v>0</v>
      </c>
      <c r="O451" s="45" t="n">
        <v>329027.7849108931</v>
      </c>
      <c r="P451" s="45" t="n">
        <v>320325</v>
      </c>
      <c r="Q451" s="45" t="n">
        <v>101368.804</v>
      </c>
      <c r="R451" s="45" t="n">
        <v>98687.59913420001</v>
      </c>
      <c r="S451" s="45" t="n">
        <v>1073980.634910893</v>
      </c>
      <c r="T451" s="45" t="n">
        <v>1045576.6613342</v>
      </c>
      <c r="U451" s="15" t="n">
        <v>5.47</v>
      </c>
      <c r="V451" s="15" t="n">
        <v>11.239209</v>
      </c>
      <c r="W451" s="49" t="n">
        <v>97.355</v>
      </c>
    </row>
    <row r="452">
      <c r="A452" s="44" t="inlineStr">
        <is>
          <t>TL Cinsi Sabit Faizli Kuponlu Senetler</t>
        </is>
      </c>
      <c r="B452" s="44" t="n">
        <v>2010</v>
      </c>
      <c r="C452" s="44" t="inlineStr">
        <is>
          <t>TRT090113T13</t>
        </is>
      </c>
      <c r="D452" s="44" t="inlineStr">
        <is>
          <t>nan</t>
        </is>
      </c>
      <c r="E452" s="44" t="inlineStr">
        <is>
          <t>nan</t>
        </is>
      </c>
      <c r="F452" s="44" t="n"/>
      <c r="G452" s="44" t="n"/>
      <c r="H452" s="15" t="n"/>
      <c r="I452" s="45" t="n">
        <v>2910800</v>
      </c>
      <c r="J452" s="45" t="n">
        <v>2972557.1525</v>
      </c>
      <c r="K452" s="45" t="n">
        <v>1981400</v>
      </c>
      <c r="L452" s="45" t="n">
        <v>2025000.3475</v>
      </c>
      <c r="M452" s="45" t="n">
        <v>489236.7906066536</v>
      </c>
      <c r="N452" s="45" t="n">
        <v>500000</v>
      </c>
      <c r="O452" s="45" t="n">
        <v>794814.0900195695</v>
      </c>
      <c r="P452" s="45" t="n">
        <v>812300</v>
      </c>
      <c r="Q452" s="45" t="n">
        <v>232185.831</v>
      </c>
      <c r="R452" s="45" t="n">
        <v>237293.919282</v>
      </c>
      <c r="S452" s="45" t="n">
        <v>3497636.711626223</v>
      </c>
      <c r="T452" s="45" t="n">
        <v>3574594.266782</v>
      </c>
      <c r="U452" s="15" t="n">
        <v>2.36</v>
      </c>
      <c r="V452" s="15" t="n">
        <v>9.76946472284417</v>
      </c>
      <c r="W452" s="49" t="n">
        <v>102.2</v>
      </c>
    </row>
    <row r="453">
      <c r="A453" s="44" t="inlineStr">
        <is>
          <t>TL Cinsi Sabit Faizli Kuponlu Senetler</t>
        </is>
      </c>
      <c r="B453" s="44" t="n">
        <v>2010</v>
      </c>
      <c r="C453" s="44" t="inlineStr">
        <is>
          <t>TRT060814T18</t>
        </is>
      </c>
      <c r="D453" s="44" t="inlineStr">
        <is>
          <t>nan</t>
        </is>
      </c>
      <c r="E453" s="44" t="inlineStr">
        <is>
          <t>nan</t>
        </is>
      </c>
      <c r="F453" s="44" t="n"/>
      <c r="G453" s="44" t="n"/>
      <c r="H453" s="15" t="n"/>
      <c r="I453" s="45" t="n">
        <v>976492.515</v>
      </c>
      <c r="J453" s="45" t="n">
        <v>995968.81911</v>
      </c>
      <c r="K453" s="45" t="n">
        <v>565935.275</v>
      </c>
      <c r="L453" s="45" t="n">
        <v>579624.03431</v>
      </c>
      <c r="M453" s="45" t="n">
        <v>97638.13354943907</v>
      </c>
      <c r="N453" s="45" t="n">
        <v>100000</v>
      </c>
      <c r="O453" s="45" t="n">
        <v>421796.7369335768</v>
      </c>
      <c r="P453" s="45" t="n">
        <v>432000</v>
      </c>
      <c r="Q453" s="45" t="n">
        <v>14011.072</v>
      </c>
      <c r="R453" s="45" t="n">
        <v>14349.99983168</v>
      </c>
      <c r="S453" s="45" t="n">
        <v>1099381.217483016</v>
      </c>
      <c r="T453" s="45" t="n">
        <v>1125974.03414168</v>
      </c>
      <c r="U453" s="15" t="n">
        <v>5.27</v>
      </c>
      <c r="V453" s="15" t="n">
        <v>10.817729</v>
      </c>
      <c r="W453" s="49" t="n">
        <v>102.419</v>
      </c>
    </row>
    <row r="454">
      <c r="A454" s="44" t="inlineStr">
        <is>
          <t>TL Cinsi Sabit Faizli Kuponlu Senetler</t>
        </is>
      </c>
      <c r="B454" s="44" t="n">
        <v>2010</v>
      </c>
      <c r="C454" s="44" t="inlineStr">
        <is>
          <t>TRT150120T16</t>
        </is>
      </c>
      <c r="D454" s="44" t="inlineStr">
        <is>
          <t>nan</t>
        </is>
      </c>
      <c r="E454" s="44" t="inlineStr">
        <is>
          <t>nan</t>
        </is>
      </c>
      <c r="F454" s="44" t="n"/>
      <c r="G454" s="44" t="n"/>
      <c r="H454" s="15" t="n"/>
      <c r="I454" s="45" t="n">
        <v>484904.555</v>
      </c>
      <c r="J454" s="45" t="n">
        <v>488328.34211</v>
      </c>
      <c r="K454" s="45" t="n">
        <v>305778.44</v>
      </c>
      <c r="L454" s="45" t="n">
        <v>309088.3581</v>
      </c>
      <c r="M454" s="45" t="n">
        <v>0</v>
      </c>
      <c r="N454" s="45" t="n">
        <v>0</v>
      </c>
      <c r="O454" s="45" t="n">
        <v>95170.2578104905</v>
      </c>
      <c r="P454" s="45" t="n">
        <v>96200</v>
      </c>
      <c r="Q454" s="45" t="n">
        <v>41223.396</v>
      </c>
      <c r="R454" s="45" t="n">
        <v>41669.43314471999</v>
      </c>
      <c r="S454" s="45" t="n">
        <v>442172.0938104905</v>
      </c>
      <c r="T454" s="45" t="n">
        <v>446957.79124472</v>
      </c>
      <c r="U454" s="15" t="n">
        <v>5.33</v>
      </c>
      <c r="V454" s="15" t="n">
        <v>10.934089</v>
      </c>
      <c r="W454" s="49" t="n">
        <v>101.082</v>
      </c>
    </row>
    <row r="455">
      <c r="A455" s="44" t="inlineStr">
        <is>
          <t>TL Cinsi Sabit Faizli Kuponlu Senetler</t>
        </is>
      </c>
      <c r="B455" s="44" t="n">
        <v>2010</v>
      </c>
      <c r="C455" s="44" t="inlineStr">
        <is>
          <t>TRT100413T17</t>
        </is>
      </c>
      <c r="D455" s="44" t="inlineStr">
        <is>
          <t>nan</t>
        </is>
      </c>
      <c r="E455" s="44" t="inlineStr">
        <is>
          <t>nan</t>
        </is>
      </c>
      <c r="F455" s="44" t="n"/>
      <c r="G455" s="44" t="n"/>
      <c r="H455" s="15" t="n"/>
      <c r="I455" s="45" t="n">
        <v>1076529.1</v>
      </c>
      <c r="J455" s="45" t="n">
        <v>1091610.726</v>
      </c>
      <c r="K455" s="45" t="n">
        <v>792729.4</v>
      </c>
      <c r="L455" s="45" t="n">
        <v>804632.7066</v>
      </c>
      <c r="M455" s="45" t="n">
        <v>738901.6965182953</v>
      </c>
      <c r="N455" s="45" t="n">
        <v>750000</v>
      </c>
      <c r="O455" s="45" t="n">
        <v>542058.2845658214</v>
      </c>
      <c r="P455" s="45" t="n">
        <v>550200</v>
      </c>
      <c r="Q455" s="45" t="n">
        <v>117733.014</v>
      </c>
      <c r="R455" s="45" t="n">
        <v>119501.36387</v>
      </c>
      <c r="S455" s="45" t="n">
        <v>2191422.395084117</v>
      </c>
      <c r="T455" s="45" t="n">
        <v>2224334.07047</v>
      </c>
      <c r="U455" s="15" t="n">
        <v>2.35</v>
      </c>
      <c r="V455" s="15" t="n">
        <v>9.756571648006281</v>
      </c>
      <c r="W455" s="49" t="n">
        <v>101.502</v>
      </c>
    </row>
    <row r="456">
      <c r="A456" s="44" t="inlineStr">
        <is>
          <t>TL Cinsi Sabit Faizli Kuponlu Senetler</t>
        </is>
      </c>
      <c r="B456" s="44" t="n">
        <v>2010</v>
      </c>
      <c r="C456" s="44" t="inlineStr">
        <is>
          <t>TRT100413T17</t>
        </is>
      </c>
      <c r="D456" s="44" t="inlineStr">
        <is>
          <t>nan</t>
        </is>
      </c>
      <c r="E456" s="44" t="inlineStr">
        <is>
          <t>nan</t>
        </is>
      </c>
      <c r="F456" s="44" t="n"/>
      <c r="G456" s="44" t="n"/>
      <c r="H456" s="15" t="n"/>
      <c r="I456" s="45" t="n">
        <v>1165228</v>
      </c>
      <c r="J456" s="45" t="n">
        <v>1172992.674</v>
      </c>
      <c r="K456" s="45" t="n">
        <v>777828</v>
      </c>
      <c r="L456" s="45" t="n">
        <v>784553.8540000001</v>
      </c>
      <c r="M456" s="45" t="n">
        <v>0</v>
      </c>
      <c r="N456" s="45" t="n">
        <v>0</v>
      </c>
      <c r="O456" s="45" t="n">
        <v>99142.41808357705</v>
      </c>
      <c r="P456" s="45" t="n">
        <v>100000</v>
      </c>
      <c r="Q456" s="45" t="n">
        <v>0</v>
      </c>
      <c r="R456" s="45" t="n">
        <v>0</v>
      </c>
      <c r="S456" s="45" t="n">
        <v>876970.4180835771</v>
      </c>
      <c r="T456" s="45" t="n">
        <v>884553.8540000001</v>
      </c>
      <c r="U456" s="15" t="n">
        <v>2.47</v>
      </c>
      <c r="V456" s="15" t="n">
        <v>10.2621189101808</v>
      </c>
      <c r="W456" s="49" t="n">
        <v>100.865</v>
      </c>
    </row>
    <row r="457">
      <c r="A457" s="44" t="inlineStr">
        <is>
          <t>TL Cinsi Sabit Faizli Kuponlu Senetler</t>
        </is>
      </c>
      <c r="B457" s="44" t="n">
        <v>2010</v>
      </c>
      <c r="C457" s="44" t="inlineStr">
        <is>
          <t>TRT170615T16</t>
        </is>
      </c>
      <c r="D457" s="44" t="inlineStr">
        <is>
          <t>nan</t>
        </is>
      </c>
      <c r="E457" s="44" t="inlineStr">
        <is>
          <t>nan</t>
        </is>
      </c>
      <c r="F457" s="44" t="n"/>
      <c r="G457" s="44" t="n"/>
      <c r="H457" s="15" t="n"/>
      <c r="I457" s="45" t="n">
        <v>2195405.215</v>
      </c>
      <c r="J457" s="45" t="n">
        <v>2232849.14762</v>
      </c>
      <c r="K457" s="45" t="n">
        <v>892405.215</v>
      </c>
      <c r="L457" s="45" t="n">
        <v>910098.42262</v>
      </c>
      <c r="M457" s="45" t="n">
        <v>1402194.483394291</v>
      </c>
      <c r="N457" s="45" t="n">
        <v>1430000</v>
      </c>
      <c r="O457" s="45" t="n">
        <v>509692.7919359108</v>
      </c>
      <c r="P457" s="45" t="n">
        <v>519800</v>
      </c>
      <c r="Q457" s="45" t="n">
        <v>132061.357</v>
      </c>
      <c r="R457" s="45" t="n">
        <v>134680.13370931</v>
      </c>
      <c r="S457" s="45" t="n">
        <v>2936353.847330202</v>
      </c>
      <c r="T457" s="45" t="n">
        <v>2994578.55632931</v>
      </c>
      <c r="U457" s="15" t="n">
        <v>4.75</v>
      </c>
      <c r="V457" s="15" t="n">
        <v>9.715625000000029</v>
      </c>
      <c r="W457" s="49" t="n">
        <v>101.983</v>
      </c>
    </row>
    <row r="458">
      <c r="A458" s="44" t="inlineStr">
        <is>
          <t>TL Cinsi Sabit Faizli Kuponlu Senetler</t>
        </is>
      </c>
      <c r="B458" s="44" t="n">
        <v>2010</v>
      </c>
      <c r="C458" s="44" t="inlineStr">
        <is>
          <t>TRT100413T17</t>
        </is>
      </c>
      <c r="D458" s="44" t="inlineStr">
        <is>
          <t>nan</t>
        </is>
      </c>
      <c r="E458" s="44" t="inlineStr">
        <is>
          <t>nan</t>
        </is>
      </c>
      <c r="F458" s="44" t="n"/>
      <c r="G458" s="44" t="n"/>
      <c r="H458" s="15" t="n"/>
      <c r="I458" s="45" t="n">
        <v>1884150</v>
      </c>
      <c r="J458" s="45" t="n">
        <v>1962964.89325</v>
      </c>
      <c r="K458" s="45" t="n">
        <v>620700</v>
      </c>
      <c r="L458" s="45" t="n">
        <v>648318.379</v>
      </c>
      <c r="M458" s="45" t="n">
        <v>0</v>
      </c>
      <c r="N458" s="45" t="n">
        <v>0</v>
      </c>
      <c r="O458" s="45" t="n">
        <v>528827.1900430828</v>
      </c>
      <c r="P458" s="45" t="n">
        <v>552360</v>
      </c>
      <c r="Q458" s="45" t="n">
        <v>116145.446</v>
      </c>
      <c r="R458" s="45" t="n">
        <v>121313.91835</v>
      </c>
      <c r="S458" s="45" t="n">
        <v>1265672.636043083</v>
      </c>
      <c r="T458" s="45" t="n">
        <v>1321992.29735</v>
      </c>
      <c r="U458" s="15" t="n">
        <v>2.08</v>
      </c>
      <c r="V458" s="15" t="n">
        <v>8.57320228253695</v>
      </c>
      <c r="W458" s="49" t="n">
        <v>104.45</v>
      </c>
    </row>
    <row r="459">
      <c r="A459" s="44" t="inlineStr">
        <is>
          <t>TL Cinsi Sabit Faizli Kuponlu Senetler</t>
        </is>
      </c>
      <c r="B459" s="44" t="n">
        <v>2010</v>
      </c>
      <c r="C459" s="44" t="inlineStr">
        <is>
          <t>TRT150120T16</t>
        </is>
      </c>
      <c r="D459" s="44" t="inlineStr">
        <is>
          <t>nan</t>
        </is>
      </c>
      <c r="E459" s="44" t="inlineStr">
        <is>
          <t>nan</t>
        </is>
      </c>
      <c r="F459" s="44" t="n"/>
      <c r="G459" s="44" t="n"/>
      <c r="H459" s="15" t="n"/>
      <c r="I459" s="45" t="n">
        <v>1207190.355</v>
      </c>
      <c r="J459" s="45" t="n">
        <v>1335029.36867</v>
      </c>
      <c r="K459" s="45" t="n">
        <v>765269.355</v>
      </c>
      <c r="L459" s="45" t="n">
        <v>848729.00167</v>
      </c>
      <c r="M459" s="45" t="n">
        <v>0</v>
      </c>
      <c r="N459" s="45" t="n">
        <v>0</v>
      </c>
      <c r="O459" s="45" t="n">
        <v>110769.4804609309</v>
      </c>
      <c r="P459" s="45" t="n">
        <v>122850</v>
      </c>
      <c r="Q459" s="45" t="n">
        <v>124020.235</v>
      </c>
      <c r="R459" s="45" t="n">
        <v>137545.8818291</v>
      </c>
      <c r="S459" s="45" t="n">
        <v>1000059.070460931</v>
      </c>
      <c r="T459" s="45" t="n">
        <v>1109124.8834991</v>
      </c>
      <c r="U459" s="15" t="n">
        <v>4.39</v>
      </c>
      <c r="V459" s="15" t="n">
        <v>8.982721000000019</v>
      </c>
      <c r="W459" s="49" t="n">
        <v>110.906</v>
      </c>
    </row>
    <row r="460">
      <c r="A460" s="44" t="inlineStr">
        <is>
          <t>TL Cinsi Sabit Faizli Kuponlu Senetler</t>
        </is>
      </c>
      <c r="B460" s="44" t="n">
        <v>2010</v>
      </c>
      <c r="C460" s="44" t="inlineStr">
        <is>
          <t>TRT100413T17</t>
        </is>
      </c>
      <c r="D460" s="44" t="inlineStr">
        <is>
          <t>nan</t>
        </is>
      </c>
      <c r="E460" s="44" t="inlineStr">
        <is>
          <t>nan</t>
        </is>
      </c>
      <c r="F460" s="44" t="n"/>
      <c r="G460" s="44" t="n"/>
      <c r="H460" s="15" t="n"/>
      <c r="I460" s="45" t="n">
        <v>3322600</v>
      </c>
      <c r="J460" s="45" t="n">
        <v>3454147.553</v>
      </c>
      <c r="K460" s="45" t="n">
        <v>1847000</v>
      </c>
      <c r="L460" s="45" t="n">
        <v>1921737.26</v>
      </c>
      <c r="M460" s="45" t="n">
        <v>480556.6768544681</v>
      </c>
      <c r="N460" s="45" t="n">
        <v>500000</v>
      </c>
      <c r="O460" s="45" t="n">
        <v>805489.8794763854</v>
      </c>
      <c r="P460" s="45" t="n">
        <v>838080</v>
      </c>
      <c r="Q460" s="45" t="n">
        <v>435933.947</v>
      </c>
      <c r="R460" s="45" t="n">
        <v>453571.8345</v>
      </c>
      <c r="S460" s="45" t="n">
        <v>3568980.503330853</v>
      </c>
      <c r="T460" s="45" t="n">
        <v>3713389.0945</v>
      </c>
      <c r="U460" s="15" t="n">
        <v>2.17</v>
      </c>
      <c r="V460" s="15" t="n">
        <v>8.96664349893925</v>
      </c>
      <c r="W460" s="49" t="n">
        <v>104.046</v>
      </c>
    </row>
    <row r="461">
      <c r="A461" s="44" t="inlineStr">
        <is>
          <t>TL Cinsi Sabit Faizli Kuponlu Senetler</t>
        </is>
      </c>
      <c r="B461" s="44" t="n">
        <v>2010</v>
      </c>
      <c r="C461" s="44" t="inlineStr">
        <is>
          <t>TRT150120T16</t>
        </is>
      </c>
      <c r="D461" s="44" t="inlineStr">
        <is>
          <t>nan</t>
        </is>
      </c>
      <c r="E461" s="44" t="inlineStr">
        <is>
          <t>nan</t>
        </is>
      </c>
      <c r="F461" s="44" t="n"/>
      <c r="G461" s="44" t="n"/>
      <c r="H461" s="15" t="n"/>
      <c r="I461" s="45" t="n">
        <v>1362137.281</v>
      </c>
      <c r="J461" s="45" t="n">
        <v>1497629.63485</v>
      </c>
      <c r="K461" s="45" t="n">
        <v>773232.681</v>
      </c>
      <c r="L461" s="45" t="n">
        <v>851635.8309600001</v>
      </c>
      <c r="M461" s="45" t="n">
        <v>0</v>
      </c>
      <c r="N461" s="45" t="n">
        <v>0</v>
      </c>
      <c r="O461" s="45" t="n">
        <v>317759.2155438533</v>
      </c>
      <c r="P461" s="45" t="n">
        <v>349980</v>
      </c>
      <c r="Q461" s="45" t="n">
        <v>144130.732</v>
      </c>
      <c r="R461" s="45" t="n">
        <v>158745.5882248</v>
      </c>
      <c r="S461" s="45" t="n">
        <v>1235122.628543853</v>
      </c>
      <c r="T461" s="45" t="n">
        <v>1360361.4191848</v>
      </c>
      <c r="U461" s="15" t="n">
        <v>4.49</v>
      </c>
      <c r="V461" s="15" t="n">
        <v>9.181600999999979</v>
      </c>
      <c r="W461" s="49" t="n">
        <v>110.14</v>
      </c>
    </row>
    <row r="462">
      <c r="A462" s="44" t="inlineStr">
        <is>
          <t>TL Cinsi Sabit Faizli Kuponlu Senetler</t>
        </is>
      </c>
      <c r="B462" s="44" t="n">
        <v>2010</v>
      </c>
      <c r="C462" s="44" t="inlineStr">
        <is>
          <t>TRT170615T16</t>
        </is>
      </c>
      <c r="D462" s="44" t="inlineStr">
        <is>
          <t>nan</t>
        </is>
      </c>
      <c r="E462" s="44" t="inlineStr">
        <is>
          <t>nan</t>
        </is>
      </c>
      <c r="F462" s="44" t="n"/>
      <c r="G462" s="44" t="n"/>
      <c r="H462" s="15" t="n"/>
      <c r="I462" s="45" t="n">
        <v>4141376.544</v>
      </c>
      <c r="J462" s="45" t="n">
        <v>4443448.00302</v>
      </c>
      <c r="K462" s="45" t="n">
        <v>1657186.108</v>
      </c>
      <c r="L462" s="45" t="n">
        <v>1781283.73164</v>
      </c>
      <c r="M462" s="45" t="n">
        <v>0</v>
      </c>
      <c r="N462" s="45" t="n">
        <v>0</v>
      </c>
      <c r="O462" s="45" t="n">
        <v>981616.5525454003</v>
      </c>
      <c r="P462" s="45" t="n">
        <v>1055120</v>
      </c>
      <c r="Q462" s="45" t="n">
        <v>247105.67</v>
      </c>
      <c r="R462" s="45" t="n">
        <v>265608.9425696</v>
      </c>
      <c r="S462" s="45" t="n">
        <v>2885908.3305454</v>
      </c>
      <c r="T462" s="45" t="n">
        <v>3102012.6742096</v>
      </c>
      <c r="U462" s="15" t="n">
        <v>4.37</v>
      </c>
      <c r="V462" s="15" t="n">
        <v>8.92096900000001</v>
      </c>
      <c r="W462" s="49" t="n">
        <v>107.488</v>
      </c>
    </row>
    <row r="463">
      <c r="A463" s="44" t="inlineStr">
        <is>
          <t>TL Cinsi Sabit Faizli Kuponlu Senetler</t>
        </is>
      </c>
      <c r="B463" s="44" t="n">
        <v>2010</v>
      </c>
      <c r="C463" s="44" t="inlineStr">
        <is>
          <t>TRT091013T12</t>
        </is>
      </c>
      <c r="D463" s="44" t="inlineStr">
        <is>
          <t>nan</t>
        </is>
      </c>
      <c r="E463" s="44" t="inlineStr">
        <is>
          <t>nan</t>
        </is>
      </c>
      <c r="F463" s="44" t="n"/>
      <c r="G463" s="44" t="n"/>
      <c r="H463" s="15" t="n"/>
      <c r="I463" s="45" t="n">
        <v>4151442.165</v>
      </c>
      <c r="J463" s="45" t="n">
        <v>4177473.57492</v>
      </c>
      <c r="K463" s="45" t="n">
        <v>1543400</v>
      </c>
      <c r="L463" s="45" t="n">
        <v>1557153.994</v>
      </c>
      <c r="M463" s="45" t="n">
        <v>511443.0424914016</v>
      </c>
      <c r="N463" s="45" t="n">
        <v>516000</v>
      </c>
      <c r="O463" s="45" t="n">
        <v>914070.6306806356</v>
      </c>
      <c r="P463" s="45" t="n">
        <v>922215</v>
      </c>
      <c r="Q463" s="45" t="n">
        <v>0</v>
      </c>
      <c r="R463" s="45" t="n">
        <v>0</v>
      </c>
      <c r="S463" s="45" t="n">
        <v>2968913.673172037</v>
      </c>
      <c r="T463" s="45" t="n">
        <v>2995368.994</v>
      </c>
      <c r="U463" s="15" t="n">
        <v>1.92</v>
      </c>
      <c r="V463" s="15" t="n">
        <v>7.89402874474501</v>
      </c>
      <c r="W463" s="49" t="n">
        <v>100.891</v>
      </c>
    </row>
    <row r="464">
      <c r="A464" s="44" t="inlineStr">
        <is>
          <t>TL Cinsi Sabit Faizli Kuponlu Senetler</t>
        </is>
      </c>
      <c r="B464" s="44" t="n">
        <v>2010</v>
      </c>
      <c r="C464" s="44" t="inlineStr">
        <is>
          <t>TRT091013T12</t>
        </is>
      </c>
      <c r="D464" s="44" t="inlineStr">
        <is>
          <t>nan</t>
        </is>
      </c>
      <c r="E464" s="44" t="inlineStr">
        <is>
          <t>nan</t>
        </is>
      </c>
      <c r="F464" s="44" t="n"/>
      <c r="G464" s="44" t="n"/>
      <c r="H464" s="15" t="n"/>
      <c r="I464" s="45" t="n">
        <v>2393500</v>
      </c>
      <c r="J464" s="45" t="n">
        <v>2425205.86</v>
      </c>
      <c r="K464" s="45" t="n">
        <v>1472700</v>
      </c>
      <c r="L464" s="45" t="n">
        <v>1493693.18</v>
      </c>
      <c r="M464" s="45" t="n">
        <v>345082.5733300468</v>
      </c>
      <c r="N464" s="45" t="n">
        <v>350000</v>
      </c>
      <c r="O464" s="45" t="n">
        <v>2056889.327088982</v>
      </c>
      <c r="P464" s="45" t="n">
        <v>2086200</v>
      </c>
      <c r="Q464" s="45" t="n">
        <v>0</v>
      </c>
      <c r="R464" s="45" t="n">
        <v>0</v>
      </c>
      <c r="S464" s="45" t="n">
        <v>3874671.900419029</v>
      </c>
      <c r="T464" s="45" t="n">
        <v>3929893.18</v>
      </c>
      <c r="U464" s="15" t="n">
        <v>1.91</v>
      </c>
      <c r="V464" s="15" t="n">
        <v>7.85168645703356</v>
      </c>
      <c r="W464" s="49" t="n">
        <v>101.425</v>
      </c>
    </row>
    <row r="465">
      <c r="A465" s="44" t="inlineStr">
        <is>
          <t>TL Cinsi Sabit Faizli Kuponlu Senetler</t>
        </is>
      </c>
      <c r="B465" s="44" t="n">
        <v>2010</v>
      </c>
      <c r="C465" s="44" t="inlineStr">
        <is>
          <t>TRT150120T16</t>
        </is>
      </c>
      <c r="D465" s="44" t="inlineStr">
        <is>
          <t>nan</t>
        </is>
      </c>
      <c r="E465" s="44" t="inlineStr">
        <is>
          <t>nan</t>
        </is>
      </c>
      <c r="F465" s="44" t="n"/>
      <c r="G465" s="44" t="n"/>
      <c r="H465" s="15" t="n"/>
      <c r="I465" s="45" t="n">
        <v>1961923.665</v>
      </c>
      <c r="J465" s="45" t="n">
        <v>2286349.44214</v>
      </c>
      <c r="K465" s="45" t="n">
        <v>1004336.115</v>
      </c>
      <c r="L465" s="45" t="n">
        <v>1171867.22106</v>
      </c>
      <c r="M465" s="45" t="n">
        <v>0</v>
      </c>
      <c r="N465" s="45" t="n">
        <v>0</v>
      </c>
      <c r="O465" s="45" t="n">
        <v>1020388.923646524</v>
      </c>
      <c r="P465" s="45" t="n">
        <v>1190600</v>
      </c>
      <c r="Q465" s="45" t="n">
        <v>85421.618</v>
      </c>
      <c r="R465" s="45" t="n">
        <v>99670.79809857999</v>
      </c>
      <c r="S465" s="45" t="n">
        <v>2110146.656646523</v>
      </c>
      <c r="T465" s="45" t="n">
        <v>2462138.01915858</v>
      </c>
      <c r="U465" s="15" t="n">
        <v>4.16</v>
      </c>
      <c r="V465" s="15" t="n">
        <v>8.49305600000001</v>
      </c>
      <c r="W465" s="49" t="n">
        <v>116.681</v>
      </c>
    </row>
    <row r="466">
      <c r="A466" s="44" t="inlineStr">
        <is>
          <t>TL Cinsi Sabit Faizli Kuponlu Senetler</t>
        </is>
      </c>
      <c r="B466" s="44" t="n">
        <v>2010</v>
      </c>
      <c r="C466" s="44" t="inlineStr">
        <is>
          <t>TRT170615T16</t>
        </is>
      </c>
      <c r="D466" s="44" t="inlineStr">
        <is>
          <t>nan</t>
        </is>
      </c>
      <c r="E466" s="44" t="inlineStr">
        <is>
          <t>nan</t>
        </is>
      </c>
      <c r="F466" s="44" t="n"/>
      <c r="G466" s="44" t="n"/>
      <c r="H466" s="15" t="n"/>
      <c r="I466" s="45" t="n">
        <v>1937100</v>
      </c>
      <c r="J466" s="45" t="n">
        <v>2150427.719</v>
      </c>
      <c r="K466" s="45" t="n">
        <v>1226700</v>
      </c>
      <c r="L466" s="45" t="n">
        <v>1363610.986</v>
      </c>
      <c r="M466" s="45" t="n">
        <v>0</v>
      </c>
      <c r="N466" s="45" t="n">
        <v>0</v>
      </c>
      <c r="O466" s="45" t="n">
        <v>1372027.959446209</v>
      </c>
      <c r="P466" s="45" t="n">
        <v>1525160</v>
      </c>
      <c r="Q466" s="45" t="n">
        <v>93480.423</v>
      </c>
      <c r="R466" s="45" t="n">
        <v>103913.77301103</v>
      </c>
      <c r="S466" s="45" t="n">
        <v>2692208.382446209</v>
      </c>
      <c r="T466" s="45" t="n">
        <v>2992684.75901103</v>
      </c>
      <c r="U466" s="15" t="n">
        <v>4.12</v>
      </c>
      <c r="V466" s="15" t="n">
        <v>8.409743999999989</v>
      </c>
      <c r="W466" s="49" t="n">
        <v>111.161</v>
      </c>
    </row>
    <row r="467">
      <c r="A467" s="44" t="inlineStr">
        <is>
          <t>TL Cinsi Sabit Faizli Kuponlu Senetler</t>
        </is>
      </c>
      <c r="B467" s="44" t="n">
        <v>2009</v>
      </c>
      <c r="C467" s="44" t="inlineStr">
        <is>
          <t>TRT280813T13</t>
        </is>
      </c>
      <c r="D467" s="44" t="inlineStr">
        <is>
          <t>nan</t>
        </is>
      </c>
      <c r="E467" s="44" t="inlineStr">
        <is>
          <t>nan</t>
        </is>
      </c>
      <c r="F467" s="44" t="n"/>
      <c r="G467" s="44" t="n"/>
      <c r="H467" s="15" t="n"/>
      <c r="I467" s="45" t="n">
        <v>856420.252</v>
      </c>
      <c r="J467" s="45" t="n">
        <v>951199.9513899999</v>
      </c>
      <c r="K467" s="45" t="n">
        <v>178299.252</v>
      </c>
      <c r="L467" s="45" t="n">
        <v>198804.18139</v>
      </c>
      <c r="M467" s="45" t="n">
        <v>0</v>
      </c>
      <c r="N467" s="45" t="n">
        <v>0</v>
      </c>
      <c r="O467" s="45" t="n">
        <v>431434.9775784754</v>
      </c>
      <c r="P467" s="45" t="n">
        <v>481050</v>
      </c>
      <c r="Q467" s="45" t="n">
        <v>0</v>
      </c>
      <c r="R467" s="45" t="n">
        <v>0</v>
      </c>
      <c r="S467" s="45" t="n">
        <v>609734.2295784754</v>
      </c>
      <c r="T467" s="45" t="n">
        <v>679854.18139</v>
      </c>
      <c r="U467" s="15" t="n">
        <v>6.93</v>
      </c>
      <c r="V467" s="15" t="n">
        <v>14.340249</v>
      </c>
      <c r="W467" s="49" t="n">
        <v>111.5</v>
      </c>
    </row>
    <row r="468">
      <c r="A468" s="44" t="inlineStr">
        <is>
          <t>TL Cinsi Sabit Faizli Kuponlu Senetler</t>
        </is>
      </c>
      <c r="B468" s="44" t="n">
        <v>2009</v>
      </c>
      <c r="C468" s="44" t="inlineStr">
        <is>
          <t>TRT060814T18</t>
        </is>
      </c>
      <c r="D468" s="44" t="inlineStr">
        <is>
          <t>nan</t>
        </is>
      </c>
      <c r="E468" s="44" t="inlineStr">
        <is>
          <t>nan</t>
        </is>
      </c>
      <c r="F468" s="44" t="n"/>
      <c r="G468" s="44" t="n"/>
      <c r="H468" s="15" t="n"/>
      <c r="I468" s="45" t="n">
        <v>1416997.175</v>
      </c>
      <c r="J468" s="45" t="n">
        <v>1370013.33775</v>
      </c>
      <c r="K468" s="45" t="n">
        <v>990097.175</v>
      </c>
      <c r="L468" s="45" t="n">
        <v>959237.15775</v>
      </c>
      <c r="M468" s="45" t="n">
        <v>0</v>
      </c>
      <c r="N468" s="45" t="n">
        <v>0</v>
      </c>
      <c r="O468" s="45" t="n">
        <v>1416399.161875664</v>
      </c>
      <c r="P468" s="45" t="n">
        <v>1372250</v>
      </c>
      <c r="Q468" s="45" t="n">
        <v>0</v>
      </c>
      <c r="R468" s="45" t="n">
        <v>0</v>
      </c>
      <c r="S468" s="45" t="n">
        <v>2586871.722875664</v>
      </c>
      <c r="T468" s="45" t="n">
        <v>2506240.24296838</v>
      </c>
      <c r="U468" s="15" t="n">
        <v>5.89</v>
      </c>
      <c r="V468" s="15" t="n">
        <v>12.126921</v>
      </c>
      <c r="W468" s="49" t="n">
        <v>96.883</v>
      </c>
    </row>
    <row r="469">
      <c r="A469" s="44" t="inlineStr">
        <is>
          <t>TL Cinsi Sabit Faizli Kuponlu Senetler</t>
        </is>
      </c>
      <c r="B469" s="44" t="n">
        <v>2009</v>
      </c>
      <c r="C469" s="44" t="inlineStr">
        <is>
          <t>TRT060814T18</t>
        </is>
      </c>
      <c r="D469" s="44" t="inlineStr">
        <is>
          <t>nan</t>
        </is>
      </c>
      <c r="E469" s="44" t="inlineStr">
        <is>
          <t>nan</t>
        </is>
      </c>
      <c r="F469" s="44" t="n"/>
      <c r="G469" s="44" t="n"/>
      <c r="H469" s="15" t="n"/>
      <c r="I469" s="45" t="n">
        <v>1927872.672</v>
      </c>
      <c r="J469" s="45" t="n">
        <v>1939297.61155</v>
      </c>
      <c r="K469" s="45" t="n">
        <v>509384</v>
      </c>
      <c r="L469" s="45" t="n">
        <v>513681.79792</v>
      </c>
      <c r="M469" s="45" t="n">
        <v>0</v>
      </c>
      <c r="N469" s="45" t="n">
        <v>0</v>
      </c>
      <c r="O469" s="45" t="n">
        <v>1073360.834556344</v>
      </c>
      <c r="P469" s="45" t="n">
        <v>1082420</v>
      </c>
      <c r="Q469" s="45" t="n">
        <v>0</v>
      </c>
      <c r="R469" s="45" t="n">
        <v>0</v>
      </c>
      <c r="S469" s="45" t="n">
        <v>1621727.840556344</v>
      </c>
      <c r="T469" s="45" t="n">
        <v>1635413.82049064</v>
      </c>
      <c r="U469" s="15" t="n">
        <v>5.5</v>
      </c>
      <c r="V469" s="15" t="n">
        <v>11.3025</v>
      </c>
      <c r="W469" s="49" t="n">
        <v>100.844</v>
      </c>
    </row>
    <row r="470">
      <c r="A470" s="44" t="inlineStr">
        <is>
          <t>TL Cinsi Sabit Faizli Kuponlu Senetler</t>
        </is>
      </c>
      <c r="B470" s="44" t="n">
        <v>2009</v>
      </c>
      <c r="C470" s="44" t="inlineStr">
        <is>
          <t>TRT060814T18</t>
        </is>
      </c>
      <c r="D470" s="44" t="inlineStr">
        <is>
          <t>nan</t>
        </is>
      </c>
      <c r="E470" s="44" t="inlineStr">
        <is>
          <t>nan</t>
        </is>
      </c>
      <c r="F470" s="44" t="n"/>
      <c r="G470" s="44" t="n"/>
      <c r="H470" s="15" t="n"/>
      <c r="I470" s="45" t="n">
        <v>893241.047</v>
      </c>
      <c r="J470" s="45" t="n">
        <v>944574.94573</v>
      </c>
      <c r="K470" s="45" t="n">
        <v>590958.5820000001</v>
      </c>
      <c r="L470" s="45" t="n">
        <v>625788.45809</v>
      </c>
      <c r="M470" s="45" t="n">
        <v>0</v>
      </c>
      <c r="N470" s="45" t="n">
        <v>0</v>
      </c>
      <c r="O470" s="45" t="n">
        <v>1252101.157761535</v>
      </c>
      <c r="P470" s="45" t="n">
        <v>1325900</v>
      </c>
      <c r="Q470" s="45" t="n">
        <v>0</v>
      </c>
      <c r="R470" s="45" t="n">
        <v>0</v>
      </c>
      <c r="S470" s="45" t="n">
        <v>1950125.436761535</v>
      </c>
      <c r="T470" s="45" t="n">
        <v>2065064.60727118</v>
      </c>
      <c r="U470" s="15" t="n">
        <v>4.94</v>
      </c>
      <c r="V470" s="15" t="n">
        <v>10.124036</v>
      </c>
      <c r="W470" s="49" t="n">
        <v>105.894</v>
      </c>
    </row>
    <row r="471">
      <c r="A471" s="44" t="inlineStr">
        <is>
          <t>TL Cinsi Sabit Faizli Kuponlu Senetler</t>
        </is>
      </c>
      <c r="B471" s="44" t="n">
        <v>2008</v>
      </c>
      <c r="C471" s="44" t="inlineStr">
        <is>
          <t>TRT260912T15</t>
        </is>
      </c>
      <c r="D471" s="44" t="inlineStr">
        <is>
          <t>nan</t>
        </is>
      </c>
      <c r="E471" s="44" t="inlineStr">
        <is>
          <t>nan</t>
        </is>
      </c>
      <c r="F471" s="44" t="n"/>
      <c r="G471" s="44" t="n"/>
      <c r="H471" s="15" t="n"/>
      <c r="I471" s="45" t="n">
        <v>1483910.45</v>
      </c>
      <c r="J471" s="45" t="n">
        <v>1410878.74975</v>
      </c>
      <c r="K471" s="45" t="n">
        <v>454510.45</v>
      </c>
      <c r="L471" s="45" t="n">
        <v>432744.55975</v>
      </c>
      <c r="M471" s="45" t="n">
        <v>0</v>
      </c>
      <c r="N471" s="45" t="n">
        <v>0</v>
      </c>
      <c r="O471" s="45" t="n">
        <v>234972.8497757612</v>
      </c>
      <c r="P471" s="45" t="n">
        <v>223720</v>
      </c>
      <c r="Q471" s="45" t="n">
        <v>26801.951</v>
      </c>
      <c r="R471" s="45" t="n">
        <v>25518.40556661</v>
      </c>
      <c r="S471" s="45" t="n">
        <v>763086.0697757612</v>
      </c>
      <c r="T471" s="45" t="n">
        <v>726542.4930947</v>
      </c>
      <c r="U471" s="15" t="n">
        <v>8.43</v>
      </c>
      <c r="V471" s="15" t="n">
        <v>17.57</v>
      </c>
      <c r="W471" s="49" t="n">
        <v>95.211</v>
      </c>
    </row>
    <row r="472">
      <c r="A472" s="44" t="inlineStr">
        <is>
          <t>TL Cinsi Sabit Faizli Kuponlu Senetler</t>
        </is>
      </c>
      <c r="B472" s="44" t="n">
        <v>2008</v>
      </c>
      <c r="C472" s="44" t="inlineStr">
        <is>
          <t>TRT260912T15</t>
        </is>
      </c>
      <c r="D472" s="44" t="inlineStr">
        <is>
          <t>nan</t>
        </is>
      </c>
      <c r="E472" s="44" t="inlineStr">
        <is>
          <t>nan</t>
        </is>
      </c>
      <c r="F472" s="44" t="n"/>
      <c r="G472" s="44" t="n"/>
      <c r="H472" s="15" t="n"/>
      <c r="I472" s="45" t="n">
        <v>1564009.41</v>
      </c>
      <c r="J472" s="45" t="n">
        <v>1510294.84055</v>
      </c>
      <c r="K472" s="45" t="n">
        <v>588600</v>
      </c>
      <c r="L472" s="45" t="n">
        <v>569239.912</v>
      </c>
      <c r="M472" s="45" t="n">
        <v>444623.6725915356</v>
      </c>
      <c r="N472" s="45" t="n">
        <v>430000</v>
      </c>
      <c r="O472" s="45" t="n">
        <v>147241.2652128506</v>
      </c>
      <c r="P472" s="45" t="n">
        <v>142398.5</v>
      </c>
      <c r="Q472" s="45" t="n">
        <v>36712.068</v>
      </c>
      <c r="R472" s="45" t="n">
        <v>35504.60808348</v>
      </c>
      <c r="S472" s="45" t="n">
        <v>1317262.992804386</v>
      </c>
      <c r="T472" s="45" t="n">
        <v>1273937.17897105</v>
      </c>
      <c r="U472" s="15" t="n">
        <v>8.33</v>
      </c>
      <c r="V472" s="15" t="n">
        <v>17.35</v>
      </c>
      <c r="W472" s="49" t="n">
        <v>96.711</v>
      </c>
    </row>
    <row r="473">
      <c r="A473" s="44" t="inlineStr">
        <is>
          <t>TL Cinsi Sabit Faizli Kuponlu Senetler</t>
        </is>
      </c>
      <c r="B473" s="44" t="n">
        <v>2008</v>
      </c>
      <c r="C473" s="44" t="inlineStr">
        <is>
          <t>TRT190111T13</t>
        </is>
      </c>
      <c r="D473" s="44" t="inlineStr">
        <is>
          <t>nan</t>
        </is>
      </c>
      <c r="E473" s="44" t="inlineStr">
        <is>
          <t>nan</t>
        </is>
      </c>
      <c r="F473" s="44" t="n"/>
      <c r="G473" s="44" t="n"/>
      <c r="H473" s="15" t="n"/>
      <c r="I473" s="45" t="n">
        <v>1416378.905</v>
      </c>
      <c r="J473" s="45" t="n">
        <v>1337180.58562</v>
      </c>
      <c r="K473" s="45" t="n">
        <v>536810.5</v>
      </c>
      <c r="L473" s="45" t="n">
        <v>507439.2072</v>
      </c>
      <c r="M473" s="45" t="n">
        <v>0</v>
      </c>
      <c r="N473" s="45" t="n">
        <v>0</v>
      </c>
      <c r="O473" s="45" t="n">
        <v>386220.1017677115</v>
      </c>
      <c r="P473" s="45" t="n">
        <v>365090</v>
      </c>
      <c r="Q473" s="45" t="n">
        <v>45883.815</v>
      </c>
      <c r="R473" s="45" t="n">
        <v>43373.51148135</v>
      </c>
      <c r="S473" s="45" t="n">
        <v>1023533.097767712</v>
      </c>
      <c r="T473" s="45" t="n">
        <v>967533.21164384</v>
      </c>
      <c r="U473" s="15" t="n">
        <v>8.6</v>
      </c>
      <c r="V473" s="15" t="n">
        <v>17.93</v>
      </c>
      <c r="W473" s="49" t="n">
        <v>94.529</v>
      </c>
    </row>
    <row r="474">
      <c r="A474" s="44" t="inlineStr">
        <is>
          <t>TL Cinsi Sabit Faizli Kuponlu Senetler</t>
        </is>
      </c>
      <c r="B474" s="44" t="n">
        <v>2008</v>
      </c>
      <c r="C474" s="44" t="inlineStr">
        <is>
          <t>TRT280813T13</t>
        </is>
      </c>
      <c r="D474" s="44" t="inlineStr">
        <is>
          <t>nan</t>
        </is>
      </c>
      <c r="E474" s="44" t="inlineStr">
        <is>
          <t>nan</t>
        </is>
      </c>
      <c r="F474" s="44" t="n"/>
      <c r="G474" s="44" t="n"/>
      <c r="H474" s="15" t="n"/>
      <c r="I474" s="45" t="n">
        <v>1586452.37</v>
      </c>
      <c r="J474" s="45" t="n">
        <v>1488429.96556</v>
      </c>
      <c r="K474" s="45" t="n">
        <v>780025.6</v>
      </c>
      <c r="L474" s="45" t="n">
        <v>733182.74635</v>
      </c>
      <c r="M474" s="45" t="n">
        <v>0</v>
      </c>
      <c r="N474" s="45" t="n">
        <v>0</v>
      </c>
      <c r="O474" s="45" t="n">
        <v>290185.6480025533</v>
      </c>
      <c r="P474" s="45" t="n">
        <v>272759.99984</v>
      </c>
      <c r="Q474" s="45" t="n">
        <v>52631.631</v>
      </c>
      <c r="R474" s="45" t="n">
        <v>49471.10155845001</v>
      </c>
      <c r="S474" s="45" t="n">
        <v>1122842.879002553</v>
      </c>
      <c r="T474" s="45" t="n">
        <v>1055413.84774845</v>
      </c>
      <c r="U474" s="15" t="n">
        <v>8.93</v>
      </c>
      <c r="V474" s="15" t="n">
        <v>18.66</v>
      </c>
      <c r="W474" s="49" t="n">
        <v>93.995</v>
      </c>
    </row>
    <row r="475">
      <c r="A475" s="44" t="inlineStr">
        <is>
          <t>TL Cinsi Sabit Faizli Kuponlu Senetler</t>
        </is>
      </c>
      <c r="B475" s="44" t="n">
        <v>2008</v>
      </c>
      <c r="C475" s="44" t="inlineStr">
        <is>
          <t>TRT280813T13</t>
        </is>
      </c>
      <c r="D475" s="44" t="inlineStr">
        <is>
          <t>nan</t>
        </is>
      </c>
      <c r="E475" s="44" t="inlineStr">
        <is>
          <t>nan</t>
        </is>
      </c>
      <c r="F475" s="44" t="n"/>
      <c r="G475" s="44" t="n"/>
      <c r="H475" s="15" t="n"/>
      <c r="I475" s="45" t="n">
        <v>391711.34</v>
      </c>
      <c r="J475" s="45" t="n">
        <v>347788.3502</v>
      </c>
      <c r="K475" s="45" t="n">
        <v>113500</v>
      </c>
      <c r="L475" s="45" t="n">
        <v>101042.26</v>
      </c>
      <c r="M475" s="45" t="n">
        <v>1207539.539000719</v>
      </c>
      <c r="N475" s="45" t="n">
        <v>1074999.9992</v>
      </c>
      <c r="O475" s="45" t="n">
        <v>11232.92599748383</v>
      </c>
      <c r="P475" s="45" t="n">
        <v>10000.00004</v>
      </c>
      <c r="Q475" s="45" t="n">
        <v>6176.593</v>
      </c>
      <c r="R475" s="45" t="n">
        <v>5498.65015232</v>
      </c>
      <c r="S475" s="45" t="n">
        <v>1338449.057998203</v>
      </c>
      <c r="T475" s="45" t="n">
        <v>1191540.90939232</v>
      </c>
      <c r="U475" s="15" t="inlineStr">
        <is>
          <t>10,,06</t>
        </is>
      </c>
      <c r="V475" s="15" t="n">
        <v>21.12</v>
      </c>
      <c r="W475" s="49" t="n">
        <v>89.024</v>
      </c>
    </row>
    <row r="476">
      <c r="A476" s="44" t="inlineStr">
        <is>
          <t>TL Cinsi Sabit Faizli Kuponlu Senetler</t>
        </is>
      </c>
      <c r="B476" s="44" t="n">
        <v>2007</v>
      </c>
      <c r="C476" s="44" t="inlineStr">
        <is>
          <t>TRT190111T13</t>
        </is>
      </c>
      <c r="D476" s="44" t="inlineStr">
        <is>
          <t>nan</t>
        </is>
      </c>
      <c r="E476" s="44" t="inlineStr">
        <is>
          <t>nan</t>
        </is>
      </c>
      <c r="F476" s="44" t="n"/>
      <c r="G476" s="44" t="n"/>
      <c r="H476" s="15" t="n"/>
      <c r="I476" s="45" t="n">
        <v>2299773.24</v>
      </c>
      <c r="J476" s="45" t="n">
        <v>2141894.84074</v>
      </c>
      <c r="K476" s="45" t="n">
        <v>1070800</v>
      </c>
      <c r="L476" s="45" t="n">
        <v>999530.845</v>
      </c>
      <c r="M476" s="45" t="n">
        <v>0</v>
      </c>
      <c r="N476" s="45" t="n">
        <v>0</v>
      </c>
      <c r="O476" s="45" t="n">
        <v>1112122.900239972</v>
      </c>
      <c r="P476" s="45" t="n">
        <v>1038100</v>
      </c>
      <c r="Q476" s="45" t="n">
        <v>109065.261</v>
      </c>
      <c r="R476" s="45" t="n">
        <v>101805.87722784</v>
      </c>
      <c r="S476" s="45" t="n">
        <v>2291988.161239972</v>
      </c>
      <c r="T476" s="45" t="n">
        <v>2139436.72222784</v>
      </c>
      <c r="U476" s="15" t="n">
        <v>9.449999999999999</v>
      </c>
      <c r="V476" s="15" t="n">
        <v>19.793025</v>
      </c>
      <c r="W476" s="49" t="n">
        <v>93.34399999999999</v>
      </c>
    </row>
    <row r="477">
      <c r="A477" s="44" t="inlineStr">
        <is>
          <t>TL Cinsi Sabit Faizli Kuponlu Senetler</t>
        </is>
      </c>
      <c r="B477" s="44" t="n">
        <v>2007</v>
      </c>
      <c r="C477" s="44" t="inlineStr">
        <is>
          <t>TRT190111T13</t>
        </is>
      </c>
      <c r="D477" s="44" t="inlineStr">
        <is>
          <t>nan</t>
        </is>
      </c>
      <c r="E477" s="44" t="inlineStr">
        <is>
          <t>nan</t>
        </is>
      </c>
      <c r="F477" s="44" t="n"/>
      <c r="G477" s="44" t="n"/>
      <c r="H477" s="15" t="n"/>
      <c r="I477" s="45" t="n">
        <v>2196851.3</v>
      </c>
      <c r="J477" s="45" t="n">
        <v>1968456.85683</v>
      </c>
      <c r="K477" s="45" t="n">
        <v>585300</v>
      </c>
      <c r="L477" s="45" t="n">
        <v>526312.46</v>
      </c>
      <c r="M477" s="45" t="n">
        <v>0</v>
      </c>
      <c r="N477" s="45" t="n">
        <v>0</v>
      </c>
      <c r="O477" s="45" t="n">
        <v>1255460.287994039</v>
      </c>
      <c r="P477" s="45" t="n">
        <v>1128935.00017</v>
      </c>
      <c r="Q477" s="45" t="n">
        <v>91995.223</v>
      </c>
      <c r="R477" s="45" t="n">
        <v>82723.94442606</v>
      </c>
      <c r="S477" s="45" t="n">
        <v>1978974.747994039</v>
      </c>
      <c r="T477" s="45" t="n">
        <v>1779532.6668912</v>
      </c>
      <c r="U477" s="15" t="n">
        <v>8.98</v>
      </c>
      <c r="V477" s="15" t="n">
        <v>18.766404</v>
      </c>
      <c r="W477" s="49" t="n">
        <v>89.922</v>
      </c>
    </row>
    <row r="478">
      <c r="A478" s="44" t="inlineStr">
        <is>
          <t>TL Cinsi Sabit Faizli Kuponlu Senetler</t>
        </is>
      </c>
      <c r="B478" s="44" t="n">
        <v>2007</v>
      </c>
      <c r="C478" s="44" t="inlineStr">
        <is>
          <t>TRT070312T14</t>
        </is>
      </c>
      <c r="D478" s="44" t="inlineStr">
        <is>
          <t>nan</t>
        </is>
      </c>
      <c r="E478" s="44" t="inlineStr">
        <is>
          <t>nan</t>
        </is>
      </c>
      <c r="F478" s="44" t="n"/>
      <c r="G478" s="44" t="n"/>
      <c r="H478" s="15" t="n"/>
      <c r="I478" s="45" t="n">
        <v>3130862.742</v>
      </c>
      <c r="J478" s="45" t="n">
        <v>2899262.87549</v>
      </c>
      <c r="K478" s="45" t="n">
        <v>1035831.137</v>
      </c>
      <c r="L478" s="45" t="n">
        <v>965034.62996</v>
      </c>
      <c r="M478" s="45" t="n">
        <v>0</v>
      </c>
      <c r="N478" s="45" t="n">
        <v>0</v>
      </c>
      <c r="O478" s="45" t="n">
        <v>1153543.71276767</v>
      </c>
      <c r="P478" s="45" t="n">
        <v>1074699</v>
      </c>
      <c r="Q478" s="45" t="n">
        <v>109456.015</v>
      </c>
      <c r="R478" s="45" t="n">
        <v>101974.69637475</v>
      </c>
      <c r="S478" s="45" t="n">
        <v>2298830.86476767</v>
      </c>
      <c r="T478" s="45" t="n">
        <v>2141708.32633475</v>
      </c>
      <c r="U478" s="15" t="n">
        <v>9.07</v>
      </c>
      <c r="V478" s="15" t="n">
        <v>18.962649</v>
      </c>
      <c r="W478" s="49" t="n">
        <v>93.16500000000001</v>
      </c>
    </row>
    <row r="479">
      <c r="A479" s="44" t="inlineStr">
        <is>
          <t>TL Cinsi Sabit Faizli Kuponlu Senetler</t>
        </is>
      </c>
      <c r="B479" s="44" t="n">
        <v>2007</v>
      </c>
      <c r="C479" s="44" t="inlineStr">
        <is>
          <t>TRT070312T14</t>
        </is>
      </c>
      <c r="D479" s="44" t="inlineStr">
        <is>
          <t>nan</t>
        </is>
      </c>
      <c r="E479" s="44" t="inlineStr">
        <is>
          <t>nan</t>
        </is>
      </c>
      <c r="F479" s="44" t="n"/>
      <c r="G479" s="44" t="n"/>
      <c r="H479" s="15" t="n"/>
      <c r="I479" s="45" t="n">
        <v>2691018.005</v>
      </c>
      <c r="J479" s="45" t="n">
        <v>2607547.67395</v>
      </c>
      <c r="K479" s="45" t="n">
        <v>752601.02</v>
      </c>
      <c r="L479" s="45" t="n">
        <v>730724.7395</v>
      </c>
      <c r="M479" s="45" t="n">
        <v>0</v>
      </c>
      <c r="N479" s="45" t="n">
        <v>0</v>
      </c>
      <c r="O479" s="45" t="n">
        <v>1103560.503846827</v>
      </c>
      <c r="P479" s="45" t="n">
        <v>1071480</v>
      </c>
      <c r="Q479" s="45" t="n">
        <v>92808.079</v>
      </c>
      <c r="R479" s="45" t="n">
        <v>90110.14814347001</v>
      </c>
      <c r="S479" s="45" t="n">
        <v>2158809.630846827</v>
      </c>
      <c r="T479" s="45" t="n">
        <v>2096054.86602951</v>
      </c>
      <c r="U479" s="15" t="n">
        <v>8.6837</v>
      </c>
      <c r="V479" s="15" t="n">
        <v>18.1214664569</v>
      </c>
      <c r="W479" s="49" t="n">
        <v>97.093</v>
      </c>
    </row>
    <row r="480">
      <c r="A480" s="44" t="inlineStr">
        <is>
          <t>TL Cinsi Sabit Faizli Kuponlu Senetler</t>
        </is>
      </c>
      <c r="B480" s="44" t="n">
        <v>2007</v>
      </c>
      <c r="C480" s="44" t="inlineStr">
        <is>
          <t>TRT070312T14</t>
        </is>
      </c>
      <c r="D480" s="44" t="inlineStr">
        <is>
          <t>nan</t>
        </is>
      </c>
      <c r="E480" s="44" t="inlineStr">
        <is>
          <t>nan</t>
        </is>
      </c>
      <c r="F480" s="44" t="n"/>
      <c r="G480" s="44" t="n"/>
      <c r="H480" s="15" t="n"/>
      <c r="I480" s="45" t="n">
        <v>2419828.115</v>
      </c>
      <c r="J480" s="45" t="n">
        <v>2394773.31438</v>
      </c>
      <c r="K480" s="45" t="n">
        <v>704700</v>
      </c>
      <c r="L480" s="45" t="n">
        <v>699186.875</v>
      </c>
      <c r="M480" s="45" t="n">
        <v>0</v>
      </c>
      <c r="N480" s="45" t="n">
        <v>0</v>
      </c>
      <c r="O480" s="45" t="n">
        <v>351629.7446027938</v>
      </c>
      <c r="P480" s="45" t="n">
        <v>348880</v>
      </c>
      <c r="Q480" s="45" t="n">
        <v>52792.983</v>
      </c>
      <c r="R480" s="45" t="n">
        <v>52380.14187294</v>
      </c>
      <c r="S480" s="45" t="n">
        <v>1235559.802602794</v>
      </c>
      <c r="T480" s="45" t="n">
        <v>1225895.35394644</v>
      </c>
      <c r="U480" s="15" t="n">
        <v>8.540000000000001</v>
      </c>
      <c r="V480" s="15" t="n">
        <v>17.819316</v>
      </c>
      <c r="W480" s="49" t="n">
        <v>99.218</v>
      </c>
    </row>
    <row r="481">
      <c r="A481" s="44" t="inlineStr">
        <is>
          <t>TL Cinsi Sabit Faizli Kuponlu Senetler</t>
        </is>
      </c>
      <c r="B481" s="44" t="n">
        <v>2007</v>
      </c>
      <c r="C481" s="44" t="inlineStr">
        <is>
          <t>TRT070312T14</t>
        </is>
      </c>
      <c r="D481" s="44" t="inlineStr">
        <is>
          <t>nan</t>
        </is>
      </c>
      <c r="E481" s="44" t="inlineStr">
        <is>
          <t>nan</t>
        </is>
      </c>
      <c r="F481" s="44" t="n"/>
      <c r="G481" s="44" t="n"/>
      <c r="H481" s="15" t="n"/>
      <c r="I481" s="45" t="n">
        <v>1454715</v>
      </c>
      <c r="J481" s="45" t="n">
        <v>1475189.52755</v>
      </c>
      <c r="K481" s="45" t="n">
        <v>466900</v>
      </c>
      <c r="L481" s="45" t="n">
        <v>474415.053</v>
      </c>
      <c r="M481" s="45" t="n">
        <v>0</v>
      </c>
      <c r="N481" s="45" t="n">
        <v>0</v>
      </c>
      <c r="O481" s="45" t="n">
        <v>263040.0550142702</v>
      </c>
      <c r="P481" s="45" t="n">
        <v>267274.9999</v>
      </c>
      <c r="Q481" s="45" t="n">
        <v>36239.85</v>
      </c>
      <c r="R481" s="45" t="n">
        <v>36823.311585</v>
      </c>
      <c r="S481" s="45" t="n">
        <v>766179.9050142702</v>
      </c>
      <c r="T481" s="45" t="n">
        <v>778513.364485</v>
      </c>
      <c r="U481" s="15" t="n">
        <v>8.359999999999999</v>
      </c>
      <c r="V481" s="15" t="n">
        <v>17.418896</v>
      </c>
      <c r="W481" s="49" t="n">
        <v>101.61</v>
      </c>
    </row>
    <row r="482">
      <c r="A482" s="44" t="inlineStr">
        <is>
          <t>TL Cinsi Sabit Faizli Kuponlu Senetler</t>
        </is>
      </c>
      <c r="B482" s="44" t="n">
        <v>2007</v>
      </c>
      <c r="C482" s="44" t="inlineStr">
        <is>
          <t>TRT070312T14</t>
        </is>
      </c>
      <c r="D482" s="44" t="inlineStr">
        <is>
          <t>nan</t>
        </is>
      </c>
      <c r="E482" s="44" t="inlineStr">
        <is>
          <t>nan</t>
        </is>
      </c>
      <c r="F482" s="44" t="n"/>
      <c r="G482" s="44" t="n"/>
      <c r="H482" s="15" t="n"/>
      <c r="I482" s="45" t="n">
        <v>831408.17</v>
      </c>
      <c r="J482" s="45" t="n">
        <v>871405.1418</v>
      </c>
      <c r="K482" s="45" t="n">
        <v>395500</v>
      </c>
      <c r="L482" s="45" t="n">
        <v>414874.45</v>
      </c>
      <c r="M482" s="45" t="n">
        <v>0</v>
      </c>
      <c r="N482" s="45" t="n">
        <v>0</v>
      </c>
      <c r="O482" s="45" t="n">
        <v>1272080.763400986</v>
      </c>
      <c r="P482" s="45" t="n">
        <v>1334400</v>
      </c>
      <c r="Q482" s="45" t="n">
        <v>79578.91800000001</v>
      </c>
      <c r="R482" s="45" t="n">
        <v>83477.48919282001</v>
      </c>
      <c r="S482" s="45" t="n">
        <v>1833159.719400986</v>
      </c>
      <c r="T482" s="45" t="n">
        <v>1922965.11905444</v>
      </c>
      <c r="U482" s="15" t="n">
        <v>7.99</v>
      </c>
      <c r="V482" s="15" t="n">
        <v>16.618401</v>
      </c>
      <c r="W482" s="49" t="n">
        <v>104.899</v>
      </c>
    </row>
    <row r="483">
      <c r="A483" s="44" t="inlineStr">
        <is>
          <t>TL Cinsi Sabit Faizli Kuponlu Senetler</t>
        </is>
      </c>
      <c r="B483" s="44" t="n">
        <v>2007</v>
      </c>
      <c r="C483" s="44" t="inlineStr">
        <is>
          <t>TRT070312T14</t>
        </is>
      </c>
      <c r="D483" s="44" t="inlineStr">
        <is>
          <t>nan</t>
        </is>
      </c>
      <c r="E483" s="44" t="inlineStr">
        <is>
          <t>nan</t>
        </is>
      </c>
      <c r="F483" s="44" t="n"/>
      <c r="G483" s="44" t="n"/>
      <c r="H483" s="15" t="n"/>
      <c r="I483" s="45" t="n">
        <v>1107849.84</v>
      </c>
      <c r="J483" s="45" t="n">
        <v>1099557.73733</v>
      </c>
      <c r="K483" s="45" t="n">
        <v>631945.9</v>
      </c>
      <c r="L483" s="45" t="n">
        <v>629253.61633</v>
      </c>
      <c r="M483" s="45" t="n">
        <v>0</v>
      </c>
      <c r="N483" s="45" t="n">
        <v>0</v>
      </c>
      <c r="O483" s="45" t="n">
        <v>467591.9416715207</v>
      </c>
      <c r="P483" s="45" t="n">
        <v>465600</v>
      </c>
      <c r="Q483" s="45" t="n">
        <v>50846.56</v>
      </c>
      <c r="R483" s="45" t="n">
        <v>50629.9536544</v>
      </c>
      <c r="S483" s="45" t="n">
        <v>1272352.440671521</v>
      </c>
      <c r="T483" s="45" t="n">
        <v>1266932.02513826</v>
      </c>
      <c r="U483" s="15" t="n">
        <v>9.2476</v>
      </c>
      <c r="V483" s="15" t="n">
        <v>19.3503810576</v>
      </c>
      <c r="W483" s="49" t="n">
        <v>99.574</v>
      </c>
    </row>
    <row r="484">
      <c r="A484" s="44" t="inlineStr">
        <is>
          <t>TL Cinsi Sabit Faizli Kuponlu Senetler</t>
        </is>
      </c>
      <c r="B484" s="44" t="n">
        <v>2007</v>
      </c>
      <c r="C484" s="44" t="inlineStr">
        <is>
          <t>TRT260912T15</t>
        </is>
      </c>
      <c r="D484" s="44" t="inlineStr">
        <is>
          <t>nan</t>
        </is>
      </c>
      <c r="E484" s="44" t="inlineStr">
        <is>
          <t>nan</t>
        </is>
      </c>
      <c r="F484" s="44" t="n"/>
      <c r="G484" s="44" t="n"/>
      <c r="H484" s="15" t="n"/>
      <c r="I484" s="45" t="n">
        <v>2360666.345</v>
      </c>
      <c r="J484" s="45" t="n">
        <v>2232399.663</v>
      </c>
      <c r="K484" s="45" t="n">
        <v>1035715.395</v>
      </c>
      <c r="L484" s="45" t="n">
        <v>981528.38225</v>
      </c>
      <c r="M484" s="45" t="n">
        <v>0</v>
      </c>
      <c r="N484" s="45" t="n">
        <v>0</v>
      </c>
      <c r="O484" s="45" t="n">
        <v>855668.5801114299</v>
      </c>
      <c r="P484" s="45" t="n">
        <v>810900</v>
      </c>
      <c r="Q484" s="45" t="n">
        <v>0</v>
      </c>
      <c r="R484" s="45" t="n">
        <v>0</v>
      </c>
      <c r="S484" s="45" t="n">
        <v>2060922.57411143</v>
      </c>
      <c r="T484" s="45" t="n">
        <v>1953096.72175032</v>
      </c>
      <c r="U484" s="15" t="n">
        <v>7.771699999999999</v>
      </c>
      <c r="V484" s="15" t="n">
        <v>16.1473932089</v>
      </c>
      <c r="W484" s="49" t="n">
        <v>94.768</v>
      </c>
    </row>
    <row r="485">
      <c r="A485" s="44" t="inlineStr">
        <is>
          <t>TL Cinsi Sabit Faizli Kuponlu Senetler</t>
        </is>
      </c>
      <c r="B485" s="44" t="n">
        <v>2007</v>
      </c>
      <c r="C485" s="44" t="inlineStr">
        <is>
          <t>TRT260912T15</t>
        </is>
      </c>
      <c r="D485" s="44" t="inlineStr">
        <is>
          <t>nan</t>
        </is>
      </c>
      <c r="E485" s="44" t="inlineStr">
        <is>
          <t>nan</t>
        </is>
      </c>
      <c r="F485" s="44" t="n"/>
      <c r="G485" s="44" t="n"/>
      <c r="H485" s="15" t="n"/>
      <c r="I485" s="45" t="n">
        <v>1154965</v>
      </c>
      <c r="J485" s="45" t="n">
        <v>1099834.82</v>
      </c>
      <c r="K485" s="45" t="n">
        <v>498965</v>
      </c>
      <c r="L485" s="45" t="n">
        <v>477236.2</v>
      </c>
      <c r="M485" s="45" t="n">
        <v>0</v>
      </c>
      <c r="N485" s="45" t="n">
        <v>0</v>
      </c>
      <c r="O485" s="45" t="n">
        <v>138925.1921166815</v>
      </c>
      <c r="P485" s="45" t="n">
        <v>132875</v>
      </c>
      <c r="Q485" s="45" t="n">
        <v>0</v>
      </c>
      <c r="R485" s="45" t="n">
        <v>0</v>
      </c>
      <c r="S485" s="45" t="n">
        <v>637890.1921166815</v>
      </c>
      <c r="T485" s="45" t="n">
        <v>610111.2</v>
      </c>
      <c r="U485" s="15" t="n">
        <v>8.039999999999999</v>
      </c>
      <c r="V485" s="15" t="n">
        <v>16.7</v>
      </c>
      <c r="W485" s="49" t="n">
        <v>95.645</v>
      </c>
    </row>
    <row r="486">
      <c r="A486" s="44" t="inlineStr">
        <is>
          <t>TL Cinsi Sabit Faizli Kuponlu Senetler</t>
        </is>
      </c>
      <c r="B486" s="44" t="n">
        <v>2006</v>
      </c>
      <c r="C486" s="44" t="inlineStr">
        <is>
          <t>TRT190111T13</t>
        </is>
      </c>
      <c r="D486" s="44" t="inlineStr">
        <is>
          <t>nan</t>
        </is>
      </c>
      <c r="E486" s="44" t="inlineStr">
        <is>
          <t>nan</t>
        </is>
      </c>
      <c r="F486" s="44" t="n"/>
      <c r="G486" s="44" t="n"/>
      <c r="H486" s="15" t="n"/>
      <c r="I486" s="45" t="n">
        <v>1524440.22</v>
      </c>
      <c r="J486" s="45" t="n">
        <v>1625539.56873</v>
      </c>
      <c r="K486" s="45" t="n">
        <v>536002.2</v>
      </c>
      <c r="L486" s="45" t="n">
        <v>574459.81701</v>
      </c>
      <c r="M486" s="45" t="n">
        <v>0</v>
      </c>
      <c r="N486" s="45" t="n">
        <v>0</v>
      </c>
      <c r="O486" s="45" t="n">
        <v>756892.9329974342</v>
      </c>
      <c r="P486" s="45" t="n">
        <v>811200.0009400001</v>
      </c>
      <c r="Q486" s="45" t="n">
        <v>64004.391</v>
      </c>
      <c r="R486" s="45" t="n">
        <v>68596.70605425</v>
      </c>
      <c r="S486" s="45" t="n">
        <v>1368899.616997434</v>
      </c>
      <c r="T486" s="45" t="n">
        <v>1467117.623677</v>
      </c>
      <c r="U486" s="15" t="n">
        <v>6.02</v>
      </c>
      <c r="V486" s="15" t="n">
        <v>12.41</v>
      </c>
      <c r="W486" s="49" t="n">
        <v>107.175</v>
      </c>
    </row>
    <row r="487">
      <c r="A487" s="44" t="inlineStr">
        <is>
          <t>TL Cinsi Sabit Faizli Kuponlu Senetler</t>
        </is>
      </c>
      <c r="B487" s="44" t="n">
        <v>2006</v>
      </c>
      <c r="C487" s="44" t="inlineStr">
        <is>
          <t>TRT190111T13</t>
        </is>
      </c>
      <c r="D487" s="44" t="inlineStr">
        <is>
          <t>nan</t>
        </is>
      </c>
      <c r="E487" s="44" t="inlineStr">
        <is>
          <t>nan</t>
        </is>
      </c>
      <c r="F487" s="44" t="n"/>
      <c r="G487" s="44" t="n"/>
      <c r="H487" s="15" t="n"/>
      <c r="I487" s="45" t="n">
        <v>1094442.3</v>
      </c>
      <c r="J487" s="45" t="n">
        <v>1144160.99429</v>
      </c>
      <c r="K487" s="45" t="n">
        <v>193629.3</v>
      </c>
      <c r="L487" s="45" t="n">
        <v>203387.66529</v>
      </c>
      <c r="M487" s="45" t="n">
        <v>0</v>
      </c>
      <c r="N487" s="45" t="n">
        <v>0</v>
      </c>
      <c r="O487" s="45" t="n">
        <v>123645.7539984768</v>
      </c>
      <c r="P487" s="45" t="n">
        <v>129877.5</v>
      </c>
      <c r="Q487" s="45" t="n">
        <v>15019.544</v>
      </c>
      <c r="R487" s="45" t="n">
        <v>15776.5290176</v>
      </c>
      <c r="S487" s="45" t="n">
        <v>368307.3279984767</v>
      </c>
      <c r="T487" s="45" t="n">
        <v>386869.4658996001</v>
      </c>
      <c r="U487" s="15" t="n">
        <v>6.41</v>
      </c>
      <c r="V487" s="15" t="n">
        <v>13.22</v>
      </c>
      <c r="W487" s="49" t="n">
        <v>105.04</v>
      </c>
    </row>
    <row r="488">
      <c r="A488" s="44" t="inlineStr">
        <is>
          <t>TL Cinsi Sabit Faizli Kuponlu Senetler</t>
        </is>
      </c>
      <c r="B488" s="44" t="n">
        <v>2006</v>
      </c>
      <c r="C488" s="44" t="inlineStr">
        <is>
          <t>TRT190111T13</t>
        </is>
      </c>
      <c r="D488" s="44" t="inlineStr">
        <is>
          <t>nan</t>
        </is>
      </c>
      <c r="E488" s="44" t="inlineStr">
        <is>
          <t>nan</t>
        </is>
      </c>
      <c r="F488" s="44" t="n"/>
      <c r="G488" s="44" t="n"/>
      <c r="H488" s="15" t="n"/>
      <c r="I488" s="45" t="n">
        <v>924026.905</v>
      </c>
      <c r="J488" s="45" t="n">
        <v>968596.69723</v>
      </c>
      <c r="K488" s="45" t="n">
        <v>322100</v>
      </c>
      <c r="L488" s="45" t="n">
        <v>338448.212</v>
      </c>
      <c r="M488" s="45" t="n">
        <v>116106.4369979824</v>
      </c>
      <c r="N488" s="45" t="n">
        <v>121999.99974</v>
      </c>
      <c r="O488" s="45" t="n">
        <v>70250.77199360463</v>
      </c>
      <c r="P488" s="45" t="n">
        <v>73816.70118</v>
      </c>
      <c r="Q488" s="45" t="n">
        <v>19590.756</v>
      </c>
      <c r="R488" s="45" t="n">
        <v>20585.18277456</v>
      </c>
      <c r="S488" s="45" t="n">
        <v>411941.5279936047</v>
      </c>
      <c r="T488" s="45" t="n">
        <v>554850.09569456</v>
      </c>
      <c r="U488" s="15" t="n">
        <v>6.61</v>
      </c>
      <c r="V488" s="15" t="n">
        <v>13.66</v>
      </c>
      <c r="W488" s="49" t="n">
        <v>105.076</v>
      </c>
    </row>
    <row r="489">
      <c r="A489" s="44" t="inlineStr">
        <is>
          <t>TL Cinsi Sabit Faizli Kuponlu Senetler</t>
        </is>
      </c>
      <c r="B489" s="44" t="n">
        <v>2006</v>
      </c>
      <c r="C489" s="44" t="inlineStr">
        <is>
          <t>TRT190111T13</t>
        </is>
      </c>
      <c r="D489" s="44" t="inlineStr">
        <is>
          <t>nan</t>
        </is>
      </c>
      <c r="E489" s="44" t="inlineStr">
        <is>
          <t>nan</t>
        </is>
      </c>
      <c r="F489" s="44" t="n"/>
      <c r="G489" s="44" t="n"/>
      <c r="H489" s="15" t="n"/>
      <c r="I489" s="45" t="n">
        <v>462347</v>
      </c>
      <c r="J489" s="45" t="n">
        <v>486802.2425</v>
      </c>
      <c r="K489" s="45" t="n">
        <v>188097</v>
      </c>
      <c r="L489" s="45" t="n">
        <v>198242.8855</v>
      </c>
      <c r="M489" s="45" t="n">
        <v>0</v>
      </c>
      <c r="N489" s="45" t="n">
        <v>0</v>
      </c>
      <c r="O489" s="45" t="n">
        <v>136730.7436855988</v>
      </c>
      <c r="P489" s="45" t="n">
        <v>144106</v>
      </c>
      <c r="Q489" s="45" t="n">
        <v>15483.97</v>
      </c>
      <c r="R489" s="45" t="n">
        <v>16319.1753418</v>
      </c>
      <c r="S489" s="45" t="n">
        <v>371718.9136855988</v>
      </c>
      <c r="T489" s="45" t="n">
        <v>391769.3652098</v>
      </c>
      <c r="U489" s="15" t="n">
        <v>6.68</v>
      </c>
      <c r="V489" s="15" t="n">
        <v>13.8</v>
      </c>
      <c r="W489" s="49" t="n">
        <v>105.394</v>
      </c>
    </row>
    <row r="490">
      <c r="A490" s="44" t="inlineStr">
        <is>
          <t>TL Cinsi Sabit Faizli Kuponlu Senetler</t>
        </is>
      </c>
      <c r="B490" s="44" t="n">
        <v>2006</v>
      </c>
      <c r="C490" s="44" t="inlineStr">
        <is>
          <t>TRT190111T13</t>
        </is>
      </c>
      <c r="D490" s="44" t="inlineStr">
        <is>
          <t>nan</t>
        </is>
      </c>
      <c r="E490" s="44" t="inlineStr">
        <is>
          <t>nan</t>
        </is>
      </c>
      <c r="F490" s="44" t="n"/>
      <c r="G490" s="44" t="n"/>
      <c r="H490" s="15" t="n"/>
      <c r="I490" s="45" t="n">
        <v>658019.25</v>
      </c>
      <c r="J490" s="45" t="n">
        <v>683229.22057</v>
      </c>
      <c r="K490" s="45" t="n">
        <v>325267.35</v>
      </c>
      <c r="L490" s="45" t="n">
        <v>338080.48041</v>
      </c>
      <c r="M490" s="45" t="n">
        <v>0</v>
      </c>
      <c r="N490" s="45" t="n">
        <v>0</v>
      </c>
      <c r="O490" s="45" t="n">
        <v>28863.08315454257</v>
      </c>
      <c r="P490" s="45" t="n">
        <v>30000</v>
      </c>
      <c r="Q490" s="45" t="n">
        <v>17702.803</v>
      </c>
      <c r="R490" s="45" t="n">
        <v>18400.11641017</v>
      </c>
      <c r="S490" s="45" t="n">
        <v>409877.2531545425</v>
      </c>
      <c r="T490" s="45" t="n">
        <v>426023.1676498</v>
      </c>
      <c r="U490" s="15" t="n">
        <v>7.01</v>
      </c>
      <c r="V490" s="15" t="n">
        <v>14.5</v>
      </c>
      <c r="W490" s="49" t="n">
        <v>103.939</v>
      </c>
    </row>
    <row r="491">
      <c r="A491" s="44" t="inlineStr">
        <is>
          <t>TL Cinsi Sabit Faizli Kuponlu Senetler</t>
        </is>
      </c>
      <c r="B491" s="44" t="n">
        <v>2006</v>
      </c>
      <c r="C491" s="44" t="inlineStr">
        <is>
          <t>TRT190111T13</t>
        </is>
      </c>
      <c r="D491" s="44" t="inlineStr">
        <is>
          <t>nan</t>
        </is>
      </c>
      <c r="E491" s="44" t="inlineStr">
        <is>
          <t>nan</t>
        </is>
      </c>
      <c r="F491" s="44" t="n"/>
      <c r="G491" s="44" t="n"/>
      <c r="H491" s="15" t="n"/>
      <c r="I491" s="45" t="n">
        <v>724515</v>
      </c>
      <c r="J491" s="45" t="n">
        <v>619281.7131000001</v>
      </c>
      <c r="K491" s="45" t="n">
        <v>272460</v>
      </c>
      <c r="L491" s="45" t="n">
        <v>234181.6456</v>
      </c>
      <c r="M491" s="45" t="n">
        <v>0</v>
      </c>
      <c r="N491" s="45" t="n">
        <v>0</v>
      </c>
      <c r="O491" s="45" t="n">
        <v>425445.8935905342</v>
      </c>
      <c r="P491" s="45" t="n">
        <v>365675</v>
      </c>
      <c r="Q491" s="45" t="n">
        <v>34823.837</v>
      </c>
      <c r="R491" s="45" t="n">
        <v>29931.43613987</v>
      </c>
      <c r="S491" s="45" t="n">
        <v>775652.7525905342</v>
      </c>
      <c r="T491" s="45" t="n">
        <v>666680.8483790898</v>
      </c>
      <c r="U491" s="15" t="n">
        <v>9.91</v>
      </c>
      <c r="V491" s="15" t="n">
        <v>20.8</v>
      </c>
      <c r="W491" s="49" t="n">
        <v>85.95099999999999</v>
      </c>
    </row>
    <row r="492">
      <c r="A492" s="44" t="inlineStr">
        <is>
          <t>TL Cinsi Sabit Faizli Kuponlu Senetler</t>
        </is>
      </c>
      <c r="B492" s="44" t="n">
        <v>2006</v>
      </c>
      <c r="C492" s="44" t="inlineStr">
        <is>
          <t>TRT190111T13</t>
        </is>
      </c>
      <c r="D492" s="44" t="inlineStr">
        <is>
          <t>nan</t>
        </is>
      </c>
      <c r="E492" s="44" t="inlineStr">
        <is>
          <t>nan</t>
        </is>
      </c>
      <c r="F492" s="44" t="n"/>
      <c r="G492" s="44" t="n"/>
      <c r="H492" s="15" t="n"/>
      <c r="I492" s="45" t="n">
        <v>2484156.965</v>
      </c>
      <c r="J492" s="45" t="n">
        <v>2156369.84558</v>
      </c>
      <c r="K492" s="45" t="n">
        <v>666000</v>
      </c>
      <c r="L492" s="45" t="n">
        <v>582526.75</v>
      </c>
      <c r="M492" s="45" t="n">
        <v>0</v>
      </c>
      <c r="N492" s="45" t="n">
        <v>0</v>
      </c>
      <c r="O492" s="45" t="n">
        <v>713591.5659799237</v>
      </c>
      <c r="P492" s="45" t="n">
        <v>624149.9991</v>
      </c>
      <c r="Q492" s="45" t="n">
        <v>68979.458</v>
      </c>
      <c r="R492" s="45" t="n">
        <v>60333.57273427999</v>
      </c>
      <c r="S492" s="45" t="n">
        <v>1448571.023979924</v>
      </c>
      <c r="T492" s="45" t="n">
        <v>1267010.32183428</v>
      </c>
      <c r="U492" s="15" t="n">
        <v>9.789999999999999</v>
      </c>
      <c r="V492" s="15" t="n">
        <v>20.55</v>
      </c>
      <c r="W492" s="49" t="n">
        <v>87.46599999999999</v>
      </c>
    </row>
    <row r="493">
      <c r="A493" s="44" t="inlineStr">
        <is>
          <t>TL Cinsi Sabit Faizli Kuponlu Senetler</t>
        </is>
      </c>
      <c r="B493" s="44" t="n">
        <v>2005</v>
      </c>
      <c r="C493" s="44" t="inlineStr">
        <is>
          <t>TRT171007T10</t>
        </is>
      </c>
      <c r="D493" s="44" t="inlineStr">
        <is>
          <t>nan</t>
        </is>
      </c>
      <c r="E493" s="44" t="inlineStr">
        <is>
          <t>nan</t>
        </is>
      </c>
      <c r="F493" s="44" t="n"/>
      <c r="G493" s="44" t="n"/>
      <c r="H493" s="15" t="n"/>
      <c r="I493" s="45" t="n">
        <v>1002249.693</v>
      </c>
      <c r="J493" s="45" t="n">
        <v>1123135.35757</v>
      </c>
      <c r="K493" s="45" t="n">
        <v>341038.432</v>
      </c>
      <c r="L493" s="45" t="n">
        <v>383415.94145</v>
      </c>
      <c r="M493" s="45" t="n">
        <v>220589.542</v>
      </c>
      <c r="N493" s="45" t="n">
        <v>247999.99849</v>
      </c>
      <c r="O493" s="45" t="n">
        <v>688717.203</v>
      </c>
      <c r="P493" s="45" t="n">
        <v>774297.20264</v>
      </c>
      <c r="Q493" s="45" t="n">
        <v>0</v>
      </c>
      <c r="R493" s="45" t="n">
        <v>0</v>
      </c>
      <c r="S493" s="45" t="n">
        <v>1250345.177</v>
      </c>
      <c r="T493" s="45" t="n">
        <v>1405713.14258</v>
      </c>
      <c r="U493" s="15" t="n">
        <v>8.24</v>
      </c>
      <c r="V493" s="15" t="n">
        <v>17.17</v>
      </c>
      <c r="W493" s="49" t="n">
        <v>112.426</v>
      </c>
    </row>
    <row r="494">
      <c r="A494" s="44" t="inlineStr">
        <is>
          <t>TL Cinsi Sabit Faizli Kuponlu Senetler</t>
        </is>
      </c>
      <c r="B494" s="44" t="n">
        <v>2005</v>
      </c>
      <c r="C494" s="44" t="inlineStr">
        <is>
          <t>TRT100210T12</t>
        </is>
      </c>
      <c r="D494" s="44" t="inlineStr">
        <is>
          <t>nan</t>
        </is>
      </c>
      <c r="E494" s="44" t="inlineStr">
        <is>
          <t>nan</t>
        </is>
      </c>
      <c r="F494" s="44" t="n"/>
      <c r="G494" s="44" t="n"/>
      <c r="H494" s="15" t="n"/>
      <c r="I494" s="45" t="n">
        <v>2273651.105</v>
      </c>
      <c r="J494" s="45" t="n">
        <v>2281660.69841</v>
      </c>
      <c r="K494" s="45" t="n">
        <v>764845.259</v>
      </c>
      <c r="L494" s="45" t="n">
        <v>774914.90738</v>
      </c>
      <c r="M494" s="45" t="n">
        <v>98695.24800142121</v>
      </c>
      <c r="N494" s="45" t="n">
        <v>99999.99918</v>
      </c>
      <c r="O494" s="45" t="n">
        <v>1745553.776988216</v>
      </c>
      <c r="P494" s="45" t="n">
        <v>1768629.99792</v>
      </c>
      <c r="Q494" s="45" t="n">
        <v>0</v>
      </c>
      <c r="R494" s="45" t="n">
        <v>0</v>
      </c>
      <c r="S494" s="45" t="n">
        <v>2728450.783989637</v>
      </c>
      <c r="T494" s="45" t="n">
        <v>2764479.29741</v>
      </c>
      <c r="U494" s="15" t="n">
        <v>7.31</v>
      </c>
      <c r="V494" s="15" t="n">
        <v>15.15</v>
      </c>
      <c r="W494" s="49" t="n">
        <v>101.322</v>
      </c>
    </row>
    <row r="495">
      <c r="A495" s="44" t="inlineStr">
        <is>
          <t>TL Cinsi Sabit Faizli Kuponlu Senetler</t>
        </is>
      </c>
      <c r="B495" s="44" t="n">
        <v>2005</v>
      </c>
      <c r="C495" s="44" t="inlineStr">
        <is>
          <t>TRT100210T12</t>
        </is>
      </c>
      <c r="D495" s="44" t="inlineStr">
        <is>
          <t>nan</t>
        </is>
      </c>
      <c r="E495" s="44" t="inlineStr">
        <is>
          <t>nan</t>
        </is>
      </c>
      <c r="F495" s="44" t="n"/>
      <c r="G495" s="44" t="n"/>
      <c r="H495" s="15" t="n"/>
      <c r="I495" s="45" t="n">
        <v>640826.725</v>
      </c>
      <c r="J495" s="45" t="n">
        <v>725931.86667</v>
      </c>
      <c r="K495" s="45" t="n">
        <v>514927.2</v>
      </c>
      <c r="L495" s="45" t="n">
        <v>584115.06531</v>
      </c>
      <c r="M495" s="45" t="n">
        <v>469604.0049984131</v>
      </c>
      <c r="N495" s="45" t="n">
        <v>532699.99911</v>
      </c>
      <c r="O495" s="45" t="n">
        <v>396659.7900049367</v>
      </c>
      <c r="P495" s="45" t="n">
        <v>449954.99939</v>
      </c>
      <c r="Q495" s="45" t="n">
        <v>0</v>
      </c>
      <c r="R495" s="45" t="n">
        <v>0</v>
      </c>
      <c r="S495" s="45" t="n">
        <v>1381190.99500335</v>
      </c>
      <c r="T495" s="45" t="n">
        <v>1566770.06381</v>
      </c>
      <c r="U495" s="15" t="n">
        <v>5.97</v>
      </c>
      <c r="V495" s="15" t="n">
        <v>12.29</v>
      </c>
      <c r="W495" s="49" t="n">
        <v>113.436</v>
      </c>
    </row>
    <row r="496">
      <c r="A496" s="44" t="inlineStr">
        <is>
          <t>TL Cinsi Sabit Faizli Kuponlu Senetler</t>
        </is>
      </c>
      <c r="B496" s="44" t="n">
        <v>2005</v>
      </c>
      <c r="C496" s="44" t="inlineStr">
        <is>
          <t>TRT100210T12</t>
        </is>
      </c>
      <c r="D496" s="44" t="inlineStr">
        <is>
          <t>nan</t>
        </is>
      </c>
      <c r="E496" s="44" t="inlineStr">
        <is>
          <t>nan</t>
        </is>
      </c>
      <c r="F496" s="44" t="n"/>
      <c r="G496" s="44" t="n"/>
      <c r="H496" s="15" t="n"/>
      <c r="I496" s="45" t="n">
        <v>1831779.117</v>
      </c>
      <c r="J496" s="45" t="n">
        <v>2104560.67746</v>
      </c>
      <c r="K496" s="45" t="n">
        <v>1547176.912</v>
      </c>
      <c r="L496" s="45" t="n">
        <v>1778431.53345</v>
      </c>
      <c r="M496" s="45" t="n">
        <v>810460.4720001392</v>
      </c>
      <c r="N496" s="45" t="n">
        <v>931599.99875</v>
      </c>
      <c r="O496" s="45" t="n">
        <v>864287.8920024009</v>
      </c>
      <c r="P496" s="45" t="n">
        <v>993473.00322</v>
      </c>
      <c r="Q496" s="45" t="n">
        <v>8694.976000000001</v>
      </c>
      <c r="R496" s="45" t="n">
        <v>9994.61406272</v>
      </c>
      <c r="S496" s="45" t="n">
        <v>3230620.25200254</v>
      </c>
      <c r="T496" s="45" t="n">
        <v>3713499.14948272</v>
      </c>
      <c r="U496" s="15" t="n">
        <v>5.9</v>
      </c>
      <c r="V496" s="15" t="n">
        <v>12.14</v>
      </c>
      <c r="W496" s="49" t="n">
        <v>114.947</v>
      </c>
    </row>
    <row r="497">
      <c r="A497" s="44" t="inlineStr">
        <is>
          <t>TL Cinsi Sabit Faizli Kuponlu Senetler</t>
        </is>
      </c>
      <c r="B497" s="44" t="n">
        <v>2004</v>
      </c>
      <c r="C497" s="44" t="inlineStr">
        <is>
          <t>TRT161105T12</t>
        </is>
      </c>
      <c r="D497" s="44" t="inlineStr">
        <is>
          <t>nan</t>
        </is>
      </c>
      <c r="E497" s="44" t="inlineStr">
        <is>
          <t>nan</t>
        </is>
      </c>
      <c r="F497" s="44" t="n"/>
      <c r="G497" s="44" t="n"/>
      <c r="H497" s="15" t="n"/>
      <c r="I497" s="45" t="n">
        <v>2359755.11</v>
      </c>
      <c r="J497" s="45" t="n">
        <v>2577820.392</v>
      </c>
      <c r="K497" s="45" t="n">
        <v>1442804.765</v>
      </c>
      <c r="L497" s="45" t="n">
        <v>1579726.9371985</v>
      </c>
      <c r="M497" s="45" t="n">
        <v>35619.69129600876</v>
      </c>
      <c r="N497" s="45" t="n">
        <v>39000</v>
      </c>
      <c r="O497" s="45" t="n">
        <v>130605.5347520322</v>
      </c>
      <c r="P497" s="45" t="n">
        <v>143000</v>
      </c>
      <c r="Q497" s="45" t="n">
        <v>18503.89</v>
      </c>
      <c r="R497" s="45" t="n">
        <v>20259.909161</v>
      </c>
      <c r="S497" s="45" t="n">
        <v>1627533.881048041</v>
      </c>
      <c r="T497" s="45" t="n">
        <v>1781986.8463595</v>
      </c>
      <c r="U497" s="15" t="n">
        <v>10.53</v>
      </c>
      <c r="V497" s="15" t="n">
        <v>22.17</v>
      </c>
      <c r="W497" s="49" t="n">
        <v>109.49</v>
      </c>
    </row>
    <row r="498">
      <c r="A498" s="44" t="inlineStr">
        <is>
          <t>TL Cinsi Sabit Faizli Kuponlu Senetler</t>
        </is>
      </c>
      <c r="B498" s="44" t="n">
        <v>2004</v>
      </c>
      <c r="C498" s="44" t="inlineStr">
        <is>
          <t>TRT171007T10</t>
        </is>
      </c>
      <c r="D498" s="44" t="inlineStr">
        <is>
          <t>nan</t>
        </is>
      </c>
      <c r="E498" s="44" t="inlineStr">
        <is>
          <t>nan</t>
        </is>
      </c>
      <c r="F498" s="44" t="n"/>
      <c r="G498" s="44" t="n"/>
      <c r="H498" s="15" t="n"/>
      <c r="I498" s="45" t="n">
        <v>2843242.81</v>
      </c>
      <c r="J498" s="45" t="n">
        <v>2818140.4733</v>
      </c>
      <c r="K498" s="45" t="n">
        <v>582403.24</v>
      </c>
      <c r="L498" s="45" t="n">
        <v>581255.977</v>
      </c>
      <c r="M498" s="45" t="n">
        <v>93584.35603138182</v>
      </c>
      <c r="N498" s="45" t="n">
        <v>93399.99485</v>
      </c>
      <c r="O498" s="45" t="n">
        <v>1420344.119990381</v>
      </c>
      <c r="P498" s="45" t="n">
        <v>1417546.042074</v>
      </c>
      <c r="Q498" s="45" t="n">
        <v>96952.36500000001</v>
      </c>
      <c r="R498" s="45" t="n">
        <v>96761.36884095</v>
      </c>
      <c r="S498" s="45" t="n">
        <v>2193284.081021762</v>
      </c>
      <c r="T498" s="45" t="n">
        <v>2188963.38276495</v>
      </c>
      <c r="U498" s="15" t="n">
        <v>10.05</v>
      </c>
      <c r="V498" s="15" t="n">
        <v>21.1</v>
      </c>
      <c r="W498" s="49" t="n">
        <v>99.803</v>
      </c>
    </row>
    <row r="499">
      <c r="A499" s="44" t="inlineStr">
        <is>
          <t>TL Cinsi Sabit Faizli Kuponlu Senetler</t>
        </is>
      </c>
      <c r="B499" s="44" t="n">
        <v>2003</v>
      </c>
      <c r="C499" s="44" t="inlineStr">
        <is>
          <t>TRT161105T12</t>
        </is>
      </c>
      <c r="D499" s="44" t="inlineStr">
        <is>
          <t>nan</t>
        </is>
      </c>
      <c r="E499" s="44" t="inlineStr">
        <is>
          <t>nan</t>
        </is>
      </c>
      <c r="F499" s="44" t="n"/>
      <c r="G499" s="44" t="n"/>
      <c r="H499" s="15" t="n"/>
      <c r="I499" s="45" t="n">
        <v>2121028.665</v>
      </c>
      <c r="J499" s="45" t="n">
        <v>2108073.924</v>
      </c>
      <c r="K499" s="45" t="n">
        <v>1346499.335</v>
      </c>
      <c r="L499" s="45" t="n">
        <v>1336400.5899875</v>
      </c>
      <c r="M499" s="45" t="n">
        <v>30226.70025188917</v>
      </c>
      <c r="N499" s="45" t="n">
        <v>30000</v>
      </c>
      <c r="O499" s="45" t="n">
        <v>60453.40050377834</v>
      </c>
      <c r="P499" s="45" t="n">
        <v>60000</v>
      </c>
      <c r="Q499" s="45" t="n">
        <v>21676.255</v>
      </c>
      <c r="R499" s="45" t="n">
        <v>21513.6830875</v>
      </c>
      <c r="S499" s="45" t="n">
        <v>1534397.815755667</v>
      </c>
      <c r="T499" s="45" t="n">
        <v>1522889.8321375</v>
      </c>
      <c r="U499" s="15" t="n">
        <v>12.75</v>
      </c>
      <c r="V499" s="15" t="n">
        <v>27.13</v>
      </c>
      <c r="W499" s="49" t="n">
        <v>99250</v>
      </c>
    </row>
    <row r="500">
      <c r="A500" s="44" t="inlineStr">
        <is>
          <t>TL Cinsi Sabit Faizli Kuponlu Senetler</t>
        </is>
      </c>
      <c r="B500" s="44" t="n">
        <v>2003</v>
      </c>
      <c r="C500" s="44" t="inlineStr">
        <is>
          <t>TRT161105T12</t>
        </is>
      </c>
      <c r="D500" s="44" t="inlineStr">
        <is>
          <t>nan</t>
        </is>
      </c>
      <c r="E500" s="44" t="inlineStr">
        <is>
          <t>nan</t>
        </is>
      </c>
      <c r="F500" s="44" t="n"/>
      <c r="G500" s="44" t="n"/>
      <c r="H500" s="15" t="n"/>
      <c r="I500" s="45" t="n">
        <v>1852260.99</v>
      </c>
      <c r="J500" s="45" t="n">
        <v>1885822.808</v>
      </c>
      <c r="K500" s="45" t="n">
        <v>1088167.255</v>
      </c>
      <c r="L500" s="45" t="n">
        <v>1107776.0289351</v>
      </c>
      <c r="M500" s="45" t="n">
        <v>122492.6818726548</v>
      </c>
      <c r="N500" s="45" t="n">
        <v>124700</v>
      </c>
      <c r="O500" s="45" t="n">
        <v>29468.96917545824</v>
      </c>
      <c r="P500" s="45" t="n">
        <v>30000</v>
      </c>
      <c r="Q500" s="45" t="n">
        <v>12037.495</v>
      </c>
      <c r="R500" s="45" t="n">
        <v>12254.4106599</v>
      </c>
      <c r="S500" s="45" t="n">
        <v>1467134.191048113</v>
      </c>
      <c r="T500" s="45" t="n">
        <v>1493571.9491708</v>
      </c>
      <c r="U500" s="15" t="n">
        <v>12.51</v>
      </c>
      <c r="V500" s="15" t="n">
        <v>26.58</v>
      </c>
      <c r="W500" s="49" t="n">
        <v>101802</v>
      </c>
    </row>
  </sheetData>
  <mergeCells count="8">
    <mergeCell ref="Q1:R1"/>
    <mergeCell ref="K1:L1"/>
    <mergeCell ref="S1:T1"/>
    <mergeCell ref="U1:V1"/>
    <mergeCell ref="O1:P1"/>
    <mergeCell ref="A1:H1"/>
    <mergeCell ref="M1:N1"/>
    <mergeCell ref="I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0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8" customHeight="1">
      <c r="A1" s="26" t="inlineStr">
        <is>
          <t>Genel Bilgiler</t>
        </is>
      </c>
      <c r="B1" s="2" t="n"/>
      <c r="C1" s="2" t="n"/>
      <c r="D1" s="2" t="n"/>
      <c r="E1" s="2" t="n"/>
      <c r="F1" s="2" t="n"/>
      <c r="G1" s="2" t="n"/>
      <c r="H1" s="3" t="n"/>
      <c r="I1" s="27" t="inlineStr">
        <is>
          <t>Teklif Edilen Tutar</t>
        </is>
      </c>
      <c r="J1" s="3" t="n"/>
      <c r="K1" s="28" t="inlineStr">
        <is>
          <t>İhale Kabul Edilen Tutar</t>
        </is>
      </c>
      <c r="L1" s="3" t="n"/>
      <c r="M1" s="29" t="inlineStr">
        <is>
          <t>Rek. Olmayan Teklif - Kamu</t>
        </is>
      </c>
      <c r="N1" s="3" t="n"/>
      <c r="O1" s="30" t="inlineStr">
        <is>
          <t>Rek. Olmayan Teklif - Piyasa Yapıcı</t>
        </is>
      </c>
      <c r="P1" s="3" t="n"/>
      <c r="Q1" s="31" t="inlineStr">
        <is>
          <t>İhale Sonrası Satış</t>
        </is>
      </c>
      <c r="R1" s="3" t="n"/>
      <c r="S1" s="32" t="inlineStr">
        <is>
          <t>Toplam Satış</t>
        </is>
      </c>
      <c r="T1" s="3" t="n"/>
      <c r="U1" s="33" t="inlineStr">
        <is>
          <t>Kabul Edilen Faiz (%)</t>
        </is>
      </c>
      <c r="V1" s="3" t="n"/>
      <c r="W1" s="34" t="inlineStr">
        <is>
          <t>Fiyat</t>
        </is>
      </c>
    </row>
    <row r="2" ht="36" customHeight="1">
      <c r="A2" s="35" t="inlineStr">
        <is>
          <t>Senet Türü</t>
        </is>
      </c>
      <c r="B2" s="35" t="inlineStr">
        <is>
          <t>Yıl</t>
        </is>
      </c>
      <c r="C2" s="35" t="inlineStr">
        <is>
          <t>ISIN Kodu</t>
        </is>
      </c>
      <c r="D2" s="35" t="inlineStr">
        <is>
          <t>Valör Tarihi</t>
        </is>
      </c>
      <c r="E2" s="35" t="inlineStr">
        <is>
          <t>İtfa Tarihi</t>
        </is>
      </c>
      <c r="F2" s="35" t="inlineStr">
        <is>
          <t>Vade (Gün)</t>
        </is>
      </c>
      <c r="G2" s="35" t="inlineStr">
        <is>
          <t>Kupon Dönemi</t>
        </is>
      </c>
      <c r="H2" s="35" t="inlineStr">
        <is>
          <t>Kupon Oranı (%)</t>
        </is>
      </c>
      <c r="I2" s="36" t="inlineStr">
        <is>
          <t>Nominal (Bin TL)</t>
        </is>
      </c>
      <c r="J2" s="36" t="inlineStr">
        <is>
          <t>Net (Bin TL)</t>
        </is>
      </c>
      <c r="K2" s="37" t="inlineStr">
        <is>
          <t>Nominal (Bin TL)</t>
        </is>
      </c>
      <c r="L2" s="37" t="inlineStr">
        <is>
          <t>Net (Bin TL)</t>
        </is>
      </c>
      <c r="M2" s="38" t="inlineStr">
        <is>
          <t>Nominal (Bin TL)</t>
        </is>
      </c>
      <c r="N2" s="38" t="inlineStr">
        <is>
          <t>Net (Bin TL)</t>
        </is>
      </c>
      <c r="O2" s="39" t="inlineStr">
        <is>
          <t>Nominal (Bin TL)</t>
        </is>
      </c>
      <c r="P2" s="39" t="inlineStr">
        <is>
          <t>Net (Bin TL)</t>
        </is>
      </c>
      <c r="Q2" s="40" t="inlineStr">
        <is>
          <t>Nominal (Bin TL)</t>
        </is>
      </c>
      <c r="R2" s="40" t="inlineStr">
        <is>
          <t>Net (Bin TL)</t>
        </is>
      </c>
      <c r="S2" s="41" t="inlineStr">
        <is>
          <t>Nominal (Bin TL)</t>
        </is>
      </c>
      <c r="T2" s="41" t="inlineStr">
        <is>
          <t>Net (Bin TL)</t>
        </is>
      </c>
      <c r="U2" s="42" t="inlineStr">
        <is>
          <t>Ort. Dönem (Basit)</t>
        </is>
      </c>
      <c r="V2" s="42" t="inlineStr">
        <is>
          <t>Ort. Yıllık Bileşik</t>
        </is>
      </c>
      <c r="W2" s="43" t="inlineStr">
        <is>
          <t>İhraç Birim Fiyatı (Ort.)</t>
        </is>
      </c>
    </row>
    <row r="3">
      <c r="A3" s="44" t="inlineStr">
        <is>
          <t>TL Cinsi Degisken Faizli Kuponlu Senetler</t>
        </is>
      </c>
      <c r="B3" s="44" t="n">
        <v>2026</v>
      </c>
      <c r="C3" s="44" t="inlineStr">
        <is>
          <t>TRT020130T19</t>
        </is>
      </c>
      <c r="D3" s="44" t="inlineStr">
        <is>
          <t>07.01.2026</t>
        </is>
      </c>
      <c r="E3" s="44" t="inlineStr">
        <is>
          <t>02.01.2030</t>
        </is>
      </c>
      <c r="F3" s="44" t="n">
        <v>1456</v>
      </c>
      <c r="G3" s="44" t="inlineStr">
        <is>
          <t>6 ay</t>
        </is>
      </c>
      <c r="H3" s="15" t="n"/>
      <c r="I3" s="45" t="n">
        <v>71905000</v>
      </c>
      <c r="J3" s="45" t="n">
        <v>67651864.47</v>
      </c>
      <c r="K3" s="45" t="n">
        <v>8915000</v>
      </c>
      <c r="L3" s="45" t="n">
        <v>8505743</v>
      </c>
      <c r="M3" s="45" t="n">
        <v>5240595.75</v>
      </c>
      <c r="N3" s="45" t="n">
        <v>4999999.99912</v>
      </c>
      <c r="O3" s="45" t="n">
        <v>18866144.698</v>
      </c>
      <c r="P3" s="45" t="n">
        <v>17999999.99491</v>
      </c>
      <c r="Q3" s="45" t="n">
        <v>3935454.956</v>
      </c>
      <c r="R3" s="45" t="n">
        <v>3754778.21897</v>
      </c>
      <c r="S3" s="45" t="n">
        <v>36957195.404</v>
      </c>
      <c r="T3" s="45" t="n">
        <v>35260521.213</v>
      </c>
      <c r="U3" s="15" t="n">
        <v>19.49</v>
      </c>
      <c r="V3" s="15" t="n">
        <v>42.77</v>
      </c>
      <c r="W3" s="49" t="n">
        <v>95.40900000000001</v>
      </c>
    </row>
    <row r="4">
      <c r="A4" s="44" t="inlineStr">
        <is>
          <t>TL Cinsi Degisken Faizli Kuponlu Senetler</t>
        </is>
      </c>
      <c r="B4" s="44" t="n">
        <v>2026</v>
      </c>
      <c r="C4" s="44" t="inlineStr">
        <is>
          <t>TRT050630T11</t>
        </is>
      </c>
      <c r="D4" s="44" t="inlineStr">
        <is>
          <t>10.06.2026</t>
        </is>
      </c>
      <c r="E4" s="44" t="inlineStr">
        <is>
          <t>05.06.2030</t>
        </is>
      </c>
      <c r="F4" s="44" t="n">
        <v>1456</v>
      </c>
      <c r="G4" s="44" t="inlineStr">
        <is>
          <t>6 ay</t>
        </is>
      </c>
      <c r="H4" s="15" t="n"/>
      <c r="I4" s="45" t="n">
        <v>24735000</v>
      </c>
      <c r="J4" s="45" t="n">
        <v>22649056.75</v>
      </c>
      <c r="K4" s="45" t="n">
        <v>12810000</v>
      </c>
      <c r="L4" s="45" t="n">
        <v>11769679.1</v>
      </c>
      <c r="M4" s="45" t="n">
        <v>2176775.977</v>
      </c>
      <c r="N4" s="45" t="n">
        <v>1999999.99991</v>
      </c>
      <c r="O4" s="45" t="n">
        <v>8707103.904999999</v>
      </c>
      <c r="P4" s="45" t="n">
        <v>7999999.99688</v>
      </c>
      <c r="Q4" s="45" t="n">
        <v>0</v>
      </c>
      <c r="R4" s="45" t="n">
        <v>0</v>
      </c>
      <c r="S4" s="45" t="n">
        <v>23693879.882</v>
      </c>
      <c r="T4" s="45" t="n">
        <v>21769679.09679</v>
      </c>
      <c r="U4" s="15" t="n">
        <v>20.95</v>
      </c>
      <c r="V4" s="15" t="n">
        <v>46.28</v>
      </c>
      <c r="W4" s="49" t="n">
        <v>91.879</v>
      </c>
    </row>
    <row r="5">
      <c r="A5" s="44" t="inlineStr">
        <is>
          <t>TL Cinsi Degisken Faizli Kuponlu Senetler</t>
        </is>
      </c>
      <c r="B5" s="44" t="n">
        <v>2026</v>
      </c>
      <c r="C5" s="44" t="inlineStr">
        <is>
          <t>TRT020130T19</t>
        </is>
      </c>
      <c r="D5" s="44" t="inlineStr">
        <is>
          <t>19.08.2026</t>
        </is>
      </c>
      <c r="E5" s="44" t="inlineStr">
        <is>
          <t>02.01.2030</t>
        </is>
      </c>
      <c r="F5" s="44" t="n">
        <v>1232</v>
      </c>
      <c r="G5" s="44" t="inlineStr">
        <is>
          <t>6 ay</t>
        </is>
      </c>
      <c r="H5" s="15" t="n"/>
      <c r="I5" s="45" t="n">
        <v>17253000</v>
      </c>
      <c r="J5" s="45" t="n">
        <v>16813758</v>
      </c>
      <c r="K5" s="45" t="n">
        <v>5003000</v>
      </c>
      <c r="L5" s="45" t="n">
        <v>4911423.5</v>
      </c>
      <c r="M5" s="45" t="n">
        <v>0</v>
      </c>
      <c r="N5" s="45" t="n">
        <v>0</v>
      </c>
      <c r="O5" s="45" t="n">
        <v>8658449.624</v>
      </c>
      <c r="P5" s="45" t="n">
        <v>8499999.99588</v>
      </c>
      <c r="Q5" s="45" t="n">
        <v>0</v>
      </c>
      <c r="R5" s="45" t="n">
        <v>0</v>
      </c>
      <c r="S5" s="45" t="n">
        <v>13661449.624</v>
      </c>
      <c r="T5" s="45" t="n">
        <v>13411423.49588</v>
      </c>
      <c r="U5" s="15" t="n">
        <v>20.87</v>
      </c>
      <c r="V5" s="15" t="n">
        <v>46.1</v>
      </c>
      <c r="W5" s="49" t="n">
        <v>98.17</v>
      </c>
    </row>
    <row r="6">
      <c r="A6" s="44" t="inlineStr">
        <is>
          <t>TL Cinsi Degisken Faizli Kuponlu Senetler</t>
        </is>
      </c>
      <c r="B6" s="44" t="n">
        <v>2025</v>
      </c>
      <c r="C6" s="44" t="inlineStr">
        <is>
          <t>TRT160431T19</t>
        </is>
      </c>
      <c r="D6" s="44" t="inlineStr">
        <is>
          <t>22.01.2025</t>
        </is>
      </c>
      <c r="E6" s="44" t="inlineStr">
        <is>
          <t>16.04.2031</t>
        </is>
      </c>
      <c r="F6" s="44" t="n">
        <v>2275</v>
      </c>
      <c r="G6" s="44" t="inlineStr">
        <is>
          <t>6 ay</t>
        </is>
      </c>
      <c r="H6" s="15" t="n"/>
      <c r="I6" s="45" t="n">
        <v>30290000</v>
      </c>
      <c r="J6" s="45" t="n">
        <v>28287997.25</v>
      </c>
      <c r="K6" s="45" t="n">
        <v>13650000</v>
      </c>
      <c r="L6" s="45" t="n">
        <v>12895280.5</v>
      </c>
      <c r="M6" s="45" t="n">
        <v>0</v>
      </c>
      <c r="N6" s="45" t="n">
        <v>0</v>
      </c>
      <c r="O6" s="45" t="n">
        <v>7938944.222</v>
      </c>
      <c r="P6" s="45" t="n">
        <v>7499999.99598</v>
      </c>
      <c r="Q6" s="45" t="n">
        <v>5408158.418</v>
      </c>
      <c r="R6" s="45" t="n">
        <v>5109141.33907</v>
      </c>
      <c r="S6" s="45" t="n">
        <v>26997102.64</v>
      </c>
      <c r="T6" s="45" t="n">
        <v>25504421.83505</v>
      </c>
      <c r="U6" s="15" t="n">
        <v>23.06</v>
      </c>
      <c r="V6" s="15" t="n">
        <v>51.43</v>
      </c>
      <c r="W6" s="49" t="n">
        <v>94.471</v>
      </c>
    </row>
    <row r="7">
      <c r="A7" s="44" t="inlineStr">
        <is>
          <t>TL Cinsi Degisken Faizli Kuponlu Senetler</t>
        </is>
      </c>
      <c r="B7" s="44" t="n">
        <v>2025</v>
      </c>
      <c r="C7" s="44" t="inlineStr">
        <is>
          <t>TRT100332T15</t>
        </is>
      </c>
      <c r="D7" s="44" t="inlineStr">
        <is>
          <t>19.03.2025</t>
        </is>
      </c>
      <c r="E7" s="44" t="inlineStr">
        <is>
          <t>10.03.2032</t>
        </is>
      </c>
      <c r="F7" s="44" t="n">
        <v>2548</v>
      </c>
      <c r="G7" s="44" t="inlineStr">
        <is>
          <t>6 ay</t>
        </is>
      </c>
      <c r="H7" s="15" t="n"/>
      <c r="I7" s="45" t="n">
        <v>36824000</v>
      </c>
      <c r="J7" s="45" t="n">
        <v>30936301.8</v>
      </c>
      <c r="K7" s="45" t="n">
        <v>15815000</v>
      </c>
      <c r="L7" s="45" t="n">
        <v>13551299</v>
      </c>
      <c r="M7" s="45" t="n">
        <v>0</v>
      </c>
      <c r="N7" s="45" t="n">
        <v>0</v>
      </c>
      <c r="O7" s="45" t="n">
        <v>8752888.448000001</v>
      </c>
      <c r="P7" s="45" t="n">
        <v>7499999.99556</v>
      </c>
      <c r="Q7" s="45" t="n">
        <v>1377005.579</v>
      </c>
      <c r="R7" s="45" t="n">
        <v>1179901.00043</v>
      </c>
      <c r="S7" s="45" t="n">
        <v>25944894.027</v>
      </c>
      <c r="T7" s="45" t="n">
        <v>22231199.99599</v>
      </c>
      <c r="U7" s="15" t="n">
        <v>21.64</v>
      </c>
      <c r="V7" s="15" t="n">
        <v>47.96</v>
      </c>
      <c r="W7" s="49" t="n">
        <v>85.68600000000001</v>
      </c>
    </row>
    <row r="8">
      <c r="A8" s="44" t="inlineStr">
        <is>
          <t>TL Cinsi Degisken Faizli Kuponlu Senetler</t>
        </is>
      </c>
      <c r="B8" s="44" t="n">
        <v>2025</v>
      </c>
      <c r="C8" s="44" t="inlineStr">
        <is>
          <t>TRT100332T15</t>
        </is>
      </c>
      <c r="D8" s="44" t="inlineStr">
        <is>
          <t>07.05.2025</t>
        </is>
      </c>
      <c r="E8" s="44" t="inlineStr">
        <is>
          <t>10.03.2032</t>
        </is>
      </c>
      <c r="F8" s="44" t="n">
        <v>2499</v>
      </c>
      <c r="G8" s="44" t="inlineStr">
        <is>
          <t>6 ay</t>
        </is>
      </c>
      <c r="H8" s="15" t="n"/>
      <c r="I8" s="45" t="n">
        <v>11780000</v>
      </c>
      <c r="J8" s="45" t="n">
        <v>9949514.550000001</v>
      </c>
      <c r="K8" s="45" t="n">
        <v>6400000</v>
      </c>
      <c r="L8" s="45" t="n">
        <v>5518638.45</v>
      </c>
      <c r="M8" s="45" t="n">
        <v>0</v>
      </c>
      <c r="N8" s="45" t="n">
        <v>0</v>
      </c>
      <c r="O8" s="45" t="n">
        <v>4638810.604</v>
      </c>
      <c r="P8" s="45" t="n">
        <v>3999999.99571</v>
      </c>
      <c r="Q8" s="45" t="n">
        <v>580000</v>
      </c>
      <c r="R8" s="45" t="n">
        <v>500128.2</v>
      </c>
      <c r="S8" s="45" t="n">
        <v>11618810.604</v>
      </c>
      <c r="T8" s="45" t="n">
        <v>10018766.64571</v>
      </c>
      <c r="U8" s="15" t="n">
        <v>22.77</v>
      </c>
      <c r="V8" s="15" t="n">
        <v>50.73</v>
      </c>
      <c r="W8" s="49" t="n">
        <v>86.229</v>
      </c>
    </row>
    <row r="9">
      <c r="A9" s="44" t="inlineStr">
        <is>
          <t>TL Cinsi Degisken Faizli Kuponlu Senetler</t>
        </is>
      </c>
      <c r="B9" s="44" t="n">
        <v>2025</v>
      </c>
      <c r="C9" s="44" t="inlineStr">
        <is>
          <t>TRT100332T15</t>
        </is>
      </c>
      <c r="D9" s="44" t="inlineStr">
        <is>
          <t>11.06.2025</t>
        </is>
      </c>
      <c r="E9" s="44" t="inlineStr">
        <is>
          <t>10.03.2032</t>
        </is>
      </c>
      <c r="F9" s="44" t="n">
        <v>2464</v>
      </c>
      <c r="G9" s="44" t="inlineStr">
        <is>
          <t>6 ay</t>
        </is>
      </c>
      <c r="H9" s="15" t="n"/>
      <c r="I9" s="45" t="n">
        <v>17350002.307</v>
      </c>
      <c r="J9" s="45" t="n">
        <v>15503820.5988</v>
      </c>
      <c r="K9" s="45" t="n">
        <v>8900000</v>
      </c>
      <c r="L9" s="45" t="n">
        <v>8032357.8</v>
      </c>
      <c r="M9" s="45" t="n">
        <v>3324062.891</v>
      </c>
      <c r="N9" s="45" t="n">
        <v>2999999.99976</v>
      </c>
      <c r="O9" s="45" t="n">
        <v>6094115.298</v>
      </c>
      <c r="P9" s="45" t="n">
        <v>5499999.99761</v>
      </c>
      <c r="Q9" s="45" t="n">
        <v>4523634.529</v>
      </c>
      <c r="R9" s="45" t="n">
        <v>4082625.39877</v>
      </c>
      <c r="S9" s="45" t="n">
        <v>22841812.718</v>
      </c>
      <c r="T9" s="45" t="n">
        <v>20614983.19614</v>
      </c>
      <c r="U9" s="15" t="n">
        <v>22.61</v>
      </c>
      <c r="V9" s="15" t="n">
        <v>50.34</v>
      </c>
      <c r="W9" s="49" t="n">
        <v>90.251</v>
      </c>
    </row>
    <row r="10">
      <c r="A10" s="44" t="inlineStr">
        <is>
          <t>TL Cinsi Degisken Faizli Kuponlu Senetler</t>
        </is>
      </c>
      <c r="B10" s="44" t="n">
        <v>2025</v>
      </c>
      <c r="C10" s="44" t="inlineStr">
        <is>
          <t>TRT100332T15</t>
        </is>
      </c>
      <c r="D10" s="44" t="inlineStr">
        <is>
          <t>09.07.2025</t>
        </is>
      </c>
      <c r="E10" s="44" t="inlineStr">
        <is>
          <t>10.03.2032</t>
        </is>
      </c>
      <c r="F10" s="44" t="n">
        <v>2436</v>
      </c>
      <c r="G10" s="44" t="inlineStr">
        <is>
          <t>6 ay</t>
        </is>
      </c>
      <c r="H10" s="15" t="n"/>
      <c r="I10" s="45" t="n">
        <v>32800000</v>
      </c>
      <c r="J10" s="45" t="n">
        <v>30911775.2</v>
      </c>
      <c r="K10" s="45" t="n">
        <v>7250000</v>
      </c>
      <c r="L10" s="45" t="n">
        <v>6910030</v>
      </c>
      <c r="M10" s="45" t="n">
        <v>3147590.519</v>
      </c>
      <c r="N10" s="45" t="n">
        <v>2999999.99956</v>
      </c>
      <c r="O10" s="45" t="n">
        <v>25180724.152</v>
      </c>
      <c r="P10" s="45" t="n">
        <v>23999999.9965</v>
      </c>
      <c r="Q10" s="45" t="n">
        <v>500718.699</v>
      </c>
      <c r="R10" s="45" t="n">
        <v>477239.9992</v>
      </c>
      <c r="S10" s="45" t="n">
        <v>36079033.37</v>
      </c>
      <c r="T10" s="45" t="n">
        <v>34387269.99526</v>
      </c>
      <c r="U10" s="15" t="n">
        <v>22</v>
      </c>
      <c r="V10" s="15" t="n">
        <v>48.85</v>
      </c>
      <c r="W10" s="49" t="n">
        <v>95.31100000000001</v>
      </c>
    </row>
    <row r="11">
      <c r="A11" s="44" t="inlineStr">
        <is>
          <t>TL Cinsi Degisken Faizli Kuponlu Senetler</t>
        </is>
      </c>
      <c r="B11" s="44" t="n">
        <v>2025</v>
      </c>
      <c r="C11" s="44" t="inlineStr">
        <is>
          <t>TRT110832T19</t>
        </is>
      </c>
      <c r="D11" s="44" t="inlineStr">
        <is>
          <t>20.08.2025</t>
        </is>
      </c>
      <c r="E11" s="44" t="inlineStr">
        <is>
          <t>11.08.2032</t>
        </is>
      </c>
      <c r="F11" s="44" t="n">
        <v>2548</v>
      </c>
      <c r="G11" s="44" t="inlineStr">
        <is>
          <t>6 ay</t>
        </is>
      </c>
      <c r="H11" s="15" t="n"/>
      <c r="I11" s="45" t="n">
        <v>77864000</v>
      </c>
      <c r="J11" s="45" t="n">
        <v>66313084</v>
      </c>
      <c r="K11" s="45" t="n">
        <v>8100000</v>
      </c>
      <c r="L11" s="45" t="n">
        <v>7076335</v>
      </c>
      <c r="M11" s="45" t="n">
        <v>0</v>
      </c>
      <c r="N11" s="45" t="n">
        <v>0</v>
      </c>
      <c r="O11" s="45" t="n">
        <v>24037911.217</v>
      </c>
      <c r="P11" s="45" t="n">
        <v>20999999.9974</v>
      </c>
      <c r="Q11" s="45" t="n">
        <v>3701104.232</v>
      </c>
      <c r="R11" s="45" t="n">
        <v>3233358.67916</v>
      </c>
      <c r="S11" s="45" t="n">
        <v>35839015.449</v>
      </c>
      <c r="T11" s="45" t="n">
        <v>31309693.67656</v>
      </c>
      <c r="U11" s="15" t="n">
        <v>22.14</v>
      </c>
      <c r="V11" s="15" t="n">
        <v>49.18</v>
      </c>
      <c r="W11" s="49" t="n">
        <v>87.36199999999999</v>
      </c>
    </row>
    <row r="12">
      <c r="A12" s="44" t="inlineStr">
        <is>
          <t>TL Cinsi Degisken Faizli Kuponlu Senetler</t>
        </is>
      </c>
      <c r="B12" s="44" t="n">
        <v>2024</v>
      </c>
      <c r="C12" s="44" t="inlineStr">
        <is>
          <t>TRT050630T11</t>
        </is>
      </c>
      <c r="D12" s="44" t="inlineStr">
        <is>
          <t>24.01.2024</t>
        </is>
      </c>
      <c r="E12" s="44" t="inlineStr">
        <is>
          <t>05.06.2030</t>
        </is>
      </c>
      <c r="F12" s="44" t="n">
        <v>2324</v>
      </c>
      <c r="G12" s="44" t="inlineStr">
        <is>
          <t>6 ay</t>
        </is>
      </c>
      <c r="H12" s="15" t="n"/>
      <c r="I12" s="45" t="n">
        <v>21232002.645</v>
      </c>
      <c r="J12" s="45" t="n">
        <v>19630244.66953</v>
      </c>
      <c r="K12" s="45" t="n">
        <v>6425002.645</v>
      </c>
      <c r="L12" s="45" t="n">
        <v>6061378.49953</v>
      </c>
      <c r="M12" s="45" t="n">
        <v>2119991.52</v>
      </c>
      <c r="N12" s="45" t="n">
        <v>1999999.99997</v>
      </c>
      <c r="O12" s="45" t="n">
        <v>8479966.075999999</v>
      </c>
      <c r="P12" s="45" t="n">
        <v>7999999.99612</v>
      </c>
      <c r="Q12" s="45" t="n">
        <v>0</v>
      </c>
      <c r="R12" s="45" t="n">
        <v>0</v>
      </c>
      <c r="S12" s="45" t="n">
        <v>17024960.241</v>
      </c>
      <c r="T12" s="45" t="n">
        <v>16061378.49562</v>
      </c>
      <c r="U12" s="15" t="n">
        <v>20.55</v>
      </c>
      <c r="V12" s="15" t="n">
        <v>45.33</v>
      </c>
      <c r="W12" s="49" t="n">
        <v>94.34</v>
      </c>
    </row>
    <row r="13">
      <c r="A13" s="44" t="inlineStr">
        <is>
          <t>TL Cinsi Degisken Faizli Kuponlu Senetler</t>
        </is>
      </c>
      <c r="B13" s="44" t="n">
        <v>2024</v>
      </c>
      <c r="C13" s="44" t="inlineStr">
        <is>
          <t>TRT050630T11</t>
        </is>
      </c>
      <c r="D13" s="44" t="inlineStr">
        <is>
          <t>14.02.2024</t>
        </is>
      </c>
      <c r="E13" s="44" t="inlineStr">
        <is>
          <t>05.06.2030</t>
        </is>
      </c>
      <c r="F13" s="44" t="n">
        <v>2303</v>
      </c>
      <c r="G13" s="44" t="inlineStr">
        <is>
          <t>6 ay</t>
        </is>
      </c>
      <c r="H13" s="15" t="n"/>
      <c r="I13" s="45" t="n">
        <v>15822006</v>
      </c>
      <c r="J13" s="45" t="n">
        <v>14956327.35</v>
      </c>
      <c r="K13" s="45" t="n">
        <v>6165001</v>
      </c>
      <c r="L13" s="45" t="n">
        <v>5884013.75</v>
      </c>
      <c r="M13" s="45" t="n">
        <v>1047756.752</v>
      </c>
      <c r="N13" s="45" t="n">
        <v>999999.99924</v>
      </c>
      <c r="O13" s="45" t="n">
        <v>5238783.761</v>
      </c>
      <c r="P13" s="45" t="n">
        <v>4999999.99719</v>
      </c>
      <c r="Q13" s="45" t="n">
        <v>845469.395</v>
      </c>
      <c r="R13" s="45" t="n">
        <v>806932.89998</v>
      </c>
      <c r="S13" s="45" t="n">
        <v>13297010.908</v>
      </c>
      <c r="T13" s="45" t="n">
        <v>12690946.64641</v>
      </c>
      <c r="U13" s="15" t="n">
        <v>20.79</v>
      </c>
      <c r="V13" s="15" t="n">
        <v>45.9</v>
      </c>
      <c r="W13" s="49" t="n">
        <v>95.44199999999999</v>
      </c>
    </row>
    <row r="14">
      <c r="A14" s="44" t="inlineStr">
        <is>
          <t>TL Cinsi Degisken Faizli Kuponlu Senetler</t>
        </is>
      </c>
      <c r="B14" s="44" t="n">
        <v>2024</v>
      </c>
      <c r="C14" s="44" t="inlineStr">
        <is>
          <t>TRT050630T11</t>
        </is>
      </c>
      <c r="D14" s="44" t="inlineStr">
        <is>
          <t>13.03.2024</t>
        </is>
      </c>
      <c r="E14" s="44" t="inlineStr">
        <is>
          <t>05.06.2030</t>
        </is>
      </c>
      <c r="F14" s="44" t="n">
        <v>2275</v>
      </c>
      <c r="G14" s="44" t="inlineStr">
        <is>
          <t>6 ay</t>
        </is>
      </c>
      <c r="H14" s="15" t="n"/>
      <c r="I14" s="45" t="n">
        <v>13973682.235</v>
      </c>
      <c r="J14" s="45" t="n">
        <v>13661215.5503</v>
      </c>
      <c r="K14" s="45" t="n">
        <v>4685000</v>
      </c>
      <c r="L14" s="45" t="n">
        <v>4611698.75</v>
      </c>
      <c r="M14" s="45" t="n">
        <v>2031797.632</v>
      </c>
      <c r="N14" s="45" t="n">
        <v>1999999.99906</v>
      </c>
      <c r="O14" s="45" t="n">
        <v>3555645.856</v>
      </c>
      <c r="P14" s="45" t="n">
        <v>3499999.99832</v>
      </c>
      <c r="Q14" s="45" t="n">
        <v>933839.64</v>
      </c>
      <c r="R14" s="45" t="n">
        <v>919225.04964</v>
      </c>
      <c r="S14" s="45" t="n">
        <v>11206283.128</v>
      </c>
      <c r="T14" s="45" t="n">
        <v>11030923.79702</v>
      </c>
      <c r="U14" s="15" t="n">
        <v>20.75</v>
      </c>
      <c r="V14" s="15" t="n">
        <v>45.79</v>
      </c>
      <c r="W14" s="49" t="n">
        <v>98.435</v>
      </c>
    </row>
    <row r="15">
      <c r="A15" s="44" t="inlineStr">
        <is>
          <t>TL Cinsi Degisken Faizli Kuponlu Senetler</t>
        </is>
      </c>
      <c r="B15" s="44" t="n">
        <v>2024</v>
      </c>
      <c r="C15" s="44" t="inlineStr">
        <is>
          <t>TRT160431T19</t>
        </is>
      </c>
      <c r="D15" s="44" t="inlineStr">
        <is>
          <t>24.04.2024</t>
        </is>
      </c>
      <c r="E15" s="44" t="inlineStr">
        <is>
          <t>16.04.2031</t>
        </is>
      </c>
      <c r="F15" s="44" t="n">
        <v>2548</v>
      </c>
      <c r="G15" s="44" t="inlineStr">
        <is>
          <t>6 ay</t>
        </is>
      </c>
      <c r="H15" s="15" t="n"/>
      <c r="I15" s="45" t="n">
        <v>13933000</v>
      </c>
      <c r="J15" s="45" t="n">
        <v>11866493.61</v>
      </c>
      <c r="K15" s="45" t="n">
        <v>5148000</v>
      </c>
      <c r="L15" s="45" t="n">
        <v>4584078.61</v>
      </c>
      <c r="M15" s="45" t="n">
        <v>3369045.212</v>
      </c>
      <c r="N15" s="45" t="n">
        <v>2999999.99948</v>
      </c>
      <c r="O15" s="45" t="n">
        <v>3369045.21</v>
      </c>
      <c r="P15" s="45" t="n">
        <v>2999999.99769</v>
      </c>
      <c r="Q15" s="45" t="n">
        <v>2273261.505</v>
      </c>
      <c r="R15" s="45" t="n">
        <v>2024248.43974</v>
      </c>
      <c r="S15" s="45" t="n">
        <v>14159351.927</v>
      </c>
      <c r="T15" s="45" t="n">
        <v>12608327.04691</v>
      </c>
      <c r="U15" s="15" t="n">
        <v>22.9</v>
      </c>
      <c r="V15" s="15" t="n">
        <v>51.03</v>
      </c>
      <c r="W15" s="49" t="n">
        <v>89.04600000000001</v>
      </c>
    </row>
    <row r="16">
      <c r="A16" s="44" t="inlineStr">
        <is>
          <t>TL Cinsi Degisken Faizli Kuponlu Senetler</t>
        </is>
      </c>
      <c r="B16" s="44" t="n">
        <v>2024</v>
      </c>
      <c r="C16" s="44" t="inlineStr">
        <is>
          <t>TRT160431T19</t>
        </is>
      </c>
      <c r="D16" s="44" t="inlineStr">
        <is>
          <t>22.05.2024</t>
        </is>
      </c>
      <c r="E16" s="44" t="inlineStr">
        <is>
          <t>16.04.2031</t>
        </is>
      </c>
      <c r="F16" s="44" t="n">
        <v>2520</v>
      </c>
      <c r="G16" s="44" t="inlineStr">
        <is>
          <t>6 ay</t>
        </is>
      </c>
      <c r="H16" s="15" t="n"/>
      <c r="I16" s="45" t="n">
        <v>7425003</v>
      </c>
      <c r="J16" s="45" t="n">
        <v>6698043.87</v>
      </c>
      <c r="K16" s="45" t="n">
        <v>4265000</v>
      </c>
      <c r="L16" s="45" t="n">
        <v>3878914.6</v>
      </c>
      <c r="M16" s="45" t="n">
        <v>2748823.503</v>
      </c>
      <c r="N16" s="45" t="n">
        <v>2499999.99951</v>
      </c>
      <c r="O16" s="45" t="n">
        <v>3848352.901</v>
      </c>
      <c r="P16" s="45" t="n">
        <v>3499999.99642</v>
      </c>
      <c r="Q16" s="45" t="n">
        <v>1057189.558</v>
      </c>
      <c r="R16" s="45" t="n">
        <v>961492.75921</v>
      </c>
      <c r="S16" s="45" t="n">
        <v>11919365.962</v>
      </c>
      <c r="T16" s="45" t="n">
        <v>10840407.35514</v>
      </c>
      <c r="U16" s="15" t="n">
        <v>23.16</v>
      </c>
      <c r="V16" s="15" t="n">
        <v>51.68</v>
      </c>
      <c r="W16" s="49" t="n">
        <v>90.94799999999999</v>
      </c>
    </row>
    <row r="17">
      <c r="A17" s="44" t="inlineStr">
        <is>
          <t>TL Cinsi Degisken Faizli Kuponlu Senetler</t>
        </is>
      </c>
      <c r="B17" s="44" t="n">
        <v>2024</v>
      </c>
      <c r="C17" s="44" t="inlineStr">
        <is>
          <t>TRT160431T19</t>
        </is>
      </c>
      <c r="D17" s="44" t="inlineStr">
        <is>
          <t>05.06.2024</t>
        </is>
      </c>
      <c r="E17" s="44" t="inlineStr">
        <is>
          <t>16.04.2031</t>
        </is>
      </c>
      <c r="F17" s="44" t="n">
        <v>2506</v>
      </c>
      <c r="G17" s="44" t="inlineStr">
        <is>
          <t>6 ay</t>
        </is>
      </c>
      <c r="H17" s="15" t="n"/>
      <c r="I17" s="45" t="n">
        <v>10995002</v>
      </c>
      <c r="J17" s="45" t="n">
        <v>9916620.220000001</v>
      </c>
      <c r="K17" s="45" t="n">
        <v>5460001</v>
      </c>
      <c r="L17" s="45" t="n">
        <v>4999984.215</v>
      </c>
      <c r="M17" s="45" t="n">
        <v>0</v>
      </c>
      <c r="N17" s="45" t="n">
        <v>0</v>
      </c>
      <c r="O17" s="45" t="n">
        <v>3822003.818</v>
      </c>
      <c r="P17" s="45" t="n">
        <v>3499999.99633</v>
      </c>
      <c r="Q17" s="45" t="n">
        <v>653000</v>
      </c>
      <c r="R17" s="45" t="n">
        <v>597984.75</v>
      </c>
      <c r="S17" s="45" t="n">
        <v>9935004.818</v>
      </c>
      <c r="T17" s="45" t="n">
        <v>9097968.96133</v>
      </c>
      <c r="U17" s="15" t="n">
        <v>23.39</v>
      </c>
      <c r="V17" s="15" t="n">
        <v>52.25</v>
      </c>
      <c r="W17" s="49" t="n">
        <v>91.575</v>
      </c>
    </row>
    <row r="18">
      <c r="A18" s="44" t="inlineStr">
        <is>
          <t>TL Cinsi Degisken Faizli Kuponlu Senetler</t>
        </is>
      </c>
      <c r="B18" s="44" t="n">
        <v>2024</v>
      </c>
      <c r="C18" s="44" t="inlineStr">
        <is>
          <t>TRT160431T19</t>
        </is>
      </c>
      <c r="D18" s="44" t="inlineStr">
        <is>
          <t>10.07.2024</t>
        </is>
      </c>
      <c r="E18" s="44" t="inlineStr">
        <is>
          <t>16.04.2031</t>
        </is>
      </c>
      <c r="F18" s="44" t="n">
        <v>2471</v>
      </c>
      <c r="G18" s="44" t="inlineStr">
        <is>
          <t>6 ay</t>
        </is>
      </c>
      <c r="H18" s="15" t="n"/>
      <c r="I18" s="45" t="n">
        <v>12945000</v>
      </c>
      <c r="J18" s="45" t="n">
        <v>12139154.25</v>
      </c>
      <c r="K18" s="45" t="n">
        <v>3870000</v>
      </c>
      <c r="L18" s="45" t="n">
        <v>3692317.85</v>
      </c>
      <c r="M18" s="45" t="n">
        <v>0</v>
      </c>
      <c r="N18" s="45" t="n">
        <v>0</v>
      </c>
      <c r="O18" s="45" t="n">
        <v>4192476.596</v>
      </c>
      <c r="P18" s="45" t="n">
        <v>3999999.99548</v>
      </c>
      <c r="Q18" s="45" t="n">
        <v>300825.393</v>
      </c>
      <c r="R18" s="45" t="n">
        <v>287014.49921</v>
      </c>
      <c r="S18" s="45" t="n">
        <v>8363301.989</v>
      </c>
      <c r="T18" s="45" t="n">
        <v>7979332.344690001</v>
      </c>
      <c r="U18" s="15" t="n">
        <v>23.38</v>
      </c>
      <c r="V18" s="15" t="n">
        <v>52.21</v>
      </c>
      <c r="W18" s="49" t="n">
        <v>95.40900000000001</v>
      </c>
    </row>
    <row r="19">
      <c r="A19" s="44" t="inlineStr">
        <is>
          <t>TL Cinsi Degisken Faizli Kuponlu Senetler</t>
        </is>
      </c>
      <c r="B19" s="44" t="n">
        <v>2024</v>
      </c>
      <c r="C19" s="44" t="inlineStr">
        <is>
          <t>TRT160431T19</t>
        </is>
      </c>
      <c r="D19" s="44" t="inlineStr">
        <is>
          <t>21.08.2024</t>
        </is>
      </c>
      <c r="E19" s="44" t="inlineStr">
        <is>
          <t>16.04.2031</t>
        </is>
      </c>
      <c r="F19" s="44" t="n">
        <v>2429</v>
      </c>
      <c r="G19" s="44" t="inlineStr">
        <is>
          <t>6 ay</t>
        </is>
      </c>
      <c r="H19" s="15" t="n"/>
      <c r="I19" s="45" t="n">
        <v>10650000</v>
      </c>
      <c r="J19" s="45" t="n">
        <v>10513085.25</v>
      </c>
      <c r="K19" s="45" t="n">
        <v>4275000</v>
      </c>
      <c r="L19" s="45" t="n">
        <v>4257352.75</v>
      </c>
      <c r="M19" s="45" t="n">
        <v>0</v>
      </c>
      <c r="N19" s="45" t="n">
        <v>0</v>
      </c>
      <c r="O19" s="45" t="n">
        <v>3514514.945</v>
      </c>
      <c r="P19" s="45" t="n">
        <v>3499999.99828</v>
      </c>
      <c r="Q19" s="45" t="n">
        <v>785977.1850000001</v>
      </c>
      <c r="R19" s="45" t="n">
        <v>782731.0992300001</v>
      </c>
      <c r="S19" s="45" t="n">
        <v>8575492.130000001</v>
      </c>
      <c r="T19" s="45" t="n">
        <v>8540083.847510001</v>
      </c>
      <c r="U19" s="15" t="n">
        <v>23.53</v>
      </c>
      <c r="V19" s="15" t="n">
        <v>52.6</v>
      </c>
      <c r="W19" s="49" t="n">
        <v>99.587</v>
      </c>
    </row>
    <row r="20">
      <c r="A20" s="44" t="inlineStr">
        <is>
          <t>TL Cinsi Degisken Faizli Kuponlu Senetler</t>
        </is>
      </c>
      <c r="B20" s="44" t="n">
        <v>2024</v>
      </c>
      <c r="C20" s="44" t="inlineStr">
        <is>
          <t>TRT160431T19</t>
        </is>
      </c>
      <c r="D20" s="44" t="inlineStr">
        <is>
          <t>11.09.2024</t>
        </is>
      </c>
      <c r="E20" s="44" t="inlineStr">
        <is>
          <t>16.04.2031</t>
        </is>
      </c>
      <c r="F20" s="44" t="n">
        <v>2408</v>
      </c>
      <c r="G20" s="44" t="inlineStr">
        <is>
          <t>6 ay</t>
        </is>
      </c>
      <c r="H20" s="15" t="n"/>
      <c r="I20" s="45" t="n">
        <v>8170000</v>
      </c>
      <c r="J20" s="45" t="n">
        <v>8217623.5</v>
      </c>
      <c r="K20" s="45" t="n">
        <v>6390000</v>
      </c>
      <c r="L20" s="45" t="n">
        <v>6445799.5</v>
      </c>
      <c r="M20" s="45" t="n">
        <v>0</v>
      </c>
      <c r="N20" s="45" t="n">
        <v>0</v>
      </c>
      <c r="O20" s="45" t="n">
        <v>2974036.658</v>
      </c>
      <c r="P20" s="45" t="n">
        <v>2999999.99802</v>
      </c>
      <c r="Q20" s="45" t="n">
        <v>495000</v>
      </c>
      <c r="R20" s="45" t="n">
        <v>499321.35</v>
      </c>
      <c r="S20" s="45" t="n">
        <v>9859036.658</v>
      </c>
      <c r="T20" s="45" t="n">
        <v>9945120.84802</v>
      </c>
      <c r="U20" s="15" t="n">
        <v>23.87</v>
      </c>
      <c r="V20" s="15" t="n">
        <v>53.43</v>
      </c>
      <c r="W20" s="49" t="n">
        <v>100.873</v>
      </c>
    </row>
    <row r="21">
      <c r="A21" s="44" t="inlineStr">
        <is>
          <t>TL Cinsi Degisken Faizli Kuponlu Senetler</t>
        </is>
      </c>
      <c r="B21" s="44" t="n">
        <v>2024</v>
      </c>
      <c r="C21" s="44" t="inlineStr">
        <is>
          <t>TRT160431T19</t>
        </is>
      </c>
      <c r="D21" s="44" t="inlineStr">
        <is>
          <t>16.10.2024</t>
        </is>
      </c>
      <c r="E21" s="44" t="inlineStr">
        <is>
          <t>16.04.2031</t>
        </is>
      </c>
      <c r="F21" s="44" t="n">
        <v>2373</v>
      </c>
      <c r="G21" s="44" t="inlineStr">
        <is>
          <t>6 ay</t>
        </is>
      </c>
      <c r="H21" s="15" t="n"/>
      <c r="I21" s="45" t="n">
        <v>8582000</v>
      </c>
      <c r="J21" s="45" t="n">
        <v>8870460.539999999</v>
      </c>
      <c r="K21" s="45" t="n">
        <v>4810000</v>
      </c>
      <c r="L21" s="45" t="n">
        <v>5011121.35</v>
      </c>
      <c r="M21" s="45" t="n">
        <v>0</v>
      </c>
      <c r="N21" s="45" t="n">
        <v>0</v>
      </c>
      <c r="O21" s="45" t="n">
        <v>3839471.685</v>
      </c>
      <c r="P21" s="45" t="n">
        <v>3999999.99615</v>
      </c>
      <c r="Q21" s="45" t="n">
        <v>1103165.279</v>
      </c>
      <c r="R21" s="45" t="n">
        <v>1149288.61931</v>
      </c>
      <c r="S21" s="45" t="n">
        <v>9752636.964000002</v>
      </c>
      <c r="T21" s="45" t="n">
        <v>10160409.96546</v>
      </c>
      <c r="U21" s="15" t="n">
        <v>24.14</v>
      </c>
      <c r="V21" s="15" t="n">
        <v>54.11</v>
      </c>
      <c r="W21" s="49" t="n">
        <v>104.181</v>
      </c>
    </row>
    <row r="22">
      <c r="A22" s="44" t="inlineStr">
        <is>
          <t>TL Cinsi Degisken Faizli Kuponlu Senetler</t>
        </is>
      </c>
      <c r="B22" s="44" t="n">
        <v>2024</v>
      </c>
      <c r="C22" s="44" t="inlineStr">
        <is>
          <t>TRT160431T19</t>
        </is>
      </c>
      <c r="D22" s="44" t="inlineStr">
        <is>
          <t>13.11.2024</t>
        </is>
      </c>
      <c r="E22" s="44" t="inlineStr">
        <is>
          <t>16.04.2031</t>
        </is>
      </c>
      <c r="F22" s="44" t="n">
        <v>2345</v>
      </c>
      <c r="G22" s="44" t="inlineStr">
        <is>
          <t>6 ay</t>
        </is>
      </c>
      <c r="H22" s="15" t="n"/>
      <c r="I22" s="45" t="n">
        <v>6875000</v>
      </c>
      <c r="J22" s="45" t="n">
        <v>5889875.75</v>
      </c>
      <c r="K22" s="45" t="n">
        <v>3340000</v>
      </c>
      <c r="L22" s="45" t="n">
        <v>2883837.55</v>
      </c>
      <c r="M22" s="45" t="n">
        <v>9844571.585999999</v>
      </c>
      <c r="N22" s="45" t="n">
        <v>8499999.998779999</v>
      </c>
      <c r="O22" s="45" t="n">
        <v>2026823.559</v>
      </c>
      <c r="P22" s="45" t="n">
        <v>1749999.9973</v>
      </c>
      <c r="Q22" s="45" t="n">
        <v>1701578.513</v>
      </c>
      <c r="R22" s="45" t="n">
        <v>1469176.91969</v>
      </c>
      <c r="S22" s="45" t="n">
        <v>16912973.658</v>
      </c>
      <c r="T22" s="45" t="n">
        <v>14603014.46577</v>
      </c>
      <c r="U22" s="15" t="n">
        <v>23.31</v>
      </c>
      <c r="V22" s="15" t="n">
        <v>52.06</v>
      </c>
      <c r="W22" s="49" t="n">
        <v>86.342</v>
      </c>
    </row>
    <row r="23">
      <c r="A23" s="44" t="inlineStr">
        <is>
          <t>TL Cinsi Degisken Faizli Kuponlu Senetler</t>
        </is>
      </c>
      <c r="B23" s="44" t="n">
        <v>2024</v>
      </c>
      <c r="C23" s="44" t="inlineStr">
        <is>
          <t>TRT160431T19</t>
        </is>
      </c>
      <c r="D23" s="44" t="inlineStr">
        <is>
          <t>18.12.2024</t>
        </is>
      </c>
      <c r="E23" s="44" t="inlineStr">
        <is>
          <t>16.04.2031</t>
        </is>
      </c>
      <c r="F23" s="44" t="n">
        <v>2310</v>
      </c>
      <c r="G23" s="44" t="inlineStr">
        <is>
          <t>6 ay</t>
        </is>
      </c>
      <c r="H23" s="15" t="n"/>
      <c r="I23" s="45" t="n">
        <v>16055000</v>
      </c>
      <c r="J23" s="45" t="n">
        <v>14157049.85</v>
      </c>
      <c r="K23" s="45" t="n">
        <v>7055000</v>
      </c>
      <c r="L23" s="45" t="n">
        <v>6338054.85</v>
      </c>
      <c r="M23" s="45" t="n">
        <v>0</v>
      </c>
      <c r="N23" s="45" t="n">
        <v>0</v>
      </c>
      <c r="O23" s="45" t="n">
        <v>1113114.714</v>
      </c>
      <c r="P23" s="45" t="n">
        <v>999999.99678</v>
      </c>
      <c r="Q23" s="45" t="n">
        <v>1512691.199</v>
      </c>
      <c r="R23" s="45" t="n">
        <v>1358971.51935</v>
      </c>
      <c r="S23" s="45" t="n">
        <v>9680805.912999999</v>
      </c>
      <c r="T23" s="45" t="n">
        <v>8697026.36613</v>
      </c>
      <c r="U23" s="15" t="n">
        <v>23.33</v>
      </c>
      <c r="V23" s="15" t="n">
        <v>52.1</v>
      </c>
      <c r="W23" s="49" t="n">
        <v>89.83799999999999</v>
      </c>
    </row>
    <row r="24">
      <c r="A24" s="44" t="inlineStr">
        <is>
          <t>TL Cinsi Degisken Faizli Kuponlu Senetler</t>
        </is>
      </c>
      <c r="B24" s="44" t="n">
        <v>2023</v>
      </c>
      <c r="C24" s="44" t="inlineStr">
        <is>
          <t>TRT031029T10</t>
        </is>
      </c>
      <c r="D24" s="44" t="inlineStr">
        <is>
          <t>18.01.2023</t>
        </is>
      </c>
      <c r="E24" s="44" t="inlineStr">
        <is>
          <t>03.10.2029</t>
        </is>
      </c>
      <c r="F24" s="44" t="n">
        <v>2450</v>
      </c>
      <c r="G24" s="44" t="inlineStr">
        <is>
          <t>6 ay</t>
        </is>
      </c>
      <c r="H24" s="15" t="n"/>
      <c r="I24" s="45" t="n">
        <v>2811011</v>
      </c>
      <c r="J24" s="45" t="n">
        <v>2662992.31</v>
      </c>
      <c r="K24" s="45" t="n">
        <v>1689004</v>
      </c>
      <c r="L24" s="45" t="n">
        <v>1611214.82</v>
      </c>
      <c r="M24" s="45" t="n">
        <v>1048283.959</v>
      </c>
      <c r="N24" s="45" t="n">
        <v>999999.99985</v>
      </c>
      <c r="O24" s="45" t="n">
        <v>419313.58</v>
      </c>
      <c r="P24" s="45" t="n">
        <v>399999.9965</v>
      </c>
      <c r="Q24" s="45" t="n">
        <v>409995.202</v>
      </c>
      <c r="R24" s="45" t="n">
        <v>391110.823</v>
      </c>
      <c r="S24" s="45" t="n">
        <v>3566596.741</v>
      </c>
      <c r="T24" s="45" t="n">
        <v>3402325.63935</v>
      </c>
      <c r="U24" s="15" t="n">
        <v>10.31</v>
      </c>
      <c r="V24" s="15" t="n">
        <v>21.69</v>
      </c>
      <c r="W24" s="49" t="n">
        <v>95.39400000000001</v>
      </c>
    </row>
    <row r="25">
      <c r="A25" s="44" t="inlineStr">
        <is>
          <t>TL Cinsi Degisken Faizli Kuponlu Senetler</t>
        </is>
      </c>
      <c r="B25" s="44" t="n">
        <v>2023</v>
      </c>
      <c r="C25" s="44" t="inlineStr">
        <is>
          <t>TRT031029T10</t>
        </is>
      </c>
      <c r="D25" s="44" t="inlineStr">
        <is>
          <t>22.02.2023</t>
        </is>
      </c>
      <c r="E25" s="44" t="inlineStr">
        <is>
          <t>03.10.2029</t>
        </is>
      </c>
      <c r="F25" s="44" t="n">
        <v>2415</v>
      </c>
      <c r="G25" s="44" t="inlineStr">
        <is>
          <t>6 ay</t>
        </is>
      </c>
      <c r="H25" s="15" t="n"/>
      <c r="I25" s="45" t="n">
        <v>2607006</v>
      </c>
      <c r="J25" s="45" t="n">
        <v>2451306.585</v>
      </c>
      <c r="K25" s="45" t="n">
        <v>1300001</v>
      </c>
      <c r="L25" s="45" t="n">
        <v>1239718.7</v>
      </c>
      <c r="M25" s="45" t="inlineStr">
        <is>
          <t>-</t>
        </is>
      </c>
      <c r="N25" s="45" t="inlineStr">
        <is>
          <t>-</t>
        </is>
      </c>
      <c r="O25" s="45" t="n">
        <v>524312.362</v>
      </c>
      <c r="P25" s="45" t="n">
        <v>499999.99778</v>
      </c>
      <c r="Q25" s="45" t="n">
        <v>351289.284</v>
      </c>
      <c r="R25" s="45" t="n">
        <v>334999.9999</v>
      </c>
      <c r="S25" s="45" t="n">
        <v>2175602.646</v>
      </c>
      <c r="T25" s="45" t="n">
        <v>2074718.69768</v>
      </c>
      <c r="U25" s="15" t="n">
        <v>10.6</v>
      </c>
      <c r="V25" s="15" t="n">
        <v>22.32</v>
      </c>
      <c r="W25" s="49" t="n">
        <v>95.363</v>
      </c>
    </row>
    <row r="26">
      <c r="A26" s="44" t="inlineStr">
        <is>
          <t>TL Cinsi Degisken Faizli Kuponlu Senetler</t>
        </is>
      </c>
      <c r="B26" s="44" t="n">
        <v>2023</v>
      </c>
      <c r="C26" s="44" t="inlineStr">
        <is>
          <t>TRT031029T10</t>
        </is>
      </c>
      <c r="D26" s="44" t="inlineStr">
        <is>
          <t>22.03.2023</t>
        </is>
      </c>
      <c r="E26" s="44" t="inlineStr">
        <is>
          <t>03.10.2029</t>
        </is>
      </c>
      <c r="F26" s="44" t="n">
        <v>2387</v>
      </c>
      <c r="G26" s="44" t="inlineStr">
        <is>
          <t>6 ay</t>
        </is>
      </c>
      <c r="H26" s="15" t="n"/>
      <c r="I26" s="45" t="n">
        <v>5318007</v>
      </c>
      <c r="J26" s="45" t="n">
        <v>5066995.38</v>
      </c>
      <c r="K26" s="45" t="n">
        <v>2775002</v>
      </c>
      <c r="L26" s="45" t="n">
        <v>2678315.03</v>
      </c>
      <c r="M26" s="45" t="inlineStr">
        <is>
          <t>-</t>
        </is>
      </c>
      <c r="N26" s="45" t="inlineStr">
        <is>
          <t>-</t>
        </is>
      </c>
      <c r="O26" s="45" t="n">
        <v>1761365.988</v>
      </c>
      <c r="P26" s="45" t="n">
        <v>1699999.99698</v>
      </c>
      <c r="Q26" s="45" t="n">
        <v>1489000</v>
      </c>
      <c r="R26" s="45" t="n">
        <v>1437123.24</v>
      </c>
      <c r="S26" s="45" t="n">
        <v>6025367.988</v>
      </c>
      <c r="T26" s="45" t="n">
        <v>5815438.26698</v>
      </c>
      <c r="U26" s="15" t="n">
        <v>10.65</v>
      </c>
      <c r="V26" s="15" t="n">
        <v>22.44</v>
      </c>
      <c r="W26" s="49" t="n">
        <v>96.51600000000001</v>
      </c>
    </row>
    <row r="27">
      <c r="A27" s="44" t="inlineStr">
        <is>
          <t>TL Cinsi Degisken Faizli Kuponlu Senetler</t>
        </is>
      </c>
      <c r="B27" s="44" t="n">
        <v>2023</v>
      </c>
      <c r="C27" s="44" t="inlineStr">
        <is>
          <t>TRT031029T10</t>
        </is>
      </c>
      <c r="D27" s="44" t="inlineStr">
        <is>
          <t>19.04.2023</t>
        </is>
      </c>
      <c r="E27" s="44" t="inlineStr">
        <is>
          <t>03.10.2029</t>
        </is>
      </c>
      <c r="F27" s="44" t="n">
        <v>2359</v>
      </c>
      <c r="G27" s="44" t="inlineStr">
        <is>
          <t>6 ay</t>
        </is>
      </c>
      <c r="H27" s="15" t="n"/>
      <c r="I27" s="45" t="n">
        <v>2165007</v>
      </c>
      <c r="J27" s="45" t="n">
        <v>1826761.01</v>
      </c>
      <c r="K27" s="45" t="n">
        <v>1030001</v>
      </c>
      <c r="L27" s="45" t="n">
        <v>885623.96</v>
      </c>
      <c r="M27" s="45" t="inlineStr">
        <is>
          <t>-</t>
        </is>
      </c>
      <c r="N27" s="45" t="inlineStr">
        <is>
          <t>-</t>
        </is>
      </c>
      <c r="O27" s="45" t="n">
        <v>872265.446</v>
      </c>
      <c r="P27" s="45" t="n">
        <v>749999.99843</v>
      </c>
      <c r="Q27" s="45" t="n">
        <v>75327.89599999999</v>
      </c>
      <c r="R27" s="45" t="n">
        <v>64769.18482</v>
      </c>
      <c r="S27" s="45" t="n">
        <v>1977594.342</v>
      </c>
      <c r="T27" s="45" t="n">
        <v>1700393.14325</v>
      </c>
      <c r="U27" s="15" t="n">
        <v>6.78</v>
      </c>
      <c r="V27" s="15" t="n">
        <v>14.02</v>
      </c>
      <c r="W27" s="49" t="n">
        <v>85.983</v>
      </c>
    </row>
    <row r="28">
      <c r="A28" s="44" t="inlineStr">
        <is>
          <t>TL Cinsi Degisken Faizli Kuponlu Senetler</t>
        </is>
      </c>
      <c r="B28" s="44" t="n">
        <v>2023</v>
      </c>
      <c r="C28" s="44" t="inlineStr">
        <is>
          <t>TRT031029T10</t>
        </is>
      </c>
      <c r="D28" s="44" t="inlineStr">
        <is>
          <t>10.05.2023</t>
        </is>
      </c>
      <c r="E28" s="44" t="inlineStr">
        <is>
          <t>03.10.2029</t>
        </is>
      </c>
      <c r="F28" s="44" t="n">
        <v>2338</v>
      </c>
      <c r="G28" s="44" t="inlineStr">
        <is>
          <t>6 ay</t>
        </is>
      </c>
      <c r="H28" s="15" t="n"/>
      <c r="I28" s="45" t="n">
        <v>2005755</v>
      </c>
      <c r="J28" s="45" t="n">
        <v>1695013.93</v>
      </c>
      <c r="K28" s="45" t="n">
        <v>1173750</v>
      </c>
      <c r="L28" s="45" t="n">
        <v>1010185.82</v>
      </c>
      <c r="M28" s="45" t="n">
        <v>3485737.523</v>
      </c>
      <c r="N28" s="45" t="n">
        <v>2999999.99917</v>
      </c>
      <c r="O28" s="45" t="n">
        <v>697147.503</v>
      </c>
      <c r="P28" s="45" t="n">
        <v>599999.99846</v>
      </c>
      <c r="Q28" s="45" t="n">
        <v>144560.762</v>
      </c>
      <c r="R28" s="45" t="n">
        <v>124416.21982</v>
      </c>
      <c r="S28" s="45" t="n">
        <v>5501195.788000001</v>
      </c>
      <c r="T28" s="45" t="n">
        <v>4734602.037450001</v>
      </c>
      <c r="U28" s="15" t="n">
        <v>6.86</v>
      </c>
      <c r="V28" s="15" t="n">
        <v>14.19</v>
      </c>
      <c r="W28" s="49" t="n">
        <v>86.065</v>
      </c>
    </row>
    <row r="29">
      <c r="A29" s="44" t="inlineStr">
        <is>
          <t>TL Cinsi Degisken Faizli Kuponlu Senetler</t>
        </is>
      </c>
      <c r="B29" s="44" t="n">
        <v>2023</v>
      </c>
      <c r="C29" s="44" t="inlineStr">
        <is>
          <t>TRT050630T11</t>
        </is>
      </c>
      <c r="D29" s="44" t="inlineStr">
        <is>
          <t>14.06.2023</t>
        </is>
      </c>
      <c r="E29" s="44" t="inlineStr">
        <is>
          <t>05.06.2030</t>
        </is>
      </c>
      <c r="F29" s="44" t="n">
        <v>2548</v>
      </c>
      <c r="G29" s="44" t="inlineStr">
        <is>
          <t>6 ay</t>
        </is>
      </c>
      <c r="H29" s="15" t="n"/>
      <c r="I29" s="45" t="n">
        <v>3885500</v>
      </c>
      <c r="J29" s="45" t="n">
        <v>3367200.1</v>
      </c>
      <c r="K29" s="45" t="n">
        <v>2745500</v>
      </c>
      <c r="L29" s="45" t="n">
        <v>2418258.05</v>
      </c>
      <c r="M29" s="45" t="n">
        <v>0</v>
      </c>
      <c r="N29" s="45" t="n">
        <v>0</v>
      </c>
      <c r="O29" s="45" t="n">
        <v>3405955.878</v>
      </c>
      <c r="P29" s="45" t="n">
        <v>2999999.99691</v>
      </c>
      <c r="Q29" s="45" t="n">
        <v>340595.588</v>
      </c>
      <c r="R29" s="45" t="n">
        <v>299999.99987</v>
      </c>
      <c r="S29" s="45" t="n">
        <v>6492051.466</v>
      </c>
      <c r="T29" s="45" t="n">
        <v>5718258.04678</v>
      </c>
      <c r="U29" s="15" t="n">
        <v>8.26</v>
      </c>
      <c r="V29" s="15" t="n">
        <v>17.2</v>
      </c>
      <c r="W29" s="49" t="n">
        <v>88.081</v>
      </c>
    </row>
    <row r="30">
      <c r="A30" s="44" t="inlineStr">
        <is>
          <t>TL Cinsi Degisken Faizli Kuponlu Senetler</t>
        </is>
      </c>
      <c r="B30" s="44" t="n">
        <v>2023</v>
      </c>
      <c r="C30" s="44" t="inlineStr">
        <is>
          <t>TRT050630T11</t>
        </is>
      </c>
      <c r="D30" s="44" t="inlineStr">
        <is>
          <t>19.07.2023</t>
        </is>
      </c>
      <c r="E30" s="44" t="inlineStr">
        <is>
          <t>05.06.2030</t>
        </is>
      </c>
      <c r="F30" s="44" t="n">
        <v>2513</v>
      </c>
      <c r="G30" s="44" t="inlineStr">
        <is>
          <t>6 ay</t>
        </is>
      </c>
      <c r="H30" s="15" t="n"/>
      <c r="I30" s="45" t="n">
        <v>3122001</v>
      </c>
      <c r="J30" s="45" t="n">
        <v>2679989.6</v>
      </c>
      <c r="K30" s="45" t="n">
        <v>2044000</v>
      </c>
      <c r="L30" s="45" t="n">
        <v>1774198.2</v>
      </c>
      <c r="M30" s="45" t="n">
        <v>0</v>
      </c>
      <c r="N30" s="45" t="n">
        <v>0</v>
      </c>
      <c r="O30" s="45" t="n">
        <v>2073732.717</v>
      </c>
      <c r="P30" s="45" t="n">
        <v>1799999.99836</v>
      </c>
      <c r="Q30" s="45" t="n">
        <v>90400.23</v>
      </c>
      <c r="R30" s="45" t="n">
        <v>78467.39964</v>
      </c>
      <c r="S30" s="45" t="n">
        <v>4208132.947000001</v>
      </c>
      <c r="T30" s="45" t="n">
        <v>3652665.598</v>
      </c>
      <c r="U30" s="15" t="n">
        <v>8.619999999999999</v>
      </c>
      <c r="V30" s="15" t="n">
        <v>17.99</v>
      </c>
      <c r="W30" s="49" t="n">
        <v>86.8</v>
      </c>
    </row>
    <row r="31">
      <c r="A31" s="44" t="inlineStr">
        <is>
          <t>TL Cinsi Degisken Faizli Kuponlu Senetler</t>
        </is>
      </c>
      <c r="B31" s="44" t="n">
        <v>2023</v>
      </c>
      <c r="C31" s="44" t="inlineStr">
        <is>
          <t>TRT050630T11</t>
        </is>
      </c>
      <c r="D31" s="44" t="inlineStr">
        <is>
          <t>16.08.2023</t>
        </is>
      </c>
      <c r="E31" s="44" t="inlineStr">
        <is>
          <t>05.06.2030</t>
        </is>
      </c>
      <c r="F31" s="44" t="n">
        <v>2485</v>
      </c>
      <c r="G31" s="44" t="inlineStr">
        <is>
          <t>6 ay</t>
        </is>
      </c>
      <c r="H31" s="15" t="n"/>
      <c r="I31" s="45" t="n">
        <v>2924007</v>
      </c>
      <c r="J31" s="45" t="n">
        <v>2463434.21</v>
      </c>
      <c r="K31" s="45" t="n">
        <v>1770002</v>
      </c>
      <c r="L31" s="45" t="n">
        <v>1509037.66</v>
      </c>
      <c r="M31" s="45" t="n">
        <v>0</v>
      </c>
      <c r="N31" s="45" t="n">
        <v>0</v>
      </c>
      <c r="O31" s="45" t="n">
        <v>1290231.771</v>
      </c>
      <c r="P31" s="45" t="n">
        <v>1099999.99868</v>
      </c>
      <c r="Q31" s="45" t="n">
        <v>570978.273</v>
      </c>
      <c r="R31" s="45" t="n">
        <v>486793.23643</v>
      </c>
      <c r="S31" s="45" t="n">
        <v>3631212.044</v>
      </c>
      <c r="T31" s="45" t="n">
        <v>3095830.89511</v>
      </c>
      <c r="U31" s="15" t="n">
        <v>9.01</v>
      </c>
      <c r="V31" s="15" t="n">
        <v>18.82</v>
      </c>
      <c r="W31" s="49" t="n">
        <v>85.256</v>
      </c>
    </row>
    <row r="32">
      <c r="A32" s="44" t="inlineStr">
        <is>
          <t>TL Cinsi Degisken Faizli Kuponlu Senetler</t>
        </is>
      </c>
      <c r="B32" s="44" t="n">
        <v>2023</v>
      </c>
      <c r="C32" s="44" t="inlineStr">
        <is>
          <t>TRT050630T11</t>
        </is>
      </c>
      <c r="D32" s="44" t="inlineStr">
        <is>
          <t>20.09.2023</t>
        </is>
      </c>
      <c r="E32" s="44" t="inlineStr">
        <is>
          <t>05.06.2030</t>
        </is>
      </c>
      <c r="F32" s="44" t="n">
        <v>2450</v>
      </c>
      <c r="G32" s="44" t="inlineStr">
        <is>
          <t>6 ay</t>
        </is>
      </c>
      <c r="H32" s="15" t="n"/>
      <c r="I32" s="45" t="n">
        <v>3841000</v>
      </c>
      <c r="J32" s="45" t="n">
        <v>3306472.37</v>
      </c>
      <c r="K32" s="45" t="n">
        <v>1775000</v>
      </c>
      <c r="L32" s="45" t="n">
        <v>1551097.75</v>
      </c>
      <c r="M32" s="45" t="n">
        <v>8010436.454</v>
      </c>
      <c r="N32" s="45" t="n">
        <v>6999999.99969</v>
      </c>
      <c r="O32" s="45" t="n">
        <v>2288696.127</v>
      </c>
      <c r="P32" s="45" t="n">
        <v>1999999.99753</v>
      </c>
      <c r="Q32" s="45" t="n">
        <v>10031.355</v>
      </c>
      <c r="R32" s="45" t="n">
        <v>8765.999879999999</v>
      </c>
      <c r="S32" s="45" t="n">
        <v>12084163.936</v>
      </c>
      <c r="T32" s="45" t="n">
        <v>10559863.7471</v>
      </c>
      <c r="U32" s="15" t="n">
        <v>8.9</v>
      </c>
      <c r="V32" s="15" t="n">
        <v>18.6</v>
      </c>
      <c r="W32" s="49" t="n">
        <v>87.386</v>
      </c>
    </row>
    <row r="33">
      <c r="A33" s="44" t="inlineStr">
        <is>
          <t>TL Cinsi Degisken Faizli Kuponlu Senetler</t>
        </is>
      </c>
      <c r="B33" s="44" t="n">
        <v>2023</v>
      </c>
      <c r="C33" s="44" t="inlineStr">
        <is>
          <t>TRT050630T11</t>
        </is>
      </c>
      <c r="D33" s="44" t="inlineStr">
        <is>
          <t>25.10.2023</t>
        </is>
      </c>
      <c r="E33" s="44" t="inlineStr">
        <is>
          <t>05.06.2030</t>
        </is>
      </c>
      <c r="F33" s="44" t="n">
        <v>2415</v>
      </c>
      <c r="G33" s="44" t="inlineStr">
        <is>
          <t>6 ay</t>
        </is>
      </c>
      <c r="H33" s="15" t="n"/>
      <c r="I33" s="45" t="n">
        <v>4468011.111</v>
      </c>
      <c r="J33" s="45" t="n">
        <v>3655436.1299</v>
      </c>
      <c r="K33" s="45" t="n">
        <v>1423011.111</v>
      </c>
      <c r="L33" s="45" t="n">
        <v>1220164.1299</v>
      </c>
      <c r="M33" s="45" t="n">
        <v>0</v>
      </c>
      <c r="N33" s="45" t="n">
        <v>0</v>
      </c>
      <c r="O33" s="45" t="n">
        <v>1749373.139</v>
      </c>
      <c r="P33" s="45" t="n">
        <v>1499999.99804</v>
      </c>
      <c r="Q33" s="45" t="n">
        <v>159934.018</v>
      </c>
      <c r="R33" s="45" t="n">
        <v>137135.42373</v>
      </c>
      <c r="S33" s="45" t="n">
        <v>3332318.268</v>
      </c>
      <c r="T33" s="45" t="n">
        <v>2857299.55167</v>
      </c>
      <c r="U33" s="15" t="n">
        <v>9.369999999999999</v>
      </c>
      <c r="V33" s="15" t="n">
        <v>19.62</v>
      </c>
      <c r="W33" s="49" t="n">
        <v>85.745</v>
      </c>
    </row>
    <row r="34">
      <c r="A34" s="44" t="inlineStr">
        <is>
          <t>TL Cinsi Degisken Faizli Kuponlu Senetler</t>
        </is>
      </c>
      <c r="B34" s="44" t="n">
        <v>2023</v>
      </c>
      <c r="C34" s="44" t="inlineStr">
        <is>
          <t>TRT050630T11</t>
        </is>
      </c>
      <c r="D34" s="44" t="inlineStr">
        <is>
          <t>15.11.2023</t>
        </is>
      </c>
      <c r="E34" s="44" t="inlineStr">
        <is>
          <t>05.06.2030</t>
        </is>
      </c>
      <c r="F34" s="44" t="n">
        <v>2394</v>
      </c>
      <c r="G34" s="44" t="inlineStr">
        <is>
          <t>6 ay</t>
        </is>
      </c>
      <c r="H34" s="15" t="n"/>
      <c r="I34" s="45" t="n">
        <v>16592014.752</v>
      </c>
      <c r="J34" s="45" t="n">
        <v>14185939.9193</v>
      </c>
      <c r="K34" s="45" t="n">
        <v>9310010.752</v>
      </c>
      <c r="L34" s="45" t="n">
        <v>8029972.39936</v>
      </c>
      <c r="M34" s="45" t="n">
        <v>3478220.542</v>
      </c>
      <c r="N34" s="45" t="n">
        <v>2999999.99968</v>
      </c>
      <c r="O34" s="45" t="n">
        <v>4637627.387</v>
      </c>
      <c r="P34" s="45" t="n">
        <v>3999999.99757</v>
      </c>
      <c r="Q34" s="45" t="n">
        <v>2498336.822</v>
      </c>
      <c r="R34" s="45" t="n">
        <v>2154840.49235</v>
      </c>
      <c r="S34" s="45" t="n">
        <v>19924195.503</v>
      </c>
      <c r="T34" s="45" t="n">
        <v>17184812.88896</v>
      </c>
      <c r="U34" s="15" t="n">
        <v>9.43</v>
      </c>
      <c r="V34" s="15" t="n">
        <v>19.75</v>
      </c>
      <c r="W34" s="49" t="n">
        <v>86.251</v>
      </c>
    </row>
    <row r="35">
      <c r="A35" s="44" t="inlineStr">
        <is>
          <t>TL Cinsi Degisken Faizli Kuponlu Senetler</t>
        </is>
      </c>
      <c r="B35" s="44" t="n">
        <v>2023</v>
      </c>
      <c r="C35" s="44" t="inlineStr">
        <is>
          <t>TRT050630T11</t>
        </is>
      </c>
      <c r="D35" s="44" t="inlineStr">
        <is>
          <t>13.12.2023</t>
        </is>
      </c>
      <c r="E35" s="44" t="inlineStr">
        <is>
          <t>05.06.2030</t>
        </is>
      </c>
      <c r="F35" s="44" t="n">
        <v>2366</v>
      </c>
      <c r="G35" s="44" t="inlineStr">
        <is>
          <t>6 ay</t>
        </is>
      </c>
      <c r="H35" s="15" t="n"/>
      <c r="I35" s="45" t="n">
        <v>26142510.81</v>
      </c>
      <c r="J35" s="45" t="n">
        <v>22919376.14925</v>
      </c>
      <c r="K35" s="45" t="n">
        <v>3800010.81</v>
      </c>
      <c r="L35" s="45" t="n">
        <v>3423108.37925</v>
      </c>
      <c r="M35" s="45" t="n">
        <v>2220199.373</v>
      </c>
      <c r="N35" s="45" t="n">
        <v>1999999.99919</v>
      </c>
      <c r="O35" s="45" t="n">
        <v>3330299.056</v>
      </c>
      <c r="P35" s="45" t="n">
        <v>2999999.99562</v>
      </c>
      <c r="Q35" s="45" t="n">
        <v>1817902.599</v>
      </c>
      <c r="R35" s="45" t="n">
        <v>1637603.01923</v>
      </c>
      <c r="S35" s="45" t="n">
        <v>11168411.838</v>
      </c>
      <c r="T35" s="45" t="n">
        <v>10060711.39329</v>
      </c>
      <c r="U35" s="15" t="n">
        <v>20.62</v>
      </c>
      <c r="V35" s="15" t="n">
        <v>45.49</v>
      </c>
      <c r="W35" s="49" t="n">
        <v>90.08199999999999</v>
      </c>
    </row>
    <row r="36">
      <c r="A36" s="44" t="inlineStr">
        <is>
          <t>TL Cinsi Degisken Faizli Kuponlu Senetler</t>
        </is>
      </c>
      <c r="B36" s="44" t="n">
        <v>2022</v>
      </c>
      <c r="C36" s="44" t="inlineStr">
        <is>
          <t>TRT130928T12</t>
        </is>
      </c>
      <c r="D36" s="44" t="inlineStr">
        <is>
          <t>12.01.2022</t>
        </is>
      </c>
      <c r="E36" s="44" t="inlineStr">
        <is>
          <t>13.09.2028</t>
        </is>
      </c>
      <c r="F36" s="44" t="n">
        <v>2436</v>
      </c>
      <c r="G36" s="44" t="inlineStr">
        <is>
          <t>6 ay</t>
        </is>
      </c>
      <c r="H36" s="15" t="n"/>
      <c r="I36" s="45" t="n">
        <v>5299005.088</v>
      </c>
      <c r="J36" s="45" t="n">
        <v>5029073.0579</v>
      </c>
      <c r="K36" s="45" t="n">
        <v>2484000</v>
      </c>
      <c r="L36" s="45" t="n">
        <v>2398270.77</v>
      </c>
      <c r="M36" s="45" t="n">
        <v>207148.701</v>
      </c>
      <c r="N36" s="45" t="n">
        <v>199999.99933</v>
      </c>
      <c r="O36" s="45" t="n">
        <v>1242892.206</v>
      </c>
      <c r="P36" s="45" t="n">
        <v>1199999.99598</v>
      </c>
      <c r="Q36" s="45" t="n">
        <v>795723.052</v>
      </c>
      <c r="R36" s="45" t="n">
        <v>768262.64948</v>
      </c>
      <c r="S36" s="45" t="n">
        <v>4729763.959</v>
      </c>
      <c r="T36" s="45" t="n">
        <v>4566533.41479</v>
      </c>
      <c r="U36" s="15" t="n">
        <v>10.26</v>
      </c>
      <c r="V36" s="15" t="n">
        <v>21.57</v>
      </c>
      <c r="W36" s="49" t="n">
        <v>96.54900000000001</v>
      </c>
    </row>
    <row r="37">
      <c r="A37" s="44" t="inlineStr">
        <is>
          <t>TL Cinsi Degisken Faizli Kuponlu Senetler</t>
        </is>
      </c>
      <c r="B37" s="44" t="n">
        <v>2022</v>
      </c>
      <c r="C37" s="44" t="inlineStr">
        <is>
          <t>TRT130928T12</t>
        </is>
      </c>
      <c r="D37" s="44" t="inlineStr">
        <is>
          <t>23.02.2022</t>
        </is>
      </c>
      <c r="E37" s="44" t="inlineStr">
        <is>
          <t>13.09.2028</t>
        </is>
      </c>
      <c r="F37" s="44" t="n">
        <v>2394</v>
      </c>
      <c r="G37" s="44" t="inlineStr">
        <is>
          <t>6 ay</t>
        </is>
      </c>
      <c r="H37" s="15" t="n"/>
      <c r="I37" s="45" t="n">
        <v>6454003.088</v>
      </c>
      <c r="J37" s="45" t="n">
        <v>6299202.00433</v>
      </c>
      <c r="K37" s="45" t="n">
        <v>3700002.088</v>
      </c>
      <c r="L37" s="45" t="n">
        <v>3647411.15453</v>
      </c>
      <c r="M37" s="45" t="n">
        <v>1572342.992</v>
      </c>
      <c r="N37" s="45" t="n">
        <v>1549999.99808</v>
      </c>
      <c r="O37" s="45" t="n">
        <v>1470901.506</v>
      </c>
      <c r="P37" s="45" t="n">
        <v>1449999.9956</v>
      </c>
      <c r="Q37" s="45" t="n">
        <v>740048.833</v>
      </c>
      <c r="R37" s="45" t="n">
        <v>729532.73908</v>
      </c>
      <c r="S37" s="45" t="n">
        <v>7483295.419</v>
      </c>
      <c r="T37" s="45" t="n">
        <v>7376943.88729</v>
      </c>
      <c r="U37" s="15" t="n">
        <v>10.29</v>
      </c>
      <c r="V37" s="15" t="n">
        <v>21.63</v>
      </c>
      <c r="W37" s="49" t="n">
        <v>98.57899999999999</v>
      </c>
    </row>
    <row r="38">
      <c r="A38" s="44" t="inlineStr">
        <is>
          <t>TL Cinsi Degisken Faizli Kuponlu Senetler</t>
        </is>
      </c>
      <c r="B38" s="44" t="n">
        <v>2022</v>
      </c>
      <c r="C38" s="44" t="inlineStr">
        <is>
          <t>TRT130928T12</t>
        </is>
      </c>
      <c r="D38" s="44" t="inlineStr">
        <is>
          <t>23.03.2022</t>
        </is>
      </c>
      <c r="E38" s="44" t="inlineStr">
        <is>
          <t>13.09.2028</t>
        </is>
      </c>
      <c r="F38" s="44" t="n">
        <v>2366</v>
      </c>
      <c r="G38" s="44" t="inlineStr">
        <is>
          <t>6 ay</t>
        </is>
      </c>
      <c r="H38" s="15" t="n"/>
      <c r="I38" s="45" t="n">
        <v>3475002</v>
      </c>
      <c r="J38" s="45" t="n">
        <v>3124861.95463</v>
      </c>
      <c r="K38" s="45" t="n">
        <v>1530000</v>
      </c>
      <c r="L38" s="45" t="n">
        <v>1398075.25</v>
      </c>
      <c r="M38" s="45" t="n">
        <v>2845354.957</v>
      </c>
      <c r="N38" s="45" t="n">
        <v>2599999.99906</v>
      </c>
      <c r="O38" s="45" t="n">
        <v>1641550.934</v>
      </c>
      <c r="P38" s="45" t="n">
        <v>1499999.99697</v>
      </c>
      <c r="Q38" s="45" t="n">
        <v>0</v>
      </c>
      <c r="R38" s="45" t="n">
        <v>0</v>
      </c>
      <c r="S38" s="45" t="n">
        <v>6016905.891000001</v>
      </c>
      <c r="T38" s="45" t="n">
        <v>5498075.246029999</v>
      </c>
      <c r="U38" s="15" t="n">
        <v>11.9</v>
      </c>
      <c r="V38" s="15" t="n">
        <v>25.21</v>
      </c>
      <c r="W38" s="49" t="n">
        <v>91.377</v>
      </c>
    </row>
    <row r="39">
      <c r="A39" s="44" t="inlineStr">
        <is>
          <t>TL Cinsi Degisken Faizli Kuponlu Senetler</t>
        </is>
      </c>
      <c r="B39" s="44" t="n">
        <v>2022</v>
      </c>
      <c r="C39" s="44" t="inlineStr">
        <is>
          <t>TRT130928T12</t>
        </is>
      </c>
      <c r="D39" s="44" t="inlineStr">
        <is>
          <t>13.04.2022</t>
        </is>
      </c>
      <c r="E39" s="44" t="inlineStr">
        <is>
          <t>13.09.2028</t>
        </is>
      </c>
      <c r="F39" s="44" t="n">
        <v>2345</v>
      </c>
      <c r="G39" s="44" t="inlineStr">
        <is>
          <t>6 ay</t>
        </is>
      </c>
      <c r="H39" s="15" t="n"/>
      <c r="I39" s="45" t="n">
        <v>4724002</v>
      </c>
      <c r="J39" s="45" t="n">
        <v>4344571.64962</v>
      </c>
      <c r="K39" s="45" t="n">
        <v>3249002</v>
      </c>
      <c r="L39" s="45" t="n">
        <v>2998325.69962</v>
      </c>
      <c r="M39" s="45" t="n">
        <v>1733759.548</v>
      </c>
      <c r="N39" s="45" t="n">
        <v>1599999.99887</v>
      </c>
      <c r="O39" s="45" t="n">
        <v>1733759.545</v>
      </c>
      <c r="P39" s="45" t="n">
        <v>1599999.99609</v>
      </c>
      <c r="Q39" s="45" t="n">
        <v>492812.465</v>
      </c>
      <c r="R39" s="45" t="n">
        <v>454791.98333</v>
      </c>
      <c r="S39" s="45" t="n">
        <v>7209333.558</v>
      </c>
      <c r="T39" s="45" t="n">
        <v>6653117.67791</v>
      </c>
      <c r="U39" s="15" t="n">
        <v>11.94</v>
      </c>
      <c r="V39" s="15" t="n">
        <v>25.31</v>
      </c>
      <c r="W39" s="49" t="n">
        <v>92.285</v>
      </c>
    </row>
    <row r="40">
      <c r="A40" s="44" t="inlineStr">
        <is>
          <t>TL Cinsi Degisken Faizli Kuponlu Senetler</t>
        </is>
      </c>
      <c r="B40" s="44" t="n">
        <v>2022</v>
      </c>
      <c r="C40" s="44" t="inlineStr">
        <is>
          <t>TRT130928T12</t>
        </is>
      </c>
      <c r="D40" s="44" t="inlineStr">
        <is>
          <t>11.05.2022</t>
        </is>
      </c>
      <c r="E40" s="44" t="inlineStr">
        <is>
          <t>13.09.2028</t>
        </is>
      </c>
      <c r="F40" s="44" t="n">
        <v>2317</v>
      </c>
      <c r="G40" s="44" t="inlineStr">
        <is>
          <t>6 ay</t>
        </is>
      </c>
      <c r="H40" s="15" t="n"/>
      <c r="I40" s="45" t="n">
        <v>7384304.9</v>
      </c>
      <c r="J40" s="45" t="n">
        <v>6860428.396</v>
      </c>
      <c r="K40" s="45" t="n">
        <v>5269301.9</v>
      </c>
      <c r="L40" s="45" t="n">
        <v>4922600.066</v>
      </c>
      <c r="M40" s="45" t="n">
        <v>80282.594</v>
      </c>
      <c r="N40" s="45" t="n">
        <v>74999.99931</v>
      </c>
      <c r="O40" s="45" t="n">
        <v>2943695.136</v>
      </c>
      <c r="P40" s="45" t="n">
        <v>2749999.99605</v>
      </c>
      <c r="Q40" s="45" t="n">
        <v>35037.679</v>
      </c>
      <c r="R40" s="45" t="n">
        <v>32732.19972</v>
      </c>
      <c r="S40" s="45" t="n">
        <v>8328317.308999999</v>
      </c>
      <c r="T40" s="45" t="n">
        <v>7780332.26108</v>
      </c>
      <c r="U40" s="15" t="n">
        <v>12.02</v>
      </c>
      <c r="V40" s="15" t="n">
        <v>25.49</v>
      </c>
      <c r="W40" s="49" t="n">
        <v>93.42</v>
      </c>
    </row>
    <row r="41">
      <c r="A41" s="44" t="inlineStr">
        <is>
          <t>TL Cinsi Degisken Faizli Kuponlu Senetler</t>
        </is>
      </c>
      <c r="B41" s="44" t="n">
        <v>2022</v>
      </c>
      <c r="C41" s="44" t="inlineStr">
        <is>
          <t>TRT130928T12</t>
        </is>
      </c>
      <c r="D41" s="44" t="inlineStr">
        <is>
          <t>08.06.2022</t>
        </is>
      </c>
      <c r="E41" s="44" t="inlineStr">
        <is>
          <t>13.09.2028</t>
        </is>
      </c>
      <c r="F41" s="44" t="n">
        <v>2289</v>
      </c>
      <c r="G41" s="44" t="inlineStr">
        <is>
          <t>6 ay</t>
        </is>
      </c>
      <c r="H41" s="15" t="n"/>
      <c r="I41" s="45" t="n">
        <v>4661008</v>
      </c>
      <c r="J41" s="45" t="n">
        <v>4384566.01</v>
      </c>
      <c r="K41" s="45" t="n">
        <v>3287002</v>
      </c>
      <c r="L41" s="45" t="n">
        <v>3110730.5</v>
      </c>
      <c r="M41" s="45" t="n">
        <v>1426503.375</v>
      </c>
      <c r="N41" s="45" t="n">
        <v>1349999.99899</v>
      </c>
      <c r="O41" s="45" t="n">
        <v>3698342.081</v>
      </c>
      <c r="P41" s="45" t="n">
        <v>3499999.99517</v>
      </c>
      <c r="Q41" s="45" t="n">
        <v>758000</v>
      </c>
      <c r="R41" s="45" t="n">
        <v>717348.46</v>
      </c>
      <c r="S41" s="45" t="n">
        <v>9169847.456</v>
      </c>
      <c r="T41" s="45" t="n">
        <v>8678078.954159999</v>
      </c>
      <c r="U41" s="15" t="n">
        <v>12.1</v>
      </c>
      <c r="V41" s="15" t="n">
        <v>25.66</v>
      </c>
      <c r="W41" s="49" t="n">
        <v>94.637</v>
      </c>
    </row>
    <row r="42">
      <c r="A42" s="44" t="inlineStr">
        <is>
          <t>TL Cinsi Degisken Faizli Kuponlu Senetler</t>
        </is>
      </c>
      <c r="B42" s="44" t="n">
        <v>2022</v>
      </c>
      <c r="C42" s="44" t="inlineStr">
        <is>
          <t>TRT130928T12</t>
        </is>
      </c>
      <c r="D42" s="44" t="inlineStr">
        <is>
          <t>06.07.2022</t>
        </is>
      </c>
      <c r="E42" s="44" t="inlineStr">
        <is>
          <t>13.09.2028</t>
        </is>
      </c>
      <c r="F42" s="44" t="n">
        <v>2261</v>
      </c>
      <c r="G42" s="44" t="inlineStr">
        <is>
          <t>6 ay</t>
        </is>
      </c>
      <c r="H42" s="15" t="n"/>
      <c r="I42" s="45" t="n">
        <v>3846205</v>
      </c>
      <c r="J42" s="45" t="n">
        <v>3660308.72</v>
      </c>
      <c r="K42" s="45" t="n">
        <v>2080201</v>
      </c>
      <c r="L42" s="45" t="n">
        <v>1990270.61</v>
      </c>
      <c r="M42" s="45" t="n">
        <v>0</v>
      </c>
      <c r="N42" s="45" t="n">
        <v>0</v>
      </c>
      <c r="O42" s="45" t="n">
        <v>1829070.723</v>
      </c>
      <c r="P42" s="45" t="n">
        <v>1749999.99564</v>
      </c>
      <c r="Q42" s="45" t="n">
        <v>1000</v>
      </c>
      <c r="R42" s="45" t="n">
        <v>956.77</v>
      </c>
      <c r="S42" s="45" t="n">
        <v>3910271.723</v>
      </c>
      <c r="T42" s="45" t="n">
        <v>3741227.37564</v>
      </c>
      <c r="U42" s="15" t="n">
        <v>12.21</v>
      </c>
      <c r="V42" s="15" t="n">
        <v>25.9</v>
      </c>
      <c r="W42" s="49" t="n">
        <v>95.67700000000001</v>
      </c>
    </row>
    <row r="43">
      <c r="A43" s="44" t="inlineStr">
        <is>
          <t>TL Cinsi Degisken Faizli Kuponlu Senetler</t>
        </is>
      </c>
      <c r="B43" s="44" t="n">
        <v>2022</v>
      </c>
      <c r="C43" s="44" t="inlineStr">
        <is>
          <t>TRT130928T12</t>
        </is>
      </c>
      <c r="D43" s="44" t="inlineStr">
        <is>
          <t>10.08.2022</t>
        </is>
      </c>
      <c r="E43" s="44" t="inlineStr">
        <is>
          <t>13.09.2028</t>
        </is>
      </c>
      <c r="F43" s="44" t="n">
        <v>2226</v>
      </c>
      <c r="G43" s="44" t="inlineStr">
        <is>
          <t>6 ay</t>
        </is>
      </c>
      <c r="H43" s="15" t="n"/>
      <c r="I43" s="45" t="n">
        <v>3868657</v>
      </c>
      <c r="J43" s="45" t="n">
        <v>3760555.3295</v>
      </c>
      <c r="K43" s="45" t="n">
        <v>2212501</v>
      </c>
      <c r="L43" s="45" t="n">
        <v>2160227.67</v>
      </c>
      <c r="M43" s="45" t="n">
        <v>256050.472</v>
      </c>
      <c r="N43" s="45" t="n">
        <v>249999.99935</v>
      </c>
      <c r="O43" s="45" t="n">
        <v>1024201.888</v>
      </c>
      <c r="P43" s="45" t="n">
        <v>999999.99738</v>
      </c>
      <c r="Q43" s="45" t="n">
        <v>75200.999</v>
      </c>
      <c r="R43" s="45" t="n">
        <v>73423.99939</v>
      </c>
      <c r="S43" s="45" t="n">
        <v>3567954.359</v>
      </c>
      <c r="T43" s="45" t="n">
        <v>3483651.66612</v>
      </c>
      <c r="U43" s="15" t="n">
        <v>12.24</v>
      </c>
      <c r="V43" s="15" t="n">
        <v>25.98</v>
      </c>
      <c r="W43" s="49" t="n">
        <v>97.637</v>
      </c>
    </row>
    <row r="44">
      <c r="A44" s="44" t="inlineStr">
        <is>
          <t>TL Cinsi Degisken Faizli Kuponlu Senetler</t>
        </is>
      </c>
      <c r="B44" s="44" t="n">
        <v>2022</v>
      </c>
      <c r="C44" s="44" t="inlineStr">
        <is>
          <t>TRT130928T12</t>
        </is>
      </c>
      <c r="D44" s="44" t="inlineStr">
        <is>
          <t>21.09.2022</t>
        </is>
      </c>
      <c r="E44" s="44" t="inlineStr">
        <is>
          <t>13.09.2028</t>
        </is>
      </c>
      <c r="F44" s="44" t="n">
        <v>2184</v>
      </c>
      <c r="G44" s="44" t="inlineStr">
        <is>
          <t>6 ay</t>
        </is>
      </c>
      <c r="H44" s="15" t="n"/>
      <c r="I44" s="45" t="n">
        <v>3849009</v>
      </c>
      <c r="J44" s="45" t="n">
        <v>3610999.95</v>
      </c>
      <c r="K44" s="45" t="n">
        <v>1896504</v>
      </c>
      <c r="L44" s="45" t="n">
        <v>1823183.66</v>
      </c>
      <c r="M44" s="45" t="n">
        <v>2392493.81</v>
      </c>
      <c r="N44" s="45" t="n">
        <v>2299999.99931</v>
      </c>
      <c r="O44" s="45" t="n">
        <v>1248257.638</v>
      </c>
      <c r="P44" s="45" t="n">
        <v>1199999.99771</v>
      </c>
      <c r="Q44" s="45" t="n">
        <v>173546.403</v>
      </c>
      <c r="R44" s="45" t="n">
        <v>166837.09905</v>
      </c>
      <c r="S44" s="45" t="n">
        <v>5710801.851000001</v>
      </c>
      <c r="T44" s="45" t="n">
        <v>5490020.756069999</v>
      </c>
      <c r="U44" s="15" t="n">
        <v>9.779999999999999</v>
      </c>
      <c r="V44" s="15" t="n">
        <v>20.52</v>
      </c>
      <c r="W44" s="49" t="n">
        <v>96.134</v>
      </c>
    </row>
    <row r="45">
      <c r="A45" s="44" t="inlineStr">
        <is>
          <t>TL Cinsi Degisken Faizli Kuponlu Senetler</t>
        </is>
      </c>
      <c r="B45" s="44" t="n">
        <v>2022</v>
      </c>
      <c r="C45" s="44" t="inlineStr">
        <is>
          <t>TRT031029T10</t>
        </is>
      </c>
      <c r="D45" s="44" t="inlineStr">
        <is>
          <t>12.10.2022</t>
        </is>
      </c>
      <c r="E45" s="44" t="inlineStr">
        <is>
          <t>03.10.2029</t>
        </is>
      </c>
      <c r="F45" s="44" t="n">
        <v>2548</v>
      </c>
      <c r="G45" s="44" t="inlineStr">
        <is>
          <t>6 ay</t>
        </is>
      </c>
      <c r="H45" s="15" t="n"/>
      <c r="I45" s="45" t="n">
        <v>4703010</v>
      </c>
      <c r="J45" s="45" t="n">
        <v>4325432.715</v>
      </c>
      <c r="K45" s="45" t="n">
        <v>2495506</v>
      </c>
      <c r="L45" s="45" t="n">
        <v>2328355.673</v>
      </c>
      <c r="M45" s="45" t="n">
        <v>1232556.643</v>
      </c>
      <c r="N45" s="45" t="n">
        <v>1149999.99906</v>
      </c>
      <c r="O45" s="45" t="n">
        <v>1446914.319</v>
      </c>
      <c r="P45" s="45" t="n">
        <v>1349999.99792</v>
      </c>
      <c r="Q45" s="45" t="n">
        <v>349247.37</v>
      </c>
      <c r="R45" s="45" t="n">
        <v>325854.78116</v>
      </c>
      <c r="S45" s="45" t="n">
        <v>5524224.332</v>
      </c>
      <c r="T45" s="45" t="n">
        <v>5154210.45114</v>
      </c>
      <c r="U45" s="15" t="n">
        <v>9.9</v>
      </c>
      <c r="V45" s="15" t="n">
        <v>20.79</v>
      </c>
      <c r="W45" s="49" t="n">
        <v>93.30200000000001</v>
      </c>
    </row>
    <row r="46">
      <c r="A46" s="44" t="inlineStr">
        <is>
          <t>TL Cinsi Degisken Faizli Kuponlu Senetler</t>
        </is>
      </c>
      <c r="B46" s="44" t="n">
        <v>2022</v>
      </c>
      <c r="C46" s="44" t="inlineStr">
        <is>
          <t>TRT031029T10</t>
        </is>
      </c>
      <c r="D46" s="44" t="inlineStr">
        <is>
          <t>09.11.2022</t>
        </is>
      </c>
      <c r="E46" s="44" t="inlineStr">
        <is>
          <t>03.10.2029</t>
        </is>
      </c>
      <c r="F46" s="44" t="n">
        <v>2520</v>
      </c>
      <c r="G46" s="44" t="inlineStr">
        <is>
          <t>6 ay</t>
        </is>
      </c>
      <c r="H46" s="15" t="n"/>
      <c r="I46" s="45" t="n">
        <v>8372308</v>
      </c>
      <c r="J46" s="45" t="n">
        <v>7788432.505</v>
      </c>
      <c r="K46" s="45" t="n">
        <v>5757302</v>
      </c>
      <c r="L46" s="45" t="n">
        <v>5421896.685</v>
      </c>
      <c r="M46" s="45" t="n">
        <v>0</v>
      </c>
      <c r="N46" s="45" t="n">
        <v>0</v>
      </c>
      <c r="O46" s="45" t="n">
        <v>1698982.729</v>
      </c>
      <c r="P46" s="45" t="n">
        <v>1599999.99521</v>
      </c>
      <c r="Q46" s="45" t="n">
        <v>50000</v>
      </c>
      <c r="R46" s="45" t="n">
        <v>47087</v>
      </c>
      <c r="S46" s="45" t="n">
        <v>7506284.729</v>
      </c>
      <c r="T46" s="45" t="n">
        <v>7068983.68021</v>
      </c>
      <c r="U46" s="15" t="n">
        <v>9.98</v>
      </c>
      <c r="V46" s="15" t="n">
        <v>20.95</v>
      </c>
      <c r="W46" s="49" t="n">
        <v>94.17400000000001</v>
      </c>
    </row>
    <row r="47">
      <c r="A47" s="44" t="inlineStr">
        <is>
          <t>TL Cinsi Degisken Faizli Kuponlu Senetler</t>
        </is>
      </c>
      <c r="B47" s="44" t="n">
        <v>2022</v>
      </c>
      <c r="C47" s="44" t="inlineStr">
        <is>
          <t>TRT031029T10</t>
        </is>
      </c>
      <c r="D47" s="44" t="inlineStr">
        <is>
          <t>07.12.2022</t>
        </is>
      </c>
      <c r="E47" s="44" t="inlineStr">
        <is>
          <t>03.10.2029</t>
        </is>
      </c>
      <c r="F47" s="44" t="n">
        <v>2492</v>
      </c>
      <c r="G47" s="44" t="inlineStr">
        <is>
          <t>6 ay</t>
        </is>
      </c>
      <c r="H47" s="15" t="n"/>
      <c r="I47" s="45" t="n">
        <v>5350809</v>
      </c>
      <c r="J47" s="45" t="n">
        <v>5016232.412</v>
      </c>
      <c r="K47" s="45" t="n">
        <v>3218000</v>
      </c>
      <c r="L47" s="45" t="n">
        <v>3044899.22</v>
      </c>
      <c r="M47" s="45" t="n">
        <v>1162532.629</v>
      </c>
      <c r="N47" s="45" t="n">
        <v>1099999.99889</v>
      </c>
      <c r="O47" s="45" t="n">
        <v>1056847.844</v>
      </c>
      <c r="P47" s="45" t="n">
        <v>999999.99848</v>
      </c>
      <c r="Q47" s="45" t="n">
        <v>1271268.858</v>
      </c>
      <c r="R47" s="45" t="n">
        <v>1202887.30612</v>
      </c>
      <c r="S47" s="45" t="n">
        <v>6708649.330999999</v>
      </c>
      <c r="T47" s="45" t="n">
        <v>6347786.523490001</v>
      </c>
      <c r="U47" s="15" t="n">
        <v>10.11</v>
      </c>
      <c r="V47" s="15" t="n">
        <v>21.25</v>
      </c>
      <c r="W47" s="49" t="n">
        <v>94.621</v>
      </c>
    </row>
    <row r="48">
      <c r="A48" s="44" t="inlineStr">
        <is>
          <t>TL Cinsi Degisken Faizli Kuponlu Senetler</t>
        </is>
      </c>
      <c r="B48" s="44" t="n">
        <v>2021</v>
      </c>
      <c r="C48" s="44" t="inlineStr">
        <is>
          <t>TRT171127T15</t>
        </is>
      </c>
      <c r="D48" s="44" t="inlineStr">
        <is>
          <t>06.01.2021</t>
        </is>
      </c>
      <c r="E48" s="44" t="inlineStr">
        <is>
          <t>17.11.2027</t>
        </is>
      </c>
      <c r="F48" s="44" t="n">
        <v>2506</v>
      </c>
      <c r="G48" s="44" t="inlineStr">
        <is>
          <t>6 ay</t>
        </is>
      </c>
      <c r="H48" s="15" t="n"/>
      <c r="I48" s="45" t="n">
        <v>2000000</v>
      </c>
      <c r="J48" s="45" t="n">
        <v>1984605.45</v>
      </c>
      <c r="K48" s="45" t="n">
        <v>1059000</v>
      </c>
      <c r="L48" s="45" t="n">
        <v>1058164.39</v>
      </c>
      <c r="M48" s="45" t="n">
        <v>0</v>
      </c>
      <c r="N48" s="45" t="n">
        <v>0</v>
      </c>
      <c r="O48" s="45" t="n">
        <v>1301027.807</v>
      </c>
      <c r="P48" s="45" t="n">
        <v>1299999.99505</v>
      </c>
      <c r="Q48" s="45" t="n">
        <v>0</v>
      </c>
      <c r="R48" s="45" t="n">
        <v>0</v>
      </c>
      <c r="S48" s="45" t="n">
        <v>2360027.807</v>
      </c>
      <c r="T48" s="45" t="n">
        <v>2358164.38505</v>
      </c>
      <c r="U48" s="15" t="n">
        <v>6.95</v>
      </c>
      <c r="V48" s="15" t="n">
        <v>14.39</v>
      </c>
      <c r="W48" s="49" t="n">
        <v>99.92100000000001</v>
      </c>
    </row>
    <row r="49">
      <c r="A49" s="44" t="inlineStr">
        <is>
          <t>TL Cinsi Degisken Faizli Kuponlu Senetler</t>
        </is>
      </c>
      <c r="B49" s="44" t="n">
        <v>2021</v>
      </c>
      <c r="C49" s="44" t="inlineStr">
        <is>
          <t>TRT171127T15</t>
        </is>
      </c>
      <c r="D49" s="44" t="inlineStr">
        <is>
          <t>17.02.2021</t>
        </is>
      </c>
      <c r="E49" s="44" t="inlineStr">
        <is>
          <t>17.11.2027</t>
        </is>
      </c>
      <c r="F49" s="44" t="n">
        <v>2464</v>
      </c>
      <c r="G49" s="44" t="inlineStr">
        <is>
          <t>6 ay</t>
        </is>
      </c>
      <c r="H49" s="15" t="n"/>
      <c r="I49" s="45" t="n">
        <v>1348000</v>
      </c>
      <c r="J49" s="45" t="n">
        <v>1358120.92</v>
      </c>
      <c r="K49" s="45" t="n">
        <v>811000</v>
      </c>
      <c r="L49" s="45" t="n">
        <v>820123.0600000001</v>
      </c>
      <c r="M49" s="45" t="n">
        <v>0</v>
      </c>
      <c r="N49" s="45" t="n">
        <v>0</v>
      </c>
      <c r="O49" s="45" t="n">
        <v>791100.121</v>
      </c>
      <c r="P49" s="45" t="n">
        <v>799999.99737</v>
      </c>
      <c r="Q49" s="45" t="n">
        <v>100171.322</v>
      </c>
      <c r="R49" s="45" t="n">
        <v>101298.24937</v>
      </c>
      <c r="S49" s="45" t="n">
        <v>1702271.443</v>
      </c>
      <c r="T49" s="45" t="n">
        <v>1721421.30674</v>
      </c>
      <c r="U49" s="15" t="n">
        <v>7</v>
      </c>
      <c r="V49" s="15" t="n">
        <v>14.48</v>
      </c>
      <c r="W49" s="49" t="n">
        <v>101.125</v>
      </c>
    </row>
    <row r="50">
      <c r="A50" s="44" t="inlineStr">
        <is>
          <t>TL Cinsi Degisken Faizli Kuponlu Senetler</t>
        </is>
      </c>
      <c r="B50" s="44" t="n">
        <v>2021</v>
      </c>
      <c r="C50" s="44" t="inlineStr">
        <is>
          <t>TRT171127T15</t>
        </is>
      </c>
      <c r="D50" s="44" t="inlineStr">
        <is>
          <t>17.03.2021</t>
        </is>
      </c>
      <c r="E50" s="44" t="inlineStr">
        <is>
          <t>17.11.2027</t>
        </is>
      </c>
      <c r="F50" s="44" t="n">
        <v>2436</v>
      </c>
      <c r="G50" s="44" t="inlineStr">
        <is>
          <t>6 ay</t>
        </is>
      </c>
      <c r="H50" s="15" t="n"/>
      <c r="I50" s="45" t="n">
        <v>1401000</v>
      </c>
      <c r="J50" s="45" t="n">
        <v>1410181.57</v>
      </c>
      <c r="K50" s="45" t="n">
        <v>861000</v>
      </c>
      <c r="L50" s="45" t="n">
        <v>872924.42</v>
      </c>
      <c r="M50" s="45" t="n">
        <v>0</v>
      </c>
      <c r="N50" s="45" t="n">
        <v>0</v>
      </c>
      <c r="O50" s="45" t="n">
        <v>394535.679</v>
      </c>
      <c r="P50" s="45" t="n">
        <v>399999.99816</v>
      </c>
      <c r="Q50" s="45" t="n">
        <v>73975.44</v>
      </c>
      <c r="R50" s="45" t="n">
        <v>74999.99984</v>
      </c>
      <c r="S50" s="45" t="n">
        <v>1329511.119</v>
      </c>
      <c r="T50" s="45" t="n">
        <v>1347924.418</v>
      </c>
      <c r="U50" s="15" t="n">
        <v>7.09</v>
      </c>
      <c r="V50" s="15" t="n">
        <v>14.69</v>
      </c>
      <c r="W50" s="49" t="n">
        <v>101.385</v>
      </c>
    </row>
    <row r="51">
      <c r="A51" s="44" t="inlineStr">
        <is>
          <t>TL Cinsi Degisken Faizli Kuponlu Senetler</t>
        </is>
      </c>
      <c r="B51" s="44" t="n">
        <v>2021</v>
      </c>
      <c r="C51" s="44" t="inlineStr">
        <is>
          <t>TRT171127T15</t>
        </is>
      </c>
      <c r="D51" s="44" t="inlineStr">
        <is>
          <t>21.04.2021</t>
        </is>
      </c>
      <c r="E51" s="44" t="inlineStr">
        <is>
          <t>17.11.2027</t>
        </is>
      </c>
      <c r="F51" s="44" t="n">
        <v>2401</v>
      </c>
      <c r="G51" s="44" t="inlineStr">
        <is>
          <t>6 ay</t>
        </is>
      </c>
      <c r="H51" s="15" t="n"/>
      <c r="I51" s="45" t="n">
        <v>1216000.001</v>
      </c>
      <c r="J51" s="45" t="n">
        <v>1210740.43101</v>
      </c>
      <c r="K51" s="45" t="n">
        <v>596000.001</v>
      </c>
      <c r="L51" s="45" t="n">
        <v>603010.13101</v>
      </c>
      <c r="M51" s="45" t="n">
        <v>691863.683</v>
      </c>
      <c r="N51" s="45" t="n">
        <v>699999.99991</v>
      </c>
      <c r="O51" s="45" t="n">
        <v>494188.343</v>
      </c>
      <c r="P51" s="45" t="n">
        <v>499999.99792</v>
      </c>
      <c r="Q51" s="45" t="n">
        <v>0</v>
      </c>
      <c r="R51" s="45" t="n">
        <v>0</v>
      </c>
      <c r="S51" s="45" t="n">
        <v>1782052.027</v>
      </c>
      <c r="T51" s="45" t="n">
        <v>1803010.12884</v>
      </c>
      <c r="U51" s="15" t="n">
        <v>7.28</v>
      </c>
      <c r="V51" s="15" t="n">
        <v>15.1</v>
      </c>
      <c r="W51" s="49" t="n">
        <v>101.176</v>
      </c>
    </row>
    <row r="52">
      <c r="A52" s="44" t="inlineStr">
        <is>
          <t>TL Cinsi Degisken Faizli Kuponlu Senetler</t>
        </is>
      </c>
      <c r="B52" s="44" t="n">
        <v>2021</v>
      </c>
      <c r="C52" s="44" t="inlineStr">
        <is>
          <t>TRT171127T15</t>
        </is>
      </c>
      <c r="D52" s="44" t="inlineStr">
        <is>
          <t>26.05.2021</t>
        </is>
      </c>
      <c r="E52" s="44" t="inlineStr">
        <is>
          <t>17.11.2027</t>
        </is>
      </c>
      <c r="F52" s="44" t="n">
        <v>2366</v>
      </c>
      <c r="G52" s="44" t="inlineStr">
        <is>
          <t>6 ay</t>
        </is>
      </c>
      <c r="H52" s="15" t="n"/>
      <c r="I52" s="45" t="n">
        <v>1584000</v>
      </c>
      <c r="J52" s="45" t="n">
        <v>1501530.3</v>
      </c>
      <c r="K52" s="45" t="n">
        <v>574000</v>
      </c>
      <c r="L52" s="45" t="n">
        <v>547863.3</v>
      </c>
      <c r="M52" s="45" t="n">
        <v>471465.839</v>
      </c>
      <c r="N52" s="45" t="n">
        <v>449999.99935</v>
      </c>
      <c r="O52" s="45" t="n">
        <v>261925.464</v>
      </c>
      <c r="P52" s="45" t="n">
        <v>249999.99761</v>
      </c>
      <c r="Q52" s="45" t="n">
        <v>0</v>
      </c>
      <c r="R52" s="45" t="n">
        <v>0</v>
      </c>
      <c r="S52" s="45" t="n">
        <v>1307391.303</v>
      </c>
      <c r="T52" s="45" t="n">
        <v>1247863.29696</v>
      </c>
      <c r="U52" s="15" t="n">
        <v>8.98</v>
      </c>
      <c r="V52" s="15" t="n">
        <v>18.76</v>
      </c>
      <c r="W52" s="49" t="n">
        <v>95.447</v>
      </c>
    </row>
    <row r="53">
      <c r="A53" s="44" t="inlineStr">
        <is>
          <t>TL Cinsi Degisken Faizli Kuponlu Senetler</t>
        </is>
      </c>
      <c r="B53" s="44" t="n">
        <v>2021</v>
      </c>
      <c r="C53" s="44" t="inlineStr">
        <is>
          <t>TRT171127T15</t>
        </is>
      </c>
      <c r="D53" s="44" t="inlineStr">
        <is>
          <t>09.06.2021</t>
        </is>
      </c>
      <c r="E53" s="44" t="inlineStr">
        <is>
          <t>17.11.2027</t>
        </is>
      </c>
      <c r="F53" s="44" t="n">
        <v>2352</v>
      </c>
      <c r="G53" s="44" t="inlineStr">
        <is>
          <t>6 ay</t>
        </is>
      </c>
      <c r="H53" s="15" t="n"/>
      <c r="I53" s="45" t="n">
        <v>1596000</v>
      </c>
      <c r="J53" s="45" t="n">
        <v>1511757.95</v>
      </c>
      <c r="K53" s="45" t="n">
        <v>896000</v>
      </c>
      <c r="L53" s="45" t="n">
        <v>852860.2</v>
      </c>
      <c r="M53" s="45" t="n">
        <v>0</v>
      </c>
      <c r="N53" s="45" t="n">
        <v>0</v>
      </c>
      <c r="O53" s="45" t="n">
        <v>210117.139</v>
      </c>
      <c r="P53" s="45" t="n">
        <v>199999.99876</v>
      </c>
      <c r="Q53" s="45" t="n">
        <v>0</v>
      </c>
      <c r="R53" s="45" t="n">
        <v>0</v>
      </c>
      <c r="S53" s="45" t="n">
        <v>1106117.139</v>
      </c>
      <c r="T53" s="45" t="n">
        <v>1052860.19876</v>
      </c>
      <c r="U53" s="15" t="n">
        <v>9.1</v>
      </c>
      <c r="V53" s="15" t="n">
        <v>19.03</v>
      </c>
      <c r="W53" s="49" t="n">
        <v>95.185</v>
      </c>
    </row>
    <row r="54">
      <c r="A54" s="44" t="inlineStr">
        <is>
          <t>TL Cinsi Degisken Faizli Kuponlu Senetler</t>
        </is>
      </c>
      <c r="B54" s="44" t="n">
        <v>2021</v>
      </c>
      <c r="C54" s="44" t="inlineStr">
        <is>
          <t>TRT171127T15</t>
        </is>
      </c>
      <c r="D54" s="44" t="inlineStr">
        <is>
          <t>28.07.2021</t>
        </is>
      </c>
      <c r="E54" s="44" t="inlineStr">
        <is>
          <t>17.11.2027</t>
        </is>
      </c>
      <c r="F54" s="44" t="n">
        <v>2303</v>
      </c>
      <c r="G54" s="44" t="inlineStr">
        <is>
          <t>6 ay</t>
        </is>
      </c>
      <c r="H54" s="15" t="n"/>
      <c r="I54" s="45" t="n">
        <v>2056000</v>
      </c>
      <c r="J54" s="45" t="n">
        <v>1978485.44</v>
      </c>
      <c r="K54" s="45" t="n">
        <v>1106000</v>
      </c>
      <c r="L54" s="45" t="n">
        <v>1074328.44</v>
      </c>
      <c r="M54" s="45" t="n">
        <v>1750123.537</v>
      </c>
      <c r="N54" s="45" t="n">
        <v>1699999.9989</v>
      </c>
      <c r="O54" s="45" t="n">
        <v>720639.101</v>
      </c>
      <c r="P54" s="45" t="n">
        <v>699999.99715</v>
      </c>
      <c r="Q54" s="45" t="n">
        <v>315000</v>
      </c>
      <c r="R54" s="45" t="n">
        <v>305978.4</v>
      </c>
      <c r="S54" s="45" t="n">
        <v>3891762.638</v>
      </c>
      <c r="T54" s="45" t="n">
        <v>3780306.83605</v>
      </c>
      <c r="U54" s="15" t="n">
        <v>9.15</v>
      </c>
      <c r="V54" s="15" t="n">
        <v>19.13</v>
      </c>
      <c r="W54" s="49" t="n">
        <v>97.136</v>
      </c>
    </row>
    <row r="55">
      <c r="A55" s="44" t="inlineStr">
        <is>
          <t>TL Cinsi Degisken Faizli Kuponlu Senetler</t>
        </is>
      </c>
      <c r="B55" s="44" t="n">
        <v>2021</v>
      </c>
      <c r="C55" s="44" t="inlineStr">
        <is>
          <t>TRT130928T12</t>
        </is>
      </c>
      <c r="D55" s="44" t="inlineStr">
        <is>
          <t>22.09.2021</t>
        </is>
      </c>
      <c r="E55" s="44" t="inlineStr">
        <is>
          <t>13.09.2028</t>
        </is>
      </c>
      <c r="F55" s="44" t="n">
        <v>2548</v>
      </c>
      <c r="G55" s="44" t="inlineStr">
        <is>
          <t>6 ay</t>
        </is>
      </c>
      <c r="H55" s="15" t="n"/>
      <c r="I55" s="45" t="n">
        <v>1926000</v>
      </c>
      <c r="J55" s="45" t="n">
        <v>1846649.02</v>
      </c>
      <c r="K55" s="45" t="n">
        <v>955000</v>
      </c>
      <c r="L55" s="45" t="n">
        <v>926355.9</v>
      </c>
      <c r="M55" s="45" t="n">
        <v>2577293.017</v>
      </c>
      <c r="N55" s="45" t="n">
        <v>2499999.99942</v>
      </c>
      <c r="O55" s="45" t="n">
        <v>1030917.204</v>
      </c>
      <c r="P55" s="45" t="n">
        <v>999999.99705</v>
      </c>
      <c r="Q55" s="45" t="n">
        <v>256908.28</v>
      </c>
      <c r="R55" s="45" t="n">
        <v>249203.60068</v>
      </c>
      <c r="S55" s="45" t="n">
        <v>4820118.501</v>
      </c>
      <c r="T55" s="45" t="n">
        <v>4675559.49715</v>
      </c>
      <c r="U55" s="15" t="n">
        <v>9.4</v>
      </c>
      <c r="V55" s="15" t="n">
        <v>19.69</v>
      </c>
      <c r="W55" s="49" t="n">
        <v>97.001</v>
      </c>
    </row>
    <row r="56">
      <c r="A56" s="44" t="inlineStr">
        <is>
          <t>TL Cinsi Degisken Faizli Kuponlu Senetler</t>
        </is>
      </c>
      <c r="B56" s="44" t="n">
        <v>2021</v>
      </c>
      <c r="C56" s="44" t="inlineStr">
        <is>
          <t>TRT130928T12</t>
        </is>
      </c>
      <c r="D56" s="44" t="inlineStr">
        <is>
          <t>20.10.2021</t>
        </is>
      </c>
      <c r="E56" s="44" t="inlineStr">
        <is>
          <t>13.09.2028</t>
        </is>
      </c>
      <c r="F56" s="44" t="n">
        <v>2520</v>
      </c>
      <c r="G56" s="44" t="inlineStr">
        <is>
          <t>6 ay</t>
        </is>
      </c>
      <c r="H56" s="15" t="n"/>
      <c r="I56" s="45" t="n">
        <v>1252000</v>
      </c>
      <c r="J56" s="45" t="n">
        <v>1181932.85</v>
      </c>
      <c r="K56" s="45" t="n">
        <v>662000</v>
      </c>
      <c r="L56" s="45" t="n">
        <v>638363.65</v>
      </c>
      <c r="M56" s="45" t="n">
        <v>1037021.673</v>
      </c>
      <c r="N56" s="45" t="n">
        <v>999999.99927</v>
      </c>
      <c r="O56" s="45" t="n">
        <v>622213.001</v>
      </c>
      <c r="P56" s="45" t="n">
        <v>599999.99686</v>
      </c>
      <c r="Q56" s="45" t="inlineStr">
        <is>
          <t>-</t>
        </is>
      </c>
      <c r="R56" s="45" t="inlineStr">
        <is>
          <t>-</t>
        </is>
      </c>
      <c r="S56" s="45" t="n">
        <v>2321234.674</v>
      </c>
      <c r="T56" s="45" t="n">
        <v>2238363.64613</v>
      </c>
      <c r="U56" s="15" t="n">
        <v>9.67</v>
      </c>
      <c r="V56" s="15" t="n">
        <v>20.27</v>
      </c>
      <c r="W56" s="49" t="n">
        <v>96.43000000000001</v>
      </c>
    </row>
    <row r="57">
      <c r="A57" s="44" t="inlineStr">
        <is>
          <t>TL Cinsi Degisken Faizli Kuponlu Senetler</t>
        </is>
      </c>
      <c r="B57" s="44" t="n">
        <v>2021</v>
      </c>
      <c r="C57" s="44" t="inlineStr">
        <is>
          <t>TRT130928T12</t>
        </is>
      </c>
      <c r="D57" s="44" t="inlineStr">
        <is>
          <t>24.11.2021</t>
        </is>
      </c>
      <c r="E57" s="44" t="inlineStr">
        <is>
          <t>13.09.2028</t>
        </is>
      </c>
      <c r="F57" s="44" t="n">
        <v>2485</v>
      </c>
      <c r="G57" s="44" t="inlineStr">
        <is>
          <t>6 ay</t>
        </is>
      </c>
      <c r="H57" s="15" t="n"/>
      <c r="I57" s="45" t="n">
        <v>1886005.012</v>
      </c>
      <c r="J57" s="45" t="n">
        <v>1792146.32947</v>
      </c>
      <c r="K57" s="45" t="n">
        <v>527005.012</v>
      </c>
      <c r="L57" s="45" t="n">
        <v>510151.30947</v>
      </c>
      <c r="M57" s="45" t="n">
        <v>2066073.015</v>
      </c>
      <c r="N57" s="45" t="n">
        <v>1999999.99998</v>
      </c>
      <c r="O57" s="45" t="n">
        <v>413214.6</v>
      </c>
      <c r="P57" s="45" t="n">
        <v>399999.9971</v>
      </c>
      <c r="Q57" s="45" t="inlineStr">
        <is>
          <t>-</t>
        </is>
      </c>
      <c r="R57" s="45" t="inlineStr">
        <is>
          <t>-</t>
        </is>
      </c>
      <c r="S57" s="45" t="n">
        <v>3006292.627</v>
      </c>
      <c r="T57" s="45" t="n">
        <v>2910151.30655</v>
      </c>
      <c r="U57" s="15" t="n">
        <v>9.859999999999999</v>
      </c>
      <c r="V57" s="15" t="n">
        <v>20.69</v>
      </c>
      <c r="W57" s="49" t="n">
        <v>96.80200000000001</v>
      </c>
    </row>
    <row r="58">
      <c r="A58" s="44" t="inlineStr">
        <is>
          <t>TL Cinsi Degisken Faizli Kuponlu Senetler</t>
        </is>
      </c>
      <c r="B58" s="44" t="n">
        <v>2021</v>
      </c>
      <c r="C58" s="44" t="inlineStr">
        <is>
          <t>TRT130928T12</t>
        </is>
      </c>
      <c r="D58" s="44" t="inlineStr">
        <is>
          <t>08.12.2021</t>
        </is>
      </c>
      <c r="E58" s="44" t="inlineStr">
        <is>
          <t>13.09.2028</t>
        </is>
      </c>
      <c r="F58" s="44" t="n">
        <v>2471</v>
      </c>
      <c r="G58" s="44" t="inlineStr">
        <is>
          <t>6 ay</t>
        </is>
      </c>
      <c r="H58" s="15" t="n"/>
      <c r="I58" s="45" t="n">
        <v>1132003</v>
      </c>
      <c r="J58" s="45" t="n">
        <v>1082302.87</v>
      </c>
      <c r="K58" s="45" t="n">
        <v>462001</v>
      </c>
      <c r="L58" s="45" t="n">
        <v>445794.3</v>
      </c>
      <c r="M58" s="45" t="n">
        <v>1139990.879</v>
      </c>
      <c r="N58" s="45" t="n">
        <v>1099999.99897</v>
      </c>
      <c r="O58" s="45" t="n">
        <v>518177.669</v>
      </c>
      <c r="P58" s="45" t="n">
        <v>499999.99637</v>
      </c>
      <c r="Q58" s="45" t="n">
        <v>37500</v>
      </c>
      <c r="R58" s="45" t="n">
        <v>36184.5</v>
      </c>
      <c r="S58" s="45" t="n">
        <v>2157669.548</v>
      </c>
      <c r="T58" s="45" t="n">
        <v>2081978.79534</v>
      </c>
      <c r="U58" s="15" t="n">
        <v>10</v>
      </c>
      <c r="V58" s="15" t="n">
        <v>21.01</v>
      </c>
      <c r="W58" s="49" t="n">
        <v>96.492</v>
      </c>
    </row>
    <row r="59">
      <c r="A59" s="44" t="inlineStr">
        <is>
          <t>TL Cinsi Degisken Faizli Kuponlu Senetler</t>
        </is>
      </c>
      <c r="B59" s="44" t="n">
        <v>2020</v>
      </c>
      <c r="C59" s="44" t="inlineStr">
        <is>
          <t>TRT041126T11</t>
        </is>
      </c>
      <c r="D59" s="44" t="inlineStr">
        <is>
          <t>15.01.2020</t>
        </is>
      </c>
      <c r="E59" s="44" t="inlineStr">
        <is>
          <t>04.11.2026</t>
        </is>
      </c>
      <c r="F59" s="44" t="n">
        <v>2485</v>
      </c>
      <c r="G59" s="44" t="inlineStr">
        <is>
          <t>6 ay</t>
        </is>
      </c>
      <c r="H59" s="15" t="n"/>
      <c r="I59" s="45" t="n">
        <v>3397000</v>
      </c>
      <c r="J59" s="45" t="n">
        <v>3443690.45</v>
      </c>
      <c r="K59" s="45" t="n">
        <v>1780000</v>
      </c>
      <c r="L59" s="45" t="n">
        <v>1819938.95</v>
      </c>
      <c r="M59" s="45" t="n">
        <v>440123.625</v>
      </c>
      <c r="N59" s="45" t="n">
        <v>449999.99915</v>
      </c>
      <c r="O59" s="45" t="n">
        <v>1158992.209</v>
      </c>
      <c r="P59" s="45" t="n">
        <v>1184999.99419</v>
      </c>
      <c r="Q59" s="45" t="n">
        <v>144630</v>
      </c>
      <c r="R59" s="45" t="n">
        <v>147875.4972</v>
      </c>
      <c r="S59" s="45" t="n">
        <v>3523745.834</v>
      </c>
      <c r="T59" s="45" t="n">
        <v>3602814.44054</v>
      </c>
      <c r="U59" s="15" t="n">
        <v>7.17</v>
      </c>
      <c r="V59" s="15" t="n">
        <v>14.86</v>
      </c>
      <c r="W59" s="49" t="n">
        <v>102.244</v>
      </c>
    </row>
    <row r="60">
      <c r="A60" s="44" t="inlineStr">
        <is>
          <t>TL Cinsi Degisken Faizli Kuponlu Senetler</t>
        </is>
      </c>
      <c r="B60" s="44" t="n">
        <v>2020</v>
      </c>
      <c r="C60" s="44" t="inlineStr">
        <is>
          <t>TRT041126T11</t>
        </is>
      </c>
      <c r="D60" s="44" t="inlineStr">
        <is>
          <t>12.02.2020</t>
        </is>
      </c>
      <c r="E60" s="44" t="inlineStr">
        <is>
          <t>04.11.2026</t>
        </is>
      </c>
      <c r="F60" s="44" t="n">
        <v>2457</v>
      </c>
      <c r="G60" s="44" t="inlineStr">
        <is>
          <t>6 ay</t>
        </is>
      </c>
      <c r="H60" s="15" t="n"/>
      <c r="I60" s="45" t="n">
        <v>2498000</v>
      </c>
      <c r="J60" s="45" t="n">
        <v>2557553.23</v>
      </c>
      <c r="K60" s="45" t="n">
        <v>891000</v>
      </c>
      <c r="L60" s="45" t="n">
        <v>919521.03</v>
      </c>
      <c r="M60" s="45" t="n">
        <v>0</v>
      </c>
      <c r="N60" s="45" t="n">
        <v>0</v>
      </c>
      <c r="O60" s="45" t="n">
        <v>581389.71</v>
      </c>
      <c r="P60" s="45" t="n">
        <v>599999.99462</v>
      </c>
      <c r="Q60" s="45" t="n">
        <v>0</v>
      </c>
      <c r="R60" s="45" t="n">
        <v>0</v>
      </c>
      <c r="S60" s="45" t="n">
        <v>1472389.71</v>
      </c>
      <c r="T60" s="45" t="n">
        <v>1519521.02462</v>
      </c>
      <c r="U60" s="15" t="n">
        <v>7.19</v>
      </c>
      <c r="V60" s="15" t="n">
        <v>14.89</v>
      </c>
      <c r="W60" s="49" t="n">
        <v>103.201</v>
      </c>
    </row>
    <row r="61">
      <c r="A61" s="44" t="inlineStr">
        <is>
          <t>TL Cinsi Degisken Faizli Kuponlu Senetler</t>
        </is>
      </c>
      <c r="B61" s="44" t="n">
        <v>2020</v>
      </c>
      <c r="C61" s="44" t="inlineStr">
        <is>
          <t>TRT041126T11</t>
        </is>
      </c>
      <c r="D61" s="44" t="inlineStr">
        <is>
          <t>11.03.2020</t>
        </is>
      </c>
      <c r="E61" s="44" t="inlineStr">
        <is>
          <t>04.11.2026</t>
        </is>
      </c>
      <c r="F61" s="44" t="n">
        <v>2429</v>
      </c>
      <c r="G61" s="44" t="inlineStr">
        <is>
          <t>6 ay</t>
        </is>
      </c>
      <c r="H61" s="15" t="n"/>
      <c r="I61" s="45" t="n">
        <v>2630000</v>
      </c>
      <c r="J61" s="45" t="n">
        <v>2730325.1</v>
      </c>
      <c r="K61" s="45" t="n">
        <v>1140000</v>
      </c>
      <c r="L61" s="45" t="n">
        <v>1187163.65</v>
      </c>
      <c r="M61" s="45" t="n">
        <v>720205.1139999999</v>
      </c>
      <c r="N61" s="45" t="n">
        <v>749999.99957</v>
      </c>
      <c r="O61" s="45" t="n">
        <v>864246.135</v>
      </c>
      <c r="P61" s="45" t="n">
        <v>899999.99759</v>
      </c>
      <c r="Q61" s="45" t="n">
        <v>42037.786</v>
      </c>
      <c r="R61" s="45" t="n">
        <v>43776.88921</v>
      </c>
      <c r="S61" s="45" t="n">
        <v>2766489.035</v>
      </c>
      <c r="T61" s="45" t="n">
        <v>2880940.53637</v>
      </c>
      <c r="U61" s="15" t="n">
        <v>7.21</v>
      </c>
      <c r="V61" s="15" t="n">
        <v>14.93</v>
      </c>
      <c r="W61" s="49" t="n">
        <v>104.137</v>
      </c>
    </row>
    <row r="62">
      <c r="A62" s="44" t="inlineStr">
        <is>
          <t>TL Cinsi Degisken Faizli Kuponlu Senetler</t>
        </is>
      </c>
      <c r="B62" s="44" t="n">
        <v>2020</v>
      </c>
      <c r="C62" s="44" t="inlineStr">
        <is>
          <t>TRT041126T11</t>
        </is>
      </c>
      <c r="D62" s="44" t="inlineStr">
        <is>
          <t>29.04.2020</t>
        </is>
      </c>
      <c r="E62" s="44" t="inlineStr">
        <is>
          <t>04.11.2026</t>
        </is>
      </c>
      <c r="F62" s="44" t="n">
        <v>2380</v>
      </c>
      <c r="G62" s="44" t="inlineStr">
        <is>
          <t>6 ay</t>
        </is>
      </c>
      <c r="H62" s="15" t="n"/>
      <c r="I62" s="45" t="n">
        <v>3495000</v>
      </c>
      <c r="J62" s="45" t="n">
        <v>3686332.8</v>
      </c>
      <c r="K62" s="45" t="n">
        <v>2080000</v>
      </c>
      <c r="L62" s="45" t="n">
        <v>2199423.15</v>
      </c>
      <c r="M62" s="45" t="n">
        <v>0</v>
      </c>
      <c r="N62" s="45" t="n">
        <v>0</v>
      </c>
      <c r="O62" s="45" t="n">
        <v>2600694.146</v>
      </c>
      <c r="P62" s="45" t="n">
        <v>2749999.99694</v>
      </c>
      <c r="Q62" s="45" t="n">
        <v>75314.92</v>
      </c>
      <c r="R62" s="45" t="n">
        <v>79638.74956</v>
      </c>
      <c r="S62" s="45" t="n">
        <v>4756009.066</v>
      </c>
      <c r="T62" s="45" t="n">
        <v>5029061.896500001</v>
      </c>
      <c r="U62" s="15" t="n">
        <v>7.25</v>
      </c>
      <c r="V62" s="15" t="n">
        <v>15.03</v>
      </c>
      <c r="W62" s="49" t="n">
        <v>105.741</v>
      </c>
    </row>
    <row r="63">
      <c r="A63" s="44" t="inlineStr">
        <is>
          <t>TL Cinsi Degisken Faizli Kuponlu Senetler</t>
        </is>
      </c>
      <c r="B63" s="44" t="n">
        <v>2020</v>
      </c>
      <c r="C63" s="44" t="inlineStr">
        <is>
          <t>TRT050527T17</t>
        </is>
      </c>
      <c r="D63" s="44" t="inlineStr">
        <is>
          <t>13.05.2020</t>
        </is>
      </c>
      <c r="E63" s="44" t="inlineStr">
        <is>
          <t>05.05.2027</t>
        </is>
      </c>
      <c r="F63" s="44" t="n">
        <v>2548</v>
      </c>
      <c r="G63" s="44" t="inlineStr">
        <is>
          <t>6 ay</t>
        </is>
      </c>
      <c r="H63" s="15" t="n"/>
      <c r="I63" s="45" t="n">
        <v>5010250</v>
      </c>
      <c r="J63" s="45" t="n">
        <v>4597424.72125</v>
      </c>
      <c r="K63" s="45" t="n">
        <v>1385000</v>
      </c>
      <c r="L63" s="45" t="n">
        <v>1363702.1</v>
      </c>
      <c r="M63" s="45" t="n">
        <v>0</v>
      </c>
      <c r="N63" s="45" t="n">
        <v>0</v>
      </c>
      <c r="O63" s="45" t="n">
        <v>2234364.523</v>
      </c>
      <c r="P63" s="45" t="n">
        <v>2199999.99663</v>
      </c>
      <c r="Q63" s="45" t="n">
        <v>64164.916</v>
      </c>
      <c r="R63" s="45" t="n">
        <v>63178.05959</v>
      </c>
      <c r="S63" s="45" t="n">
        <v>3683529.439</v>
      </c>
      <c r="T63" s="45" t="n">
        <v>3626880.15622</v>
      </c>
      <c r="U63" s="15" t="n">
        <v>4.9</v>
      </c>
      <c r="V63" s="15" t="n">
        <v>10.05</v>
      </c>
      <c r="W63" s="49" t="n">
        <v>98.462</v>
      </c>
    </row>
    <row r="64">
      <c r="A64" s="44" t="inlineStr">
        <is>
          <t>TL Cinsi Degisken Faizli Kuponlu Senetler</t>
        </is>
      </c>
      <c r="B64" s="44" t="n">
        <v>2020</v>
      </c>
      <c r="C64" s="44" t="inlineStr">
        <is>
          <t>TRT050527T17</t>
        </is>
      </c>
      <c r="D64" s="44" t="inlineStr">
        <is>
          <t>10.06.2020</t>
        </is>
      </c>
      <c r="E64" s="44" t="inlineStr">
        <is>
          <t>05.05.2027</t>
        </is>
      </c>
      <c r="F64" s="44" t="n">
        <v>2520</v>
      </c>
      <c r="G64" s="44" t="inlineStr">
        <is>
          <t>6 ay</t>
        </is>
      </c>
      <c r="H64" s="15" t="n"/>
      <c r="I64" s="45" t="n">
        <v>3573100</v>
      </c>
      <c r="J64" s="45" t="n">
        <v>3494502.9</v>
      </c>
      <c r="K64" s="45" t="n">
        <v>1399100</v>
      </c>
      <c r="L64" s="45" t="n">
        <v>1381641.32</v>
      </c>
      <c r="M64" s="45" t="n">
        <v>1670852.235</v>
      </c>
      <c r="N64" s="45" t="n">
        <v>1649999.9991</v>
      </c>
      <c r="O64" s="45" t="n">
        <v>1367060.917</v>
      </c>
      <c r="P64" s="45" t="n">
        <v>1349999.99675</v>
      </c>
      <c r="Q64" s="45" t="n">
        <v>231179.114</v>
      </c>
      <c r="R64" s="45" t="n">
        <v>228293.99865</v>
      </c>
      <c r="S64" s="45" t="n">
        <v>4668192.266000001</v>
      </c>
      <c r="T64" s="45" t="n">
        <v>4609935.3145</v>
      </c>
      <c r="U64" s="15" t="n">
        <v>4.95</v>
      </c>
      <c r="V64" s="15" t="n">
        <v>10.14</v>
      </c>
      <c r="W64" s="49" t="n">
        <v>98.752</v>
      </c>
    </row>
    <row r="65">
      <c r="A65" s="44" t="inlineStr">
        <is>
          <t>TL Cinsi Degisken Faizli Kuponlu Senetler</t>
        </is>
      </c>
      <c r="B65" s="44" t="n">
        <v>2020</v>
      </c>
      <c r="C65" s="44" t="inlineStr">
        <is>
          <t>TRT050527T17</t>
        </is>
      </c>
      <c r="D65" s="44" t="inlineStr">
        <is>
          <t>08.07.2020</t>
        </is>
      </c>
      <c r="E65" s="44" t="inlineStr">
        <is>
          <t>05.05.2027</t>
        </is>
      </c>
      <c r="F65" s="44" t="n">
        <v>2492</v>
      </c>
      <c r="G65" s="44" t="inlineStr">
        <is>
          <t>6 ay</t>
        </is>
      </c>
      <c r="H65" s="15" t="n"/>
      <c r="I65" s="45" t="n">
        <v>3566000</v>
      </c>
      <c r="J65" s="45" t="n">
        <v>3526126.46</v>
      </c>
      <c r="K65" s="45" t="n">
        <v>1692000</v>
      </c>
      <c r="L65" s="45" t="n">
        <v>1681071.53</v>
      </c>
      <c r="M65" s="45" t="n">
        <v>1081989.652</v>
      </c>
      <c r="N65" s="45" t="n">
        <v>1074999.99885</v>
      </c>
      <c r="O65" s="45" t="n">
        <v>2013004.002</v>
      </c>
      <c r="P65" s="45" t="n">
        <v>1999999.99617</v>
      </c>
      <c r="Q65" s="45" t="n">
        <v>15029.742</v>
      </c>
      <c r="R65" s="45" t="n">
        <v>14932.64987</v>
      </c>
      <c r="S65" s="45" t="n">
        <v>4802023.396</v>
      </c>
      <c r="T65" s="45" t="n">
        <v>4771004.17489</v>
      </c>
      <c r="U65" s="15" t="n">
        <v>4.96</v>
      </c>
      <c r="V65" s="15" t="n">
        <v>10.17</v>
      </c>
      <c r="W65" s="49" t="n">
        <v>99.354</v>
      </c>
    </row>
    <row r="66">
      <c r="A66" s="44" t="inlineStr">
        <is>
          <t>TL Cinsi Degisken Faizli Kuponlu Senetler</t>
        </is>
      </c>
      <c r="B66" s="44" t="n">
        <v>2020</v>
      </c>
      <c r="C66" s="44" t="inlineStr">
        <is>
          <t>TRT050527T17</t>
        </is>
      </c>
      <c r="D66" s="44" t="inlineStr">
        <is>
          <t>26.08.2020</t>
        </is>
      </c>
      <c r="E66" s="44" t="inlineStr">
        <is>
          <t>05.05.2027</t>
        </is>
      </c>
      <c r="F66" s="44" t="n">
        <v>2443</v>
      </c>
      <c r="G66" s="44" t="inlineStr">
        <is>
          <t>6 ay</t>
        </is>
      </c>
      <c r="H66" s="15" t="n"/>
      <c r="I66" s="45" t="n">
        <v>2508000</v>
      </c>
      <c r="J66" s="45" t="n">
        <v>2502064.98</v>
      </c>
      <c r="K66" s="45" t="n">
        <v>852000</v>
      </c>
      <c r="L66" s="45" t="n">
        <v>856656.91</v>
      </c>
      <c r="M66" s="45" t="n">
        <v>497279.879</v>
      </c>
      <c r="N66" s="45" t="n">
        <v>499999.99994</v>
      </c>
      <c r="O66" s="45" t="n">
        <v>994559.753</v>
      </c>
      <c r="P66" s="45" t="n">
        <v>999999.9948400001</v>
      </c>
      <c r="Q66" s="45" t="n">
        <v>0</v>
      </c>
      <c r="R66" s="45" t="n">
        <v>0</v>
      </c>
      <c r="S66" s="45" t="n">
        <v>2343839.632</v>
      </c>
      <c r="T66" s="45" t="n">
        <v>2356656.90478</v>
      </c>
      <c r="U66" s="15" t="n">
        <v>4.97</v>
      </c>
      <c r="V66" s="15" t="n">
        <v>10.2</v>
      </c>
      <c r="W66" s="49" t="n">
        <v>100.547</v>
      </c>
    </row>
    <row r="67">
      <c r="A67" s="44" t="inlineStr">
        <is>
          <t>TL Cinsi Degisken Faizli Kuponlu Senetler</t>
        </is>
      </c>
      <c r="B67" s="44" t="n">
        <v>2020</v>
      </c>
      <c r="C67" s="44" t="inlineStr">
        <is>
          <t>TRT050527T17</t>
        </is>
      </c>
      <c r="D67" s="44" t="inlineStr">
        <is>
          <t>16.09.2020</t>
        </is>
      </c>
      <c r="E67" s="44" t="inlineStr">
        <is>
          <t>05.05.2027</t>
        </is>
      </c>
      <c r="F67" s="44" t="n">
        <v>2422</v>
      </c>
      <c r="G67" s="44" t="inlineStr">
        <is>
          <t>6 ay</t>
        </is>
      </c>
      <c r="H67" s="15" t="n"/>
      <c r="I67" s="45" t="n">
        <v>3282000</v>
      </c>
      <c r="J67" s="45" t="n">
        <v>3306710.11</v>
      </c>
      <c r="K67" s="45" t="n">
        <v>849000</v>
      </c>
      <c r="L67" s="45" t="n">
        <v>864814.6800000001</v>
      </c>
      <c r="M67" s="45" t="n">
        <v>490855.364</v>
      </c>
      <c r="N67" s="45" t="n">
        <v>499999.99943</v>
      </c>
      <c r="O67" s="45" t="n">
        <v>736283.044</v>
      </c>
      <c r="P67" s="45" t="n">
        <v>749999.99712</v>
      </c>
      <c r="Q67" s="45" t="n">
        <v>0</v>
      </c>
      <c r="R67" s="45" t="n">
        <v>0</v>
      </c>
      <c r="S67" s="45" t="n">
        <v>2076138.408</v>
      </c>
      <c r="T67" s="45" t="n">
        <v>2114814.67655</v>
      </c>
      <c r="U67" s="15" t="n">
        <v>4.9</v>
      </c>
      <c r="V67" s="15" t="n">
        <v>10.03</v>
      </c>
      <c r="W67" s="49" t="n">
        <v>101.863</v>
      </c>
    </row>
    <row r="68">
      <c r="A68" s="44" t="inlineStr">
        <is>
          <t>TL Cinsi Degisken Faizli Kuponlu Senetler</t>
        </is>
      </c>
      <c r="B68" s="44" t="n">
        <v>2020</v>
      </c>
      <c r="C68" s="44" t="inlineStr">
        <is>
          <t>TRT050527T17</t>
        </is>
      </c>
      <c r="D68" s="44" t="inlineStr">
        <is>
          <t>21.10.2020</t>
        </is>
      </c>
      <c r="E68" s="44" t="inlineStr">
        <is>
          <t>05.05.2027</t>
        </is>
      </c>
      <c r="F68" s="44" t="n">
        <v>2387</v>
      </c>
      <c r="G68" s="44" t="inlineStr">
        <is>
          <t>6 ay</t>
        </is>
      </c>
      <c r="H68" s="15" t="n"/>
      <c r="I68" s="45" t="n">
        <v>2585000</v>
      </c>
      <c r="J68" s="45" t="n">
        <v>2640820.99</v>
      </c>
      <c r="K68" s="45" t="n">
        <v>948000</v>
      </c>
      <c r="L68" s="45" t="n">
        <v>975661.11</v>
      </c>
      <c r="M68" s="45" t="n">
        <v>485823.665</v>
      </c>
      <c r="N68" s="45" t="n">
        <v>499999.99954</v>
      </c>
      <c r="O68" s="45" t="n">
        <v>971647.327</v>
      </c>
      <c r="P68" s="45" t="n">
        <v>999999.99602</v>
      </c>
      <c r="Q68" s="45" t="n">
        <v>30007.578</v>
      </c>
      <c r="R68" s="45" t="n">
        <v>30883.19913</v>
      </c>
      <c r="S68" s="45" t="n">
        <v>2435478.57</v>
      </c>
      <c r="T68" s="45" t="n">
        <v>2506544.30469</v>
      </c>
      <c r="U68" s="15" t="n">
        <v>4.88</v>
      </c>
      <c r="V68" s="15" t="n">
        <v>10.01</v>
      </c>
      <c r="W68" s="49" t="n">
        <v>102.918</v>
      </c>
    </row>
    <row r="69">
      <c r="A69" s="44" t="inlineStr">
        <is>
          <t>TL Cinsi Degisken Faizli Kuponlu Senetler</t>
        </is>
      </c>
      <c r="B69" s="44" t="n">
        <v>2020</v>
      </c>
      <c r="C69" s="44" t="inlineStr">
        <is>
          <t>TRT171127T15</t>
        </is>
      </c>
      <c r="D69" s="44" t="inlineStr">
        <is>
          <t>25.11.2020</t>
        </is>
      </c>
      <c r="E69" s="44" t="inlineStr">
        <is>
          <t>17.11.2027</t>
        </is>
      </c>
      <c r="F69" s="44" t="n">
        <v>2548</v>
      </c>
      <c r="G69" s="44" t="inlineStr">
        <is>
          <t>6 ay</t>
        </is>
      </c>
      <c r="H69" s="15" t="n"/>
      <c r="I69" s="45" t="n">
        <v>2714000</v>
      </c>
      <c r="J69" s="45" t="n">
        <v>2669258.6</v>
      </c>
      <c r="K69" s="45" t="n">
        <v>1047000</v>
      </c>
      <c r="L69" s="45" t="n">
        <v>1038570.55</v>
      </c>
      <c r="M69" s="45" t="n">
        <v>25202.883</v>
      </c>
      <c r="N69" s="45" t="n">
        <v>24999.99979</v>
      </c>
      <c r="O69" s="45" t="n">
        <v>1008115.326</v>
      </c>
      <c r="P69" s="45" t="n">
        <v>999999.99761</v>
      </c>
      <c r="Q69" s="45" t="n">
        <v>0</v>
      </c>
      <c r="R69" s="45" t="n">
        <v>0</v>
      </c>
      <c r="S69" s="45" t="n">
        <v>2080318.209</v>
      </c>
      <c r="T69" s="45" t="n">
        <v>2063570.5474</v>
      </c>
      <c r="U69" s="15" t="n">
        <v>6.86</v>
      </c>
      <c r="V69" s="15" t="n">
        <v>14.19</v>
      </c>
      <c r="W69" s="49" t="n">
        <v>99.19499999999999</v>
      </c>
    </row>
    <row r="70">
      <c r="A70" s="44" t="inlineStr">
        <is>
          <t>TL Cinsi Degisken Faizli Kuponlu Senetler</t>
        </is>
      </c>
      <c r="B70" s="44" t="n">
        <v>2019</v>
      </c>
      <c r="C70" s="44" t="inlineStr">
        <is>
          <t>TRT060825T15</t>
        </is>
      </c>
      <c r="D70" s="44" t="inlineStr">
        <is>
          <t>20.02.2019</t>
        </is>
      </c>
      <c r="E70" s="44" t="inlineStr">
        <is>
          <t>06.08.2025</t>
        </is>
      </c>
      <c r="F70" s="44" t="n">
        <v>2359</v>
      </c>
      <c r="G70" s="44" t="inlineStr">
        <is>
          <t>6 ay</t>
        </is>
      </c>
      <c r="H70" s="15" t="n"/>
      <c r="I70" s="45" t="n">
        <v>1132000</v>
      </c>
      <c r="J70" s="45" t="n">
        <v>1097270.42</v>
      </c>
      <c r="K70" s="45" t="n">
        <v>749000</v>
      </c>
      <c r="L70" s="45" t="n">
        <v>739717.26</v>
      </c>
      <c r="M70" s="45" t="n">
        <v>987231.801</v>
      </c>
      <c r="N70" s="45" t="n">
        <v>974999.99898</v>
      </c>
      <c r="O70" s="45" t="n">
        <v>860663.6189999999</v>
      </c>
      <c r="P70" s="45" t="n">
        <v>849999.99675</v>
      </c>
      <c r="Q70" s="45" t="n">
        <v>0</v>
      </c>
      <c r="R70" s="45" t="n">
        <v>0</v>
      </c>
      <c r="S70" s="45" t="n">
        <v>2596895.42</v>
      </c>
      <c r="T70" s="45" t="n">
        <v>2564717.25573</v>
      </c>
      <c r="U70" s="15" t="n">
        <v>9.119999999999999</v>
      </c>
      <c r="V70" s="15" t="n">
        <v>19.07</v>
      </c>
      <c r="W70" s="49" t="n">
        <v>98.761</v>
      </c>
    </row>
    <row r="71">
      <c r="A71" s="44" t="inlineStr">
        <is>
          <t>TL Cinsi Degisken Faizli Kuponlu Senetler</t>
        </is>
      </c>
      <c r="B71" s="44" t="n">
        <v>2019</v>
      </c>
      <c r="C71" s="44" t="inlineStr">
        <is>
          <t>TRT060825T15</t>
        </is>
      </c>
      <c r="D71" s="44" t="inlineStr">
        <is>
          <t>27.03.2019</t>
        </is>
      </c>
      <c r="E71" s="44" t="inlineStr">
        <is>
          <t>06.08.2025</t>
        </is>
      </c>
      <c r="F71" s="44" t="n">
        <v>2324</v>
      </c>
      <c r="G71" s="44" t="inlineStr">
        <is>
          <t>6 ay</t>
        </is>
      </c>
      <c r="H71" s="15" t="n"/>
      <c r="I71" s="45" t="n">
        <v>703001.115</v>
      </c>
      <c r="J71" s="45" t="n">
        <v>681421.308</v>
      </c>
      <c r="K71" s="45" t="n">
        <v>528000</v>
      </c>
      <c r="L71" s="45" t="n">
        <v>518066.56</v>
      </c>
      <c r="M71" s="45" t="n">
        <v>509585.299</v>
      </c>
      <c r="N71" s="45" t="n">
        <v>499999.99953</v>
      </c>
      <c r="O71" s="45" t="n">
        <v>448435.061</v>
      </c>
      <c r="P71" s="45" t="n">
        <v>439999.9975</v>
      </c>
      <c r="Q71" s="45" t="n">
        <v>0</v>
      </c>
      <c r="R71" s="45" t="n">
        <v>0</v>
      </c>
      <c r="S71" s="45" t="n">
        <v>1486020.36</v>
      </c>
      <c r="T71" s="45" t="n">
        <v>1458066.55703</v>
      </c>
      <c r="U71" s="15" t="n">
        <v>9.44</v>
      </c>
      <c r="V71" s="15" t="n">
        <v>19.78</v>
      </c>
      <c r="W71" s="49" t="n">
        <v>98.119</v>
      </c>
    </row>
    <row r="72">
      <c r="A72" s="44" t="inlineStr">
        <is>
          <t>TL Cinsi Degisken Faizli Kuponlu Senetler</t>
        </is>
      </c>
      <c r="B72" s="44" t="n">
        <v>2019</v>
      </c>
      <c r="C72" s="44" t="inlineStr">
        <is>
          <t>TRT060825T15</t>
        </is>
      </c>
      <c r="D72" s="44" t="inlineStr">
        <is>
          <t>15.05.2019</t>
        </is>
      </c>
      <c r="E72" s="44" t="inlineStr">
        <is>
          <t>06.08.2025</t>
        </is>
      </c>
      <c r="F72" s="44" t="n">
        <v>2275</v>
      </c>
      <c r="G72" s="44" t="inlineStr">
        <is>
          <t>6 ay</t>
        </is>
      </c>
      <c r="H72" s="15" t="n"/>
      <c r="I72" s="45" t="n">
        <v>1726001.08</v>
      </c>
      <c r="J72" s="45" t="n">
        <v>1638317.43693</v>
      </c>
      <c r="K72" s="45" t="n">
        <v>1216000</v>
      </c>
      <c r="L72" s="45" t="n">
        <v>1162926.54</v>
      </c>
      <c r="M72" s="45" t="n">
        <v>522821.142</v>
      </c>
      <c r="N72" s="45" t="n">
        <v>499999.99915</v>
      </c>
      <c r="O72" s="45" t="n">
        <v>1463899.197</v>
      </c>
      <c r="P72" s="45" t="n">
        <v>1399999.99705</v>
      </c>
      <c r="Q72" s="45" t="n">
        <v>0</v>
      </c>
      <c r="R72" s="45" t="n">
        <v>0</v>
      </c>
      <c r="S72" s="45" t="n">
        <v>3202720.339</v>
      </c>
      <c r="T72" s="45" t="n">
        <v>3062926.5362</v>
      </c>
      <c r="U72" s="15" t="n">
        <v>10.17</v>
      </c>
      <c r="V72" s="15" t="n">
        <v>21.38</v>
      </c>
      <c r="W72" s="49" t="n">
        <v>95.63500000000001</v>
      </c>
    </row>
    <row r="73">
      <c r="A73" s="44" t="inlineStr">
        <is>
          <t>TL Cinsi Degisken Faizli Kuponlu Senetler</t>
        </is>
      </c>
      <c r="B73" s="44" t="n">
        <v>2019</v>
      </c>
      <c r="C73" s="44" t="inlineStr">
        <is>
          <t>TRT060825T15</t>
        </is>
      </c>
      <c r="D73" s="44" t="inlineStr">
        <is>
          <t>12.06.2019</t>
        </is>
      </c>
      <c r="E73" s="44" t="inlineStr">
        <is>
          <t>06.08.2025</t>
        </is>
      </c>
      <c r="F73" s="44" t="n">
        <v>2247</v>
      </c>
      <c r="G73" s="44" t="inlineStr">
        <is>
          <t>6 ay</t>
        </is>
      </c>
      <c r="H73" s="15" t="n"/>
      <c r="I73" s="45" t="n">
        <v>1040000</v>
      </c>
      <c r="J73" s="45" t="n">
        <v>1020009.78</v>
      </c>
      <c r="K73" s="45" t="n">
        <v>748000</v>
      </c>
      <c r="L73" s="45" t="n">
        <v>736831.91</v>
      </c>
      <c r="M73" s="45" t="n">
        <v>406062.513</v>
      </c>
      <c r="N73" s="45" t="n">
        <v>399999.99968</v>
      </c>
      <c r="O73" s="45" t="n">
        <v>964398.465</v>
      </c>
      <c r="P73" s="45" t="n">
        <v>949999.9959100001</v>
      </c>
      <c r="Q73" s="45" t="n">
        <v>0</v>
      </c>
      <c r="R73" s="45" t="n">
        <v>0</v>
      </c>
      <c r="S73" s="45" t="n">
        <v>2118460.978</v>
      </c>
      <c r="T73" s="45" t="n">
        <v>2086831.90559</v>
      </c>
      <c r="U73" s="15" t="n">
        <v>9.949999999999999</v>
      </c>
      <c r="V73" s="15" t="n">
        <v>20.89</v>
      </c>
      <c r="W73" s="49" t="n">
        <v>98.50700000000001</v>
      </c>
    </row>
    <row r="74">
      <c r="A74" s="44" t="inlineStr">
        <is>
          <t>TL Cinsi Degisken Faizli Kuponlu Senetler</t>
        </is>
      </c>
      <c r="B74" s="44" t="n">
        <v>2019</v>
      </c>
      <c r="C74" s="44" t="inlineStr">
        <is>
          <t>TRT060825T15</t>
        </is>
      </c>
      <c r="D74" s="44" t="inlineStr">
        <is>
          <t>10.07.2019</t>
        </is>
      </c>
      <c r="E74" s="44" t="inlineStr">
        <is>
          <t>06.08.2025</t>
        </is>
      </c>
      <c r="F74" s="44" t="n">
        <v>2219</v>
      </c>
      <c r="G74" s="44" t="inlineStr">
        <is>
          <t>6 ay</t>
        </is>
      </c>
      <c r="H74" s="15" t="n"/>
      <c r="I74" s="45" t="n">
        <v>2312000</v>
      </c>
      <c r="J74" s="45" t="n">
        <v>2325948.15</v>
      </c>
      <c r="K74" s="45" t="n">
        <v>1256000</v>
      </c>
      <c r="L74" s="45" t="n">
        <v>1277858.78</v>
      </c>
      <c r="M74" s="45" t="n">
        <v>791232.553</v>
      </c>
      <c r="N74" s="45" t="n">
        <v>804999.99942</v>
      </c>
      <c r="O74" s="45" t="n">
        <v>766660.112</v>
      </c>
      <c r="P74" s="45" t="n">
        <v>779999.9979599999</v>
      </c>
      <c r="Q74" s="45" t="n">
        <v>159824.1</v>
      </c>
      <c r="R74" s="45" t="n">
        <v>162605.03934</v>
      </c>
      <c r="S74" s="45" t="n">
        <v>2973716.765</v>
      </c>
      <c r="T74" s="45" t="n">
        <v>3025463.81672</v>
      </c>
      <c r="U74" s="15" t="n">
        <v>9.68</v>
      </c>
      <c r="V74" s="15" t="n">
        <v>20.3</v>
      </c>
      <c r="W74" s="49" t="n">
        <v>101.74</v>
      </c>
    </row>
    <row r="75">
      <c r="A75" s="44" t="inlineStr">
        <is>
          <t>TL Cinsi Degisken Faizli Kuponlu Senetler</t>
        </is>
      </c>
      <c r="B75" s="44" t="n">
        <v>2019</v>
      </c>
      <c r="C75" s="44" t="inlineStr">
        <is>
          <t>TRT060825T15</t>
        </is>
      </c>
      <c r="D75" s="44" t="inlineStr">
        <is>
          <t>21.08.2019</t>
        </is>
      </c>
      <c r="E75" s="44" t="inlineStr">
        <is>
          <t>06.08.2025</t>
        </is>
      </c>
      <c r="F75" s="44" t="n">
        <v>2177</v>
      </c>
      <c r="G75" s="44" t="inlineStr">
        <is>
          <t>6 ay</t>
        </is>
      </c>
      <c r="H75" s="15" t="n"/>
      <c r="I75" s="45" t="n">
        <v>1838000</v>
      </c>
      <c r="J75" s="45" t="n">
        <v>1766621.5</v>
      </c>
      <c r="K75" s="45" t="n">
        <v>285000</v>
      </c>
      <c r="L75" s="45" t="n">
        <v>284930.2</v>
      </c>
      <c r="M75" s="45" t="n">
        <v>200048.011</v>
      </c>
      <c r="N75" s="45" t="n">
        <v>199999.99948</v>
      </c>
      <c r="O75" s="45" t="n">
        <v>750180.04</v>
      </c>
      <c r="P75" s="45" t="n">
        <v>749999.99678</v>
      </c>
      <c r="Q75" s="45" t="n">
        <v>0</v>
      </c>
      <c r="R75" s="45" t="n">
        <v>0</v>
      </c>
      <c r="S75" s="45" t="n">
        <v>1235228.051</v>
      </c>
      <c r="T75" s="45" t="n">
        <v>1234930.19626</v>
      </c>
      <c r="U75" s="15" t="n">
        <v>10.88</v>
      </c>
      <c r="V75" s="15" t="n">
        <v>22.95</v>
      </c>
      <c r="W75" s="49" t="n">
        <v>99.976</v>
      </c>
    </row>
    <row r="76">
      <c r="A76" s="44" t="inlineStr">
        <is>
          <t>TL Cinsi Degisken Faizli Kuponlu Senetler</t>
        </is>
      </c>
      <c r="B76" s="44" t="n">
        <v>2019</v>
      </c>
      <c r="C76" s="44" t="inlineStr">
        <is>
          <t>TRT060825T15</t>
        </is>
      </c>
      <c r="D76" s="44" t="inlineStr">
        <is>
          <t>18.09.2019</t>
        </is>
      </c>
      <c r="E76" s="44" t="inlineStr">
        <is>
          <t>06.08.2025</t>
        </is>
      </c>
      <c r="F76" s="44" t="n">
        <v>2149</v>
      </c>
      <c r="G76" s="44" t="inlineStr">
        <is>
          <t>6 ay</t>
        </is>
      </c>
      <c r="H76" s="15" t="n"/>
      <c r="I76" s="45" t="n">
        <v>565000</v>
      </c>
      <c r="J76" s="45" t="n">
        <v>574717.75</v>
      </c>
      <c r="K76" s="45" t="n">
        <v>380000</v>
      </c>
      <c r="L76" s="45" t="n">
        <v>389638.5</v>
      </c>
      <c r="M76" s="45" t="n">
        <v>292580.166</v>
      </c>
      <c r="N76" s="45" t="n">
        <v>299999.99901</v>
      </c>
      <c r="O76" s="45" t="n">
        <v>321838.183</v>
      </c>
      <c r="P76" s="45" t="n">
        <v>329999.99931</v>
      </c>
      <c r="Q76" s="45" t="n">
        <v>0</v>
      </c>
      <c r="R76" s="45" t="n">
        <v>0</v>
      </c>
      <c r="S76" s="45" t="n">
        <v>994418.3489999999</v>
      </c>
      <c r="T76" s="45" t="n">
        <v>1019638.49832</v>
      </c>
      <c r="U76" s="15" t="n">
        <v>10.74</v>
      </c>
      <c r="V76" s="15" t="n">
        <v>22.63</v>
      </c>
      <c r="W76" s="49" t="n">
        <v>102.536</v>
      </c>
    </row>
    <row r="77">
      <c r="A77" s="44" t="inlineStr">
        <is>
          <t>TL Cinsi Degisken Faizli Kuponlu Senetler</t>
        </is>
      </c>
      <c r="B77" s="44" t="n">
        <v>2019</v>
      </c>
      <c r="C77" s="44" t="inlineStr">
        <is>
          <t>TRT041126T11</t>
        </is>
      </c>
      <c r="D77" s="44" t="inlineStr">
        <is>
          <t>13.11.2019</t>
        </is>
      </c>
      <c r="E77" s="44" t="inlineStr">
        <is>
          <t>04.11.2026</t>
        </is>
      </c>
      <c r="F77" s="44" t="n">
        <v>2548</v>
      </c>
      <c r="G77" s="44" t="inlineStr">
        <is>
          <t>6 ay</t>
        </is>
      </c>
      <c r="H77" s="15" t="n"/>
      <c r="I77" s="45" t="n">
        <v>2105000</v>
      </c>
      <c r="J77" s="45" t="n">
        <v>2057011.75</v>
      </c>
      <c r="K77" s="45" t="n">
        <v>1500000</v>
      </c>
      <c r="L77" s="45" t="n">
        <v>1490910</v>
      </c>
      <c r="M77" s="45" t="n">
        <v>538261.865</v>
      </c>
      <c r="N77" s="45" t="n">
        <v>534999.9981</v>
      </c>
      <c r="O77" s="45" t="n">
        <v>970883.551</v>
      </c>
      <c r="P77" s="45" t="n">
        <v>964999.99668</v>
      </c>
      <c r="Q77" s="45" t="n">
        <v>0</v>
      </c>
      <c r="R77" s="45" t="n">
        <v>0</v>
      </c>
      <c r="S77" s="45" t="n">
        <v>3009145.416</v>
      </c>
      <c r="T77" s="45" t="n">
        <v>2990909.99478</v>
      </c>
      <c r="U77" s="15" t="n">
        <v>7.22</v>
      </c>
      <c r="V77" s="15" t="n">
        <v>14.96</v>
      </c>
      <c r="W77" s="49" t="n">
        <v>99.39400000000001</v>
      </c>
    </row>
    <row r="78">
      <c r="A78" s="44" t="inlineStr">
        <is>
          <t>TL Cinsi Degisken Faizli Kuponlu Senetler</t>
        </is>
      </c>
      <c r="B78" s="44" t="n">
        <v>2019</v>
      </c>
      <c r="C78" s="44" t="inlineStr">
        <is>
          <t>TRT041126T11</t>
        </is>
      </c>
      <c r="D78" s="44" t="inlineStr">
        <is>
          <t>11.12.2019</t>
        </is>
      </c>
      <c r="E78" s="44" t="inlineStr">
        <is>
          <t>04.11.2026</t>
        </is>
      </c>
      <c r="F78" s="44" t="n">
        <v>2520</v>
      </c>
      <c r="G78" s="44" t="inlineStr">
        <is>
          <t>6 ay</t>
        </is>
      </c>
      <c r="H78" s="15" t="n"/>
      <c r="I78" s="45" t="n">
        <v>1513000</v>
      </c>
      <c r="J78" s="45" t="n">
        <v>1508978.23</v>
      </c>
      <c r="K78" s="45" t="n">
        <v>1048000</v>
      </c>
      <c r="L78" s="45" t="n">
        <v>1050035.08</v>
      </c>
      <c r="M78" s="45" t="n">
        <v>199612.751</v>
      </c>
      <c r="N78" s="45" t="n">
        <v>199999.99974</v>
      </c>
      <c r="O78" s="45" t="n">
        <v>723596.221</v>
      </c>
      <c r="P78" s="45" t="n">
        <v>724999.99767</v>
      </c>
      <c r="Q78" s="45" t="n">
        <v>0</v>
      </c>
      <c r="R78" s="45" t="n">
        <v>0</v>
      </c>
      <c r="S78" s="45" t="n">
        <v>1971208.972</v>
      </c>
      <c r="T78" s="45" t="n">
        <v>1975035.07741</v>
      </c>
      <c r="U78" s="15" t="n">
        <v>7.25</v>
      </c>
      <c r="V78" s="15" t="n">
        <v>15.03</v>
      </c>
      <c r="W78" s="49" t="n">
        <v>100.194</v>
      </c>
    </row>
    <row r="79">
      <c r="A79" s="44" t="inlineStr">
        <is>
          <t>TL Cinsi Degisken Faizli Kuponlu Senetler</t>
        </is>
      </c>
      <c r="B79" s="44" t="n">
        <v>2018</v>
      </c>
      <c r="C79" s="44" t="inlineStr">
        <is>
          <t>TRT050624T19</t>
        </is>
      </c>
      <c r="D79" s="44" t="inlineStr">
        <is>
          <t>24.01.2018</t>
        </is>
      </c>
      <c r="E79" s="44" t="inlineStr">
        <is>
          <t>05.06.2024</t>
        </is>
      </c>
      <c r="F79" s="44" t="n">
        <v>2324</v>
      </c>
      <c r="G79" s="44" t="inlineStr">
        <is>
          <t>6 ay</t>
        </is>
      </c>
      <c r="H79" s="15" t="n"/>
      <c r="I79" s="45" t="n">
        <v>1645000</v>
      </c>
      <c r="J79" s="45" t="n">
        <v>1595400.72</v>
      </c>
      <c r="K79" s="45" t="n">
        <v>598000</v>
      </c>
      <c r="L79" s="45" t="n">
        <v>584523.3100000001</v>
      </c>
      <c r="M79" s="45" t="n">
        <v>204611.953</v>
      </c>
      <c r="N79" s="45" t="n">
        <v>199999.99958</v>
      </c>
      <c r="O79" s="45" t="n">
        <v>675679.824</v>
      </c>
      <c r="P79" s="45" t="n">
        <v>660450.00078</v>
      </c>
      <c r="Q79" s="45" t="n">
        <v>0</v>
      </c>
      <c r="R79" s="45" t="n">
        <v>0</v>
      </c>
      <c r="S79" s="45" t="n">
        <v>1478291.777</v>
      </c>
      <c r="T79" s="45" t="n">
        <v>1444973.31036</v>
      </c>
      <c r="U79" s="15" t="n">
        <v>6.18</v>
      </c>
      <c r="V79" s="15" t="n">
        <v>12.74</v>
      </c>
      <c r="W79" s="49" t="n">
        <v>97.746</v>
      </c>
    </row>
    <row r="80">
      <c r="A80" s="44" t="inlineStr">
        <is>
          <t>TL Cinsi Degisken Faizli Kuponlu Senetler</t>
        </is>
      </c>
      <c r="B80" s="44" t="n">
        <v>2018</v>
      </c>
      <c r="C80" s="44" t="inlineStr">
        <is>
          <t>TRT050624T19</t>
        </is>
      </c>
      <c r="D80" s="44" t="inlineStr">
        <is>
          <t>21.02.2018</t>
        </is>
      </c>
      <c r="E80" s="44" t="inlineStr">
        <is>
          <t>05.06.2024</t>
        </is>
      </c>
      <c r="F80" s="44" t="n">
        <v>2296</v>
      </c>
      <c r="G80" s="44" t="inlineStr">
        <is>
          <t>6 ay</t>
        </is>
      </c>
      <c r="H80" s="15" t="n"/>
      <c r="I80" s="45" t="n">
        <v>1622000</v>
      </c>
      <c r="J80" s="45" t="n">
        <v>1582798.87</v>
      </c>
      <c r="K80" s="45" t="n">
        <v>682000</v>
      </c>
      <c r="L80" s="45" t="n">
        <v>670389.95</v>
      </c>
      <c r="M80" s="45" t="n">
        <v>630735.11</v>
      </c>
      <c r="N80" s="45" t="n">
        <v>619999.99843</v>
      </c>
      <c r="O80" s="45" t="n">
        <v>953732.527</v>
      </c>
      <c r="P80" s="45" t="n">
        <v>937499.9993800001</v>
      </c>
      <c r="Q80" s="45" t="n">
        <v>110000</v>
      </c>
      <c r="R80" s="45" t="n">
        <v>108127.8</v>
      </c>
      <c r="S80" s="45" t="n">
        <v>2376467.637</v>
      </c>
      <c r="T80" s="45" t="n">
        <v>2336017.74781</v>
      </c>
      <c r="U80" s="15" t="n">
        <v>6.22</v>
      </c>
      <c r="V80" s="15" t="n">
        <v>12.83</v>
      </c>
      <c r="W80" s="49" t="n">
        <v>98.298</v>
      </c>
    </row>
    <row r="81">
      <c r="A81" s="44" t="inlineStr">
        <is>
          <t>TL Cinsi Degisken Faizli Kuponlu Senetler</t>
        </is>
      </c>
      <c r="B81" s="44" t="n">
        <v>2018</v>
      </c>
      <c r="C81" s="44" t="inlineStr">
        <is>
          <t>TRT050624T19</t>
        </is>
      </c>
      <c r="D81" s="44" t="inlineStr">
        <is>
          <t>20.06.2018</t>
        </is>
      </c>
      <c r="E81" s="44" t="inlineStr">
        <is>
          <t>05.06.2024</t>
        </is>
      </c>
      <c r="F81" s="44" t="n">
        <v>2177</v>
      </c>
      <c r="G81" s="44" t="inlineStr">
        <is>
          <t>6 ay</t>
        </is>
      </c>
      <c r="H81" s="15" t="n"/>
      <c r="I81" s="45" t="n">
        <v>1038000</v>
      </c>
      <c r="J81" s="45" t="n">
        <v>934259.45</v>
      </c>
      <c r="K81" s="45" t="n">
        <v>327000</v>
      </c>
      <c r="L81" s="45" t="n">
        <v>302915.57</v>
      </c>
      <c r="M81" s="45" t="n">
        <v>550547.848</v>
      </c>
      <c r="N81" s="45" t="n">
        <v>509999.99899</v>
      </c>
      <c r="O81" s="45" t="n">
        <v>1522102.876</v>
      </c>
      <c r="P81" s="45" t="n">
        <v>1409999.99918</v>
      </c>
      <c r="Q81" s="45" t="n">
        <v>0</v>
      </c>
      <c r="R81" s="45" t="n">
        <v>0</v>
      </c>
      <c r="S81" s="45" t="n">
        <v>2399650.724</v>
      </c>
      <c r="T81" s="45" t="n">
        <v>2222915.56817</v>
      </c>
      <c r="U81" s="15" t="n">
        <v>7.86</v>
      </c>
      <c r="V81" s="15" t="n">
        <v>16.33</v>
      </c>
      <c r="W81" s="49" t="n">
        <v>92.63500000000001</v>
      </c>
    </row>
    <row r="82">
      <c r="A82" s="44" t="inlineStr">
        <is>
          <t>TL Cinsi Degisken Faizli Kuponlu Senetler</t>
        </is>
      </c>
      <c r="B82" s="44" t="n">
        <v>2018</v>
      </c>
      <c r="C82" s="44" t="inlineStr">
        <is>
          <t>TRT020725T10</t>
        </is>
      </c>
      <c r="D82" s="44" t="inlineStr">
        <is>
          <t>11.07.2018</t>
        </is>
      </c>
      <c r="E82" s="44" t="inlineStr">
        <is>
          <t>02.07.2025</t>
        </is>
      </c>
      <c r="F82" s="44" t="n">
        <v>2548</v>
      </c>
      <c r="G82" s="44" t="inlineStr">
        <is>
          <t>6 ay</t>
        </is>
      </c>
      <c r="H82" s="15" t="n"/>
      <c r="I82" s="45" t="n">
        <v>1749000</v>
      </c>
      <c r="J82" s="45" t="n">
        <v>1585487.01</v>
      </c>
      <c r="K82" s="45" t="n">
        <v>685000</v>
      </c>
      <c r="L82" s="45" t="n">
        <v>631553.38</v>
      </c>
      <c r="M82" s="45" t="n">
        <v>195232</v>
      </c>
      <c r="N82" s="45" t="n">
        <v>179999.99936</v>
      </c>
      <c r="O82" s="45" t="n">
        <v>1952591.164</v>
      </c>
      <c r="P82" s="45" t="n">
        <v>1800250.00138</v>
      </c>
      <c r="Q82" s="45" t="n">
        <v>0</v>
      </c>
      <c r="R82" s="45" t="n">
        <v>0</v>
      </c>
      <c r="S82" s="45" t="n">
        <v>2832823.164</v>
      </c>
      <c r="T82" s="45" t="n">
        <v>2611803.38074</v>
      </c>
      <c r="U82" s="15" t="n">
        <v>8.710000000000001</v>
      </c>
      <c r="V82" s="15" t="n">
        <v>18.17</v>
      </c>
      <c r="W82" s="49" t="n">
        <v>92.19799999999999</v>
      </c>
    </row>
    <row r="83">
      <c r="A83" s="44" t="inlineStr">
        <is>
          <t>TL Cinsi Degisken Faizli Kuponlu Senetler</t>
        </is>
      </c>
      <c r="B83" s="44" t="n">
        <v>2018</v>
      </c>
      <c r="C83" s="44" t="inlineStr">
        <is>
          <t>TRT060825T15</t>
        </is>
      </c>
      <c r="D83" s="44" t="inlineStr">
        <is>
          <t>15.08.2018</t>
        </is>
      </c>
      <c r="E83" s="44" t="inlineStr">
        <is>
          <t>06.08.2025</t>
        </is>
      </c>
      <c r="F83" s="44" t="n">
        <v>2548</v>
      </c>
      <c r="G83" s="44" t="inlineStr">
        <is>
          <t>6 ay</t>
        </is>
      </c>
      <c r="H83" s="15" t="n"/>
      <c r="I83" s="45" t="n">
        <v>1474000</v>
      </c>
      <c r="J83" s="45" t="n">
        <v>1346385.87</v>
      </c>
      <c r="K83" s="45" t="n">
        <v>553000</v>
      </c>
      <c r="L83" s="45" t="n">
        <v>513182.26</v>
      </c>
      <c r="M83" s="45" t="n">
        <v>1007543.103</v>
      </c>
      <c r="N83" s="45" t="n">
        <v>934999.9995799999</v>
      </c>
      <c r="O83" s="45" t="n">
        <v>437500</v>
      </c>
      <c r="P83" s="45" t="n">
        <v>406000.00001</v>
      </c>
      <c r="Q83" s="45" t="n">
        <v>0</v>
      </c>
      <c r="R83" s="45" t="n">
        <v>0</v>
      </c>
      <c r="S83" s="45" t="n">
        <v>1998043.103</v>
      </c>
      <c r="T83" s="45" t="n">
        <v>1854182.25959</v>
      </c>
      <c r="U83" s="15" t="n">
        <v>10.13</v>
      </c>
      <c r="V83" s="15" t="n">
        <v>21.3</v>
      </c>
      <c r="W83" s="49" t="n">
        <v>92.8</v>
      </c>
    </row>
    <row r="84">
      <c r="A84" s="44" t="inlineStr">
        <is>
          <t>TL Cinsi Degisken Faizli Kuponlu Senetler</t>
        </is>
      </c>
      <c r="B84" s="44" t="n">
        <v>2018</v>
      </c>
      <c r="C84" s="44" t="inlineStr">
        <is>
          <t>TRT060825T15</t>
        </is>
      </c>
      <c r="D84" s="44" t="inlineStr">
        <is>
          <t>19.12.2018</t>
        </is>
      </c>
      <c r="E84" s="44" t="inlineStr">
        <is>
          <t>06.08.2025</t>
        </is>
      </c>
      <c r="F84" s="44" t="n">
        <v>2422</v>
      </c>
      <c r="G84" s="44" t="inlineStr">
        <is>
          <t>6 ay</t>
        </is>
      </c>
      <c r="H84" s="15" t="n"/>
      <c r="I84" s="45" t="n">
        <v>1298000</v>
      </c>
      <c r="J84" s="45" t="n">
        <v>1288530.19</v>
      </c>
      <c r="K84" s="45" t="n">
        <v>466000</v>
      </c>
      <c r="L84" s="45" t="n">
        <v>474921.62</v>
      </c>
      <c r="M84" s="45" t="n">
        <v>343423.441</v>
      </c>
      <c r="N84" s="45" t="n">
        <v>349999.9999</v>
      </c>
      <c r="O84" s="45" t="n">
        <v>669675.711</v>
      </c>
      <c r="P84" s="45" t="n">
        <v>682500.00086</v>
      </c>
      <c r="Q84" s="45" t="n">
        <v>0</v>
      </c>
      <c r="R84" s="45" t="n">
        <v>0</v>
      </c>
      <c r="S84" s="45" t="n">
        <v>1479099.152</v>
      </c>
      <c r="T84" s="45" t="n">
        <v>1507421.62076</v>
      </c>
      <c r="U84" s="15" t="n">
        <v>9.74</v>
      </c>
      <c r="V84" s="15" t="n">
        <v>20.44</v>
      </c>
      <c r="W84" s="49" t="n">
        <v>101.915</v>
      </c>
    </row>
    <row r="85">
      <c r="A85" s="44" t="inlineStr">
        <is>
          <t>TL Cinsi Degisken Faizli Kuponlu Senetler</t>
        </is>
      </c>
      <c r="B85" s="44" t="n">
        <v>2017</v>
      </c>
      <c r="C85" s="44" t="inlineStr">
        <is>
          <t>TRT200422T14</t>
        </is>
      </c>
      <c r="D85" s="44" t="inlineStr">
        <is>
          <t>04.01.2017</t>
        </is>
      </c>
      <c r="E85" s="44" t="inlineStr">
        <is>
          <t>20.04.2022</t>
        </is>
      </c>
      <c r="F85" s="44" t="n">
        <v>1932</v>
      </c>
      <c r="G85" s="44" t="inlineStr">
        <is>
          <t>6 ay</t>
        </is>
      </c>
      <c r="H85" s="15" t="n"/>
      <c r="I85" s="45" t="n">
        <v>2268005</v>
      </c>
      <c r="J85" s="45" t="n">
        <v>2195187.8689</v>
      </c>
      <c r="K85" s="45" t="n">
        <v>525000</v>
      </c>
      <c r="L85" s="45" t="n">
        <v>511936.05</v>
      </c>
      <c r="M85" s="45" t="n">
        <v>487119.533</v>
      </c>
      <c r="N85" s="45" t="n">
        <v>474999.99901</v>
      </c>
      <c r="O85" s="45" t="n">
        <v>583517.925</v>
      </c>
      <c r="P85" s="45" t="n">
        <v>568999.99902</v>
      </c>
      <c r="Q85" s="45" t="n">
        <v>60005.66</v>
      </c>
      <c r="R85" s="45" t="n">
        <v>58512.71918</v>
      </c>
      <c r="S85" s="45" t="n">
        <v>1655643.118</v>
      </c>
      <c r="T85" s="45" t="n">
        <v>1614448.76721</v>
      </c>
      <c r="U85" s="15" t="n">
        <v>4.87</v>
      </c>
      <c r="V85" s="15" t="n">
        <v>9.970000000000001</v>
      </c>
      <c r="W85" s="49" t="n">
        <v>97.512</v>
      </c>
    </row>
    <row r="86">
      <c r="A86" s="44" t="inlineStr">
        <is>
          <t>TL Cinsi Degisken Faizli Kuponlu Senetler</t>
        </is>
      </c>
      <c r="B86" s="44" t="n">
        <v>2017</v>
      </c>
      <c r="C86" s="44" t="inlineStr">
        <is>
          <t>TRT200422T14</t>
        </is>
      </c>
      <c r="D86" s="44" t="inlineStr">
        <is>
          <t>15.03.2017</t>
        </is>
      </c>
      <c r="E86" s="44" t="inlineStr">
        <is>
          <t>20.04.2022</t>
        </is>
      </c>
      <c r="F86" s="44" t="n">
        <v>1862</v>
      </c>
      <c r="G86" s="44" t="inlineStr">
        <is>
          <t>6 ay</t>
        </is>
      </c>
      <c r="H86" s="15" t="n"/>
      <c r="I86" s="45" t="n">
        <v>1560455</v>
      </c>
      <c r="J86" s="45" t="n">
        <v>1523531.14</v>
      </c>
      <c r="K86" s="45" t="n">
        <v>520455</v>
      </c>
      <c r="L86" s="45" t="n">
        <v>513808.14</v>
      </c>
      <c r="M86" s="45" t="n">
        <v>324139.258</v>
      </c>
      <c r="N86" s="45" t="n">
        <v>319999.99968</v>
      </c>
      <c r="O86" s="45" t="n">
        <v>810348.145</v>
      </c>
      <c r="P86" s="45" t="n">
        <v>799999.99919</v>
      </c>
      <c r="Q86" s="45" t="n">
        <v>60000</v>
      </c>
      <c r="R86" s="45" t="n">
        <v>59233.8</v>
      </c>
      <c r="S86" s="45" t="n">
        <v>1714942.403</v>
      </c>
      <c r="T86" s="45" t="n">
        <v>1693041.93887</v>
      </c>
      <c r="U86" s="15" t="n">
        <v>4.95</v>
      </c>
      <c r="V86" s="15" t="n">
        <v>10.14</v>
      </c>
      <c r="W86" s="49" t="n">
        <v>98.723</v>
      </c>
    </row>
    <row r="87">
      <c r="A87" s="44" t="inlineStr">
        <is>
          <t>TL Cinsi Degisken Faizli Kuponlu Senetler</t>
        </is>
      </c>
      <c r="B87" s="44" t="n">
        <v>2017</v>
      </c>
      <c r="C87" s="44" t="inlineStr">
        <is>
          <t>TRT050624T19</t>
        </is>
      </c>
      <c r="D87" s="44" t="inlineStr">
        <is>
          <t>14.06.2017</t>
        </is>
      </c>
      <c r="E87" s="44" t="inlineStr">
        <is>
          <t>05.06.2024</t>
        </is>
      </c>
      <c r="F87" s="44" t="n">
        <v>2548</v>
      </c>
      <c r="G87" s="44" t="inlineStr">
        <is>
          <t>6 ay</t>
        </is>
      </c>
      <c r="H87" s="15" t="n"/>
      <c r="I87" s="45" t="n">
        <v>2270000</v>
      </c>
      <c r="J87" s="45" t="n">
        <v>2156995.61</v>
      </c>
      <c r="K87" s="45" t="n">
        <v>725000</v>
      </c>
      <c r="L87" s="45" t="n">
        <v>708797</v>
      </c>
      <c r="M87" s="45" t="n">
        <v>511430.471</v>
      </c>
      <c r="N87" s="45" t="n">
        <v>499999.99997</v>
      </c>
      <c r="O87" s="45" t="n">
        <v>306858.282</v>
      </c>
      <c r="P87" s="45" t="n">
        <v>299999.99939</v>
      </c>
      <c r="Q87" s="45" t="n">
        <v>80000</v>
      </c>
      <c r="R87" s="45" t="n">
        <v>78212</v>
      </c>
      <c r="S87" s="45" t="n">
        <v>1623288.753</v>
      </c>
      <c r="T87" s="45" t="n">
        <v>1587008.99936</v>
      </c>
      <c r="U87" s="15" t="n">
        <v>5.73</v>
      </c>
      <c r="V87" s="15" t="n">
        <v>11.78</v>
      </c>
      <c r="W87" s="49" t="n">
        <v>97.765</v>
      </c>
    </row>
    <row r="88">
      <c r="A88" s="44" t="inlineStr">
        <is>
          <t>TL Cinsi Degisken Faizli Kuponlu Senetler</t>
        </is>
      </c>
      <c r="B88" s="44" t="n">
        <v>2017</v>
      </c>
      <c r="C88" s="44" t="inlineStr">
        <is>
          <t>TRT050624T19</t>
        </is>
      </c>
      <c r="D88" s="44" t="inlineStr">
        <is>
          <t>19.07.2017</t>
        </is>
      </c>
      <c r="E88" s="44" t="inlineStr">
        <is>
          <t>05.06.2024</t>
        </is>
      </c>
      <c r="F88" s="44" t="n">
        <v>2513</v>
      </c>
      <c r="G88" s="44" t="inlineStr">
        <is>
          <t>6 ay</t>
        </is>
      </c>
      <c r="H88" s="15" t="n"/>
      <c r="I88" s="45" t="n">
        <v>1980000</v>
      </c>
      <c r="J88" s="45" t="n">
        <v>1898870.05</v>
      </c>
      <c r="K88" s="45" t="n">
        <v>115000</v>
      </c>
      <c r="L88" s="45" t="n">
        <v>112604.7</v>
      </c>
      <c r="M88" s="45" t="n">
        <v>347232.86</v>
      </c>
      <c r="N88" s="45" t="n">
        <v>339999.99953</v>
      </c>
      <c r="O88" s="45" t="n">
        <v>899537.3639999999</v>
      </c>
      <c r="P88" s="45" t="n">
        <v>880800.0007</v>
      </c>
      <c r="Q88" s="45" t="n">
        <v>0</v>
      </c>
      <c r="R88" s="45" t="n">
        <v>0</v>
      </c>
      <c r="S88" s="45" t="n">
        <v>1361770.224</v>
      </c>
      <c r="T88" s="45" t="n">
        <v>1333404.70023</v>
      </c>
      <c r="U88" s="15" t="n">
        <v>5.82</v>
      </c>
      <c r="V88" s="15" t="n">
        <v>11.99</v>
      </c>
      <c r="W88" s="49" t="n">
        <v>97.917</v>
      </c>
    </row>
    <row r="89">
      <c r="A89" s="44" t="inlineStr">
        <is>
          <t>TL Cinsi Degisken Faizli Kuponlu Senetler</t>
        </is>
      </c>
      <c r="B89" s="44" t="n">
        <v>2017</v>
      </c>
      <c r="C89" s="44" t="inlineStr">
        <is>
          <t>TRT050624T19</t>
        </is>
      </c>
      <c r="D89" s="44" t="inlineStr">
        <is>
          <t>16.08.2017</t>
        </is>
      </c>
      <c r="E89" s="44" t="inlineStr">
        <is>
          <t>05.06.2024</t>
        </is>
      </c>
      <c r="F89" s="44" t="n">
        <v>2485</v>
      </c>
      <c r="G89" s="44" t="inlineStr">
        <is>
          <t>6 ay</t>
        </is>
      </c>
      <c r="H89" s="15" t="n"/>
      <c r="I89" s="45" t="n">
        <v>1880000</v>
      </c>
      <c r="J89" s="45" t="n">
        <v>1820556.42</v>
      </c>
      <c r="K89" s="45" t="n">
        <v>126000</v>
      </c>
      <c r="L89" s="45" t="n">
        <v>124045.4</v>
      </c>
      <c r="M89" s="45" t="n">
        <v>339261.952</v>
      </c>
      <c r="N89" s="45" t="n">
        <v>333999.99912</v>
      </c>
      <c r="O89" s="45" t="n">
        <v>715091.062</v>
      </c>
      <c r="P89" s="45" t="n">
        <v>703999.9996400001</v>
      </c>
      <c r="Q89" s="45" t="n">
        <v>8000</v>
      </c>
      <c r="R89" s="45" t="n">
        <v>7875.92</v>
      </c>
      <c r="S89" s="45" t="n">
        <v>1188353.014</v>
      </c>
      <c r="T89" s="45" t="n">
        <v>1169921.31876</v>
      </c>
      <c r="U89" s="15" t="n">
        <v>5.86</v>
      </c>
      <c r="V89" s="15" t="n">
        <v>12.06</v>
      </c>
      <c r="W89" s="49" t="n">
        <v>98.449</v>
      </c>
    </row>
    <row r="90">
      <c r="A90" s="44" t="inlineStr">
        <is>
          <t>TL Cinsi Degisken Faizli Kuponlu Senetler</t>
        </is>
      </c>
      <c r="B90" s="44" t="n">
        <v>2017</v>
      </c>
      <c r="C90" s="44" t="inlineStr">
        <is>
          <t>TRT050624T19</t>
        </is>
      </c>
      <c r="D90" s="44" t="inlineStr">
        <is>
          <t>25.10.2017</t>
        </is>
      </c>
      <c r="E90" s="44" t="inlineStr">
        <is>
          <t>05.06.2024</t>
        </is>
      </c>
      <c r="F90" s="44" t="n">
        <v>2415</v>
      </c>
      <c r="G90" s="44" t="inlineStr">
        <is>
          <t>6 ay</t>
        </is>
      </c>
      <c r="H90" s="15" t="n"/>
      <c r="I90" s="45" t="n">
        <v>2485000</v>
      </c>
      <c r="J90" s="45" t="n">
        <v>2453051.31</v>
      </c>
      <c r="K90" s="45" t="n">
        <v>781000</v>
      </c>
      <c r="L90" s="45" t="n">
        <v>778406.5</v>
      </c>
      <c r="M90" s="45" t="n">
        <v>300999.317</v>
      </c>
      <c r="N90" s="45" t="n">
        <v>299999.99927</v>
      </c>
      <c r="O90" s="45" t="n">
        <v>1229080.548</v>
      </c>
      <c r="P90" s="45" t="n">
        <v>1225000.00056</v>
      </c>
      <c r="Q90" s="45" t="n">
        <v>0</v>
      </c>
      <c r="R90" s="45" t="n">
        <v>0</v>
      </c>
      <c r="S90" s="45" t="n">
        <v>2311079.865</v>
      </c>
      <c r="T90" s="45" t="n">
        <v>2303406.49983</v>
      </c>
      <c r="U90" s="15" t="n">
        <v>5.97</v>
      </c>
      <c r="V90" s="15" t="n">
        <v>12.3</v>
      </c>
      <c r="W90" s="49" t="n">
        <v>99.66800000000001</v>
      </c>
    </row>
    <row r="91">
      <c r="A91" s="44" t="inlineStr">
        <is>
          <t>TL Cinsi Degisken Faizli Kuponlu Senetler</t>
        </is>
      </c>
      <c r="B91" s="44" t="n">
        <v>2016</v>
      </c>
      <c r="C91" s="44" t="inlineStr">
        <is>
          <t>TRT200422T14</t>
        </is>
      </c>
      <c r="D91" s="44" t="inlineStr">
        <is>
          <t>27.01.2016</t>
        </is>
      </c>
      <c r="E91" s="44" t="inlineStr">
        <is>
          <t>20.04.2022</t>
        </is>
      </c>
      <c r="F91" s="44" t="n">
        <v>2275</v>
      </c>
      <c r="G91" s="44" t="inlineStr">
        <is>
          <t>6 ay</t>
        </is>
      </c>
      <c r="H91" s="15" t="n"/>
      <c r="I91" s="45" t="n">
        <v>1329400</v>
      </c>
      <c r="J91" s="45" t="n">
        <v>1283839.76</v>
      </c>
      <c r="K91" s="45" t="n">
        <v>490000</v>
      </c>
      <c r="L91" s="45" t="n">
        <v>482150</v>
      </c>
      <c r="M91" s="45" t="n">
        <v>508140.409</v>
      </c>
      <c r="N91" s="45" t="n">
        <v>499999.99965</v>
      </c>
      <c r="O91" s="45" t="n">
        <v>652147.402</v>
      </c>
      <c r="P91" s="45" t="n">
        <v>641700.00064</v>
      </c>
      <c r="Q91" s="45" t="n">
        <v>0</v>
      </c>
      <c r="R91" s="45" t="n">
        <v>0</v>
      </c>
      <c r="S91" s="45" t="n">
        <v>1650287.811</v>
      </c>
      <c r="T91" s="45" t="n">
        <v>1623850.00029</v>
      </c>
      <c r="U91" s="15" t="n">
        <v>5.45</v>
      </c>
      <c r="V91" s="15" t="n">
        <v>11.19</v>
      </c>
      <c r="W91" s="49" t="n">
        <v>98.398</v>
      </c>
    </row>
    <row r="92">
      <c r="A92" s="44" t="inlineStr">
        <is>
          <t>TL Cinsi Degisken Faizli Kuponlu Senetler</t>
        </is>
      </c>
      <c r="B92" s="44" t="n">
        <v>2016</v>
      </c>
      <c r="C92" s="44" t="inlineStr">
        <is>
          <t>TRT200422T14</t>
        </is>
      </c>
      <c r="D92" s="44" t="inlineStr">
        <is>
          <t>24.02.2016</t>
        </is>
      </c>
      <c r="E92" s="44" t="inlineStr">
        <is>
          <t>20.04.2022</t>
        </is>
      </c>
      <c r="F92" s="44" t="n">
        <v>2247</v>
      </c>
      <c r="G92" s="44" t="inlineStr">
        <is>
          <t>6 ay</t>
        </is>
      </c>
      <c r="H92" s="15" t="n"/>
      <c r="I92" s="45" t="n">
        <v>1285000</v>
      </c>
      <c r="J92" s="45" t="n">
        <v>1251944.3</v>
      </c>
      <c r="K92" s="45" t="n">
        <v>283000</v>
      </c>
      <c r="L92" s="45" t="n">
        <v>279068.38</v>
      </c>
      <c r="M92" s="45" t="n">
        <v>441127.256</v>
      </c>
      <c r="N92" s="45" t="n">
        <v>434999.99841</v>
      </c>
      <c r="O92" s="45" t="n">
        <v>148157.914</v>
      </c>
      <c r="P92" s="45" t="n">
        <v>146100.00057</v>
      </c>
      <c r="Q92" s="45" t="n">
        <v>40061.859</v>
      </c>
      <c r="R92" s="45" t="n">
        <v>39505.39978</v>
      </c>
      <c r="S92" s="45" t="n">
        <v>912347.0290000001</v>
      </c>
      <c r="T92" s="45" t="n">
        <v>899673.77876</v>
      </c>
      <c r="U92" s="15" t="n">
        <v>5.52</v>
      </c>
      <c r="V92" s="15" t="n">
        <v>11.34</v>
      </c>
      <c r="W92" s="49" t="n">
        <v>98.611</v>
      </c>
    </row>
    <row r="93">
      <c r="A93" s="44" t="inlineStr">
        <is>
          <t>TL Cinsi Degisken Faizli Kuponlu Senetler</t>
        </is>
      </c>
      <c r="B93" s="44" t="n">
        <v>2016</v>
      </c>
      <c r="C93" s="44" t="inlineStr">
        <is>
          <t>TRT200422T14</t>
        </is>
      </c>
      <c r="D93" s="44" t="inlineStr">
        <is>
          <t>28.09.2016</t>
        </is>
      </c>
      <c r="E93" s="44" t="inlineStr">
        <is>
          <t>20.04.2022</t>
        </is>
      </c>
      <c r="F93" s="44" t="n">
        <v>2030</v>
      </c>
      <c r="G93" s="44" t="inlineStr">
        <is>
          <t>6 ay</t>
        </is>
      </c>
      <c r="H93" s="15" t="n"/>
      <c r="I93" s="45" t="n">
        <v>2267801.125</v>
      </c>
      <c r="J93" s="45" t="n">
        <v>2308554.051</v>
      </c>
      <c r="K93" s="45" t="n">
        <v>420000</v>
      </c>
      <c r="L93" s="45" t="n">
        <v>432299.9</v>
      </c>
      <c r="M93" s="45" t="n">
        <v>158361.589</v>
      </c>
      <c r="N93" s="45" t="n">
        <v>162999.99994</v>
      </c>
      <c r="O93" s="45" t="n">
        <v>510303.219</v>
      </c>
      <c r="P93" s="45" t="n">
        <v>525250.00031</v>
      </c>
      <c r="Q93" s="45" t="n">
        <v>0</v>
      </c>
      <c r="R93" s="45" t="n">
        <v>0</v>
      </c>
      <c r="S93" s="45" t="n">
        <v>1088664.808</v>
      </c>
      <c r="T93" s="45" t="n">
        <v>1120549.90025</v>
      </c>
      <c r="U93" s="15" t="n">
        <v>5.54</v>
      </c>
      <c r="V93" s="15" t="n">
        <v>11.39</v>
      </c>
      <c r="W93" s="49" t="n">
        <v>102.929</v>
      </c>
    </row>
    <row r="94">
      <c r="A94" s="44" t="inlineStr">
        <is>
          <t>TL Cinsi Degisken Faizli Kuponlu Senetler</t>
        </is>
      </c>
      <c r="B94" s="44" t="n">
        <v>2016</v>
      </c>
      <c r="C94" s="44" t="inlineStr">
        <is>
          <t>TRT200422T14</t>
        </is>
      </c>
      <c r="D94" s="44" t="inlineStr">
        <is>
          <t>16.11.2016</t>
        </is>
      </c>
      <c r="E94" s="44" t="inlineStr">
        <is>
          <t>20.04.2022</t>
        </is>
      </c>
      <c r="F94" s="44" t="n">
        <v>1981</v>
      </c>
      <c r="G94" s="44" t="inlineStr">
        <is>
          <t>6 ay</t>
        </is>
      </c>
      <c r="H94" s="15" t="n"/>
      <c r="I94" s="45" t="n">
        <v>1450200</v>
      </c>
      <c r="J94" s="45" t="n">
        <v>1382090.56</v>
      </c>
      <c r="K94" s="45" t="n">
        <v>649200</v>
      </c>
      <c r="L94" s="45" t="n">
        <v>624746.51</v>
      </c>
      <c r="M94" s="45" t="n">
        <v>467615.059</v>
      </c>
      <c r="N94" s="45" t="n">
        <v>449999.99973</v>
      </c>
      <c r="O94" s="45" t="n">
        <v>755977.679</v>
      </c>
      <c r="P94" s="45" t="n">
        <v>727499.99983</v>
      </c>
      <c r="Q94" s="45" t="n">
        <v>6800.394</v>
      </c>
      <c r="R94" s="45" t="n">
        <v>6544.22316</v>
      </c>
      <c r="S94" s="45" t="n">
        <v>1879593.132</v>
      </c>
      <c r="T94" s="45" t="n">
        <v>1808790.73272</v>
      </c>
      <c r="U94" s="15" t="n">
        <v>4.87</v>
      </c>
      <c r="V94" s="15" t="n">
        <v>9.98</v>
      </c>
      <c r="W94" s="49" t="n">
        <v>96.233</v>
      </c>
    </row>
    <row r="95">
      <c r="A95" s="44" t="inlineStr">
        <is>
          <t>TL Cinsi Degisken Faizli Kuponlu Senetler</t>
        </is>
      </c>
      <c r="B95" s="44" t="n">
        <v>2015</v>
      </c>
      <c r="C95" s="44" t="inlineStr">
        <is>
          <t>TRT190521T17</t>
        </is>
      </c>
      <c r="D95" s="44" t="inlineStr">
        <is>
          <t>07.01.2015</t>
        </is>
      </c>
      <c r="E95" s="44" t="inlineStr">
        <is>
          <t>19.05.2021</t>
        </is>
      </c>
      <c r="F95" s="44" t="n">
        <v>2324</v>
      </c>
      <c r="G95" s="44" t="inlineStr">
        <is>
          <t>6 ay</t>
        </is>
      </c>
      <c r="H95" s="15" t="n"/>
      <c r="I95" s="45" t="n">
        <v>3272300</v>
      </c>
      <c r="J95" s="45" t="n">
        <v>3249145.706</v>
      </c>
      <c r="K95" s="45" t="n">
        <v>315000</v>
      </c>
      <c r="L95" s="45" t="n">
        <v>315907</v>
      </c>
      <c r="M95" s="45" t="n">
        <v>498564.135</v>
      </c>
      <c r="N95" s="45" t="n">
        <v>500000</v>
      </c>
      <c r="O95" s="45" t="n">
        <v>228467.015</v>
      </c>
      <c r="P95" s="45" t="n">
        <v>229125</v>
      </c>
      <c r="Q95" s="45" t="n">
        <v>2010.011</v>
      </c>
      <c r="R95" s="45" t="n">
        <v>2015.79983</v>
      </c>
      <c r="S95" s="45" t="n">
        <v>1044041.161</v>
      </c>
      <c r="T95" s="45" t="n">
        <v>1047047.79954</v>
      </c>
      <c r="U95" s="15" t="n">
        <v>4.4</v>
      </c>
      <c r="V95" s="15" t="n">
        <v>9</v>
      </c>
      <c r="W95" s="49" t="n">
        <v>100.288</v>
      </c>
    </row>
    <row r="96">
      <c r="A96" s="44" t="inlineStr">
        <is>
          <t>TL Cinsi Degisken Faizli Kuponlu Senetler</t>
        </is>
      </c>
      <c r="B96" s="44" t="n">
        <v>2015</v>
      </c>
      <c r="C96" s="44" t="inlineStr">
        <is>
          <t>TRT190521T17</t>
        </is>
      </c>
      <c r="D96" s="44" t="inlineStr">
        <is>
          <t>11.02.2015</t>
        </is>
      </c>
      <c r="E96" s="44" t="inlineStr">
        <is>
          <t>19.05.2021</t>
        </is>
      </c>
      <c r="F96" s="44" t="n">
        <v>2289</v>
      </c>
      <c r="G96" s="44" t="inlineStr">
        <is>
          <t>6 ay</t>
        </is>
      </c>
      <c r="H96" s="15" t="n"/>
      <c r="I96" s="45" t="n">
        <v>1180300</v>
      </c>
      <c r="J96" s="45" t="n">
        <v>1173457.38</v>
      </c>
      <c r="K96" s="45" t="n">
        <v>394000</v>
      </c>
      <c r="L96" s="45" t="n">
        <v>393865</v>
      </c>
      <c r="M96" s="45" t="n">
        <v>500170.057</v>
      </c>
      <c r="N96" s="45" t="n">
        <v>499999.99918</v>
      </c>
      <c r="O96" s="45" t="n">
        <v>360322.51</v>
      </c>
      <c r="P96" s="45" t="n">
        <v>360200.00035</v>
      </c>
      <c r="Q96" s="45" t="n">
        <v>0</v>
      </c>
      <c r="R96" s="45" t="n">
        <v>0</v>
      </c>
      <c r="S96" s="45" t="n">
        <v>1254492.567</v>
      </c>
      <c r="T96" s="45" t="n">
        <v>1254064.99953</v>
      </c>
      <c r="U96" s="15" t="n">
        <v>4.53</v>
      </c>
      <c r="V96" s="15" t="n">
        <v>9.26</v>
      </c>
      <c r="W96" s="49" t="n">
        <v>99.96599999999999</v>
      </c>
    </row>
    <row r="97">
      <c r="A97" s="44" t="inlineStr">
        <is>
          <t>TL Cinsi Degisken Faizli Kuponlu Senetler</t>
        </is>
      </c>
      <c r="B97" s="44" t="n">
        <v>2015</v>
      </c>
      <c r="C97" s="44" t="inlineStr">
        <is>
          <t>TRT200422T14</t>
        </is>
      </c>
      <c r="D97" s="44" t="inlineStr">
        <is>
          <t>29.04.2015</t>
        </is>
      </c>
      <c r="E97" s="44" t="inlineStr">
        <is>
          <t>20.04.2022</t>
        </is>
      </c>
      <c r="F97" s="44" t="n">
        <v>2548</v>
      </c>
      <c r="G97" s="44" t="inlineStr">
        <is>
          <t>6 ay</t>
        </is>
      </c>
      <c r="H97" s="15" t="n"/>
      <c r="I97" s="45" t="n">
        <v>860000</v>
      </c>
      <c r="J97" s="45" t="n">
        <v>805509.15</v>
      </c>
      <c r="K97" s="45" t="n">
        <v>572000</v>
      </c>
      <c r="L97" s="45" t="n">
        <v>541521.0600000001</v>
      </c>
      <c r="M97" s="45" t="n">
        <v>597853.642</v>
      </c>
      <c r="N97" s="45" t="n">
        <v>565999.9999500001</v>
      </c>
      <c r="O97" s="45" t="n">
        <v>136259.929</v>
      </c>
      <c r="P97" s="45" t="n">
        <v>128999.99998</v>
      </c>
      <c r="Q97" s="45" t="n">
        <v>100240.831</v>
      </c>
      <c r="R97" s="45" t="n">
        <v>94899.99952</v>
      </c>
      <c r="S97" s="45" t="n">
        <v>1406354.402</v>
      </c>
      <c r="T97" s="45" t="n">
        <v>1331421.05945</v>
      </c>
      <c r="U97" s="15" t="n">
        <v>4.55</v>
      </c>
      <c r="V97" s="15" t="n">
        <v>9.31</v>
      </c>
      <c r="W97" s="49" t="n">
        <v>94.672</v>
      </c>
    </row>
    <row r="98">
      <c r="A98" s="44" t="inlineStr">
        <is>
          <t>TL Cinsi Degisken Faizli Kuponlu Senetler</t>
        </is>
      </c>
      <c r="B98" s="44" t="n">
        <v>2015</v>
      </c>
      <c r="C98" s="44" t="inlineStr">
        <is>
          <t>TRT200422T14</t>
        </is>
      </c>
      <c r="D98" s="44" t="inlineStr">
        <is>
          <t>13.05.2015</t>
        </is>
      </c>
      <c r="E98" s="44" t="inlineStr">
        <is>
          <t>20.04.2022</t>
        </is>
      </c>
      <c r="F98" s="44" t="n">
        <v>2534</v>
      </c>
      <c r="G98" s="44" t="inlineStr">
        <is>
          <t>6 ay</t>
        </is>
      </c>
      <c r="H98" s="15" t="n"/>
      <c r="I98" s="45" t="n">
        <v>2523300</v>
      </c>
      <c r="J98" s="45" t="n">
        <v>2383906.79</v>
      </c>
      <c r="K98" s="45" t="n">
        <v>1150000</v>
      </c>
      <c r="L98" s="45" t="n">
        <v>1098663.5</v>
      </c>
      <c r="M98" s="45" t="n">
        <v>0</v>
      </c>
      <c r="N98" s="45" t="n">
        <v>0</v>
      </c>
      <c r="O98" s="45" t="n">
        <v>76410.986</v>
      </c>
      <c r="P98" s="45" t="n">
        <v>72999.99958</v>
      </c>
      <c r="Q98" s="45" t="n">
        <v>132344.162</v>
      </c>
      <c r="R98" s="45" t="n">
        <v>126436.31861</v>
      </c>
      <c r="S98" s="45" t="n">
        <v>1358755.148</v>
      </c>
      <c r="T98" s="45" t="n">
        <v>1298099.81819</v>
      </c>
      <c r="U98" s="15" t="n">
        <v>4.5</v>
      </c>
      <c r="V98" s="15" t="n">
        <v>9.199999999999999</v>
      </c>
      <c r="W98" s="49" t="n">
        <v>95.536</v>
      </c>
    </row>
    <row r="99">
      <c r="A99" s="44" t="inlineStr">
        <is>
          <t>TL Cinsi Degisken Faizli Kuponlu Senetler</t>
        </is>
      </c>
      <c r="B99" s="44" t="n">
        <v>2015</v>
      </c>
      <c r="C99" s="44" t="inlineStr">
        <is>
          <t>TRT200422T14</t>
        </is>
      </c>
      <c r="D99" s="44" t="inlineStr">
        <is>
          <t>16.09.2015</t>
        </is>
      </c>
      <c r="E99" s="44" t="inlineStr">
        <is>
          <t>20.04.2022</t>
        </is>
      </c>
      <c r="F99" s="44" t="n">
        <v>2408</v>
      </c>
      <c r="G99" s="44" t="inlineStr">
        <is>
          <t>6 ay</t>
        </is>
      </c>
      <c r="H99" s="15" t="n"/>
      <c r="I99" s="45" t="n">
        <v>781004.02</v>
      </c>
      <c r="J99" s="45" t="n">
        <v>735605.24027</v>
      </c>
      <c r="K99" s="45" t="n">
        <v>587004.02</v>
      </c>
      <c r="L99" s="45" t="n">
        <v>559050.14027</v>
      </c>
      <c r="M99" s="45" t="n">
        <v>210000.21</v>
      </c>
      <c r="N99" s="45" t="n">
        <v>200000</v>
      </c>
      <c r="O99" s="45" t="n">
        <v>91350.091</v>
      </c>
      <c r="P99" s="45" t="n">
        <v>86999.99967</v>
      </c>
      <c r="Q99" s="45" t="n">
        <v>49146.993</v>
      </c>
      <c r="R99" s="45" t="n">
        <v>46806.61319</v>
      </c>
      <c r="S99" s="45" t="n">
        <v>937501.314</v>
      </c>
      <c r="T99" s="45" t="n">
        <v>892856.75313</v>
      </c>
      <c r="U99" s="15" t="n">
        <v>4.85</v>
      </c>
      <c r="V99" s="15" t="n">
        <v>9.93</v>
      </c>
      <c r="W99" s="49" t="n">
        <v>95.238</v>
      </c>
    </row>
    <row r="100">
      <c r="A100" s="44" t="inlineStr">
        <is>
          <t>TL Cinsi Degisken Faizli Kuponlu Senetler</t>
        </is>
      </c>
      <c r="B100" s="44" t="n">
        <v>2014</v>
      </c>
      <c r="C100" s="44" t="inlineStr">
        <is>
          <t>TRT111120T18</t>
        </is>
      </c>
      <c r="D100" s="44" t="inlineStr">
        <is>
          <t>26.02.2014</t>
        </is>
      </c>
      <c r="E100" s="44" t="inlineStr">
        <is>
          <t>11.11.2020</t>
        </is>
      </c>
      <c r="F100" s="44" t="n">
        <v>2450</v>
      </c>
      <c r="G100" s="44" t="inlineStr">
        <is>
          <t>6 Ay</t>
        </is>
      </c>
      <c r="H100" s="15" t="n"/>
      <c r="I100" s="45" t="n">
        <v>2875900</v>
      </c>
      <c r="J100" s="45" t="n">
        <v>2818061.55</v>
      </c>
      <c r="K100" s="45" t="n">
        <v>800000</v>
      </c>
      <c r="L100" s="45" t="n">
        <v>800435.2</v>
      </c>
      <c r="M100" s="45" t="n">
        <v>1349271.393447538</v>
      </c>
      <c r="N100" s="45" t="n">
        <v>1350000</v>
      </c>
      <c r="O100" s="45" t="n">
        <v>962210.4063805545</v>
      </c>
      <c r="P100" s="45" t="n">
        <v>962730</v>
      </c>
      <c r="Q100" s="45" t="n">
        <v>16026.225</v>
      </c>
      <c r="R100" s="45" t="n">
        <v>16034.8791615</v>
      </c>
      <c r="S100" s="45" t="n">
        <v>3127508.024828093</v>
      </c>
      <c r="T100" s="45" t="n">
        <v>3129200.0791615</v>
      </c>
      <c r="U100" s="15" t="n">
        <v>4.29</v>
      </c>
      <c r="V100" s="15" t="n">
        <v>8.77</v>
      </c>
      <c r="W100" s="49" t="n">
        <v>100.054</v>
      </c>
    </row>
    <row r="101">
      <c r="A101" s="44" t="inlineStr">
        <is>
          <t>TL Cinsi Degisken Faizli Kuponlu Senetler</t>
        </is>
      </c>
      <c r="B101" s="44" t="n">
        <v>2014</v>
      </c>
      <c r="C101" s="44" t="inlineStr">
        <is>
          <t>TRT111120T18</t>
        </is>
      </c>
      <c r="D101" s="44" t="inlineStr">
        <is>
          <t>05.03.2014</t>
        </is>
      </c>
      <c r="E101" s="44" t="inlineStr">
        <is>
          <t>11.11.2020</t>
        </is>
      </c>
      <c r="F101" s="44" t="n">
        <v>2443</v>
      </c>
      <c r="G101" s="44" t="inlineStr">
        <is>
          <t>6 Ay</t>
        </is>
      </c>
      <c r="H101" s="15" t="n"/>
      <c r="I101" s="45" t="n">
        <v>916300</v>
      </c>
      <c r="J101" s="45" t="n">
        <v>897662.04</v>
      </c>
      <c r="K101" s="45" t="n">
        <v>401000</v>
      </c>
      <c r="L101" s="45" t="n">
        <v>395416.94</v>
      </c>
      <c r="M101" s="45" t="n">
        <v>771742.6577965276</v>
      </c>
      <c r="N101" s="45" t="n">
        <v>761000</v>
      </c>
      <c r="O101" s="45" t="n">
        <v>1561942.235924063</v>
      </c>
      <c r="P101" s="45" t="n">
        <v>1540200</v>
      </c>
      <c r="Q101" s="45" t="n">
        <v>48600</v>
      </c>
      <c r="R101" s="45" t="n">
        <v>47923.488</v>
      </c>
      <c r="S101" s="45" t="n">
        <v>2783284.893720591</v>
      </c>
      <c r="T101" s="45" t="n">
        <v>2744540.428</v>
      </c>
      <c r="U101" s="15" t="n">
        <v>4.45</v>
      </c>
      <c r="V101" s="15" t="n">
        <v>9.109999999999999</v>
      </c>
      <c r="W101" s="49" t="n">
        <v>98.608</v>
      </c>
    </row>
    <row r="102">
      <c r="A102" s="44" t="inlineStr">
        <is>
          <t>TL Cinsi Degisken Faizli Kuponlu Senetler</t>
        </is>
      </c>
      <c r="B102" s="44" t="n">
        <v>2014</v>
      </c>
      <c r="C102" s="44" t="inlineStr">
        <is>
          <t>TRT111120T18</t>
        </is>
      </c>
      <c r="D102" s="44" t="inlineStr">
        <is>
          <t>02.04.2014</t>
        </is>
      </c>
      <c r="E102" s="44" t="inlineStr">
        <is>
          <t>11.11.2020</t>
        </is>
      </c>
      <c r="F102" s="44" t="n">
        <v>2415</v>
      </c>
      <c r="G102" s="44" t="inlineStr">
        <is>
          <t>6 Ay</t>
        </is>
      </c>
      <c r="H102" s="15" t="n"/>
      <c r="I102" s="45" t="n">
        <v>2876200</v>
      </c>
      <c r="J102" s="45" t="n">
        <v>2842018.2</v>
      </c>
      <c r="K102" s="45" t="n">
        <v>1180000</v>
      </c>
      <c r="L102" s="45" t="n">
        <v>1170926.78</v>
      </c>
      <c r="M102" s="45" t="n">
        <v>1511624.391571183</v>
      </c>
      <c r="N102" s="45" t="n">
        <v>1500000</v>
      </c>
      <c r="O102" s="45" t="n">
        <v>783122.2097933106</v>
      </c>
      <c r="P102" s="45" t="n">
        <v>777100</v>
      </c>
      <c r="Q102" s="45" t="n">
        <v>210007.82</v>
      </c>
      <c r="R102" s="45" t="n">
        <v>208392.8598642</v>
      </c>
      <c r="S102" s="45" t="n">
        <v>3684754.421364493</v>
      </c>
      <c r="T102" s="45" t="n">
        <v>3656419.6398642</v>
      </c>
      <c r="U102" s="15" t="n">
        <v>4.46</v>
      </c>
      <c r="V102" s="15" t="n">
        <v>9.119999999999999</v>
      </c>
      <c r="W102" s="49" t="n">
        <v>99.23099999999999</v>
      </c>
    </row>
    <row r="103">
      <c r="A103" s="44" t="inlineStr">
        <is>
          <t>TL Cinsi Degisken Faizli Kuponlu Senetler</t>
        </is>
      </c>
      <c r="B103" s="44" t="n">
        <v>2014</v>
      </c>
      <c r="C103" s="44" t="inlineStr">
        <is>
          <t>TRT190521T17</t>
        </is>
      </c>
      <c r="D103" s="44" t="inlineStr">
        <is>
          <t>28.05.2014</t>
        </is>
      </c>
      <c r="E103" s="44" t="inlineStr">
        <is>
          <t>19.05.2021</t>
        </is>
      </c>
      <c r="F103" s="44" t="n">
        <v>2548</v>
      </c>
      <c r="G103" s="44" t="inlineStr">
        <is>
          <t>6 Ay</t>
        </is>
      </c>
      <c r="H103" s="15" t="n"/>
      <c r="I103" s="45" t="n">
        <v>2795110.41</v>
      </c>
      <c r="J103" s="45" t="n">
        <v>2743684.62371</v>
      </c>
      <c r="K103" s="45" t="n">
        <v>625279.99</v>
      </c>
      <c r="L103" s="45" t="n">
        <v>622267.72001</v>
      </c>
      <c r="M103" s="45" t="n">
        <v>0</v>
      </c>
      <c r="N103" s="45" t="n">
        <v>0</v>
      </c>
      <c r="O103" s="45" t="n">
        <v>920597.278884222</v>
      </c>
      <c r="P103" s="45" t="n">
        <v>916160</v>
      </c>
      <c r="Q103" s="45" t="n">
        <v>0</v>
      </c>
      <c r="R103" s="45" t="n">
        <v>0</v>
      </c>
      <c r="S103" s="45" t="n">
        <v>1545877.268884222</v>
      </c>
      <c r="T103" s="45" t="n">
        <v>1538427.72001</v>
      </c>
      <c r="U103" s="15" t="n">
        <v>5.22</v>
      </c>
      <c r="V103" s="15" t="n">
        <v>10.71</v>
      </c>
      <c r="W103" s="49" t="n">
        <v>99.518</v>
      </c>
    </row>
    <row r="104">
      <c r="A104" s="44" t="inlineStr">
        <is>
          <t>TL Cinsi Degisken Faizli Kuponlu Senetler</t>
        </is>
      </c>
      <c r="B104" s="44" t="n">
        <v>2014</v>
      </c>
      <c r="C104" s="44" t="inlineStr">
        <is>
          <t>TRT190521T17</t>
        </is>
      </c>
      <c r="D104" s="44" t="inlineStr">
        <is>
          <t>04.06.2014</t>
        </is>
      </c>
      <c r="E104" s="44" t="inlineStr">
        <is>
          <t>19.05.2021</t>
        </is>
      </c>
      <c r="F104" s="44" t="n">
        <v>2541</v>
      </c>
      <c r="G104" s="44" t="inlineStr">
        <is>
          <t>6 Ay</t>
        </is>
      </c>
      <c r="H104" s="15" t="n"/>
      <c r="I104" s="45" t="n">
        <v>1861077.019</v>
      </c>
      <c r="J104" s="45" t="n">
        <v>1834706.15514</v>
      </c>
      <c r="K104" s="45" t="n">
        <v>652070.879</v>
      </c>
      <c r="L104" s="45" t="n">
        <v>647389.51864</v>
      </c>
      <c r="M104" s="45" t="n">
        <v>1430269.333816805</v>
      </c>
      <c r="N104" s="45" t="n">
        <v>1420000</v>
      </c>
      <c r="O104" s="45" t="n">
        <v>372756.3908865656</v>
      </c>
      <c r="P104" s="45" t="n">
        <v>370080</v>
      </c>
      <c r="Q104" s="45" t="n">
        <v>80560.34299999999</v>
      </c>
      <c r="R104" s="45" t="n">
        <v>79981.91973725999</v>
      </c>
      <c r="S104" s="45" t="n">
        <v>2535656.94670337</v>
      </c>
      <c r="T104" s="45" t="n">
        <v>2517451.43837726</v>
      </c>
      <c r="U104" s="15" t="n">
        <v>5.26</v>
      </c>
      <c r="V104" s="15" t="n">
        <v>10.8</v>
      </c>
      <c r="W104" s="49" t="n">
        <v>99.282</v>
      </c>
    </row>
    <row r="105">
      <c r="A105" s="44" t="inlineStr">
        <is>
          <t>TL Cinsi Degisken Faizli Kuponlu Senetler</t>
        </is>
      </c>
      <c r="B105" s="44" t="n">
        <v>2014</v>
      </c>
      <c r="C105" s="44" t="inlineStr">
        <is>
          <t>TRT190521T17</t>
        </is>
      </c>
      <c r="D105" s="44" t="inlineStr">
        <is>
          <t>16.07.2014</t>
        </is>
      </c>
      <c r="E105" s="44" t="inlineStr">
        <is>
          <t>19.05.2021</t>
        </is>
      </c>
      <c r="F105" s="44" t="n">
        <v>2499</v>
      </c>
      <c r="G105" s="44" t="inlineStr">
        <is>
          <t>6 Ay</t>
        </is>
      </c>
      <c r="H105" s="15" t="n"/>
      <c r="I105" s="45" t="n">
        <v>2853200</v>
      </c>
      <c r="J105" s="45" t="n">
        <v>2826036.39</v>
      </c>
      <c r="K105" s="45" t="n">
        <v>520500</v>
      </c>
      <c r="L105" s="45" t="n">
        <v>519667.43</v>
      </c>
      <c r="M105" s="45" t="n">
        <v>1001602.564102564</v>
      </c>
      <c r="N105" s="45" t="n">
        <v>1000000</v>
      </c>
      <c r="O105" s="45" t="n">
        <v>509150.641025641</v>
      </c>
      <c r="P105" s="45" t="n">
        <v>508336</v>
      </c>
      <c r="Q105" s="45" t="n">
        <v>18043.87</v>
      </c>
      <c r="R105" s="45" t="n">
        <v>18014.999808</v>
      </c>
      <c r="S105" s="45" t="n">
        <v>2049297.075128205</v>
      </c>
      <c r="T105" s="45" t="n">
        <v>2046018.429808</v>
      </c>
      <c r="U105" s="15" t="n">
        <v>5.33</v>
      </c>
      <c r="V105" s="15" t="n">
        <v>10.94</v>
      </c>
      <c r="W105" s="49" t="n">
        <v>99.84</v>
      </c>
    </row>
    <row r="106">
      <c r="A106" s="44" t="inlineStr">
        <is>
          <t>TL Cinsi Degisken Faizli Kuponlu Senetler</t>
        </is>
      </c>
      <c r="B106" s="44" t="n">
        <v>2014</v>
      </c>
      <c r="C106" s="44" t="inlineStr">
        <is>
          <t>TRT190521T17</t>
        </is>
      </c>
      <c r="D106" s="44" t="inlineStr">
        <is>
          <t>06.08.2014</t>
        </is>
      </c>
      <c r="E106" s="44" t="inlineStr">
        <is>
          <t>19.05.2021</t>
        </is>
      </c>
      <c r="F106" s="44" t="n">
        <v>2478</v>
      </c>
      <c r="G106" s="44" t="inlineStr">
        <is>
          <t>6 Ay</t>
        </is>
      </c>
      <c r="H106" s="15" t="n"/>
      <c r="I106" s="45" t="n">
        <v>2889300</v>
      </c>
      <c r="J106" s="45" t="n">
        <v>2864738.5385</v>
      </c>
      <c r="K106" s="45" t="n">
        <v>1140600</v>
      </c>
      <c r="L106" s="45" t="n">
        <v>1135899.8215</v>
      </c>
      <c r="M106" s="45" t="n">
        <v>102421.9785516327</v>
      </c>
      <c r="N106" s="45" t="n">
        <v>102000</v>
      </c>
      <c r="O106" s="45" t="n">
        <v>760473.1493754268</v>
      </c>
      <c r="P106" s="45" t="n">
        <v>757340</v>
      </c>
      <c r="Q106" s="45" t="n">
        <v>64062.637</v>
      </c>
      <c r="R106" s="45" t="n">
        <v>63798.69893555999</v>
      </c>
      <c r="S106" s="45" t="n">
        <v>2067557.76492706</v>
      </c>
      <c r="T106" s="45" t="n">
        <v>2059038.52043556</v>
      </c>
      <c r="U106" s="15" t="n">
        <v>5.42</v>
      </c>
      <c r="V106" s="15" t="n">
        <v>11.13</v>
      </c>
      <c r="W106" s="49" t="n">
        <v>99.58799999999999</v>
      </c>
    </row>
    <row r="107">
      <c r="A107" s="44" t="inlineStr">
        <is>
          <t>TL Cinsi Degisken Faizli Kuponlu Senetler</t>
        </is>
      </c>
      <c r="B107" s="44" t="n">
        <v>2014</v>
      </c>
      <c r="C107" s="44" t="inlineStr">
        <is>
          <t>TRT190521T17</t>
        </is>
      </c>
      <c r="D107" s="44" t="inlineStr">
        <is>
          <t>23.09.2014</t>
        </is>
      </c>
      <c r="E107" s="44" t="inlineStr">
        <is>
          <t>19.05.2021</t>
        </is>
      </c>
      <c r="F107" s="44" t="n">
        <v>2430</v>
      </c>
      <c r="G107" s="44" t="inlineStr">
        <is>
          <t>6 Ay</t>
        </is>
      </c>
      <c r="H107" s="15" t="n"/>
      <c r="I107" s="45" t="n">
        <v>4194700</v>
      </c>
      <c r="J107" s="45" t="n">
        <v>4221274.179</v>
      </c>
      <c r="K107" s="45" t="n">
        <v>674000</v>
      </c>
      <c r="L107" s="45" t="n">
        <v>681577.12</v>
      </c>
      <c r="M107" s="45" t="n">
        <v>1040306.949883312</v>
      </c>
      <c r="N107" s="45" t="n">
        <v>1052000</v>
      </c>
      <c r="O107" s="45" t="n">
        <v>597365.6105375579</v>
      </c>
      <c r="P107" s="45" t="n">
        <v>604080</v>
      </c>
      <c r="Q107" s="45" t="n">
        <v>60023.733</v>
      </c>
      <c r="R107" s="45" t="n">
        <v>60698.39975892</v>
      </c>
      <c r="S107" s="45" t="n">
        <v>2371696.293420869</v>
      </c>
      <c r="T107" s="45" t="n">
        <v>2398355.51975892</v>
      </c>
      <c r="U107" s="15" t="n">
        <v>5.41</v>
      </c>
      <c r="V107" s="15" t="n">
        <v>11.11</v>
      </c>
      <c r="W107" s="49" t="n">
        <v>101.124</v>
      </c>
    </row>
    <row r="108">
      <c r="A108" s="44" t="inlineStr">
        <is>
          <t>TL Cinsi Degisken Faizli Kuponlu Senetler</t>
        </is>
      </c>
      <c r="B108" s="44" t="n">
        <v>2013</v>
      </c>
      <c r="C108" s="44" t="inlineStr">
        <is>
          <t>TRT110320T18</t>
        </is>
      </c>
      <c r="D108" s="44" t="inlineStr">
        <is>
          <t>20.03.2013</t>
        </is>
      </c>
      <c r="E108" s="44" t="inlineStr">
        <is>
          <t>11.03.2020</t>
        </is>
      </c>
      <c r="F108" s="44" t="n">
        <v>2548</v>
      </c>
      <c r="G108" s="44" t="inlineStr">
        <is>
          <t>6 AY</t>
        </is>
      </c>
      <c r="H108" s="15" t="n"/>
      <c r="I108" s="45" t="n">
        <v>4278710</v>
      </c>
      <c r="J108" s="45" t="n">
        <v>4141703.515</v>
      </c>
      <c r="K108" s="45" t="n">
        <v>990000</v>
      </c>
      <c r="L108" s="45" t="n">
        <v>972274.15</v>
      </c>
      <c r="M108" s="45" t="n">
        <v>1522248.243559719</v>
      </c>
      <c r="N108" s="45" t="n">
        <v>1495000</v>
      </c>
      <c r="O108" s="45" t="n">
        <v>382040.433970237</v>
      </c>
      <c r="P108" s="45" t="n">
        <v>375200</v>
      </c>
      <c r="Q108" s="45" t="n">
        <v>0</v>
      </c>
      <c r="R108" s="45" t="n">
        <v>0</v>
      </c>
      <c r="S108" s="45" t="n">
        <v>2894296.427535014</v>
      </c>
      <c r="T108" s="45" t="n">
        <v>2842474.15</v>
      </c>
      <c r="U108" s="15" t="n">
        <v>3.4</v>
      </c>
      <c r="V108" s="15" t="n">
        <v>6.925599999999999</v>
      </c>
      <c r="W108" s="49" t="n">
        <v>98.20950000000001</v>
      </c>
    </row>
    <row r="109">
      <c r="A109" s="44" t="inlineStr">
        <is>
          <t>TL Cinsi Degisken Faizli Kuponlu Senetler</t>
        </is>
      </c>
      <c r="B109" s="44" t="n">
        <v>2013</v>
      </c>
      <c r="C109" s="44" t="inlineStr">
        <is>
          <t>TRT110320T18</t>
        </is>
      </c>
      <c r="D109" s="44" t="inlineStr">
        <is>
          <t>03.04.2013</t>
        </is>
      </c>
      <c r="E109" s="44" t="inlineStr">
        <is>
          <t>11.03.2020</t>
        </is>
      </c>
      <c r="F109" s="44" t="n">
        <v>2534</v>
      </c>
      <c r="G109" s="44" t="inlineStr">
        <is>
          <t>6 AY</t>
        </is>
      </c>
      <c r="H109" s="15" t="n"/>
      <c r="I109" s="45" t="n">
        <v>3223300</v>
      </c>
      <c r="J109" s="45" t="n">
        <v>3137542.39</v>
      </c>
      <c r="K109" s="45" t="n">
        <v>1170900</v>
      </c>
      <c r="L109" s="45" t="n">
        <v>1148012.89</v>
      </c>
      <c r="M109" s="45" t="n">
        <v>700698.6587791319</v>
      </c>
      <c r="N109" s="45" t="n">
        <v>687000</v>
      </c>
      <c r="O109" s="45" t="n">
        <v>901945.8352414649</v>
      </c>
      <c r="P109" s="45" t="n">
        <v>884315.5</v>
      </c>
      <c r="Q109" s="45" t="n">
        <v>18000</v>
      </c>
      <c r="R109" s="45" t="n">
        <v>17648.154</v>
      </c>
      <c r="S109" s="45" t="n">
        <v>2791542.350015758</v>
      </c>
      <c r="T109" s="45" t="n">
        <v>2736976.544</v>
      </c>
      <c r="U109" s="15" t="n">
        <v>3.44</v>
      </c>
      <c r="V109" s="15" t="n">
        <v>7</v>
      </c>
      <c r="W109" s="49" t="n">
        <v>98.0453</v>
      </c>
    </row>
    <row r="110">
      <c r="A110" s="44" t="inlineStr">
        <is>
          <t>TL Cinsi Degisken Faizli Kuponlu Senetler</t>
        </is>
      </c>
      <c r="B110" s="44" t="n">
        <v>2013</v>
      </c>
      <c r="C110" s="44" t="inlineStr">
        <is>
          <t>TRT110320T18</t>
        </is>
      </c>
      <c r="D110" s="44" t="inlineStr">
        <is>
          <t>15.05.2013</t>
        </is>
      </c>
      <c r="E110" s="44" t="inlineStr">
        <is>
          <t>11.03.2020</t>
        </is>
      </c>
      <c r="F110" s="44" t="n">
        <v>2492</v>
      </c>
      <c r="G110" s="44" t="inlineStr">
        <is>
          <t>6 AY</t>
        </is>
      </c>
      <c r="H110" s="15" t="n"/>
      <c r="I110" s="45" t="n">
        <v>1118500</v>
      </c>
      <c r="J110" s="45" t="n">
        <v>1099864.875</v>
      </c>
      <c r="K110" s="45" t="n">
        <v>784500</v>
      </c>
      <c r="L110" s="45" t="n">
        <v>773391.875</v>
      </c>
      <c r="M110" s="45" t="n">
        <v>608618.0313235413</v>
      </c>
      <c r="N110" s="45" t="n">
        <v>600000</v>
      </c>
      <c r="O110" s="45" t="n">
        <v>653503.6111336525</v>
      </c>
      <c r="P110" s="45" t="n">
        <v>644250</v>
      </c>
      <c r="Q110" s="45" t="n">
        <v>3600</v>
      </c>
      <c r="R110" s="45" t="n">
        <v>3549.024</v>
      </c>
      <c r="S110" s="45" t="n">
        <v>2050221.642457194</v>
      </c>
      <c r="T110" s="45" t="n">
        <v>2021190.899</v>
      </c>
      <c r="U110" s="15" t="n">
        <v>3.46</v>
      </c>
      <c r="V110" s="15" t="n">
        <v>7.05</v>
      </c>
      <c r="W110" s="49" t="n">
        <v>98.584</v>
      </c>
    </row>
    <row r="111">
      <c r="A111" s="44" t="inlineStr">
        <is>
          <t>TL Cinsi Degisken Faizli Kuponlu Senetler</t>
        </is>
      </c>
      <c r="B111" s="44" t="n">
        <v>2013</v>
      </c>
      <c r="C111" s="44" t="inlineStr">
        <is>
          <t>TRT110320T18</t>
        </is>
      </c>
      <c r="D111" s="44" t="inlineStr">
        <is>
          <t>26.06.2013</t>
        </is>
      </c>
      <c r="E111" s="44" t="inlineStr">
        <is>
          <t>11.03.2020</t>
        </is>
      </c>
      <c r="F111" s="44" t="n">
        <v>2450</v>
      </c>
      <c r="G111" s="44" t="inlineStr">
        <is>
          <t>6 AY</t>
        </is>
      </c>
      <c r="H111" s="15" t="n"/>
      <c r="I111" s="45" t="n">
        <v>1655740.615</v>
      </c>
      <c r="J111" s="45" t="n">
        <v>1553861.37258</v>
      </c>
      <c r="K111" s="45" t="n">
        <v>741700</v>
      </c>
      <c r="L111" s="45" t="n">
        <v>714110.405</v>
      </c>
      <c r="M111" s="45" t="n">
        <v>1682592.438720399</v>
      </c>
      <c r="N111" s="45" t="n">
        <v>1620000</v>
      </c>
      <c r="O111" s="45" t="n">
        <v>532363.9385126714</v>
      </c>
      <c r="P111" s="45" t="n">
        <v>512560</v>
      </c>
      <c r="Q111" s="45" t="n">
        <v>0</v>
      </c>
      <c r="R111" s="45" t="n">
        <v>0</v>
      </c>
      <c r="S111" s="45" t="n">
        <v>2956656.37723307</v>
      </c>
      <c r="T111" s="45" t="n">
        <v>2846670.405</v>
      </c>
      <c r="U111" s="15" t="n">
        <v>3.76</v>
      </c>
      <c r="V111" s="15" t="n">
        <v>7.67</v>
      </c>
      <c r="W111" s="49" t="n">
        <v>96.28</v>
      </c>
    </row>
    <row r="112">
      <c r="A112" s="44" t="inlineStr">
        <is>
          <t>TL Cinsi Degisken Faizli Kuponlu Senetler</t>
        </is>
      </c>
      <c r="B112" s="44" t="n">
        <v>2013</v>
      </c>
      <c r="C112" s="44" t="inlineStr">
        <is>
          <t>TRT110320T18</t>
        </is>
      </c>
      <c r="D112" s="44" t="inlineStr">
        <is>
          <t>28.08.2013</t>
        </is>
      </c>
      <c r="E112" s="44" t="inlineStr">
        <is>
          <t>11.03.2020</t>
        </is>
      </c>
      <c r="F112" s="44" t="n">
        <v>2387</v>
      </c>
      <c r="G112" s="44" t="inlineStr">
        <is>
          <t>6 AY</t>
        </is>
      </c>
      <c r="H112" s="15" t="n"/>
      <c r="I112" s="45" t="n">
        <v>2052200</v>
      </c>
      <c r="J112" s="45" t="n">
        <v>1886839.788</v>
      </c>
      <c r="K112" s="45" t="n">
        <v>517800</v>
      </c>
      <c r="L112" s="45" t="n">
        <v>495346.378</v>
      </c>
      <c r="M112" s="45" t="n">
        <v>1100727.546412444</v>
      </c>
      <c r="N112" s="45" t="n">
        <v>1053000</v>
      </c>
      <c r="O112" s="45" t="n">
        <v>684426.743602609</v>
      </c>
      <c r="P112" s="45" t="n">
        <v>654750</v>
      </c>
      <c r="Q112" s="45" t="n">
        <v>20000</v>
      </c>
      <c r="R112" s="45" t="n">
        <v>19132.8</v>
      </c>
      <c r="S112" s="45" t="n">
        <v>2322954.290015053</v>
      </c>
      <c r="T112" s="45" t="n">
        <v>2222229.178</v>
      </c>
      <c r="U112" s="15" t="n">
        <v>3.95</v>
      </c>
      <c r="V112" s="15" t="n">
        <v>8.06</v>
      </c>
      <c r="W112" s="49" t="n">
        <v>95.664</v>
      </c>
    </row>
    <row r="113">
      <c r="A113" s="44" t="inlineStr">
        <is>
          <t>TL Cinsi Degisken Faizli Kuponlu Senetler</t>
        </is>
      </c>
      <c r="B113" s="44" t="n">
        <v>2013</v>
      </c>
      <c r="C113" s="44" t="inlineStr">
        <is>
          <t>TRT110320T18</t>
        </is>
      </c>
      <c r="D113" s="44" t="inlineStr">
        <is>
          <t>09.10.2013</t>
        </is>
      </c>
      <c r="E113" s="44" t="inlineStr">
        <is>
          <t>11.03.2020</t>
        </is>
      </c>
      <c r="F113" s="44" t="n">
        <v>2345</v>
      </c>
      <c r="G113" s="44" t="inlineStr">
        <is>
          <t>6 AY</t>
        </is>
      </c>
      <c r="H113" s="15" t="n"/>
      <c r="I113" s="45" t="n">
        <v>3720200</v>
      </c>
      <c r="J113" s="45" t="n">
        <v>3537338.12</v>
      </c>
      <c r="K113" s="45" t="n">
        <v>1204100</v>
      </c>
      <c r="L113" s="45" t="n">
        <v>1150416.55</v>
      </c>
      <c r="M113" s="45" t="n">
        <v>627996.0645579954</v>
      </c>
      <c r="N113" s="45" t="n">
        <v>600000</v>
      </c>
      <c r="O113" s="45" t="n">
        <v>259100.709635553</v>
      </c>
      <c r="P113" s="45" t="n">
        <v>247550</v>
      </c>
      <c r="Q113" s="45" t="n">
        <v>92163.111</v>
      </c>
      <c r="R113" s="45" t="n">
        <v>88054.47951162001</v>
      </c>
      <c r="S113" s="45" t="n">
        <v>2183359.885193548</v>
      </c>
      <c r="T113" s="45" t="n">
        <v>2086021.02951162</v>
      </c>
      <c r="U113" s="15" t="n">
        <v>4.03</v>
      </c>
      <c r="V113" s="15" t="n">
        <v>8.220000000000001</v>
      </c>
      <c r="W113" s="49" t="n">
        <v>95.542</v>
      </c>
    </row>
    <row r="114">
      <c r="A114" s="44" t="inlineStr">
        <is>
          <t>TL Cinsi Degisken Faizli Kuponlu Senetler</t>
        </is>
      </c>
      <c r="B114" s="44" t="n">
        <v>2013</v>
      </c>
      <c r="C114" s="44" t="inlineStr">
        <is>
          <t>TRT111120T18</t>
        </is>
      </c>
      <c r="D114" s="44" t="inlineStr">
        <is>
          <t>20.11.2013</t>
        </is>
      </c>
      <c r="E114" s="44" t="inlineStr">
        <is>
          <t>11.11.2020</t>
        </is>
      </c>
      <c r="F114" s="44" t="n">
        <v>2548</v>
      </c>
      <c r="G114" s="44" t="inlineStr">
        <is>
          <t>6 AY</t>
        </is>
      </c>
      <c r="H114" s="15" t="n"/>
      <c r="I114" s="45" t="n">
        <v>5017617.96</v>
      </c>
      <c r="J114" s="45" t="n">
        <v>4861321.88129</v>
      </c>
      <c r="K114" s="45" t="n">
        <v>588802.96</v>
      </c>
      <c r="L114" s="45" t="n">
        <v>578101.5366399999</v>
      </c>
      <c r="M114" s="45" t="n">
        <v>1196744.853997128</v>
      </c>
      <c r="N114" s="45" t="n">
        <v>1175000</v>
      </c>
      <c r="O114" s="45" t="n">
        <v>594068.2195492091</v>
      </c>
      <c r="P114" s="45" t="n">
        <v>583274</v>
      </c>
      <c r="Q114" s="45" t="n">
        <v>122192.293</v>
      </c>
      <c r="R114" s="45" t="n">
        <v>119972.05903619</v>
      </c>
      <c r="S114" s="45" t="n">
        <v>2501808.326546337</v>
      </c>
      <c r="T114" s="45" t="n">
        <v>2456347.59567619</v>
      </c>
      <c r="U114" s="15" t="n">
        <v>4.25</v>
      </c>
      <c r="V114" s="15" t="n">
        <v>8.69</v>
      </c>
      <c r="W114" s="49" t="n">
        <v>98.18300000000001</v>
      </c>
    </row>
    <row r="115">
      <c r="A115" s="44" t="inlineStr">
        <is>
          <t>TL Cinsi Degisken Faizli Kuponlu Senetler</t>
        </is>
      </c>
      <c r="B115" s="44" t="n">
        <v>2013</v>
      </c>
      <c r="C115" s="44" t="inlineStr">
        <is>
          <t>TRT111120T18</t>
        </is>
      </c>
      <c r="D115" s="44" t="inlineStr">
        <is>
          <t>04.12.2013</t>
        </is>
      </c>
      <c r="E115" s="44" t="inlineStr">
        <is>
          <t>11.11.2020</t>
        </is>
      </c>
      <c r="F115" s="44" t="n">
        <v>2534</v>
      </c>
      <c r="G115" s="44" t="inlineStr">
        <is>
          <t>6 AY</t>
        </is>
      </c>
      <c r="H115" s="15" t="n"/>
      <c r="I115" s="45" t="n">
        <v>3189400</v>
      </c>
      <c r="J115" s="45" t="n">
        <v>3107579.31</v>
      </c>
      <c r="K115" s="45" t="n">
        <v>929300</v>
      </c>
      <c r="L115" s="45" t="n">
        <v>911893.33</v>
      </c>
      <c r="M115" s="45" t="n">
        <v>1228000.448398504</v>
      </c>
      <c r="N115" s="45" t="n">
        <v>1205000</v>
      </c>
      <c r="O115" s="45" t="n">
        <v>357822.0061756703</v>
      </c>
      <c r="P115" s="45" t="n">
        <v>351120</v>
      </c>
      <c r="Q115" s="45" t="n">
        <v>0</v>
      </c>
      <c r="R115" s="45" t="n">
        <v>0</v>
      </c>
      <c r="S115" s="45" t="n">
        <v>2515122.454574174</v>
      </c>
      <c r="T115" s="45" t="n">
        <v>2468013.33</v>
      </c>
      <c r="U115" s="15" t="n">
        <v>4.29</v>
      </c>
      <c r="V115" s="15" t="n">
        <v>8.77</v>
      </c>
      <c r="W115" s="49" t="n">
        <v>98.127</v>
      </c>
    </row>
    <row r="116">
      <c r="A116" s="44" t="inlineStr">
        <is>
          <t>TL Cinsi Degisken Faizli Kuponlu Senetler</t>
        </is>
      </c>
      <c r="B116" s="44" t="n">
        <v>2012</v>
      </c>
      <c r="C116" s="44" t="inlineStr">
        <is>
          <t>TRT240118T19</t>
        </is>
      </c>
      <c r="D116" s="44" t="inlineStr">
        <is>
          <t>nan</t>
        </is>
      </c>
      <c r="E116" s="44" t="inlineStr">
        <is>
          <t>nan</t>
        </is>
      </c>
      <c r="F116" s="44" t="n"/>
      <c r="G116" s="44" t="n"/>
      <c r="H116" s="15" t="n"/>
      <c r="I116" s="45" t="n">
        <v>4042410.003</v>
      </c>
      <c r="J116" s="45" t="n">
        <v>3773576.27602</v>
      </c>
      <c r="K116" s="45" t="n">
        <v>642720</v>
      </c>
      <c r="L116" s="45" t="n">
        <v>617780.16</v>
      </c>
      <c r="M116" s="45" t="n">
        <v>0</v>
      </c>
      <c r="N116" s="45" t="n">
        <v>0</v>
      </c>
      <c r="O116" s="45" t="n">
        <v>260091.5522263837</v>
      </c>
      <c r="P116" s="45" t="n">
        <v>250000</v>
      </c>
      <c r="Q116" s="45" t="n">
        <v>20224.338</v>
      </c>
      <c r="R116" s="45" t="n">
        <v>19439.6336856</v>
      </c>
      <c r="S116" s="45" t="n">
        <v>923035.8902263837</v>
      </c>
      <c r="T116" s="45" t="n">
        <v>887219.7936856</v>
      </c>
      <c r="U116" s="15" t="n">
        <v>5.07</v>
      </c>
      <c r="V116" s="15" t="n">
        <v>10.407049</v>
      </c>
      <c r="W116" s="49" t="n">
        <v>96.12</v>
      </c>
    </row>
    <row r="117">
      <c r="A117" s="44" t="inlineStr">
        <is>
          <t>TL Cinsi Degisken Faizli Kuponlu Senetler</t>
        </is>
      </c>
      <c r="B117" s="44" t="n">
        <v>2011</v>
      </c>
      <c r="C117" s="44" t="inlineStr">
        <is>
          <t>TRT251017T18</t>
        </is>
      </c>
      <c r="D117" s="44" t="inlineStr">
        <is>
          <t>nan</t>
        </is>
      </c>
      <c r="E117" s="44" t="inlineStr">
        <is>
          <t>nan</t>
        </is>
      </c>
      <c r="F117" s="44" t="n"/>
      <c r="G117" s="44" t="n"/>
      <c r="H117" s="15" t="n"/>
      <c r="I117" s="45" t="n">
        <v>2314544.36</v>
      </c>
      <c r="J117" s="45" t="n">
        <v>2382669.93163</v>
      </c>
      <c r="K117" s="45" t="n">
        <v>1050326.165</v>
      </c>
      <c r="L117" s="45" t="n">
        <v>1091538.16501</v>
      </c>
      <c r="M117" s="45" t="n">
        <v>1443362.457180247</v>
      </c>
      <c r="N117" s="45" t="n">
        <v>1500000</v>
      </c>
      <c r="O117" s="45" t="n">
        <v>2070888.341480312</v>
      </c>
      <c r="P117" s="45" t="n">
        <v>2152150</v>
      </c>
      <c r="Q117" s="45" t="n">
        <v>190730.86</v>
      </c>
      <c r="R117" s="45" t="n">
        <v>198215.1389464</v>
      </c>
      <c r="S117" s="45" t="n">
        <v>4755307.823660559</v>
      </c>
      <c r="T117" s="45" t="n">
        <v>4941903.3039564</v>
      </c>
      <c r="U117" s="15" t="n">
        <v>3.77</v>
      </c>
      <c r="V117" s="15" t="n">
        <v>7.682129000000004</v>
      </c>
      <c r="W117" s="49" t="n">
        <v>103.924</v>
      </c>
    </row>
    <row r="118">
      <c r="A118" s="44" t="inlineStr">
        <is>
          <t>TL Cinsi Degisken Faizli Kuponlu Senetler</t>
        </is>
      </c>
      <c r="B118" s="44" t="n">
        <v>2011</v>
      </c>
      <c r="C118" s="44" t="inlineStr">
        <is>
          <t>TRT240118T19</t>
        </is>
      </c>
      <c r="D118" s="44" t="inlineStr">
        <is>
          <t>nan</t>
        </is>
      </c>
      <c r="E118" s="44" t="inlineStr">
        <is>
          <t>nan</t>
        </is>
      </c>
      <c r="F118" s="44" t="n"/>
      <c r="G118" s="44" t="n"/>
      <c r="H118" s="15" t="n"/>
      <c r="I118" s="45" t="n">
        <v>1632300</v>
      </c>
      <c r="J118" s="45" t="n">
        <v>1621497.77</v>
      </c>
      <c r="K118" s="45" t="n">
        <v>1177300</v>
      </c>
      <c r="L118" s="45" t="n">
        <v>1173198.59</v>
      </c>
      <c r="M118" s="45" t="n">
        <v>200698.4305382732</v>
      </c>
      <c r="N118" s="45" t="n">
        <v>200000</v>
      </c>
      <c r="O118" s="45" t="n">
        <v>1214225.504756553</v>
      </c>
      <c r="P118" s="45" t="n">
        <v>1210000</v>
      </c>
      <c r="Q118" s="45" t="n">
        <v>403.805</v>
      </c>
      <c r="R118" s="45" t="n">
        <v>402.3997586</v>
      </c>
      <c r="S118" s="45" t="n">
        <v>2592627.740294826</v>
      </c>
      <c r="T118" s="45" t="n">
        <v>2583600.9897586</v>
      </c>
      <c r="U118" s="15" t="n">
        <v>3.76</v>
      </c>
      <c r="V118" s="15" t="n">
        <v>7.671376000000008</v>
      </c>
      <c r="W118" s="49" t="n">
        <v>99.652</v>
      </c>
    </row>
    <row r="119">
      <c r="A119" s="44" t="inlineStr">
        <is>
          <t>TL Cinsi Degisken Faizli Kuponlu Senetler</t>
        </is>
      </c>
      <c r="B119" s="44" t="n">
        <v>2011</v>
      </c>
      <c r="C119" s="44" t="inlineStr">
        <is>
          <t>TRT240118T19</t>
        </is>
      </c>
      <c r="D119" s="44" t="inlineStr">
        <is>
          <t>nan</t>
        </is>
      </c>
      <c r="E119" s="44" t="inlineStr">
        <is>
          <t>nan</t>
        </is>
      </c>
      <c r="F119" s="44" t="n"/>
      <c r="G119" s="44" t="n"/>
      <c r="H119" s="15" t="n"/>
      <c r="I119" s="45" t="n">
        <v>566109.995</v>
      </c>
      <c r="J119" s="45" t="n">
        <v>563089.0375</v>
      </c>
      <c r="K119" s="45" t="n">
        <v>330009.995</v>
      </c>
      <c r="L119" s="45" t="n">
        <v>330612.4375</v>
      </c>
      <c r="M119" s="45" t="n">
        <v>948264.6756435722</v>
      </c>
      <c r="N119" s="45" t="n">
        <v>950000</v>
      </c>
      <c r="O119" s="45" t="n">
        <v>119780.8011339249</v>
      </c>
      <c r="P119" s="45" t="n">
        <v>120000</v>
      </c>
      <c r="Q119" s="45" t="n">
        <v>800</v>
      </c>
      <c r="R119" s="45" t="n">
        <v>801.4640000000001</v>
      </c>
      <c r="S119" s="45" t="n">
        <v>1398855.471777497</v>
      </c>
      <c r="T119" s="45" t="n">
        <v>1401413.9015</v>
      </c>
      <c r="U119" s="15" t="n">
        <v>3.93</v>
      </c>
      <c r="V119" s="15" t="n">
        <v>8.024448999999967</v>
      </c>
      <c r="W119" s="49" t="n">
        <v>100.183</v>
      </c>
    </row>
    <row r="120">
      <c r="A120" s="44" t="inlineStr">
        <is>
          <t>TL Cinsi Degisken Faizli Kuponlu Senetler</t>
        </is>
      </c>
      <c r="B120" s="44" t="n">
        <v>2011</v>
      </c>
      <c r="C120" s="44" t="inlineStr">
        <is>
          <t>TRT240118T19</t>
        </is>
      </c>
      <c r="D120" s="44" t="inlineStr">
        <is>
          <t>nan</t>
        </is>
      </c>
      <c r="E120" s="44" t="inlineStr">
        <is>
          <t>nan</t>
        </is>
      </c>
      <c r="F120" s="44" t="n"/>
      <c r="G120" s="44" t="n"/>
      <c r="H120" s="15" t="n"/>
      <c r="I120" s="45" t="n">
        <v>417500</v>
      </c>
      <c r="J120" s="45" t="n">
        <v>395931.22</v>
      </c>
      <c r="K120" s="45" t="n">
        <v>337500</v>
      </c>
      <c r="L120" s="45" t="n">
        <v>321468.42</v>
      </c>
      <c r="M120" s="45" t="n">
        <v>0</v>
      </c>
      <c r="N120" s="45" t="n">
        <v>0</v>
      </c>
      <c r="O120" s="45" t="n">
        <v>49343.83202099738</v>
      </c>
      <c r="P120" s="45" t="n">
        <v>47000</v>
      </c>
      <c r="Q120" s="45" t="n">
        <v>24000</v>
      </c>
      <c r="R120" s="45" t="n">
        <v>22860</v>
      </c>
      <c r="S120" s="45" t="n">
        <v>410843.8320209974</v>
      </c>
      <c r="T120" s="45" t="n">
        <v>391328.42</v>
      </c>
      <c r="U120" s="15" t="n">
        <v>5.01</v>
      </c>
      <c r="V120" s="15" t="n">
        <v>10.261001</v>
      </c>
      <c r="W120" s="49" t="n">
        <v>95.25</v>
      </c>
    </row>
    <row r="121">
      <c r="A121" s="44" t="inlineStr">
        <is>
          <t>TL Cinsi Degisken Faizli Kuponlu Senetler</t>
        </is>
      </c>
      <c r="B121" s="44" t="n">
        <v>2010</v>
      </c>
      <c r="C121" s="44" t="inlineStr">
        <is>
          <t>TRT040117T14</t>
        </is>
      </c>
      <c r="D121" s="44" t="inlineStr">
        <is>
          <t>nan</t>
        </is>
      </c>
      <c r="E121" s="44" t="inlineStr">
        <is>
          <t>nan</t>
        </is>
      </c>
      <c r="F121" s="44" t="n"/>
      <c r="G121" s="44" t="n"/>
      <c r="H121" s="15" t="n"/>
      <c r="I121" s="45" t="n">
        <v>3452427.41</v>
      </c>
      <c r="J121" s="45" t="n">
        <v>3468032.26142</v>
      </c>
      <c r="K121" s="45" t="n">
        <v>1113850</v>
      </c>
      <c r="L121" s="45" t="n">
        <v>1123405.65</v>
      </c>
      <c r="M121" s="45" t="n">
        <v>396597.1960578238</v>
      </c>
      <c r="N121" s="45" t="n">
        <v>400000</v>
      </c>
      <c r="O121" s="45" t="n">
        <v>1267430.446766741</v>
      </c>
      <c r="P121" s="45" t="n">
        <v>1278305</v>
      </c>
      <c r="Q121" s="45" t="n">
        <v>42204.882</v>
      </c>
      <c r="R121" s="45" t="n">
        <v>42566.99988756</v>
      </c>
      <c r="S121" s="45" t="n">
        <v>2820082.524824565</v>
      </c>
      <c r="T121" s="45" t="n">
        <v>2844277.64988756</v>
      </c>
      <c r="U121" s="15" t="n">
        <v>2.04</v>
      </c>
      <c r="V121" s="15" t="n">
        <v>8.413109184514568</v>
      </c>
      <c r="W121" s="49" t="n">
        <v>100.858</v>
      </c>
    </row>
    <row r="122">
      <c r="A122" s="44" t="inlineStr">
        <is>
          <t>TL Cinsi Degisken Faizli Kuponlu Senetler</t>
        </is>
      </c>
      <c r="B122" s="44" t="n">
        <v>2010</v>
      </c>
      <c r="C122" s="44" t="inlineStr">
        <is>
          <t>TRT040117T14</t>
        </is>
      </c>
      <c r="D122" s="44" t="inlineStr">
        <is>
          <t>nan</t>
        </is>
      </c>
      <c r="E122" s="44" t="inlineStr">
        <is>
          <t>nan</t>
        </is>
      </c>
      <c r="F122" s="44" t="n"/>
      <c r="G122" s="44" t="n"/>
      <c r="H122" s="15" t="n"/>
      <c r="I122" s="45" t="n">
        <v>2157794.046</v>
      </c>
      <c r="J122" s="45" t="n">
        <v>2181632.24275</v>
      </c>
      <c r="K122" s="45" t="n">
        <v>846511.931</v>
      </c>
      <c r="L122" s="45" t="n">
        <v>863386.41778</v>
      </c>
      <c r="M122" s="45" t="n">
        <v>833390.526800859</v>
      </c>
      <c r="N122" s="45" t="n">
        <v>850000</v>
      </c>
      <c r="O122" s="45" t="n">
        <v>808981.9889600266</v>
      </c>
      <c r="P122" s="45" t="n">
        <v>825105</v>
      </c>
      <c r="Q122" s="45" t="n">
        <v>78087.946</v>
      </c>
      <c r="R122" s="45" t="n">
        <v>79644.23876377998</v>
      </c>
      <c r="S122" s="45" t="n">
        <v>2566972.392760885</v>
      </c>
      <c r="T122" s="45" t="n">
        <v>2618135.65654378</v>
      </c>
      <c r="U122" s="15" t="n">
        <v>2.02</v>
      </c>
      <c r="V122" s="15" t="n">
        <v>8.33813761286415</v>
      </c>
      <c r="W122" s="49" t="n">
        <v>101.993</v>
      </c>
    </row>
    <row r="123">
      <c r="A123" s="44" t="inlineStr">
        <is>
          <t>TL Cinsi Degisken Faizli Kuponlu Senetler</t>
        </is>
      </c>
      <c r="B123" s="44" t="n">
        <v>2010</v>
      </c>
      <c r="C123" s="44" t="inlineStr">
        <is>
          <t>TRT040117T14</t>
        </is>
      </c>
      <c r="D123" s="44" t="inlineStr">
        <is>
          <t>nan</t>
        </is>
      </c>
      <c r="E123" s="44" t="inlineStr">
        <is>
          <t>nan</t>
        </is>
      </c>
      <c r="F123" s="44" t="n"/>
      <c r="G123" s="44" t="n"/>
      <c r="H123" s="15" t="n"/>
      <c r="I123" s="45" t="n">
        <v>761665.01</v>
      </c>
      <c r="J123" s="45" t="n">
        <v>756282.6914</v>
      </c>
      <c r="K123" s="45" t="n">
        <v>458649</v>
      </c>
      <c r="L123" s="45" t="n">
        <v>457049.8915</v>
      </c>
      <c r="M123" s="45" t="n">
        <v>301050.666827227</v>
      </c>
      <c r="N123" s="45" t="n">
        <v>300000</v>
      </c>
      <c r="O123" s="45" t="n">
        <v>761156.4359615056</v>
      </c>
      <c r="P123" s="45" t="n">
        <v>758500</v>
      </c>
      <c r="Q123" s="45" t="n">
        <v>6031.606</v>
      </c>
      <c r="R123" s="45" t="n">
        <v>6010.555695059999</v>
      </c>
      <c r="S123" s="45" t="n">
        <v>1526887.708788733</v>
      </c>
      <c r="T123" s="45" t="n">
        <v>1521560.44719506</v>
      </c>
      <c r="U123" s="15" t="n">
        <v>1.97</v>
      </c>
      <c r="V123" s="15" t="n">
        <v>8.125927210584829</v>
      </c>
      <c r="W123" s="49" t="n">
        <v>99.651</v>
      </c>
    </row>
    <row r="124">
      <c r="A124" s="44" t="inlineStr">
        <is>
          <t>TL Cinsi Degisken Faizli Kuponlu Senetler</t>
        </is>
      </c>
      <c r="B124" s="44" t="n">
        <v>2010</v>
      </c>
      <c r="C124" s="44" t="inlineStr">
        <is>
          <t>TRT190717T11</t>
        </is>
      </c>
      <c r="D124" s="44" t="inlineStr">
        <is>
          <t>nan</t>
        </is>
      </c>
      <c r="E124" s="44" t="inlineStr">
        <is>
          <t>nan</t>
        </is>
      </c>
      <c r="F124" s="44" t="n"/>
      <c r="G124" s="44" t="n"/>
      <c r="H124" s="15" t="n"/>
      <c r="I124" s="45" t="n">
        <v>2518020</v>
      </c>
      <c r="J124" s="45" t="n">
        <v>2502611.14555</v>
      </c>
      <c r="K124" s="45" t="n">
        <v>507100</v>
      </c>
      <c r="L124" s="45" t="n">
        <v>507255.7</v>
      </c>
      <c r="M124" s="45" t="n">
        <v>757765.0928212253</v>
      </c>
      <c r="N124" s="45" t="n">
        <v>758000</v>
      </c>
      <c r="O124" s="45" t="n">
        <v>340594.4157311234</v>
      </c>
      <c r="P124" s="45" t="n">
        <v>340700</v>
      </c>
      <c r="Q124" s="45" t="n">
        <v>56035.388</v>
      </c>
      <c r="R124" s="45" t="n">
        <v>56052.75897028</v>
      </c>
      <c r="S124" s="45" t="n">
        <v>1661494.896552349</v>
      </c>
      <c r="T124" s="45" t="n">
        <v>1662008.45897028</v>
      </c>
      <c r="U124" s="15" t="n">
        <v>4.13</v>
      </c>
      <c r="V124" s="15" t="n">
        <v>8.420569000000032</v>
      </c>
      <c r="W124" s="49" t="n">
        <v>100.031</v>
      </c>
    </row>
    <row r="125">
      <c r="A125" s="44" t="inlineStr">
        <is>
          <t>TL Cinsi Degisken Faizli Kuponlu Senetler</t>
        </is>
      </c>
      <c r="B125" s="44" t="n">
        <v>2010</v>
      </c>
      <c r="C125" s="44" t="inlineStr">
        <is>
          <t>TRT190717T11</t>
        </is>
      </c>
      <c r="D125" s="44" t="inlineStr">
        <is>
          <t>nan</t>
        </is>
      </c>
      <c r="E125" s="44" t="inlineStr">
        <is>
          <t>nan</t>
        </is>
      </c>
      <c r="F125" s="44" t="n"/>
      <c r="G125" s="44" t="n"/>
      <c r="H125" s="15" t="n"/>
      <c r="I125" s="45" t="n">
        <v>4480500</v>
      </c>
      <c r="J125" s="45" t="n">
        <v>4493048.87</v>
      </c>
      <c r="K125" s="45" t="n">
        <v>1834000</v>
      </c>
      <c r="L125" s="45" t="n">
        <v>1847193.45</v>
      </c>
      <c r="M125" s="45" t="n">
        <v>297858.3981175349</v>
      </c>
      <c r="N125" s="45" t="n">
        <v>300000</v>
      </c>
      <c r="O125" s="45" t="n">
        <v>1505376.344086021</v>
      </c>
      <c r="P125" s="45" t="n">
        <v>1516200</v>
      </c>
      <c r="Q125" s="45" t="n">
        <v>340396.945</v>
      </c>
      <c r="R125" s="45" t="n">
        <v>342844.3990345499</v>
      </c>
      <c r="S125" s="45" t="n">
        <v>3977631.687203556</v>
      </c>
      <c r="T125" s="45" t="n">
        <v>4006237.84903455</v>
      </c>
      <c r="U125" s="15" t="n">
        <v>4.11</v>
      </c>
      <c r="V125" s="15" t="n">
        <v>8.378920999999972</v>
      </c>
      <c r="W125" s="49" t="n">
        <v>100.719</v>
      </c>
    </row>
    <row r="126">
      <c r="A126" s="44" t="inlineStr">
        <is>
          <t>TL Cinsi Degisken Faizli Kuponlu Senetler</t>
        </is>
      </c>
      <c r="B126" s="44" t="n">
        <v>2010</v>
      </c>
      <c r="C126" s="44" t="inlineStr">
        <is>
          <t>TRT190717T11</t>
        </is>
      </c>
      <c r="D126" s="44" t="inlineStr">
        <is>
          <t>nan</t>
        </is>
      </c>
      <c r="E126" s="44" t="inlineStr">
        <is>
          <t>nan</t>
        </is>
      </c>
      <c r="F126" s="44" t="n"/>
      <c r="G126" s="44" t="n"/>
      <c r="H126" s="15" t="n"/>
      <c r="I126" s="45" t="n">
        <v>3097525</v>
      </c>
      <c r="J126" s="45" t="n">
        <v>3157721.63</v>
      </c>
      <c r="K126" s="45" t="n">
        <v>450000</v>
      </c>
      <c r="L126" s="45" t="n">
        <v>460967.5</v>
      </c>
      <c r="M126" s="45" t="n">
        <v>244052.4419887346</v>
      </c>
      <c r="N126" s="45" t="n">
        <v>250000</v>
      </c>
      <c r="O126" s="45" t="n">
        <v>574046.48710915</v>
      </c>
      <c r="P126" s="45" t="n">
        <v>588036</v>
      </c>
      <c r="Q126" s="45" t="n">
        <v>50010.25</v>
      </c>
      <c r="R126" s="45" t="n">
        <v>51228.9997925</v>
      </c>
      <c r="S126" s="45" t="n">
        <v>1318109.179097885</v>
      </c>
      <c r="T126" s="45" t="n">
        <v>1350232.4997925</v>
      </c>
      <c r="U126" s="15" t="n">
        <v>4.03</v>
      </c>
      <c r="V126" s="15" t="n">
        <v>8.222408999999997</v>
      </c>
      <c r="W126" s="49" t="n">
        <v>102.437</v>
      </c>
    </row>
    <row r="127">
      <c r="A127" s="44" t="inlineStr">
        <is>
          <t>TL Cinsi Degisken Faizli Kuponlu Senetler</t>
        </is>
      </c>
      <c r="B127" s="44" t="n">
        <v>2010</v>
      </c>
      <c r="C127" s="44" t="inlineStr">
        <is>
          <t>TRT251017T18</t>
        </is>
      </c>
      <c r="D127" s="44" t="inlineStr">
        <is>
          <t>nan</t>
        </is>
      </c>
      <c r="E127" s="44" t="inlineStr">
        <is>
          <t>nan</t>
        </is>
      </c>
      <c r="F127" s="44" t="n"/>
      <c r="G127" s="44" t="n"/>
      <c r="H127" s="15" t="n"/>
      <c r="I127" s="45" t="n">
        <v>2809535</v>
      </c>
      <c r="J127" s="45" t="n">
        <v>2832473.889</v>
      </c>
      <c r="K127" s="45" t="n">
        <v>1035000</v>
      </c>
      <c r="L127" s="45" t="n">
        <v>1048437.5</v>
      </c>
      <c r="M127" s="45" t="n">
        <v>493593.1607731644</v>
      </c>
      <c r="N127" s="45" t="n">
        <v>500000</v>
      </c>
      <c r="O127" s="45" t="n">
        <v>969959.9202353453</v>
      </c>
      <c r="P127" s="45" t="n">
        <v>982550</v>
      </c>
      <c r="Q127" s="45" t="n">
        <v>200322.809</v>
      </c>
      <c r="R127" s="45" t="n">
        <v>202922.99906082</v>
      </c>
      <c r="S127" s="45" t="n">
        <v>2698875.89000851</v>
      </c>
      <c r="T127" s="45" t="n">
        <v>2733910.49906082</v>
      </c>
      <c r="U127" s="15" t="n">
        <v>3.88</v>
      </c>
      <c r="V127" s="15" t="n">
        <v>7.910543999999997</v>
      </c>
      <c r="W127" s="49" t="n">
        <v>101.298</v>
      </c>
    </row>
    <row r="128">
      <c r="A128" s="44" t="inlineStr">
        <is>
          <t>TL Cinsi Degisken Faizli Kuponlu Senetler</t>
        </is>
      </c>
      <c r="B128" s="44" t="n">
        <v>2010</v>
      </c>
      <c r="C128" s="44" t="inlineStr">
        <is>
          <t>TRT251017T18</t>
        </is>
      </c>
      <c r="D128" s="44" t="inlineStr">
        <is>
          <t>nan</t>
        </is>
      </c>
      <c r="E128" s="44" t="inlineStr">
        <is>
          <t>nan</t>
        </is>
      </c>
      <c r="F128" s="44" t="n"/>
      <c r="G128" s="44" t="n"/>
      <c r="H128" s="15" t="n"/>
      <c r="I128" s="45" t="n">
        <v>3539409.8</v>
      </c>
      <c r="J128" s="45" t="n">
        <v>3599861.786</v>
      </c>
      <c r="K128" s="45" t="n">
        <v>2300100</v>
      </c>
      <c r="L128" s="45" t="n">
        <v>2363196.09</v>
      </c>
      <c r="M128" s="45" t="n">
        <v>389320.9269731271</v>
      </c>
      <c r="N128" s="45" t="n">
        <v>400000</v>
      </c>
      <c r="O128" s="45" t="n">
        <v>1181043.964065678</v>
      </c>
      <c r="P128" s="45" t="n">
        <v>1213440</v>
      </c>
      <c r="Q128" s="45" t="n">
        <v>0</v>
      </c>
      <c r="R128" s="45" t="n">
        <v>0</v>
      </c>
      <c r="S128" s="45" t="n">
        <v>3870464.891038805</v>
      </c>
      <c r="T128" s="45" t="n">
        <v>3976636.09</v>
      </c>
      <c r="U128" s="15" t="n">
        <v>3.81</v>
      </c>
      <c r="V128" s="15" t="n">
        <v>7.765160999999998</v>
      </c>
      <c r="W128" s="49" t="n">
        <v>102.743</v>
      </c>
    </row>
    <row r="129">
      <c r="A129" s="44" t="inlineStr">
        <is>
          <t>TL Cinsi Degisken Faizli Kuponlu Senetler</t>
        </is>
      </c>
      <c r="B129" s="44" t="n">
        <v>2009</v>
      </c>
      <c r="C129" s="44" t="inlineStr">
        <is>
          <t>TRT201113T16</t>
        </is>
      </c>
      <c r="D129" s="44" t="inlineStr">
        <is>
          <t>nan</t>
        </is>
      </c>
      <c r="E129" s="44" t="inlineStr">
        <is>
          <t>nan</t>
        </is>
      </c>
      <c r="F129" s="44" t="n"/>
      <c r="G129" s="44" t="n"/>
      <c r="H129" s="15" t="n"/>
      <c r="I129" s="45" t="n">
        <v>727239.4</v>
      </c>
      <c r="J129" s="45" t="n"/>
      <c r="K129" s="45" t="n">
        <v>515200</v>
      </c>
      <c r="L129" s="45" t="n">
        <v>547149.5</v>
      </c>
      <c r="M129" s="45" t="n">
        <v>0</v>
      </c>
      <c r="N129" s="45" t="n">
        <v>0</v>
      </c>
      <c r="O129" s="45" t="n">
        <v>1121829.361305449</v>
      </c>
      <c r="P129" s="45" t="n">
        <v>1191394</v>
      </c>
      <c r="Q129" s="45" t="n">
        <v>0</v>
      </c>
      <c r="R129" s="45" t="n">
        <v>0</v>
      </c>
      <c r="S129" s="45" t="n">
        <v>1747174.274305449</v>
      </c>
      <c r="T129" s="45" t="n">
        <v>1855518.49905513</v>
      </c>
      <c r="U129" s="15" t="n">
        <v>4.92</v>
      </c>
      <c r="V129" s="15" t="n">
        <v>21.19060814500091</v>
      </c>
      <c r="W129" s="49" t="n">
        <v>106.201</v>
      </c>
    </row>
    <row r="130">
      <c r="A130" s="44" t="inlineStr">
        <is>
          <t>TL Cinsi Degisken Faizli Kuponlu Senetler</t>
        </is>
      </c>
      <c r="B130" s="44" t="n">
        <v>2009</v>
      </c>
      <c r="C130" s="44" t="inlineStr">
        <is>
          <t>TRT201113T16</t>
        </is>
      </c>
      <c r="D130" s="44" t="inlineStr">
        <is>
          <t>nan</t>
        </is>
      </c>
      <c r="E130" s="44" t="inlineStr">
        <is>
          <t>nan</t>
        </is>
      </c>
      <c r="F130" s="44" t="n"/>
      <c r="G130" s="44" t="n"/>
      <c r="H130" s="15" t="n"/>
      <c r="I130" s="45" t="n">
        <v>3588487.28</v>
      </c>
      <c r="J130" s="45" t="n"/>
      <c r="K130" s="45" t="n">
        <v>3460056.25</v>
      </c>
      <c r="L130" s="45" t="n">
        <v>3715501.19027</v>
      </c>
      <c r="M130" s="45" t="n">
        <v>348286.041552201</v>
      </c>
      <c r="N130" s="45" t="n">
        <v>374000</v>
      </c>
      <c r="O130" s="45" t="n">
        <v>989379.1382248588</v>
      </c>
      <c r="P130" s="45" t="n">
        <v>1062425</v>
      </c>
      <c r="Q130" s="45" t="n">
        <v>0</v>
      </c>
      <c r="R130" s="45" t="n">
        <v>0</v>
      </c>
      <c r="S130" s="45" t="n">
        <v>4921267.21377706</v>
      </c>
      <c r="T130" s="45" t="n">
        <v>5284593.35950272</v>
      </c>
      <c r="U130" s="15" t="n">
        <v>4.92</v>
      </c>
      <c r="V130" s="15" t="n">
        <v>21.19060814500091</v>
      </c>
      <c r="W130" s="49" t="n">
        <v>107.383</v>
      </c>
    </row>
    <row r="131">
      <c r="A131" s="44" t="inlineStr">
        <is>
          <t>TL Cinsi Degisken Faizli Kuponlu Senetler</t>
        </is>
      </c>
      <c r="B131" s="44" t="n">
        <v>2009</v>
      </c>
      <c r="C131" s="44" t="inlineStr">
        <is>
          <t>TRT020414T16</t>
        </is>
      </c>
      <c r="D131" s="44" t="inlineStr">
        <is>
          <t>nan</t>
        </is>
      </c>
      <c r="E131" s="44" t="inlineStr">
        <is>
          <t>nan</t>
        </is>
      </c>
      <c r="F131" s="44" t="n"/>
      <c r="G131" s="44" t="n"/>
      <c r="H131" s="15" t="n"/>
      <c r="I131" s="45" t="n">
        <v>2679368.75</v>
      </c>
      <c r="J131" s="45" t="n"/>
      <c r="K131" s="45" t="n">
        <v>2055000</v>
      </c>
      <c r="L131" s="45" t="n">
        <v>2177885</v>
      </c>
      <c r="M131" s="45" t="n">
        <v>1122853.368560106</v>
      </c>
      <c r="N131" s="45" t="n">
        <v>1190000</v>
      </c>
      <c r="O131" s="45" t="n">
        <v>727495.7539158331</v>
      </c>
      <c r="P131" s="45" t="n">
        <v>771000</v>
      </c>
      <c r="Q131" s="45" t="n">
        <v>0</v>
      </c>
      <c r="R131" s="45" t="n">
        <v>0</v>
      </c>
      <c r="S131" s="45" t="n">
        <v>3999706.548475939</v>
      </c>
      <c r="T131" s="45" t="n">
        <v>4238885.0000748</v>
      </c>
      <c r="U131" s="15" t="n">
        <v>3.64</v>
      </c>
      <c r="V131" s="15" t="n">
        <v>15.39444296950017</v>
      </c>
      <c r="W131" s="49" t="n">
        <v>105.98</v>
      </c>
    </row>
    <row r="132">
      <c r="A132" s="44" t="inlineStr">
        <is>
          <t>TL Cinsi Degisken Faizli Kuponlu Senetler</t>
        </is>
      </c>
      <c r="B132" s="44" t="n">
        <v>2009</v>
      </c>
      <c r="C132" s="44" t="inlineStr">
        <is>
          <t>TRT020414T16</t>
        </is>
      </c>
      <c r="D132" s="44" t="inlineStr">
        <is>
          <t>nan</t>
        </is>
      </c>
      <c r="E132" s="44" t="inlineStr">
        <is>
          <t>nan</t>
        </is>
      </c>
      <c r="F132" s="44" t="n"/>
      <c r="G132" s="44" t="n"/>
      <c r="H132" s="15" t="n"/>
      <c r="I132" s="45" t="n">
        <v>3303443.285</v>
      </c>
      <c r="J132" s="45" t="n"/>
      <c r="K132" s="45" t="n">
        <v>2865800</v>
      </c>
      <c r="L132" s="45" t="n">
        <v>3075508.08</v>
      </c>
      <c r="M132" s="45" t="n">
        <v>1863620.268734043</v>
      </c>
      <c r="N132" s="45" t="n">
        <v>2000000</v>
      </c>
      <c r="O132" s="45" t="n">
        <v>342271.56674556</v>
      </c>
      <c r="P132" s="45" t="n">
        <v>367319</v>
      </c>
      <c r="Q132" s="45" t="n">
        <v>0</v>
      </c>
      <c r="R132" s="45" t="n">
        <v>0</v>
      </c>
      <c r="S132" s="45" t="n">
        <v>5091700.034479602</v>
      </c>
      <c r="T132" s="45" t="n">
        <v>5464299.47900282</v>
      </c>
      <c r="U132" s="15" t="n">
        <v>3.63</v>
      </c>
      <c r="V132" s="15" t="n">
        <v>15.33992048949362</v>
      </c>
      <c r="W132" s="49" t="n">
        <v>107.318</v>
      </c>
    </row>
    <row r="133">
      <c r="A133" s="44" t="inlineStr">
        <is>
          <t>TL Cinsi Degisken Faizli Kuponlu Senetler</t>
        </is>
      </c>
      <c r="B133" s="44" t="n">
        <v>2009</v>
      </c>
      <c r="C133" s="44" t="inlineStr">
        <is>
          <t>TRT160714T17</t>
        </is>
      </c>
      <c r="D133" s="44" t="inlineStr">
        <is>
          <t>nan</t>
        </is>
      </c>
      <c r="E133" s="44" t="inlineStr">
        <is>
          <t>nan</t>
        </is>
      </c>
      <c r="F133" s="44" t="n"/>
      <c r="G133" s="44" t="n"/>
      <c r="H133" s="15" t="n"/>
      <c r="I133" s="45" t="n">
        <v>3857795.315</v>
      </c>
      <c r="J133" s="45" t="n"/>
      <c r="K133" s="45" t="n">
        <v>1000003</v>
      </c>
      <c r="L133" s="45" t="n">
        <v>1024548.10497</v>
      </c>
      <c r="M133" s="45" t="n">
        <v>224488.7999609585</v>
      </c>
      <c r="N133" s="45" t="n">
        <v>230000</v>
      </c>
      <c r="O133" s="45" t="n">
        <v>806402.8109901908</v>
      </c>
      <c r="P133" s="45" t="n">
        <v>826200</v>
      </c>
      <c r="Q133" s="45" t="n">
        <v>0</v>
      </c>
      <c r="R133" s="45" t="n">
        <v>0</v>
      </c>
      <c r="S133" s="45" t="n">
        <v>2030894.610951149</v>
      </c>
      <c r="T133" s="45" t="n">
        <v>2080748.10497</v>
      </c>
      <c r="U133" s="15" t="n">
        <v>2.84</v>
      </c>
      <c r="V133" s="15" t="n">
        <v>11.84316357550335</v>
      </c>
      <c r="W133" s="49" t="n">
        <v>102.455</v>
      </c>
    </row>
    <row r="134">
      <c r="A134" s="44" t="inlineStr">
        <is>
          <t>TL Cinsi Degisken Faizli Kuponlu Senetler</t>
        </is>
      </c>
      <c r="B134" s="44" t="n">
        <v>2009</v>
      </c>
      <c r="C134" s="44" t="inlineStr">
        <is>
          <t>TRT160714T17</t>
        </is>
      </c>
      <c r="D134" s="44" t="inlineStr">
        <is>
          <t>nan</t>
        </is>
      </c>
      <c r="E134" s="44" t="inlineStr">
        <is>
          <t>nan</t>
        </is>
      </c>
      <c r="F134" s="44" t="n"/>
      <c r="G134" s="44" t="n"/>
      <c r="H134" s="15" t="n"/>
      <c r="I134" s="45" t="n">
        <v>4251522</v>
      </c>
      <c r="J134" s="45" t="n"/>
      <c r="K134" s="45" t="n">
        <v>896000</v>
      </c>
      <c r="L134" s="45" t="n">
        <v>928054</v>
      </c>
      <c r="M134" s="45" t="n">
        <v>1930930.612008458</v>
      </c>
      <c r="N134" s="45" t="n">
        <v>2000000</v>
      </c>
      <c r="O134" s="45" t="n">
        <v>1086389.835581258</v>
      </c>
      <c r="P134" s="45" t="n">
        <v>1125250</v>
      </c>
      <c r="Q134" s="45" t="n">
        <v>0</v>
      </c>
      <c r="R134" s="45" t="n">
        <v>0</v>
      </c>
      <c r="S134" s="45" t="n">
        <v>4013525.704589717</v>
      </c>
      <c r="T134" s="45" t="n">
        <v>4157093.59904289</v>
      </c>
      <c r="U134" s="15" t="n">
        <v>2.79</v>
      </c>
      <c r="V134" s="15" t="n">
        <v>11.6457936478128</v>
      </c>
      <c r="W134" s="49" t="n">
        <v>103.577</v>
      </c>
    </row>
    <row r="135">
      <c r="A135" s="44" t="inlineStr">
        <is>
          <t>TL Cinsi Degisken Faizli Kuponlu Senetler</t>
        </is>
      </c>
      <c r="B135" s="44" t="n">
        <v>2009</v>
      </c>
      <c r="C135" s="44" t="inlineStr">
        <is>
          <t>TRT160714T17</t>
        </is>
      </c>
      <c r="D135" s="44" t="inlineStr">
        <is>
          <t>nan</t>
        </is>
      </c>
      <c r="E135" s="44" t="inlineStr">
        <is>
          <t>nan</t>
        </is>
      </c>
      <c r="F135" s="44" t="n"/>
      <c r="G135" s="44" t="n"/>
      <c r="H135" s="15" t="n"/>
      <c r="I135" s="45" t="n">
        <v>6855683.7</v>
      </c>
      <c r="J135" s="45" t="n"/>
      <c r="K135" s="45" t="n">
        <v>1505000</v>
      </c>
      <c r="L135" s="45" t="n">
        <v>1606085</v>
      </c>
      <c r="M135" s="45" t="n">
        <v>0</v>
      </c>
      <c r="N135" s="45" t="n">
        <v>0</v>
      </c>
      <c r="O135" s="45" t="n">
        <v>585947.8808437268</v>
      </c>
      <c r="P135" s="45" t="n">
        <v>625306</v>
      </c>
      <c r="Q135" s="45" t="n">
        <v>0</v>
      </c>
      <c r="R135" s="45" t="n">
        <v>0</v>
      </c>
      <c r="S135" s="45" t="n">
        <v>2491352.688843727</v>
      </c>
      <c r="T135" s="45" t="n">
        <v>2658690.99895336</v>
      </c>
      <c r="U135" s="15" t="n">
        <v>2.7</v>
      </c>
      <c r="V135" s="15" t="n">
        <v>11.25532634409996</v>
      </c>
      <c r="W135" s="49" t="n">
        <v>106.717</v>
      </c>
    </row>
    <row r="136">
      <c r="A136" s="44" t="inlineStr">
        <is>
          <t>TL Cinsi Degisken Faizli Kuponlu Senetler</t>
        </is>
      </c>
      <c r="B136" s="44" t="n">
        <v>2009</v>
      </c>
      <c r="C136" s="44" t="inlineStr">
        <is>
          <t>TRT280916T19</t>
        </is>
      </c>
      <c r="D136" s="44" t="inlineStr">
        <is>
          <t>nan</t>
        </is>
      </c>
      <c r="E136" s="44" t="inlineStr">
        <is>
          <t>nan</t>
        </is>
      </c>
      <c r="F136" s="44" t="n"/>
      <c r="G136" s="44" t="n"/>
      <c r="H136" s="15" t="n"/>
      <c r="I136" s="45" t="n">
        <v>2772635.74</v>
      </c>
      <c r="J136" s="45" t="n"/>
      <c r="K136" s="45" t="n">
        <v>2116634.74</v>
      </c>
      <c r="L136" s="45" t="n">
        <v>2128085.22977</v>
      </c>
      <c r="M136" s="45" t="n">
        <v>0</v>
      </c>
      <c r="N136" s="45" t="n">
        <v>0</v>
      </c>
      <c r="O136" s="45" t="n">
        <v>1946234.073661492</v>
      </c>
      <c r="P136" s="45" t="n">
        <v>1956763.2</v>
      </c>
      <c r="Q136" s="45" t="n">
        <v>0</v>
      </c>
      <c r="R136" s="45" t="n">
        <v>0</v>
      </c>
      <c r="S136" s="45" t="n">
        <v>4262142.054661492</v>
      </c>
      <c r="T136" s="45" t="n">
        <v>4285199.73900381</v>
      </c>
      <c r="U136" s="15" t="n">
        <v>2.33</v>
      </c>
      <c r="V136" s="15" t="n">
        <v>9.670823207755234</v>
      </c>
      <c r="W136" s="49" t="n">
        <v>100.541</v>
      </c>
    </row>
    <row r="137">
      <c r="A137" s="44" t="inlineStr">
        <is>
          <t>TL Cinsi Degisken Faizli Kuponlu Senetler</t>
        </is>
      </c>
      <c r="B137" s="44" t="n">
        <v>2009</v>
      </c>
      <c r="C137" s="44" t="inlineStr">
        <is>
          <t>TRT280916T19</t>
        </is>
      </c>
      <c r="D137" s="44" t="inlineStr">
        <is>
          <t>nan</t>
        </is>
      </c>
      <c r="E137" s="44" t="inlineStr">
        <is>
          <t>nan</t>
        </is>
      </c>
      <c r="F137" s="44" t="n"/>
      <c r="G137" s="44" t="n"/>
      <c r="H137" s="15" t="n"/>
      <c r="I137" s="45" t="n">
        <v>5165259.776</v>
      </c>
      <c r="J137" s="45" t="n"/>
      <c r="K137" s="45" t="n">
        <v>735250</v>
      </c>
      <c r="L137" s="45" t="n">
        <v>752412.9275</v>
      </c>
      <c r="M137" s="45" t="n">
        <v>0</v>
      </c>
      <c r="N137" s="45" t="n">
        <v>0</v>
      </c>
      <c r="O137" s="45" t="n">
        <v>473049.5241073348</v>
      </c>
      <c r="P137" s="45" t="n">
        <v>484090.5</v>
      </c>
      <c r="Q137" s="45" t="n">
        <v>0</v>
      </c>
      <c r="R137" s="45" t="n">
        <v>0</v>
      </c>
      <c r="S137" s="45" t="n">
        <v>1208299.524107335</v>
      </c>
      <c r="T137" s="45" t="n">
        <v>1236503.4275</v>
      </c>
      <c r="U137" s="15" t="n">
        <v>2.31</v>
      </c>
      <c r="V137" s="15" t="n">
        <v>9.545125030363153</v>
      </c>
      <c r="W137" s="49" t="n">
        <v>102.334</v>
      </c>
    </row>
    <row r="138">
      <c r="A138" s="44" t="inlineStr">
        <is>
          <t>TL Cinsi Degisken Faizli Kuponlu Senetler</t>
        </is>
      </c>
      <c r="B138" s="44" t="n">
        <v>2008</v>
      </c>
      <c r="C138" s="44" t="inlineStr">
        <is>
          <t>TRT030413T16</t>
        </is>
      </c>
      <c r="D138" s="44" t="inlineStr">
        <is>
          <t>nan</t>
        </is>
      </c>
      <c r="E138" s="44" t="inlineStr">
        <is>
          <t>nan</t>
        </is>
      </c>
      <c r="F138" s="44" t="n"/>
      <c r="G138" s="44" t="n"/>
      <c r="H138" s="15" t="n"/>
      <c r="I138" s="45" t="n">
        <v>3430023.825</v>
      </c>
      <c r="J138" s="45" t="n"/>
      <c r="K138" s="45" t="n">
        <v>1708171.635</v>
      </c>
      <c r="L138" s="45" t="n">
        <v>1719432.81925</v>
      </c>
      <c r="M138" s="45" t="n">
        <v>610973.6834262211</v>
      </c>
      <c r="N138" s="45" t="n">
        <v>615000</v>
      </c>
      <c r="O138" s="45" t="n">
        <v>1369549.667689923</v>
      </c>
      <c r="P138" s="45" t="n">
        <v>1378575</v>
      </c>
      <c r="Q138" s="45" t="n">
        <v>0</v>
      </c>
      <c r="R138" s="45" t="n">
        <v>0</v>
      </c>
      <c r="S138" s="45" t="n">
        <v>3825233.914116144</v>
      </c>
      <c r="T138" s="45" t="n">
        <v>3850446.53878552</v>
      </c>
      <c r="U138" s="15" t="n">
        <v>8.76</v>
      </c>
      <c r="V138" s="15" t="n">
        <v>18.27737599999999</v>
      </c>
      <c r="W138" s="49" t="n">
        <v>100.659</v>
      </c>
    </row>
    <row r="139">
      <c r="A139" s="44" t="inlineStr">
        <is>
          <t>TL Cinsi Degisken Faizli Kuponlu Senetler</t>
        </is>
      </c>
      <c r="B139" s="44" t="n">
        <v>2008</v>
      </c>
      <c r="C139" s="44" t="inlineStr">
        <is>
          <t>TRT030413T16</t>
        </is>
      </c>
      <c r="D139" s="44" t="inlineStr">
        <is>
          <t>nan</t>
        </is>
      </c>
      <c r="E139" s="44" t="inlineStr">
        <is>
          <t>nan</t>
        </is>
      </c>
      <c r="F139" s="44" t="n"/>
      <c r="G139" s="44" t="n"/>
      <c r="H139" s="15" t="n"/>
      <c r="I139" s="45" t="n">
        <v>1943526.97</v>
      </c>
      <c r="J139" s="45" t="n"/>
      <c r="K139" s="45" t="n">
        <v>1124200</v>
      </c>
      <c r="L139" s="45" t="n">
        <v>1151537.72</v>
      </c>
      <c r="M139" s="45" t="n">
        <v>0</v>
      </c>
      <c r="N139" s="45" t="n">
        <v>0</v>
      </c>
      <c r="O139" s="45" t="n">
        <v>871309.7469540768</v>
      </c>
      <c r="P139" s="45" t="n">
        <v>892500</v>
      </c>
      <c r="Q139" s="45" t="n">
        <v>0</v>
      </c>
      <c r="R139" s="45" t="n">
        <v>0</v>
      </c>
      <c r="S139" s="45" t="n">
        <v>2001517.829954077</v>
      </c>
      <c r="T139" s="45" t="n">
        <v>2050191.91957856</v>
      </c>
      <c r="U139" s="15" t="n">
        <v>8.949999999999999</v>
      </c>
      <c r="V139" s="15" t="n">
        <v>18.70102499999997</v>
      </c>
      <c r="W139" s="49" t="n">
        <v>102.432</v>
      </c>
    </row>
    <row r="140">
      <c r="A140" s="44" t="inlineStr">
        <is>
          <t>TL Cinsi Degisken Faizli Kuponlu Senetler</t>
        </is>
      </c>
      <c r="B140" s="44" t="n">
        <v>2008</v>
      </c>
      <c r="C140" s="44" t="inlineStr">
        <is>
          <t>TRT260613T17</t>
        </is>
      </c>
      <c r="D140" s="44" t="inlineStr">
        <is>
          <t>nan</t>
        </is>
      </c>
      <c r="E140" s="44" t="inlineStr">
        <is>
          <t>nan</t>
        </is>
      </c>
      <c r="F140" s="44" t="n"/>
      <c r="G140" s="44" t="n"/>
      <c r="H140" s="15" t="n"/>
      <c r="I140" s="45" t="n">
        <v>4390168.905</v>
      </c>
      <c r="J140" s="45" t="n"/>
      <c r="K140" s="45" t="n">
        <v>2269050</v>
      </c>
      <c r="L140" s="45" t="n">
        <v>2284847.09</v>
      </c>
      <c r="M140" s="45" t="n">
        <v>1987169.301660443</v>
      </c>
      <c r="N140" s="45" t="n">
        <v>2001000</v>
      </c>
      <c r="O140" s="45" t="n">
        <v>1591634.225788512</v>
      </c>
      <c r="P140" s="45" t="n">
        <v>1602712</v>
      </c>
      <c r="Q140" s="45" t="n">
        <v>0</v>
      </c>
      <c r="R140" s="45" t="n">
        <v>0</v>
      </c>
      <c r="S140" s="45" t="n">
        <v>6286949.952448955</v>
      </c>
      <c r="T140" s="45" t="n">
        <v>6330711.626118</v>
      </c>
      <c r="U140" s="15" t="n">
        <v>4.88</v>
      </c>
      <c r="V140" s="15" t="n">
        <v>21.01591683444733</v>
      </c>
      <c r="W140" s="49" t="n">
        <v>100.696</v>
      </c>
    </row>
    <row r="141">
      <c r="A141" s="44" t="inlineStr">
        <is>
          <t>TL Cinsi Degisken Faizli Kuponlu Senetler</t>
        </is>
      </c>
      <c r="B141" s="44" t="n">
        <v>2008</v>
      </c>
      <c r="C141" s="44" t="inlineStr">
        <is>
          <t>TRT260613T17</t>
        </is>
      </c>
      <c r="D141" s="44" t="inlineStr">
        <is>
          <t>nan</t>
        </is>
      </c>
      <c r="E141" s="44" t="inlineStr">
        <is>
          <t>nan</t>
        </is>
      </c>
      <c r="F141" s="44" t="n"/>
      <c r="G141" s="44" t="n"/>
      <c r="H141" s="15" t="n"/>
      <c r="I141" s="45" t="n">
        <v>3869216.244</v>
      </c>
      <c r="J141" s="45" t="n"/>
      <c r="K141" s="45" t="n">
        <v>1145000</v>
      </c>
      <c r="L141" s="45" t="n">
        <v>1206190.5</v>
      </c>
      <c r="M141" s="45" t="n">
        <v>1044198.055893074</v>
      </c>
      <c r="N141" s="45" t="n">
        <v>1100000</v>
      </c>
      <c r="O141" s="45" t="n">
        <v>1239257.10054678</v>
      </c>
      <c r="P141" s="45" t="n">
        <v>1305483</v>
      </c>
      <c r="Q141" s="45" t="n">
        <v>0</v>
      </c>
      <c r="R141" s="45" t="n">
        <v>0</v>
      </c>
      <c r="S141" s="45" t="n">
        <v>3828172.273439855</v>
      </c>
      <c r="T141" s="45" t="n">
        <v>4032751.49973248</v>
      </c>
      <c r="U141" s="15" t="n">
        <v>4.69</v>
      </c>
      <c r="V141" s="15" t="n">
        <v>20.14151451201516</v>
      </c>
      <c r="W141" s="49" t="n">
        <v>105.344</v>
      </c>
    </row>
    <row r="142">
      <c r="A142" s="44" t="inlineStr">
        <is>
          <t>TL Cinsi Degisken Faizli Kuponlu Senetler</t>
        </is>
      </c>
      <c r="B142" s="44" t="n">
        <v>2008</v>
      </c>
      <c r="C142" s="44" t="inlineStr">
        <is>
          <t>TRT260613T17</t>
        </is>
      </c>
      <c r="D142" s="44" t="inlineStr">
        <is>
          <t>nan</t>
        </is>
      </c>
      <c r="E142" s="44" t="inlineStr">
        <is>
          <t>nan</t>
        </is>
      </c>
      <c r="F142" s="44" t="n"/>
      <c r="G142" s="44" t="n"/>
      <c r="H142" s="15" t="n"/>
      <c r="I142" s="45" t="n">
        <v>2658396.95</v>
      </c>
      <c r="J142" s="45" t="n"/>
      <c r="K142" s="45" t="n">
        <v>2400000</v>
      </c>
      <c r="L142" s="45" t="n">
        <v>2509200</v>
      </c>
      <c r="M142" s="45" t="n">
        <v>114108.0822572932</v>
      </c>
      <c r="N142" s="45" t="n">
        <v>119300</v>
      </c>
      <c r="O142" s="45" t="n">
        <v>747967.4796747968</v>
      </c>
      <c r="P142" s="45" t="n">
        <v>782000</v>
      </c>
      <c r="Q142" s="45" t="n">
        <v>0</v>
      </c>
      <c r="R142" s="45" t="n">
        <v>0</v>
      </c>
      <c r="S142" s="45" t="n">
        <v>3262075.56193209</v>
      </c>
      <c r="T142" s="45" t="n">
        <v>3410500</v>
      </c>
      <c r="U142" s="15" t="n">
        <v>4.75</v>
      </c>
      <c r="V142" s="15" t="n">
        <v>20.3971278164063</v>
      </c>
      <c r="W142" s="49" t="n">
        <v>104.55</v>
      </c>
    </row>
    <row r="143">
      <c r="A143" s="44" t="inlineStr">
        <is>
          <t>TL Cinsi Degisken Faizli Kuponlu Senetler</t>
        </is>
      </c>
      <c r="B143" s="44" t="n">
        <v>2008</v>
      </c>
      <c r="C143" s="44" t="inlineStr">
        <is>
          <t>TRT201113T16</t>
        </is>
      </c>
      <c r="D143" s="44" t="inlineStr">
        <is>
          <t>nan</t>
        </is>
      </c>
      <c r="E143" s="44" t="inlineStr">
        <is>
          <t>nan</t>
        </is>
      </c>
      <c r="F143" s="44" t="n"/>
      <c r="G143" s="44" t="n"/>
      <c r="H143" s="15" t="n"/>
      <c r="I143" s="45" t="n">
        <v>2390551.25</v>
      </c>
      <c r="J143" s="45" t="n"/>
      <c r="K143" s="45" t="n">
        <v>2056668.43</v>
      </c>
      <c r="L143" s="45" t="n">
        <v>2121249.2749</v>
      </c>
      <c r="M143" s="45" t="n">
        <v>2084545.278262556</v>
      </c>
      <c r="N143" s="45" t="n">
        <v>2150000</v>
      </c>
      <c r="O143" s="45" t="n">
        <v>2354712.041884817</v>
      </c>
      <c r="P143" s="45" t="n">
        <v>2428650</v>
      </c>
      <c r="Q143" s="45" t="n">
        <v>0</v>
      </c>
      <c r="R143" s="45" t="n">
        <v>0</v>
      </c>
      <c r="S143" s="45" t="n">
        <v>6495925.750147372</v>
      </c>
      <c r="T143" s="45" t="n">
        <v>6699899.274900001</v>
      </c>
      <c r="U143" s="15" t="n">
        <v>4.95</v>
      </c>
      <c r="V143" s="15" t="n">
        <v>21.31926532250632</v>
      </c>
      <c r="W143" s="49" t="n">
        <v>103.14</v>
      </c>
    </row>
    <row r="144">
      <c r="A144" s="44" t="inlineStr">
        <is>
          <t>TL Cinsi Degisken Faizli Kuponlu Senetler</t>
        </is>
      </c>
      <c r="B144" s="44" t="n">
        <v>2007</v>
      </c>
      <c r="C144" s="44" t="inlineStr">
        <is>
          <t>TRT260214T10</t>
        </is>
      </c>
      <c r="D144" s="44" t="inlineStr">
        <is>
          <t>nan</t>
        </is>
      </c>
      <c r="E144" s="44" t="inlineStr">
        <is>
          <t>nan</t>
        </is>
      </c>
      <c r="F144" s="44" t="n"/>
      <c r="G144" s="44" t="n"/>
      <c r="H144" s="15" t="n"/>
      <c r="I144" s="45" t="n">
        <v>2333889.757</v>
      </c>
      <c r="J144" s="45" t="n"/>
      <c r="K144" s="45" t="n">
        <v>1375361.88</v>
      </c>
      <c r="L144" s="45" t="n">
        <v>1392558.6593</v>
      </c>
      <c r="M144" s="45" t="n">
        <v>98765.43209876542</v>
      </c>
      <c r="N144" s="45" t="n">
        <v>100000</v>
      </c>
      <c r="O144" s="45" t="n">
        <v>1369299.654320988</v>
      </c>
      <c r="P144" s="45" t="n">
        <v>1386415.9</v>
      </c>
      <c r="Q144" s="45" t="n">
        <v>0</v>
      </c>
      <c r="R144" s="45" t="n">
        <v>0</v>
      </c>
      <c r="S144" s="45" t="n">
        <v>3067945.801419753</v>
      </c>
      <c r="T144" s="45" t="n">
        <v>3106299.8797375</v>
      </c>
      <c r="U144" s="15" t="n">
        <v>10.6</v>
      </c>
      <c r="V144" s="15" t="n">
        <v>22.33360000000002</v>
      </c>
      <c r="W144" s="49" t="n">
        <v>101.25</v>
      </c>
    </row>
    <row r="145">
      <c r="A145" s="44" t="inlineStr">
        <is>
          <t>TL Cinsi Degisken Faizli Kuponlu Senetler</t>
        </is>
      </c>
      <c r="B145" s="44" t="n">
        <v>2007</v>
      </c>
      <c r="C145" s="44" t="inlineStr">
        <is>
          <t>TRT260214T10</t>
        </is>
      </c>
      <c r="D145" s="44" t="inlineStr">
        <is>
          <t>nan</t>
        </is>
      </c>
      <c r="E145" s="44" t="inlineStr">
        <is>
          <t>nan</t>
        </is>
      </c>
      <c r="F145" s="44" t="n"/>
      <c r="G145" s="44" t="n"/>
      <c r="H145" s="15" t="n"/>
      <c r="I145" s="45" t="n">
        <v>2655853.579</v>
      </c>
      <c r="J145" s="45" t="n"/>
      <c r="K145" s="45" t="n">
        <v>1180886.85</v>
      </c>
      <c r="L145" s="45" t="n">
        <v>1258493.25412</v>
      </c>
      <c r="M145" s="45" t="n">
        <v>1360582.516983823</v>
      </c>
      <c r="N145" s="45" t="n">
        <v>1450000</v>
      </c>
      <c r="O145" s="45" t="n">
        <v>1091249.390083699</v>
      </c>
      <c r="P145" s="45" t="n">
        <v>1162966.3</v>
      </c>
      <c r="Q145" s="45" t="n">
        <v>0</v>
      </c>
      <c r="R145" s="45" t="n">
        <v>0</v>
      </c>
      <c r="S145" s="45" t="n">
        <v>3767838.676067523</v>
      </c>
      <c r="T145" s="45" t="n">
        <v>4015459.55419668</v>
      </c>
      <c r="U145" s="15" t="n">
        <v>10.37</v>
      </c>
      <c r="V145" s="15" t="n">
        <v>21.80536899999998</v>
      </c>
      <c r="W145" s="49" t="n">
        <v>106.572</v>
      </c>
    </row>
    <row r="146">
      <c r="A146" s="44" t="inlineStr">
        <is>
          <t>TL Cinsi Degisken Faizli Kuponlu Senetler</t>
        </is>
      </c>
      <c r="B146" s="44" t="n">
        <v>2007</v>
      </c>
      <c r="C146" s="44" t="inlineStr">
        <is>
          <t>TRT260214T10</t>
        </is>
      </c>
      <c r="D146" s="44" t="inlineStr">
        <is>
          <t>nan</t>
        </is>
      </c>
      <c r="E146" s="44" t="inlineStr">
        <is>
          <t>nan</t>
        </is>
      </c>
      <c r="F146" s="44" t="n"/>
      <c r="G146" s="44" t="n"/>
      <c r="H146" s="15" t="n"/>
      <c r="I146" s="45" t="n">
        <v>1222663.4</v>
      </c>
      <c r="J146" s="45" t="n"/>
      <c r="K146" s="45" t="n">
        <v>841630.96</v>
      </c>
      <c r="L146" s="45" t="n">
        <v>916914.18718</v>
      </c>
      <c r="M146" s="45" t="n">
        <v>298315.6630042682</v>
      </c>
      <c r="N146" s="45" t="n">
        <v>324999.99906</v>
      </c>
      <c r="O146" s="45" t="n">
        <v>1138785.624985084</v>
      </c>
      <c r="P146" s="45" t="n">
        <v>1240649.99914</v>
      </c>
      <c r="Q146" s="45" t="n">
        <v>0</v>
      </c>
      <c r="R146" s="45" t="n">
        <v>0</v>
      </c>
      <c r="S146" s="45" t="n">
        <v>2278732.247989352</v>
      </c>
      <c r="T146" s="45" t="n">
        <v>2482564.18538</v>
      </c>
      <c r="U146" s="15" t="n">
        <v>10.43</v>
      </c>
      <c r="V146" s="15" t="n">
        <v>21.95784900000002</v>
      </c>
      <c r="W146" s="49" t="n">
        <v>108.945</v>
      </c>
    </row>
    <row r="147">
      <c r="A147" s="44" t="inlineStr">
        <is>
          <t>TL Cinsi Degisken Faizli Kuponlu Senetler</t>
        </is>
      </c>
      <c r="B147" s="44" t="n">
        <v>2007</v>
      </c>
      <c r="C147" s="44" t="inlineStr">
        <is>
          <t>TRT260214T10</t>
        </is>
      </c>
      <c r="D147" s="44" t="inlineStr">
        <is>
          <t>nan</t>
        </is>
      </c>
      <c r="E147" s="44" t="inlineStr">
        <is>
          <t>nan</t>
        </is>
      </c>
      <c r="F147" s="44" t="n"/>
      <c r="G147" s="44" t="n"/>
      <c r="H147" s="15" t="n"/>
      <c r="I147" s="45" t="n">
        <v>829942.33</v>
      </c>
      <c r="J147" s="45" t="n"/>
      <c r="K147" s="45" t="n">
        <v>231500</v>
      </c>
      <c r="L147" s="45" t="n">
        <v>254443.19</v>
      </c>
      <c r="M147" s="45" t="n">
        <v>244288.5599985443</v>
      </c>
      <c r="N147" s="45" t="n">
        <v>268499.99918</v>
      </c>
      <c r="O147" s="45" t="n">
        <v>906187.7337118214</v>
      </c>
      <c r="P147" s="45" t="n">
        <v>996000</v>
      </c>
      <c r="Q147" s="45" t="n">
        <v>10724.641</v>
      </c>
      <c r="R147" s="45" t="n">
        <v>11787.56016951</v>
      </c>
      <c r="S147" s="45" t="n">
        <v>1392700.934710366</v>
      </c>
      <c r="T147" s="45" t="n">
        <v>1530730.74934951</v>
      </c>
      <c r="U147" s="15" t="n">
        <v>10.47</v>
      </c>
      <c r="V147" s="15" t="n">
        <v>22.046209</v>
      </c>
      <c r="W147" s="49" t="n">
        <v>109.911</v>
      </c>
    </row>
    <row r="148">
      <c r="A148" s="44" t="inlineStr">
        <is>
          <t>TL Cinsi Degisken Faizli Kuponlu Senetler</t>
        </is>
      </c>
      <c r="B148" s="44" t="n">
        <v>2007</v>
      </c>
      <c r="C148" s="44" t="inlineStr">
        <is>
          <t>TRT260214T10</t>
        </is>
      </c>
      <c r="D148" s="44" t="inlineStr">
        <is>
          <t>nan</t>
        </is>
      </c>
      <c r="E148" s="44" t="inlineStr">
        <is>
          <t>nan</t>
        </is>
      </c>
      <c r="F148" s="44" t="n"/>
      <c r="G148" s="44" t="n"/>
      <c r="H148" s="15" t="n"/>
      <c r="I148" s="45" t="n">
        <v>5135692.93</v>
      </c>
      <c r="J148" s="45" t="n"/>
      <c r="K148" s="45" t="n">
        <v>1500040.57</v>
      </c>
      <c r="L148" s="45" t="n">
        <v>1510953.8627</v>
      </c>
      <c r="M148" s="45" t="n">
        <v>64530.21999841157</v>
      </c>
      <c r="N148" s="45" t="n">
        <v>65000</v>
      </c>
      <c r="O148" s="45" t="n">
        <v>1205543.642284171</v>
      </c>
      <c r="P148" s="45" t="n">
        <v>1214320</v>
      </c>
      <c r="Q148" s="45" t="n">
        <v>2405.693</v>
      </c>
      <c r="R148" s="45" t="n">
        <v>2423.20644504</v>
      </c>
      <c r="S148" s="45" t="n">
        <v>2994520.125282583</v>
      </c>
      <c r="T148" s="45" t="n">
        <v>3016313.22914504</v>
      </c>
      <c r="U148" s="15" t="n">
        <v>9.539999999999999</v>
      </c>
      <c r="V148" s="15" t="n">
        <v>19.99011599999998</v>
      </c>
      <c r="W148" s="49" t="n">
        <v>100.728</v>
      </c>
    </row>
    <row r="149">
      <c r="A149" s="44" t="inlineStr">
        <is>
          <t>TL Cinsi Degisken Faizli Kuponlu Senetler</t>
        </is>
      </c>
      <c r="B149" s="44" t="n">
        <v>2006</v>
      </c>
      <c r="C149" s="44" t="inlineStr">
        <is>
          <t>TRT120111T10</t>
        </is>
      </c>
      <c r="D149" s="44" t="inlineStr">
        <is>
          <t>nan</t>
        </is>
      </c>
      <c r="E149" s="44" t="inlineStr">
        <is>
          <t>nan</t>
        </is>
      </c>
      <c r="F149" s="44" t="n"/>
      <c r="G149" s="44" t="n"/>
      <c r="H149" s="15" t="n"/>
      <c r="I149" s="45" t="n">
        <v>8210033.34</v>
      </c>
      <c r="J149" s="45" t="n"/>
      <c r="K149" s="45" t="n">
        <v>2308005.715</v>
      </c>
      <c r="L149" s="45" t="n">
        <v>2423998.26504</v>
      </c>
      <c r="M149" s="45" t="n">
        <v>361815.1689962486</v>
      </c>
      <c r="N149" s="45" t="n">
        <v>379999.99939</v>
      </c>
      <c r="O149" s="45" t="n">
        <v>1321277.780016377</v>
      </c>
      <c r="P149" s="45" t="n">
        <v>1387685.20124</v>
      </c>
      <c r="Q149" s="45" t="n">
        <v>87902.386</v>
      </c>
      <c r="R149" s="45" t="n">
        <v>92320.35992036</v>
      </c>
      <c r="S149" s="45" t="n">
        <v>4079001.050012625</v>
      </c>
      <c r="T149" s="45" t="n">
        <v>4284003.82559036</v>
      </c>
      <c r="U149" s="15" t="n">
        <v>7.38</v>
      </c>
      <c r="V149" s="15" t="n">
        <v>15.31464400000002</v>
      </c>
      <c r="W149" s="49" t="n">
        <v>105.026</v>
      </c>
    </row>
    <row r="150">
      <c r="A150" s="44" t="inlineStr">
        <is>
          <t>TL Cinsi Degisken Faizli Kuponlu Senetler</t>
        </is>
      </c>
      <c r="B150" s="44" t="n">
        <v>2006</v>
      </c>
      <c r="C150" s="44" t="inlineStr">
        <is>
          <t>TRT120111T10</t>
        </is>
      </c>
      <c r="D150" s="44" t="inlineStr">
        <is>
          <t>nan</t>
        </is>
      </c>
      <c r="E150" s="44" t="inlineStr">
        <is>
          <t>nan</t>
        </is>
      </c>
      <c r="F150" s="44" t="n"/>
      <c r="G150" s="44" t="n"/>
      <c r="H150" s="15" t="n"/>
      <c r="I150" s="45" t="n">
        <v>4144754.23</v>
      </c>
      <c r="J150" s="45" t="n"/>
      <c r="K150" s="45" t="n">
        <v>2337685.115</v>
      </c>
      <c r="L150" s="45" t="n">
        <v>2498614.84578</v>
      </c>
      <c r="M150" s="45" t="n">
        <v>951031.0242880132</v>
      </c>
      <c r="N150" s="45" t="n">
        <v>1016500</v>
      </c>
      <c r="O150" s="45" t="n">
        <v>861514.0713296658</v>
      </c>
      <c r="P150" s="45" t="n">
        <v>920820.7</v>
      </c>
      <c r="Q150" s="45" t="n">
        <v>64961.517</v>
      </c>
      <c r="R150" s="45" t="n">
        <v>69433.46783028</v>
      </c>
      <c r="S150" s="45" t="n">
        <v>4215191.727617679</v>
      </c>
      <c r="T150" s="45" t="n">
        <v>4505369.01361028</v>
      </c>
      <c r="U150" s="15" t="n">
        <v>7.32</v>
      </c>
      <c r="V150" s="15" t="n">
        <v>15.17582399999999</v>
      </c>
      <c r="W150" s="49" t="n">
        <v>106.884</v>
      </c>
    </row>
    <row r="151">
      <c r="A151" s="44" t="inlineStr">
        <is>
          <t>TL Cinsi Degisken Faizli Kuponlu Senetler</t>
        </is>
      </c>
      <c r="B151" s="44" t="n">
        <v>2006</v>
      </c>
      <c r="C151" s="44" t="inlineStr">
        <is>
          <t>TRT120111T10</t>
        </is>
      </c>
      <c r="D151" s="44" t="inlineStr">
        <is>
          <t>nan</t>
        </is>
      </c>
      <c r="E151" s="44" t="inlineStr">
        <is>
          <t>nan</t>
        </is>
      </c>
      <c r="F151" s="44" t="n"/>
      <c r="G151" s="44" t="n"/>
      <c r="H151" s="15" t="n"/>
      <c r="I151" s="45" t="n">
        <v>2169350</v>
      </c>
      <c r="J151" s="45" t="n"/>
      <c r="K151" s="45" t="n">
        <v>952894.838</v>
      </c>
      <c r="L151" s="45" t="n">
        <v>1028449.64002</v>
      </c>
      <c r="M151" s="45" t="n">
        <v>0</v>
      </c>
      <c r="N151" s="45" t="n">
        <v>0</v>
      </c>
      <c r="O151" s="45" t="n">
        <v>416940.7669857036</v>
      </c>
      <c r="P151" s="45" t="n">
        <v>450000.0004</v>
      </c>
      <c r="Q151" s="45" t="n">
        <v>59345.133</v>
      </c>
      <c r="R151" s="45" t="n">
        <v>64050.60859557</v>
      </c>
      <c r="S151" s="45" t="n">
        <v>1489180.737985704</v>
      </c>
      <c r="T151" s="45" t="n">
        <v>1607257.64901557</v>
      </c>
      <c r="U151" s="15" t="n">
        <v>7.3</v>
      </c>
      <c r="V151" s="15" t="n">
        <v>15.13289999999998</v>
      </c>
      <c r="W151" s="49" t="n">
        <v>107.929</v>
      </c>
    </row>
    <row r="152">
      <c r="A152" s="44" t="inlineStr">
        <is>
          <t>TL Cinsi Degisken Faizli Kuponlu Senetler</t>
        </is>
      </c>
      <c r="B152" s="44" t="n">
        <v>2006</v>
      </c>
      <c r="C152" s="44" t="inlineStr">
        <is>
          <t>TRT120111T10</t>
        </is>
      </c>
      <c r="D152" s="44" t="inlineStr">
        <is>
          <t>nan</t>
        </is>
      </c>
      <c r="E152" s="44" t="inlineStr">
        <is>
          <t>nan</t>
        </is>
      </c>
      <c r="F152" s="44" t="n"/>
      <c r="G152" s="44" t="n"/>
      <c r="H152" s="15" t="n"/>
      <c r="I152" s="45" t="n">
        <v>2526667.2271</v>
      </c>
      <c r="J152" s="45" t="n"/>
      <c r="K152" s="45" t="n">
        <v>930300</v>
      </c>
      <c r="L152" s="45" t="n">
        <v>1014241.823</v>
      </c>
      <c r="M152" s="45" t="n">
        <v>0</v>
      </c>
      <c r="N152" s="45" t="n">
        <v>0</v>
      </c>
      <c r="O152" s="45" t="n">
        <v>687928.235308146</v>
      </c>
      <c r="P152" s="45" t="n">
        <v>749999.99998</v>
      </c>
      <c r="Q152" s="45" t="n">
        <v>80351.236</v>
      </c>
      <c r="R152" s="45" t="n">
        <v>87601.32802428</v>
      </c>
      <c r="S152" s="45" t="n">
        <v>1698579.471308146</v>
      </c>
      <c r="T152" s="45" t="n">
        <v>1851843.15100428</v>
      </c>
      <c r="U152" s="15" t="n">
        <v>7.31</v>
      </c>
      <c r="V152" s="15" t="n">
        <v>15.16436099999998</v>
      </c>
      <c r="W152" s="49" t="n">
        <v>109.023</v>
      </c>
    </row>
    <row r="153">
      <c r="A153" s="44" t="inlineStr">
        <is>
          <t>TL Cinsi Degisken Faizli Kuponlu Senetler</t>
        </is>
      </c>
      <c r="B153" s="44" t="n">
        <v>2006</v>
      </c>
      <c r="C153" s="44" t="inlineStr">
        <is>
          <t>TRT120111T10</t>
        </is>
      </c>
      <c r="D153" s="44" t="inlineStr">
        <is>
          <t>nan</t>
        </is>
      </c>
      <c r="E153" s="44" t="inlineStr">
        <is>
          <t>nan</t>
        </is>
      </c>
      <c r="F153" s="44" t="n"/>
      <c r="G153" s="44" t="n"/>
      <c r="H153" s="15" t="n"/>
      <c r="I153" s="45" t="n">
        <v>1855206.05</v>
      </c>
      <c r="J153" s="45" t="n"/>
      <c r="K153" s="45" t="n">
        <v>855206.05</v>
      </c>
      <c r="L153" s="45" t="n">
        <v>934308.91182</v>
      </c>
      <c r="M153" s="45" t="n">
        <v>908009.1533180778</v>
      </c>
      <c r="N153" s="45" t="n">
        <v>992000</v>
      </c>
      <c r="O153" s="45" t="n">
        <v>411899.3135011442</v>
      </c>
      <c r="P153" s="45" t="n">
        <v>450000</v>
      </c>
      <c r="Q153" s="45" t="n">
        <v>63268.831</v>
      </c>
      <c r="R153" s="45" t="n">
        <v>69121.1978675</v>
      </c>
      <c r="S153" s="45" t="n">
        <v>2238383.347819222</v>
      </c>
      <c r="T153" s="45" t="n">
        <v>2445430.1096875</v>
      </c>
      <c r="U153" s="15" t="n">
        <v>7.54</v>
      </c>
      <c r="V153" s="15" t="n">
        <v>15.64851599999999</v>
      </c>
      <c r="W153" s="49" t="n">
        <v>109.25</v>
      </c>
    </row>
    <row r="154">
      <c r="A154" s="44" t="inlineStr">
        <is>
          <t>TL Cinsi Degisken Faizli Kuponlu Senetler</t>
        </is>
      </c>
      <c r="B154" s="44" t="n">
        <v>2006</v>
      </c>
      <c r="C154" s="44" t="inlineStr">
        <is>
          <t>TRT120111T10</t>
        </is>
      </c>
      <c r="D154" s="44" t="inlineStr">
        <is>
          <t>nan</t>
        </is>
      </c>
      <c r="E154" s="44" t="inlineStr">
        <is>
          <t>nan</t>
        </is>
      </c>
      <c r="F154" s="44" t="n"/>
      <c r="G154" s="44" t="n"/>
      <c r="H154" s="15" t="n"/>
      <c r="I154" s="45" t="n">
        <v>1139002.5</v>
      </c>
      <c r="J154" s="45" t="n"/>
      <c r="K154" s="45" t="n">
        <v>488792</v>
      </c>
      <c r="L154" s="45" t="n">
        <v>523046.33464</v>
      </c>
      <c r="M154" s="45" t="n">
        <v>535473.9832535886</v>
      </c>
      <c r="N154" s="45" t="n">
        <v>573000</v>
      </c>
      <c r="O154" s="45" t="n">
        <v>675837.3205741628</v>
      </c>
      <c r="P154" s="45" t="n">
        <v>723200</v>
      </c>
      <c r="Q154" s="45" t="n">
        <v>57920.454</v>
      </c>
      <c r="R154" s="45" t="n">
        <v>61979.51941632</v>
      </c>
      <c r="S154" s="45" t="n">
        <v>1758023.757827751</v>
      </c>
      <c r="T154" s="45" t="n">
        <v>1881225.85405632</v>
      </c>
      <c r="U154" s="15" t="n">
        <v>8.029999999999999</v>
      </c>
      <c r="V154" s="15" t="n">
        <v>16.704809</v>
      </c>
      <c r="W154" s="49" t="n">
        <v>107.008</v>
      </c>
    </row>
    <row r="155">
      <c r="A155" s="44" t="inlineStr">
        <is>
          <t>TL Cinsi Degisken Faizli Kuponlu Senetler</t>
        </is>
      </c>
      <c r="B155" s="44" t="n">
        <v>2006</v>
      </c>
      <c r="C155" s="44" t="inlineStr">
        <is>
          <t>TRT070911T19</t>
        </is>
      </c>
      <c r="D155" s="44" t="inlineStr">
        <is>
          <t>nan</t>
        </is>
      </c>
      <c r="E155" s="44" t="inlineStr">
        <is>
          <t>nan</t>
        </is>
      </c>
      <c r="F155" s="44" t="n"/>
      <c r="G155" s="44" t="n"/>
      <c r="H155" s="15" t="n"/>
      <c r="I155" s="45" t="n">
        <v>1927405.355</v>
      </c>
      <c r="J155" s="45" t="n"/>
      <c r="K155" s="45" t="n">
        <v>831107.925</v>
      </c>
      <c r="L155" s="45" t="n">
        <v>837945.0533199999</v>
      </c>
      <c r="M155" s="45" t="n">
        <v>269779.7129623201</v>
      </c>
      <c r="N155" s="45" t="n">
        <v>272000</v>
      </c>
      <c r="O155" s="45" t="n">
        <v>2016048.917409718</v>
      </c>
      <c r="P155" s="45" t="n">
        <v>2032641</v>
      </c>
      <c r="Q155" s="45" t="n">
        <v>0</v>
      </c>
      <c r="R155" s="45" t="n">
        <v>0</v>
      </c>
      <c r="S155" s="45" t="n">
        <v>3181174.000372038</v>
      </c>
      <c r="T155" s="45" t="n">
        <v>3207352.17249235</v>
      </c>
      <c r="U155" s="15" t="n">
        <v>11.23</v>
      </c>
      <c r="V155" s="15" t="n">
        <v>23.72112900000001</v>
      </c>
      <c r="W155" s="49" t="n">
        <v>100.823</v>
      </c>
    </row>
    <row r="156">
      <c r="A156" s="44" t="inlineStr">
        <is>
          <t>TL Cinsi Degisken Faizli Kuponlu Senetler</t>
        </is>
      </c>
      <c r="B156" s="44" t="n">
        <v>2006</v>
      </c>
      <c r="C156" s="44" t="inlineStr">
        <is>
          <t>TRT070911T19</t>
        </is>
      </c>
      <c r="D156" s="44" t="inlineStr">
        <is>
          <t>nan</t>
        </is>
      </c>
      <c r="E156" s="44" t="inlineStr">
        <is>
          <t>nan</t>
        </is>
      </c>
      <c r="F156" s="44" t="n"/>
      <c r="G156" s="44" t="n"/>
      <c r="H156" s="15" t="n"/>
      <c r="I156" s="45" t="n">
        <v>1479728</v>
      </c>
      <c r="J156" s="45" t="n"/>
      <c r="K156" s="45" t="n">
        <v>1034900</v>
      </c>
      <c r="L156" s="45" t="n">
        <v>1055482.432</v>
      </c>
      <c r="M156" s="45" t="n">
        <v>0</v>
      </c>
      <c r="N156" s="45" t="n">
        <v>0</v>
      </c>
      <c r="O156" s="45" t="n">
        <v>874064.8501308964</v>
      </c>
      <c r="P156" s="45" t="n">
        <v>891450</v>
      </c>
      <c r="Q156" s="45" t="n">
        <v>0</v>
      </c>
      <c r="R156" s="45" t="n">
        <v>0</v>
      </c>
      <c r="S156" s="45" t="n">
        <v>1948289.090130896</v>
      </c>
      <c r="T156" s="45" t="n">
        <v>1987038.8311336</v>
      </c>
      <c r="U156" s="15" t="n">
        <v>11.24</v>
      </c>
      <c r="V156" s="15" t="n">
        <v>23.753376</v>
      </c>
      <c r="W156" s="49" t="n">
        <v>101.989</v>
      </c>
    </row>
    <row r="157">
      <c r="A157" s="44" t="inlineStr">
        <is>
          <t>TL Cinsi Degisken Faizli Kuponlu Senetler</t>
        </is>
      </c>
      <c r="B157" s="44" t="n">
        <v>2006</v>
      </c>
      <c r="C157" s="44" t="inlineStr">
        <is>
          <t>TRT070911T19</t>
        </is>
      </c>
      <c r="D157" s="44" t="inlineStr">
        <is>
          <t>nan</t>
        </is>
      </c>
      <c r="E157" s="44" t="inlineStr">
        <is>
          <t>nan</t>
        </is>
      </c>
      <c r="F157" s="44" t="n"/>
      <c r="G157" s="44" t="n"/>
      <c r="H157" s="15" t="n"/>
      <c r="I157" s="45" t="n">
        <v>3204325.565</v>
      </c>
      <c r="J157" s="45" t="n"/>
      <c r="K157" s="45" t="n">
        <v>1460000</v>
      </c>
      <c r="L157" s="45" t="n">
        <v>1564761.25</v>
      </c>
      <c r="M157" s="45" t="n">
        <v>198740.377886634</v>
      </c>
      <c r="N157" s="45" t="n">
        <v>213000</v>
      </c>
      <c r="O157" s="45" t="n">
        <v>1057871.005365057</v>
      </c>
      <c r="P157" s="45" t="n">
        <v>1133773.25</v>
      </c>
      <c r="Q157" s="45" t="n">
        <v>0</v>
      </c>
      <c r="R157" s="45" t="n">
        <v>0</v>
      </c>
      <c r="S157" s="45" t="n">
        <v>2796765.244251691</v>
      </c>
      <c r="T157" s="45" t="n">
        <v>2997439.40052675</v>
      </c>
      <c r="U157" s="15" t="n">
        <v>10.86</v>
      </c>
      <c r="V157" s="15" t="n">
        <v>22.89939600000002</v>
      </c>
      <c r="W157" s="49" t="n">
        <v>107.175</v>
      </c>
    </row>
    <row r="158">
      <c r="A158" s="44" t="inlineStr">
        <is>
          <t>TL Cinsi Degisken Faizli Kuponlu Senetler</t>
        </is>
      </c>
      <c r="B158" s="44" t="n">
        <v>2006</v>
      </c>
      <c r="C158" s="44" t="inlineStr">
        <is>
          <t>TRT020708T11</t>
        </is>
      </c>
      <c r="D158" s="44" t="inlineStr">
        <is>
          <t>nan</t>
        </is>
      </c>
      <c r="E158" s="44" t="inlineStr">
        <is>
          <t>nan</t>
        </is>
      </c>
      <c r="F158" s="44" t="n"/>
      <c r="G158" s="44" t="n"/>
      <c r="H158" s="15" t="n"/>
      <c r="I158" s="45" t="n">
        <v>2728548.79</v>
      </c>
      <c r="J158" s="45" t="n"/>
      <c r="K158" s="45" t="n">
        <v>2134589.22</v>
      </c>
      <c r="L158" s="45" t="n">
        <v>2132167.77255</v>
      </c>
      <c r="M158" s="45" t="n">
        <v>962587.7241282649</v>
      </c>
      <c r="N158" s="45" t="n">
        <v>961500</v>
      </c>
      <c r="O158" s="45" t="n">
        <v>1459899.68664591</v>
      </c>
      <c r="P158" s="45" t="n">
        <v>1458250</v>
      </c>
      <c r="Q158" s="45" t="n">
        <v>0</v>
      </c>
      <c r="R158" s="45" t="n">
        <v>0</v>
      </c>
      <c r="S158" s="45" t="n">
        <v>4557076.630774175</v>
      </c>
      <c r="T158" s="45" t="n">
        <v>4551917.77255</v>
      </c>
      <c r="U158" s="15" t="n">
        <v>5.73</v>
      </c>
      <c r="V158" s="15" t="n">
        <v>24.96630500612236</v>
      </c>
      <c r="W158" s="49" t="n">
        <v>99.887</v>
      </c>
    </row>
    <row r="159">
      <c r="A159" s="44" t="inlineStr">
        <is>
          <t>TL Cinsi Degisken Faizli Kuponlu Senetler</t>
        </is>
      </c>
      <c r="B159" s="44" t="n">
        <v>2006</v>
      </c>
      <c r="C159" s="44" t="inlineStr">
        <is>
          <t>TRT020708T11</t>
        </is>
      </c>
      <c r="D159" s="44" t="inlineStr">
        <is>
          <t>nan</t>
        </is>
      </c>
      <c r="E159" s="44" t="inlineStr">
        <is>
          <t>nan</t>
        </is>
      </c>
      <c r="F159" s="44" t="n"/>
      <c r="G159" s="44" t="n"/>
      <c r="H159" s="15" t="n"/>
      <c r="I159" s="45" t="n">
        <v>2820251.515</v>
      </c>
      <c r="J159" s="45" t="n"/>
      <c r="K159" s="45" t="n">
        <v>733980</v>
      </c>
      <c r="L159" s="45" t="n">
        <v>758276.564</v>
      </c>
      <c r="M159" s="45" t="n">
        <v>450101.6358532571</v>
      </c>
      <c r="N159" s="45" t="n">
        <v>465000</v>
      </c>
      <c r="O159" s="45" t="n">
        <v>1191404.508992353</v>
      </c>
      <c r="P159" s="45" t="n">
        <v>1230839.99824</v>
      </c>
      <c r="Q159" s="45" t="n">
        <v>4843.432</v>
      </c>
      <c r="R159" s="45" t="n">
        <v>5003.7495992</v>
      </c>
      <c r="S159" s="45" t="n">
        <v>2444345.52784561</v>
      </c>
      <c r="T159" s="45" t="n">
        <v>2525255.1908173</v>
      </c>
      <c r="U159" s="15" t="n">
        <v>5.66</v>
      </c>
      <c r="V159" s="15" t="n">
        <v>24.64569087806736</v>
      </c>
      <c r="W159" s="49" t="n">
        <v>103.31</v>
      </c>
    </row>
    <row r="160">
      <c r="A160" s="44" t="inlineStr">
        <is>
          <t>TL Cinsi Degisken Faizli Kuponlu Senetler</t>
        </is>
      </c>
      <c r="B160" s="44" t="n">
        <v>2005</v>
      </c>
      <c r="C160" s="44" t="inlineStr">
        <is>
          <t>TRT130906T18</t>
        </is>
      </c>
      <c r="D160" s="44" t="inlineStr">
        <is>
          <t>nan</t>
        </is>
      </c>
      <c r="E160" s="44" t="inlineStr">
        <is>
          <t>nan</t>
        </is>
      </c>
      <c r="F160" s="44" t="n"/>
      <c r="G160" s="44" t="n"/>
      <c r="H160" s="15" t="n"/>
      <c r="I160" s="45" t="n">
        <v>3593548.356</v>
      </c>
      <c r="J160" s="45" t="n"/>
      <c r="K160" s="45" t="n">
        <v>1759991.168</v>
      </c>
      <c r="L160" s="45" t="n">
        <v>1825722.53786</v>
      </c>
      <c r="M160" s="45" t="n">
        <v>0</v>
      </c>
      <c r="N160" s="45" t="n">
        <v>0</v>
      </c>
      <c r="O160" s="45" t="n">
        <v>1474937.099339664</v>
      </c>
      <c r="P160" s="45" t="n">
        <v>1530026</v>
      </c>
      <c r="Q160" s="45" t="n">
        <v>0</v>
      </c>
      <c r="R160" s="45" t="n">
        <v>0</v>
      </c>
      <c r="S160" s="45" t="n">
        <v>3446332.022339663</v>
      </c>
      <c r="T160" s="45" t="n">
        <v>3575048.22310925</v>
      </c>
      <c r="U160" s="15" t="n">
        <v>6.14</v>
      </c>
      <c r="V160" s="15" t="n">
        <v>26.89598747744013</v>
      </c>
      <c r="W160" s="49" t="n">
        <v>103.735</v>
      </c>
    </row>
    <row r="161">
      <c r="A161" s="44" t="inlineStr">
        <is>
          <t>TL Cinsi Degisken Faizli Kuponlu Senetler</t>
        </is>
      </c>
      <c r="B161" s="44" t="n">
        <v>2005</v>
      </c>
      <c r="C161" s="44" t="inlineStr">
        <is>
          <t>TRT130906T18</t>
        </is>
      </c>
      <c r="D161" s="44" t="inlineStr">
        <is>
          <t>nan</t>
        </is>
      </c>
      <c r="E161" s="44" t="inlineStr">
        <is>
          <t>nan</t>
        </is>
      </c>
      <c r="F161" s="44" t="n"/>
      <c r="G161" s="44" t="n"/>
      <c r="H161" s="15" t="n"/>
      <c r="I161" s="45" t="n">
        <v>2475346.267</v>
      </c>
      <c r="J161" s="45" t="n"/>
      <c r="K161" s="45" t="n">
        <v>422537.7</v>
      </c>
      <c r="L161" s="45" t="n">
        <v>448457.3297</v>
      </c>
      <c r="M161" s="45" t="n">
        <v>43906.75900277009</v>
      </c>
      <c r="N161" s="45" t="n">
        <v>46599.9996</v>
      </c>
      <c r="O161" s="45" t="n">
        <v>1547950.232724669</v>
      </c>
      <c r="P161" s="45" t="n">
        <v>1642901.5</v>
      </c>
      <c r="Q161" s="45" t="n">
        <v>10599.808</v>
      </c>
      <c r="R161" s="45" t="n">
        <v>11250.00022272</v>
      </c>
      <c r="S161" s="45" t="n">
        <v>2073024.499727439</v>
      </c>
      <c r="T161" s="45" t="n">
        <v>2200184.98972272</v>
      </c>
      <c r="U161" s="15" t="n">
        <v>4.25</v>
      </c>
      <c r="V161" s="15" t="n">
        <v>18.11478250390623</v>
      </c>
      <c r="W161" s="49" t="n">
        <v>106.134</v>
      </c>
    </row>
    <row r="162">
      <c r="A162" s="44" t="inlineStr">
        <is>
          <t>TL Cinsi Degisken Faizli Kuponlu Senetler</t>
        </is>
      </c>
      <c r="B162" s="44" t="n">
        <v>2005</v>
      </c>
      <c r="C162" s="44" t="inlineStr">
        <is>
          <t>TRT170210T15</t>
        </is>
      </c>
      <c r="D162" s="44" t="inlineStr">
        <is>
          <t>nan</t>
        </is>
      </c>
      <c r="E162" s="44" t="inlineStr">
        <is>
          <t>nan</t>
        </is>
      </c>
      <c r="F162" s="44" t="n"/>
      <c r="G162" s="44" t="n"/>
      <c r="H162" s="15" t="n"/>
      <c r="I162" s="45" t="n">
        <v>3460088.052</v>
      </c>
      <c r="J162" s="45" t="n"/>
      <c r="K162" s="45" t="n">
        <v>922905.635</v>
      </c>
      <c r="L162" s="45" t="n">
        <v>923364.02256</v>
      </c>
      <c r="M162" s="45" t="n">
        <v>548225.8860969516</v>
      </c>
      <c r="N162" s="45" t="n">
        <v>548499.99904</v>
      </c>
      <c r="O162" s="45" t="n">
        <v>786692.1540129936</v>
      </c>
      <c r="P162" s="45" t="n">
        <v>787085.50009</v>
      </c>
      <c r="Q162" s="45" t="n">
        <v>84616.489</v>
      </c>
      <c r="R162" s="45" t="n">
        <v>84658.79724449999</v>
      </c>
      <c r="S162" s="45" t="n">
        <v>2492456.858109945</v>
      </c>
      <c r="T162" s="45" t="n">
        <v>2493700.0212815</v>
      </c>
      <c r="U162" s="15" t="n">
        <v>10.01</v>
      </c>
      <c r="V162" s="15" t="n">
        <v>21.02200100000002</v>
      </c>
      <c r="W162" s="49" t="n">
        <v>100.05</v>
      </c>
    </row>
    <row r="163">
      <c r="A163" s="44" t="inlineStr">
        <is>
          <t>TL Cinsi Degisken Faizli Kuponlu Senetler</t>
        </is>
      </c>
      <c r="B163" s="44" t="n">
        <v>2005</v>
      </c>
      <c r="C163" s="44" t="inlineStr">
        <is>
          <t>TRT170210T15</t>
        </is>
      </c>
      <c r="D163" s="44" t="inlineStr">
        <is>
          <t>nan</t>
        </is>
      </c>
      <c r="E163" s="44" t="inlineStr">
        <is>
          <t>nan</t>
        </is>
      </c>
      <c r="F163" s="44" t="n"/>
      <c r="G163" s="44" t="n"/>
      <c r="H163" s="15" t="n"/>
      <c r="I163" s="45" t="n">
        <v>1808918.032</v>
      </c>
      <c r="J163" s="45" t="n"/>
      <c r="K163" s="45" t="n">
        <v>889870.031</v>
      </c>
      <c r="L163" s="45" t="n">
        <v>915078.10711</v>
      </c>
      <c r="M163" s="45" t="n">
        <v>1024962.801999358</v>
      </c>
      <c r="N163" s="45" t="n">
        <v>1053999.99818</v>
      </c>
      <c r="O163" s="45" t="n">
        <v>956379.7620024701</v>
      </c>
      <c r="P163" s="45" t="n">
        <v>983474.00066</v>
      </c>
      <c r="Q163" s="45" t="n">
        <v>72326.845</v>
      </c>
      <c r="R163" s="45" t="n">
        <v>74375.86451884999</v>
      </c>
      <c r="S163" s="45" t="n">
        <v>2953539.440001828</v>
      </c>
      <c r="T163" s="45" t="n">
        <v>3037211.27046885</v>
      </c>
      <c r="U163" s="15" t="n">
        <v>9.800000000000001</v>
      </c>
      <c r="V163" s="15" t="n">
        <v>20.56040000000001</v>
      </c>
      <c r="W163" s="49" t="n">
        <v>102.833</v>
      </c>
    </row>
    <row r="164">
      <c r="A164" s="44" t="inlineStr">
        <is>
          <t>TL Cinsi Degisken Faizli Kuponlu Senetler</t>
        </is>
      </c>
      <c r="B164" s="44" t="n">
        <v>2005</v>
      </c>
      <c r="C164" s="44" t="inlineStr">
        <is>
          <t>TRT170210T15</t>
        </is>
      </c>
      <c r="D164" s="44" t="inlineStr">
        <is>
          <t>nan</t>
        </is>
      </c>
      <c r="E164" s="44" t="inlineStr">
        <is>
          <t>nan</t>
        </is>
      </c>
      <c r="F164" s="44" t="n"/>
      <c r="G164" s="44" t="n"/>
      <c r="H164" s="15" t="n"/>
      <c r="I164" s="45" t="n">
        <v>2144911.355</v>
      </c>
      <c r="J164" s="45" t="n"/>
      <c r="K164" s="45" t="n">
        <v>1372918.935</v>
      </c>
      <c r="L164" s="45" t="n">
        <v>1426695.52195</v>
      </c>
      <c r="M164" s="45" t="n">
        <v>24057.66099868164</v>
      </c>
      <c r="N164" s="45" t="n">
        <v>24999.99958</v>
      </c>
      <c r="O164" s="45" t="n">
        <v>1653165.025934159</v>
      </c>
      <c r="P164" s="45" t="n">
        <v>1717919.5</v>
      </c>
      <c r="Q164" s="45" t="n">
        <v>150932.551</v>
      </c>
      <c r="R164" s="45" t="n">
        <v>156844.57902267</v>
      </c>
      <c r="S164" s="45" t="n">
        <v>3201074.172932841</v>
      </c>
      <c r="T164" s="45" t="n">
        <v>3326459.60055267</v>
      </c>
      <c r="U164" s="15" t="n">
        <v>9.93</v>
      </c>
      <c r="V164" s="15" t="n">
        <v>20.83604899999998</v>
      </c>
      <c r="W164" s="49" t="n">
        <v>103.917</v>
      </c>
    </row>
    <row r="165">
      <c r="A165" s="44" t="inlineStr">
        <is>
          <t>TL Cinsi Degisken Faizli Kuponlu Senetler</t>
        </is>
      </c>
      <c r="B165" s="44" t="n">
        <v>2005</v>
      </c>
      <c r="C165" s="44" t="inlineStr">
        <is>
          <t>TRT170210T15</t>
        </is>
      </c>
      <c r="D165" s="44" t="inlineStr">
        <is>
          <t>nan</t>
        </is>
      </c>
      <c r="E165" s="44" t="inlineStr">
        <is>
          <t>nan</t>
        </is>
      </c>
      <c r="F165" s="44" t="n"/>
      <c r="G165" s="44" t="n"/>
      <c r="H165" s="15" t="n"/>
      <c r="I165" s="45" t="n">
        <v>872604.845</v>
      </c>
      <c r="J165" s="45" t="n"/>
      <c r="K165" s="45" t="n">
        <v>657327.2</v>
      </c>
      <c r="L165" s="45" t="n">
        <v>684797.85328</v>
      </c>
      <c r="M165" s="45" t="n">
        <v>0</v>
      </c>
      <c r="N165" s="45" t="n">
        <v>0</v>
      </c>
      <c r="O165" s="45" t="n">
        <v>1057640.215993627</v>
      </c>
      <c r="P165" s="45" t="n">
        <v>1101839.00062</v>
      </c>
      <c r="Q165" s="45" t="n">
        <v>79402.21799999999</v>
      </c>
      <c r="R165" s="45" t="n">
        <v>82720.43669022</v>
      </c>
      <c r="S165" s="45" t="n">
        <v>1794369.633993627</v>
      </c>
      <c r="T165" s="45" t="n">
        <v>1869357.29059022</v>
      </c>
      <c r="U165" s="15" t="n">
        <v>10.01</v>
      </c>
      <c r="V165" s="15" t="n">
        <v>21.01200100000003</v>
      </c>
      <c r="W165" s="49" t="n">
        <v>104.179</v>
      </c>
    </row>
    <row r="166">
      <c r="A166" s="44" t="inlineStr">
        <is>
          <t>TL Cinsi Degisken Faizli Kuponlu Senetler</t>
        </is>
      </c>
      <c r="B166" s="44" t="n">
        <v>2005</v>
      </c>
      <c r="C166" s="44" t="inlineStr">
        <is>
          <t>TRT170210T15</t>
        </is>
      </c>
      <c r="D166" s="44" t="inlineStr">
        <is>
          <t>nan</t>
        </is>
      </c>
      <c r="E166" s="44" t="inlineStr">
        <is>
          <t>nan</t>
        </is>
      </c>
      <c r="F166" s="44" t="n"/>
      <c r="G166" s="44" t="n"/>
      <c r="H166" s="15" t="n"/>
      <c r="I166" s="45" t="n">
        <v>1547458.273</v>
      </c>
      <c r="J166" s="45" t="n"/>
      <c r="K166" s="45" t="n">
        <v>808786.138</v>
      </c>
      <c r="L166" s="45" t="n">
        <v>866665.35338</v>
      </c>
      <c r="M166" s="45" t="n">
        <v>149315.0159953712</v>
      </c>
      <c r="N166" s="45" t="n">
        <v>159999.99854</v>
      </c>
      <c r="O166" s="45" t="n">
        <v>1090764.3062451</v>
      </c>
      <c r="P166" s="45" t="n">
        <v>1168819.4</v>
      </c>
      <c r="Q166" s="45" t="n">
        <v>23565.082</v>
      </c>
      <c r="R166" s="45" t="n">
        <v>25251.39926792</v>
      </c>
      <c r="S166" s="45" t="n">
        <v>2178677.176240472</v>
      </c>
      <c r="T166" s="45" t="n">
        <v>2334585.79431696</v>
      </c>
      <c r="U166" s="15" t="n">
        <v>9.970000000000001</v>
      </c>
      <c r="V166" s="15" t="n">
        <v>20.92400899999998</v>
      </c>
      <c r="W166" s="49" t="n">
        <v>107.156</v>
      </c>
    </row>
    <row r="167">
      <c r="A167" s="44" t="inlineStr">
        <is>
          <t>TL Cinsi Degisken Faizli Kuponlu Senetler</t>
        </is>
      </c>
      <c r="B167" s="44" t="n">
        <v>2005</v>
      </c>
      <c r="C167" s="44" t="inlineStr">
        <is>
          <t>TRT180810T18</t>
        </is>
      </c>
      <c r="D167" s="44" t="inlineStr">
        <is>
          <t>nan</t>
        </is>
      </c>
      <c r="E167" s="44" t="inlineStr">
        <is>
          <t>nan</t>
        </is>
      </c>
      <c r="F167" s="44" t="n"/>
      <c r="G167" s="44" t="n"/>
      <c r="H167" s="15" t="n"/>
      <c r="I167" s="45" t="n">
        <v>3865465.499</v>
      </c>
      <c r="J167" s="45" t="n"/>
      <c r="K167" s="45" t="n">
        <v>1249544.025</v>
      </c>
      <c r="L167" s="45" t="n">
        <v>1256107.723</v>
      </c>
      <c r="M167" s="45" t="n">
        <v>1053469.284993782</v>
      </c>
      <c r="N167" s="45" t="n">
        <v>1058999.99874</v>
      </c>
      <c r="O167" s="45" t="n">
        <v>2813635.662770455</v>
      </c>
      <c r="P167" s="45" t="n">
        <v>2828407.25</v>
      </c>
      <c r="Q167" s="45" t="n">
        <v>203153.653</v>
      </c>
      <c r="R167" s="45" t="n">
        <v>204220.20967825</v>
      </c>
      <c r="S167" s="45" t="n">
        <v>5442430.518764237</v>
      </c>
      <c r="T167" s="45" t="n">
        <v>5471006.870856499</v>
      </c>
      <c r="U167" s="15" t="n">
        <v>9.050000000000001</v>
      </c>
      <c r="V167" s="15" t="n">
        <v>18.909025</v>
      </c>
      <c r="W167" s="49" t="n">
        <v>100.525</v>
      </c>
    </row>
    <row r="168">
      <c r="A168" s="44" t="inlineStr">
        <is>
          <t>TL Cinsi Degisken Faizli Kuponlu Senetler</t>
        </is>
      </c>
      <c r="B168" s="44" t="n">
        <v>2005</v>
      </c>
      <c r="C168" s="44" t="inlineStr">
        <is>
          <t>TRT180810T18</t>
        </is>
      </c>
      <c r="D168" s="44" t="inlineStr">
        <is>
          <t>nan</t>
        </is>
      </c>
      <c r="E168" s="44" t="inlineStr">
        <is>
          <t>nan</t>
        </is>
      </c>
      <c r="F168" s="44" t="n"/>
      <c r="G168" s="44" t="n"/>
      <c r="H168" s="15" t="n"/>
      <c r="I168" s="45" t="n">
        <v>2007292.935</v>
      </c>
      <c r="J168" s="45" t="n"/>
      <c r="K168" s="45" t="n">
        <v>559803.4</v>
      </c>
      <c r="L168" s="45" t="n">
        <v>579551.3335299999</v>
      </c>
      <c r="M168" s="45" t="n">
        <v>7244.416003400046</v>
      </c>
      <c r="N168" s="45" t="n">
        <v>7499.999</v>
      </c>
      <c r="O168" s="45" t="n">
        <v>2446594.158102156</v>
      </c>
      <c r="P168" s="45" t="n">
        <v>2532910</v>
      </c>
      <c r="Q168" s="45" t="n">
        <v>0</v>
      </c>
      <c r="R168" s="45" t="n">
        <v>0</v>
      </c>
      <c r="S168" s="45" t="n">
        <v>3013641.974105556</v>
      </c>
      <c r="T168" s="45" t="n">
        <v>3119961.33253</v>
      </c>
      <c r="U168" s="15" t="n">
        <v>8.74</v>
      </c>
      <c r="V168" s="15" t="n">
        <v>18.24387599999999</v>
      </c>
      <c r="W168" s="49" t="n">
        <v>103.528</v>
      </c>
    </row>
    <row r="169">
      <c r="A169" s="44" t="inlineStr">
        <is>
          <t>TL Cinsi Degisken Faizli Kuponlu Senetler</t>
        </is>
      </c>
      <c r="B169" s="44" t="n">
        <v>2005</v>
      </c>
      <c r="C169" s="44" t="inlineStr">
        <is>
          <t>TRT180810T18</t>
        </is>
      </c>
      <c r="D169" s="44" t="inlineStr">
        <is>
          <t>nan</t>
        </is>
      </c>
      <c r="E169" s="44" t="inlineStr">
        <is>
          <t>nan</t>
        </is>
      </c>
      <c r="F169" s="44" t="n"/>
      <c r="G169" s="44" t="n"/>
      <c r="H169" s="15" t="n"/>
      <c r="I169" s="45" t="n">
        <v>5170035.489</v>
      </c>
      <c r="J169" s="45" t="n"/>
      <c r="K169" s="45" t="n">
        <v>720219.495</v>
      </c>
      <c r="L169" s="45" t="n">
        <v>771220.20688</v>
      </c>
      <c r="M169" s="45" t="n">
        <v>278760.9370009619</v>
      </c>
      <c r="N169" s="45" t="n">
        <v>298499.99895</v>
      </c>
      <c r="O169" s="45" t="n">
        <v>2176500.033003054</v>
      </c>
      <c r="P169" s="45" t="n">
        <v>2330618.00034</v>
      </c>
      <c r="Q169" s="45" t="n">
        <v>139218.395</v>
      </c>
      <c r="R169" s="45" t="n">
        <v>149076.44954995</v>
      </c>
      <c r="S169" s="45" t="n">
        <v>3440768.059004015</v>
      </c>
      <c r="T169" s="45" t="n">
        <v>3684410.81470114</v>
      </c>
      <c r="U169" s="15" t="n">
        <v>8.449999999999999</v>
      </c>
      <c r="V169" s="15" t="n">
        <v>17.624025</v>
      </c>
      <c r="W169" s="49" t="n">
        <v>107.081</v>
      </c>
    </row>
    <row r="170">
      <c r="A170" s="44" t="inlineStr">
        <is>
          <t>TL Cinsi Degisken Faizli Kuponlu Senetler</t>
        </is>
      </c>
      <c r="B170" s="44" t="n">
        <v>2005</v>
      </c>
      <c r="C170" s="44" t="inlineStr">
        <is>
          <t>TRT180810T18</t>
        </is>
      </c>
      <c r="D170" s="44" t="inlineStr">
        <is>
          <t>nan</t>
        </is>
      </c>
      <c r="E170" s="44" t="inlineStr">
        <is>
          <t>nan</t>
        </is>
      </c>
      <c r="F170" s="44" t="n"/>
      <c r="G170" s="44" t="n"/>
      <c r="H170" s="15" t="n"/>
      <c r="I170" s="45" t="n">
        <v>4851098.785</v>
      </c>
      <c r="J170" s="45" t="n"/>
      <c r="K170" s="45" t="n">
        <v>875514.5</v>
      </c>
      <c r="L170" s="45" t="n">
        <v>991676.425</v>
      </c>
      <c r="M170" s="45" t="n">
        <v>0</v>
      </c>
      <c r="N170" s="45" t="n">
        <v>0</v>
      </c>
      <c r="O170" s="45" t="n">
        <v>879774.685003708</v>
      </c>
      <c r="P170" s="45" t="n">
        <v>996503.19021</v>
      </c>
      <c r="Q170" s="45" t="n">
        <v>87642.567</v>
      </c>
      <c r="R170" s="45" t="n">
        <v>99270.98278956</v>
      </c>
      <c r="S170" s="45" t="n">
        <v>2058365.074003708</v>
      </c>
      <c r="T170" s="45" t="n">
        <v>2331467.61316252</v>
      </c>
      <c r="U170" s="15" t="n">
        <v>7.93</v>
      </c>
      <c r="V170" s="15" t="n">
        <v>16.48884899999998</v>
      </c>
      <c r="W170" s="49" t="n">
        <v>113.268</v>
      </c>
    </row>
    <row r="171">
      <c r="A171" s="44" t="inlineStr">
        <is>
          <t>TL Cinsi Degisken Faizli Kuponlu Senetler</t>
        </is>
      </c>
      <c r="B171" s="44" t="n">
        <v>2004</v>
      </c>
      <c r="C171" s="44" t="inlineStr">
        <is>
          <t>TRT180106T11</t>
        </is>
      </c>
      <c r="D171" s="44" t="inlineStr">
        <is>
          <t>nan</t>
        </is>
      </c>
      <c r="E171" s="44" t="inlineStr">
        <is>
          <t>nan</t>
        </is>
      </c>
      <c r="F171" s="44" t="n"/>
      <c r="G171" s="44" t="n"/>
      <c r="H171" s="15" t="n"/>
      <c r="I171" s="45" t="n">
        <v>2812110.115</v>
      </c>
      <c r="J171" s="45" t="n"/>
      <c r="K171" s="45" t="n">
        <v>2625015.935</v>
      </c>
      <c r="L171" s="45" t="n">
        <v>2685785.05389525</v>
      </c>
      <c r="M171" s="45" t="n">
        <v>246298.1967453453</v>
      </c>
      <c r="N171" s="45" t="n">
        <v>252000</v>
      </c>
      <c r="O171" s="45" t="n">
        <v>234569.7111860431</v>
      </c>
      <c r="P171" s="45" t="n">
        <v>240000</v>
      </c>
      <c r="Q171" s="45" t="n">
        <v>101780.145</v>
      </c>
      <c r="R171" s="45" t="n">
        <v>104136.35535675</v>
      </c>
      <c r="S171" s="45" t="n">
        <v>3389327.752931389</v>
      </c>
      <c r="T171" s="45" t="n">
        <v>3467790.69041175</v>
      </c>
      <c r="U171" s="15" t="n">
        <v>7.416038501843972</v>
      </c>
      <c r="V171" s="15" t="n">
        <v>33.13018217792547</v>
      </c>
      <c r="W171" s="49" t="n">
        <v>102.315</v>
      </c>
    </row>
    <row r="172">
      <c r="A172" s="44" t="inlineStr">
        <is>
          <t>TL Cinsi Degisken Faizli Kuponlu Senetler</t>
        </is>
      </c>
      <c r="B172" s="44" t="n">
        <v>2004</v>
      </c>
      <c r="C172" s="44" t="inlineStr">
        <is>
          <t>TRT180106T11</t>
        </is>
      </c>
      <c r="D172" s="44" t="inlineStr">
        <is>
          <t>nan</t>
        </is>
      </c>
      <c r="E172" s="44" t="inlineStr">
        <is>
          <t>nan</t>
        </is>
      </c>
      <c r="F172" s="44" t="n"/>
      <c r="G172" s="44" t="n"/>
      <c r="H172" s="15" t="n"/>
      <c r="I172" s="45" t="n">
        <v>1968857.76</v>
      </c>
      <c r="J172" s="45" t="n"/>
      <c r="K172" s="45" t="n">
        <v>1715906.56</v>
      </c>
      <c r="L172" s="45" t="n">
        <v>1801928.7528</v>
      </c>
      <c r="M172" s="45" t="n">
        <v>105701.1988991839</v>
      </c>
      <c r="N172" s="45" t="n">
        <v>111000</v>
      </c>
      <c r="O172" s="45" t="n">
        <v>255206.4982430747</v>
      </c>
      <c r="P172" s="45" t="n">
        <v>268000</v>
      </c>
      <c r="Q172" s="45" t="n">
        <v>81055.69500000001</v>
      </c>
      <c r="R172" s="45" t="n">
        <v>85119.01699035001</v>
      </c>
      <c r="S172" s="45" t="n">
        <v>2255266.897142259</v>
      </c>
      <c r="T172" s="45" t="n">
        <v>2368327.2236432</v>
      </c>
      <c r="U172" s="15" t="n">
        <v>7.34</v>
      </c>
      <c r="V172" s="15" t="n">
        <v>32.77361734187532</v>
      </c>
      <c r="W172" s="49" t="n">
        <v>105.013</v>
      </c>
    </row>
    <row r="173">
      <c r="A173" s="44" t="inlineStr">
        <is>
          <t>TL Cinsi Degisken Faizli Kuponlu Senetler</t>
        </is>
      </c>
      <c r="B173" s="44" t="n">
        <v>2004</v>
      </c>
      <c r="C173" s="44" t="inlineStr">
        <is>
          <t>TRT150306T12</t>
        </is>
      </c>
      <c r="D173" s="44" t="inlineStr">
        <is>
          <t>nan</t>
        </is>
      </c>
      <c r="E173" s="44" t="inlineStr">
        <is>
          <t>nan</t>
        </is>
      </c>
      <c r="F173" s="44" t="n"/>
      <c r="G173" s="44" t="n"/>
      <c r="H173" s="15" t="n"/>
      <c r="I173" s="45" t="n">
        <v>2548675.69</v>
      </c>
      <c r="J173" s="45" t="n"/>
      <c r="K173" s="45" t="n">
        <v>1978117</v>
      </c>
      <c r="L173" s="45" t="n">
        <v>2018412.4858</v>
      </c>
      <c r="M173" s="45" t="n">
        <v>168076.280025873</v>
      </c>
      <c r="N173" s="45" t="n">
        <v>171499.99385</v>
      </c>
      <c r="O173" s="45" t="n">
        <v>103579.1049972069</v>
      </c>
      <c r="P173" s="45" t="n">
        <v>105689.011366</v>
      </c>
      <c r="Q173" s="45" t="n">
        <v>93071.785</v>
      </c>
      <c r="R173" s="45" t="n">
        <v>94967.6402444</v>
      </c>
      <c r="S173" s="45" t="n">
        <v>2342844.17002308</v>
      </c>
      <c r="T173" s="45" t="n">
        <v>2390569.1312604</v>
      </c>
      <c r="U173" s="15" t="n">
        <v>6.68</v>
      </c>
      <c r="V173" s="15" t="n">
        <v>29.52856621138176</v>
      </c>
      <c r="W173" s="49" t="n">
        <v>102.037</v>
      </c>
    </row>
    <row r="174">
      <c r="A174" s="44" t="inlineStr">
        <is>
          <t>TL Cinsi Degisken Faizli Kuponlu Senetler</t>
        </is>
      </c>
      <c r="B174" s="44" t="n">
        <v>2004</v>
      </c>
      <c r="C174" s="44" t="inlineStr">
        <is>
          <t>TRT150306T12</t>
        </is>
      </c>
      <c r="D174" s="44" t="inlineStr">
        <is>
          <t>nan</t>
        </is>
      </c>
      <c r="E174" s="44" t="inlineStr">
        <is>
          <t>nan</t>
        </is>
      </c>
      <c r="F174" s="44" t="n"/>
      <c r="G174" s="44" t="n"/>
      <c r="H174" s="15" t="n"/>
      <c r="I174" s="45" t="n">
        <v>2216788.52</v>
      </c>
      <c r="J174" s="45" t="n"/>
      <c r="K174" s="45" t="n">
        <v>1244816.68</v>
      </c>
      <c r="L174" s="45" t="n">
        <v>1307983.6095</v>
      </c>
      <c r="M174" s="45" t="n">
        <v>265527.1522926699</v>
      </c>
      <c r="N174" s="45" t="n">
        <v>279000</v>
      </c>
      <c r="O174" s="45" t="n">
        <v>261720.311399585</v>
      </c>
      <c r="P174" s="45" t="n">
        <v>275000</v>
      </c>
      <c r="Q174" s="45" t="n">
        <v>58464.335</v>
      </c>
      <c r="R174" s="45" t="n">
        <v>61430.8353579</v>
      </c>
      <c r="S174" s="45" t="n">
        <v>1830528.478692255</v>
      </c>
      <c r="T174" s="45" t="n">
        <v>1923414.4448579</v>
      </c>
      <c r="U174" s="15" t="n">
        <v>6.69</v>
      </c>
      <c r="V174" s="15" t="n">
        <v>29.57713643208722</v>
      </c>
      <c r="W174" s="49" t="n">
        <v>105.074</v>
      </c>
    </row>
    <row r="175">
      <c r="A175" s="44" t="inlineStr">
        <is>
          <t>TL Cinsi Degisken Faizli Kuponlu Senetler</t>
        </is>
      </c>
      <c r="B175" s="44" t="n">
        <v>2004</v>
      </c>
      <c r="C175" s="44" t="inlineStr">
        <is>
          <t>TRT150306T12</t>
        </is>
      </c>
      <c r="D175" s="44" t="inlineStr">
        <is>
          <t>nan</t>
        </is>
      </c>
      <c r="E175" s="44" t="inlineStr">
        <is>
          <t>nan</t>
        </is>
      </c>
      <c r="F175" s="44" t="n"/>
      <c r="G175" s="44" t="n"/>
      <c r="H175" s="15" t="n"/>
      <c r="I175" s="45" t="n">
        <v>838815.88</v>
      </c>
      <c r="J175" s="45" t="n"/>
      <c r="K175" s="45" t="n">
        <v>495830.95</v>
      </c>
      <c r="L175" s="45" t="n">
        <v>509289.6938</v>
      </c>
      <c r="M175" s="45" t="n">
        <v>27260.15927721635</v>
      </c>
      <c r="N175" s="45" t="n">
        <v>28000</v>
      </c>
      <c r="O175" s="45" t="n">
        <v>3894.308468173764</v>
      </c>
      <c r="P175" s="45" t="n">
        <v>4000</v>
      </c>
      <c r="Q175" s="45" t="n">
        <v>19040.075</v>
      </c>
      <c r="R175" s="45" t="n">
        <v>19556.8226355</v>
      </c>
      <c r="S175" s="45" t="n">
        <v>580238.73774539</v>
      </c>
      <c r="T175" s="45" t="n">
        <v>595988.3089048</v>
      </c>
      <c r="U175" s="15" t="n">
        <v>7.2</v>
      </c>
      <c r="V175" s="15" t="n">
        <v>32.06238658560005</v>
      </c>
      <c r="W175" s="49" t="n">
        <v>102.714</v>
      </c>
    </row>
    <row r="176">
      <c r="A176" s="44" t="inlineStr">
        <is>
          <t>TL Cinsi Degisken Faizli Kuponlu Senetler</t>
        </is>
      </c>
      <c r="B176" s="44" t="n">
        <v>2004</v>
      </c>
      <c r="C176" s="44" t="inlineStr">
        <is>
          <t>TRT140606T10</t>
        </is>
      </c>
      <c r="D176" s="44" t="inlineStr">
        <is>
          <t>nan</t>
        </is>
      </c>
      <c r="E176" s="44" t="inlineStr">
        <is>
          <t>nan</t>
        </is>
      </c>
      <c r="F176" s="44" t="n"/>
      <c r="G176" s="44" t="n"/>
      <c r="H176" s="15" t="n"/>
      <c r="I176" s="45" t="n">
        <v>951390.02</v>
      </c>
      <c r="J176" s="45" t="n"/>
      <c r="K176" s="45" t="n">
        <v>817365.02</v>
      </c>
      <c r="L176" s="45" t="n">
        <v>786002.3115</v>
      </c>
      <c r="M176" s="45" t="n">
        <v>67073.61459189084</v>
      </c>
      <c r="N176" s="45" t="n">
        <v>64500</v>
      </c>
      <c r="O176" s="45" t="n">
        <v>218381.2901011824</v>
      </c>
      <c r="P176" s="45" t="n">
        <v>210002</v>
      </c>
      <c r="Q176" s="45" t="n">
        <v>36469.92</v>
      </c>
      <c r="R176" s="45" t="n">
        <v>35070.56935</v>
      </c>
      <c r="S176" s="45" t="n">
        <v>1139289.844693073</v>
      </c>
      <c r="T176" s="45" t="n">
        <v>1095574.88085</v>
      </c>
      <c r="U176" s="15" t="n">
        <v>7.88</v>
      </c>
      <c r="V176" s="15" t="n">
        <v>35.46524126331132</v>
      </c>
      <c r="W176" s="49" t="n">
        <v>96.163</v>
      </c>
    </row>
    <row r="177">
      <c r="A177" s="44" t="inlineStr">
        <is>
          <t>TL Cinsi Degisken Faizli Kuponlu Senetler</t>
        </is>
      </c>
      <c r="B177" s="44" t="n">
        <v>2004</v>
      </c>
      <c r="C177" s="44" t="inlineStr">
        <is>
          <t>TRT140606T10</t>
        </is>
      </c>
      <c r="D177" s="44" t="inlineStr">
        <is>
          <t>nan</t>
        </is>
      </c>
      <c r="E177" s="44" t="inlineStr">
        <is>
          <t>nan</t>
        </is>
      </c>
      <c r="F177" s="44" t="n"/>
      <c r="G177" s="44" t="n"/>
      <c r="H177" s="15" t="n"/>
      <c r="I177" s="45" t="n">
        <v>2020467.28</v>
      </c>
      <c r="J177" s="45" t="n"/>
      <c r="K177" s="45" t="n">
        <v>1714255.425</v>
      </c>
      <c r="L177" s="45" t="n">
        <v>1671137.2583</v>
      </c>
      <c r="M177" s="45" t="n">
        <v>297173.9241934657</v>
      </c>
      <c r="N177" s="45" t="n">
        <v>289700</v>
      </c>
      <c r="O177" s="45" t="n">
        <v>240549.8281786942</v>
      </c>
      <c r="P177" s="45" t="n">
        <v>234500</v>
      </c>
      <c r="Q177" s="45" t="n">
        <v>85619.12</v>
      </c>
      <c r="R177" s="45" t="n">
        <v>83465.7993</v>
      </c>
      <c r="S177" s="45" t="n">
        <v>2516579.89737216</v>
      </c>
      <c r="T177" s="45" t="n">
        <v>2453283.27036</v>
      </c>
      <c r="U177" s="15" t="n">
        <v>7.95</v>
      </c>
      <c r="V177" s="15" t="n">
        <v>35.81712850600618</v>
      </c>
      <c r="W177" s="49" t="n">
        <v>97.485</v>
      </c>
    </row>
    <row r="178">
      <c r="A178" s="44" t="inlineStr">
        <is>
          <t>TL Cinsi Degisken Faizli Kuponlu Senetler</t>
        </is>
      </c>
      <c r="B178" s="44" t="n">
        <v>2004</v>
      </c>
      <c r="C178" s="44" t="inlineStr">
        <is>
          <t>TRT130906T18</t>
        </is>
      </c>
      <c r="D178" s="44" t="inlineStr">
        <is>
          <t>nan</t>
        </is>
      </c>
      <c r="E178" s="44" t="inlineStr">
        <is>
          <t>nan</t>
        </is>
      </c>
      <c r="F178" s="44" t="n"/>
      <c r="G178" s="44" t="n"/>
      <c r="H178" s="15" t="n"/>
      <c r="I178" s="45" t="n">
        <v>2257790.11</v>
      </c>
      <c r="J178" s="45" t="n"/>
      <c r="K178" s="45" t="n">
        <v>1827013.18</v>
      </c>
      <c r="L178" s="45" t="n">
        <v>1794362.6175</v>
      </c>
      <c r="M178" s="45" t="n">
        <v>269821.7140297109</v>
      </c>
      <c r="N178" s="45" t="n">
        <v>265000</v>
      </c>
      <c r="O178" s="45" t="n">
        <v>578691.2399936873</v>
      </c>
      <c r="P178" s="45" t="n">
        <v>568350.027535</v>
      </c>
      <c r="Q178" s="45" t="n">
        <v>108670.805</v>
      </c>
      <c r="R178" s="45" t="n">
        <v>106728.85805</v>
      </c>
      <c r="S178" s="45" t="n">
        <v>3119048.504023398</v>
      </c>
      <c r="T178" s="45" t="n">
        <v>3063309.27061845</v>
      </c>
      <c r="U178" s="15" t="n">
        <v>6.68</v>
      </c>
      <c r="V178" s="15" t="n">
        <v>29.49856621138176</v>
      </c>
      <c r="W178" s="49" t="n">
        <v>98.21299999999999</v>
      </c>
    </row>
    <row r="179">
      <c r="A179" s="44" t="inlineStr">
        <is>
          <t>TL Cinsi Degisken Faizli Kuponlu Senetler</t>
        </is>
      </c>
      <c r="B179" s="44" t="n">
        <v>2003</v>
      </c>
      <c r="C179" s="44" t="inlineStr">
        <is>
          <t>TRT190105T11</t>
        </is>
      </c>
      <c r="D179" s="44" t="inlineStr">
        <is>
          <t>nan</t>
        </is>
      </c>
      <c r="E179" s="44" t="inlineStr">
        <is>
          <t>nan</t>
        </is>
      </c>
      <c r="F179" s="44" t="n"/>
      <c r="G179" s="44" t="n"/>
      <c r="H179" s="15" t="n"/>
      <c r="I179" s="45" t="n">
        <v>393690.02</v>
      </c>
      <c r="J179" s="45" t="n"/>
      <c r="K179" s="45" t="n">
        <v>279582.255</v>
      </c>
      <c r="L179" s="45" t="n">
        <v>275528.3123025</v>
      </c>
      <c r="M179" s="45" t="n">
        <v>74419.07661085743</v>
      </c>
      <c r="N179" s="45" t="n">
        <v>73340</v>
      </c>
      <c r="O179" s="45" t="n">
        <v>0</v>
      </c>
      <c r="P179" s="45" t="n">
        <v>0</v>
      </c>
      <c r="Q179" s="45" t="n">
        <v>10095.23</v>
      </c>
      <c r="R179" s="45" t="n">
        <v>9948.849166</v>
      </c>
      <c r="S179" s="45" t="n">
        <v>378096.5616108574</v>
      </c>
      <c r="T179" s="45" t="n">
        <v>372614.1614685</v>
      </c>
      <c r="U179" s="15" t="n">
        <v>13.17</v>
      </c>
      <c r="V179" s="15" t="n">
        <v>63.15076683439269</v>
      </c>
      <c r="W179" s="49" t="n">
        <v>98.55</v>
      </c>
    </row>
    <row r="180">
      <c r="A180" s="44" t="inlineStr">
        <is>
          <t>TL Cinsi Degisken Faizli Kuponlu Senetler</t>
        </is>
      </c>
      <c r="B180" s="44" t="n">
        <v>2003</v>
      </c>
      <c r="C180" s="44" t="inlineStr">
        <is>
          <t>TRT110505T23</t>
        </is>
      </c>
      <c r="D180" s="44" t="inlineStr">
        <is>
          <t>nan</t>
        </is>
      </c>
      <c r="E180" s="44" t="inlineStr">
        <is>
          <t>nan</t>
        </is>
      </c>
      <c r="F180" s="44" t="n"/>
      <c r="G180" s="44" t="n"/>
      <c r="H180" s="15" t="n"/>
      <c r="I180" s="45" t="n">
        <v>1127550.97</v>
      </c>
      <c r="J180" s="45" t="n"/>
      <c r="K180" s="45" t="n">
        <v>738017.355</v>
      </c>
      <c r="L180" s="45" t="n">
        <v>726947.0946749999</v>
      </c>
      <c r="M180" s="45" t="n">
        <v>14416.24365482234</v>
      </c>
      <c r="N180" s="45" t="n">
        <v>14200</v>
      </c>
      <c r="O180" s="45" t="n">
        <v>0</v>
      </c>
      <c r="P180" s="45" t="n">
        <v>0</v>
      </c>
      <c r="Q180" s="45" t="n">
        <v>21856.615</v>
      </c>
      <c r="R180" s="45" t="n">
        <v>21528.765775</v>
      </c>
      <c r="S180" s="45" t="n">
        <v>775090.2136548223</v>
      </c>
      <c r="T180" s="45" t="n">
        <v>763463.8604499999</v>
      </c>
      <c r="U180" s="15" t="n">
        <v>11.45</v>
      </c>
      <c r="V180" s="15" t="n">
        <v>54.26378731550627</v>
      </c>
      <c r="W180" s="49" t="n">
        <v>98.5</v>
      </c>
    </row>
    <row r="181">
      <c r="A181" s="44" t="inlineStr">
        <is>
          <t>TL Cinsi Degisken Faizli Kuponlu Senetler</t>
        </is>
      </c>
      <c r="B181" s="44" t="n">
        <v>2003</v>
      </c>
      <c r="C181" s="44" t="inlineStr">
        <is>
          <t>TRT110505T23</t>
        </is>
      </c>
      <c r="D181" s="44" t="inlineStr">
        <is>
          <t>nan</t>
        </is>
      </c>
      <c r="E181" s="44" t="inlineStr">
        <is>
          <t>nan</t>
        </is>
      </c>
      <c r="F181" s="44" t="n"/>
      <c r="G181" s="44" t="n"/>
      <c r="H181" s="15" t="n"/>
      <c r="I181" s="45" t="n">
        <v>396790.975</v>
      </c>
      <c r="J181" s="45" t="n"/>
      <c r="K181" s="45" t="n">
        <v>298298.07</v>
      </c>
      <c r="L181" s="45" t="n">
        <v>306277.5433725</v>
      </c>
      <c r="M181" s="45" t="n">
        <v>362600.4382761139</v>
      </c>
      <c r="N181" s="45" t="n">
        <v>372300</v>
      </c>
      <c r="O181" s="45" t="n">
        <v>0</v>
      </c>
      <c r="P181" s="45" t="n">
        <v>0</v>
      </c>
      <c r="Q181" s="45" t="n">
        <v>7668.09</v>
      </c>
      <c r="R181" s="45" t="n">
        <v>7873.2114075</v>
      </c>
      <c r="S181" s="45" t="n">
        <v>680066.598276114</v>
      </c>
      <c r="T181" s="45" t="n">
        <v>698258.37978</v>
      </c>
      <c r="U181" s="15" t="n">
        <v>11.45</v>
      </c>
      <c r="V181" s="15" t="n">
        <v>54.28378731550627</v>
      </c>
      <c r="W181" s="49" t="n">
        <v>102.675</v>
      </c>
    </row>
    <row r="182">
      <c r="A182" s="44" t="inlineStr">
        <is>
          <t>TL Cinsi Degisken Faizli Kuponlu Senetler</t>
        </is>
      </c>
      <c r="B182" s="44" t="n">
        <v>2003</v>
      </c>
      <c r="C182" s="44" t="inlineStr">
        <is>
          <t>TRT110505T23</t>
        </is>
      </c>
      <c r="D182" s="44" t="inlineStr">
        <is>
          <t>nan</t>
        </is>
      </c>
      <c r="E182" s="44" t="inlineStr">
        <is>
          <t>nan</t>
        </is>
      </c>
      <c r="F182" s="44" t="n"/>
      <c r="G182" s="44" t="n"/>
      <c r="H182" s="15" t="n"/>
      <c r="I182" s="45" t="n">
        <v>1415384.9</v>
      </c>
      <c r="J182" s="45" t="n"/>
      <c r="K182" s="45" t="n">
        <v>1257751.79</v>
      </c>
      <c r="L182" s="45" t="n">
        <v>1323783.758975</v>
      </c>
      <c r="M182" s="45" t="n">
        <v>95961.99524940617</v>
      </c>
      <c r="N182" s="45" t="n">
        <v>101000</v>
      </c>
      <c r="O182" s="45" t="n">
        <v>123515.4394299287</v>
      </c>
      <c r="P182" s="45" t="n">
        <v>130000</v>
      </c>
      <c r="Q182" s="45" t="n">
        <v>26357.74</v>
      </c>
      <c r="R182" s="45" t="n">
        <v>27741.52135</v>
      </c>
      <c r="S182" s="45" t="n">
        <v>1519786.964679335</v>
      </c>
      <c r="T182" s="45" t="n">
        <v>1599575.780325</v>
      </c>
      <c r="U182" s="15" t="n">
        <v>9.31</v>
      </c>
      <c r="V182" s="15" t="n">
        <v>42.7608605427112</v>
      </c>
      <c r="W182" s="49" t="n">
        <v>105.25</v>
      </c>
    </row>
    <row r="183">
      <c r="A183" s="44" t="inlineStr">
        <is>
          <t>TL Cinsi Degisken Faizli Kuponlu Senetler</t>
        </is>
      </c>
      <c r="B183" s="44" t="n">
        <v>2003</v>
      </c>
      <c r="C183" s="44" t="inlineStr">
        <is>
          <t>TRT191005T10</t>
        </is>
      </c>
      <c r="D183" s="44" t="inlineStr">
        <is>
          <t>nan</t>
        </is>
      </c>
      <c r="E183" s="44" t="inlineStr">
        <is>
          <t>nan</t>
        </is>
      </c>
      <c r="F183" s="44" t="n"/>
      <c r="G183" s="44" t="n"/>
      <c r="H183" s="15" t="n"/>
      <c r="I183" s="45" t="n">
        <v>1585584.675</v>
      </c>
      <c r="J183" s="45" t="n"/>
      <c r="K183" s="45" t="n">
        <v>1313719.69</v>
      </c>
      <c r="L183" s="45" t="n">
        <v>1353131.2807</v>
      </c>
      <c r="M183" s="45" t="n">
        <v>64077.66990291262</v>
      </c>
      <c r="N183" s="45" t="n">
        <v>66000</v>
      </c>
      <c r="O183" s="45" t="n">
        <v>412135.9349999999</v>
      </c>
      <c r="P183" s="45" t="n">
        <v>424500.01305</v>
      </c>
      <c r="Q183" s="45" t="n">
        <v>0</v>
      </c>
      <c r="R183" s="45" t="n">
        <v>0</v>
      </c>
      <c r="S183" s="45" t="n">
        <v>1894417.019902912</v>
      </c>
      <c r="T183" s="45" t="n">
        <v>1951249.5305</v>
      </c>
      <c r="U183" s="15" t="n">
        <v>7.44</v>
      </c>
      <c r="V183" s="15" t="n">
        <v>33.239012334633</v>
      </c>
      <c r="W183" s="49" t="n">
        <v>103</v>
      </c>
    </row>
    <row r="184">
      <c r="A184" s="44" t="inlineStr">
        <is>
          <t>TL Cinsi Degisken Faizli Kuponlu Senetler</t>
        </is>
      </c>
      <c r="B184" s="44" t="n">
        <v>2003</v>
      </c>
      <c r="C184" s="44" t="inlineStr">
        <is>
          <t>TRT191005T10</t>
        </is>
      </c>
      <c r="D184" s="44" t="inlineStr">
        <is>
          <t>nan</t>
        </is>
      </c>
      <c r="E184" s="44" t="inlineStr">
        <is>
          <t>nan</t>
        </is>
      </c>
      <c r="F184" s="44" t="n"/>
      <c r="G184" s="44" t="n"/>
      <c r="H184" s="15" t="n"/>
      <c r="I184" s="45" t="n">
        <v>1148904.505</v>
      </c>
      <c r="J184" s="45" t="n"/>
      <c r="K184" s="45" t="n">
        <v>571148.4</v>
      </c>
      <c r="L184" s="45" t="n">
        <v>597655.3972440001</v>
      </c>
      <c r="M184" s="45" t="n">
        <v>16246.02211370304</v>
      </c>
      <c r="N184" s="45" t="n">
        <v>17000</v>
      </c>
      <c r="O184" s="45" t="n">
        <v>70722.26469548265</v>
      </c>
      <c r="P184" s="45" t="n">
        <v>74004.485</v>
      </c>
      <c r="Q184" s="45" t="n">
        <v>1247.475</v>
      </c>
      <c r="R184" s="45" t="n">
        <v>1305.37031475</v>
      </c>
      <c r="S184" s="45" t="n">
        <v>688764.1618091858</v>
      </c>
      <c r="T184" s="45" t="n">
        <v>720729.7065587501</v>
      </c>
      <c r="U184" s="15" t="n">
        <v>7.45</v>
      </c>
      <c r="V184" s="15" t="n">
        <v>33.30862797750625</v>
      </c>
      <c r="W184" s="49" t="n">
        <v>104.641</v>
      </c>
    </row>
    <row r="185">
      <c r="A185" s="44" t="inlineStr">
        <is>
          <t>TL Cinsi Degisken Faizli Kuponlu Senetler</t>
        </is>
      </c>
      <c r="B185" s="44" t="n">
        <v>2003</v>
      </c>
      <c r="C185" s="44" t="inlineStr">
        <is>
          <t>TRT191005T10</t>
        </is>
      </c>
      <c r="D185" s="44" t="inlineStr">
        <is>
          <t>nan</t>
        </is>
      </c>
      <c r="E185" s="44" t="inlineStr">
        <is>
          <t>nan</t>
        </is>
      </c>
      <c r="F185" s="44" t="n"/>
      <c r="G185" s="44" t="n"/>
      <c r="H185" s="15" t="n"/>
      <c r="I185" s="45" t="n">
        <v>925285.425</v>
      </c>
      <c r="J185" s="45" t="n"/>
      <c r="K185" s="45" t="n">
        <v>822979.265</v>
      </c>
      <c r="L185" s="45" t="n">
        <v>874826.9586949999</v>
      </c>
      <c r="M185" s="45" t="n">
        <v>62088.42897460018</v>
      </c>
      <c r="N185" s="45" t="n">
        <v>66000</v>
      </c>
      <c r="O185" s="45" t="n">
        <v>70555.03292568204</v>
      </c>
      <c r="P185" s="45" t="n">
        <v>75000</v>
      </c>
      <c r="Q185" s="45" t="n">
        <v>26010</v>
      </c>
      <c r="R185" s="45" t="n">
        <v>27648.63</v>
      </c>
      <c r="S185" s="45" t="n">
        <v>1024632.726900282</v>
      </c>
      <c r="T185" s="45" t="n">
        <v>1089184.588695</v>
      </c>
      <c r="U185" s="15" t="n">
        <v>7.468390491499627</v>
      </c>
      <c r="V185" s="15" t="n">
        <v>33.38990975372691</v>
      </c>
      <c r="W185" s="49" t="n">
        <v>106.3</v>
      </c>
    </row>
    <row r="186">
      <c r="A186" s="44" t="inlineStr">
        <is>
          <t>TL Cinsi Degisken Faizli Kuponlu Senetler</t>
        </is>
      </c>
      <c r="B186" s="44" t="n">
        <v>2002</v>
      </c>
      <c r="C186" s="44" t="inlineStr">
        <is>
          <t>TRT210104T18</t>
        </is>
      </c>
      <c r="D186" s="44" t="inlineStr">
        <is>
          <t>nan</t>
        </is>
      </c>
      <c r="E186" s="44" t="inlineStr">
        <is>
          <t>nan</t>
        </is>
      </c>
      <c r="F186" s="44" t="n"/>
      <c r="G186" s="44" t="n"/>
      <c r="H186" s="15" t="n"/>
      <c r="I186" s="45" t="n">
        <v>2383819.86</v>
      </c>
      <c r="J186" s="45" t="n"/>
      <c r="K186" s="45" t="n">
        <v>1185721.85</v>
      </c>
      <c r="L186" s="45" t="n">
        <v>1176236.0752</v>
      </c>
      <c r="M186" s="45" t="n">
        <v>33941.53</v>
      </c>
      <c r="N186" s="45" t="n">
        <v>33669.99776</v>
      </c>
      <c r="O186" s="45" t="n">
        <v>0</v>
      </c>
      <c r="P186" s="45" t="n">
        <v>0</v>
      </c>
      <c r="Q186" s="45" t="n">
        <v>0</v>
      </c>
      <c r="R186" s="45" t="n">
        <v>0</v>
      </c>
      <c r="S186" s="45" t="n">
        <v>1219663.38</v>
      </c>
      <c r="T186" s="45" t="n">
        <v>1209906.07296</v>
      </c>
      <c r="U186" s="15" t="n">
        <v>16.748</v>
      </c>
      <c r="V186" s="15" t="n">
        <v>85.77950344816105</v>
      </c>
      <c r="W186" s="49" t="n">
        <v>99.2</v>
      </c>
    </row>
    <row r="187">
      <c r="A187" s="44" t="inlineStr">
        <is>
          <t>TL Cinsi Degisken Faizli Kuponlu Senetler</t>
        </is>
      </c>
      <c r="B187" s="44" t="n">
        <v>2002</v>
      </c>
      <c r="C187" s="44" t="inlineStr">
        <is>
          <t>TRT210104T18</t>
        </is>
      </c>
      <c r="D187" s="44" t="inlineStr">
        <is>
          <t>nan</t>
        </is>
      </c>
      <c r="E187" s="44" t="inlineStr">
        <is>
          <t>nan</t>
        </is>
      </c>
      <c r="F187" s="44" t="n"/>
      <c r="G187" s="44" t="n"/>
      <c r="H187" s="15" t="n"/>
      <c r="I187" s="45" t="n">
        <v>1504545.855</v>
      </c>
      <c r="J187" s="45" t="n"/>
      <c r="K187" s="45" t="n">
        <v>915494.33</v>
      </c>
      <c r="L187" s="45" t="n">
        <v>952114.1032</v>
      </c>
      <c r="M187" s="45" t="n">
        <v>141399.035</v>
      </c>
      <c r="N187" s="45" t="n">
        <v>147054.9964</v>
      </c>
      <c r="O187" s="45" t="n">
        <v>0</v>
      </c>
      <c r="P187" s="45" t="n">
        <v>0</v>
      </c>
      <c r="Q187" s="45" t="n">
        <v>0</v>
      </c>
      <c r="R187" s="45" t="n">
        <v>0</v>
      </c>
      <c r="S187" s="45" t="n">
        <v>1056893.365</v>
      </c>
      <c r="T187" s="45" t="n">
        <v>1099169.0996</v>
      </c>
      <c r="U187" s="15" t="n">
        <v>16.7585</v>
      </c>
      <c r="V187" s="15" t="n">
        <v>85.8463464933857</v>
      </c>
      <c r="W187" s="49" t="n">
        <v>104</v>
      </c>
    </row>
    <row r="188">
      <c r="A188" s="44" t="inlineStr">
        <is>
          <t>TL Cinsi Degisken Faizli Kuponlu Senetler</t>
        </is>
      </c>
      <c r="B188" s="44" t="n">
        <v>2002</v>
      </c>
      <c r="C188" s="44" t="inlineStr">
        <is>
          <t>TRT170304T12</t>
        </is>
      </c>
      <c r="D188" s="44" t="inlineStr">
        <is>
          <t>nan</t>
        </is>
      </c>
      <c r="E188" s="44" t="inlineStr">
        <is>
          <t>nan</t>
        </is>
      </c>
      <c r="F188" s="44" t="n"/>
      <c r="G188" s="44" t="n"/>
      <c r="H188" s="15" t="n"/>
      <c r="I188" s="45" t="n">
        <v>1478847.235</v>
      </c>
      <c r="J188" s="45" t="n"/>
      <c r="K188" s="45" t="n">
        <v>1349728.975</v>
      </c>
      <c r="L188" s="45" t="n">
        <v>1343655.1946125</v>
      </c>
      <c r="M188" s="45" t="n">
        <v>0</v>
      </c>
      <c r="N188" s="45" t="n">
        <v>0</v>
      </c>
      <c r="O188" s="45" t="n">
        <v>0</v>
      </c>
      <c r="P188" s="45" t="n">
        <v>0</v>
      </c>
      <c r="Q188" s="45" t="n">
        <v>0</v>
      </c>
      <c r="R188" s="45" t="n">
        <v>0</v>
      </c>
      <c r="S188" s="45" t="n">
        <v>1349728.975</v>
      </c>
      <c r="T188" s="45" t="n">
        <v>1343655.1946125</v>
      </c>
      <c r="U188" s="15" t="n">
        <v>15.592</v>
      </c>
      <c r="V188" s="15" t="n">
        <v>78.52996187958155</v>
      </c>
      <c r="W188" s="49" t="n">
        <v>99.55</v>
      </c>
    </row>
    <row r="189">
      <c r="A189" s="44" t="inlineStr">
        <is>
          <t>TL Cinsi Degisken Faizli Kuponlu Senetler</t>
        </is>
      </c>
      <c r="B189" s="44" t="n">
        <v>2002</v>
      </c>
      <c r="C189" s="44" t="inlineStr">
        <is>
          <t>TRT170304T12</t>
        </is>
      </c>
      <c r="D189" s="44" t="inlineStr">
        <is>
          <t>nan</t>
        </is>
      </c>
      <c r="E189" s="44" t="inlineStr">
        <is>
          <t>nan</t>
        </is>
      </c>
      <c r="F189" s="44" t="n"/>
      <c r="G189" s="44" t="n"/>
      <c r="H189" s="15" t="n"/>
      <c r="I189" s="45" t="n">
        <v>1089258.78</v>
      </c>
      <c r="J189" s="45" t="n"/>
      <c r="K189" s="45" t="n">
        <v>789798.015</v>
      </c>
      <c r="L189" s="45" t="n">
        <v>805593.9753</v>
      </c>
      <c r="M189" s="45" t="n">
        <v>58823.52941176471</v>
      </c>
      <c r="N189" s="45" t="n">
        <v>60000</v>
      </c>
      <c r="O189" s="45" t="n">
        <v>0</v>
      </c>
      <c r="P189" s="45" t="n">
        <v>0</v>
      </c>
      <c r="Q189" s="45" t="n">
        <v>0</v>
      </c>
      <c r="R189" s="45" t="n">
        <v>0</v>
      </c>
      <c r="S189" s="45" t="n">
        <v>848621.5444117647</v>
      </c>
      <c r="T189" s="45" t="n">
        <v>865593.9753</v>
      </c>
      <c r="U189" s="15" t="n">
        <v>15.5449</v>
      </c>
      <c r="V189" s="15" t="n">
        <v>78.23915894673814</v>
      </c>
      <c r="W189" s="49" t="n">
        <v>102</v>
      </c>
    </row>
    <row r="190">
      <c r="A190" s="44" t="inlineStr">
        <is>
          <t>TL Cinsi Degisken Faizli Kuponlu Senetler</t>
        </is>
      </c>
      <c r="B190" s="44" t="n">
        <v>2002</v>
      </c>
      <c r="C190" s="44" t="inlineStr">
        <is>
          <t>TRT120504T15</t>
        </is>
      </c>
      <c r="D190" s="44" t="inlineStr">
        <is>
          <t>nan</t>
        </is>
      </c>
      <c r="E190" s="44" t="inlineStr">
        <is>
          <t>nan</t>
        </is>
      </c>
      <c r="F190" s="44" t="n"/>
      <c r="G190" s="44" t="n"/>
      <c r="H190" s="15" t="n"/>
      <c r="I190" s="45" t="n">
        <v>1055708.295</v>
      </c>
      <c r="J190" s="45" t="n"/>
      <c r="K190" s="45" t="n">
        <v>595001.63</v>
      </c>
      <c r="L190" s="45" t="n">
        <v>590836.61859</v>
      </c>
      <c r="M190" s="45" t="n">
        <v>90147.02920443102</v>
      </c>
      <c r="N190" s="45" t="n">
        <v>89516</v>
      </c>
      <c r="O190" s="45" t="n">
        <v>0</v>
      </c>
      <c r="P190" s="45" t="n">
        <v>0</v>
      </c>
      <c r="Q190" s="45" t="n">
        <v>0</v>
      </c>
      <c r="R190" s="45" t="n">
        <v>0</v>
      </c>
      <c r="S190" s="45" t="n">
        <v>685148.659204431</v>
      </c>
      <c r="T190" s="45" t="n">
        <v>680352.61859</v>
      </c>
      <c r="U190" s="15" t="n">
        <v>13.74</v>
      </c>
      <c r="V190" s="15" t="n">
        <v>67.36047340751374</v>
      </c>
      <c r="W190" s="49" t="n">
        <v>99.3</v>
      </c>
    </row>
    <row r="191">
      <c r="A191" s="44" t="inlineStr">
        <is>
          <t>TL Cinsi Degisken Faizli Kuponlu Senetler</t>
        </is>
      </c>
      <c r="B191" s="44" t="n">
        <v>2002</v>
      </c>
      <c r="C191" s="44" t="inlineStr">
        <is>
          <t>TRT110804T13</t>
        </is>
      </c>
      <c r="D191" s="44" t="inlineStr">
        <is>
          <t>nan</t>
        </is>
      </c>
      <c r="E191" s="44" t="inlineStr">
        <is>
          <t>nan</t>
        </is>
      </c>
      <c r="F191" s="44" t="n"/>
      <c r="G191" s="44" t="n"/>
      <c r="H191" s="15" t="n"/>
      <c r="I191" s="45" t="n">
        <v>668303.4300000001</v>
      </c>
      <c r="J191" s="45" t="n"/>
      <c r="K191" s="45" t="n">
        <v>483078.185</v>
      </c>
      <c r="L191" s="45" t="n">
        <v>479455.0986125</v>
      </c>
      <c r="M191" s="45" t="n">
        <v>201511.3350125945</v>
      </c>
      <c r="N191" s="45" t="n">
        <v>200000</v>
      </c>
      <c r="O191" s="45" t="n">
        <v>0</v>
      </c>
      <c r="P191" s="45" t="n">
        <v>0</v>
      </c>
      <c r="Q191" s="45" t="n">
        <v>0</v>
      </c>
      <c r="R191" s="45" t="n">
        <v>0</v>
      </c>
      <c r="S191" s="45" t="n">
        <v>684589.5200125945</v>
      </c>
      <c r="T191" s="45" t="n">
        <v>679455.0986125</v>
      </c>
      <c r="U191" s="15" t="n">
        <v>14.882</v>
      </c>
      <c r="V191" s="15" t="n">
        <v>74.18387611379913</v>
      </c>
      <c r="W191" s="49" t="n">
        <v>99.25</v>
      </c>
    </row>
    <row r="192">
      <c r="A192" s="44" t="inlineStr">
        <is>
          <t>TL Cinsi Degisken Faizli Kuponlu Senetler</t>
        </is>
      </c>
      <c r="B192" s="44" t="n">
        <v>2002</v>
      </c>
      <c r="C192" s="44" t="inlineStr">
        <is>
          <t>TRT110804T13</t>
        </is>
      </c>
      <c r="D192" s="44" t="inlineStr">
        <is>
          <t>nan</t>
        </is>
      </c>
      <c r="E192" s="44" t="inlineStr">
        <is>
          <t>nan</t>
        </is>
      </c>
      <c r="F192" s="44" t="n"/>
      <c r="G192" s="44" t="n"/>
      <c r="H192" s="15" t="n"/>
      <c r="I192" s="45" t="n">
        <v>578870.155</v>
      </c>
      <c r="J192" s="45" t="n"/>
      <c r="K192" s="45" t="n">
        <v>374700.975</v>
      </c>
      <c r="L192" s="45" t="n">
        <v>382153.77739275</v>
      </c>
      <c r="M192" s="45" t="n">
        <v>447675.7297355597</v>
      </c>
      <c r="N192" s="45" t="n">
        <v>456580</v>
      </c>
      <c r="O192" s="45" t="n">
        <v>0</v>
      </c>
      <c r="P192" s="45" t="n">
        <v>0</v>
      </c>
      <c r="Q192" s="45" t="n">
        <v>17390.78430026768</v>
      </c>
      <c r="R192" s="45" t="n">
        <v>17736.687</v>
      </c>
      <c r="S192" s="45" t="n">
        <v>840267.4890358273</v>
      </c>
      <c r="T192" s="45" t="n">
        <v>856980.4093927499</v>
      </c>
      <c r="U192" s="15" t="n">
        <v>14.996</v>
      </c>
      <c r="V192" s="15" t="n">
        <v>74.8762922695706</v>
      </c>
      <c r="W192" s="49" t="n">
        <v>101.989</v>
      </c>
    </row>
    <row r="193">
      <c r="A193" s="44" t="inlineStr">
        <is>
          <t>TL Cinsi Degisken Faizli Kuponlu Senetler</t>
        </is>
      </c>
      <c r="B193" s="44" t="n">
        <v>2002</v>
      </c>
      <c r="C193" s="44" t="inlineStr">
        <is>
          <t>TRT110804T13</t>
        </is>
      </c>
      <c r="D193" s="44" t="inlineStr">
        <is>
          <t>nan</t>
        </is>
      </c>
      <c r="E193" s="44" t="inlineStr">
        <is>
          <t>nan</t>
        </is>
      </c>
      <c r="F193" s="44" t="n"/>
      <c r="G193" s="44" t="n"/>
      <c r="H193" s="15" t="n"/>
      <c r="I193" s="45" t="n">
        <v>644108.15</v>
      </c>
      <c r="J193" s="45" t="n"/>
      <c r="K193" s="45" t="n">
        <v>480585.97</v>
      </c>
      <c r="L193" s="45" t="n">
        <v>518182.2104331</v>
      </c>
      <c r="M193" s="45" t="n">
        <v>248255.9379724178</v>
      </c>
      <c r="N193" s="45" t="n">
        <v>267677</v>
      </c>
      <c r="O193" s="45" t="n">
        <v>0</v>
      </c>
      <c r="P193" s="45" t="n">
        <v>0</v>
      </c>
      <c r="Q193" s="45" t="n">
        <v>21752.02499930442</v>
      </c>
      <c r="R193" s="45" t="n">
        <v>23453.685915</v>
      </c>
      <c r="S193" s="45" t="n">
        <v>795235.9329717222</v>
      </c>
      <c r="T193" s="45" t="n">
        <v>857447.2400081001</v>
      </c>
      <c r="U193" s="15" t="n">
        <v>14.948</v>
      </c>
      <c r="V193" s="15" t="n">
        <v>74.58449749772768</v>
      </c>
      <c r="W193" s="49" t="n">
        <v>107.823</v>
      </c>
    </row>
    <row r="194">
      <c r="A194" s="44" t="inlineStr">
        <is>
          <t>TL Cinsi Degisken Faizli Kuponlu Senetler</t>
        </is>
      </c>
      <c r="B194" s="44" t="n">
        <v>2002</v>
      </c>
      <c r="C194" s="44" t="inlineStr">
        <is>
          <t>TRT110804T13</t>
        </is>
      </c>
      <c r="D194" s="44" t="inlineStr">
        <is>
          <t>nan</t>
        </is>
      </c>
      <c r="E194" s="44" t="inlineStr">
        <is>
          <t>nan</t>
        </is>
      </c>
      <c r="F194" s="44" t="n"/>
      <c r="G194" s="44" t="n"/>
      <c r="H194" s="15" t="n"/>
      <c r="I194" s="45" t="n">
        <v>676783.985</v>
      </c>
      <c r="J194" s="45" t="n"/>
      <c r="K194" s="45" t="n">
        <v>621767.673</v>
      </c>
      <c r="L194" s="45" t="n">
        <v>652856.0566499999</v>
      </c>
      <c r="M194" s="45" t="n">
        <v>149047.6190476191</v>
      </c>
      <c r="N194" s="45" t="n">
        <v>156500</v>
      </c>
      <c r="O194" s="45" t="n">
        <v>30142.85714285714</v>
      </c>
      <c r="P194" s="45" t="n">
        <v>31650</v>
      </c>
      <c r="Q194" s="45" t="n">
        <v>0</v>
      </c>
      <c r="R194" s="45" t="n">
        <v>0</v>
      </c>
      <c r="S194" s="45" t="n">
        <v>800958.1491904762</v>
      </c>
      <c r="T194" s="45" t="n">
        <v>841006.0566499999</v>
      </c>
      <c r="U194" s="15" t="n">
        <v>12.243</v>
      </c>
      <c r="V194" s="15" t="n">
        <v>58.72197671173311</v>
      </c>
      <c r="W194" s="49" t="n">
        <v>105</v>
      </c>
    </row>
    <row r="195">
      <c r="A195" s="44" t="inlineStr">
        <is>
          <t>TL Cinsi Degisken Faizli Kuponlu Senetler</t>
        </is>
      </c>
      <c r="B195" s="44" t="n">
        <v>2000</v>
      </c>
      <c r="C195" s="44" t="inlineStr">
        <is>
          <t>TRT230102T18</t>
        </is>
      </c>
      <c r="D195" s="44" t="inlineStr">
        <is>
          <t>nan</t>
        </is>
      </c>
      <c r="E195" s="44" t="inlineStr">
        <is>
          <t>nan</t>
        </is>
      </c>
      <c r="F195" s="44" t="n"/>
      <c r="G195" s="44" t="n"/>
      <c r="H195" s="15" t="n"/>
      <c r="I195" s="45" t="n">
        <v>1678645</v>
      </c>
      <c r="J195" s="45" t="n"/>
      <c r="K195" s="45" t="n">
        <v>617665</v>
      </c>
      <c r="L195" s="45" t="n">
        <v>614411.0244999999</v>
      </c>
      <c r="M195" s="45" t="n">
        <v>10294.23094659168</v>
      </c>
      <c r="N195" s="45" t="n">
        <v>10239.999</v>
      </c>
      <c r="O195" s="45" t="n">
        <v>0</v>
      </c>
      <c r="P195" s="45" t="n">
        <v>0</v>
      </c>
      <c r="Q195" s="45" t="n"/>
      <c r="R195" s="45" t="n"/>
      <c r="S195" s="45" t="n">
        <v>627959.2309465917</v>
      </c>
      <c r="T195" s="45" t="n">
        <v>624651.0234999999</v>
      </c>
      <c r="U195" s="15" t="n">
        <v>9.818</v>
      </c>
      <c r="V195" s="15" t="n">
        <v>45.44343415092727</v>
      </c>
      <c r="W195" s="49" t="n">
        <v>99.47318117426113</v>
      </c>
    </row>
    <row r="196">
      <c r="A196" s="44" t="inlineStr">
        <is>
          <t>TL Cinsi Degisken Faizli Kuponlu Senetler</t>
        </is>
      </c>
      <c r="B196" s="44" t="n">
        <v>2000</v>
      </c>
      <c r="C196" s="44" t="inlineStr">
        <is>
          <t>TRT230102T18</t>
        </is>
      </c>
      <c r="D196" s="44" t="inlineStr">
        <is>
          <t>nan</t>
        </is>
      </c>
      <c r="E196" s="44" t="inlineStr">
        <is>
          <t>nan</t>
        </is>
      </c>
      <c r="F196" s="44" t="n"/>
      <c r="G196" s="44" t="n"/>
      <c r="H196" s="15" t="n"/>
      <c r="I196" s="45" t="n">
        <v>1046530.25</v>
      </c>
      <c r="J196" s="45" t="n"/>
      <c r="K196" s="45" t="n">
        <v>698100</v>
      </c>
      <c r="L196" s="45" t="n">
        <v>692490.5530000001</v>
      </c>
      <c r="M196" s="45" t="n">
        <v>25202.60483402624</v>
      </c>
      <c r="N196" s="45" t="n">
        <v>24999.995</v>
      </c>
      <c r="O196" s="45" t="n">
        <v>0</v>
      </c>
      <c r="P196" s="45" t="n">
        <v>0</v>
      </c>
      <c r="Q196" s="45" t="n"/>
      <c r="R196" s="45" t="n"/>
      <c r="S196" s="45" t="n">
        <v>723302.6048340262</v>
      </c>
      <c r="T196" s="45" t="n">
        <v>717490.5480000001</v>
      </c>
      <c r="U196" s="15" t="n">
        <v>10.292</v>
      </c>
      <c r="V196" s="15" t="n">
        <v>47.9708091283886</v>
      </c>
      <c r="W196" s="49" t="n">
        <v>99.19646941698898</v>
      </c>
    </row>
    <row r="197">
      <c r="A197" s="44" t="inlineStr">
        <is>
          <t>TL Cinsi Degisken Faizli Kuponlu Senetler</t>
        </is>
      </c>
      <c r="B197" s="44" t="n">
        <v>2000</v>
      </c>
      <c r="C197" s="44" t="inlineStr">
        <is>
          <t>TRT230102T18</t>
        </is>
      </c>
      <c r="D197" s="44" t="inlineStr">
        <is>
          <t>nan</t>
        </is>
      </c>
      <c r="E197" s="44" t="inlineStr">
        <is>
          <t>nan</t>
        </is>
      </c>
      <c r="F197" s="44" t="n"/>
      <c r="G197" s="44" t="n"/>
      <c r="H197" s="15" t="n"/>
      <c r="I197" s="45" t="n">
        <v>1102720</v>
      </c>
      <c r="J197" s="45" t="n"/>
      <c r="K197" s="45" t="n">
        <v>824870</v>
      </c>
      <c r="L197" s="45" t="n">
        <v>849872.2825</v>
      </c>
      <c r="M197" s="45" t="n">
        <v>21352.79194037349</v>
      </c>
      <c r="N197" s="45" t="n">
        <v>21999.997</v>
      </c>
      <c r="O197" s="45" t="n">
        <v>0</v>
      </c>
      <c r="P197" s="45" t="n">
        <v>0</v>
      </c>
      <c r="Q197" s="45" t="n"/>
      <c r="R197" s="45" t="n"/>
      <c r="S197" s="45" t="n">
        <v>846222.7919403735</v>
      </c>
      <c r="T197" s="45" t="n">
        <v>871872.2794999999</v>
      </c>
      <c r="U197" s="15" t="n">
        <v>10.132</v>
      </c>
      <c r="V197" s="15" t="n">
        <v>47.11403399468958</v>
      </c>
      <c r="W197" s="49" t="n">
        <v>103.0310573181228</v>
      </c>
    </row>
    <row r="198">
      <c r="A198" s="44" t="inlineStr">
        <is>
          <t>TL Cinsi Degisken Faizli Kuponlu Senetler</t>
        </is>
      </c>
      <c r="B198" s="44" t="n">
        <v>2000</v>
      </c>
      <c r="C198" s="44" t="inlineStr">
        <is>
          <t>TRT230102T18</t>
        </is>
      </c>
      <c r="D198" s="44" t="inlineStr">
        <is>
          <t>nan</t>
        </is>
      </c>
      <c r="E198" s="44" t="inlineStr">
        <is>
          <t>nan</t>
        </is>
      </c>
      <c r="F198" s="44" t="n"/>
      <c r="G198" s="44" t="n"/>
      <c r="H198" s="15" t="n"/>
      <c r="I198" s="45" t="n">
        <v>1546100</v>
      </c>
      <c r="J198" s="45" t="n"/>
      <c r="K198" s="45" t="n">
        <v>304500</v>
      </c>
      <c r="L198" s="45" t="n">
        <v>306137.02</v>
      </c>
      <c r="M198" s="45" t="n">
        <v>30382.53502589298</v>
      </c>
      <c r="N198" s="45" t="n">
        <v>30546</v>
      </c>
      <c r="O198" s="45" t="n">
        <v>0</v>
      </c>
      <c r="P198" s="45" t="n">
        <v>0</v>
      </c>
      <c r="Q198" s="45" t="n"/>
      <c r="R198" s="45" t="n"/>
      <c r="S198" s="45" t="n">
        <v>334882.535025893</v>
      </c>
      <c r="T198" s="45" t="n">
        <v>336683.02</v>
      </c>
      <c r="U198" s="15" t="n">
        <v>9.411999999999999</v>
      </c>
      <c r="V198" s="15" t="n">
        <v>43.30449968305123</v>
      </c>
      <c r="W198" s="49" t="n">
        <v>100.5376091954023</v>
      </c>
    </row>
    <row r="199">
      <c r="A199" s="44" t="inlineStr">
        <is>
          <t>TL Cinsi Degisken Faizli Kuponlu Senetler</t>
        </is>
      </c>
      <c r="B199" s="44" t="n">
        <v>2000</v>
      </c>
      <c r="C199" s="44" t="inlineStr">
        <is>
          <t>TRT150502T14</t>
        </is>
      </c>
      <c r="D199" s="44" t="inlineStr">
        <is>
          <t>nan</t>
        </is>
      </c>
      <c r="E199" s="44" t="inlineStr">
        <is>
          <t>nan</t>
        </is>
      </c>
      <c r="F199" s="44" t="n"/>
      <c r="G199" s="44" t="n"/>
      <c r="H199" s="15" t="n"/>
      <c r="I199" s="45" t="n">
        <v>1772787.3</v>
      </c>
      <c r="J199" s="45" t="n"/>
      <c r="K199" s="45" t="n">
        <v>767235</v>
      </c>
      <c r="L199" s="45" t="n">
        <v>759533.063</v>
      </c>
      <c r="M199" s="45" t="n">
        <v>538717.9440640927</v>
      </c>
      <c r="N199" s="45" t="n">
        <v>533309</v>
      </c>
      <c r="O199" s="45" t="n">
        <v>250195.1750652427</v>
      </c>
      <c r="P199" s="45" t="n">
        <v>247683.575</v>
      </c>
      <c r="Q199" s="45" t="n"/>
      <c r="R199" s="45" t="n"/>
      <c r="S199" s="45" t="n">
        <v>1556148.119129336</v>
      </c>
      <c r="T199" s="45" t="n">
        <v>1540525.638</v>
      </c>
      <c r="U199" s="15" t="n">
        <v>9.948</v>
      </c>
      <c r="V199" s="15" t="n">
        <v>46.1333482485398</v>
      </c>
      <c r="W199" s="49" t="n">
        <v>98.99614368479018</v>
      </c>
    </row>
    <row r="200">
      <c r="A200" s="44" t="inlineStr">
        <is>
          <t>TL Cinsi Degisken Faizli Kuponlu Senetler</t>
        </is>
      </c>
      <c r="B200" s="44" t="n">
        <v>2000</v>
      </c>
      <c r="C200" s="44" t="inlineStr">
        <is>
          <t>TRT150502T14</t>
        </is>
      </c>
      <c r="D200" s="44" t="inlineStr">
        <is>
          <t>nan</t>
        </is>
      </c>
      <c r="E200" s="44" t="inlineStr">
        <is>
          <t>nan</t>
        </is>
      </c>
      <c r="F200" s="44" t="n"/>
      <c r="G200" s="44" t="n"/>
      <c r="H200" s="15" t="n"/>
      <c r="I200" s="45" t="n">
        <v>469900</v>
      </c>
      <c r="J200" s="45" t="n"/>
      <c r="K200" s="45" t="n">
        <v>252200</v>
      </c>
      <c r="L200" s="45" t="n">
        <v>248158.029</v>
      </c>
      <c r="M200" s="45" t="n">
        <v>25407.2972823414</v>
      </c>
      <c r="N200" s="45" t="n">
        <v>25000</v>
      </c>
      <c r="O200" s="45" t="n">
        <v>27942.93557111908</v>
      </c>
      <c r="P200" s="45" t="n">
        <v>27495</v>
      </c>
      <c r="Q200" s="45" t="n"/>
      <c r="R200" s="45" t="n"/>
      <c r="S200" s="45" t="n">
        <v>305550.2328534605</v>
      </c>
      <c r="T200" s="45" t="n">
        <v>300653.029</v>
      </c>
      <c r="U200" s="15" t="n">
        <v>10.492</v>
      </c>
      <c r="V200" s="15" t="n">
        <v>49.04703430700963</v>
      </c>
      <c r="W200" s="49" t="n">
        <v>98.3973152260111</v>
      </c>
    </row>
    <row r="201">
      <c r="A201" s="44" t="inlineStr">
        <is>
          <t>TL Cinsi Degisken Faizli Kuponlu Senetler</t>
        </is>
      </c>
      <c r="B201" s="44" t="n">
        <v>2000</v>
      </c>
      <c r="C201" s="44" t="inlineStr">
        <is>
          <t>TRT150502T14</t>
        </is>
      </c>
      <c r="D201" s="44" t="inlineStr">
        <is>
          <t>nan</t>
        </is>
      </c>
      <c r="E201" s="44" t="inlineStr">
        <is>
          <t>nan</t>
        </is>
      </c>
      <c r="F201" s="44" t="n"/>
      <c r="G201" s="44" t="n"/>
      <c r="H201" s="15" t="n"/>
      <c r="I201" s="45" t="n">
        <v>997000</v>
      </c>
      <c r="J201" s="45" t="n"/>
      <c r="K201" s="45" t="n">
        <v>177000</v>
      </c>
      <c r="L201" s="45" t="n">
        <v>183305.17</v>
      </c>
      <c r="M201" s="45" t="n">
        <v>166205.8853714983</v>
      </c>
      <c r="N201" s="45" t="n">
        <v>172166</v>
      </c>
      <c r="O201" s="45" t="n">
        <v>43452.12861699428</v>
      </c>
      <c r="P201" s="45" t="n">
        <v>44999.999</v>
      </c>
      <c r="Q201" s="45" t="n"/>
      <c r="R201" s="45" t="n"/>
      <c r="S201" s="45" t="n">
        <v>386658.0139884925</v>
      </c>
      <c r="T201" s="45" t="n">
        <v>400471.1690000001</v>
      </c>
      <c r="U201" s="15" t="n">
        <v>10.071</v>
      </c>
      <c r="V201" s="15" t="n">
        <v>46.7883701341063</v>
      </c>
      <c r="W201" s="49" t="n">
        <v>103.5622429378531</v>
      </c>
    </row>
    <row r="202">
      <c r="A202" s="44" t="inlineStr">
        <is>
          <t>TL Cinsi Degisken Faizli Kuponlu Senetler</t>
        </is>
      </c>
      <c r="B202" s="44" t="n">
        <v>2000</v>
      </c>
      <c r="C202" s="44" t="inlineStr">
        <is>
          <t>TRT150502T14</t>
        </is>
      </c>
      <c r="D202" s="44" t="inlineStr">
        <is>
          <t>nan</t>
        </is>
      </c>
      <c r="E202" s="44" t="inlineStr">
        <is>
          <t>nan</t>
        </is>
      </c>
      <c r="F202" s="44" t="n"/>
      <c r="G202" s="44" t="n"/>
      <c r="H202" s="15" t="n"/>
      <c r="I202" s="45" t="n">
        <v>722400</v>
      </c>
      <c r="J202" s="45" t="n"/>
      <c r="K202" s="45" t="n">
        <v>81500</v>
      </c>
      <c r="L202" s="45" t="n">
        <v>81683.89</v>
      </c>
      <c r="M202" s="45" t="n">
        <v>137688.8199968072</v>
      </c>
      <c r="N202" s="45" t="n">
        <v>137999.99673</v>
      </c>
      <c r="O202" s="45" t="n">
        <v>24943.62740207132</v>
      </c>
      <c r="P202" s="45" t="n">
        <v>25000</v>
      </c>
      <c r="Q202" s="45" t="n"/>
      <c r="R202" s="45" t="n"/>
      <c r="S202" s="45" t="n">
        <v>244132.4473988785</v>
      </c>
      <c r="T202" s="45" t="n">
        <v>244683.88673</v>
      </c>
      <c r="U202" s="15" t="n">
        <v>8.017000000000001</v>
      </c>
      <c r="V202" s="15" t="n">
        <v>36.13457664349855</v>
      </c>
      <c r="W202" s="49" t="n">
        <v>100.226</v>
      </c>
    </row>
    <row r="203">
      <c r="A203" s="44" t="inlineStr">
        <is>
          <t>TL Cinsi Degisken Faizli Kuponlu Senetler</t>
        </is>
      </c>
      <c r="B203" s="44" t="n">
        <v>2000</v>
      </c>
      <c r="C203" s="44" t="inlineStr">
        <is>
          <t>TRT150502T14</t>
        </is>
      </c>
      <c r="D203" s="44" t="inlineStr">
        <is>
          <t>nan</t>
        </is>
      </c>
      <c r="E203" s="44" t="inlineStr">
        <is>
          <t>nan</t>
        </is>
      </c>
      <c r="F203" s="44" t="n"/>
      <c r="G203" s="44" t="n"/>
      <c r="H203" s="15" t="n"/>
      <c r="I203" s="45" t="n">
        <v>246143</v>
      </c>
      <c r="J203" s="45" t="n"/>
      <c r="K203" s="45" t="n">
        <v>161143</v>
      </c>
      <c r="L203" s="45" t="n">
        <v>151396.211</v>
      </c>
      <c r="M203" s="45" t="n">
        <v>79508.39999999999</v>
      </c>
      <c r="N203" s="45" t="n">
        <v>81000</v>
      </c>
      <c r="O203" s="45" t="n">
        <v>0</v>
      </c>
      <c r="P203" s="45" t="n">
        <v>0</v>
      </c>
      <c r="Q203" s="45" t="n"/>
      <c r="R203" s="45" t="n"/>
      <c r="S203" s="45" t="n">
        <v>240651.4</v>
      </c>
      <c r="T203" s="45" t="n">
        <v>232396.211</v>
      </c>
      <c r="U203" s="15" t="n">
        <v>11.434</v>
      </c>
      <c r="V203" s="15" t="n">
        <v>54.19520915258171</v>
      </c>
      <c r="W203" s="49" t="n">
        <v>93.95146608912582</v>
      </c>
    </row>
    <row r="204">
      <c r="A204" s="44" t="inlineStr">
        <is>
          <t>TL Cinsi Degisken Faizli Kuponlu Senetler</t>
        </is>
      </c>
      <c r="B204" s="44" t="n">
        <v>1999</v>
      </c>
      <c r="C204" s="44" t="inlineStr">
        <is>
          <t>TRT060101T10</t>
        </is>
      </c>
      <c r="D204" s="44" t="inlineStr">
        <is>
          <t>nan</t>
        </is>
      </c>
      <c r="E204" s="44" t="inlineStr">
        <is>
          <t>nan</t>
        </is>
      </c>
      <c r="F204" s="44" t="n"/>
      <c r="G204" s="44" t="n"/>
      <c r="H204" s="15" t="n"/>
      <c r="I204" s="45" t="n">
        <v>750415</v>
      </c>
      <c r="J204" s="45" t="n"/>
      <c r="K204" s="45" t="n">
        <v>417753</v>
      </c>
      <c r="L204" s="45" t="n">
        <v>400980.21705</v>
      </c>
      <c r="M204" s="45" t="n"/>
      <c r="N204" s="45" t="n"/>
      <c r="O204" s="45" t="n"/>
      <c r="P204" s="45" t="n"/>
      <c r="Q204" s="45" t="n"/>
      <c r="R204" s="45" t="n"/>
      <c r="S204" s="45" t="n">
        <v>491722.8911288222</v>
      </c>
      <c r="T204" s="45" t="n">
        <v>471980.21705</v>
      </c>
      <c r="U204" s="15" t="n">
        <v>23.146</v>
      </c>
      <c r="V204" s="15" t="n">
        <v>129.9753237982093</v>
      </c>
      <c r="W204" s="49" t="n">
        <v>95.985</v>
      </c>
    </row>
    <row r="205">
      <c r="A205" s="44" t="inlineStr">
        <is>
          <t>TL Cinsi Degisken Faizli Kuponlu Senetler</t>
        </is>
      </c>
      <c r="B205" s="44" t="n">
        <v>1999</v>
      </c>
      <c r="C205" s="44" t="inlineStr">
        <is>
          <t>TRT210201T10</t>
        </is>
      </c>
      <c r="D205" s="44" t="inlineStr">
        <is>
          <t>nan</t>
        </is>
      </c>
      <c r="E205" s="44" t="inlineStr">
        <is>
          <t>nan</t>
        </is>
      </c>
      <c r="F205" s="44" t="n"/>
      <c r="G205" s="44" t="n"/>
      <c r="H205" s="15" t="n"/>
      <c r="I205" s="45" t="n">
        <v>284096</v>
      </c>
      <c r="J205" s="45" t="n"/>
      <c r="K205" s="45" t="n">
        <v>78026</v>
      </c>
      <c r="L205" s="45" t="n">
        <v>76459.59843899999</v>
      </c>
      <c r="M205" s="45" t="n"/>
      <c r="N205" s="45" t="n"/>
      <c r="O205" s="45" t="n"/>
      <c r="P205" s="45" t="n"/>
      <c r="Q205" s="45" t="n"/>
      <c r="R205" s="45" t="n"/>
      <c r="S205" s="45" t="n">
        <v>79046.48665691397</v>
      </c>
      <c r="T205" s="45" t="n">
        <v>77459.59843899999</v>
      </c>
      <c r="U205" s="15" t="n">
        <v>22.563</v>
      </c>
      <c r="V205" s="15" t="n">
        <v>125.6511394813763</v>
      </c>
      <c r="W205" s="49" t="n">
        <v>97.992</v>
      </c>
    </row>
    <row r="206">
      <c r="A206" s="44" t="inlineStr">
        <is>
          <t>TL Cinsi Degisken Faizli Kuponlu Senetler</t>
        </is>
      </c>
      <c r="B206" s="44" t="n">
        <v>1999</v>
      </c>
      <c r="C206" s="44" t="inlineStr">
        <is>
          <t>TRT210301T19</t>
        </is>
      </c>
      <c r="D206" s="44" t="inlineStr">
        <is>
          <t>nan</t>
        </is>
      </c>
      <c r="E206" s="44" t="inlineStr">
        <is>
          <t>nan</t>
        </is>
      </c>
      <c r="F206" s="44" t="n"/>
      <c r="G206" s="44" t="n"/>
      <c r="H206" s="15" t="n"/>
      <c r="I206" s="45" t="n">
        <v>310752</v>
      </c>
      <c r="J206" s="45" t="n"/>
      <c r="K206" s="45" t="n">
        <v>70420</v>
      </c>
      <c r="L206" s="45" t="n">
        <v>70538.83975170454</v>
      </c>
      <c r="M206" s="45" t="n"/>
      <c r="N206" s="45" t="n"/>
      <c r="O206" s="45" t="n"/>
      <c r="P206" s="45" t="n"/>
      <c r="Q206" s="45" t="n"/>
      <c r="R206" s="45" t="n"/>
      <c r="S206" s="45" t="n">
        <v>70420</v>
      </c>
      <c r="T206" s="45" t="n">
        <v>70538.83975170454</v>
      </c>
      <c r="U206" s="15" t="n">
        <v>19.956</v>
      </c>
      <c r="V206" s="15" t="n">
        <v>107.0560392295154</v>
      </c>
      <c r="W206" s="49" t="n">
        <v>100.1687585227273</v>
      </c>
    </row>
    <row r="207">
      <c r="A207" s="44" t="inlineStr">
        <is>
          <t>TL Cinsi Degisken Faizli Kuponlu Senetler</t>
        </is>
      </c>
      <c r="B207" s="44" t="n">
        <v>1999</v>
      </c>
      <c r="C207" s="44" t="inlineStr">
        <is>
          <t>TRT060101T10</t>
        </is>
      </c>
      <c r="D207" s="44" t="inlineStr">
        <is>
          <t>nan</t>
        </is>
      </c>
      <c r="E207" s="44" t="inlineStr">
        <is>
          <t>nan</t>
        </is>
      </c>
      <c r="F207" s="44" t="n"/>
      <c r="G207" s="44" t="n"/>
      <c r="H207" s="15" t="n"/>
      <c r="I207" s="45" t="n">
        <v>522056.655</v>
      </c>
      <c r="J207" s="45" t="n"/>
      <c r="K207" s="45" t="n">
        <v>315179.155</v>
      </c>
      <c r="L207" s="45" t="n">
        <v>339037.491075</v>
      </c>
      <c r="M207" s="45" t="n"/>
      <c r="N207" s="45" t="n"/>
      <c r="O207" s="45" t="n"/>
      <c r="P207" s="45" t="n"/>
      <c r="Q207" s="45" t="n"/>
      <c r="R207" s="45" t="n"/>
      <c r="S207" s="45" t="n">
        <v>413156.4959623354</v>
      </c>
      <c r="T207" s="45" t="n">
        <v>444431.491075</v>
      </c>
      <c r="U207" s="15" t="n">
        <v>19.906</v>
      </c>
      <c r="V207" s="15" t="n">
        <v>106.7110350317977</v>
      </c>
      <c r="W207" s="49" t="n">
        <v>107.5697696679846</v>
      </c>
    </row>
    <row r="208">
      <c r="A208" s="44" t="inlineStr">
        <is>
          <t>TL Cinsi Degisken Faizli Kuponlu Senetler</t>
        </is>
      </c>
      <c r="B208" s="44" t="n">
        <v>1999</v>
      </c>
      <c r="C208" s="44" t="inlineStr">
        <is>
          <t>TRT210201T10</t>
        </is>
      </c>
      <c r="D208" s="44" t="inlineStr">
        <is>
          <t>nan</t>
        </is>
      </c>
      <c r="E208" s="44" t="inlineStr">
        <is>
          <t>nan</t>
        </is>
      </c>
      <c r="F208" s="44" t="n"/>
      <c r="G208" s="44" t="n"/>
      <c r="H208" s="15" t="n"/>
      <c r="I208" s="45" t="n">
        <v>267445.7</v>
      </c>
      <c r="J208" s="45" t="n"/>
      <c r="K208" s="45" t="n">
        <v>201695.7</v>
      </c>
      <c r="L208" s="45" t="n">
        <v>205975.247</v>
      </c>
      <c r="M208" s="45" t="n"/>
      <c r="N208" s="45" t="n"/>
      <c r="O208" s="45" t="n"/>
      <c r="P208" s="45" t="n"/>
      <c r="Q208" s="45" t="n"/>
      <c r="R208" s="45" t="n"/>
      <c r="S208" s="45" t="n">
        <v>219321.68</v>
      </c>
      <c r="T208" s="45" t="n">
        <v>223975.2122155056</v>
      </c>
      <c r="U208" s="15" t="n">
        <v>21.3886</v>
      </c>
      <c r="V208" s="15" t="n">
        <v>117.1258894644659</v>
      </c>
      <c r="W208" s="49" t="n">
        <v>102.1217839547397</v>
      </c>
    </row>
    <row r="209">
      <c r="A209" s="44" t="inlineStr">
        <is>
          <t>TL Cinsi Degisken Faizli Kuponlu Senetler</t>
        </is>
      </c>
      <c r="B209" s="44" t="n">
        <v>1999</v>
      </c>
      <c r="C209" s="44" t="inlineStr">
        <is>
          <t>TRT210301T19</t>
        </is>
      </c>
      <c r="D209" s="44" t="inlineStr">
        <is>
          <t>nan</t>
        </is>
      </c>
      <c r="E209" s="44" t="inlineStr">
        <is>
          <t>nan</t>
        </is>
      </c>
      <c r="F209" s="44" t="n"/>
      <c r="G209" s="44" t="n"/>
      <c r="H209" s="15" t="n"/>
      <c r="I209" s="45" t="n">
        <v>240330</v>
      </c>
      <c r="J209" s="45" t="n"/>
      <c r="K209" s="45" t="n">
        <v>169490</v>
      </c>
      <c r="L209" s="45" t="n">
        <v>154252.534399</v>
      </c>
      <c r="M209" s="45" t="n"/>
      <c r="N209" s="45" t="n"/>
      <c r="O209" s="45" t="n"/>
      <c r="P209" s="45" t="n"/>
      <c r="Q209" s="45" t="n"/>
      <c r="R209" s="45" t="n"/>
      <c r="S209" s="45" t="n">
        <v>169490</v>
      </c>
      <c r="T209" s="45" t="n">
        <v>154252.534399</v>
      </c>
      <c r="U209" s="15" t="n">
        <v>22.68</v>
      </c>
      <c r="V209" s="15" t="n">
        <v>126.5140103862297</v>
      </c>
      <c r="W209" s="49" t="n">
        <v>91.00981438373944</v>
      </c>
    </row>
    <row r="210">
      <c r="A210" s="44" t="inlineStr">
        <is>
          <t>TL Cinsi Degisken Faizli Kuponlu Senetler</t>
        </is>
      </c>
      <c r="B210" s="44" t="n">
        <v>1999</v>
      </c>
      <c r="C210" s="44" t="inlineStr">
        <is>
          <t>TRT060101T10</t>
        </is>
      </c>
      <c r="D210" s="44" t="inlineStr">
        <is>
          <t>nan</t>
        </is>
      </c>
      <c r="E210" s="44" t="inlineStr">
        <is>
          <t>nan</t>
        </is>
      </c>
      <c r="F210" s="44" t="n"/>
      <c r="G210" s="44" t="n"/>
      <c r="H210" s="15" t="n"/>
      <c r="I210" s="45" t="n">
        <v>404161.8</v>
      </c>
      <c r="J210" s="45" t="n"/>
      <c r="K210" s="45" t="n">
        <v>202300</v>
      </c>
      <c r="L210" s="45" t="n">
        <v>205739.4775</v>
      </c>
      <c r="M210" s="45" t="n"/>
      <c r="N210" s="45" t="n"/>
      <c r="O210" s="45" t="n"/>
      <c r="P210" s="45" t="n"/>
      <c r="Q210" s="45" t="n"/>
      <c r="R210" s="45" t="n"/>
      <c r="S210" s="45" t="n">
        <v>279065.975</v>
      </c>
      <c r="T210" s="45" t="n">
        <v>283810.6173234209</v>
      </c>
      <c r="U210" s="15" t="n">
        <v>21.47</v>
      </c>
      <c r="V210" s="15" t="n">
        <v>117.7088711605289</v>
      </c>
      <c r="W210" s="49" t="n">
        <v>101.7001866040534</v>
      </c>
    </row>
    <row r="211">
      <c r="A211" s="44" t="inlineStr">
        <is>
          <t>TL Cinsi Degisken Faizli Kuponlu Senetler</t>
        </is>
      </c>
      <c r="B211" s="44" t="n">
        <v>1999</v>
      </c>
      <c r="C211" s="44" t="inlineStr">
        <is>
          <t>TRT240702T11</t>
        </is>
      </c>
      <c r="D211" s="44" t="inlineStr">
        <is>
          <t>nan</t>
        </is>
      </c>
      <c r="E211" s="44" t="inlineStr">
        <is>
          <t>nan</t>
        </is>
      </c>
      <c r="F211" s="44" t="n"/>
      <c r="G211" s="44" t="n"/>
      <c r="H211" s="15" t="n"/>
      <c r="I211" s="45" t="n">
        <v>862945.5625</v>
      </c>
      <c r="J211" s="45" t="n"/>
      <c r="K211" s="45" t="n">
        <v>462930</v>
      </c>
      <c r="L211" s="45" t="n">
        <v>444519.145879</v>
      </c>
      <c r="M211" s="45" t="n"/>
      <c r="N211" s="45" t="n"/>
      <c r="O211" s="45" t="n"/>
      <c r="P211" s="45" t="n"/>
      <c r="Q211" s="45" t="n"/>
      <c r="R211" s="45" t="n"/>
      <c r="S211" s="45" t="n">
        <v>634763.8809658198</v>
      </c>
      <c r="T211" s="45" t="n">
        <v>609519.145879</v>
      </c>
      <c r="U211" s="15" t="n">
        <v>21.72</v>
      </c>
      <c r="V211" s="15" t="n">
        <v>119.5066969671706</v>
      </c>
      <c r="W211" s="49" t="n">
        <v>96.02297234549501</v>
      </c>
    </row>
    <row r="212">
      <c r="A212" s="44" t="inlineStr">
        <is>
          <t>TL Cinsi Degisken Faizli Kuponlu Senetler</t>
        </is>
      </c>
      <c r="B212" s="44" t="n">
        <v>1999</v>
      </c>
      <c r="C212" s="44" t="inlineStr">
        <is>
          <t>TRT140802T12</t>
        </is>
      </c>
      <c r="D212" s="44" t="inlineStr">
        <is>
          <t>nan</t>
        </is>
      </c>
      <c r="E212" s="44" t="inlineStr">
        <is>
          <t>nan</t>
        </is>
      </c>
      <c r="F212" s="44" t="n"/>
      <c r="G212" s="44" t="n"/>
      <c r="H212" s="15" t="n"/>
      <c r="I212" s="45" t="n">
        <v>876724.3</v>
      </c>
      <c r="J212" s="45" t="n"/>
      <c r="K212" s="45" t="n">
        <v>715884.3</v>
      </c>
      <c r="L212" s="45" t="n">
        <v>660233.3050000001</v>
      </c>
      <c r="M212" s="45" t="n"/>
      <c r="N212" s="45" t="n"/>
      <c r="O212" s="45" t="n"/>
      <c r="P212" s="45" t="n"/>
      <c r="Q212" s="45" t="n"/>
      <c r="R212" s="45" t="n"/>
      <c r="S212" s="45" t="n">
        <v>715884.3</v>
      </c>
      <c r="T212" s="45" t="n">
        <v>660233.3050000001</v>
      </c>
      <c r="U212" s="15" t="n">
        <v>22.83</v>
      </c>
      <c r="V212" s="15" t="n">
        <v>127.6238723922392</v>
      </c>
      <c r="W212" s="49" t="n">
        <v>92.2262584889765</v>
      </c>
    </row>
    <row r="213">
      <c r="A213" s="44" t="inlineStr">
        <is>
          <t>TL Cinsi Degisken Faizli Kuponlu Senetler</t>
        </is>
      </c>
      <c r="B213" s="44" t="n">
        <v>1999</v>
      </c>
      <c r="C213" s="44" t="inlineStr">
        <is>
          <t>TRT210201T10</t>
        </is>
      </c>
      <c r="D213" s="44" t="inlineStr">
        <is>
          <t>nan</t>
        </is>
      </c>
      <c r="E213" s="44" t="inlineStr">
        <is>
          <t>nan</t>
        </is>
      </c>
      <c r="F213" s="44" t="n"/>
      <c r="G213" s="44" t="n"/>
      <c r="H213" s="15" t="n"/>
      <c r="I213" s="45" t="n">
        <v>332007</v>
      </c>
      <c r="J213" s="45" t="n"/>
      <c r="K213" s="45" t="n">
        <v>136677</v>
      </c>
      <c r="L213" s="45" t="n">
        <v>135341.733</v>
      </c>
      <c r="M213" s="45" t="n"/>
      <c r="N213" s="45" t="n"/>
      <c r="O213" s="45" t="n"/>
      <c r="P213" s="45" t="n"/>
      <c r="Q213" s="45" t="n"/>
      <c r="R213" s="45" t="n"/>
      <c r="S213" s="45" t="n">
        <v>166506.375</v>
      </c>
      <c r="T213" s="45" t="n">
        <v>165341.732025</v>
      </c>
      <c r="U213" s="15" t="n">
        <v>22.311</v>
      </c>
      <c r="V213" s="15" t="n">
        <v>123.8010231726916</v>
      </c>
      <c r="W213" s="49" t="n">
        <v>99.023</v>
      </c>
    </row>
    <row r="214">
      <c r="A214" s="44" t="inlineStr">
        <is>
          <t>TL Cinsi Degisken Faizli Kuponlu Senetler</t>
        </is>
      </c>
      <c r="B214" s="44" t="n">
        <v>1999</v>
      </c>
      <c r="C214" s="44" t="inlineStr">
        <is>
          <t>TRT140802T12</t>
        </is>
      </c>
      <c r="D214" s="44" t="inlineStr">
        <is>
          <t>nan</t>
        </is>
      </c>
      <c r="E214" s="44" t="inlineStr">
        <is>
          <t>nan</t>
        </is>
      </c>
      <c r="F214" s="44" t="n"/>
      <c r="G214" s="44" t="n"/>
      <c r="H214" s="15" t="n"/>
      <c r="I214" s="45" t="n">
        <v>1207115</v>
      </c>
      <c r="J214" s="45" t="n"/>
      <c r="K214" s="45" t="n">
        <v>858645</v>
      </c>
      <c r="L214" s="45" t="n">
        <v>853065.133899</v>
      </c>
      <c r="M214" s="45" t="n"/>
      <c r="N214" s="45" t="n"/>
      <c r="O214" s="45" t="n"/>
      <c r="P214" s="45" t="n"/>
      <c r="Q214" s="45" t="n"/>
      <c r="R214" s="45" t="n"/>
      <c r="S214" s="45" t="n">
        <v>858645</v>
      </c>
      <c r="T214" s="45" t="n">
        <v>853065.133899</v>
      </c>
      <c r="U214" s="15" t="n">
        <v>22.537</v>
      </c>
      <c r="V214" s="15" t="n">
        <v>125.4597256611594</v>
      </c>
      <c r="W214" s="49" t="n">
        <v>99.3501544758311</v>
      </c>
    </row>
    <row r="215">
      <c r="A215" s="44" t="inlineStr">
        <is>
          <t>TL Cinsi Degisken Faizli Kuponlu Senetler</t>
        </is>
      </c>
      <c r="B215" s="44" t="n">
        <v>1999</v>
      </c>
      <c r="C215" s="44" t="inlineStr">
        <is>
          <t>TRT210301T19</t>
        </is>
      </c>
      <c r="D215" s="44" t="inlineStr">
        <is>
          <t>nan</t>
        </is>
      </c>
      <c r="E215" s="44" t="inlineStr">
        <is>
          <t>nan</t>
        </is>
      </c>
      <c r="F215" s="44" t="n"/>
      <c r="G215" s="44" t="n"/>
      <c r="H215" s="15" t="n"/>
      <c r="I215" s="45" t="n">
        <v>672068</v>
      </c>
      <c r="J215" s="45" t="n"/>
      <c r="K215" s="45" t="n">
        <v>159340</v>
      </c>
      <c r="L215" s="45" t="n">
        <v>164085.203599</v>
      </c>
      <c r="M215" s="45" t="n"/>
      <c r="N215" s="45" t="n"/>
      <c r="O215" s="45" t="n"/>
      <c r="P215" s="45" t="n"/>
      <c r="Q215" s="45" t="n"/>
      <c r="R215" s="45" t="n"/>
      <c r="S215" s="45" t="n">
        <v>268549</v>
      </c>
      <c r="T215" s="45" t="n">
        <v>278085.202429</v>
      </c>
      <c r="U215" s="15" t="n">
        <v>19.124</v>
      </c>
      <c r="V215" s="15" t="n">
        <v>101.3710672090055</v>
      </c>
      <c r="W215" s="49" t="n">
        <v>102.9780366505586</v>
      </c>
    </row>
    <row r="216">
      <c r="A216" s="44" t="inlineStr">
        <is>
          <t>TL Cinsi Degisken Faizli Kuponlu Senetler</t>
        </is>
      </c>
      <c r="B216" s="44" t="n">
        <v>1999</v>
      </c>
      <c r="C216" s="44" t="inlineStr">
        <is>
          <t>TRT031001T12</t>
        </is>
      </c>
      <c r="D216" s="44" t="inlineStr">
        <is>
          <t>nan</t>
        </is>
      </c>
      <c r="E216" s="44" t="inlineStr">
        <is>
          <t>nan</t>
        </is>
      </c>
      <c r="F216" s="44" t="n"/>
      <c r="G216" s="44" t="n"/>
      <c r="H216" s="15" t="n"/>
      <c r="I216" s="45" t="n">
        <v>1427540</v>
      </c>
      <c r="J216" s="45" t="n"/>
      <c r="K216" s="45" t="n">
        <v>879475</v>
      </c>
      <c r="L216" s="45" t="n">
        <v>812527.432549</v>
      </c>
      <c r="M216" s="45" t="n"/>
      <c r="N216" s="45" t="n"/>
      <c r="O216" s="45" t="n"/>
      <c r="P216" s="45" t="n"/>
      <c r="Q216" s="45" t="n"/>
      <c r="R216" s="45" t="n"/>
      <c r="S216" s="45" t="n">
        <v>971478.502563148</v>
      </c>
      <c r="T216" s="45" t="n">
        <v>897527.426549</v>
      </c>
      <c r="U216" s="15" t="n">
        <v>19.982</v>
      </c>
      <c r="V216" s="15" t="n">
        <v>107.2356119908007</v>
      </c>
      <c r="W216" s="49" t="n">
        <v>92.38778049961626</v>
      </c>
    </row>
    <row r="217">
      <c r="A217" s="44" t="inlineStr">
        <is>
          <t>TL Cinsi Degisken Faizli Kuponlu Senetler</t>
        </is>
      </c>
      <c r="B217" s="44" t="n">
        <v>1999</v>
      </c>
      <c r="C217" s="44" t="inlineStr">
        <is>
          <t>TRT140802T12</t>
        </is>
      </c>
      <c r="D217" s="44" t="inlineStr">
        <is>
          <t>nan</t>
        </is>
      </c>
      <c r="E217" s="44" t="inlineStr">
        <is>
          <t>nan</t>
        </is>
      </c>
      <c r="F217" s="44" t="n"/>
      <c r="G217" s="44" t="n"/>
      <c r="H217" s="15" t="n"/>
      <c r="I217" s="45" t="n">
        <v>958070.5</v>
      </c>
      <c r="J217" s="45" t="n"/>
      <c r="K217" s="45" t="n">
        <v>397645.5</v>
      </c>
      <c r="L217" s="45" t="n">
        <v>413743.858564</v>
      </c>
      <c r="M217" s="45" t="n"/>
      <c r="N217" s="45" t="n"/>
      <c r="O217" s="45" t="n"/>
      <c r="P217" s="45" t="n"/>
      <c r="Q217" s="45" t="n"/>
      <c r="R217" s="45" t="n"/>
      <c r="S217" s="45" t="n">
        <v>402450.9550148506</v>
      </c>
      <c r="T217" s="45" t="n">
        <v>418743.858564</v>
      </c>
      <c r="U217" s="15" t="n">
        <v>22.558</v>
      </c>
      <c r="V217" s="15" t="n">
        <v>125.6143196692661</v>
      </c>
      <c r="W217" s="49" t="n">
        <v>104.0484196511717</v>
      </c>
    </row>
    <row r="218">
      <c r="A218" s="44" t="inlineStr">
        <is>
          <t>TL Cinsi Degisken Faizli Kuponlu Senetler</t>
        </is>
      </c>
      <c r="B218" s="44" t="n">
        <v>1999</v>
      </c>
      <c r="C218" s="44" t="inlineStr">
        <is>
          <t>TRT240702T11</t>
        </is>
      </c>
      <c r="D218" s="44" t="inlineStr">
        <is>
          <t>nan</t>
        </is>
      </c>
      <c r="E218" s="44" t="inlineStr">
        <is>
          <t>nan</t>
        </is>
      </c>
      <c r="F218" s="44" t="n"/>
      <c r="G218" s="44" t="n"/>
      <c r="H218" s="15" t="n"/>
      <c r="I218" s="45" t="n">
        <v>1333998</v>
      </c>
      <c r="J218" s="45" t="n"/>
      <c r="K218" s="45" t="n">
        <v>301170</v>
      </c>
      <c r="L218" s="45" t="n">
        <v>290124.945</v>
      </c>
      <c r="M218" s="45" t="n"/>
      <c r="N218" s="45" t="n"/>
      <c r="O218" s="45" t="n"/>
      <c r="P218" s="45" t="n"/>
      <c r="Q218" s="45" t="n"/>
      <c r="R218" s="45" t="n"/>
      <c r="S218" s="45" t="n">
        <v>362878.070810664</v>
      </c>
      <c r="T218" s="45" t="n">
        <v>349569.945</v>
      </c>
      <c r="U218" s="15" t="n">
        <v>21.152</v>
      </c>
      <c r="V218" s="15" t="n">
        <v>115.4380213822328</v>
      </c>
      <c r="W218" s="49" t="n">
        <v>96.3326177906166</v>
      </c>
    </row>
    <row r="219">
      <c r="A219" s="44" t="inlineStr">
        <is>
          <t>TL Cinsi Degisken Faizli Kuponlu Senetler</t>
        </is>
      </c>
      <c r="B219" s="44" t="n">
        <v>1999</v>
      </c>
      <c r="C219" s="44" t="inlineStr">
        <is>
          <t>TRT031001T12</t>
        </is>
      </c>
      <c r="D219" s="44" t="inlineStr">
        <is>
          <t>nan</t>
        </is>
      </c>
      <c r="E219" s="44" t="inlineStr">
        <is>
          <t>nan</t>
        </is>
      </c>
      <c r="F219" s="44" t="n"/>
      <c r="G219" s="44" t="n"/>
      <c r="H219" s="15" t="n"/>
      <c r="I219" s="45" t="n">
        <v>2109885.35</v>
      </c>
      <c r="J219" s="45" t="n"/>
      <c r="K219" s="45" t="n">
        <v>613211.6</v>
      </c>
      <c r="L219" s="45" t="n">
        <v>687625.6311689999</v>
      </c>
      <c r="M219" s="45" t="n"/>
      <c r="N219" s="45" t="n"/>
      <c r="O219" s="45" t="n"/>
      <c r="P219" s="45" t="n"/>
      <c r="Q219" s="45" t="n"/>
      <c r="R219" s="45" t="n"/>
      <c r="S219" s="45" t="n">
        <v>961452.2563886803</v>
      </c>
      <c r="T219" s="45" t="n">
        <v>1078124.626169</v>
      </c>
      <c r="U219" s="15" t="n">
        <v>16.363</v>
      </c>
      <c r="V219" s="15" t="n">
        <v>83.34101770546323</v>
      </c>
      <c r="W219" s="49" t="n">
        <v>112.1351310329094</v>
      </c>
    </row>
    <row r="220">
      <c r="A220" s="44" t="inlineStr">
        <is>
          <t>TL Cinsi Degisken Faizli Kuponlu Senetler</t>
        </is>
      </c>
      <c r="B220" s="44" t="n">
        <v>1999</v>
      </c>
      <c r="C220" s="44" t="inlineStr">
        <is>
          <t>TRT240702T11</t>
        </is>
      </c>
      <c r="D220" s="44" t="inlineStr">
        <is>
          <t>nan</t>
        </is>
      </c>
      <c r="E220" s="44" t="inlineStr">
        <is>
          <t>nan</t>
        </is>
      </c>
      <c r="F220" s="44" t="n"/>
      <c r="G220" s="44" t="n"/>
      <c r="H220" s="15" t="n"/>
      <c r="I220" s="45" t="n">
        <v>2416843</v>
      </c>
      <c r="J220" s="45" t="n"/>
      <c r="K220" s="45" t="n">
        <v>761320</v>
      </c>
      <c r="L220" s="45" t="n">
        <v>794433.208</v>
      </c>
      <c r="M220" s="45" t="n"/>
      <c r="N220" s="45" t="n"/>
      <c r="O220" s="45" t="n"/>
      <c r="P220" s="45" t="n"/>
      <c r="Q220" s="45" t="n"/>
      <c r="R220" s="45" t="n"/>
      <c r="S220" s="45" t="n">
        <v>831372.0649999999</v>
      </c>
      <c r="T220" s="45" t="n">
        <v>869049.203</v>
      </c>
      <c r="U220" s="15" t="n">
        <v>20.27</v>
      </c>
      <c r="V220" s="15" t="n">
        <v>109.2325480131545</v>
      </c>
      <c r="W220" s="49" t="n">
        <v>104.3494467503809</v>
      </c>
    </row>
  </sheetData>
  <mergeCells count="8">
    <mergeCell ref="Q1:R1"/>
    <mergeCell ref="K1:L1"/>
    <mergeCell ref="S1:T1"/>
    <mergeCell ref="U1:V1"/>
    <mergeCell ref="O1:P1"/>
    <mergeCell ref="A1:H1"/>
    <mergeCell ref="M1:N1"/>
    <mergeCell ref="I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M3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50" t="inlineStr">
        <is>
          <t>1. Yıl Bazlı Genel Özet</t>
        </is>
      </c>
    </row>
    <row r="2">
      <c r="A2" s="51" t="inlineStr">
        <is>
          <t>Metrik</t>
        </is>
      </c>
      <c r="B2" s="51" t="n">
        <v>2023</v>
      </c>
      <c r="C2" s="51" t="n">
        <v>2024</v>
      </c>
      <c r="D2" s="51" t="n">
        <v>2025</v>
      </c>
      <c r="E2" s="51" t="n">
        <v>2026</v>
      </c>
      <c r="F2" s="51" t="inlineStr">
        <is>
          <t>2025→2026 Değişim</t>
        </is>
      </c>
    </row>
    <row r="3">
      <c r="A3" s="52" t="inlineStr">
        <is>
          <t>İhale Sayısı</t>
        </is>
      </c>
      <c r="B3" s="14">
        <f>COUNTIF('Tüm İhaleler'!$B$3:$B$1646,B$2)</f>
        <v/>
      </c>
      <c r="C3" s="14">
        <f>COUNTIF('Tüm İhaleler'!$B$3:$B$1646,C$2)</f>
        <v/>
      </c>
      <c r="D3" s="14">
        <f>COUNTIF('Tüm İhaleler'!$B$3:$B$1646,D$2)</f>
        <v/>
      </c>
      <c r="E3" s="14">
        <f>COUNTIF('Tüm İhaleler'!$B$3:$B$1646,E$2)</f>
        <v/>
      </c>
      <c r="F3" s="53">
        <f>IFERROR((E3-D3)/ABS(D3),"")</f>
        <v/>
      </c>
    </row>
    <row r="4">
      <c r="A4" s="52" t="inlineStr">
        <is>
          <t>Toplam Borçlanma Net (Bin TL)</t>
        </is>
      </c>
      <c r="B4" s="14">
        <f>SUMIF('Tüm İhaleler'!$B$3:$B$1646,B$2,'Tüm İhaleler'!$T$3:$T$1646)</f>
        <v/>
      </c>
      <c r="C4" s="14">
        <f>SUMIF('Tüm İhaleler'!$B$3:$B$1646,C$2,'Tüm İhaleler'!$T$3:$T$1646)</f>
        <v/>
      </c>
      <c r="D4" s="14">
        <f>SUMIF('Tüm İhaleler'!$B$3:$B$1646,D$2,'Tüm İhaleler'!$T$3:$T$1646)</f>
        <v/>
      </c>
      <c r="E4" s="14">
        <f>SUMIF('Tüm İhaleler'!$B$3:$B$1646,E$2,'Tüm İhaleler'!$T$3:$T$1646)</f>
        <v/>
      </c>
      <c r="F4" s="53">
        <f>IFERROR((E4-D4)/ABS(D4),"")</f>
        <v/>
      </c>
    </row>
    <row r="5">
      <c r="A5" s="52" t="inlineStr">
        <is>
          <t>Ortalama Faiz (%) Yıllık Bileşik</t>
        </is>
      </c>
      <c r="B5" s="15">
        <f>IFERROR(AVERAGEIFS('Tüm İhaleler'!$V$3:$V$1646,'Tüm İhaleler'!$B$3:$B$1646,B$2,'Tüm İhaleler'!$V$3:$V$1646,"&lt;&gt;"),"")</f>
        <v/>
      </c>
      <c r="C5" s="15">
        <f>IFERROR(AVERAGEIFS('Tüm İhaleler'!$V$3:$V$1646,'Tüm İhaleler'!$B$3:$B$1646,C$2,'Tüm İhaleler'!$V$3:$V$1646,"&lt;&gt;"),"")</f>
        <v/>
      </c>
      <c r="D5" s="15">
        <f>IFERROR(AVERAGEIFS('Tüm İhaleler'!$V$3:$V$1646,'Tüm İhaleler'!$B$3:$B$1646,D$2,'Tüm İhaleler'!$V$3:$V$1646,"&lt;&gt;"),"")</f>
        <v/>
      </c>
      <c r="E5" s="15">
        <f>IFERROR(AVERAGEIFS('Tüm İhaleler'!$V$3:$V$1646,'Tüm İhaleler'!$B$3:$B$1646,E$2,'Tüm İhaleler'!$V$3:$V$1646,"&lt;&gt;"),"")</f>
        <v/>
      </c>
      <c r="F5" s="53">
        <f>IFERROR((E5-D5)/ABS(D5),"")</f>
        <v/>
      </c>
    </row>
    <row r="6">
      <c r="A6" s="52" t="inlineStr">
        <is>
          <t>Ortalama Vadesi (gün)</t>
        </is>
      </c>
      <c r="B6" s="14">
        <f>IFERROR(AVERAGEIFS('Tüm İhaleler'!$F$3:$F$1646,'Tüm İhaleler'!$B$3:$B$1646,B$2,'Tüm İhaleler'!$F$3:$F$1646,"&lt;&gt;"),"")</f>
        <v/>
      </c>
      <c r="C6" s="14">
        <f>IFERROR(AVERAGEIFS('Tüm İhaleler'!$F$3:$F$1646,'Tüm İhaleler'!$B$3:$B$1646,C$2,'Tüm İhaleler'!$F$3:$F$1646,"&lt;&gt;"),"")</f>
        <v/>
      </c>
      <c r="D6" s="14">
        <f>IFERROR(AVERAGEIFS('Tüm İhaleler'!$F$3:$F$1646,'Tüm İhaleler'!$B$3:$B$1646,D$2,'Tüm İhaleler'!$F$3:$F$1646,"&lt;&gt;"),"")</f>
        <v/>
      </c>
      <c r="E6" s="14">
        <f>IFERROR(AVERAGEIFS('Tüm İhaleler'!$F$3:$F$1646,'Tüm İhaleler'!$B$3:$B$1646,E$2,'Tüm İhaleler'!$F$3:$F$1646,"&lt;&gt;"),"")</f>
        <v/>
      </c>
      <c r="F6" s="53">
        <f>IFERROR((E6-D6)/ABS(D6),"")</f>
        <v/>
      </c>
    </row>
    <row r="7">
      <c r="A7" s="52" t="inlineStr">
        <is>
          <t>Ortalama İhraç Fiyatı</t>
        </is>
      </c>
      <c r="B7" s="49">
        <f>IFERROR(AVERAGEIFS('Tüm İhaleler'!$W$3:$W$1646,'Tüm İhaleler'!$B$3:$B$1646,B$2,'Tüm İhaleler'!$W$3:$W$1646,"&lt;&gt;"),"")</f>
        <v/>
      </c>
      <c r="C7" s="49">
        <f>IFERROR(AVERAGEIFS('Tüm İhaleler'!$W$3:$W$1646,'Tüm İhaleler'!$B$3:$B$1646,C$2,'Tüm İhaleler'!$W$3:$W$1646,"&lt;&gt;"),"")</f>
        <v/>
      </c>
      <c r="D7" s="49">
        <f>IFERROR(AVERAGEIFS('Tüm İhaleler'!$W$3:$W$1646,'Tüm İhaleler'!$B$3:$B$1646,D$2,'Tüm İhaleler'!$W$3:$W$1646,"&lt;&gt;"),"")</f>
        <v/>
      </c>
      <c r="E7" s="49">
        <f>IFERROR(AVERAGEIFS('Tüm İhaleler'!$W$3:$W$1646,'Tüm İhaleler'!$B$3:$B$1646,E$2,'Tüm İhaleler'!$W$3:$W$1646,"&lt;&gt;"),"")</f>
        <v/>
      </c>
      <c r="F7" s="53">
        <f>IFERROR((E7-D7)/ABS(D7),"")</f>
        <v/>
      </c>
    </row>
    <row r="8">
      <c r="A8" s="52" t="inlineStr">
        <is>
          <t>Teklif/Kabul Oranı (Nominal)</t>
        </is>
      </c>
      <c r="B8" s="48">
        <f>IFERROR(SUMIF('Tüm İhaleler'!$B$3:$B$1646,B$2,'Tüm İhaleler'!$I$3:$I$1646)/SUMIF('Tüm İhaleler'!$B$3:$B$1646,B$2,'Tüm İhaleler'!$K$3:$K$1646),"")</f>
        <v/>
      </c>
      <c r="C8" s="48">
        <f>IFERROR(SUMIF('Tüm İhaleler'!$B$3:$B$1646,C$2,'Tüm İhaleler'!$I$3:$I$1646)/SUMIF('Tüm İhaleler'!$B$3:$B$1646,C$2,'Tüm İhaleler'!$K$3:$K$1646),"")</f>
        <v/>
      </c>
      <c r="D8" s="48">
        <f>IFERROR(SUMIF('Tüm İhaleler'!$B$3:$B$1646,D$2,'Tüm İhaleler'!$I$3:$I$1646)/SUMIF('Tüm İhaleler'!$B$3:$B$1646,D$2,'Tüm İhaleler'!$K$3:$K$1646),"")</f>
        <v/>
      </c>
      <c r="E8" s="48">
        <f>IFERROR(SUMIF('Tüm İhaleler'!$B$3:$B$1646,E$2,'Tüm İhaleler'!$I$3:$I$1646)/SUMIF('Tüm İhaleler'!$B$3:$B$1646,E$2,'Tüm İhaleler'!$K$3:$K$1646),"")</f>
        <v/>
      </c>
      <c r="F8" s="53">
        <f>IFERROR((E8-D8)/ABS(D8),"")</f>
        <v/>
      </c>
    </row>
    <row r="9">
      <c r="A9" s="52" t="inlineStr">
        <is>
          <t>Toplam Teklif Nominal (Bin TL)</t>
        </is>
      </c>
      <c r="B9" s="14">
        <f>SUMIF('Tüm İhaleler'!$B$3:$B$1646,B$2,'Tüm İhaleler'!$I$3:$I$1646)</f>
        <v/>
      </c>
      <c r="C9" s="14">
        <f>SUMIF('Tüm İhaleler'!$B$3:$B$1646,C$2,'Tüm İhaleler'!$I$3:$I$1646)</f>
        <v/>
      </c>
      <c r="D9" s="14">
        <f>SUMIF('Tüm İhaleler'!$B$3:$B$1646,D$2,'Tüm İhaleler'!$I$3:$I$1646)</f>
        <v/>
      </c>
      <c r="E9" s="14">
        <f>SUMIF('Tüm İhaleler'!$B$3:$B$1646,E$2,'Tüm İhaleler'!$I$3:$I$1646)</f>
        <v/>
      </c>
      <c r="F9" s="53">
        <f>IFERROR((E9-D9)/ABS(D9),"")</f>
        <v/>
      </c>
    </row>
    <row r="10">
      <c r="A10" s="52" t="inlineStr">
        <is>
          <t>Toplam Kabul Nominal (Bin TL)</t>
        </is>
      </c>
      <c r="B10" s="14">
        <f>SUMIF('Tüm İhaleler'!$B$3:$B$1646,B$2,'Tüm İhaleler'!$K$3:$K$1646)</f>
        <v/>
      </c>
      <c r="C10" s="14">
        <f>SUMIF('Tüm İhaleler'!$B$3:$B$1646,C$2,'Tüm İhaleler'!$K$3:$K$1646)</f>
        <v/>
      </c>
      <c r="D10" s="14">
        <f>SUMIF('Tüm İhaleler'!$B$3:$B$1646,D$2,'Tüm İhaleler'!$K$3:$K$1646)</f>
        <v/>
      </c>
      <c r="E10" s="14">
        <f>SUMIF('Tüm İhaleler'!$B$3:$B$1646,E$2,'Tüm İhaleler'!$K$3:$K$1646)</f>
        <v/>
      </c>
      <c r="F10" s="53">
        <f>IFERROR((E10-D10)/ABS(D10),"")</f>
        <v/>
      </c>
    </row>
    <row r="11">
      <c r="A11" s="52" t="inlineStr">
        <is>
          <t>Ort. İhale Başına Borçlanma Net (Bin TL)</t>
        </is>
      </c>
      <c r="B11" s="14">
        <f>IFERROR(B4/B3,"")</f>
        <v/>
      </c>
      <c r="C11" s="14">
        <f>IFERROR(C4/C3,"")</f>
        <v/>
      </c>
      <c r="D11" s="14">
        <f>IFERROR(D4/D3,"")</f>
        <v/>
      </c>
      <c r="E11" s="14">
        <f>IFERROR(E4/E3,"")</f>
        <v/>
      </c>
      <c r="F11" s="53">
        <f>IFERROR((E11-D11)/ABS(D11),"")</f>
        <v/>
      </c>
    </row>
    <row r="14">
      <c r="A14" s="50" t="inlineStr">
        <is>
          <t>2. Kupon Türüne Göre Borçlanma Dağılımı (Toplam Satış Net, Bin TL)</t>
        </is>
      </c>
    </row>
    <row r="15">
      <c r="A15" s="54" t="inlineStr">
        <is>
          <t>Kupon Türü</t>
        </is>
      </c>
      <c r="B15" s="54" t="inlineStr">
        <is>
          <t>2023 Sayı</t>
        </is>
      </c>
      <c r="C15" s="54" t="inlineStr">
        <is>
          <t>2023 Net</t>
        </is>
      </c>
      <c r="D15" s="54" t="inlineStr">
        <is>
          <t>2023 Pay</t>
        </is>
      </c>
      <c r="E15" s="54" t="inlineStr">
        <is>
          <t>2024 Sayı</t>
        </is>
      </c>
      <c r="F15" s="54" t="inlineStr">
        <is>
          <t>2024 Net</t>
        </is>
      </c>
      <c r="G15" s="54" t="inlineStr">
        <is>
          <t>2024 Pay</t>
        </is>
      </c>
      <c r="H15" s="54" t="inlineStr">
        <is>
          <t>2025 Sayı</t>
        </is>
      </c>
      <c r="I15" s="54" t="inlineStr">
        <is>
          <t>2025 Net</t>
        </is>
      </c>
      <c r="J15" s="54" t="inlineStr">
        <is>
          <t>2025 Pay</t>
        </is>
      </c>
      <c r="K15" s="54" t="inlineStr">
        <is>
          <t>2026 Sayı</t>
        </is>
      </c>
      <c r="L15" s="54" t="inlineStr">
        <is>
          <t>2026 Net</t>
        </is>
      </c>
      <c r="M15" s="54" t="inlineStr">
        <is>
          <t>2026 Pay</t>
        </is>
      </c>
    </row>
    <row r="16">
      <c r="A16" s="52" t="inlineStr">
        <is>
          <t>İskontolu</t>
        </is>
      </c>
      <c r="B16" s="14">
        <f>COUNTIFS('Tüm İhaleler'!$B$3:$B$1646,2023,'Tüm İhaleler'!$A$3:$A$1646,"*Kuponsuz*")</f>
        <v/>
      </c>
      <c r="C16" s="14">
        <f>SUMIFS('Tüm İhaleler'!$T$3:$T$1646,'Tüm İhaleler'!$B$3:$B$1646,2023,'Tüm İhaleler'!$A$3:$A$1646,"*Kuponsuz*")</f>
        <v/>
      </c>
      <c r="D16" s="53">
        <f>IFERROR(C16/C22,"")</f>
        <v/>
      </c>
      <c r="E16" s="14">
        <f>COUNTIFS('Tüm İhaleler'!$B$3:$B$1646,2024,'Tüm İhaleler'!$A$3:$A$1646,"*Kuponsuz*")</f>
        <v/>
      </c>
      <c r="F16" s="14">
        <f>SUMIFS('Tüm İhaleler'!$T$3:$T$1646,'Tüm İhaleler'!$B$3:$B$1646,2024,'Tüm İhaleler'!$A$3:$A$1646,"*Kuponsuz*")</f>
        <v/>
      </c>
      <c r="G16" s="53">
        <f>IFERROR(F16/F22,"")</f>
        <v/>
      </c>
      <c r="H16" s="14">
        <f>COUNTIFS('Tüm İhaleler'!$B$3:$B$1646,2025,'Tüm İhaleler'!$A$3:$A$1646,"*Kuponsuz*")</f>
        <v/>
      </c>
      <c r="I16" s="14">
        <f>SUMIFS('Tüm İhaleler'!$T$3:$T$1646,'Tüm İhaleler'!$B$3:$B$1646,2025,'Tüm İhaleler'!$A$3:$A$1646,"*Kuponsuz*")</f>
        <v/>
      </c>
      <c r="J16" s="53">
        <f>IFERROR(I16/I22,"")</f>
        <v/>
      </c>
      <c r="K16" s="14">
        <f>COUNTIFS('Tüm İhaleler'!$B$3:$B$1646,2026,'Tüm İhaleler'!$A$3:$A$1646,"*Kuponsuz*")</f>
        <v/>
      </c>
      <c r="L16" s="14">
        <f>SUMIFS('Tüm İhaleler'!$T$3:$T$1646,'Tüm İhaleler'!$B$3:$B$1646,2026,'Tüm İhaleler'!$A$3:$A$1646,"*Kuponsuz*")</f>
        <v/>
      </c>
      <c r="M16" s="53">
        <f>IFERROR(L16/L22,"")</f>
        <v/>
      </c>
    </row>
    <row r="17">
      <c r="A17" s="52" t="inlineStr">
        <is>
          <t>Sabit Kuponlu</t>
        </is>
      </c>
      <c r="B17" s="14">
        <f>COUNTIFS('Tüm İhaleler'!$B$3:$B$1646,2023,'Tüm İhaleler'!$A$3:$A$1646,"*Sabit*")</f>
        <v/>
      </c>
      <c r="C17" s="14">
        <f>SUMIFS('Tüm İhaleler'!$T$3:$T$1646,'Tüm İhaleler'!$B$3:$B$1646,2023,'Tüm İhaleler'!$A$3:$A$1646,"*Sabit*")</f>
        <v/>
      </c>
      <c r="D17" s="53">
        <f>IFERROR(C17/C22,"")</f>
        <v/>
      </c>
      <c r="E17" s="14">
        <f>COUNTIFS('Tüm İhaleler'!$B$3:$B$1646,2024,'Tüm İhaleler'!$A$3:$A$1646,"*Sabit*")</f>
        <v/>
      </c>
      <c r="F17" s="14">
        <f>SUMIFS('Tüm İhaleler'!$T$3:$T$1646,'Tüm İhaleler'!$B$3:$B$1646,2024,'Tüm İhaleler'!$A$3:$A$1646,"*Sabit*")</f>
        <v/>
      </c>
      <c r="G17" s="53">
        <f>IFERROR(F17/F22,"")</f>
        <v/>
      </c>
      <c r="H17" s="14">
        <f>COUNTIFS('Tüm İhaleler'!$B$3:$B$1646,2025,'Tüm İhaleler'!$A$3:$A$1646,"*Sabit*")</f>
        <v/>
      </c>
      <c r="I17" s="14">
        <f>SUMIFS('Tüm İhaleler'!$T$3:$T$1646,'Tüm İhaleler'!$B$3:$B$1646,2025,'Tüm İhaleler'!$A$3:$A$1646,"*Sabit*")</f>
        <v/>
      </c>
      <c r="J17" s="53">
        <f>IFERROR(I17/I22,"")</f>
        <v/>
      </c>
      <c r="K17" s="14">
        <f>COUNTIFS('Tüm İhaleler'!$B$3:$B$1646,2026,'Tüm İhaleler'!$A$3:$A$1646,"*Sabit*")</f>
        <v/>
      </c>
      <c r="L17" s="14">
        <f>SUMIFS('Tüm İhaleler'!$T$3:$T$1646,'Tüm İhaleler'!$B$3:$B$1646,2026,'Tüm İhaleler'!$A$3:$A$1646,"*Sabit*")</f>
        <v/>
      </c>
      <c r="M17" s="53">
        <f>IFERROR(L17/L22,"")</f>
        <v/>
      </c>
    </row>
    <row r="18">
      <c r="A18" s="52" t="inlineStr">
        <is>
          <t>TÜFE Endeksli</t>
        </is>
      </c>
      <c r="B18" s="14">
        <f>COUNTIFS('Tüm İhaleler'!$B$3:$B$1646,2023,'Tüm İhaleler'!$A$3:$A$1646,"*TUFE*")</f>
        <v/>
      </c>
      <c r="C18" s="14">
        <f>SUMIFS('Tüm İhaleler'!$T$3:$T$1646,'Tüm İhaleler'!$B$3:$B$1646,2023,'Tüm İhaleler'!$A$3:$A$1646,"*TUFE*")</f>
        <v/>
      </c>
      <c r="D18" s="53">
        <f>IFERROR(C18/C22,"")</f>
        <v/>
      </c>
      <c r="E18" s="14">
        <f>COUNTIFS('Tüm İhaleler'!$B$3:$B$1646,2024,'Tüm İhaleler'!$A$3:$A$1646,"*TUFE*")</f>
        <v/>
      </c>
      <c r="F18" s="14">
        <f>SUMIFS('Tüm İhaleler'!$T$3:$T$1646,'Tüm İhaleler'!$B$3:$B$1646,2024,'Tüm İhaleler'!$A$3:$A$1646,"*TUFE*")</f>
        <v/>
      </c>
      <c r="G18" s="53">
        <f>IFERROR(F18/F22,"")</f>
        <v/>
      </c>
      <c r="H18" s="14">
        <f>COUNTIFS('Tüm İhaleler'!$B$3:$B$1646,2025,'Tüm İhaleler'!$A$3:$A$1646,"*TUFE*")</f>
        <v/>
      </c>
      <c r="I18" s="14">
        <f>SUMIFS('Tüm İhaleler'!$T$3:$T$1646,'Tüm İhaleler'!$B$3:$B$1646,2025,'Tüm İhaleler'!$A$3:$A$1646,"*TUFE*")</f>
        <v/>
      </c>
      <c r="J18" s="53">
        <f>IFERROR(I18/I22,"")</f>
        <v/>
      </c>
      <c r="K18" s="14">
        <f>COUNTIFS('Tüm İhaleler'!$B$3:$B$1646,2026,'Tüm İhaleler'!$A$3:$A$1646,"*TUFE*")</f>
        <v/>
      </c>
      <c r="L18" s="14">
        <f>SUMIFS('Tüm İhaleler'!$T$3:$T$1646,'Tüm İhaleler'!$B$3:$B$1646,2026,'Tüm İhaleler'!$A$3:$A$1646,"*TUFE*")</f>
        <v/>
      </c>
      <c r="M18" s="53">
        <f>IFERROR(L18/L22,"")</f>
        <v/>
      </c>
    </row>
    <row r="19">
      <c r="A19" s="52" t="inlineStr">
        <is>
          <t>Değişken Faizli (FRN)</t>
        </is>
      </c>
      <c r="B19" s="14">
        <f>COUNTIFS('Tüm İhaleler'!$B$3:$B$1646,2023,'Tüm İhaleler'!$A$3:$A$1646,"*Degisken*")</f>
        <v/>
      </c>
      <c r="C19" s="14">
        <f>SUMIFS('Tüm İhaleler'!$T$3:$T$1646,'Tüm İhaleler'!$B$3:$B$1646,2023,'Tüm İhaleler'!$A$3:$A$1646,"*Degisken*")</f>
        <v/>
      </c>
      <c r="D19" s="53">
        <f>IFERROR(C19/C22,"")</f>
        <v/>
      </c>
      <c r="E19" s="14">
        <f>COUNTIFS('Tüm İhaleler'!$B$3:$B$1646,2024,'Tüm İhaleler'!$A$3:$A$1646,"*Degisken*")</f>
        <v/>
      </c>
      <c r="F19" s="14">
        <f>SUMIFS('Tüm İhaleler'!$T$3:$T$1646,'Tüm İhaleler'!$B$3:$B$1646,2024,'Tüm İhaleler'!$A$3:$A$1646,"*Degisken*")</f>
        <v/>
      </c>
      <c r="G19" s="53">
        <f>IFERROR(F19/F22,"")</f>
        <v/>
      </c>
      <c r="H19" s="14">
        <f>COUNTIFS('Tüm İhaleler'!$B$3:$B$1646,2025,'Tüm İhaleler'!$A$3:$A$1646,"*Degisken*")</f>
        <v/>
      </c>
      <c r="I19" s="14">
        <f>SUMIFS('Tüm İhaleler'!$T$3:$T$1646,'Tüm İhaleler'!$B$3:$B$1646,2025,'Tüm İhaleler'!$A$3:$A$1646,"*Degisken*")</f>
        <v/>
      </c>
      <c r="J19" s="53">
        <f>IFERROR(I19/I22,"")</f>
        <v/>
      </c>
      <c r="K19" s="14">
        <f>COUNTIFS('Tüm İhaleler'!$B$3:$B$1646,2026,'Tüm İhaleler'!$A$3:$A$1646,"*Degisken*")</f>
        <v/>
      </c>
      <c r="L19" s="14">
        <f>SUMIFS('Tüm İhaleler'!$T$3:$T$1646,'Tüm İhaleler'!$B$3:$B$1646,2026,'Tüm İhaleler'!$A$3:$A$1646,"*Degisken*")</f>
        <v/>
      </c>
      <c r="M19" s="53">
        <f>IFERROR(L19/L22,"")</f>
        <v/>
      </c>
    </row>
    <row r="20">
      <c r="A20" s="52" t="inlineStr">
        <is>
          <t>TLREF Endeksli</t>
        </is>
      </c>
      <c r="B20" s="14">
        <f>COUNTIFS('Tüm İhaleler'!$B$3:$B$1646,2023,'Tüm İhaleler'!$A$3:$A$1646,"*TLREF*")</f>
        <v/>
      </c>
      <c r="C20" s="14">
        <f>SUMIFS('Tüm İhaleler'!$T$3:$T$1646,'Tüm İhaleler'!$B$3:$B$1646,2023,'Tüm İhaleler'!$A$3:$A$1646,"*TLREF*")</f>
        <v/>
      </c>
      <c r="D20" s="53">
        <f>IFERROR(C20/C22,"")</f>
        <v/>
      </c>
      <c r="E20" s="14">
        <f>COUNTIFS('Tüm İhaleler'!$B$3:$B$1646,2024,'Tüm İhaleler'!$A$3:$A$1646,"*TLREF*")</f>
        <v/>
      </c>
      <c r="F20" s="14">
        <f>SUMIFS('Tüm İhaleler'!$T$3:$T$1646,'Tüm İhaleler'!$B$3:$B$1646,2024,'Tüm İhaleler'!$A$3:$A$1646,"*TLREF*")</f>
        <v/>
      </c>
      <c r="G20" s="53">
        <f>IFERROR(F20/F22,"")</f>
        <v/>
      </c>
      <c r="H20" s="14">
        <f>COUNTIFS('Tüm İhaleler'!$B$3:$B$1646,2025,'Tüm İhaleler'!$A$3:$A$1646,"*TLREF*")</f>
        <v/>
      </c>
      <c r="I20" s="14">
        <f>SUMIFS('Tüm İhaleler'!$T$3:$T$1646,'Tüm İhaleler'!$B$3:$B$1646,2025,'Tüm İhaleler'!$A$3:$A$1646,"*TLREF*")</f>
        <v/>
      </c>
      <c r="J20" s="53">
        <f>IFERROR(I20/I22,"")</f>
        <v/>
      </c>
      <c r="K20" s="14">
        <f>COUNTIFS('Tüm İhaleler'!$B$3:$B$1646,2026,'Tüm İhaleler'!$A$3:$A$1646,"*TLREF*")</f>
        <v/>
      </c>
      <c r="L20" s="14">
        <f>SUMIFS('Tüm İhaleler'!$T$3:$T$1646,'Tüm İhaleler'!$B$3:$B$1646,2026,'Tüm İhaleler'!$A$3:$A$1646,"*TLREF*")</f>
        <v/>
      </c>
      <c r="M20" s="53">
        <f>IFERROR(L20/L22,"")</f>
        <v/>
      </c>
    </row>
    <row r="21">
      <c r="A21" s="52" t="inlineStr">
        <is>
          <t>Kira Sertifikası</t>
        </is>
      </c>
      <c r="B21" s="14">
        <f>COUNTIFS('Tüm İhaleler'!$B$3:$B$1646,2023,'Tüm İhaleler'!$A$3:$A$1646,"*Kira*")</f>
        <v/>
      </c>
      <c r="C21" s="14">
        <f>SUMIFS('Tüm İhaleler'!$T$3:$T$1646,'Tüm İhaleler'!$B$3:$B$1646,2023,'Tüm İhaleler'!$A$3:$A$1646,"*Kira*")</f>
        <v/>
      </c>
      <c r="D21" s="53">
        <f>IFERROR(C21/C22,"")</f>
        <v/>
      </c>
      <c r="E21" s="14">
        <f>COUNTIFS('Tüm İhaleler'!$B$3:$B$1646,2024,'Tüm İhaleler'!$A$3:$A$1646,"*Kira*")</f>
        <v/>
      </c>
      <c r="F21" s="14">
        <f>SUMIFS('Tüm İhaleler'!$T$3:$T$1646,'Tüm İhaleler'!$B$3:$B$1646,2024,'Tüm İhaleler'!$A$3:$A$1646,"*Kira*")</f>
        <v/>
      </c>
      <c r="G21" s="53">
        <f>IFERROR(F21/F22,"")</f>
        <v/>
      </c>
      <c r="H21" s="14">
        <f>COUNTIFS('Tüm İhaleler'!$B$3:$B$1646,2025,'Tüm İhaleler'!$A$3:$A$1646,"*Kira*")</f>
        <v/>
      </c>
      <c r="I21" s="14">
        <f>SUMIFS('Tüm İhaleler'!$T$3:$T$1646,'Tüm İhaleler'!$B$3:$B$1646,2025,'Tüm İhaleler'!$A$3:$A$1646,"*Kira*")</f>
        <v/>
      </c>
      <c r="J21" s="53">
        <f>IFERROR(I21/I22,"")</f>
        <v/>
      </c>
      <c r="K21" s="14">
        <f>COUNTIFS('Tüm İhaleler'!$B$3:$B$1646,2026,'Tüm İhaleler'!$A$3:$A$1646,"*Kira*")</f>
        <v/>
      </c>
      <c r="L21" s="14">
        <f>SUMIFS('Tüm İhaleler'!$T$3:$T$1646,'Tüm İhaleler'!$B$3:$B$1646,2026,'Tüm İhaleler'!$A$3:$A$1646,"*Kira*")</f>
        <v/>
      </c>
      <c r="M21" s="53">
        <f>IFERROR(L21/L22,"")</f>
        <v/>
      </c>
    </row>
    <row r="22">
      <c r="A22" s="55" t="inlineStr">
        <is>
          <t>TOPLAM</t>
        </is>
      </c>
      <c r="B22" s="56">
        <f>COUNTIF('Tüm İhaleler'!$B$3:$B$1646,2023)</f>
        <v/>
      </c>
      <c r="C22" s="56">
        <f>SUMIF('Tüm İhaleler'!$B$3:$B$1646,2023,'Tüm İhaleler'!$T$3:$T$1646)</f>
        <v/>
      </c>
      <c r="D22" s="57" t="n">
        <v>1</v>
      </c>
      <c r="E22" s="56">
        <f>COUNTIF('Tüm İhaleler'!$B$3:$B$1646,2024)</f>
        <v/>
      </c>
      <c r="F22" s="56">
        <f>SUMIF('Tüm İhaleler'!$B$3:$B$1646,2024,'Tüm İhaleler'!$T$3:$T$1646)</f>
        <v/>
      </c>
      <c r="G22" s="57" t="n">
        <v>1</v>
      </c>
      <c r="H22" s="56">
        <f>COUNTIF('Tüm İhaleler'!$B$3:$B$1646,2025)</f>
        <v/>
      </c>
      <c r="I22" s="56">
        <f>SUMIF('Tüm İhaleler'!$B$3:$B$1646,2025,'Tüm İhaleler'!$T$3:$T$1646)</f>
        <v/>
      </c>
      <c r="J22" s="57" t="n">
        <v>1</v>
      </c>
      <c r="K22" s="56">
        <f>COUNTIF('Tüm İhaleler'!$B$3:$B$1646,2026)</f>
        <v/>
      </c>
      <c r="L22" s="56">
        <f>SUMIF('Tüm İhaleler'!$B$3:$B$1646,2026,'Tüm İhaleler'!$T$3:$T$1646)</f>
        <v/>
      </c>
      <c r="M22" s="57" t="n">
        <v>1</v>
      </c>
    </row>
    <row r="25">
      <c r="A25" s="50" t="inlineStr">
        <is>
          <t>3. Kupon Türüne Göre Ortalama Faiz (%) Yıllık Bileşik</t>
        </is>
      </c>
    </row>
    <row r="26">
      <c r="A26" s="54" t="inlineStr">
        <is>
          <t>Kupon Türü</t>
        </is>
      </c>
      <c r="B26" s="54" t="inlineStr">
        <is>
          <t>2023 Ort. Faiz</t>
        </is>
      </c>
      <c r="C26" s="54" t="inlineStr">
        <is>
          <t>2023 Ort. Vade</t>
        </is>
      </c>
      <c r="D26" s="54" t="inlineStr">
        <is>
          <t>2024 Ort. Faiz</t>
        </is>
      </c>
      <c r="E26" s="54" t="inlineStr">
        <is>
          <t>2024 Ort. Vade</t>
        </is>
      </c>
      <c r="F26" s="54" t="inlineStr">
        <is>
          <t>2025 Ort. Faiz</t>
        </is>
      </c>
      <c r="G26" s="54" t="inlineStr">
        <is>
          <t>2025 Ort. Vade</t>
        </is>
      </c>
      <c r="H26" s="54" t="inlineStr">
        <is>
          <t>2026 Ort. Faiz</t>
        </is>
      </c>
      <c r="I26" s="54" t="inlineStr">
        <is>
          <t>2026 Ort. Vade</t>
        </is>
      </c>
    </row>
    <row r="27">
      <c r="A27" s="52" t="inlineStr">
        <is>
          <t>İskontolu</t>
        </is>
      </c>
      <c r="B27" s="15">
        <f>IFERROR(AVERAGEIFS('Tüm İhaleler'!$V$3:$V$1646,'Tüm İhaleler'!$B$3:$B$1646,2023,'Tüm İhaleler'!$A$3:$A$1646,"*Kuponsuz*",'Tüm İhaleler'!$V$3:$V$1646,"&lt;&gt;"),"")</f>
        <v/>
      </c>
      <c r="C27" s="14">
        <f>IFERROR(AVERAGEIFS('Tüm İhaleler'!$F$3:$F$1646,'Tüm İhaleler'!$B$3:$B$1646,2023,'Tüm İhaleler'!$A$3:$A$1646,"*Kuponsuz*",'Tüm İhaleler'!$F$3:$F$1646,"&lt;&gt;"),"")</f>
        <v/>
      </c>
      <c r="D27" s="15">
        <f>IFERROR(AVERAGEIFS('Tüm İhaleler'!$V$3:$V$1646,'Tüm İhaleler'!$B$3:$B$1646,2024,'Tüm İhaleler'!$A$3:$A$1646,"*Kuponsuz*",'Tüm İhaleler'!$V$3:$V$1646,"&lt;&gt;"),"")</f>
        <v/>
      </c>
      <c r="E27" s="14">
        <f>IFERROR(AVERAGEIFS('Tüm İhaleler'!$F$3:$F$1646,'Tüm İhaleler'!$B$3:$B$1646,2024,'Tüm İhaleler'!$A$3:$A$1646,"*Kuponsuz*",'Tüm İhaleler'!$F$3:$F$1646,"&lt;&gt;"),"")</f>
        <v/>
      </c>
      <c r="F27" s="15">
        <f>IFERROR(AVERAGEIFS('Tüm İhaleler'!$V$3:$V$1646,'Tüm İhaleler'!$B$3:$B$1646,2025,'Tüm İhaleler'!$A$3:$A$1646,"*Kuponsuz*",'Tüm İhaleler'!$V$3:$V$1646,"&lt;&gt;"),"")</f>
        <v/>
      </c>
      <c r="G27" s="14">
        <f>IFERROR(AVERAGEIFS('Tüm İhaleler'!$F$3:$F$1646,'Tüm İhaleler'!$B$3:$B$1646,2025,'Tüm İhaleler'!$A$3:$A$1646,"*Kuponsuz*",'Tüm İhaleler'!$F$3:$F$1646,"&lt;&gt;"),"")</f>
        <v/>
      </c>
      <c r="H27" s="15">
        <f>IFERROR(AVERAGEIFS('Tüm İhaleler'!$V$3:$V$1646,'Tüm İhaleler'!$B$3:$B$1646,2026,'Tüm İhaleler'!$A$3:$A$1646,"*Kuponsuz*",'Tüm İhaleler'!$V$3:$V$1646,"&lt;&gt;"),"")</f>
        <v/>
      </c>
      <c r="I27" s="14">
        <f>IFERROR(AVERAGEIFS('Tüm İhaleler'!$F$3:$F$1646,'Tüm İhaleler'!$B$3:$B$1646,2026,'Tüm İhaleler'!$A$3:$A$1646,"*Kuponsuz*",'Tüm İhaleler'!$F$3:$F$1646,"&lt;&gt;"),"")</f>
        <v/>
      </c>
    </row>
    <row r="28">
      <c r="A28" s="52" t="inlineStr">
        <is>
          <t>Sabit Kuponlu</t>
        </is>
      </c>
      <c r="B28" s="15">
        <f>IFERROR(AVERAGEIFS('Tüm İhaleler'!$V$3:$V$1646,'Tüm İhaleler'!$B$3:$B$1646,2023,'Tüm İhaleler'!$A$3:$A$1646,"*Sabit*",'Tüm İhaleler'!$V$3:$V$1646,"&lt;&gt;"),"")</f>
        <v/>
      </c>
      <c r="C28" s="14">
        <f>IFERROR(AVERAGEIFS('Tüm İhaleler'!$F$3:$F$1646,'Tüm İhaleler'!$B$3:$B$1646,2023,'Tüm İhaleler'!$A$3:$A$1646,"*Sabit*",'Tüm İhaleler'!$F$3:$F$1646,"&lt;&gt;"),"")</f>
        <v/>
      </c>
      <c r="D28" s="15">
        <f>IFERROR(AVERAGEIFS('Tüm İhaleler'!$V$3:$V$1646,'Tüm İhaleler'!$B$3:$B$1646,2024,'Tüm İhaleler'!$A$3:$A$1646,"*Sabit*",'Tüm İhaleler'!$V$3:$V$1646,"&lt;&gt;"),"")</f>
        <v/>
      </c>
      <c r="E28" s="14">
        <f>IFERROR(AVERAGEIFS('Tüm İhaleler'!$F$3:$F$1646,'Tüm İhaleler'!$B$3:$B$1646,2024,'Tüm İhaleler'!$A$3:$A$1646,"*Sabit*",'Tüm İhaleler'!$F$3:$F$1646,"&lt;&gt;"),"")</f>
        <v/>
      </c>
      <c r="F28" s="15">
        <f>IFERROR(AVERAGEIFS('Tüm İhaleler'!$V$3:$V$1646,'Tüm İhaleler'!$B$3:$B$1646,2025,'Tüm İhaleler'!$A$3:$A$1646,"*Sabit*",'Tüm İhaleler'!$V$3:$V$1646,"&lt;&gt;"),"")</f>
        <v/>
      </c>
      <c r="G28" s="14">
        <f>IFERROR(AVERAGEIFS('Tüm İhaleler'!$F$3:$F$1646,'Tüm İhaleler'!$B$3:$B$1646,2025,'Tüm İhaleler'!$A$3:$A$1646,"*Sabit*",'Tüm İhaleler'!$F$3:$F$1646,"&lt;&gt;"),"")</f>
        <v/>
      </c>
      <c r="H28" s="15">
        <f>IFERROR(AVERAGEIFS('Tüm İhaleler'!$V$3:$V$1646,'Tüm İhaleler'!$B$3:$B$1646,2026,'Tüm İhaleler'!$A$3:$A$1646,"*Sabit*",'Tüm İhaleler'!$V$3:$V$1646,"&lt;&gt;"),"")</f>
        <v/>
      </c>
      <c r="I28" s="14">
        <f>IFERROR(AVERAGEIFS('Tüm İhaleler'!$F$3:$F$1646,'Tüm İhaleler'!$B$3:$B$1646,2026,'Tüm İhaleler'!$A$3:$A$1646,"*Sabit*",'Tüm İhaleler'!$F$3:$F$1646,"&lt;&gt;"),"")</f>
        <v/>
      </c>
    </row>
    <row r="29">
      <c r="A29" s="52" t="inlineStr">
        <is>
          <t>TÜFE Endeksli</t>
        </is>
      </c>
      <c r="B29" s="15">
        <f>IFERROR(AVERAGEIFS('Tüm İhaleler'!$V$3:$V$1646,'Tüm İhaleler'!$B$3:$B$1646,2023,'Tüm İhaleler'!$A$3:$A$1646,"*TUFE*",'Tüm İhaleler'!$V$3:$V$1646,"&lt;&gt;"),"")</f>
        <v/>
      </c>
      <c r="C29" s="14">
        <f>IFERROR(AVERAGEIFS('Tüm İhaleler'!$F$3:$F$1646,'Tüm İhaleler'!$B$3:$B$1646,2023,'Tüm İhaleler'!$A$3:$A$1646,"*TUFE*",'Tüm İhaleler'!$F$3:$F$1646,"&lt;&gt;"),"")</f>
        <v/>
      </c>
      <c r="D29" s="15">
        <f>IFERROR(AVERAGEIFS('Tüm İhaleler'!$V$3:$V$1646,'Tüm İhaleler'!$B$3:$B$1646,2024,'Tüm İhaleler'!$A$3:$A$1646,"*TUFE*",'Tüm İhaleler'!$V$3:$V$1646,"&lt;&gt;"),"")</f>
        <v/>
      </c>
      <c r="E29" s="14">
        <f>IFERROR(AVERAGEIFS('Tüm İhaleler'!$F$3:$F$1646,'Tüm İhaleler'!$B$3:$B$1646,2024,'Tüm İhaleler'!$A$3:$A$1646,"*TUFE*",'Tüm İhaleler'!$F$3:$F$1646,"&lt;&gt;"),"")</f>
        <v/>
      </c>
      <c r="F29" s="15">
        <f>IFERROR(AVERAGEIFS('Tüm İhaleler'!$V$3:$V$1646,'Tüm İhaleler'!$B$3:$B$1646,2025,'Tüm İhaleler'!$A$3:$A$1646,"*TUFE*",'Tüm İhaleler'!$V$3:$V$1646,"&lt;&gt;"),"")</f>
        <v/>
      </c>
      <c r="G29" s="14">
        <f>IFERROR(AVERAGEIFS('Tüm İhaleler'!$F$3:$F$1646,'Tüm İhaleler'!$B$3:$B$1646,2025,'Tüm İhaleler'!$A$3:$A$1646,"*TUFE*",'Tüm İhaleler'!$F$3:$F$1646,"&lt;&gt;"),"")</f>
        <v/>
      </c>
      <c r="H29" s="15">
        <f>IFERROR(AVERAGEIFS('Tüm İhaleler'!$V$3:$V$1646,'Tüm İhaleler'!$B$3:$B$1646,2026,'Tüm İhaleler'!$A$3:$A$1646,"*TUFE*",'Tüm İhaleler'!$V$3:$V$1646,"&lt;&gt;"),"")</f>
        <v/>
      </c>
      <c r="I29" s="14">
        <f>IFERROR(AVERAGEIFS('Tüm İhaleler'!$F$3:$F$1646,'Tüm İhaleler'!$B$3:$B$1646,2026,'Tüm İhaleler'!$A$3:$A$1646,"*TUFE*",'Tüm İhaleler'!$F$3:$F$1646,"&lt;&gt;"),"")</f>
        <v/>
      </c>
    </row>
    <row r="30">
      <c r="A30" s="52" t="inlineStr">
        <is>
          <t>Değişken Faizli (FRN)</t>
        </is>
      </c>
      <c r="B30" s="15">
        <f>IFERROR(AVERAGEIFS('Tüm İhaleler'!$V$3:$V$1646,'Tüm İhaleler'!$B$3:$B$1646,2023,'Tüm İhaleler'!$A$3:$A$1646,"*Degisken*",'Tüm İhaleler'!$V$3:$V$1646,"&lt;&gt;"),"")</f>
        <v/>
      </c>
      <c r="C30" s="14">
        <f>IFERROR(AVERAGEIFS('Tüm İhaleler'!$F$3:$F$1646,'Tüm İhaleler'!$B$3:$B$1646,2023,'Tüm İhaleler'!$A$3:$A$1646,"*Degisken*",'Tüm İhaleler'!$F$3:$F$1646,"&lt;&gt;"),"")</f>
        <v/>
      </c>
      <c r="D30" s="15">
        <f>IFERROR(AVERAGEIFS('Tüm İhaleler'!$V$3:$V$1646,'Tüm İhaleler'!$B$3:$B$1646,2024,'Tüm İhaleler'!$A$3:$A$1646,"*Degisken*",'Tüm İhaleler'!$V$3:$V$1646,"&lt;&gt;"),"")</f>
        <v/>
      </c>
      <c r="E30" s="14">
        <f>IFERROR(AVERAGEIFS('Tüm İhaleler'!$F$3:$F$1646,'Tüm İhaleler'!$B$3:$B$1646,2024,'Tüm İhaleler'!$A$3:$A$1646,"*Degisken*",'Tüm İhaleler'!$F$3:$F$1646,"&lt;&gt;"),"")</f>
        <v/>
      </c>
      <c r="F30" s="15">
        <f>IFERROR(AVERAGEIFS('Tüm İhaleler'!$V$3:$V$1646,'Tüm İhaleler'!$B$3:$B$1646,2025,'Tüm İhaleler'!$A$3:$A$1646,"*Degisken*",'Tüm İhaleler'!$V$3:$V$1646,"&lt;&gt;"),"")</f>
        <v/>
      </c>
      <c r="G30" s="14">
        <f>IFERROR(AVERAGEIFS('Tüm İhaleler'!$F$3:$F$1646,'Tüm İhaleler'!$B$3:$B$1646,2025,'Tüm İhaleler'!$A$3:$A$1646,"*Degisken*",'Tüm İhaleler'!$F$3:$F$1646,"&lt;&gt;"),"")</f>
        <v/>
      </c>
      <c r="H30" s="15">
        <f>IFERROR(AVERAGEIFS('Tüm İhaleler'!$V$3:$V$1646,'Tüm İhaleler'!$B$3:$B$1646,2026,'Tüm İhaleler'!$A$3:$A$1646,"*Degisken*",'Tüm İhaleler'!$V$3:$V$1646,"&lt;&gt;"),"")</f>
        <v/>
      </c>
      <c r="I30" s="14">
        <f>IFERROR(AVERAGEIFS('Tüm İhaleler'!$F$3:$F$1646,'Tüm İhaleler'!$B$3:$B$1646,2026,'Tüm İhaleler'!$A$3:$A$1646,"*Degisken*",'Tüm İhaleler'!$F$3:$F$1646,"&lt;&gt;"),"")</f>
        <v/>
      </c>
    </row>
    <row r="31">
      <c r="A31" s="52" t="inlineStr">
        <is>
          <t>TLREF Endeksli</t>
        </is>
      </c>
      <c r="B31" s="15">
        <f>IFERROR(AVERAGEIFS('Tüm İhaleler'!$V$3:$V$1646,'Tüm İhaleler'!$B$3:$B$1646,2023,'Tüm İhaleler'!$A$3:$A$1646,"*TLREF*",'Tüm İhaleler'!$V$3:$V$1646,"&lt;&gt;"),"")</f>
        <v/>
      </c>
      <c r="C31" s="14">
        <f>IFERROR(AVERAGEIFS('Tüm İhaleler'!$F$3:$F$1646,'Tüm İhaleler'!$B$3:$B$1646,2023,'Tüm İhaleler'!$A$3:$A$1646,"*TLREF*",'Tüm İhaleler'!$F$3:$F$1646,"&lt;&gt;"),"")</f>
        <v/>
      </c>
      <c r="D31" s="15">
        <f>IFERROR(AVERAGEIFS('Tüm İhaleler'!$V$3:$V$1646,'Tüm İhaleler'!$B$3:$B$1646,2024,'Tüm İhaleler'!$A$3:$A$1646,"*TLREF*",'Tüm İhaleler'!$V$3:$V$1646,"&lt;&gt;"),"")</f>
        <v/>
      </c>
      <c r="E31" s="14">
        <f>IFERROR(AVERAGEIFS('Tüm İhaleler'!$F$3:$F$1646,'Tüm İhaleler'!$B$3:$B$1646,2024,'Tüm İhaleler'!$A$3:$A$1646,"*TLREF*",'Tüm İhaleler'!$F$3:$F$1646,"&lt;&gt;"),"")</f>
        <v/>
      </c>
      <c r="F31" s="15">
        <f>IFERROR(AVERAGEIFS('Tüm İhaleler'!$V$3:$V$1646,'Tüm İhaleler'!$B$3:$B$1646,2025,'Tüm İhaleler'!$A$3:$A$1646,"*TLREF*",'Tüm İhaleler'!$V$3:$V$1646,"&lt;&gt;"),"")</f>
        <v/>
      </c>
      <c r="G31" s="14">
        <f>IFERROR(AVERAGEIFS('Tüm İhaleler'!$F$3:$F$1646,'Tüm İhaleler'!$B$3:$B$1646,2025,'Tüm İhaleler'!$A$3:$A$1646,"*TLREF*",'Tüm İhaleler'!$F$3:$F$1646,"&lt;&gt;"),"")</f>
        <v/>
      </c>
      <c r="H31" s="15">
        <f>IFERROR(AVERAGEIFS('Tüm İhaleler'!$V$3:$V$1646,'Tüm İhaleler'!$B$3:$B$1646,2026,'Tüm İhaleler'!$A$3:$A$1646,"*TLREF*",'Tüm İhaleler'!$V$3:$V$1646,"&lt;&gt;"),"")</f>
        <v/>
      </c>
      <c r="I31" s="14">
        <f>IFERROR(AVERAGEIFS('Tüm İhaleler'!$F$3:$F$1646,'Tüm İhaleler'!$B$3:$B$1646,2026,'Tüm İhaleler'!$A$3:$A$1646,"*TLREF*",'Tüm İhaleler'!$F$3:$F$1646,"&lt;&gt;"),"")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Q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50" t="inlineStr">
        <is>
          <t>4. Aylık Borçlanma Dağılımı (Toplam Satış Net, Bin TL)</t>
        </is>
      </c>
    </row>
    <row r="2">
      <c r="A2" s="51" t="inlineStr">
        <is>
          <t>Ay</t>
        </is>
      </c>
      <c r="B2" s="51" t="inlineStr">
        <is>
          <t>2023 Sayı</t>
        </is>
      </c>
      <c r="C2" s="51" t="inlineStr">
        <is>
          <t>2023 Net</t>
        </is>
      </c>
      <c r="D2" s="51" t="inlineStr">
        <is>
          <t>2023 Faiz</t>
        </is>
      </c>
      <c r="E2" s="51" t="inlineStr">
        <is>
          <t>2024 Sayı</t>
        </is>
      </c>
      <c r="F2" s="51" t="inlineStr">
        <is>
          <t>2024 Net</t>
        </is>
      </c>
      <c r="G2" s="51" t="inlineStr">
        <is>
          <t>2024 Faiz</t>
        </is>
      </c>
      <c r="H2" s="51" t="inlineStr">
        <is>
          <t>2025 Sayı</t>
        </is>
      </c>
      <c r="I2" s="51" t="inlineStr">
        <is>
          <t>2025 Net</t>
        </is>
      </c>
      <c r="J2" s="51" t="inlineStr">
        <is>
          <t>2025 Faiz</t>
        </is>
      </c>
      <c r="K2" s="51" t="inlineStr">
        <is>
          <t>2026 Sayı</t>
        </is>
      </c>
      <c r="L2" s="51" t="inlineStr">
        <is>
          <t>2026 Net</t>
        </is>
      </c>
      <c r="M2" s="51" t="inlineStr">
        <is>
          <t>2026 Faiz</t>
        </is>
      </c>
    </row>
    <row r="3">
      <c r="A3" s="52" t="inlineStr">
        <is>
          <t>Ocak</t>
        </is>
      </c>
      <c r="B3" s="14">
        <f>COUNTIFS('Tüm İhaleler'!$B$3:$B$1646,2023,'Tüm İhaleler'!$D$3:$D$1646,"??.01.*")</f>
        <v/>
      </c>
      <c r="C3" s="14">
        <f>SUMIFS('Tüm İhaleler'!$T$3:$T$1646,'Tüm İhaleler'!$B$3:$B$1646,2023,'Tüm İhaleler'!$D$3:$D$1646,"??.01.*")</f>
        <v/>
      </c>
      <c r="D3" s="15">
        <f>IFERROR(AVERAGEIFS('Tüm İhaleler'!$V$3:$V$1646,'Tüm İhaleler'!$B$3:$B$1646,2023,'Tüm İhaleler'!$D$3:$D$1646,"??.01.*",'Tüm İhaleler'!$V$3:$V$1646,"&lt;&gt;"),"")</f>
        <v/>
      </c>
      <c r="E3" s="14">
        <f>COUNTIFS('Tüm İhaleler'!$B$3:$B$1646,2024,'Tüm İhaleler'!$D$3:$D$1646,"??.01.*")</f>
        <v/>
      </c>
      <c r="F3" s="14">
        <f>SUMIFS('Tüm İhaleler'!$T$3:$T$1646,'Tüm İhaleler'!$B$3:$B$1646,2024,'Tüm İhaleler'!$D$3:$D$1646,"??.01.*")</f>
        <v/>
      </c>
      <c r="G3" s="15">
        <f>IFERROR(AVERAGEIFS('Tüm İhaleler'!$V$3:$V$1646,'Tüm İhaleler'!$B$3:$B$1646,2024,'Tüm İhaleler'!$D$3:$D$1646,"??.01.*",'Tüm İhaleler'!$V$3:$V$1646,"&lt;&gt;"),"")</f>
        <v/>
      </c>
      <c r="H3" s="14">
        <f>COUNTIFS('Tüm İhaleler'!$B$3:$B$1646,2025,'Tüm İhaleler'!$D$3:$D$1646,"??.01.*")</f>
        <v/>
      </c>
      <c r="I3" s="14">
        <f>SUMIFS('Tüm İhaleler'!$T$3:$T$1646,'Tüm İhaleler'!$B$3:$B$1646,2025,'Tüm İhaleler'!$D$3:$D$1646,"??.01.*")</f>
        <v/>
      </c>
      <c r="J3" s="15">
        <f>IFERROR(AVERAGEIFS('Tüm İhaleler'!$V$3:$V$1646,'Tüm İhaleler'!$B$3:$B$1646,2025,'Tüm İhaleler'!$D$3:$D$1646,"??.01.*",'Tüm İhaleler'!$V$3:$V$1646,"&lt;&gt;"),"")</f>
        <v/>
      </c>
      <c r="K3" s="14">
        <f>COUNTIFS('Tüm İhaleler'!$B$3:$B$1646,2026,'Tüm İhaleler'!$D$3:$D$1646,"??.01.*")</f>
        <v/>
      </c>
      <c r="L3" s="14">
        <f>SUMIFS('Tüm İhaleler'!$T$3:$T$1646,'Tüm İhaleler'!$B$3:$B$1646,2026,'Tüm İhaleler'!$D$3:$D$1646,"??.01.*")</f>
        <v/>
      </c>
      <c r="M3" s="15">
        <f>IFERROR(AVERAGEIFS('Tüm İhaleler'!$V$3:$V$1646,'Tüm İhaleler'!$B$3:$B$1646,2026,'Tüm İhaleler'!$D$3:$D$1646,"??.01.*",'Tüm İhaleler'!$V$3:$V$1646,"&lt;&gt;"),"")</f>
        <v/>
      </c>
    </row>
    <row r="4">
      <c r="A4" s="52" t="inlineStr">
        <is>
          <t>Şubat</t>
        </is>
      </c>
      <c r="B4" s="14">
        <f>COUNTIFS('Tüm İhaleler'!$B$3:$B$1646,2023,'Tüm İhaleler'!$D$3:$D$1646,"??.02.*")</f>
        <v/>
      </c>
      <c r="C4" s="14">
        <f>SUMIFS('Tüm İhaleler'!$T$3:$T$1646,'Tüm İhaleler'!$B$3:$B$1646,2023,'Tüm İhaleler'!$D$3:$D$1646,"??.02.*")</f>
        <v/>
      </c>
      <c r="D4" s="15">
        <f>IFERROR(AVERAGEIFS('Tüm İhaleler'!$V$3:$V$1646,'Tüm İhaleler'!$B$3:$B$1646,2023,'Tüm İhaleler'!$D$3:$D$1646,"??.02.*",'Tüm İhaleler'!$V$3:$V$1646,"&lt;&gt;"),"")</f>
        <v/>
      </c>
      <c r="E4" s="14">
        <f>COUNTIFS('Tüm İhaleler'!$B$3:$B$1646,2024,'Tüm İhaleler'!$D$3:$D$1646,"??.02.*")</f>
        <v/>
      </c>
      <c r="F4" s="14">
        <f>SUMIFS('Tüm İhaleler'!$T$3:$T$1646,'Tüm İhaleler'!$B$3:$B$1646,2024,'Tüm İhaleler'!$D$3:$D$1646,"??.02.*")</f>
        <v/>
      </c>
      <c r="G4" s="15">
        <f>IFERROR(AVERAGEIFS('Tüm İhaleler'!$V$3:$V$1646,'Tüm İhaleler'!$B$3:$B$1646,2024,'Tüm İhaleler'!$D$3:$D$1646,"??.02.*",'Tüm İhaleler'!$V$3:$V$1646,"&lt;&gt;"),"")</f>
        <v/>
      </c>
      <c r="H4" s="14">
        <f>COUNTIFS('Tüm İhaleler'!$B$3:$B$1646,2025,'Tüm İhaleler'!$D$3:$D$1646,"??.02.*")</f>
        <v/>
      </c>
      <c r="I4" s="14">
        <f>SUMIFS('Tüm İhaleler'!$T$3:$T$1646,'Tüm İhaleler'!$B$3:$B$1646,2025,'Tüm İhaleler'!$D$3:$D$1646,"??.02.*")</f>
        <v/>
      </c>
      <c r="J4" s="15">
        <f>IFERROR(AVERAGEIFS('Tüm İhaleler'!$V$3:$V$1646,'Tüm İhaleler'!$B$3:$B$1646,2025,'Tüm İhaleler'!$D$3:$D$1646,"??.02.*",'Tüm İhaleler'!$V$3:$V$1646,"&lt;&gt;"),"")</f>
        <v/>
      </c>
      <c r="K4" s="14">
        <f>COUNTIFS('Tüm İhaleler'!$B$3:$B$1646,2026,'Tüm İhaleler'!$D$3:$D$1646,"??.02.*")</f>
        <v/>
      </c>
      <c r="L4" s="14">
        <f>SUMIFS('Tüm İhaleler'!$T$3:$T$1646,'Tüm İhaleler'!$B$3:$B$1646,2026,'Tüm İhaleler'!$D$3:$D$1646,"??.02.*")</f>
        <v/>
      </c>
      <c r="M4" s="15">
        <f>IFERROR(AVERAGEIFS('Tüm İhaleler'!$V$3:$V$1646,'Tüm İhaleler'!$B$3:$B$1646,2026,'Tüm İhaleler'!$D$3:$D$1646,"??.02.*",'Tüm İhaleler'!$V$3:$V$1646,"&lt;&gt;"),"")</f>
        <v/>
      </c>
    </row>
    <row r="5">
      <c r="A5" s="52" t="inlineStr">
        <is>
          <t>Mart</t>
        </is>
      </c>
      <c r="B5" s="14">
        <f>COUNTIFS('Tüm İhaleler'!$B$3:$B$1646,2023,'Tüm İhaleler'!$D$3:$D$1646,"??.03.*")</f>
        <v/>
      </c>
      <c r="C5" s="14">
        <f>SUMIFS('Tüm İhaleler'!$T$3:$T$1646,'Tüm İhaleler'!$B$3:$B$1646,2023,'Tüm İhaleler'!$D$3:$D$1646,"??.03.*")</f>
        <v/>
      </c>
      <c r="D5" s="15">
        <f>IFERROR(AVERAGEIFS('Tüm İhaleler'!$V$3:$V$1646,'Tüm İhaleler'!$B$3:$B$1646,2023,'Tüm İhaleler'!$D$3:$D$1646,"??.03.*",'Tüm İhaleler'!$V$3:$V$1646,"&lt;&gt;"),"")</f>
        <v/>
      </c>
      <c r="E5" s="14">
        <f>COUNTIFS('Tüm İhaleler'!$B$3:$B$1646,2024,'Tüm İhaleler'!$D$3:$D$1646,"??.03.*")</f>
        <v/>
      </c>
      <c r="F5" s="14">
        <f>SUMIFS('Tüm İhaleler'!$T$3:$T$1646,'Tüm İhaleler'!$B$3:$B$1646,2024,'Tüm İhaleler'!$D$3:$D$1646,"??.03.*")</f>
        <v/>
      </c>
      <c r="G5" s="15">
        <f>IFERROR(AVERAGEIFS('Tüm İhaleler'!$V$3:$V$1646,'Tüm İhaleler'!$B$3:$B$1646,2024,'Tüm İhaleler'!$D$3:$D$1646,"??.03.*",'Tüm İhaleler'!$V$3:$V$1646,"&lt;&gt;"),"")</f>
        <v/>
      </c>
      <c r="H5" s="14">
        <f>COUNTIFS('Tüm İhaleler'!$B$3:$B$1646,2025,'Tüm İhaleler'!$D$3:$D$1646,"??.03.*")</f>
        <v/>
      </c>
      <c r="I5" s="14">
        <f>SUMIFS('Tüm İhaleler'!$T$3:$T$1646,'Tüm İhaleler'!$B$3:$B$1646,2025,'Tüm İhaleler'!$D$3:$D$1646,"??.03.*")</f>
        <v/>
      </c>
      <c r="J5" s="15">
        <f>IFERROR(AVERAGEIFS('Tüm İhaleler'!$V$3:$V$1646,'Tüm İhaleler'!$B$3:$B$1646,2025,'Tüm İhaleler'!$D$3:$D$1646,"??.03.*",'Tüm İhaleler'!$V$3:$V$1646,"&lt;&gt;"),"")</f>
        <v/>
      </c>
      <c r="K5" s="14">
        <f>COUNTIFS('Tüm İhaleler'!$B$3:$B$1646,2026,'Tüm İhaleler'!$D$3:$D$1646,"??.03.*")</f>
        <v/>
      </c>
      <c r="L5" s="14">
        <f>SUMIFS('Tüm İhaleler'!$T$3:$T$1646,'Tüm İhaleler'!$B$3:$B$1646,2026,'Tüm İhaleler'!$D$3:$D$1646,"??.03.*")</f>
        <v/>
      </c>
      <c r="M5" s="15">
        <f>IFERROR(AVERAGEIFS('Tüm İhaleler'!$V$3:$V$1646,'Tüm İhaleler'!$B$3:$B$1646,2026,'Tüm İhaleler'!$D$3:$D$1646,"??.03.*",'Tüm İhaleler'!$V$3:$V$1646,"&lt;&gt;"),"")</f>
        <v/>
      </c>
    </row>
    <row r="6">
      <c r="A6" s="52" t="inlineStr">
        <is>
          <t>Nisan</t>
        </is>
      </c>
      <c r="B6" s="14">
        <f>COUNTIFS('Tüm İhaleler'!$B$3:$B$1646,2023,'Tüm İhaleler'!$D$3:$D$1646,"??.04.*")</f>
        <v/>
      </c>
      <c r="C6" s="14">
        <f>SUMIFS('Tüm İhaleler'!$T$3:$T$1646,'Tüm İhaleler'!$B$3:$B$1646,2023,'Tüm İhaleler'!$D$3:$D$1646,"??.04.*")</f>
        <v/>
      </c>
      <c r="D6" s="15">
        <f>IFERROR(AVERAGEIFS('Tüm İhaleler'!$V$3:$V$1646,'Tüm İhaleler'!$B$3:$B$1646,2023,'Tüm İhaleler'!$D$3:$D$1646,"??.04.*",'Tüm İhaleler'!$V$3:$V$1646,"&lt;&gt;"),"")</f>
        <v/>
      </c>
      <c r="E6" s="14">
        <f>COUNTIFS('Tüm İhaleler'!$B$3:$B$1646,2024,'Tüm İhaleler'!$D$3:$D$1646,"??.04.*")</f>
        <v/>
      </c>
      <c r="F6" s="14">
        <f>SUMIFS('Tüm İhaleler'!$T$3:$T$1646,'Tüm İhaleler'!$B$3:$B$1646,2024,'Tüm İhaleler'!$D$3:$D$1646,"??.04.*")</f>
        <v/>
      </c>
      <c r="G6" s="15">
        <f>IFERROR(AVERAGEIFS('Tüm İhaleler'!$V$3:$V$1646,'Tüm İhaleler'!$B$3:$B$1646,2024,'Tüm İhaleler'!$D$3:$D$1646,"??.04.*",'Tüm İhaleler'!$V$3:$V$1646,"&lt;&gt;"),"")</f>
        <v/>
      </c>
      <c r="H6" s="14">
        <f>COUNTIFS('Tüm İhaleler'!$B$3:$B$1646,2025,'Tüm İhaleler'!$D$3:$D$1646,"??.04.*")</f>
        <v/>
      </c>
      <c r="I6" s="14">
        <f>SUMIFS('Tüm İhaleler'!$T$3:$T$1646,'Tüm İhaleler'!$B$3:$B$1646,2025,'Tüm İhaleler'!$D$3:$D$1646,"??.04.*")</f>
        <v/>
      </c>
      <c r="J6" s="15">
        <f>IFERROR(AVERAGEIFS('Tüm İhaleler'!$V$3:$V$1646,'Tüm İhaleler'!$B$3:$B$1646,2025,'Tüm İhaleler'!$D$3:$D$1646,"??.04.*",'Tüm İhaleler'!$V$3:$V$1646,"&lt;&gt;"),"")</f>
        <v/>
      </c>
      <c r="K6" s="14">
        <f>COUNTIFS('Tüm İhaleler'!$B$3:$B$1646,2026,'Tüm İhaleler'!$D$3:$D$1646,"??.04.*")</f>
        <v/>
      </c>
      <c r="L6" s="14">
        <f>SUMIFS('Tüm İhaleler'!$T$3:$T$1646,'Tüm İhaleler'!$B$3:$B$1646,2026,'Tüm İhaleler'!$D$3:$D$1646,"??.04.*")</f>
        <v/>
      </c>
      <c r="M6" s="15">
        <f>IFERROR(AVERAGEIFS('Tüm İhaleler'!$V$3:$V$1646,'Tüm İhaleler'!$B$3:$B$1646,2026,'Tüm İhaleler'!$D$3:$D$1646,"??.04.*",'Tüm İhaleler'!$V$3:$V$1646,"&lt;&gt;"),"")</f>
        <v/>
      </c>
    </row>
    <row r="7">
      <c r="A7" s="52" t="inlineStr">
        <is>
          <t>Mayıs</t>
        </is>
      </c>
      <c r="B7" s="14">
        <f>COUNTIFS('Tüm İhaleler'!$B$3:$B$1646,2023,'Tüm İhaleler'!$D$3:$D$1646,"??.05.*")</f>
        <v/>
      </c>
      <c r="C7" s="14">
        <f>SUMIFS('Tüm İhaleler'!$T$3:$T$1646,'Tüm İhaleler'!$B$3:$B$1646,2023,'Tüm İhaleler'!$D$3:$D$1646,"??.05.*")</f>
        <v/>
      </c>
      <c r="D7" s="15">
        <f>IFERROR(AVERAGEIFS('Tüm İhaleler'!$V$3:$V$1646,'Tüm İhaleler'!$B$3:$B$1646,2023,'Tüm İhaleler'!$D$3:$D$1646,"??.05.*",'Tüm İhaleler'!$V$3:$V$1646,"&lt;&gt;"),"")</f>
        <v/>
      </c>
      <c r="E7" s="14">
        <f>COUNTIFS('Tüm İhaleler'!$B$3:$B$1646,2024,'Tüm İhaleler'!$D$3:$D$1646,"??.05.*")</f>
        <v/>
      </c>
      <c r="F7" s="14">
        <f>SUMIFS('Tüm İhaleler'!$T$3:$T$1646,'Tüm İhaleler'!$B$3:$B$1646,2024,'Tüm İhaleler'!$D$3:$D$1646,"??.05.*")</f>
        <v/>
      </c>
      <c r="G7" s="15">
        <f>IFERROR(AVERAGEIFS('Tüm İhaleler'!$V$3:$V$1646,'Tüm İhaleler'!$B$3:$B$1646,2024,'Tüm İhaleler'!$D$3:$D$1646,"??.05.*",'Tüm İhaleler'!$V$3:$V$1646,"&lt;&gt;"),"")</f>
        <v/>
      </c>
      <c r="H7" s="14">
        <f>COUNTIFS('Tüm İhaleler'!$B$3:$B$1646,2025,'Tüm İhaleler'!$D$3:$D$1646,"??.05.*")</f>
        <v/>
      </c>
      <c r="I7" s="14">
        <f>SUMIFS('Tüm İhaleler'!$T$3:$T$1646,'Tüm İhaleler'!$B$3:$B$1646,2025,'Tüm İhaleler'!$D$3:$D$1646,"??.05.*")</f>
        <v/>
      </c>
      <c r="J7" s="15">
        <f>IFERROR(AVERAGEIFS('Tüm İhaleler'!$V$3:$V$1646,'Tüm İhaleler'!$B$3:$B$1646,2025,'Tüm İhaleler'!$D$3:$D$1646,"??.05.*",'Tüm İhaleler'!$V$3:$V$1646,"&lt;&gt;"),"")</f>
        <v/>
      </c>
      <c r="K7" s="14">
        <f>COUNTIFS('Tüm İhaleler'!$B$3:$B$1646,2026,'Tüm İhaleler'!$D$3:$D$1646,"??.05.*")</f>
        <v/>
      </c>
      <c r="L7" s="14">
        <f>SUMIFS('Tüm İhaleler'!$T$3:$T$1646,'Tüm İhaleler'!$B$3:$B$1646,2026,'Tüm İhaleler'!$D$3:$D$1646,"??.05.*")</f>
        <v/>
      </c>
      <c r="M7" s="15">
        <f>IFERROR(AVERAGEIFS('Tüm İhaleler'!$V$3:$V$1646,'Tüm İhaleler'!$B$3:$B$1646,2026,'Tüm İhaleler'!$D$3:$D$1646,"??.05.*",'Tüm İhaleler'!$V$3:$V$1646,"&lt;&gt;"),"")</f>
        <v/>
      </c>
    </row>
    <row r="8">
      <c r="A8" s="52" t="inlineStr">
        <is>
          <t>Haziran</t>
        </is>
      </c>
      <c r="B8" s="14">
        <f>COUNTIFS('Tüm İhaleler'!$B$3:$B$1646,2023,'Tüm İhaleler'!$D$3:$D$1646,"??.06.*")</f>
        <v/>
      </c>
      <c r="C8" s="14">
        <f>SUMIFS('Tüm İhaleler'!$T$3:$T$1646,'Tüm İhaleler'!$B$3:$B$1646,2023,'Tüm İhaleler'!$D$3:$D$1646,"??.06.*")</f>
        <v/>
      </c>
      <c r="D8" s="15">
        <f>IFERROR(AVERAGEIFS('Tüm İhaleler'!$V$3:$V$1646,'Tüm İhaleler'!$B$3:$B$1646,2023,'Tüm İhaleler'!$D$3:$D$1646,"??.06.*",'Tüm İhaleler'!$V$3:$V$1646,"&lt;&gt;"),"")</f>
        <v/>
      </c>
      <c r="E8" s="14">
        <f>COUNTIFS('Tüm İhaleler'!$B$3:$B$1646,2024,'Tüm İhaleler'!$D$3:$D$1646,"??.06.*")</f>
        <v/>
      </c>
      <c r="F8" s="14">
        <f>SUMIFS('Tüm İhaleler'!$T$3:$T$1646,'Tüm İhaleler'!$B$3:$B$1646,2024,'Tüm İhaleler'!$D$3:$D$1646,"??.06.*")</f>
        <v/>
      </c>
      <c r="G8" s="15">
        <f>IFERROR(AVERAGEIFS('Tüm İhaleler'!$V$3:$V$1646,'Tüm İhaleler'!$B$3:$B$1646,2024,'Tüm İhaleler'!$D$3:$D$1646,"??.06.*",'Tüm İhaleler'!$V$3:$V$1646,"&lt;&gt;"),"")</f>
        <v/>
      </c>
      <c r="H8" s="14">
        <f>COUNTIFS('Tüm İhaleler'!$B$3:$B$1646,2025,'Tüm İhaleler'!$D$3:$D$1646,"??.06.*")</f>
        <v/>
      </c>
      <c r="I8" s="14">
        <f>SUMIFS('Tüm İhaleler'!$T$3:$T$1646,'Tüm İhaleler'!$B$3:$B$1646,2025,'Tüm İhaleler'!$D$3:$D$1646,"??.06.*")</f>
        <v/>
      </c>
      <c r="J8" s="15">
        <f>IFERROR(AVERAGEIFS('Tüm İhaleler'!$V$3:$V$1646,'Tüm İhaleler'!$B$3:$B$1646,2025,'Tüm İhaleler'!$D$3:$D$1646,"??.06.*",'Tüm İhaleler'!$V$3:$V$1646,"&lt;&gt;"),"")</f>
        <v/>
      </c>
      <c r="K8" s="14">
        <f>COUNTIFS('Tüm İhaleler'!$B$3:$B$1646,2026,'Tüm İhaleler'!$D$3:$D$1646,"??.06.*")</f>
        <v/>
      </c>
      <c r="L8" s="14">
        <f>SUMIFS('Tüm İhaleler'!$T$3:$T$1646,'Tüm İhaleler'!$B$3:$B$1646,2026,'Tüm İhaleler'!$D$3:$D$1646,"??.06.*")</f>
        <v/>
      </c>
      <c r="M8" s="15">
        <f>IFERROR(AVERAGEIFS('Tüm İhaleler'!$V$3:$V$1646,'Tüm İhaleler'!$B$3:$B$1646,2026,'Tüm İhaleler'!$D$3:$D$1646,"??.06.*",'Tüm İhaleler'!$V$3:$V$1646,"&lt;&gt;"),"")</f>
        <v/>
      </c>
    </row>
    <row r="9">
      <c r="A9" s="52" t="inlineStr">
        <is>
          <t>Temmuz</t>
        </is>
      </c>
      <c r="B9" s="14">
        <f>COUNTIFS('Tüm İhaleler'!$B$3:$B$1646,2023,'Tüm İhaleler'!$D$3:$D$1646,"??.07.*")</f>
        <v/>
      </c>
      <c r="C9" s="14">
        <f>SUMIFS('Tüm İhaleler'!$T$3:$T$1646,'Tüm İhaleler'!$B$3:$B$1646,2023,'Tüm İhaleler'!$D$3:$D$1646,"??.07.*")</f>
        <v/>
      </c>
      <c r="D9" s="15">
        <f>IFERROR(AVERAGEIFS('Tüm İhaleler'!$V$3:$V$1646,'Tüm İhaleler'!$B$3:$B$1646,2023,'Tüm İhaleler'!$D$3:$D$1646,"??.07.*",'Tüm İhaleler'!$V$3:$V$1646,"&lt;&gt;"),"")</f>
        <v/>
      </c>
      <c r="E9" s="14">
        <f>COUNTIFS('Tüm İhaleler'!$B$3:$B$1646,2024,'Tüm İhaleler'!$D$3:$D$1646,"??.07.*")</f>
        <v/>
      </c>
      <c r="F9" s="14">
        <f>SUMIFS('Tüm İhaleler'!$T$3:$T$1646,'Tüm İhaleler'!$B$3:$B$1646,2024,'Tüm İhaleler'!$D$3:$D$1646,"??.07.*")</f>
        <v/>
      </c>
      <c r="G9" s="15">
        <f>IFERROR(AVERAGEIFS('Tüm İhaleler'!$V$3:$V$1646,'Tüm İhaleler'!$B$3:$B$1646,2024,'Tüm İhaleler'!$D$3:$D$1646,"??.07.*",'Tüm İhaleler'!$V$3:$V$1646,"&lt;&gt;"),"")</f>
        <v/>
      </c>
      <c r="H9" s="14">
        <f>COUNTIFS('Tüm İhaleler'!$B$3:$B$1646,2025,'Tüm İhaleler'!$D$3:$D$1646,"??.07.*")</f>
        <v/>
      </c>
      <c r="I9" s="14">
        <f>SUMIFS('Tüm İhaleler'!$T$3:$T$1646,'Tüm İhaleler'!$B$3:$B$1646,2025,'Tüm İhaleler'!$D$3:$D$1646,"??.07.*")</f>
        <v/>
      </c>
      <c r="J9" s="15">
        <f>IFERROR(AVERAGEIFS('Tüm İhaleler'!$V$3:$V$1646,'Tüm İhaleler'!$B$3:$B$1646,2025,'Tüm İhaleler'!$D$3:$D$1646,"??.07.*",'Tüm İhaleler'!$V$3:$V$1646,"&lt;&gt;"),"")</f>
        <v/>
      </c>
      <c r="K9" s="14">
        <f>COUNTIFS('Tüm İhaleler'!$B$3:$B$1646,2026,'Tüm İhaleler'!$D$3:$D$1646,"??.07.*")</f>
        <v/>
      </c>
      <c r="L9" s="14">
        <f>SUMIFS('Tüm İhaleler'!$T$3:$T$1646,'Tüm İhaleler'!$B$3:$B$1646,2026,'Tüm İhaleler'!$D$3:$D$1646,"??.07.*")</f>
        <v/>
      </c>
      <c r="M9" s="15">
        <f>IFERROR(AVERAGEIFS('Tüm İhaleler'!$V$3:$V$1646,'Tüm İhaleler'!$B$3:$B$1646,2026,'Tüm İhaleler'!$D$3:$D$1646,"??.07.*",'Tüm İhaleler'!$V$3:$V$1646,"&lt;&gt;"),"")</f>
        <v/>
      </c>
    </row>
    <row r="10">
      <c r="A10" s="52" t="inlineStr">
        <is>
          <t>Ağustos</t>
        </is>
      </c>
      <c r="B10" s="14">
        <f>COUNTIFS('Tüm İhaleler'!$B$3:$B$1646,2023,'Tüm İhaleler'!$D$3:$D$1646,"??.08.*")</f>
        <v/>
      </c>
      <c r="C10" s="14">
        <f>SUMIFS('Tüm İhaleler'!$T$3:$T$1646,'Tüm İhaleler'!$B$3:$B$1646,2023,'Tüm İhaleler'!$D$3:$D$1646,"??.08.*")</f>
        <v/>
      </c>
      <c r="D10" s="15">
        <f>IFERROR(AVERAGEIFS('Tüm İhaleler'!$V$3:$V$1646,'Tüm İhaleler'!$B$3:$B$1646,2023,'Tüm İhaleler'!$D$3:$D$1646,"??.08.*",'Tüm İhaleler'!$V$3:$V$1646,"&lt;&gt;"),"")</f>
        <v/>
      </c>
      <c r="E10" s="14">
        <f>COUNTIFS('Tüm İhaleler'!$B$3:$B$1646,2024,'Tüm İhaleler'!$D$3:$D$1646,"??.08.*")</f>
        <v/>
      </c>
      <c r="F10" s="14">
        <f>SUMIFS('Tüm İhaleler'!$T$3:$T$1646,'Tüm İhaleler'!$B$3:$B$1646,2024,'Tüm İhaleler'!$D$3:$D$1646,"??.08.*")</f>
        <v/>
      </c>
      <c r="G10" s="15">
        <f>IFERROR(AVERAGEIFS('Tüm İhaleler'!$V$3:$V$1646,'Tüm İhaleler'!$B$3:$B$1646,2024,'Tüm İhaleler'!$D$3:$D$1646,"??.08.*",'Tüm İhaleler'!$V$3:$V$1646,"&lt;&gt;"),"")</f>
        <v/>
      </c>
      <c r="H10" s="14">
        <f>COUNTIFS('Tüm İhaleler'!$B$3:$B$1646,2025,'Tüm İhaleler'!$D$3:$D$1646,"??.08.*")</f>
        <v/>
      </c>
      <c r="I10" s="14">
        <f>SUMIFS('Tüm İhaleler'!$T$3:$T$1646,'Tüm İhaleler'!$B$3:$B$1646,2025,'Tüm İhaleler'!$D$3:$D$1646,"??.08.*")</f>
        <v/>
      </c>
      <c r="J10" s="15">
        <f>IFERROR(AVERAGEIFS('Tüm İhaleler'!$V$3:$V$1646,'Tüm İhaleler'!$B$3:$B$1646,2025,'Tüm İhaleler'!$D$3:$D$1646,"??.08.*",'Tüm İhaleler'!$V$3:$V$1646,"&lt;&gt;"),"")</f>
        <v/>
      </c>
      <c r="K10" s="14">
        <f>COUNTIFS('Tüm İhaleler'!$B$3:$B$1646,2026,'Tüm İhaleler'!$D$3:$D$1646,"??.08.*")</f>
        <v/>
      </c>
      <c r="L10" s="14">
        <f>SUMIFS('Tüm İhaleler'!$T$3:$T$1646,'Tüm İhaleler'!$B$3:$B$1646,2026,'Tüm İhaleler'!$D$3:$D$1646,"??.08.*")</f>
        <v/>
      </c>
      <c r="M10" s="15">
        <f>IFERROR(AVERAGEIFS('Tüm İhaleler'!$V$3:$V$1646,'Tüm İhaleler'!$B$3:$B$1646,2026,'Tüm İhaleler'!$D$3:$D$1646,"??.08.*",'Tüm İhaleler'!$V$3:$V$1646,"&lt;&gt;"),"")</f>
        <v/>
      </c>
    </row>
    <row r="11">
      <c r="A11" s="52" t="inlineStr">
        <is>
          <t>Eylül</t>
        </is>
      </c>
      <c r="B11" s="14">
        <f>COUNTIFS('Tüm İhaleler'!$B$3:$B$1646,2023,'Tüm İhaleler'!$D$3:$D$1646,"??.09.*")</f>
        <v/>
      </c>
      <c r="C11" s="14">
        <f>SUMIFS('Tüm İhaleler'!$T$3:$T$1646,'Tüm İhaleler'!$B$3:$B$1646,2023,'Tüm İhaleler'!$D$3:$D$1646,"??.09.*")</f>
        <v/>
      </c>
      <c r="D11" s="15">
        <f>IFERROR(AVERAGEIFS('Tüm İhaleler'!$V$3:$V$1646,'Tüm İhaleler'!$B$3:$B$1646,2023,'Tüm İhaleler'!$D$3:$D$1646,"??.09.*",'Tüm İhaleler'!$V$3:$V$1646,"&lt;&gt;"),"")</f>
        <v/>
      </c>
      <c r="E11" s="14">
        <f>COUNTIFS('Tüm İhaleler'!$B$3:$B$1646,2024,'Tüm İhaleler'!$D$3:$D$1646,"??.09.*")</f>
        <v/>
      </c>
      <c r="F11" s="14">
        <f>SUMIFS('Tüm İhaleler'!$T$3:$T$1646,'Tüm İhaleler'!$B$3:$B$1646,2024,'Tüm İhaleler'!$D$3:$D$1646,"??.09.*")</f>
        <v/>
      </c>
      <c r="G11" s="15">
        <f>IFERROR(AVERAGEIFS('Tüm İhaleler'!$V$3:$V$1646,'Tüm İhaleler'!$B$3:$B$1646,2024,'Tüm İhaleler'!$D$3:$D$1646,"??.09.*",'Tüm İhaleler'!$V$3:$V$1646,"&lt;&gt;"),"")</f>
        <v/>
      </c>
      <c r="H11" s="14">
        <f>COUNTIFS('Tüm İhaleler'!$B$3:$B$1646,2025,'Tüm İhaleler'!$D$3:$D$1646,"??.09.*")</f>
        <v/>
      </c>
      <c r="I11" s="14">
        <f>SUMIFS('Tüm İhaleler'!$T$3:$T$1646,'Tüm İhaleler'!$B$3:$B$1646,2025,'Tüm İhaleler'!$D$3:$D$1646,"??.09.*")</f>
        <v/>
      </c>
      <c r="J11" s="15">
        <f>IFERROR(AVERAGEIFS('Tüm İhaleler'!$V$3:$V$1646,'Tüm İhaleler'!$B$3:$B$1646,2025,'Tüm İhaleler'!$D$3:$D$1646,"??.09.*",'Tüm İhaleler'!$V$3:$V$1646,"&lt;&gt;"),"")</f>
        <v/>
      </c>
      <c r="K11" s="14">
        <f>COUNTIFS('Tüm İhaleler'!$B$3:$B$1646,2026,'Tüm İhaleler'!$D$3:$D$1646,"??.09.*")</f>
        <v/>
      </c>
      <c r="L11" s="14">
        <f>SUMIFS('Tüm İhaleler'!$T$3:$T$1646,'Tüm İhaleler'!$B$3:$B$1646,2026,'Tüm İhaleler'!$D$3:$D$1646,"??.09.*")</f>
        <v/>
      </c>
      <c r="M11" s="15">
        <f>IFERROR(AVERAGEIFS('Tüm İhaleler'!$V$3:$V$1646,'Tüm İhaleler'!$B$3:$B$1646,2026,'Tüm İhaleler'!$D$3:$D$1646,"??.09.*",'Tüm İhaleler'!$V$3:$V$1646,"&lt;&gt;"),"")</f>
        <v/>
      </c>
    </row>
    <row r="12">
      <c r="A12" s="52" t="inlineStr">
        <is>
          <t>Ekim</t>
        </is>
      </c>
      <c r="B12" s="14">
        <f>COUNTIFS('Tüm İhaleler'!$B$3:$B$1646,2023,'Tüm İhaleler'!$D$3:$D$1646,"??.10.*")</f>
        <v/>
      </c>
      <c r="C12" s="14">
        <f>SUMIFS('Tüm İhaleler'!$T$3:$T$1646,'Tüm İhaleler'!$B$3:$B$1646,2023,'Tüm İhaleler'!$D$3:$D$1646,"??.10.*")</f>
        <v/>
      </c>
      <c r="D12" s="15">
        <f>IFERROR(AVERAGEIFS('Tüm İhaleler'!$V$3:$V$1646,'Tüm İhaleler'!$B$3:$B$1646,2023,'Tüm İhaleler'!$D$3:$D$1646,"??.10.*",'Tüm İhaleler'!$V$3:$V$1646,"&lt;&gt;"),"")</f>
        <v/>
      </c>
      <c r="E12" s="14">
        <f>COUNTIFS('Tüm İhaleler'!$B$3:$B$1646,2024,'Tüm İhaleler'!$D$3:$D$1646,"??.10.*")</f>
        <v/>
      </c>
      <c r="F12" s="14">
        <f>SUMIFS('Tüm İhaleler'!$T$3:$T$1646,'Tüm İhaleler'!$B$3:$B$1646,2024,'Tüm İhaleler'!$D$3:$D$1646,"??.10.*")</f>
        <v/>
      </c>
      <c r="G12" s="15">
        <f>IFERROR(AVERAGEIFS('Tüm İhaleler'!$V$3:$V$1646,'Tüm İhaleler'!$B$3:$B$1646,2024,'Tüm İhaleler'!$D$3:$D$1646,"??.10.*",'Tüm İhaleler'!$V$3:$V$1646,"&lt;&gt;"),"")</f>
        <v/>
      </c>
      <c r="H12" s="14">
        <f>COUNTIFS('Tüm İhaleler'!$B$3:$B$1646,2025,'Tüm İhaleler'!$D$3:$D$1646,"??.10.*")</f>
        <v/>
      </c>
      <c r="I12" s="14">
        <f>SUMIFS('Tüm İhaleler'!$T$3:$T$1646,'Tüm İhaleler'!$B$3:$B$1646,2025,'Tüm İhaleler'!$D$3:$D$1646,"??.10.*")</f>
        <v/>
      </c>
      <c r="J12" s="15">
        <f>IFERROR(AVERAGEIFS('Tüm İhaleler'!$V$3:$V$1646,'Tüm İhaleler'!$B$3:$B$1646,2025,'Tüm İhaleler'!$D$3:$D$1646,"??.10.*",'Tüm İhaleler'!$V$3:$V$1646,"&lt;&gt;"),"")</f>
        <v/>
      </c>
      <c r="K12" s="14">
        <f>COUNTIFS('Tüm İhaleler'!$B$3:$B$1646,2026,'Tüm İhaleler'!$D$3:$D$1646,"??.10.*")</f>
        <v/>
      </c>
      <c r="L12" s="14">
        <f>SUMIFS('Tüm İhaleler'!$T$3:$T$1646,'Tüm İhaleler'!$B$3:$B$1646,2026,'Tüm İhaleler'!$D$3:$D$1646,"??.10.*")</f>
        <v/>
      </c>
      <c r="M12" s="15">
        <f>IFERROR(AVERAGEIFS('Tüm İhaleler'!$V$3:$V$1646,'Tüm İhaleler'!$B$3:$B$1646,2026,'Tüm İhaleler'!$D$3:$D$1646,"??.10.*",'Tüm İhaleler'!$V$3:$V$1646,"&lt;&gt;"),"")</f>
        <v/>
      </c>
    </row>
    <row r="13">
      <c r="A13" s="52" t="inlineStr">
        <is>
          <t>Kasım</t>
        </is>
      </c>
      <c r="B13" s="14">
        <f>COUNTIFS('Tüm İhaleler'!$B$3:$B$1646,2023,'Tüm İhaleler'!$D$3:$D$1646,"??.11.*")</f>
        <v/>
      </c>
      <c r="C13" s="14">
        <f>SUMIFS('Tüm İhaleler'!$T$3:$T$1646,'Tüm İhaleler'!$B$3:$B$1646,2023,'Tüm İhaleler'!$D$3:$D$1646,"??.11.*")</f>
        <v/>
      </c>
      <c r="D13" s="15">
        <f>IFERROR(AVERAGEIFS('Tüm İhaleler'!$V$3:$V$1646,'Tüm İhaleler'!$B$3:$B$1646,2023,'Tüm İhaleler'!$D$3:$D$1646,"??.11.*",'Tüm İhaleler'!$V$3:$V$1646,"&lt;&gt;"),"")</f>
        <v/>
      </c>
      <c r="E13" s="14">
        <f>COUNTIFS('Tüm İhaleler'!$B$3:$B$1646,2024,'Tüm İhaleler'!$D$3:$D$1646,"??.11.*")</f>
        <v/>
      </c>
      <c r="F13" s="14">
        <f>SUMIFS('Tüm İhaleler'!$T$3:$T$1646,'Tüm İhaleler'!$B$3:$B$1646,2024,'Tüm İhaleler'!$D$3:$D$1646,"??.11.*")</f>
        <v/>
      </c>
      <c r="G13" s="15">
        <f>IFERROR(AVERAGEIFS('Tüm İhaleler'!$V$3:$V$1646,'Tüm İhaleler'!$B$3:$B$1646,2024,'Tüm İhaleler'!$D$3:$D$1646,"??.11.*",'Tüm İhaleler'!$V$3:$V$1646,"&lt;&gt;"),"")</f>
        <v/>
      </c>
      <c r="H13" s="14">
        <f>COUNTIFS('Tüm İhaleler'!$B$3:$B$1646,2025,'Tüm İhaleler'!$D$3:$D$1646,"??.11.*")</f>
        <v/>
      </c>
      <c r="I13" s="14">
        <f>SUMIFS('Tüm İhaleler'!$T$3:$T$1646,'Tüm İhaleler'!$B$3:$B$1646,2025,'Tüm İhaleler'!$D$3:$D$1646,"??.11.*")</f>
        <v/>
      </c>
      <c r="J13" s="15">
        <f>IFERROR(AVERAGEIFS('Tüm İhaleler'!$V$3:$V$1646,'Tüm İhaleler'!$B$3:$B$1646,2025,'Tüm İhaleler'!$D$3:$D$1646,"??.11.*",'Tüm İhaleler'!$V$3:$V$1646,"&lt;&gt;"),"")</f>
        <v/>
      </c>
      <c r="K13" s="14">
        <f>COUNTIFS('Tüm İhaleler'!$B$3:$B$1646,2026,'Tüm İhaleler'!$D$3:$D$1646,"??.11.*")</f>
        <v/>
      </c>
      <c r="L13" s="14">
        <f>SUMIFS('Tüm İhaleler'!$T$3:$T$1646,'Tüm İhaleler'!$B$3:$B$1646,2026,'Tüm İhaleler'!$D$3:$D$1646,"??.11.*")</f>
        <v/>
      </c>
      <c r="M13" s="15">
        <f>IFERROR(AVERAGEIFS('Tüm İhaleler'!$V$3:$V$1646,'Tüm İhaleler'!$B$3:$B$1646,2026,'Tüm İhaleler'!$D$3:$D$1646,"??.11.*",'Tüm İhaleler'!$V$3:$V$1646,"&lt;&gt;"),"")</f>
        <v/>
      </c>
    </row>
    <row r="14">
      <c r="A14" s="52" t="inlineStr">
        <is>
          <t>Aralık</t>
        </is>
      </c>
      <c r="B14" s="14">
        <f>COUNTIFS('Tüm İhaleler'!$B$3:$B$1646,2023,'Tüm İhaleler'!$D$3:$D$1646,"??.12.*")</f>
        <v/>
      </c>
      <c r="C14" s="14">
        <f>SUMIFS('Tüm İhaleler'!$T$3:$T$1646,'Tüm İhaleler'!$B$3:$B$1646,2023,'Tüm İhaleler'!$D$3:$D$1646,"??.12.*")</f>
        <v/>
      </c>
      <c r="D14" s="15">
        <f>IFERROR(AVERAGEIFS('Tüm İhaleler'!$V$3:$V$1646,'Tüm İhaleler'!$B$3:$B$1646,2023,'Tüm İhaleler'!$D$3:$D$1646,"??.12.*",'Tüm İhaleler'!$V$3:$V$1646,"&lt;&gt;"),"")</f>
        <v/>
      </c>
      <c r="E14" s="14">
        <f>COUNTIFS('Tüm İhaleler'!$B$3:$B$1646,2024,'Tüm İhaleler'!$D$3:$D$1646,"??.12.*")</f>
        <v/>
      </c>
      <c r="F14" s="14">
        <f>SUMIFS('Tüm İhaleler'!$T$3:$T$1646,'Tüm İhaleler'!$B$3:$B$1646,2024,'Tüm İhaleler'!$D$3:$D$1646,"??.12.*")</f>
        <v/>
      </c>
      <c r="G14" s="15">
        <f>IFERROR(AVERAGEIFS('Tüm İhaleler'!$V$3:$V$1646,'Tüm İhaleler'!$B$3:$B$1646,2024,'Tüm İhaleler'!$D$3:$D$1646,"??.12.*",'Tüm İhaleler'!$V$3:$V$1646,"&lt;&gt;"),"")</f>
        <v/>
      </c>
      <c r="H14" s="14">
        <f>COUNTIFS('Tüm İhaleler'!$B$3:$B$1646,2025,'Tüm İhaleler'!$D$3:$D$1646,"??.12.*")</f>
        <v/>
      </c>
      <c r="I14" s="14">
        <f>SUMIFS('Tüm İhaleler'!$T$3:$T$1646,'Tüm İhaleler'!$B$3:$B$1646,2025,'Tüm İhaleler'!$D$3:$D$1646,"??.12.*")</f>
        <v/>
      </c>
      <c r="J14" s="15">
        <f>IFERROR(AVERAGEIFS('Tüm İhaleler'!$V$3:$V$1646,'Tüm İhaleler'!$B$3:$B$1646,2025,'Tüm İhaleler'!$D$3:$D$1646,"??.12.*",'Tüm İhaleler'!$V$3:$V$1646,"&lt;&gt;"),"")</f>
        <v/>
      </c>
      <c r="K14" s="14">
        <f>COUNTIFS('Tüm İhaleler'!$B$3:$B$1646,2026,'Tüm İhaleler'!$D$3:$D$1646,"??.12.*")</f>
        <v/>
      </c>
      <c r="L14" s="14">
        <f>SUMIFS('Tüm İhaleler'!$T$3:$T$1646,'Tüm İhaleler'!$B$3:$B$1646,2026,'Tüm İhaleler'!$D$3:$D$1646,"??.12.*")</f>
        <v/>
      </c>
      <c r="M14" s="15">
        <f>IFERROR(AVERAGEIFS('Tüm İhaleler'!$V$3:$V$1646,'Tüm İhaleler'!$B$3:$B$1646,2026,'Tüm İhaleler'!$D$3:$D$1646,"??.12.*",'Tüm İhaleler'!$V$3:$V$1646,"&lt;&gt;"),"")</f>
        <v/>
      </c>
    </row>
    <row r="15">
      <c r="A15" s="55" t="inlineStr">
        <is>
          <t>TOPLAM</t>
        </is>
      </c>
      <c r="B15" s="56">
        <f>COUNTIF('Tüm İhaleler'!$B$3:$B$1646,2023)</f>
        <v/>
      </c>
      <c r="C15" s="56">
        <f>SUMIF('Tüm İhaleler'!$B$3:$B$1646,2023,'Tüm İhaleler'!$T$3:$T$1646)</f>
        <v/>
      </c>
      <c r="D15" s="58">
        <f>IFERROR(AVERAGEIFS('Tüm İhaleler'!$V$3:$V$1646,'Tüm İhaleler'!$B$3:$B$1646,2023,'Tüm İhaleler'!$V$3:$V$1646,"&lt;&gt;"),"")</f>
        <v/>
      </c>
      <c r="E15" s="56">
        <f>COUNTIF('Tüm İhaleler'!$B$3:$B$1646,2024)</f>
        <v/>
      </c>
      <c r="F15" s="56">
        <f>SUMIF('Tüm İhaleler'!$B$3:$B$1646,2024,'Tüm İhaleler'!$T$3:$T$1646)</f>
        <v/>
      </c>
      <c r="G15" s="58">
        <f>IFERROR(AVERAGEIFS('Tüm İhaleler'!$V$3:$V$1646,'Tüm İhaleler'!$B$3:$B$1646,2024,'Tüm İhaleler'!$V$3:$V$1646,"&lt;&gt;"),"")</f>
        <v/>
      </c>
      <c r="H15" s="56">
        <f>COUNTIF('Tüm İhaleler'!$B$3:$B$1646,2025)</f>
        <v/>
      </c>
      <c r="I15" s="56">
        <f>SUMIF('Tüm İhaleler'!$B$3:$B$1646,2025,'Tüm İhaleler'!$T$3:$T$1646)</f>
        <v/>
      </c>
      <c r="J15" s="58">
        <f>IFERROR(AVERAGEIFS('Tüm İhaleler'!$V$3:$V$1646,'Tüm İhaleler'!$B$3:$B$1646,2025,'Tüm İhaleler'!$V$3:$V$1646,"&lt;&gt;"),"")</f>
        <v/>
      </c>
      <c r="K15" s="56">
        <f>COUNTIF('Tüm İhaleler'!$B$3:$B$1646,2026)</f>
        <v/>
      </c>
      <c r="L15" s="56">
        <f>SUMIF('Tüm İhaleler'!$B$3:$B$1646,2026,'Tüm İhaleler'!$T$3:$T$1646)</f>
        <v/>
      </c>
      <c r="M15" s="58">
        <f>IFERROR(AVERAGEIFS('Tüm İhaleler'!$V$3:$V$1646,'Tüm İhaleler'!$B$3:$B$1646,2026,'Tüm İhaleler'!$V$3:$V$1646,"&lt;&gt;"),"")</f>
        <v/>
      </c>
    </row>
    <row r="18">
      <c r="A18" s="50" t="inlineStr">
        <is>
          <t>5. Vade Dağılımı (Toplam Satış Net, Bin TL)</t>
        </is>
      </c>
    </row>
    <row r="19">
      <c r="A19" s="51" t="inlineStr">
        <is>
          <t>Vade Aralığı</t>
        </is>
      </c>
      <c r="B19" s="51" t="inlineStr">
        <is>
          <t>2023 Sayı</t>
        </is>
      </c>
      <c r="C19" s="51" t="inlineStr">
        <is>
          <t>2023 Net</t>
        </is>
      </c>
      <c r="D19" s="51" t="inlineStr">
        <is>
          <t>2023 Pay</t>
        </is>
      </c>
      <c r="E19" s="51" t="inlineStr">
        <is>
          <t>2023 Ort.Faiz</t>
        </is>
      </c>
      <c r="F19" s="51" t="inlineStr">
        <is>
          <t>2024 Sayı</t>
        </is>
      </c>
      <c r="G19" s="51" t="inlineStr">
        <is>
          <t>2024 Net</t>
        </is>
      </c>
      <c r="H19" s="51" t="inlineStr">
        <is>
          <t>2024 Pay</t>
        </is>
      </c>
      <c r="I19" s="51" t="inlineStr">
        <is>
          <t>2024 Ort.Faiz</t>
        </is>
      </c>
      <c r="J19" s="51" t="inlineStr">
        <is>
          <t>2025 Sayı</t>
        </is>
      </c>
      <c r="K19" s="51" t="inlineStr">
        <is>
          <t>2025 Net</t>
        </is>
      </c>
      <c r="L19" s="51" t="inlineStr">
        <is>
          <t>2025 Pay</t>
        </is>
      </c>
      <c r="M19" s="51" t="inlineStr">
        <is>
          <t>2025 Ort.Faiz</t>
        </is>
      </c>
      <c r="N19" s="51" t="inlineStr">
        <is>
          <t>2026 Sayı</t>
        </is>
      </c>
      <c r="O19" s="51" t="inlineStr">
        <is>
          <t>2026 Net</t>
        </is>
      </c>
      <c r="P19" s="51" t="inlineStr">
        <is>
          <t>2026 Pay</t>
        </is>
      </c>
      <c r="Q19" s="51" t="inlineStr">
        <is>
          <t>2026 Ort.Faiz</t>
        </is>
      </c>
    </row>
    <row r="20">
      <c r="A20" s="52" t="inlineStr">
        <is>
          <t>0-182 gün (Kısa)</t>
        </is>
      </c>
      <c r="B20" s="14">
        <f>COUNTIFS('Tüm İhaleler'!$B$3:$B$1646,2023,'Tüm İhaleler'!$F$3:$F$1646,"&gt;="&amp;0,'Tüm İhaleler'!$F$3:$F$1646,"&lt;="&amp;182)</f>
        <v/>
      </c>
      <c r="C20" s="14">
        <f>SUMIFS('Tüm İhaleler'!$T$3:$T$1646,'Tüm İhaleler'!$B$3:$B$1646,2023,'Tüm İhaleler'!$F$3:$F$1646,"&gt;="&amp;0,'Tüm İhaleler'!$F$3:$F$1646,"&lt;="&amp;182)</f>
        <v/>
      </c>
      <c r="D20" s="53">
        <f>IFERROR(C20/C26,"")</f>
        <v/>
      </c>
      <c r="E20" s="15">
        <f>IFERROR(AVERAGEIFS('Tüm İhaleler'!$V$3:$V$1646,'Tüm İhaleler'!$B$3:$B$1646,2023,'Tüm İhaleler'!$F$3:$F$1646,"&gt;="&amp;0,'Tüm İhaleler'!$F$3:$F$1646,"&lt;="&amp;182,'Tüm İhaleler'!$V$3:$V$1646,"&lt;&gt;"),"")</f>
        <v/>
      </c>
      <c r="F20" s="14">
        <f>COUNTIFS('Tüm İhaleler'!$B$3:$B$1646,2024,'Tüm İhaleler'!$F$3:$F$1646,"&gt;="&amp;0,'Tüm İhaleler'!$F$3:$F$1646,"&lt;="&amp;182)</f>
        <v/>
      </c>
      <c r="G20" s="14">
        <f>SUMIFS('Tüm İhaleler'!$T$3:$T$1646,'Tüm İhaleler'!$B$3:$B$1646,2024,'Tüm İhaleler'!$F$3:$F$1646,"&gt;="&amp;0,'Tüm İhaleler'!$F$3:$F$1646,"&lt;="&amp;182)</f>
        <v/>
      </c>
      <c r="H20" s="53">
        <f>IFERROR(G20/G26,"")</f>
        <v/>
      </c>
      <c r="I20" s="15">
        <f>IFERROR(AVERAGEIFS('Tüm İhaleler'!$V$3:$V$1646,'Tüm İhaleler'!$B$3:$B$1646,2024,'Tüm İhaleler'!$F$3:$F$1646,"&gt;="&amp;0,'Tüm İhaleler'!$F$3:$F$1646,"&lt;="&amp;182,'Tüm İhaleler'!$V$3:$V$1646,"&lt;&gt;"),"")</f>
        <v/>
      </c>
      <c r="J20" s="14">
        <f>COUNTIFS('Tüm İhaleler'!$B$3:$B$1646,2025,'Tüm İhaleler'!$F$3:$F$1646,"&gt;="&amp;0,'Tüm İhaleler'!$F$3:$F$1646,"&lt;="&amp;182)</f>
        <v/>
      </c>
      <c r="K20" s="14">
        <f>SUMIFS('Tüm İhaleler'!$T$3:$T$1646,'Tüm İhaleler'!$B$3:$B$1646,2025,'Tüm İhaleler'!$F$3:$F$1646,"&gt;="&amp;0,'Tüm İhaleler'!$F$3:$F$1646,"&lt;="&amp;182)</f>
        <v/>
      </c>
      <c r="L20" s="53">
        <f>IFERROR(K20/K26,"")</f>
        <v/>
      </c>
      <c r="M20" s="15">
        <f>IFERROR(AVERAGEIFS('Tüm İhaleler'!$V$3:$V$1646,'Tüm İhaleler'!$B$3:$B$1646,2025,'Tüm İhaleler'!$F$3:$F$1646,"&gt;="&amp;0,'Tüm İhaleler'!$F$3:$F$1646,"&lt;="&amp;182,'Tüm İhaleler'!$V$3:$V$1646,"&lt;&gt;"),"")</f>
        <v/>
      </c>
      <c r="N20" s="14">
        <f>COUNTIFS('Tüm İhaleler'!$B$3:$B$1646,2026,'Tüm İhaleler'!$F$3:$F$1646,"&gt;="&amp;0,'Tüm İhaleler'!$F$3:$F$1646,"&lt;="&amp;182)</f>
        <v/>
      </c>
      <c r="O20" s="14">
        <f>SUMIFS('Tüm İhaleler'!$T$3:$T$1646,'Tüm İhaleler'!$B$3:$B$1646,2026,'Tüm İhaleler'!$F$3:$F$1646,"&gt;="&amp;0,'Tüm İhaleler'!$F$3:$F$1646,"&lt;="&amp;182)</f>
        <v/>
      </c>
      <c r="P20" s="53">
        <f>IFERROR(O20/O26,"")</f>
        <v/>
      </c>
      <c r="Q20" s="15">
        <f>IFERROR(AVERAGEIFS('Tüm İhaleler'!$V$3:$V$1646,'Tüm İhaleler'!$B$3:$B$1646,2026,'Tüm İhaleler'!$F$3:$F$1646,"&gt;="&amp;0,'Tüm İhaleler'!$F$3:$F$1646,"&lt;="&amp;182,'Tüm İhaleler'!$V$3:$V$1646,"&lt;&gt;"),"")</f>
        <v/>
      </c>
    </row>
    <row r="21">
      <c r="A21" s="52" t="inlineStr">
        <is>
          <t>183-364 gün</t>
        </is>
      </c>
      <c r="B21" s="14">
        <f>COUNTIFS('Tüm İhaleler'!$B$3:$B$1646,2023,'Tüm İhaleler'!$F$3:$F$1646,"&gt;="&amp;183,'Tüm İhaleler'!$F$3:$F$1646,"&lt;="&amp;364)</f>
        <v/>
      </c>
      <c r="C21" s="14">
        <f>SUMIFS('Tüm İhaleler'!$T$3:$T$1646,'Tüm İhaleler'!$B$3:$B$1646,2023,'Tüm İhaleler'!$F$3:$F$1646,"&gt;="&amp;183,'Tüm İhaleler'!$F$3:$F$1646,"&lt;="&amp;364)</f>
        <v/>
      </c>
      <c r="D21" s="53">
        <f>IFERROR(C21/C26,"")</f>
        <v/>
      </c>
      <c r="E21" s="15">
        <f>IFERROR(AVERAGEIFS('Tüm İhaleler'!$V$3:$V$1646,'Tüm İhaleler'!$B$3:$B$1646,2023,'Tüm İhaleler'!$F$3:$F$1646,"&gt;="&amp;183,'Tüm İhaleler'!$F$3:$F$1646,"&lt;="&amp;364,'Tüm İhaleler'!$V$3:$V$1646,"&lt;&gt;"),"")</f>
        <v/>
      </c>
      <c r="F21" s="14">
        <f>COUNTIFS('Tüm İhaleler'!$B$3:$B$1646,2024,'Tüm İhaleler'!$F$3:$F$1646,"&gt;="&amp;183,'Tüm İhaleler'!$F$3:$F$1646,"&lt;="&amp;364)</f>
        <v/>
      </c>
      <c r="G21" s="14">
        <f>SUMIFS('Tüm İhaleler'!$T$3:$T$1646,'Tüm İhaleler'!$B$3:$B$1646,2024,'Tüm İhaleler'!$F$3:$F$1646,"&gt;="&amp;183,'Tüm İhaleler'!$F$3:$F$1646,"&lt;="&amp;364)</f>
        <v/>
      </c>
      <c r="H21" s="53">
        <f>IFERROR(G21/G26,"")</f>
        <v/>
      </c>
      <c r="I21" s="15">
        <f>IFERROR(AVERAGEIFS('Tüm İhaleler'!$V$3:$V$1646,'Tüm İhaleler'!$B$3:$B$1646,2024,'Tüm İhaleler'!$F$3:$F$1646,"&gt;="&amp;183,'Tüm İhaleler'!$F$3:$F$1646,"&lt;="&amp;364,'Tüm İhaleler'!$V$3:$V$1646,"&lt;&gt;"),"")</f>
        <v/>
      </c>
      <c r="J21" s="14">
        <f>COUNTIFS('Tüm İhaleler'!$B$3:$B$1646,2025,'Tüm İhaleler'!$F$3:$F$1646,"&gt;="&amp;183,'Tüm İhaleler'!$F$3:$F$1646,"&lt;="&amp;364)</f>
        <v/>
      </c>
      <c r="K21" s="14">
        <f>SUMIFS('Tüm İhaleler'!$T$3:$T$1646,'Tüm İhaleler'!$B$3:$B$1646,2025,'Tüm İhaleler'!$F$3:$F$1646,"&gt;="&amp;183,'Tüm İhaleler'!$F$3:$F$1646,"&lt;="&amp;364)</f>
        <v/>
      </c>
      <c r="L21" s="53">
        <f>IFERROR(K21/K26,"")</f>
        <v/>
      </c>
      <c r="M21" s="15">
        <f>IFERROR(AVERAGEIFS('Tüm İhaleler'!$V$3:$V$1646,'Tüm İhaleler'!$B$3:$B$1646,2025,'Tüm İhaleler'!$F$3:$F$1646,"&gt;="&amp;183,'Tüm İhaleler'!$F$3:$F$1646,"&lt;="&amp;364,'Tüm İhaleler'!$V$3:$V$1646,"&lt;&gt;"),"")</f>
        <v/>
      </c>
      <c r="N21" s="14">
        <f>COUNTIFS('Tüm İhaleler'!$B$3:$B$1646,2026,'Tüm İhaleler'!$F$3:$F$1646,"&gt;="&amp;183,'Tüm İhaleler'!$F$3:$F$1646,"&lt;="&amp;364)</f>
        <v/>
      </c>
      <c r="O21" s="14">
        <f>SUMIFS('Tüm İhaleler'!$T$3:$T$1646,'Tüm İhaleler'!$B$3:$B$1646,2026,'Tüm İhaleler'!$F$3:$F$1646,"&gt;="&amp;183,'Tüm İhaleler'!$F$3:$F$1646,"&lt;="&amp;364)</f>
        <v/>
      </c>
      <c r="P21" s="53">
        <f>IFERROR(O21/O26,"")</f>
        <v/>
      </c>
      <c r="Q21" s="15">
        <f>IFERROR(AVERAGEIFS('Tüm İhaleler'!$V$3:$V$1646,'Tüm İhaleler'!$B$3:$B$1646,2026,'Tüm İhaleler'!$F$3:$F$1646,"&gt;="&amp;183,'Tüm İhaleler'!$F$3:$F$1646,"&lt;="&amp;364,'Tüm İhaleler'!$V$3:$V$1646,"&lt;&gt;"),"")</f>
        <v/>
      </c>
    </row>
    <row r="22">
      <c r="A22" s="52" t="inlineStr">
        <is>
          <t>365-728 gün (1-2 yıl)</t>
        </is>
      </c>
      <c r="B22" s="14">
        <f>COUNTIFS('Tüm İhaleler'!$B$3:$B$1646,2023,'Tüm İhaleler'!$F$3:$F$1646,"&gt;="&amp;365,'Tüm İhaleler'!$F$3:$F$1646,"&lt;="&amp;728)</f>
        <v/>
      </c>
      <c r="C22" s="14">
        <f>SUMIFS('Tüm İhaleler'!$T$3:$T$1646,'Tüm İhaleler'!$B$3:$B$1646,2023,'Tüm İhaleler'!$F$3:$F$1646,"&gt;="&amp;365,'Tüm İhaleler'!$F$3:$F$1646,"&lt;="&amp;728)</f>
        <v/>
      </c>
      <c r="D22" s="53">
        <f>IFERROR(C22/C26,"")</f>
        <v/>
      </c>
      <c r="E22" s="15">
        <f>IFERROR(AVERAGEIFS('Tüm İhaleler'!$V$3:$V$1646,'Tüm İhaleler'!$B$3:$B$1646,2023,'Tüm İhaleler'!$F$3:$F$1646,"&gt;="&amp;365,'Tüm İhaleler'!$F$3:$F$1646,"&lt;="&amp;728,'Tüm İhaleler'!$V$3:$V$1646,"&lt;&gt;"),"")</f>
        <v/>
      </c>
      <c r="F22" s="14">
        <f>COUNTIFS('Tüm İhaleler'!$B$3:$B$1646,2024,'Tüm İhaleler'!$F$3:$F$1646,"&gt;="&amp;365,'Tüm İhaleler'!$F$3:$F$1646,"&lt;="&amp;728)</f>
        <v/>
      </c>
      <c r="G22" s="14">
        <f>SUMIFS('Tüm İhaleler'!$T$3:$T$1646,'Tüm İhaleler'!$B$3:$B$1646,2024,'Tüm İhaleler'!$F$3:$F$1646,"&gt;="&amp;365,'Tüm İhaleler'!$F$3:$F$1646,"&lt;="&amp;728)</f>
        <v/>
      </c>
      <c r="H22" s="53">
        <f>IFERROR(G22/G26,"")</f>
        <v/>
      </c>
      <c r="I22" s="15">
        <f>IFERROR(AVERAGEIFS('Tüm İhaleler'!$V$3:$V$1646,'Tüm İhaleler'!$B$3:$B$1646,2024,'Tüm İhaleler'!$F$3:$F$1646,"&gt;="&amp;365,'Tüm İhaleler'!$F$3:$F$1646,"&lt;="&amp;728,'Tüm İhaleler'!$V$3:$V$1646,"&lt;&gt;"),"")</f>
        <v/>
      </c>
      <c r="J22" s="14">
        <f>COUNTIFS('Tüm İhaleler'!$B$3:$B$1646,2025,'Tüm İhaleler'!$F$3:$F$1646,"&gt;="&amp;365,'Tüm İhaleler'!$F$3:$F$1646,"&lt;="&amp;728)</f>
        <v/>
      </c>
      <c r="K22" s="14">
        <f>SUMIFS('Tüm İhaleler'!$T$3:$T$1646,'Tüm İhaleler'!$B$3:$B$1646,2025,'Tüm İhaleler'!$F$3:$F$1646,"&gt;="&amp;365,'Tüm İhaleler'!$F$3:$F$1646,"&lt;="&amp;728)</f>
        <v/>
      </c>
      <c r="L22" s="53">
        <f>IFERROR(K22/K26,"")</f>
        <v/>
      </c>
      <c r="M22" s="15">
        <f>IFERROR(AVERAGEIFS('Tüm İhaleler'!$V$3:$V$1646,'Tüm İhaleler'!$B$3:$B$1646,2025,'Tüm İhaleler'!$F$3:$F$1646,"&gt;="&amp;365,'Tüm İhaleler'!$F$3:$F$1646,"&lt;="&amp;728,'Tüm İhaleler'!$V$3:$V$1646,"&lt;&gt;"),"")</f>
        <v/>
      </c>
      <c r="N22" s="14">
        <f>COUNTIFS('Tüm İhaleler'!$B$3:$B$1646,2026,'Tüm İhaleler'!$F$3:$F$1646,"&gt;="&amp;365,'Tüm İhaleler'!$F$3:$F$1646,"&lt;="&amp;728)</f>
        <v/>
      </c>
      <c r="O22" s="14">
        <f>SUMIFS('Tüm İhaleler'!$T$3:$T$1646,'Tüm İhaleler'!$B$3:$B$1646,2026,'Tüm İhaleler'!$F$3:$F$1646,"&gt;="&amp;365,'Tüm İhaleler'!$F$3:$F$1646,"&lt;="&amp;728)</f>
        <v/>
      </c>
      <c r="P22" s="53">
        <f>IFERROR(O22/O26,"")</f>
        <v/>
      </c>
      <c r="Q22" s="15">
        <f>IFERROR(AVERAGEIFS('Tüm İhaleler'!$V$3:$V$1646,'Tüm İhaleler'!$B$3:$B$1646,2026,'Tüm İhaleler'!$F$3:$F$1646,"&gt;="&amp;365,'Tüm İhaleler'!$F$3:$F$1646,"&lt;="&amp;728,'Tüm İhaleler'!$V$3:$V$1646,"&lt;&gt;"),"")</f>
        <v/>
      </c>
    </row>
    <row r="23">
      <c r="A23" s="52" t="inlineStr">
        <is>
          <t>729-1460 gün (2-4 yıl)</t>
        </is>
      </c>
      <c r="B23" s="14">
        <f>COUNTIFS('Tüm İhaleler'!$B$3:$B$1646,2023,'Tüm İhaleler'!$F$3:$F$1646,"&gt;="&amp;729,'Tüm İhaleler'!$F$3:$F$1646,"&lt;="&amp;1460)</f>
        <v/>
      </c>
      <c r="C23" s="14">
        <f>SUMIFS('Tüm İhaleler'!$T$3:$T$1646,'Tüm İhaleler'!$B$3:$B$1646,2023,'Tüm İhaleler'!$F$3:$F$1646,"&gt;="&amp;729,'Tüm İhaleler'!$F$3:$F$1646,"&lt;="&amp;1460)</f>
        <v/>
      </c>
      <c r="D23" s="53">
        <f>IFERROR(C23/C26,"")</f>
        <v/>
      </c>
      <c r="E23" s="15">
        <f>IFERROR(AVERAGEIFS('Tüm İhaleler'!$V$3:$V$1646,'Tüm İhaleler'!$B$3:$B$1646,2023,'Tüm İhaleler'!$F$3:$F$1646,"&gt;="&amp;729,'Tüm İhaleler'!$F$3:$F$1646,"&lt;="&amp;1460,'Tüm İhaleler'!$V$3:$V$1646,"&lt;&gt;"),"")</f>
        <v/>
      </c>
      <c r="F23" s="14">
        <f>COUNTIFS('Tüm İhaleler'!$B$3:$B$1646,2024,'Tüm İhaleler'!$F$3:$F$1646,"&gt;="&amp;729,'Tüm İhaleler'!$F$3:$F$1646,"&lt;="&amp;1460)</f>
        <v/>
      </c>
      <c r="G23" s="14">
        <f>SUMIFS('Tüm İhaleler'!$T$3:$T$1646,'Tüm İhaleler'!$B$3:$B$1646,2024,'Tüm İhaleler'!$F$3:$F$1646,"&gt;="&amp;729,'Tüm İhaleler'!$F$3:$F$1646,"&lt;="&amp;1460)</f>
        <v/>
      </c>
      <c r="H23" s="53">
        <f>IFERROR(G23/G26,"")</f>
        <v/>
      </c>
      <c r="I23" s="15">
        <f>IFERROR(AVERAGEIFS('Tüm İhaleler'!$V$3:$V$1646,'Tüm İhaleler'!$B$3:$B$1646,2024,'Tüm İhaleler'!$F$3:$F$1646,"&gt;="&amp;729,'Tüm İhaleler'!$F$3:$F$1646,"&lt;="&amp;1460,'Tüm İhaleler'!$V$3:$V$1646,"&lt;&gt;"),"")</f>
        <v/>
      </c>
      <c r="J23" s="14">
        <f>COUNTIFS('Tüm İhaleler'!$B$3:$B$1646,2025,'Tüm İhaleler'!$F$3:$F$1646,"&gt;="&amp;729,'Tüm İhaleler'!$F$3:$F$1646,"&lt;="&amp;1460)</f>
        <v/>
      </c>
      <c r="K23" s="14">
        <f>SUMIFS('Tüm İhaleler'!$T$3:$T$1646,'Tüm İhaleler'!$B$3:$B$1646,2025,'Tüm İhaleler'!$F$3:$F$1646,"&gt;="&amp;729,'Tüm İhaleler'!$F$3:$F$1646,"&lt;="&amp;1460)</f>
        <v/>
      </c>
      <c r="L23" s="53">
        <f>IFERROR(K23/K26,"")</f>
        <v/>
      </c>
      <c r="M23" s="15">
        <f>IFERROR(AVERAGEIFS('Tüm İhaleler'!$V$3:$V$1646,'Tüm İhaleler'!$B$3:$B$1646,2025,'Tüm İhaleler'!$F$3:$F$1646,"&gt;="&amp;729,'Tüm İhaleler'!$F$3:$F$1646,"&lt;="&amp;1460,'Tüm İhaleler'!$V$3:$V$1646,"&lt;&gt;"),"")</f>
        <v/>
      </c>
      <c r="N23" s="14">
        <f>COUNTIFS('Tüm İhaleler'!$B$3:$B$1646,2026,'Tüm İhaleler'!$F$3:$F$1646,"&gt;="&amp;729,'Tüm İhaleler'!$F$3:$F$1646,"&lt;="&amp;1460)</f>
        <v/>
      </c>
      <c r="O23" s="14">
        <f>SUMIFS('Tüm İhaleler'!$T$3:$T$1646,'Tüm İhaleler'!$B$3:$B$1646,2026,'Tüm İhaleler'!$F$3:$F$1646,"&gt;="&amp;729,'Tüm İhaleler'!$F$3:$F$1646,"&lt;="&amp;1460)</f>
        <v/>
      </c>
      <c r="P23" s="53">
        <f>IFERROR(O23/O26,"")</f>
        <v/>
      </c>
      <c r="Q23" s="15">
        <f>IFERROR(AVERAGEIFS('Tüm İhaleler'!$V$3:$V$1646,'Tüm İhaleler'!$B$3:$B$1646,2026,'Tüm İhaleler'!$F$3:$F$1646,"&gt;="&amp;729,'Tüm İhaleler'!$F$3:$F$1646,"&lt;="&amp;1460,'Tüm İhaleler'!$V$3:$V$1646,"&lt;&gt;"),"")</f>
        <v/>
      </c>
    </row>
    <row r="24">
      <c r="A24" s="52" t="inlineStr">
        <is>
          <t>1461-2555 gün (4-7 yıl)</t>
        </is>
      </c>
      <c r="B24" s="14">
        <f>COUNTIFS('Tüm İhaleler'!$B$3:$B$1646,2023,'Tüm İhaleler'!$F$3:$F$1646,"&gt;="&amp;1461,'Tüm İhaleler'!$F$3:$F$1646,"&lt;="&amp;2555)</f>
        <v/>
      </c>
      <c r="C24" s="14">
        <f>SUMIFS('Tüm İhaleler'!$T$3:$T$1646,'Tüm İhaleler'!$B$3:$B$1646,2023,'Tüm İhaleler'!$F$3:$F$1646,"&gt;="&amp;1461,'Tüm İhaleler'!$F$3:$F$1646,"&lt;="&amp;2555)</f>
        <v/>
      </c>
      <c r="D24" s="53">
        <f>IFERROR(C24/C26,"")</f>
        <v/>
      </c>
      <c r="E24" s="15">
        <f>IFERROR(AVERAGEIFS('Tüm İhaleler'!$V$3:$V$1646,'Tüm İhaleler'!$B$3:$B$1646,2023,'Tüm İhaleler'!$F$3:$F$1646,"&gt;="&amp;1461,'Tüm İhaleler'!$F$3:$F$1646,"&lt;="&amp;2555,'Tüm İhaleler'!$V$3:$V$1646,"&lt;&gt;"),"")</f>
        <v/>
      </c>
      <c r="F24" s="14">
        <f>COUNTIFS('Tüm İhaleler'!$B$3:$B$1646,2024,'Tüm İhaleler'!$F$3:$F$1646,"&gt;="&amp;1461,'Tüm İhaleler'!$F$3:$F$1646,"&lt;="&amp;2555)</f>
        <v/>
      </c>
      <c r="G24" s="14">
        <f>SUMIFS('Tüm İhaleler'!$T$3:$T$1646,'Tüm İhaleler'!$B$3:$B$1646,2024,'Tüm İhaleler'!$F$3:$F$1646,"&gt;="&amp;1461,'Tüm İhaleler'!$F$3:$F$1646,"&lt;="&amp;2555)</f>
        <v/>
      </c>
      <c r="H24" s="53">
        <f>IFERROR(G24/G26,"")</f>
        <v/>
      </c>
      <c r="I24" s="15">
        <f>IFERROR(AVERAGEIFS('Tüm İhaleler'!$V$3:$V$1646,'Tüm İhaleler'!$B$3:$B$1646,2024,'Tüm İhaleler'!$F$3:$F$1646,"&gt;="&amp;1461,'Tüm İhaleler'!$F$3:$F$1646,"&lt;="&amp;2555,'Tüm İhaleler'!$V$3:$V$1646,"&lt;&gt;"),"")</f>
        <v/>
      </c>
      <c r="J24" s="14">
        <f>COUNTIFS('Tüm İhaleler'!$B$3:$B$1646,2025,'Tüm İhaleler'!$F$3:$F$1646,"&gt;="&amp;1461,'Tüm İhaleler'!$F$3:$F$1646,"&lt;="&amp;2555)</f>
        <v/>
      </c>
      <c r="K24" s="14">
        <f>SUMIFS('Tüm İhaleler'!$T$3:$T$1646,'Tüm İhaleler'!$B$3:$B$1646,2025,'Tüm İhaleler'!$F$3:$F$1646,"&gt;="&amp;1461,'Tüm İhaleler'!$F$3:$F$1646,"&lt;="&amp;2555)</f>
        <v/>
      </c>
      <c r="L24" s="53">
        <f>IFERROR(K24/K26,"")</f>
        <v/>
      </c>
      <c r="M24" s="15">
        <f>IFERROR(AVERAGEIFS('Tüm İhaleler'!$V$3:$V$1646,'Tüm İhaleler'!$B$3:$B$1646,2025,'Tüm İhaleler'!$F$3:$F$1646,"&gt;="&amp;1461,'Tüm İhaleler'!$F$3:$F$1646,"&lt;="&amp;2555,'Tüm İhaleler'!$V$3:$V$1646,"&lt;&gt;"),"")</f>
        <v/>
      </c>
      <c r="N24" s="14">
        <f>COUNTIFS('Tüm İhaleler'!$B$3:$B$1646,2026,'Tüm İhaleler'!$F$3:$F$1646,"&gt;="&amp;1461,'Tüm İhaleler'!$F$3:$F$1646,"&lt;="&amp;2555)</f>
        <v/>
      </c>
      <c r="O24" s="14">
        <f>SUMIFS('Tüm İhaleler'!$T$3:$T$1646,'Tüm İhaleler'!$B$3:$B$1646,2026,'Tüm İhaleler'!$F$3:$F$1646,"&gt;="&amp;1461,'Tüm İhaleler'!$F$3:$F$1646,"&lt;="&amp;2555)</f>
        <v/>
      </c>
      <c r="P24" s="53">
        <f>IFERROR(O24/O26,"")</f>
        <v/>
      </c>
      <c r="Q24" s="15">
        <f>IFERROR(AVERAGEIFS('Tüm İhaleler'!$V$3:$V$1646,'Tüm İhaleler'!$B$3:$B$1646,2026,'Tüm İhaleler'!$F$3:$F$1646,"&gt;="&amp;1461,'Tüm İhaleler'!$F$3:$F$1646,"&lt;="&amp;2555,'Tüm İhaleler'!$V$3:$V$1646,"&lt;&gt;"),"")</f>
        <v/>
      </c>
    </row>
    <row r="25">
      <c r="A25" s="52" t="inlineStr">
        <is>
          <t>2556+ gün (7+ yıl)</t>
        </is>
      </c>
      <c r="B25" s="14">
        <f>COUNTIFS('Tüm İhaleler'!$B$3:$B$1646,2023,'Tüm İhaleler'!$F$3:$F$1646,"&gt;="&amp;2556,'Tüm İhaleler'!$F$3:$F$1646,"&lt;="&amp;99999)</f>
        <v/>
      </c>
      <c r="C25" s="14">
        <f>SUMIFS('Tüm İhaleler'!$T$3:$T$1646,'Tüm İhaleler'!$B$3:$B$1646,2023,'Tüm İhaleler'!$F$3:$F$1646,"&gt;="&amp;2556,'Tüm İhaleler'!$F$3:$F$1646,"&lt;="&amp;99999)</f>
        <v/>
      </c>
      <c r="D25" s="53">
        <f>IFERROR(C25/C26,"")</f>
        <v/>
      </c>
      <c r="E25" s="15">
        <f>IFERROR(AVERAGEIFS('Tüm İhaleler'!$V$3:$V$1646,'Tüm İhaleler'!$B$3:$B$1646,2023,'Tüm İhaleler'!$F$3:$F$1646,"&gt;="&amp;2556,'Tüm İhaleler'!$F$3:$F$1646,"&lt;="&amp;99999,'Tüm İhaleler'!$V$3:$V$1646,"&lt;&gt;"),"")</f>
        <v/>
      </c>
      <c r="F25" s="14">
        <f>COUNTIFS('Tüm İhaleler'!$B$3:$B$1646,2024,'Tüm İhaleler'!$F$3:$F$1646,"&gt;="&amp;2556,'Tüm İhaleler'!$F$3:$F$1646,"&lt;="&amp;99999)</f>
        <v/>
      </c>
      <c r="G25" s="14">
        <f>SUMIFS('Tüm İhaleler'!$T$3:$T$1646,'Tüm İhaleler'!$B$3:$B$1646,2024,'Tüm İhaleler'!$F$3:$F$1646,"&gt;="&amp;2556,'Tüm İhaleler'!$F$3:$F$1646,"&lt;="&amp;99999)</f>
        <v/>
      </c>
      <c r="H25" s="53">
        <f>IFERROR(G25/G26,"")</f>
        <v/>
      </c>
      <c r="I25" s="15">
        <f>IFERROR(AVERAGEIFS('Tüm İhaleler'!$V$3:$V$1646,'Tüm İhaleler'!$B$3:$B$1646,2024,'Tüm İhaleler'!$F$3:$F$1646,"&gt;="&amp;2556,'Tüm İhaleler'!$F$3:$F$1646,"&lt;="&amp;99999,'Tüm İhaleler'!$V$3:$V$1646,"&lt;&gt;"),"")</f>
        <v/>
      </c>
      <c r="J25" s="14">
        <f>COUNTIFS('Tüm İhaleler'!$B$3:$B$1646,2025,'Tüm İhaleler'!$F$3:$F$1646,"&gt;="&amp;2556,'Tüm İhaleler'!$F$3:$F$1646,"&lt;="&amp;99999)</f>
        <v/>
      </c>
      <c r="K25" s="14">
        <f>SUMIFS('Tüm İhaleler'!$T$3:$T$1646,'Tüm İhaleler'!$B$3:$B$1646,2025,'Tüm İhaleler'!$F$3:$F$1646,"&gt;="&amp;2556,'Tüm İhaleler'!$F$3:$F$1646,"&lt;="&amp;99999)</f>
        <v/>
      </c>
      <c r="L25" s="53">
        <f>IFERROR(K25/K26,"")</f>
        <v/>
      </c>
      <c r="M25" s="15">
        <f>IFERROR(AVERAGEIFS('Tüm İhaleler'!$V$3:$V$1646,'Tüm İhaleler'!$B$3:$B$1646,2025,'Tüm İhaleler'!$F$3:$F$1646,"&gt;="&amp;2556,'Tüm İhaleler'!$F$3:$F$1646,"&lt;="&amp;99999,'Tüm İhaleler'!$V$3:$V$1646,"&lt;&gt;"),"")</f>
        <v/>
      </c>
      <c r="N25" s="14">
        <f>COUNTIFS('Tüm İhaleler'!$B$3:$B$1646,2026,'Tüm İhaleler'!$F$3:$F$1646,"&gt;="&amp;2556,'Tüm İhaleler'!$F$3:$F$1646,"&lt;="&amp;99999)</f>
        <v/>
      </c>
      <c r="O25" s="14">
        <f>SUMIFS('Tüm İhaleler'!$T$3:$T$1646,'Tüm İhaleler'!$B$3:$B$1646,2026,'Tüm İhaleler'!$F$3:$F$1646,"&gt;="&amp;2556,'Tüm İhaleler'!$F$3:$F$1646,"&lt;="&amp;99999)</f>
        <v/>
      </c>
      <c r="P25" s="53">
        <f>IFERROR(O25/O26,"")</f>
        <v/>
      </c>
      <c r="Q25" s="15">
        <f>IFERROR(AVERAGEIFS('Tüm İhaleler'!$V$3:$V$1646,'Tüm İhaleler'!$B$3:$B$1646,2026,'Tüm İhaleler'!$F$3:$F$1646,"&gt;="&amp;2556,'Tüm İhaleler'!$F$3:$F$1646,"&lt;="&amp;99999,'Tüm İhaleler'!$V$3:$V$1646,"&lt;&gt;"),"")</f>
        <v/>
      </c>
    </row>
    <row r="26">
      <c r="A26" s="55" t="inlineStr">
        <is>
          <t>TOPLAM</t>
        </is>
      </c>
      <c r="B26" s="56">
        <f>COUNTIF('Tüm İhaleler'!$B$3:$B$1646,2023)</f>
        <v/>
      </c>
      <c r="C26" s="56">
        <f>SUMIF('Tüm İhaleler'!$B$3:$B$1646,2023,'Tüm İhaleler'!$T$3:$T$1646)</f>
        <v/>
      </c>
      <c r="D26" s="57" t="n">
        <v>1</v>
      </c>
      <c r="E26" s="58">
        <f>IFERROR(AVERAGEIFS('Tüm İhaleler'!$V$3:$V$1646,'Tüm İhaleler'!$B$3:$B$1646,2023,'Tüm İhaleler'!$V$3:$V$1646,"&lt;&gt;"),"")</f>
        <v/>
      </c>
      <c r="F26" s="56">
        <f>COUNTIF('Tüm İhaleler'!$B$3:$B$1646,2024)</f>
        <v/>
      </c>
      <c r="G26" s="56">
        <f>SUMIF('Tüm İhaleler'!$B$3:$B$1646,2024,'Tüm İhaleler'!$T$3:$T$1646)</f>
        <v/>
      </c>
      <c r="H26" s="57" t="n">
        <v>1</v>
      </c>
      <c r="I26" s="58">
        <f>IFERROR(AVERAGEIFS('Tüm İhaleler'!$V$3:$V$1646,'Tüm İhaleler'!$B$3:$B$1646,2024,'Tüm İhaleler'!$V$3:$V$1646,"&lt;&gt;"),"")</f>
        <v/>
      </c>
      <c r="J26" s="56">
        <f>COUNTIF('Tüm İhaleler'!$B$3:$B$1646,2025)</f>
        <v/>
      </c>
      <c r="K26" s="56">
        <f>SUMIF('Tüm İhaleler'!$B$3:$B$1646,2025,'Tüm İhaleler'!$T$3:$T$1646)</f>
        <v/>
      </c>
      <c r="L26" s="57" t="n">
        <v>1</v>
      </c>
      <c r="M26" s="58">
        <f>IFERROR(AVERAGEIFS('Tüm İhaleler'!$V$3:$V$1646,'Tüm İhaleler'!$B$3:$B$1646,2025,'Tüm İhaleler'!$V$3:$V$1646,"&lt;&gt;"),"")</f>
        <v/>
      </c>
      <c r="N26" s="56">
        <f>COUNTIF('Tüm İhaleler'!$B$3:$B$1646,2026)</f>
        <v/>
      </c>
      <c r="O26" s="56">
        <f>SUMIF('Tüm İhaleler'!$B$3:$B$1646,2026,'Tüm İhaleler'!$T$3:$T$1646)</f>
        <v/>
      </c>
      <c r="P26" s="57" t="n">
        <v>1</v>
      </c>
      <c r="Q26" s="58">
        <f>IFERROR(AVERAGEIFS('Tüm İhaleler'!$V$3:$V$1646,'Tüm İhaleler'!$B$3:$B$1646,2026,'Tüm İhaleler'!$V$3:$V$1646,"&lt;&gt;"),"")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55A11"/>
    <outlinePr summaryBelow="1" summaryRight="1"/>
    <pageSetUpPr/>
  </sheetPr>
  <dimension ref="A1:I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50" t="inlineStr">
        <is>
          <t>6. Borçlanma Maliyeti ve Talep Analizi</t>
        </is>
      </c>
    </row>
    <row r="2">
      <c r="A2" s="51" t="inlineStr">
        <is>
          <t>Metrik</t>
        </is>
      </c>
      <c r="B2" s="51" t="n">
        <v>2023</v>
      </c>
      <c r="C2" s="51" t="n">
        <v>2024</v>
      </c>
      <c r="D2" s="51" t="n">
        <v>2025</v>
      </c>
      <c r="E2" s="51" t="n">
        <v>2026</v>
      </c>
      <c r="F2" s="51" t="inlineStr">
        <is>
          <t>Değişim (2025→2026)</t>
        </is>
      </c>
      <c r="G2" s="51" t="inlineStr">
        <is>
          <t>Değişim (%)</t>
        </is>
      </c>
    </row>
    <row r="3">
      <c r="A3" s="52" t="inlineStr">
        <is>
          <t>Ağırlıklı Ort. Faiz (Net Bazlı, %)</t>
        </is>
      </c>
      <c r="B3" s="15">
        <f>IFERROR(SUMPRODUCT(('Tüm İhaleler'!$B$3:$B$1646=2023)*('Tüm İhaleler'!$V$3:$V$1646)*('Tüm İhaleler'!$T$3:$T$1646))/SUMIF('Tüm İhaleler'!$B$3:$B$1646,2023,'Tüm İhaleler'!$T$3:$T$1646),"")</f>
        <v/>
      </c>
      <c r="C3" s="15">
        <f>IFERROR(SUMPRODUCT(('Tüm İhaleler'!$B$3:$B$1646=2024)*('Tüm İhaleler'!$V$3:$V$1646)*('Tüm İhaleler'!$T$3:$T$1646))/SUMIF('Tüm İhaleler'!$B$3:$B$1646,2024,'Tüm İhaleler'!$T$3:$T$1646),"")</f>
        <v/>
      </c>
      <c r="D3" s="15">
        <f>IFERROR(SUMPRODUCT(('Tüm İhaleler'!$B$3:$B$1646=2025)*('Tüm İhaleler'!$V$3:$V$1646)*('Tüm İhaleler'!$T$3:$T$1646))/SUMIF('Tüm İhaleler'!$B$3:$B$1646,2025,'Tüm İhaleler'!$T$3:$T$1646),"")</f>
        <v/>
      </c>
      <c r="E3" s="15">
        <f>IFERROR(SUMPRODUCT(('Tüm İhaleler'!$B$3:$B$1646=2026)*('Tüm İhaleler'!$V$3:$V$1646)*('Tüm İhaleler'!$T$3:$T$1646))/SUMIF('Tüm İhaleler'!$B$3:$B$1646,2026,'Tüm İhaleler'!$T$3:$T$1646),"")</f>
        <v/>
      </c>
      <c r="F3" s="15">
        <f>IFERROR(E3-D3,"")</f>
        <v/>
      </c>
      <c r="G3" s="53">
        <f>IFERROR((E3-D3)/ABS(D3),"")</f>
        <v/>
      </c>
    </row>
    <row r="4">
      <c r="A4" s="52" t="inlineStr">
        <is>
          <t>Toplam Net Borçlanma (Bin TL)</t>
        </is>
      </c>
      <c r="B4" s="14">
        <f>SUMIF('Tüm İhaleler'!$B$3:$B$1646,2023,'Tüm İhaleler'!$T$3:$T$1646)</f>
        <v/>
      </c>
      <c r="C4" s="14">
        <f>SUMIF('Tüm İhaleler'!$B$3:$B$1646,2024,'Tüm İhaleler'!$T$3:$T$1646)</f>
        <v/>
      </c>
      <c r="D4" s="14">
        <f>SUMIF('Tüm İhaleler'!$B$3:$B$1646,2025,'Tüm İhaleler'!$T$3:$T$1646)</f>
        <v/>
      </c>
      <c r="E4" s="14">
        <f>SUMIF('Tüm İhaleler'!$B$3:$B$1646,2026,'Tüm İhaleler'!$T$3:$T$1646)</f>
        <v/>
      </c>
      <c r="F4" s="14">
        <f>IFERROR(E4-D4,"")</f>
        <v/>
      </c>
      <c r="G4" s="53">
        <f>IFERROR((E4-D4)/ABS(D4),"")</f>
        <v/>
      </c>
    </row>
    <row r="5">
      <c r="A5" s="52" t="inlineStr">
        <is>
          <t>Teklif/Kabul Oranı</t>
        </is>
      </c>
      <c r="B5" s="48">
        <f>IFERROR(SUMIF('Tüm İhaleler'!$B$3:$B$1646,2023,'Tüm İhaleler'!$I$3:$I$1646)/SUMIF('Tüm İhaleler'!$B$3:$B$1646,2023,'Tüm İhaleler'!$K$3:$K$1646),"")</f>
        <v/>
      </c>
      <c r="C5" s="48">
        <f>IFERROR(SUMIF('Tüm İhaleler'!$B$3:$B$1646,2024,'Tüm İhaleler'!$I$3:$I$1646)/SUMIF('Tüm İhaleler'!$B$3:$B$1646,2024,'Tüm İhaleler'!$K$3:$K$1646),"")</f>
        <v/>
      </c>
      <c r="D5" s="48">
        <f>IFERROR(SUMIF('Tüm İhaleler'!$B$3:$B$1646,2025,'Tüm İhaleler'!$I$3:$I$1646)/SUMIF('Tüm İhaleler'!$B$3:$B$1646,2025,'Tüm İhaleler'!$K$3:$K$1646),"")</f>
        <v/>
      </c>
      <c r="E5" s="48">
        <f>IFERROR(SUMIF('Tüm İhaleler'!$B$3:$B$1646,2026,'Tüm İhaleler'!$I$3:$I$1646)/SUMIF('Tüm İhaleler'!$B$3:$B$1646,2026,'Tüm İhaleler'!$K$3:$K$1646),"")</f>
        <v/>
      </c>
      <c r="F5" s="48">
        <f>IFERROR(E5-D5,"")</f>
        <v/>
      </c>
      <c r="G5" s="53">
        <f>IFERROR((E5-D5)/ABS(D5),"")</f>
        <v/>
      </c>
    </row>
    <row r="6">
      <c r="A6" s="52" t="inlineStr">
        <is>
          <t>Ort. İhale Başına Net (Bin TL)</t>
        </is>
      </c>
      <c r="B6" s="14">
        <f>IFERROR(SUMIF('Tüm İhaleler'!$B$3:$B$1646,2023,'Tüm İhaleler'!$T$3:$T$1646)/COUNTIF('Tüm İhaleler'!$B$3:$B$1646,2023),"")</f>
        <v/>
      </c>
      <c r="C6" s="14">
        <f>IFERROR(SUMIF('Tüm İhaleler'!$B$3:$B$1646,2024,'Tüm İhaleler'!$T$3:$T$1646)/COUNTIF('Tüm İhaleler'!$B$3:$B$1646,2024),"")</f>
        <v/>
      </c>
      <c r="D6" s="14">
        <f>IFERROR(SUMIF('Tüm İhaleler'!$B$3:$B$1646,2025,'Tüm İhaleler'!$T$3:$T$1646)/COUNTIF('Tüm İhaleler'!$B$3:$B$1646,2025),"")</f>
        <v/>
      </c>
      <c r="E6" s="14">
        <f>IFERROR(SUMIF('Tüm İhaleler'!$B$3:$B$1646,2026,'Tüm İhaleler'!$T$3:$T$1646)/COUNTIF('Tüm İhaleler'!$B$3:$B$1646,2026),"")</f>
        <v/>
      </c>
      <c r="F6" s="14">
        <f>IFERROR(E6-D6,"")</f>
        <v/>
      </c>
      <c r="G6" s="53">
        <f>IFERROR((E6-D6)/ABS(D6),"")</f>
        <v/>
      </c>
    </row>
    <row r="7">
      <c r="A7" s="52" t="inlineStr">
        <is>
          <t>Toplam Rek. Kamu Net (Bin TL)</t>
        </is>
      </c>
      <c r="B7" s="14">
        <f>SUMIF('Tüm İhaleler'!$B$3:$B$1646,2023,'Tüm İhaleler'!$N$3:$N$1646)</f>
        <v/>
      </c>
      <c r="C7" s="14">
        <f>SUMIF('Tüm İhaleler'!$B$3:$B$1646,2024,'Tüm İhaleler'!$N$3:$N$1646)</f>
        <v/>
      </c>
      <c r="D7" s="14">
        <f>SUMIF('Tüm İhaleler'!$B$3:$B$1646,2025,'Tüm İhaleler'!$N$3:$N$1646)</f>
        <v/>
      </c>
      <c r="E7" s="14">
        <f>SUMIF('Tüm İhaleler'!$B$3:$B$1646,2026,'Tüm İhaleler'!$N$3:$N$1646)</f>
        <v/>
      </c>
      <c r="F7" s="14">
        <f>IFERROR(E7-D7,"")</f>
        <v/>
      </c>
      <c r="G7" s="53">
        <f>IFERROR((E7-D7)/ABS(D7),"")</f>
        <v/>
      </c>
    </row>
    <row r="8">
      <c r="A8" s="52" t="inlineStr">
        <is>
          <t>Toplam Rek. PY Net (Bin TL)</t>
        </is>
      </c>
      <c r="B8" s="14">
        <f>SUMIF('Tüm İhaleler'!$B$3:$B$1646,2023,'Tüm İhaleler'!$P$3:$P$1646)</f>
        <v/>
      </c>
      <c r="C8" s="14">
        <f>SUMIF('Tüm İhaleler'!$B$3:$B$1646,2024,'Tüm İhaleler'!$P$3:$P$1646)</f>
        <v/>
      </c>
      <c r="D8" s="14">
        <f>SUMIF('Tüm İhaleler'!$B$3:$B$1646,2025,'Tüm İhaleler'!$P$3:$P$1646)</f>
        <v/>
      </c>
      <c r="E8" s="14">
        <f>SUMIF('Tüm İhaleler'!$B$3:$B$1646,2026,'Tüm İhaleler'!$P$3:$P$1646)</f>
        <v/>
      </c>
      <c r="F8" s="14">
        <f>IFERROR(E8-D8,"")</f>
        <v/>
      </c>
      <c r="G8" s="53">
        <f>IFERROR((E8-D8)/ABS(D8),"")</f>
        <v/>
      </c>
    </row>
    <row r="9">
      <c r="A9" s="52" t="inlineStr">
        <is>
          <t>Toplam İhale Sonrası Net (Bin TL)</t>
        </is>
      </c>
      <c r="B9" s="14">
        <f>SUMIF('Tüm İhaleler'!$B$3:$B$1646,2023,'Tüm İhaleler'!$R$3:$R$1646)</f>
        <v/>
      </c>
      <c r="C9" s="14">
        <f>SUMIF('Tüm İhaleler'!$B$3:$B$1646,2024,'Tüm İhaleler'!$R$3:$R$1646)</f>
        <v/>
      </c>
      <c r="D9" s="14">
        <f>SUMIF('Tüm İhaleler'!$B$3:$B$1646,2025,'Tüm İhaleler'!$R$3:$R$1646)</f>
        <v/>
      </c>
      <c r="E9" s="14">
        <f>SUMIF('Tüm İhaleler'!$B$3:$B$1646,2026,'Tüm İhaleler'!$R$3:$R$1646)</f>
        <v/>
      </c>
      <c r="F9" s="14">
        <f>IFERROR(E9-D9,"")</f>
        <v/>
      </c>
      <c r="G9" s="53">
        <f>IFERROR((E9-D9)/ABS(D9),"")</f>
        <v/>
      </c>
    </row>
    <row r="12">
      <c r="A12" s="50" t="inlineStr">
        <is>
          <t>7. Yatırımcı / Satış Kanalı Dağılımı (Net, Bin TL)</t>
        </is>
      </c>
    </row>
    <row r="13">
      <c r="A13" s="54" t="inlineStr">
        <is>
          <t>Kanal</t>
        </is>
      </c>
      <c r="B13" s="54" t="inlineStr">
        <is>
          <t>2023 Net</t>
        </is>
      </c>
      <c r="C13" s="54" t="inlineStr">
        <is>
          <t>2023 Pay</t>
        </is>
      </c>
      <c r="D13" s="54" t="inlineStr">
        <is>
          <t>2024 Net</t>
        </is>
      </c>
      <c r="E13" s="54" t="inlineStr">
        <is>
          <t>2024 Pay</t>
        </is>
      </c>
      <c r="F13" s="54" t="inlineStr">
        <is>
          <t>2025 Net</t>
        </is>
      </c>
      <c r="G13" s="54" t="inlineStr">
        <is>
          <t>2025 Pay</t>
        </is>
      </c>
      <c r="H13" s="54" t="inlineStr">
        <is>
          <t>2026 Net</t>
        </is>
      </c>
      <c r="I13" s="54" t="inlineStr">
        <is>
          <t>2026 Pay</t>
        </is>
      </c>
    </row>
    <row r="14">
      <c r="A14" s="52" t="inlineStr">
        <is>
          <t>İhale Kabul (Rekabetçi)</t>
        </is>
      </c>
      <c r="B14" s="14">
        <f>SUMIF('Tüm İhaleler'!$B$3:$B$1646,2023,'Tüm İhaleler'!$L$3:$L$1646)</f>
        <v/>
      </c>
      <c r="C14" s="53">
        <f>IFERROR(B14/B18,"")</f>
        <v/>
      </c>
      <c r="D14" s="14">
        <f>SUMIF('Tüm İhaleler'!$B$3:$B$1646,2024,'Tüm İhaleler'!$L$3:$L$1646)</f>
        <v/>
      </c>
      <c r="E14" s="53">
        <f>IFERROR(D14/D18,"")</f>
        <v/>
      </c>
      <c r="F14" s="14">
        <f>SUMIF('Tüm İhaleler'!$B$3:$B$1646,2025,'Tüm İhaleler'!$L$3:$L$1646)</f>
        <v/>
      </c>
      <c r="G14" s="53">
        <f>IFERROR(F14/F18,"")</f>
        <v/>
      </c>
      <c r="H14" s="14">
        <f>SUMIF('Tüm İhaleler'!$B$3:$B$1646,2026,'Tüm İhaleler'!$L$3:$L$1646)</f>
        <v/>
      </c>
      <c r="I14" s="53">
        <f>IFERROR(H14/H18,"")</f>
        <v/>
      </c>
    </row>
    <row r="15">
      <c r="A15" s="52" t="inlineStr">
        <is>
          <t>Rek. Olmayan - Kamu</t>
        </is>
      </c>
      <c r="B15" s="14">
        <f>SUMIF('Tüm İhaleler'!$B$3:$B$1646,2023,'Tüm İhaleler'!$N$3:$N$1646)</f>
        <v/>
      </c>
      <c r="C15" s="53">
        <f>IFERROR(B15/B18,"")</f>
        <v/>
      </c>
      <c r="D15" s="14">
        <f>SUMIF('Tüm İhaleler'!$B$3:$B$1646,2024,'Tüm İhaleler'!$N$3:$N$1646)</f>
        <v/>
      </c>
      <c r="E15" s="53">
        <f>IFERROR(D15/D18,"")</f>
        <v/>
      </c>
      <c r="F15" s="14">
        <f>SUMIF('Tüm İhaleler'!$B$3:$B$1646,2025,'Tüm İhaleler'!$N$3:$N$1646)</f>
        <v/>
      </c>
      <c r="G15" s="53">
        <f>IFERROR(F15/F18,"")</f>
        <v/>
      </c>
      <c r="H15" s="14">
        <f>SUMIF('Tüm İhaleler'!$B$3:$B$1646,2026,'Tüm İhaleler'!$N$3:$N$1646)</f>
        <v/>
      </c>
      <c r="I15" s="53">
        <f>IFERROR(H15/H18,"")</f>
        <v/>
      </c>
    </row>
    <row r="16">
      <c r="A16" s="52" t="inlineStr">
        <is>
          <t>Rek. Olmayan - Piyasa Yapıcı</t>
        </is>
      </c>
      <c r="B16" s="14">
        <f>SUMIF('Tüm İhaleler'!$B$3:$B$1646,2023,'Tüm İhaleler'!$P$3:$P$1646)</f>
        <v/>
      </c>
      <c r="C16" s="53">
        <f>IFERROR(B16/B18,"")</f>
        <v/>
      </c>
      <c r="D16" s="14">
        <f>SUMIF('Tüm İhaleler'!$B$3:$B$1646,2024,'Tüm İhaleler'!$P$3:$P$1646)</f>
        <v/>
      </c>
      <c r="E16" s="53">
        <f>IFERROR(D16/D18,"")</f>
        <v/>
      </c>
      <c r="F16" s="14">
        <f>SUMIF('Tüm İhaleler'!$B$3:$B$1646,2025,'Tüm İhaleler'!$P$3:$P$1646)</f>
        <v/>
      </c>
      <c r="G16" s="53">
        <f>IFERROR(F16/F18,"")</f>
        <v/>
      </c>
      <c r="H16" s="14">
        <f>SUMIF('Tüm İhaleler'!$B$3:$B$1646,2026,'Tüm İhaleler'!$P$3:$P$1646)</f>
        <v/>
      </c>
      <c r="I16" s="53">
        <f>IFERROR(H16/H18,"")</f>
        <v/>
      </c>
    </row>
    <row r="17">
      <c r="A17" s="52" t="inlineStr">
        <is>
          <t>İhale Sonrası Satış</t>
        </is>
      </c>
      <c r="B17" s="14">
        <f>SUMIF('Tüm İhaleler'!$B$3:$B$1646,2023,'Tüm İhaleler'!$R$3:$R$1646)</f>
        <v/>
      </c>
      <c r="C17" s="53">
        <f>IFERROR(B17/B18,"")</f>
        <v/>
      </c>
      <c r="D17" s="14">
        <f>SUMIF('Tüm İhaleler'!$B$3:$B$1646,2024,'Tüm İhaleler'!$R$3:$R$1646)</f>
        <v/>
      </c>
      <c r="E17" s="53">
        <f>IFERROR(D17/D18,"")</f>
        <v/>
      </c>
      <c r="F17" s="14">
        <f>SUMIF('Tüm İhaleler'!$B$3:$B$1646,2025,'Tüm İhaleler'!$R$3:$R$1646)</f>
        <v/>
      </c>
      <c r="G17" s="53">
        <f>IFERROR(F17/F18,"")</f>
        <v/>
      </c>
      <c r="H17" s="14">
        <f>SUMIF('Tüm İhaleler'!$B$3:$B$1646,2026,'Tüm İhaleler'!$R$3:$R$1646)</f>
        <v/>
      </c>
      <c r="I17" s="53">
        <f>IFERROR(H17/H18,"")</f>
        <v/>
      </c>
    </row>
    <row r="18">
      <c r="A18" s="55" t="inlineStr">
        <is>
          <t>TOPLAM</t>
        </is>
      </c>
      <c r="B18" s="56">
        <f>SUMIF('Tüm İhaleler'!$B$3:$B$1646,2023,'Tüm İhaleler'!$T$3:$T$1646)</f>
        <v/>
      </c>
      <c r="C18" s="57" t="n">
        <v>1</v>
      </c>
      <c r="D18" s="56">
        <f>SUMIF('Tüm İhaleler'!$B$3:$B$1646,2024,'Tüm İhaleler'!$T$3:$T$1646)</f>
        <v/>
      </c>
      <c r="E18" s="57" t="n">
        <v>1</v>
      </c>
      <c r="F18" s="56">
        <f>SUMIF('Tüm İhaleler'!$B$3:$B$1646,2025,'Tüm İhaleler'!$T$3:$T$1646)</f>
        <v/>
      </c>
      <c r="G18" s="57" t="n">
        <v>1</v>
      </c>
      <c r="H18" s="56">
        <f>SUMIF('Tüm İhaleler'!$B$3:$B$1646,2026,'Tüm İhaleler'!$T$3:$T$1646)</f>
        <v/>
      </c>
      <c r="I18" s="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I5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18" customWidth="1" min="4" max="4"/>
    <col width="14" customWidth="1" min="5" max="5"/>
    <col width="8" customWidth="1" min="6" max="6"/>
    <col width="12" customWidth="1" min="7" max="7"/>
    <col width="16" customWidth="1" min="8" max="8"/>
    <col width="12" customWidth="1" min="9" max="9"/>
  </cols>
  <sheetData>
    <row r="1">
      <c r="A1" s="50" t="inlineStr">
        <is>
          <t>8. Çeyreklik Faiz Trendi (2020+)</t>
        </is>
      </c>
    </row>
    <row r="2">
      <c r="A2" s="51" t="inlineStr">
        <is>
          <t>Yıl-Çeyrek</t>
        </is>
      </c>
      <c r="B2" s="51" t="inlineStr">
        <is>
          <t>İhale Sayısı</t>
        </is>
      </c>
      <c r="C2" s="51" t="inlineStr">
        <is>
          <t>Ort. Bileşik Faiz (%)</t>
        </is>
      </c>
      <c r="D2" s="51" t="inlineStr">
        <is>
          <t>Ağırlıklı Ort. Faiz (%)</t>
        </is>
      </c>
      <c r="E2" s="51" t="inlineStr">
        <is>
          <t>Ort. Vade (gün)</t>
        </is>
      </c>
      <c r="F2" s="51" t="inlineStr">
        <is>
          <t>Toplam Net (Bin TL)</t>
        </is>
      </c>
    </row>
    <row r="3">
      <c r="A3" s="44" t="inlineStr">
        <is>
          <t>2020-Q1</t>
        </is>
      </c>
      <c r="B3" s="14">
        <f>COUNTIFS('Tüm İhaleler'!$B$3:$B$1646,2020,'Tüm İhaleler'!$D$3:$D$1646,"??.01.*")+COUNTIFS('Tüm İhaleler'!$B$3:$B$1646,2020,'Tüm İhaleler'!$D$3:$D$1646,"??.02.*")+COUNTIFS('Tüm İhaleler'!$B$3:$B$1646,2020,'Tüm İhaleler'!$D$3:$D$1646,"??.03.*")</f>
        <v/>
      </c>
      <c r="C3" s="15">
        <f>IFERROR(SUMPRODUCT(('Tüm İhaleler'!$B$3:$B$1646=2020)*((MID('Tüm İhaleler'!$D$3:$D$1646,4,2)="01")+(MID('Tüm İhaleler'!$D$3:$D$1646,4,2)="02")+(MID('Tüm İhaleler'!$D$3:$D$1646,4,2)="03"))*('Tüm İhaleler'!$V$3:$V$1646)*(('Tüm İhaleler'!$V$3:$V$1646&lt;&gt;"")*1))/SUMPRODUCT(('Tüm İhaleler'!$B$3:$B$1646=2020)*((MID('Tüm İhaleler'!$D$3:$D$1646,4,2)="01")+(MID('Tüm İhaleler'!$D$3:$D$1646,4,2)="02")+(MID('Tüm İhaleler'!$D$3:$D$1646,4,2)="03"))*(('Tüm İhaleler'!$V$3:$V$1646&lt;&gt;"")*1)),"")</f>
        <v/>
      </c>
      <c r="D3" s="15">
        <f>IFERROR(SUMPRODUCT(('Tüm İhaleler'!$B$3:$B$1646=2020)*((MID('Tüm İhaleler'!$D$3:$D$1646,4,2)="01")+(MID('Tüm İhaleler'!$D$3:$D$1646,4,2)="02")+(MID('Tüm İhaleler'!$D$3:$D$1646,4,2)="03"))*('Tüm İhaleler'!$V$3:$V$1646)*('Tüm İhaleler'!$T$3:$T$1646))/SUMPRODUCT(('Tüm İhaleler'!$B$3:$B$1646=2020)*((MID('Tüm İhaleler'!$D$3:$D$1646,4,2)="01")+(MID('Tüm İhaleler'!$D$3:$D$1646,4,2)="02")+(MID('Tüm İhaleler'!$D$3:$D$1646,4,2)="03"))*('Tüm İhaleler'!$T$3:$T$1646)),"")</f>
        <v/>
      </c>
      <c r="E3" s="14">
        <f>IFERROR(SUMPRODUCT(('Tüm İhaleler'!$B$3:$B$1646=2020)*((MID('Tüm İhaleler'!$D$3:$D$1646,4,2)="01")+(MID('Tüm İhaleler'!$D$3:$D$1646,4,2)="02")+(MID('Tüm İhaleler'!$D$3:$D$1646,4,2)="03"))*('Tüm İhaleler'!$F$3:$F$1646)*(('Tüm İhaleler'!$F$3:$F$1646&lt;&gt;"")*1))/SUMPRODUCT(('Tüm İhaleler'!$B$3:$B$1646=2020)*((MID('Tüm İhaleler'!$D$3:$D$1646,4,2)="01")+(MID('Tüm İhaleler'!$D$3:$D$1646,4,2)="02")+(MID('Tüm İhaleler'!$D$3:$D$1646,4,2)="03"))*(('Tüm İhaleler'!$F$3:$F$1646&lt;&gt;"")*1)),"")</f>
        <v/>
      </c>
      <c r="F3" s="14">
        <f>SUMIFS('Tüm İhaleler'!$T$3:$T$1646,'Tüm İhaleler'!$B$3:$B$1646,2020,'Tüm İhaleler'!$D$3:$D$1646,"??.01.*")+SUMIFS('Tüm İhaleler'!$T$3:$T$1646,'Tüm İhaleler'!$B$3:$B$1646,2020,'Tüm İhaleler'!$D$3:$D$1646,"??.02.*")+SUMIFS('Tüm İhaleler'!$T$3:$T$1646,'Tüm İhaleler'!$B$3:$B$1646,2020,'Tüm İhaleler'!$D$3:$D$1646,"??.03.*")</f>
        <v/>
      </c>
    </row>
    <row r="4">
      <c r="A4" s="44" t="inlineStr">
        <is>
          <t>2020-Q2</t>
        </is>
      </c>
      <c r="B4" s="14">
        <f>COUNTIFS('Tüm İhaleler'!$B$3:$B$1646,2020,'Tüm İhaleler'!$D$3:$D$1646,"??.04.*")+COUNTIFS('Tüm İhaleler'!$B$3:$B$1646,2020,'Tüm İhaleler'!$D$3:$D$1646,"??.05.*")+COUNTIFS('Tüm İhaleler'!$B$3:$B$1646,2020,'Tüm İhaleler'!$D$3:$D$1646,"??.06.*")</f>
        <v/>
      </c>
      <c r="C4" s="15">
        <f>IFERROR(SUMPRODUCT(('Tüm İhaleler'!$B$3:$B$1646=2020)*((MID('Tüm İhaleler'!$D$3:$D$1646,4,2)="04")+(MID('Tüm İhaleler'!$D$3:$D$1646,4,2)="05")+(MID('Tüm İhaleler'!$D$3:$D$1646,4,2)="06"))*('Tüm İhaleler'!$V$3:$V$1646)*(('Tüm İhaleler'!$V$3:$V$1646&lt;&gt;"")*1))/SUMPRODUCT(('Tüm İhaleler'!$B$3:$B$1646=2020)*((MID('Tüm İhaleler'!$D$3:$D$1646,4,2)="04")+(MID('Tüm İhaleler'!$D$3:$D$1646,4,2)="05")+(MID('Tüm İhaleler'!$D$3:$D$1646,4,2)="06"))*(('Tüm İhaleler'!$V$3:$V$1646&lt;&gt;"")*1)),"")</f>
        <v/>
      </c>
      <c r="D4" s="15">
        <f>IFERROR(SUMPRODUCT(('Tüm İhaleler'!$B$3:$B$1646=2020)*((MID('Tüm İhaleler'!$D$3:$D$1646,4,2)="04")+(MID('Tüm İhaleler'!$D$3:$D$1646,4,2)="05")+(MID('Tüm İhaleler'!$D$3:$D$1646,4,2)="06"))*('Tüm İhaleler'!$V$3:$V$1646)*('Tüm İhaleler'!$T$3:$T$1646))/SUMPRODUCT(('Tüm İhaleler'!$B$3:$B$1646=2020)*((MID('Tüm İhaleler'!$D$3:$D$1646,4,2)="04")+(MID('Tüm İhaleler'!$D$3:$D$1646,4,2)="05")+(MID('Tüm İhaleler'!$D$3:$D$1646,4,2)="06"))*('Tüm İhaleler'!$T$3:$T$1646)),"")</f>
        <v/>
      </c>
      <c r="E4" s="14">
        <f>IFERROR(SUMPRODUCT(('Tüm İhaleler'!$B$3:$B$1646=2020)*((MID('Tüm İhaleler'!$D$3:$D$1646,4,2)="04")+(MID('Tüm İhaleler'!$D$3:$D$1646,4,2)="05")+(MID('Tüm İhaleler'!$D$3:$D$1646,4,2)="06"))*('Tüm İhaleler'!$F$3:$F$1646)*(('Tüm İhaleler'!$F$3:$F$1646&lt;&gt;"")*1))/SUMPRODUCT(('Tüm İhaleler'!$B$3:$B$1646=2020)*((MID('Tüm İhaleler'!$D$3:$D$1646,4,2)="04")+(MID('Tüm İhaleler'!$D$3:$D$1646,4,2)="05")+(MID('Tüm İhaleler'!$D$3:$D$1646,4,2)="06"))*(('Tüm İhaleler'!$F$3:$F$1646&lt;&gt;"")*1)),"")</f>
        <v/>
      </c>
      <c r="F4" s="14">
        <f>SUMIFS('Tüm İhaleler'!$T$3:$T$1646,'Tüm İhaleler'!$B$3:$B$1646,2020,'Tüm İhaleler'!$D$3:$D$1646,"??.04.*")+SUMIFS('Tüm İhaleler'!$T$3:$T$1646,'Tüm İhaleler'!$B$3:$B$1646,2020,'Tüm İhaleler'!$D$3:$D$1646,"??.05.*")+SUMIFS('Tüm İhaleler'!$T$3:$T$1646,'Tüm İhaleler'!$B$3:$B$1646,2020,'Tüm İhaleler'!$D$3:$D$1646,"??.06.*")</f>
        <v/>
      </c>
    </row>
    <row r="5">
      <c r="A5" s="44" t="inlineStr">
        <is>
          <t>2020-Q3</t>
        </is>
      </c>
      <c r="B5" s="14">
        <f>COUNTIFS('Tüm İhaleler'!$B$3:$B$1646,2020,'Tüm İhaleler'!$D$3:$D$1646,"??.07.*")+COUNTIFS('Tüm İhaleler'!$B$3:$B$1646,2020,'Tüm İhaleler'!$D$3:$D$1646,"??.08.*")+COUNTIFS('Tüm İhaleler'!$B$3:$B$1646,2020,'Tüm İhaleler'!$D$3:$D$1646,"??.09.*")</f>
        <v/>
      </c>
      <c r="C5" s="15">
        <f>IFERROR(SUMPRODUCT(('Tüm İhaleler'!$B$3:$B$1646=2020)*((MID('Tüm İhaleler'!$D$3:$D$1646,4,2)="07")+(MID('Tüm İhaleler'!$D$3:$D$1646,4,2)="08")+(MID('Tüm İhaleler'!$D$3:$D$1646,4,2)="09"))*('Tüm İhaleler'!$V$3:$V$1646)*(('Tüm İhaleler'!$V$3:$V$1646&lt;&gt;"")*1))/SUMPRODUCT(('Tüm İhaleler'!$B$3:$B$1646=2020)*((MID('Tüm İhaleler'!$D$3:$D$1646,4,2)="07")+(MID('Tüm İhaleler'!$D$3:$D$1646,4,2)="08")+(MID('Tüm İhaleler'!$D$3:$D$1646,4,2)="09"))*(('Tüm İhaleler'!$V$3:$V$1646&lt;&gt;"")*1)),"")</f>
        <v/>
      </c>
      <c r="D5" s="15">
        <f>IFERROR(SUMPRODUCT(('Tüm İhaleler'!$B$3:$B$1646=2020)*((MID('Tüm İhaleler'!$D$3:$D$1646,4,2)="07")+(MID('Tüm İhaleler'!$D$3:$D$1646,4,2)="08")+(MID('Tüm İhaleler'!$D$3:$D$1646,4,2)="09"))*('Tüm İhaleler'!$V$3:$V$1646)*('Tüm İhaleler'!$T$3:$T$1646))/SUMPRODUCT(('Tüm İhaleler'!$B$3:$B$1646=2020)*((MID('Tüm İhaleler'!$D$3:$D$1646,4,2)="07")+(MID('Tüm İhaleler'!$D$3:$D$1646,4,2)="08")+(MID('Tüm İhaleler'!$D$3:$D$1646,4,2)="09"))*('Tüm İhaleler'!$T$3:$T$1646)),"")</f>
        <v/>
      </c>
      <c r="E5" s="14">
        <f>IFERROR(SUMPRODUCT(('Tüm İhaleler'!$B$3:$B$1646=2020)*((MID('Tüm İhaleler'!$D$3:$D$1646,4,2)="07")+(MID('Tüm İhaleler'!$D$3:$D$1646,4,2)="08")+(MID('Tüm İhaleler'!$D$3:$D$1646,4,2)="09"))*('Tüm İhaleler'!$F$3:$F$1646)*(('Tüm İhaleler'!$F$3:$F$1646&lt;&gt;"")*1))/SUMPRODUCT(('Tüm İhaleler'!$B$3:$B$1646=2020)*((MID('Tüm İhaleler'!$D$3:$D$1646,4,2)="07")+(MID('Tüm İhaleler'!$D$3:$D$1646,4,2)="08")+(MID('Tüm İhaleler'!$D$3:$D$1646,4,2)="09"))*(('Tüm İhaleler'!$F$3:$F$1646&lt;&gt;"")*1)),"")</f>
        <v/>
      </c>
      <c r="F5" s="14">
        <f>SUMIFS('Tüm İhaleler'!$T$3:$T$1646,'Tüm İhaleler'!$B$3:$B$1646,2020,'Tüm İhaleler'!$D$3:$D$1646,"??.07.*")+SUMIFS('Tüm İhaleler'!$T$3:$T$1646,'Tüm İhaleler'!$B$3:$B$1646,2020,'Tüm İhaleler'!$D$3:$D$1646,"??.08.*")+SUMIFS('Tüm İhaleler'!$T$3:$T$1646,'Tüm İhaleler'!$B$3:$B$1646,2020,'Tüm İhaleler'!$D$3:$D$1646,"??.09.*")</f>
        <v/>
      </c>
    </row>
    <row r="6">
      <c r="A6" s="44" t="inlineStr">
        <is>
          <t>2020-Q4</t>
        </is>
      </c>
      <c r="B6" s="14">
        <f>COUNTIFS('Tüm İhaleler'!$B$3:$B$1646,2020,'Tüm İhaleler'!$D$3:$D$1646,"??.10.*")+COUNTIFS('Tüm İhaleler'!$B$3:$B$1646,2020,'Tüm İhaleler'!$D$3:$D$1646,"??.11.*")+COUNTIFS('Tüm İhaleler'!$B$3:$B$1646,2020,'Tüm İhaleler'!$D$3:$D$1646,"??.12.*")</f>
        <v/>
      </c>
      <c r="C6" s="15">
        <f>IFERROR(SUMPRODUCT(('Tüm İhaleler'!$B$3:$B$1646=2020)*((MID('Tüm İhaleler'!$D$3:$D$1646,4,2)="10")+(MID('Tüm İhaleler'!$D$3:$D$1646,4,2)="11")+(MID('Tüm İhaleler'!$D$3:$D$1646,4,2)="12"))*('Tüm İhaleler'!$V$3:$V$1646)*(('Tüm İhaleler'!$V$3:$V$1646&lt;&gt;"")*1))/SUMPRODUCT(('Tüm İhaleler'!$B$3:$B$1646=2020)*((MID('Tüm İhaleler'!$D$3:$D$1646,4,2)="10")+(MID('Tüm İhaleler'!$D$3:$D$1646,4,2)="11")+(MID('Tüm İhaleler'!$D$3:$D$1646,4,2)="12"))*(('Tüm İhaleler'!$V$3:$V$1646&lt;&gt;"")*1)),"")</f>
        <v/>
      </c>
      <c r="D6" s="15">
        <f>IFERROR(SUMPRODUCT(('Tüm İhaleler'!$B$3:$B$1646=2020)*((MID('Tüm İhaleler'!$D$3:$D$1646,4,2)="10")+(MID('Tüm İhaleler'!$D$3:$D$1646,4,2)="11")+(MID('Tüm İhaleler'!$D$3:$D$1646,4,2)="12"))*('Tüm İhaleler'!$V$3:$V$1646)*('Tüm İhaleler'!$T$3:$T$1646))/SUMPRODUCT(('Tüm İhaleler'!$B$3:$B$1646=2020)*((MID('Tüm İhaleler'!$D$3:$D$1646,4,2)="10")+(MID('Tüm İhaleler'!$D$3:$D$1646,4,2)="11")+(MID('Tüm İhaleler'!$D$3:$D$1646,4,2)="12"))*('Tüm İhaleler'!$T$3:$T$1646)),"")</f>
        <v/>
      </c>
      <c r="E6" s="14">
        <f>IFERROR(SUMPRODUCT(('Tüm İhaleler'!$B$3:$B$1646=2020)*((MID('Tüm İhaleler'!$D$3:$D$1646,4,2)="10")+(MID('Tüm İhaleler'!$D$3:$D$1646,4,2)="11")+(MID('Tüm İhaleler'!$D$3:$D$1646,4,2)="12"))*('Tüm İhaleler'!$F$3:$F$1646)*(('Tüm İhaleler'!$F$3:$F$1646&lt;&gt;"")*1))/SUMPRODUCT(('Tüm İhaleler'!$B$3:$B$1646=2020)*((MID('Tüm İhaleler'!$D$3:$D$1646,4,2)="10")+(MID('Tüm İhaleler'!$D$3:$D$1646,4,2)="11")+(MID('Tüm İhaleler'!$D$3:$D$1646,4,2)="12"))*(('Tüm İhaleler'!$F$3:$F$1646&lt;&gt;"")*1)),"")</f>
        <v/>
      </c>
      <c r="F6" s="14">
        <f>SUMIFS('Tüm İhaleler'!$T$3:$T$1646,'Tüm İhaleler'!$B$3:$B$1646,2020,'Tüm İhaleler'!$D$3:$D$1646,"??.10.*")+SUMIFS('Tüm İhaleler'!$T$3:$T$1646,'Tüm İhaleler'!$B$3:$B$1646,2020,'Tüm İhaleler'!$D$3:$D$1646,"??.11.*")+SUMIFS('Tüm İhaleler'!$T$3:$T$1646,'Tüm İhaleler'!$B$3:$B$1646,2020,'Tüm İhaleler'!$D$3:$D$1646,"??.12.*")</f>
        <v/>
      </c>
    </row>
    <row r="7">
      <c r="A7" s="44" t="inlineStr">
        <is>
          <t>2021-Q1</t>
        </is>
      </c>
      <c r="B7" s="14">
        <f>COUNTIFS('Tüm İhaleler'!$B$3:$B$1646,2021,'Tüm İhaleler'!$D$3:$D$1646,"??.01.*")+COUNTIFS('Tüm İhaleler'!$B$3:$B$1646,2021,'Tüm İhaleler'!$D$3:$D$1646,"??.02.*")+COUNTIFS('Tüm İhaleler'!$B$3:$B$1646,2021,'Tüm İhaleler'!$D$3:$D$1646,"??.03.*")</f>
        <v/>
      </c>
      <c r="C7" s="15">
        <f>IFERROR(SUMPRODUCT(('Tüm İhaleler'!$B$3:$B$1646=2021)*((MID('Tüm İhaleler'!$D$3:$D$1646,4,2)="01")+(MID('Tüm İhaleler'!$D$3:$D$1646,4,2)="02")+(MID('Tüm İhaleler'!$D$3:$D$1646,4,2)="03"))*('Tüm İhaleler'!$V$3:$V$1646)*(('Tüm İhaleler'!$V$3:$V$1646&lt;&gt;"")*1))/SUMPRODUCT(('Tüm İhaleler'!$B$3:$B$1646=2021)*((MID('Tüm İhaleler'!$D$3:$D$1646,4,2)="01")+(MID('Tüm İhaleler'!$D$3:$D$1646,4,2)="02")+(MID('Tüm İhaleler'!$D$3:$D$1646,4,2)="03"))*(('Tüm İhaleler'!$V$3:$V$1646&lt;&gt;"")*1)),"")</f>
        <v/>
      </c>
      <c r="D7" s="15">
        <f>IFERROR(SUMPRODUCT(('Tüm İhaleler'!$B$3:$B$1646=2021)*((MID('Tüm İhaleler'!$D$3:$D$1646,4,2)="01")+(MID('Tüm İhaleler'!$D$3:$D$1646,4,2)="02")+(MID('Tüm İhaleler'!$D$3:$D$1646,4,2)="03"))*('Tüm İhaleler'!$V$3:$V$1646)*('Tüm İhaleler'!$T$3:$T$1646))/SUMPRODUCT(('Tüm İhaleler'!$B$3:$B$1646=2021)*((MID('Tüm İhaleler'!$D$3:$D$1646,4,2)="01")+(MID('Tüm İhaleler'!$D$3:$D$1646,4,2)="02")+(MID('Tüm İhaleler'!$D$3:$D$1646,4,2)="03"))*('Tüm İhaleler'!$T$3:$T$1646)),"")</f>
        <v/>
      </c>
      <c r="E7" s="14">
        <f>IFERROR(SUMPRODUCT(('Tüm İhaleler'!$B$3:$B$1646=2021)*((MID('Tüm İhaleler'!$D$3:$D$1646,4,2)="01")+(MID('Tüm İhaleler'!$D$3:$D$1646,4,2)="02")+(MID('Tüm İhaleler'!$D$3:$D$1646,4,2)="03"))*('Tüm İhaleler'!$F$3:$F$1646)*(('Tüm İhaleler'!$F$3:$F$1646&lt;&gt;"")*1))/SUMPRODUCT(('Tüm İhaleler'!$B$3:$B$1646=2021)*((MID('Tüm İhaleler'!$D$3:$D$1646,4,2)="01")+(MID('Tüm İhaleler'!$D$3:$D$1646,4,2)="02")+(MID('Tüm İhaleler'!$D$3:$D$1646,4,2)="03"))*(('Tüm İhaleler'!$F$3:$F$1646&lt;&gt;"")*1)),"")</f>
        <v/>
      </c>
      <c r="F7" s="14">
        <f>SUMIFS('Tüm İhaleler'!$T$3:$T$1646,'Tüm İhaleler'!$B$3:$B$1646,2021,'Tüm İhaleler'!$D$3:$D$1646,"??.01.*")+SUMIFS('Tüm İhaleler'!$T$3:$T$1646,'Tüm İhaleler'!$B$3:$B$1646,2021,'Tüm İhaleler'!$D$3:$D$1646,"??.02.*")+SUMIFS('Tüm İhaleler'!$T$3:$T$1646,'Tüm İhaleler'!$B$3:$B$1646,2021,'Tüm İhaleler'!$D$3:$D$1646,"??.03.*")</f>
        <v/>
      </c>
    </row>
    <row r="8">
      <c r="A8" s="44" t="inlineStr">
        <is>
          <t>2021-Q2</t>
        </is>
      </c>
      <c r="B8" s="14">
        <f>COUNTIFS('Tüm İhaleler'!$B$3:$B$1646,2021,'Tüm İhaleler'!$D$3:$D$1646,"??.04.*")+COUNTIFS('Tüm İhaleler'!$B$3:$B$1646,2021,'Tüm İhaleler'!$D$3:$D$1646,"??.05.*")+COUNTIFS('Tüm İhaleler'!$B$3:$B$1646,2021,'Tüm İhaleler'!$D$3:$D$1646,"??.06.*")</f>
        <v/>
      </c>
      <c r="C8" s="15">
        <f>IFERROR(SUMPRODUCT(('Tüm İhaleler'!$B$3:$B$1646=2021)*((MID('Tüm İhaleler'!$D$3:$D$1646,4,2)="04")+(MID('Tüm İhaleler'!$D$3:$D$1646,4,2)="05")+(MID('Tüm İhaleler'!$D$3:$D$1646,4,2)="06"))*('Tüm İhaleler'!$V$3:$V$1646)*(('Tüm İhaleler'!$V$3:$V$1646&lt;&gt;"")*1))/SUMPRODUCT(('Tüm İhaleler'!$B$3:$B$1646=2021)*((MID('Tüm İhaleler'!$D$3:$D$1646,4,2)="04")+(MID('Tüm İhaleler'!$D$3:$D$1646,4,2)="05")+(MID('Tüm İhaleler'!$D$3:$D$1646,4,2)="06"))*(('Tüm İhaleler'!$V$3:$V$1646&lt;&gt;"")*1)),"")</f>
        <v/>
      </c>
      <c r="D8" s="15">
        <f>IFERROR(SUMPRODUCT(('Tüm İhaleler'!$B$3:$B$1646=2021)*((MID('Tüm İhaleler'!$D$3:$D$1646,4,2)="04")+(MID('Tüm İhaleler'!$D$3:$D$1646,4,2)="05")+(MID('Tüm İhaleler'!$D$3:$D$1646,4,2)="06"))*('Tüm İhaleler'!$V$3:$V$1646)*('Tüm İhaleler'!$T$3:$T$1646))/SUMPRODUCT(('Tüm İhaleler'!$B$3:$B$1646=2021)*((MID('Tüm İhaleler'!$D$3:$D$1646,4,2)="04")+(MID('Tüm İhaleler'!$D$3:$D$1646,4,2)="05")+(MID('Tüm İhaleler'!$D$3:$D$1646,4,2)="06"))*('Tüm İhaleler'!$T$3:$T$1646)),"")</f>
        <v/>
      </c>
      <c r="E8" s="14">
        <f>IFERROR(SUMPRODUCT(('Tüm İhaleler'!$B$3:$B$1646=2021)*((MID('Tüm İhaleler'!$D$3:$D$1646,4,2)="04")+(MID('Tüm İhaleler'!$D$3:$D$1646,4,2)="05")+(MID('Tüm İhaleler'!$D$3:$D$1646,4,2)="06"))*('Tüm İhaleler'!$F$3:$F$1646)*(('Tüm İhaleler'!$F$3:$F$1646&lt;&gt;"")*1))/SUMPRODUCT(('Tüm İhaleler'!$B$3:$B$1646=2021)*((MID('Tüm İhaleler'!$D$3:$D$1646,4,2)="04")+(MID('Tüm İhaleler'!$D$3:$D$1646,4,2)="05")+(MID('Tüm İhaleler'!$D$3:$D$1646,4,2)="06"))*(('Tüm İhaleler'!$F$3:$F$1646&lt;&gt;"")*1)),"")</f>
        <v/>
      </c>
      <c r="F8" s="14">
        <f>SUMIFS('Tüm İhaleler'!$T$3:$T$1646,'Tüm İhaleler'!$B$3:$B$1646,2021,'Tüm İhaleler'!$D$3:$D$1646,"??.04.*")+SUMIFS('Tüm İhaleler'!$T$3:$T$1646,'Tüm İhaleler'!$B$3:$B$1646,2021,'Tüm İhaleler'!$D$3:$D$1646,"??.05.*")+SUMIFS('Tüm İhaleler'!$T$3:$T$1646,'Tüm İhaleler'!$B$3:$B$1646,2021,'Tüm İhaleler'!$D$3:$D$1646,"??.06.*")</f>
        <v/>
      </c>
    </row>
    <row r="9">
      <c r="A9" s="44" t="inlineStr">
        <is>
          <t>2021-Q3</t>
        </is>
      </c>
      <c r="B9" s="14">
        <f>COUNTIFS('Tüm İhaleler'!$B$3:$B$1646,2021,'Tüm İhaleler'!$D$3:$D$1646,"??.07.*")+COUNTIFS('Tüm İhaleler'!$B$3:$B$1646,2021,'Tüm İhaleler'!$D$3:$D$1646,"??.08.*")+COUNTIFS('Tüm İhaleler'!$B$3:$B$1646,2021,'Tüm İhaleler'!$D$3:$D$1646,"??.09.*")</f>
        <v/>
      </c>
      <c r="C9" s="15">
        <f>IFERROR(SUMPRODUCT(('Tüm İhaleler'!$B$3:$B$1646=2021)*((MID('Tüm İhaleler'!$D$3:$D$1646,4,2)="07")+(MID('Tüm İhaleler'!$D$3:$D$1646,4,2)="08")+(MID('Tüm İhaleler'!$D$3:$D$1646,4,2)="09"))*('Tüm İhaleler'!$V$3:$V$1646)*(('Tüm İhaleler'!$V$3:$V$1646&lt;&gt;"")*1))/SUMPRODUCT(('Tüm İhaleler'!$B$3:$B$1646=2021)*((MID('Tüm İhaleler'!$D$3:$D$1646,4,2)="07")+(MID('Tüm İhaleler'!$D$3:$D$1646,4,2)="08")+(MID('Tüm İhaleler'!$D$3:$D$1646,4,2)="09"))*(('Tüm İhaleler'!$V$3:$V$1646&lt;&gt;"")*1)),"")</f>
        <v/>
      </c>
      <c r="D9" s="15">
        <f>IFERROR(SUMPRODUCT(('Tüm İhaleler'!$B$3:$B$1646=2021)*((MID('Tüm İhaleler'!$D$3:$D$1646,4,2)="07")+(MID('Tüm İhaleler'!$D$3:$D$1646,4,2)="08")+(MID('Tüm İhaleler'!$D$3:$D$1646,4,2)="09"))*('Tüm İhaleler'!$V$3:$V$1646)*('Tüm İhaleler'!$T$3:$T$1646))/SUMPRODUCT(('Tüm İhaleler'!$B$3:$B$1646=2021)*((MID('Tüm İhaleler'!$D$3:$D$1646,4,2)="07")+(MID('Tüm İhaleler'!$D$3:$D$1646,4,2)="08")+(MID('Tüm İhaleler'!$D$3:$D$1646,4,2)="09"))*('Tüm İhaleler'!$T$3:$T$1646)),"")</f>
        <v/>
      </c>
      <c r="E9" s="14">
        <f>IFERROR(SUMPRODUCT(('Tüm İhaleler'!$B$3:$B$1646=2021)*((MID('Tüm İhaleler'!$D$3:$D$1646,4,2)="07")+(MID('Tüm İhaleler'!$D$3:$D$1646,4,2)="08")+(MID('Tüm İhaleler'!$D$3:$D$1646,4,2)="09"))*('Tüm İhaleler'!$F$3:$F$1646)*(('Tüm İhaleler'!$F$3:$F$1646&lt;&gt;"")*1))/SUMPRODUCT(('Tüm İhaleler'!$B$3:$B$1646=2021)*((MID('Tüm İhaleler'!$D$3:$D$1646,4,2)="07")+(MID('Tüm İhaleler'!$D$3:$D$1646,4,2)="08")+(MID('Tüm İhaleler'!$D$3:$D$1646,4,2)="09"))*(('Tüm İhaleler'!$F$3:$F$1646&lt;&gt;"")*1)),"")</f>
        <v/>
      </c>
      <c r="F9" s="14">
        <f>SUMIFS('Tüm İhaleler'!$T$3:$T$1646,'Tüm İhaleler'!$B$3:$B$1646,2021,'Tüm İhaleler'!$D$3:$D$1646,"??.07.*")+SUMIFS('Tüm İhaleler'!$T$3:$T$1646,'Tüm İhaleler'!$B$3:$B$1646,2021,'Tüm İhaleler'!$D$3:$D$1646,"??.08.*")+SUMIFS('Tüm İhaleler'!$T$3:$T$1646,'Tüm İhaleler'!$B$3:$B$1646,2021,'Tüm İhaleler'!$D$3:$D$1646,"??.09.*")</f>
        <v/>
      </c>
    </row>
    <row r="10">
      <c r="A10" s="44" t="inlineStr">
        <is>
          <t>2021-Q4</t>
        </is>
      </c>
      <c r="B10" s="14">
        <f>COUNTIFS('Tüm İhaleler'!$B$3:$B$1646,2021,'Tüm İhaleler'!$D$3:$D$1646,"??.10.*")+COUNTIFS('Tüm İhaleler'!$B$3:$B$1646,2021,'Tüm İhaleler'!$D$3:$D$1646,"??.11.*")+COUNTIFS('Tüm İhaleler'!$B$3:$B$1646,2021,'Tüm İhaleler'!$D$3:$D$1646,"??.12.*")</f>
        <v/>
      </c>
      <c r="C10" s="15">
        <f>IFERROR(SUMPRODUCT(('Tüm İhaleler'!$B$3:$B$1646=2021)*((MID('Tüm İhaleler'!$D$3:$D$1646,4,2)="10")+(MID('Tüm İhaleler'!$D$3:$D$1646,4,2)="11")+(MID('Tüm İhaleler'!$D$3:$D$1646,4,2)="12"))*('Tüm İhaleler'!$V$3:$V$1646)*(('Tüm İhaleler'!$V$3:$V$1646&lt;&gt;"")*1))/SUMPRODUCT(('Tüm İhaleler'!$B$3:$B$1646=2021)*((MID('Tüm İhaleler'!$D$3:$D$1646,4,2)="10")+(MID('Tüm İhaleler'!$D$3:$D$1646,4,2)="11")+(MID('Tüm İhaleler'!$D$3:$D$1646,4,2)="12"))*(('Tüm İhaleler'!$V$3:$V$1646&lt;&gt;"")*1)),"")</f>
        <v/>
      </c>
      <c r="D10" s="15">
        <f>IFERROR(SUMPRODUCT(('Tüm İhaleler'!$B$3:$B$1646=2021)*((MID('Tüm İhaleler'!$D$3:$D$1646,4,2)="10")+(MID('Tüm İhaleler'!$D$3:$D$1646,4,2)="11")+(MID('Tüm İhaleler'!$D$3:$D$1646,4,2)="12"))*('Tüm İhaleler'!$V$3:$V$1646)*('Tüm İhaleler'!$T$3:$T$1646))/SUMPRODUCT(('Tüm İhaleler'!$B$3:$B$1646=2021)*((MID('Tüm İhaleler'!$D$3:$D$1646,4,2)="10")+(MID('Tüm İhaleler'!$D$3:$D$1646,4,2)="11")+(MID('Tüm İhaleler'!$D$3:$D$1646,4,2)="12"))*('Tüm İhaleler'!$T$3:$T$1646)),"")</f>
        <v/>
      </c>
      <c r="E10" s="14">
        <f>IFERROR(SUMPRODUCT(('Tüm İhaleler'!$B$3:$B$1646=2021)*((MID('Tüm İhaleler'!$D$3:$D$1646,4,2)="10")+(MID('Tüm İhaleler'!$D$3:$D$1646,4,2)="11")+(MID('Tüm İhaleler'!$D$3:$D$1646,4,2)="12"))*('Tüm İhaleler'!$F$3:$F$1646)*(('Tüm İhaleler'!$F$3:$F$1646&lt;&gt;"")*1))/SUMPRODUCT(('Tüm İhaleler'!$B$3:$B$1646=2021)*((MID('Tüm İhaleler'!$D$3:$D$1646,4,2)="10")+(MID('Tüm İhaleler'!$D$3:$D$1646,4,2)="11")+(MID('Tüm İhaleler'!$D$3:$D$1646,4,2)="12"))*(('Tüm İhaleler'!$F$3:$F$1646&lt;&gt;"")*1)),"")</f>
        <v/>
      </c>
      <c r="F10" s="14">
        <f>SUMIFS('Tüm İhaleler'!$T$3:$T$1646,'Tüm İhaleler'!$B$3:$B$1646,2021,'Tüm İhaleler'!$D$3:$D$1646,"??.10.*")+SUMIFS('Tüm İhaleler'!$T$3:$T$1646,'Tüm İhaleler'!$B$3:$B$1646,2021,'Tüm İhaleler'!$D$3:$D$1646,"??.11.*")+SUMIFS('Tüm İhaleler'!$T$3:$T$1646,'Tüm İhaleler'!$B$3:$B$1646,2021,'Tüm İhaleler'!$D$3:$D$1646,"??.12.*")</f>
        <v/>
      </c>
    </row>
    <row r="11">
      <c r="A11" s="44" t="inlineStr">
        <is>
          <t>2022-Q1</t>
        </is>
      </c>
      <c r="B11" s="14">
        <f>COUNTIFS('Tüm İhaleler'!$B$3:$B$1646,2022,'Tüm İhaleler'!$D$3:$D$1646,"??.01.*")+COUNTIFS('Tüm İhaleler'!$B$3:$B$1646,2022,'Tüm İhaleler'!$D$3:$D$1646,"??.02.*")+COUNTIFS('Tüm İhaleler'!$B$3:$B$1646,2022,'Tüm İhaleler'!$D$3:$D$1646,"??.03.*")</f>
        <v/>
      </c>
      <c r="C11" s="15">
        <f>IFERROR(SUMPRODUCT(('Tüm İhaleler'!$B$3:$B$1646=2022)*((MID('Tüm İhaleler'!$D$3:$D$1646,4,2)="01")+(MID('Tüm İhaleler'!$D$3:$D$1646,4,2)="02")+(MID('Tüm İhaleler'!$D$3:$D$1646,4,2)="03"))*('Tüm İhaleler'!$V$3:$V$1646)*(('Tüm İhaleler'!$V$3:$V$1646&lt;&gt;"")*1))/SUMPRODUCT(('Tüm İhaleler'!$B$3:$B$1646=2022)*((MID('Tüm İhaleler'!$D$3:$D$1646,4,2)="01")+(MID('Tüm İhaleler'!$D$3:$D$1646,4,2)="02")+(MID('Tüm İhaleler'!$D$3:$D$1646,4,2)="03"))*(('Tüm İhaleler'!$V$3:$V$1646&lt;&gt;"")*1)),"")</f>
        <v/>
      </c>
      <c r="D11" s="15">
        <f>IFERROR(SUMPRODUCT(('Tüm İhaleler'!$B$3:$B$1646=2022)*((MID('Tüm İhaleler'!$D$3:$D$1646,4,2)="01")+(MID('Tüm İhaleler'!$D$3:$D$1646,4,2)="02")+(MID('Tüm İhaleler'!$D$3:$D$1646,4,2)="03"))*('Tüm İhaleler'!$V$3:$V$1646)*('Tüm İhaleler'!$T$3:$T$1646))/SUMPRODUCT(('Tüm İhaleler'!$B$3:$B$1646=2022)*((MID('Tüm İhaleler'!$D$3:$D$1646,4,2)="01")+(MID('Tüm İhaleler'!$D$3:$D$1646,4,2)="02")+(MID('Tüm İhaleler'!$D$3:$D$1646,4,2)="03"))*('Tüm İhaleler'!$T$3:$T$1646)),"")</f>
        <v/>
      </c>
      <c r="E11" s="14">
        <f>IFERROR(SUMPRODUCT(('Tüm İhaleler'!$B$3:$B$1646=2022)*((MID('Tüm İhaleler'!$D$3:$D$1646,4,2)="01")+(MID('Tüm İhaleler'!$D$3:$D$1646,4,2)="02")+(MID('Tüm İhaleler'!$D$3:$D$1646,4,2)="03"))*('Tüm İhaleler'!$F$3:$F$1646)*(('Tüm İhaleler'!$F$3:$F$1646&lt;&gt;"")*1))/SUMPRODUCT(('Tüm İhaleler'!$B$3:$B$1646=2022)*((MID('Tüm İhaleler'!$D$3:$D$1646,4,2)="01")+(MID('Tüm İhaleler'!$D$3:$D$1646,4,2)="02")+(MID('Tüm İhaleler'!$D$3:$D$1646,4,2)="03"))*(('Tüm İhaleler'!$F$3:$F$1646&lt;&gt;"")*1)),"")</f>
        <v/>
      </c>
      <c r="F11" s="14">
        <f>SUMIFS('Tüm İhaleler'!$T$3:$T$1646,'Tüm İhaleler'!$B$3:$B$1646,2022,'Tüm İhaleler'!$D$3:$D$1646,"??.01.*")+SUMIFS('Tüm İhaleler'!$T$3:$T$1646,'Tüm İhaleler'!$B$3:$B$1646,2022,'Tüm İhaleler'!$D$3:$D$1646,"??.02.*")+SUMIFS('Tüm İhaleler'!$T$3:$T$1646,'Tüm İhaleler'!$B$3:$B$1646,2022,'Tüm İhaleler'!$D$3:$D$1646,"??.03.*")</f>
        <v/>
      </c>
    </row>
    <row r="12">
      <c r="A12" s="44" t="inlineStr">
        <is>
          <t>2022-Q2</t>
        </is>
      </c>
      <c r="B12" s="14">
        <f>COUNTIFS('Tüm İhaleler'!$B$3:$B$1646,2022,'Tüm İhaleler'!$D$3:$D$1646,"??.04.*")+COUNTIFS('Tüm İhaleler'!$B$3:$B$1646,2022,'Tüm İhaleler'!$D$3:$D$1646,"??.05.*")+COUNTIFS('Tüm İhaleler'!$B$3:$B$1646,2022,'Tüm İhaleler'!$D$3:$D$1646,"??.06.*")</f>
        <v/>
      </c>
      <c r="C12" s="15">
        <f>IFERROR(SUMPRODUCT(('Tüm İhaleler'!$B$3:$B$1646=2022)*((MID('Tüm İhaleler'!$D$3:$D$1646,4,2)="04")+(MID('Tüm İhaleler'!$D$3:$D$1646,4,2)="05")+(MID('Tüm İhaleler'!$D$3:$D$1646,4,2)="06"))*('Tüm İhaleler'!$V$3:$V$1646)*(('Tüm İhaleler'!$V$3:$V$1646&lt;&gt;"")*1))/SUMPRODUCT(('Tüm İhaleler'!$B$3:$B$1646=2022)*((MID('Tüm İhaleler'!$D$3:$D$1646,4,2)="04")+(MID('Tüm İhaleler'!$D$3:$D$1646,4,2)="05")+(MID('Tüm İhaleler'!$D$3:$D$1646,4,2)="06"))*(('Tüm İhaleler'!$V$3:$V$1646&lt;&gt;"")*1)),"")</f>
        <v/>
      </c>
      <c r="D12" s="15">
        <f>IFERROR(SUMPRODUCT(('Tüm İhaleler'!$B$3:$B$1646=2022)*((MID('Tüm İhaleler'!$D$3:$D$1646,4,2)="04")+(MID('Tüm İhaleler'!$D$3:$D$1646,4,2)="05")+(MID('Tüm İhaleler'!$D$3:$D$1646,4,2)="06"))*('Tüm İhaleler'!$V$3:$V$1646)*('Tüm İhaleler'!$T$3:$T$1646))/SUMPRODUCT(('Tüm İhaleler'!$B$3:$B$1646=2022)*((MID('Tüm İhaleler'!$D$3:$D$1646,4,2)="04")+(MID('Tüm İhaleler'!$D$3:$D$1646,4,2)="05")+(MID('Tüm İhaleler'!$D$3:$D$1646,4,2)="06"))*('Tüm İhaleler'!$T$3:$T$1646)),"")</f>
        <v/>
      </c>
      <c r="E12" s="14">
        <f>IFERROR(SUMPRODUCT(('Tüm İhaleler'!$B$3:$B$1646=2022)*((MID('Tüm İhaleler'!$D$3:$D$1646,4,2)="04")+(MID('Tüm İhaleler'!$D$3:$D$1646,4,2)="05")+(MID('Tüm İhaleler'!$D$3:$D$1646,4,2)="06"))*('Tüm İhaleler'!$F$3:$F$1646)*(('Tüm İhaleler'!$F$3:$F$1646&lt;&gt;"")*1))/SUMPRODUCT(('Tüm İhaleler'!$B$3:$B$1646=2022)*((MID('Tüm İhaleler'!$D$3:$D$1646,4,2)="04")+(MID('Tüm İhaleler'!$D$3:$D$1646,4,2)="05")+(MID('Tüm İhaleler'!$D$3:$D$1646,4,2)="06"))*(('Tüm İhaleler'!$F$3:$F$1646&lt;&gt;"")*1)),"")</f>
        <v/>
      </c>
      <c r="F12" s="14">
        <f>SUMIFS('Tüm İhaleler'!$T$3:$T$1646,'Tüm İhaleler'!$B$3:$B$1646,2022,'Tüm İhaleler'!$D$3:$D$1646,"??.04.*")+SUMIFS('Tüm İhaleler'!$T$3:$T$1646,'Tüm İhaleler'!$B$3:$B$1646,2022,'Tüm İhaleler'!$D$3:$D$1646,"??.05.*")+SUMIFS('Tüm İhaleler'!$T$3:$T$1646,'Tüm İhaleler'!$B$3:$B$1646,2022,'Tüm İhaleler'!$D$3:$D$1646,"??.06.*")</f>
        <v/>
      </c>
    </row>
    <row r="13">
      <c r="A13" s="44" t="inlineStr">
        <is>
          <t>2022-Q3</t>
        </is>
      </c>
      <c r="B13" s="14">
        <f>COUNTIFS('Tüm İhaleler'!$B$3:$B$1646,2022,'Tüm İhaleler'!$D$3:$D$1646,"??.07.*")+COUNTIFS('Tüm İhaleler'!$B$3:$B$1646,2022,'Tüm İhaleler'!$D$3:$D$1646,"??.08.*")+COUNTIFS('Tüm İhaleler'!$B$3:$B$1646,2022,'Tüm İhaleler'!$D$3:$D$1646,"??.09.*")</f>
        <v/>
      </c>
      <c r="C13" s="15">
        <f>IFERROR(SUMPRODUCT(('Tüm İhaleler'!$B$3:$B$1646=2022)*((MID('Tüm İhaleler'!$D$3:$D$1646,4,2)="07")+(MID('Tüm İhaleler'!$D$3:$D$1646,4,2)="08")+(MID('Tüm İhaleler'!$D$3:$D$1646,4,2)="09"))*('Tüm İhaleler'!$V$3:$V$1646)*(('Tüm İhaleler'!$V$3:$V$1646&lt;&gt;"")*1))/SUMPRODUCT(('Tüm İhaleler'!$B$3:$B$1646=2022)*((MID('Tüm İhaleler'!$D$3:$D$1646,4,2)="07")+(MID('Tüm İhaleler'!$D$3:$D$1646,4,2)="08")+(MID('Tüm İhaleler'!$D$3:$D$1646,4,2)="09"))*(('Tüm İhaleler'!$V$3:$V$1646&lt;&gt;"")*1)),"")</f>
        <v/>
      </c>
      <c r="D13" s="15">
        <f>IFERROR(SUMPRODUCT(('Tüm İhaleler'!$B$3:$B$1646=2022)*((MID('Tüm İhaleler'!$D$3:$D$1646,4,2)="07")+(MID('Tüm İhaleler'!$D$3:$D$1646,4,2)="08")+(MID('Tüm İhaleler'!$D$3:$D$1646,4,2)="09"))*('Tüm İhaleler'!$V$3:$V$1646)*('Tüm İhaleler'!$T$3:$T$1646))/SUMPRODUCT(('Tüm İhaleler'!$B$3:$B$1646=2022)*((MID('Tüm İhaleler'!$D$3:$D$1646,4,2)="07")+(MID('Tüm İhaleler'!$D$3:$D$1646,4,2)="08")+(MID('Tüm İhaleler'!$D$3:$D$1646,4,2)="09"))*('Tüm İhaleler'!$T$3:$T$1646)),"")</f>
        <v/>
      </c>
      <c r="E13" s="14">
        <f>IFERROR(SUMPRODUCT(('Tüm İhaleler'!$B$3:$B$1646=2022)*((MID('Tüm İhaleler'!$D$3:$D$1646,4,2)="07")+(MID('Tüm İhaleler'!$D$3:$D$1646,4,2)="08")+(MID('Tüm İhaleler'!$D$3:$D$1646,4,2)="09"))*('Tüm İhaleler'!$F$3:$F$1646)*(('Tüm İhaleler'!$F$3:$F$1646&lt;&gt;"")*1))/SUMPRODUCT(('Tüm İhaleler'!$B$3:$B$1646=2022)*((MID('Tüm İhaleler'!$D$3:$D$1646,4,2)="07")+(MID('Tüm İhaleler'!$D$3:$D$1646,4,2)="08")+(MID('Tüm İhaleler'!$D$3:$D$1646,4,2)="09"))*(('Tüm İhaleler'!$F$3:$F$1646&lt;&gt;"")*1)),"")</f>
        <v/>
      </c>
      <c r="F13" s="14">
        <f>SUMIFS('Tüm İhaleler'!$T$3:$T$1646,'Tüm İhaleler'!$B$3:$B$1646,2022,'Tüm İhaleler'!$D$3:$D$1646,"??.07.*")+SUMIFS('Tüm İhaleler'!$T$3:$T$1646,'Tüm İhaleler'!$B$3:$B$1646,2022,'Tüm İhaleler'!$D$3:$D$1646,"??.08.*")+SUMIFS('Tüm İhaleler'!$T$3:$T$1646,'Tüm İhaleler'!$B$3:$B$1646,2022,'Tüm İhaleler'!$D$3:$D$1646,"??.09.*")</f>
        <v/>
      </c>
    </row>
    <row r="14">
      <c r="A14" s="44" t="inlineStr">
        <is>
          <t>2022-Q4</t>
        </is>
      </c>
      <c r="B14" s="14">
        <f>COUNTIFS('Tüm İhaleler'!$B$3:$B$1646,2022,'Tüm İhaleler'!$D$3:$D$1646,"??.10.*")+COUNTIFS('Tüm İhaleler'!$B$3:$B$1646,2022,'Tüm İhaleler'!$D$3:$D$1646,"??.11.*")+COUNTIFS('Tüm İhaleler'!$B$3:$B$1646,2022,'Tüm İhaleler'!$D$3:$D$1646,"??.12.*")</f>
        <v/>
      </c>
      <c r="C14" s="15">
        <f>IFERROR(SUMPRODUCT(('Tüm İhaleler'!$B$3:$B$1646=2022)*((MID('Tüm İhaleler'!$D$3:$D$1646,4,2)="10")+(MID('Tüm İhaleler'!$D$3:$D$1646,4,2)="11")+(MID('Tüm İhaleler'!$D$3:$D$1646,4,2)="12"))*('Tüm İhaleler'!$V$3:$V$1646)*(('Tüm İhaleler'!$V$3:$V$1646&lt;&gt;"")*1))/SUMPRODUCT(('Tüm İhaleler'!$B$3:$B$1646=2022)*((MID('Tüm İhaleler'!$D$3:$D$1646,4,2)="10")+(MID('Tüm İhaleler'!$D$3:$D$1646,4,2)="11")+(MID('Tüm İhaleler'!$D$3:$D$1646,4,2)="12"))*(('Tüm İhaleler'!$V$3:$V$1646&lt;&gt;"")*1)),"")</f>
        <v/>
      </c>
      <c r="D14" s="15">
        <f>IFERROR(SUMPRODUCT(('Tüm İhaleler'!$B$3:$B$1646=2022)*((MID('Tüm İhaleler'!$D$3:$D$1646,4,2)="10")+(MID('Tüm İhaleler'!$D$3:$D$1646,4,2)="11")+(MID('Tüm İhaleler'!$D$3:$D$1646,4,2)="12"))*('Tüm İhaleler'!$V$3:$V$1646)*('Tüm İhaleler'!$T$3:$T$1646))/SUMPRODUCT(('Tüm İhaleler'!$B$3:$B$1646=2022)*((MID('Tüm İhaleler'!$D$3:$D$1646,4,2)="10")+(MID('Tüm İhaleler'!$D$3:$D$1646,4,2)="11")+(MID('Tüm İhaleler'!$D$3:$D$1646,4,2)="12"))*('Tüm İhaleler'!$T$3:$T$1646)),"")</f>
        <v/>
      </c>
      <c r="E14" s="14">
        <f>IFERROR(SUMPRODUCT(('Tüm İhaleler'!$B$3:$B$1646=2022)*((MID('Tüm İhaleler'!$D$3:$D$1646,4,2)="10")+(MID('Tüm İhaleler'!$D$3:$D$1646,4,2)="11")+(MID('Tüm İhaleler'!$D$3:$D$1646,4,2)="12"))*('Tüm İhaleler'!$F$3:$F$1646)*(('Tüm İhaleler'!$F$3:$F$1646&lt;&gt;"")*1))/SUMPRODUCT(('Tüm İhaleler'!$B$3:$B$1646=2022)*((MID('Tüm İhaleler'!$D$3:$D$1646,4,2)="10")+(MID('Tüm İhaleler'!$D$3:$D$1646,4,2)="11")+(MID('Tüm İhaleler'!$D$3:$D$1646,4,2)="12"))*(('Tüm İhaleler'!$F$3:$F$1646&lt;&gt;"")*1)),"")</f>
        <v/>
      </c>
      <c r="F14" s="14">
        <f>SUMIFS('Tüm İhaleler'!$T$3:$T$1646,'Tüm İhaleler'!$B$3:$B$1646,2022,'Tüm İhaleler'!$D$3:$D$1646,"??.10.*")+SUMIFS('Tüm İhaleler'!$T$3:$T$1646,'Tüm İhaleler'!$B$3:$B$1646,2022,'Tüm İhaleler'!$D$3:$D$1646,"??.11.*")+SUMIFS('Tüm İhaleler'!$T$3:$T$1646,'Tüm İhaleler'!$B$3:$B$1646,2022,'Tüm İhaleler'!$D$3:$D$1646,"??.12.*")</f>
        <v/>
      </c>
    </row>
    <row r="15">
      <c r="A15" s="44" t="inlineStr">
        <is>
          <t>2023-Q1</t>
        </is>
      </c>
      <c r="B15" s="14">
        <f>COUNTIFS('Tüm İhaleler'!$B$3:$B$1646,2023,'Tüm İhaleler'!$D$3:$D$1646,"??.01.*")+COUNTIFS('Tüm İhaleler'!$B$3:$B$1646,2023,'Tüm İhaleler'!$D$3:$D$1646,"??.02.*")+COUNTIFS('Tüm İhaleler'!$B$3:$B$1646,2023,'Tüm İhaleler'!$D$3:$D$1646,"??.03.*")</f>
        <v/>
      </c>
      <c r="C15" s="15">
        <f>IFERROR(SUMPRODUCT(('Tüm İhaleler'!$B$3:$B$1646=2023)*((MID('Tüm İhaleler'!$D$3:$D$1646,4,2)="01")+(MID('Tüm İhaleler'!$D$3:$D$1646,4,2)="02")+(MID('Tüm İhaleler'!$D$3:$D$1646,4,2)="03"))*('Tüm İhaleler'!$V$3:$V$1646)*(('Tüm İhaleler'!$V$3:$V$1646&lt;&gt;"")*1))/SUMPRODUCT(('Tüm İhaleler'!$B$3:$B$1646=2023)*((MID('Tüm İhaleler'!$D$3:$D$1646,4,2)="01")+(MID('Tüm İhaleler'!$D$3:$D$1646,4,2)="02")+(MID('Tüm İhaleler'!$D$3:$D$1646,4,2)="03"))*(('Tüm İhaleler'!$V$3:$V$1646&lt;&gt;"")*1)),"")</f>
        <v/>
      </c>
      <c r="D15" s="15">
        <f>IFERROR(SUMPRODUCT(('Tüm İhaleler'!$B$3:$B$1646=2023)*((MID('Tüm İhaleler'!$D$3:$D$1646,4,2)="01")+(MID('Tüm İhaleler'!$D$3:$D$1646,4,2)="02")+(MID('Tüm İhaleler'!$D$3:$D$1646,4,2)="03"))*('Tüm İhaleler'!$V$3:$V$1646)*('Tüm İhaleler'!$T$3:$T$1646))/SUMPRODUCT(('Tüm İhaleler'!$B$3:$B$1646=2023)*((MID('Tüm İhaleler'!$D$3:$D$1646,4,2)="01")+(MID('Tüm İhaleler'!$D$3:$D$1646,4,2)="02")+(MID('Tüm İhaleler'!$D$3:$D$1646,4,2)="03"))*('Tüm İhaleler'!$T$3:$T$1646)),"")</f>
        <v/>
      </c>
      <c r="E15" s="14">
        <f>IFERROR(SUMPRODUCT(('Tüm İhaleler'!$B$3:$B$1646=2023)*((MID('Tüm İhaleler'!$D$3:$D$1646,4,2)="01")+(MID('Tüm İhaleler'!$D$3:$D$1646,4,2)="02")+(MID('Tüm İhaleler'!$D$3:$D$1646,4,2)="03"))*('Tüm İhaleler'!$F$3:$F$1646)*(('Tüm İhaleler'!$F$3:$F$1646&lt;&gt;"")*1))/SUMPRODUCT(('Tüm İhaleler'!$B$3:$B$1646=2023)*((MID('Tüm İhaleler'!$D$3:$D$1646,4,2)="01")+(MID('Tüm İhaleler'!$D$3:$D$1646,4,2)="02")+(MID('Tüm İhaleler'!$D$3:$D$1646,4,2)="03"))*(('Tüm İhaleler'!$F$3:$F$1646&lt;&gt;"")*1)),"")</f>
        <v/>
      </c>
      <c r="F15" s="14">
        <f>SUMIFS('Tüm İhaleler'!$T$3:$T$1646,'Tüm İhaleler'!$B$3:$B$1646,2023,'Tüm İhaleler'!$D$3:$D$1646,"??.01.*")+SUMIFS('Tüm İhaleler'!$T$3:$T$1646,'Tüm İhaleler'!$B$3:$B$1646,2023,'Tüm İhaleler'!$D$3:$D$1646,"??.02.*")+SUMIFS('Tüm İhaleler'!$T$3:$T$1646,'Tüm İhaleler'!$B$3:$B$1646,2023,'Tüm İhaleler'!$D$3:$D$1646,"??.03.*")</f>
        <v/>
      </c>
    </row>
    <row r="16">
      <c r="A16" s="44" t="inlineStr">
        <is>
          <t>2023-Q2</t>
        </is>
      </c>
      <c r="B16" s="14">
        <f>COUNTIFS('Tüm İhaleler'!$B$3:$B$1646,2023,'Tüm İhaleler'!$D$3:$D$1646,"??.04.*")+COUNTIFS('Tüm İhaleler'!$B$3:$B$1646,2023,'Tüm İhaleler'!$D$3:$D$1646,"??.05.*")+COUNTIFS('Tüm İhaleler'!$B$3:$B$1646,2023,'Tüm İhaleler'!$D$3:$D$1646,"??.06.*")</f>
        <v/>
      </c>
      <c r="C16" s="15">
        <f>IFERROR(SUMPRODUCT(('Tüm İhaleler'!$B$3:$B$1646=2023)*((MID('Tüm İhaleler'!$D$3:$D$1646,4,2)="04")+(MID('Tüm İhaleler'!$D$3:$D$1646,4,2)="05")+(MID('Tüm İhaleler'!$D$3:$D$1646,4,2)="06"))*('Tüm İhaleler'!$V$3:$V$1646)*(('Tüm İhaleler'!$V$3:$V$1646&lt;&gt;"")*1))/SUMPRODUCT(('Tüm İhaleler'!$B$3:$B$1646=2023)*((MID('Tüm İhaleler'!$D$3:$D$1646,4,2)="04")+(MID('Tüm İhaleler'!$D$3:$D$1646,4,2)="05")+(MID('Tüm İhaleler'!$D$3:$D$1646,4,2)="06"))*(('Tüm İhaleler'!$V$3:$V$1646&lt;&gt;"")*1)),"")</f>
        <v/>
      </c>
      <c r="D16" s="15">
        <f>IFERROR(SUMPRODUCT(('Tüm İhaleler'!$B$3:$B$1646=2023)*((MID('Tüm İhaleler'!$D$3:$D$1646,4,2)="04")+(MID('Tüm İhaleler'!$D$3:$D$1646,4,2)="05")+(MID('Tüm İhaleler'!$D$3:$D$1646,4,2)="06"))*('Tüm İhaleler'!$V$3:$V$1646)*('Tüm İhaleler'!$T$3:$T$1646))/SUMPRODUCT(('Tüm İhaleler'!$B$3:$B$1646=2023)*((MID('Tüm İhaleler'!$D$3:$D$1646,4,2)="04")+(MID('Tüm İhaleler'!$D$3:$D$1646,4,2)="05")+(MID('Tüm İhaleler'!$D$3:$D$1646,4,2)="06"))*('Tüm İhaleler'!$T$3:$T$1646)),"")</f>
        <v/>
      </c>
      <c r="E16" s="14">
        <f>IFERROR(SUMPRODUCT(('Tüm İhaleler'!$B$3:$B$1646=2023)*((MID('Tüm İhaleler'!$D$3:$D$1646,4,2)="04")+(MID('Tüm İhaleler'!$D$3:$D$1646,4,2)="05")+(MID('Tüm İhaleler'!$D$3:$D$1646,4,2)="06"))*('Tüm İhaleler'!$F$3:$F$1646)*(('Tüm İhaleler'!$F$3:$F$1646&lt;&gt;"")*1))/SUMPRODUCT(('Tüm İhaleler'!$B$3:$B$1646=2023)*((MID('Tüm İhaleler'!$D$3:$D$1646,4,2)="04")+(MID('Tüm İhaleler'!$D$3:$D$1646,4,2)="05")+(MID('Tüm İhaleler'!$D$3:$D$1646,4,2)="06"))*(('Tüm İhaleler'!$F$3:$F$1646&lt;&gt;"")*1)),"")</f>
        <v/>
      </c>
      <c r="F16" s="14">
        <f>SUMIFS('Tüm İhaleler'!$T$3:$T$1646,'Tüm İhaleler'!$B$3:$B$1646,2023,'Tüm İhaleler'!$D$3:$D$1646,"??.04.*")+SUMIFS('Tüm İhaleler'!$T$3:$T$1646,'Tüm İhaleler'!$B$3:$B$1646,2023,'Tüm İhaleler'!$D$3:$D$1646,"??.05.*")+SUMIFS('Tüm İhaleler'!$T$3:$T$1646,'Tüm İhaleler'!$B$3:$B$1646,2023,'Tüm İhaleler'!$D$3:$D$1646,"??.06.*")</f>
        <v/>
      </c>
    </row>
    <row r="17">
      <c r="A17" s="44" t="inlineStr">
        <is>
          <t>2023-Q3</t>
        </is>
      </c>
      <c r="B17" s="14">
        <f>COUNTIFS('Tüm İhaleler'!$B$3:$B$1646,2023,'Tüm İhaleler'!$D$3:$D$1646,"??.07.*")+COUNTIFS('Tüm İhaleler'!$B$3:$B$1646,2023,'Tüm İhaleler'!$D$3:$D$1646,"??.08.*")+COUNTIFS('Tüm İhaleler'!$B$3:$B$1646,2023,'Tüm İhaleler'!$D$3:$D$1646,"??.09.*")</f>
        <v/>
      </c>
      <c r="C17" s="15">
        <f>IFERROR(SUMPRODUCT(('Tüm İhaleler'!$B$3:$B$1646=2023)*((MID('Tüm İhaleler'!$D$3:$D$1646,4,2)="07")+(MID('Tüm İhaleler'!$D$3:$D$1646,4,2)="08")+(MID('Tüm İhaleler'!$D$3:$D$1646,4,2)="09"))*('Tüm İhaleler'!$V$3:$V$1646)*(('Tüm İhaleler'!$V$3:$V$1646&lt;&gt;"")*1))/SUMPRODUCT(('Tüm İhaleler'!$B$3:$B$1646=2023)*((MID('Tüm İhaleler'!$D$3:$D$1646,4,2)="07")+(MID('Tüm İhaleler'!$D$3:$D$1646,4,2)="08")+(MID('Tüm İhaleler'!$D$3:$D$1646,4,2)="09"))*(('Tüm İhaleler'!$V$3:$V$1646&lt;&gt;"")*1)),"")</f>
        <v/>
      </c>
      <c r="D17" s="15">
        <f>IFERROR(SUMPRODUCT(('Tüm İhaleler'!$B$3:$B$1646=2023)*((MID('Tüm İhaleler'!$D$3:$D$1646,4,2)="07")+(MID('Tüm İhaleler'!$D$3:$D$1646,4,2)="08")+(MID('Tüm İhaleler'!$D$3:$D$1646,4,2)="09"))*('Tüm İhaleler'!$V$3:$V$1646)*('Tüm İhaleler'!$T$3:$T$1646))/SUMPRODUCT(('Tüm İhaleler'!$B$3:$B$1646=2023)*((MID('Tüm İhaleler'!$D$3:$D$1646,4,2)="07")+(MID('Tüm İhaleler'!$D$3:$D$1646,4,2)="08")+(MID('Tüm İhaleler'!$D$3:$D$1646,4,2)="09"))*('Tüm İhaleler'!$T$3:$T$1646)),"")</f>
        <v/>
      </c>
      <c r="E17" s="14">
        <f>IFERROR(SUMPRODUCT(('Tüm İhaleler'!$B$3:$B$1646=2023)*((MID('Tüm İhaleler'!$D$3:$D$1646,4,2)="07")+(MID('Tüm İhaleler'!$D$3:$D$1646,4,2)="08")+(MID('Tüm İhaleler'!$D$3:$D$1646,4,2)="09"))*('Tüm İhaleler'!$F$3:$F$1646)*(('Tüm İhaleler'!$F$3:$F$1646&lt;&gt;"")*1))/SUMPRODUCT(('Tüm İhaleler'!$B$3:$B$1646=2023)*((MID('Tüm İhaleler'!$D$3:$D$1646,4,2)="07")+(MID('Tüm İhaleler'!$D$3:$D$1646,4,2)="08")+(MID('Tüm İhaleler'!$D$3:$D$1646,4,2)="09"))*(('Tüm İhaleler'!$F$3:$F$1646&lt;&gt;"")*1)),"")</f>
        <v/>
      </c>
      <c r="F17" s="14">
        <f>SUMIFS('Tüm İhaleler'!$T$3:$T$1646,'Tüm İhaleler'!$B$3:$B$1646,2023,'Tüm İhaleler'!$D$3:$D$1646,"??.07.*")+SUMIFS('Tüm İhaleler'!$T$3:$T$1646,'Tüm İhaleler'!$B$3:$B$1646,2023,'Tüm İhaleler'!$D$3:$D$1646,"??.08.*")+SUMIFS('Tüm İhaleler'!$T$3:$T$1646,'Tüm İhaleler'!$B$3:$B$1646,2023,'Tüm İhaleler'!$D$3:$D$1646,"??.09.*")</f>
        <v/>
      </c>
    </row>
    <row r="18">
      <c r="A18" s="44" t="inlineStr">
        <is>
          <t>2023-Q4</t>
        </is>
      </c>
      <c r="B18" s="14">
        <f>COUNTIFS('Tüm İhaleler'!$B$3:$B$1646,2023,'Tüm İhaleler'!$D$3:$D$1646,"??.10.*")+COUNTIFS('Tüm İhaleler'!$B$3:$B$1646,2023,'Tüm İhaleler'!$D$3:$D$1646,"??.11.*")+COUNTIFS('Tüm İhaleler'!$B$3:$B$1646,2023,'Tüm İhaleler'!$D$3:$D$1646,"??.12.*")</f>
        <v/>
      </c>
      <c r="C18" s="15">
        <f>IFERROR(SUMPRODUCT(('Tüm İhaleler'!$B$3:$B$1646=2023)*((MID('Tüm İhaleler'!$D$3:$D$1646,4,2)="10")+(MID('Tüm İhaleler'!$D$3:$D$1646,4,2)="11")+(MID('Tüm İhaleler'!$D$3:$D$1646,4,2)="12"))*('Tüm İhaleler'!$V$3:$V$1646)*(('Tüm İhaleler'!$V$3:$V$1646&lt;&gt;"")*1))/SUMPRODUCT(('Tüm İhaleler'!$B$3:$B$1646=2023)*((MID('Tüm İhaleler'!$D$3:$D$1646,4,2)="10")+(MID('Tüm İhaleler'!$D$3:$D$1646,4,2)="11")+(MID('Tüm İhaleler'!$D$3:$D$1646,4,2)="12"))*(('Tüm İhaleler'!$V$3:$V$1646&lt;&gt;"")*1)),"")</f>
        <v/>
      </c>
      <c r="D18" s="15">
        <f>IFERROR(SUMPRODUCT(('Tüm İhaleler'!$B$3:$B$1646=2023)*((MID('Tüm İhaleler'!$D$3:$D$1646,4,2)="10")+(MID('Tüm İhaleler'!$D$3:$D$1646,4,2)="11")+(MID('Tüm İhaleler'!$D$3:$D$1646,4,2)="12"))*('Tüm İhaleler'!$V$3:$V$1646)*('Tüm İhaleler'!$T$3:$T$1646))/SUMPRODUCT(('Tüm İhaleler'!$B$3:$B$1646=2023)*((MID('Tüm İhaleler'!$D$3:$D$1646,4,2)="10")+(MID('Tüm İhaleler'!$D$3:$D$1646,4,2)="11")+(MID('Tüm İhaleler'!$D$3:$D$1646,4,2)="12"))*('Tüm İhaleler'!$T$3:$T$1646)),"")</f>
        <v/>
      </c>
      <c r="E18" s="14">
        <f>IFERROR(SUMPRODUCT(('Tüm İhaleler'!$B$3:$B$1646=2023)*((MID('Tüm İhaleler'!$D$3:$D$1646,4,2)="10")+(MID('Tüm İhaleler'!$D$3:$D$1646,4,2)="11")+(MID('Tüm İhaleler'!$D$3:$D$1646,4,2)="12"))*('Tüm İhaleler'!$F$3:$F$1646)*(('Tüm İhaleler'!$F$3:$F$1646&lt;&gt;"")*1))/SUMPRODUCT(('Tüm İhaleler'!$B$3:$B$1646=2023)*((MID('Tüm İhaleler'!$D$3:$D$1646,4,2)="10")+(MID('Tüm İhaleler'!$D$3:$D$1646,4,2)="11")+(MID('Tüm İhaleler'!$D$3:$D$1646,4,2)="12"))*(('Tüm İhaleler'!$F$3:$F$1646&lt;&gt;"")*1)),"")</f>
        <v/>
      </c>
      <c r="F18" s="14">
        <f>SUMIFS('Tüm İhaleler'!$T$3:$T$1646,'Tüm İhaleler'!$B$3:$B$1646,2023,'Tüm İhaleler'!$D$3:$D$1646,"??.10.*")+SUMIFS('Tüm İhaleler'!$T$3:$T$1646,'Tüm İhaleler'!$B$3:$B$1646,2023,'Tüm İhaleler'!$D$3:$D$1646,"??.11.*")+SUMIFS('Tüm İhaleler'!$T$3:$T$1646,'Tüm İhaleler'!$B$3:$B$1646,2023,'Tüm İhaleler'!$D$3:$D$1646,"??.12.*")</f>
        <v/>
      </c>
    </row>
    <row r="19">
      <c r="A19" s="44" t="inlineStr">
        <is>
          <t>2024-Q1</t>
        </is>
      </c>
      <c r="B19" s="14">
        <f>COUNTIFS('Tüm İhaleler'!$B$3:$B$1646,2024,'Tüm İhaleler'!$D$3:$D$1646,"??.01.*")+COUNTIFS('Tüm İhaleler'!$B$3:$B$1646,2024,'Tüm İhaleler'!$D$3:$D$1646,"??.02.*")+COUNTIFS('Tüm İhaleler'!$B$3:$B$1646,2024,'Tüm İhaleler'!$D$3:$D$1646,"??.03.*")</f>
        <v/>
      </c>
      <c r="C19" s="15">
        <f>IFERROR(SUMPRODUCT(('Tüm İhaleler'!$B$3:$B$1646=2024)*((MID('Tüm İhaleler'!$D$3:$D$1646,4,2)="01")+(MID('Tüm İhaleler'!$D$3:$D$1646,4,2)="02")+(MID('Tüm İhaleler'!$D$3:$D$1646,4,2)="03"))*('Tüm İhaleler'!$V$3:$V$1646)*(('Tüm İhaleler'!$V$3:$V$1646&lt;&gt;"")*1))/SUMPRODUCT(('Tüm İhaleler'!$B$3:$B$1646=2024)*((MID('Tüm İhaleler'!$D$3:$D$1646,4,2)="01")+(MID('Tüm İhaleler'!$D$3:$D$1646,4,2)="02")+(MID('Tüm İhaleler'!$D$3:$D$1646,4,2)="03"))*(('Tüm İhaleler'!$V$3:$V$1646&lt;&gt;"")*1)),"")</f>
        <v/>
      </c>
      <c r="D19" s="15">
        <f>IFERROR(SUMPRODUCT(('Tüm İhaleler'!$B$3:$B$1646=2024)*((MID('Tüm İhaleler'!$D$3:$D$1646,4,2)="01")+(MID('Tüm İhaleler'!$D$3:$D$1646,4,2)="02")+(MID('Tüm İhaleler'!$D$3:$D$1646,4,2)="03"))*('Tüm İhaleler'!$V$3:$V$1646)*('Tüm İhaleler'!$T$3:$T$1646))/SUMPRODUCT(('Tüm İhaleler'!$B$3:$B$1646=2024)*((MID('Tüm İhaleler'!$D$3:$D$1646,4,2)="01")+(MID('Tüm İhaleler'!$D$3:$D$1646,4,2)="02")+(MID('Tüm İhaleler'!$D$3:$D$1646,4,2)="03"))*('Tüm İhaleler'!$T$3:$T$1646)),"")</f>
        <v/>
      </c>
      <c r="E19" s="14">
        <f>IFERROR(SUMPRODUCT(('Tüm İhaleler'!$B$3:$B$1646=2024)*((MID('Tüm İhaleler'!$D$3:$D$1646,4,2)="01")+(MID('Tüm İhaleler'!$D$3:$D$1646,4,2)="02")+(MID('Tüm İhaleler'!$D$3:$D$1646,4,2)="03"))*('Tüm İhaleler'!$F$3:$F$1646)*(('Tüm İhaleler'!$F$3:$F$1646&lt;&gt;"")*1))/SUMPRODUCT(('Tüm İhaleler'!$B$3:$B$1646=2024)*((MID('Tüm İhaleler'!$D$3:$D$1646,4,2)="01")+(MID('Tüm İhaleler'!$D$3:$D$1646,4,2)="02")+(MID('Tüm İhaleler'!$D$3:$D$1646,4,2)="03"))*(('Tüm İhaleler'!$F$3:$F$1646&lt;&gt;"")*1)),"")</f>
        <v/>
      </c>
      <c r="F19" s="14">
        <f>SUMIFS('Tüm İhaleler'!$T$3:$T$1646,'Tüm İhaleler'!$B$3:$B$1646,2024,'Tüm İhaleler'!$D$3:$D$1646,"??.01.*")+SUMIFS('Tüm İhaleler'!$T$3:$T$1646,'Tüm İhaleler'!$B$3:$B$1646,2024,'Tüm İhaleler'!$D$3:$D$1646,"??.02.*")+SUMIFS('Tüm İhaleler'!$T$3:$T$1646,'Tüm İhaleler'!$B$3:$B$1646,2024,'Tüm İhaleler'!$D$3:$D$1646,"??.03.*")</f>
        <v/>
      </c>
    </row>
    <row r="20">
      <c r="A20" s="44" t="inlineStr">
        <is>
          <t>2024-Q2</t>
        </is>
      </c>
      <c r="B20" s="14">
        <f>COUNTIFS('Tüm İhaleler'!$B$3:$B$1646,2024,'Tüm İhaleler'!$D$3:$D$1646,"??.04.*")+COUNTIFS('Tüm İhaleler'!$B$3:$B$1646,2024,'Tüm İhaleler'!$D$3:$D$1646,"??.05.*")+COUNTIFS('Tüm İhaleler'!$B$3:$B$1646,2024,'Tüm İhaleler'!$D$3:$D$1646,"??.06.*")</f>
        <v/>
      </c>
      <c r="C20" s="15">
        <f>IFERROR(SUMPRODUCT(('Tüm İhaleler'!$B$3:$B$1646=2024)*((MID('Tüm İhaleler'!$D$3:$D$1646,4,2)="04")+(MID('Tüm İhaleler'!$D$3:$D$1646,4,2)="05")+(MID('Tüm İhaleler'!$D$3:$D$1646,4,2)="06"))*('Tüm İhaleler'!$V$3:$V$1646)*(('Tüm İhaleler'!$V$3:$V$1646&lt;&gt;"")*1))/SUMPRODUCT(('Tüm İhaleler'!$B$3:$B$1646=2024)*((MID('Tüm İhaleler'!$D$3:$D$1646,4,2)="04")+(MID('Tüm İhaleler'!$D$3:$D$1646,4,2)="05")+(MID('Tüm İhaleler'!$D$3:$D$1646,4,2)="06"))*(('Tüm İhaleler'!$V$3:$V$1646&lt;&gt;"")*1)),"")</f>
        <v/>
      </c>
      <c r="D20" s="15">
        <f>IFERROR(SUMPRODUCT(('Tüm İhaleler'!$B$3:$B$1646=2024)*((MID('Tüm İhaleler'!$D$3:$D$1646,4,2)="04")+(MID('Tüm İhaleler'!$D$3:$D$1646,4,2)="05")+(MID('Tüm İhaleler'!$D$3:$D$1646,4,2)="06"))*('Tüm İhaleler'!$V$3:$V$1646)*('Tüm İhaleler'!$T$3:$T$1646))/SUMPRODUCT(('Tüm İhaleler'!$B$3:$B$1646=2024)*((MID('Tüm İhaleler'!$D$3:$D$1646,4,2)="04")+(MID('Tüm İhaleler'!$D$3:$D$1646,4,2)="05")+(MID('Tüm İhaleler'!$D$3:$D$1646,4,2)="06"))*('Tüm İhaleler'!$T$3:$T$1646)),"")</f>
        <v/>
      </c>
      <c r="E20" s="14">
        <f>IFERROR(SUMPRODUCT(('Tüm İhaleler'!$B$3:$B$1646=2024)*((MID('Tüm İhaleler'!$D$3:$D$1646,4,2)="04")+(MID('Tüm İhaleler'!$D$3:$D$1646,4,2)="05")+(MID('Tüm İhaleler'!$D$3:$D$1646,4,2)="06"))*('Tüm İhaleler'!$F$3:$F$1646)*(('Tüm İhaleler'!$F$3:$F$1646&lt;&gt;"")*1))/SUMPRODUCT(('Tüm İhaleler'!$B$3:$B$1646=2024)*((MID('Tüm İhaleler'!$D$3:$D$1646,4,2)="04")+(MID('Tüm İhaleler'!$D$3:$D$1646,4,2)="05")+(MID('Tüm İhaleler'!$D$3:$D$1646,4,2)="06"))*(('Tüm İhaleler'!$F$3:$F$1646&lt;&gt;"")*1)),"")</f>
        <v/>
      </c>
      <c r="F20" s="14">
        <f>SUMIFS('Tüm İhaleler'!$T$3:$T$1646,'Tüm İhaleler'!$B$3:$B$1646,2024,'Tüm İhaleler'!$D$3:$D$1646,"??.04.*")+SUMIFS('Tüm İhaleler'!$T$3:$T$1646,'Tüm İhaleler'!$B$3:$B$1646,2024,'Tüm İhaleler'!$D$3:$D$1646,"??.05.*")+SUMIFS('Tüm İhaleler'!$T$3:$T$1646,'Tüm İhaleler'!$B$3:$B$1646,2024,'Tüm İhaleler'!$D$3:$D$1646,"??.06.*")</f>
        <v/>
      </c>
    </row>
    <row r="21">
      <c r="A21" s="44" t="inlineStr">
        <is>
          <t>2024-Q3</t>
        </is>
      </c>
      <c r="B21" s="14">
        <f>COUNTIFS('Tüm İhaleler'!$B$3:$B$1646,2024,'Tüm İhaleler'!$D$3:$D$1646,"??.07.*")+COUNTIFS('Tüm İhaleler'!$B$3:$B$1646,2024,'Tüm İhaleler'!$D$3:$D$1646,"??.08.*")+COUNTIFS('Tüm İhaleler'!$B$3:$B$1646,2024,'Tüm İhaleler'!$D$3:$D$1646,"??.09.*")</f>
        <v/>
      </c>
      <c r="C21" s="15">
        <f>IFERROR(SUMPRODUCT(('Tüm İhaleler'!$B$3:$B$1646=2024)*((MID('Tüm İhaleler'!$D$3:$D$1646,4,2)="07")+(MID('Tüm İhaleler'!$D$3:$D$1646,4,2)="08")+(MID('Tüm İhaleler'!$D$3:$D$1646,4,2)="09"))*('Tüm İhaleler'!$V$3:$V$1646)*(('Tüm İhaleler'!$V$3:$V$1646&lt;&gt;"")*1))/SUMPRODUCT(('Tüm İhaleler'!$B$3:$B$1646=2024)*((MID('Tüm İhaleler'!$D$3:$D$1646,4,2)="07")+(MID('Tüm İhaleler'!$D$3:$D$1646,4,2)="08")+(MID('Tüm İhaleler'!$D$3:$D$1646,4,2)="09"))*(('Tüm İhaleler'!$V$3:$V$1646&lt;&gt;"")*1)),"")</f>
        <v/>
      </c>
      <c r="D21" s="15">
        <f>IFERROR(SUMPRODUCT(('Tüm İhaleler'!$B$3:$B$1646=2024)*((MID('Tüm İhaleler'!$D$3:$D$1646,4,2)="07")+(MID('Tüm İhaleler'!$D$3:$D$1646,4,2)="08")+(MID('Tüm İhaleler'!$D$3:$D$1646,4,2)="09"))*('Tüm İhaleler'!$V$3:$V$1646)*('Tüm İhaleler'!$T$3:$T$1646))/SUMPRODUCT(('Tüm İhaleler'!$B$3:$B$1646=2024)*((MID('Tüm İhaleler'!$D$3:$D$1646,4,2)="07")+(MID('Tüm İhaleler'!$D$3:$D$1646,4,2)="08")+(MID('Tüm İhaleler'!$D$3:$D$1646,4,2)="09"))*('Tüm İhaleler'!$T$3:$T$1646)),"")</f>
        <v/>
      </c>
      <c r="E21" s="14">
        <f>IFERROR(SUMPRODUCT(('Tüm İhaleler'!$B$3:$B$1646=2024)*((MID('Tüm İhaleler'!$D$3:$D$1646,4,2)="07")+(MID('Tüm İhaleler'!$D$3:$D$1646,4,2)="08")+(MID('Tüm İhaleler'!$D$3:$D$1646,4,2)="09"))*('Tüm İhaleler'!$F$3:$F$1646)*(('Tüm İhaleler'!$F$3:$F$1646&lt;&gt;"")*1))/SUMPRODUCT(('Tüm İhaleler'!$B$3:$B$1646=2024)*((MID('Tüm İhaleler'!$D$3:$D$1646,4,2)="07")+(MID('Tüm İhaleler'!$D$3:$D$1646,4,2)="08")+(MID('Tüm İhaleler'!$D$3:$D$1646,4,2)="09"))*(('Tüm İhaleler'!$F$3:$F$1646&lt;&gt;"")*1)),"")</f>
        <v/>
      </c>
      <c r="F21" s="14">
        <f>SUMIFS('Tüm İhaleler'!$T$3:$T$1646,'Tüm İhaleler'!$B$3:$B$1646,2024,'Tüm İhaleler'!$D$3:$D$1646,"??.07.*")+SUMIFS('Tüm İhaleler'!$T$3:$T$1646,'Tüm İhaleler'!$B$3:$B$1646,2024,'Tüm İhaleler'!$D$3:$D$1646,"??.08.*")+SUMIFS('Tüm İhaleler'!$T$3:$T$1646,'Tüm İhaleler'!$B$3:$B$1646,2024,'Tüm İhaleler'!$D$3:$D$1646,"??.09.*")</f>
        <v/>
      </c>
    </row>
    <row r="22">
      <c r="A22" s="44" t="inlineStr">
        <is>
          <t>2024-Q4</t>
        </is>
      </c>
      <c r="B22" s="14">
        <f>COUNTIFS('Tüm İhaleler'!$B$3:$B$1646,2024,'Tüm İhaleler'!$D$3:$D$1646,"??.10.*")+COUNTIFS('Tüm İhaleler'!$B$3:$B$1646,2024,'Tüm İhaleler'!$D$3:$D$1646,"??.11.*")+COUNTIFS('Tüm İhaleler'!$B$3:$B$1646,2024,'Tüm İhaleler'!$D$3:$D$1646,"??.12.*")</f>
        <v/>
      </c>
      <c r="C22" s="15">
        <f>IFERROR(SUMPRODUCT(('Tüm İhaleler'!$B$3:$B$1646=2024)*((MID('Tüm İhaleler'!$D$3:$D$1646,4,2)="10")+(MID('Tüm İhaleler'!$D$3:$D$1646,4,2)="11")+(MID('Tüm İhaleler'!$D$3:$D$1646,4,2)="12"))*('Tüm İhaleler'!$V$3:$V$1646)*(('Tüm İhaleler'!$V$3:$V$1646&lt;&gt;"")*1))/SUMPRODUCT(('Tüm İhaleler'!$B$3:$B$1646=2024)*((MID('Tüm İhaleler'!$D$3:$D$1646,4,2)="10")+(MID('Tüm İhaleler'!$D$3:$D$1646,4,2)="11")+(MID('Tüm İhaleler'!$D$3:$D$1646,4,2)="12"))*(('Tüm İhaleler'!$V$3:$V$1646&lt;&gt;"")*1)),"")</f>
        <v/>
      </c>
      <c r="D22" s="15">
        <f>IFERROR(SUMPRODUCT(('Tüm İhaleler'!$B$3:$B$1646=2024)*((MID('Tüm İhaleler'!$D$3:$D$1646,4,2)="10")+(MID('Tüm İhaleler'!$D$3:$D$1646,4,2)="11")+(MID('Tüm İhaleler'!$D$3:$D$1646,4,2)="12"))*('Tüm İhaleler'!$V$3:$V$1646)*('Tüm İhaleler'!$T$3:$T$1646))/SUMPRODUCT(('Tüm İhaleler'!$B$3:$B$1646=2024)*((MID('Tüm İhaleler'!$D$3:$D$1646,4,2)="10")+(MID('Tüm İhaleler'!$D$3:$D$1646,4,2)="11")+(MID('Tüm İhaleler'!$D$3:$D$1646,4,2)="12"))*('Tüm İhaleler'!$T$3:$T$1646)),"")</f>
        <v/>
      </c>
      <c r="E22" s="14">
        <f>IFERROR(SUMPRODUCT(('Tüm İhaleler'!$B$3:$B$1646=2024)*((MID('Tüm İhaleler'!$D$3:$D$1646,4,2)="10")+(MID('Tüm İhaleler'!$D$3:$D$1646,4,2)="11")+(MID('Tüm İhaleler'!$D$3:$D$1646,4,2)="12"))*('Tüm İhaleler'!$F$3:$F$1646)*(('Tüm İhaleler'!$F$3:$F$1646&lt;&gt;"")*1))/SUMPRODUCT(('Tüm İhaleler'!$B$3:$B$1646=2024)*((MID('Tüm İhaleler'!$D$3:$D$1646,4,2)="10")+(MID('Tüm İhaleler'!$D$3:$D$1646,4,2)="11")+(MID('Tüm İhaleler'!$D$3:$D$1646,4,2)="12"))*(('Tüm İhaleler'!$F$3:$F$1646&lt;&gt;"")*1)),"")</f>
        <v/>
      </c>
      <c r="F22" s="14">
        <f>SUMIFS('Tüm İhaleler'!$T$3:$T$1646,'Tüm İhaleler'!$B$3:$B$1646,2024,'Tüm İhaleler'!$D$3:$D$1646,"??.10.*")+SUMIFS('Tüm İhaleler'!$T$3:$T$1646,'Tüm İhaleler'!$B$3:$B$1646,2024,'Tüm İhaleler'!$D$3:$D$1646,"??.11.*")+SUMIFS('Tüm İhaleler'!$T$3:$T$1646,'Tüm İhaleler'!$B$3:$B$1646,2024,'Tüm İhaleler'!$D$3:$D$1646,"??.12.*")</f>
        <v/>
      </c>
    </row>
    <row r="23">
      <c r="A23" s="44" t="inlineStr">
        <is>
          <t>2025-Q1</t>
        </is>
      </c>
      <c r="B23" s="14">
        <f>COUNTIFS('Tüm İhaleler'!$B$3:$B$1646,2025,'Tüm İhaleler'!$D$3:$D$1646,"??.01.*")+COUNTIFS('Tüm İhaleler'!$B$3:$B$1646,2025,'Tüm İhaleler'!$D$3:$D$1646,"??.02.*")+COUNTIFS('Tüm İhaleler'!$B$3:$B$1646,2025,'Tüm İhaleler'!$D$3:$D$1646,"??.03.*")</f>
        <v/>
      </c>
      <c r="C23" s="15">
        <f>IFERROR(SUMPRODUCT(('Tüm İhaleler'!$B$3:$B$1646=2025)*((MID('Tüm İhaleler'!$D$3:$D$1646,4,2)="01")+(MID('Tüm İhaleler'!$D$3:$D$1646,4,2)="02")+(MID('Tüm İhaleler'!$D$3:$D$1646,4,2)="03"))*('Tüm İhaleler'!$V$3:$V$1646)*(('Tüm İhaleler'!$V$3:$V$1646&lt;&gt;"")*1))/SUMPRODUCT(('Tüm İhaleler'!$B$3:$B$1646=2025)*((MID('Tüm İhaleler'!$D$3:$D$1646,4,2)="01")+(MID('Tüm İhaleler'!$D$3:$D$1646,4,2)="02")+(MID('Tüm İhaleler'!$D$3:$D$1646,4,2)="03"))*(('Tüm İhaleler'!$V$3:$V$1646&lt;&gt;"")*1)),"")</f>
        <v/>
      </c>
      <c r="D23" s="15">
        <f>IFERROR(SUMPRODUCT(('Tüm İhaleler'!$B$3:$B$1646=2025)*((MID('Tüm İhaleler'!$D$3:$D$1646,4,2)="01")+(MID('Tüm İhaleler'!$D$3:$D$1646,4,2)="02")+(MID('Tüm İhaleler'!$D$3:$D$1646,4,2)="03"))*('Tüm İhaleler'!$V$3:$V$1646)*('Tüm İhaleler'!$T$3:$T$1646))/SUMPRODUCT(('Tüm İhaleler'!$B$3:$B$1646=2025)*((MID('Tüm İhaleler'!$D$3:$D$1646,4,2)="01")+(MID('Tüm İhaleler'!$D$3:$D$1646,4,2)="02")+(MID('Tüm İhaleler'!$D$3:$D$1646,4,2)="03"))*('Tüm İhaleler'!$T$3:$T$1646)),"")</f>
        <v/>
      </c>
      <c r="E23" s="14">
        <f>IFERROR(SUMPRODUCT(('Tüm İhaleler'!$B$3:$B$1646=2025)*((MID('Tüm İhaleler'!$D$3:$D$1646,4,2)="01")+(MID('Tüm İhaleler'!$D$3:$D$1646,4,2)="02")+(MID('Tüm İhaleler'!$D$3:$D$1646,4,2)="03"))*('Tüm İhaleler'!$F$3:$F$1646)*(('Tüm İhaleler'!$F$3:$F$1646&lt;&gt;"")*1))/SUMPRODUCT(('Tüm İhaleler'!$B$3:$B$1646=2025)*((MID('Tüm İhaleler'!$D$3:$D$1646,4,2)="01")+(MID('Tüm İhaleler'!$D$3:$D$1646,4,2)="02")+(MID('Tüm İhaleler'!$D$3:$D$1646,4,2)="03"))*(('Tüm İhaleler'!$F$3:$F$1646&lt;&gt;"")*1)),"")</f>
        <v/>
      </c>
      <c r="F23" s="14">
        <f>SUMIFS('Tüm İhaleler'!$T$3:$T$1646,'Tüm İhaleler'!$B$3:$B$1646,2025,'Tüm İhaleler'!$D$3:$D$1646,"??.01.*")+SUMIFS('Tüm İhaleler'!$T$3:$T$1646,'Tüm İhaleler'!$B$3:$B$1646,2025,'Tüm İhaleler'!$D$3:$D$1646,"??.02.*")+SUMIFS('Tüm İhaleler'!$T$3:$T$1646,'Tüm İhaleler'!$B$3:$B$1646,2025,'Tüm İhaleler'!$D$3:$D$1646,"??.03.*")</f>
        <v/>
      </c>
    </row>
    <row r="24">
      <c r="A24" s="44" t="inlineStr">
        <is>
          <t>2025-Q2</t>
        </is>
      </c>
      <c r="B24" s="14">
        <f>COUNTIFS('Tüm İhaleler'!$B$3:$B$1646,2025,'Tüm İhaleler'!$D$3:$D$1646,"??.04.*")+COUNTIFS('Tüm İhaleler'!$B$3:$B$1646,2025,'Tüm İhaleler'!$D$3:$D$1646,"??.05.*")+COUNTIFS('Tüm İhaleler'!$B$3:$B$1646,2025,'Tüm İhaleler'!$D$3:$D$1646,"??.06.*")</f>
        <v/>
      </c>
      <c r="C24" s="15">
        <f>IFERROR(SUMPRODUCT(('Tüm İhaleler'!$B$3:$B$1646=2025)*((MID('Tüm İhaleler'!$D$3:$D$1646,4,2)="04")+(MID('Tüm İhaleler'!$D$3:$D$1646,4,2)="05")+(MID('Tüm İhaleler'!$D$3:$D$1646,4,2)="06"))*('Tüm İhaleler'!$V$3:$V$1646)*(('Tüm İhaleler'!$V$3:$V$1646&lt;&gt;"")*1))/SUMPRODUCT(('Tüm İhaleler'!$B$3:$B$1646=2025)*((MID('Tüm İhaleler'!$D$3:$D$1646,4,2)="04")+(MID('Tüm İhaleler'!$D$3:$D$1646,4,2)="05")+(MID('Tüm İhaleler'!$D$3:$D$1646,4,2)="06"))*(('Tüm İhaleler'!$V$3:$V$1646&lt;&gt;"")*1)),"")</f>
        <v/>
      </c>
      <c r="D24" s="15">
        <f>IFERROR(SUMPRODUCT(('Tüm İhaleler'!$B$3:$B$1646=2025)*((MID('Tüm İhaleler'!$D$3:$D$1646,4,2)="04")+(MID('Tüm İhaleler'!$D$3:$D$1646,4,2)="05")+(MID('Tüm İhaleler'!$D$3:$D$1646,4,2)="06"))*('Tüm İhaleler'!$V$3:$V$1646)*('Tüm İhaleler'!$T$3:$T$1646))/SUMPRODUCT(('Tüm İhaleler'!$B$3:$B$1646=2025)*((MID('Tüm İhaleler'!$D$3:$D$1646,4,2)="04")+(MID('Tüm İhaleler'!$D$3:$D$1646,4,2)="05")+(MID('Tüm İhaleler'!$D$3:$D$1646,4,2)="06"))*('Tüm İhaleler'!$T$3:$T$1646)),"")</f>
        <v/>
      </c>
      <c r="E24" s="14">
        <f>IFERROR(SUMPRODUCT(('Tüm İhaleler'!$B$3:$B$1646=2025)*((MID('Tüm İhaleler'!$D$3:$D$1646,4,2)="04")+(MID('Tüm İhaleler'!$D$3:$D$1646,4,2)="05")+(MID('Tüm İhaleler'!$D$3:$D$1646,4,2)="06"))*('Tüm İhaleler'!$F$3:$F$1646)*(('Tüm İhaleler'!$F$3:$F$1646&lt;&gt;"")*1))/SUMPRODUCT(('Tüm İhaleler'!$B$3:$B$1646=2025)*((MID('Tüm İhaleler'!$D$3:$D$1646,4,2)="04")+(MID('Tüm İhaleler'!$D$3:$D$1646,4,2)="05")+(MID('Tüm İhaleler'!$D$3:$D$1646,4,2)="06"))*(('Tüm İhaleler'!$F$3:$F$1646&lt;&gt;"")*1)),"")</f>
        <v/>
      </c>
      <c r="F24" s="14">
        <f>SUMIFS('Tüm İhaleler'!$T$3:$T$1646,'Tüm İhaleler'!$B$3:$B$1646,2025,'Tüm İhaleler'!$D$3:$D$1646,"??.04.*")+SUMIFS('Tüm İhaleler'!$T$3:$T$1646,'Tüm İhaleler'!$B$3:$B$1646,2025,'Tüm İhaleler'!$D$3:$D$1646,"??.05.*")+SUMIFS('Tüm İhaleler'!$T$3:$T$1646,'Tüm İhaleler'!$B$3:$B$1646,2025,'Tüm İhaleler'!$D$3:$D$1646,"??.06.*")</f>
        <v/>
      </c>
    </row>
    <row r="25">
      <c r="A25" s="44" t="inlineStr">
        <is>
          <t>2025-Q3</t>
        </is>
      </c>
      <c r="B25" s="14">
        <f>COUNTIFS('Tüm İhaleler'!$B$3:$B$1646,2025,'Tüm İhaleler'!$D$3:$D$1646,"??.07.*")+COUNTIFS('Tüm İhaleler'!$B$3:$B$1646,2025,'Tüm İhaleler'!$D$3:$D$1646,"??.08.*")+COUNTIFS('Tüm İhaleler'!$B$3:$B$1646,2025,'Tüm İhaleler'!$D$3:$D$1646,"??.09.*")</f>
        <v/>
      </c>
      <c r="C25" s="15">
        <f>IFERROR(SUMPRODUCT(('Tüm İhaleler'!$B$3:$B$1646=2025)*((MID('Tüm İhaleler'!$D$3:$D$1646,4,2)="07")+(MID('Tüm İhaleler'!$D$3:$D$1646,4,2)="08")+(MID('Tüm İhaleler'!$D$3:$D$1646,4,2)="09"))*('Tüm İhaleler'!$V$3:$V$1646)*(('Tüm İhaleler'!$V$3:$V$1646&lt;&gt;"")*1))/SUMPRODUCT(('Tüm İhaleler'!$B$3:$B$1646=2025)*((MID('Tüm İhaleler'!$D$3:$D$1646,4,2)="07")+(MID('Tüm İhaleler'!$D$3:$D$1646,4,2)="08")+(MID('Tüm İhaleler'!$D$3:$D$1646,4,2)="09"))*(('Tüm İhaleler'!$V$3:$V$1646&lt;&gt;"")*1)),"")</f>
        <v/>
      </c>
      <c r="D25" s="15">
        <f>IFERROR(SUMPRODUCT(('Tüm İhaleler'!$B$3:$B$1646=2025)*((MID('Tüm İhaleler'!$D$3:$D$1646,4,2)="07")+(MID('Tüm İhaleler'!$D$3:$D$1646,4,2)="08")+(MID('Tüm İhaleler'!$D$3:$D$1646,4,2)="09"))*('Tüm İhaleler'!$V$3:$V$1646)*('Tüm İhaleler'!$T$3:$T$1646))/SUMPRODUCT(('Tüm İhaleler'!$B$3:$B$1646=2025)*((MID('Tüm İhaleler'!$D$3:$D$1646,4,2)="07")+(MID('Tüm İhaleler'!$D$3:$D$1646,4,2)="08")+(MID('Tüm İhaleler'!$D$3:$D$1646,4,2)="09"))*('Tüm İhaleler'!$T$3:$T$1646)),"")</f>
        <v/>
      </c>
      <c r="E25" s="14">
        <f>IFERROR(SUMPRODUCT(('Tüm İhaleler'!$B$3:$B$1646=2025)*((MID('Tüm İhaleler'!$D$3:$D$1646,4,2)="07")+(MID('Tüm İhaleler'!$D$3:$D$1646,4,2)="08")+(MID('Tüm İhaleler'!$D$3:$D$1646,4,2)="09"))*('Tüm İhaleler'!$F$3:$F$1646)*(('Tüm İhaleler'!$F$3:$F$1646&lt;&gt;"")*1))/SUMPRODUCT(('Tüm İhaleler'!$B$3:$B$1646=2025)*((MID('Tüm İhaleler'!$D$3:$D$1646,4,2)="07")+(MID('Tüm İhaleler'!$D$3:$D$1646,4,2)="08")+(MID('Tüm İhaleler'!$D$3:$D$1646,4,2)="09"))*(('Tüm İhaleler'!$F$3:$F$1646&lt;&gt;"")*1)),"")</f>
        <v/>
      </c>
      <c r="F25" s="14">
        <f>SUMIFS('Tüm İhaleler'!$T$3:$T$1646,'Tüm İhaleler'!$B$3:$B$1646,2025,'Tüm İhaleler'!$D$3:$D$1646,"??.07.*")+SUMIFS('Tüm İhaleler'!$T$3:$T$1646,'Tüm İhaleler'!$B$3:$B$1646,2025,'Tüm İhaleler'!$D$3:$D$1646,"??.08.*")+SUMIFS('Tüm İhaleler'!$T$3:$T$1646,'Tüm İhaleler'!$B$3:$B$1646,2025,'Tüm İhaleler'!$D$3:$D$1646,"??.09.*")</f>
        <v/>
      </c>
    </row>
    <row r="26">
      <c r="A26" s="44" t="inlineStr">
        <is>
          <t>2025-Q4</t>
        </is>
      </c>
      <c r="B26" s="14">
        <f>COUNTIFS('Tüm İhaleler'!$B$3:$B$1646,2025,'Tüm İhaleler'!$D$3:$D$1646,"??.10.*")+COUNTIFS('Tüm İhaleler'!$B$3:$B$1646,2025,'Tüm İhaleler'!$D$3:$D$1646,"??.11.*")+COUNTIFS('Tüm İhaleler'!$B$3:$B$1646,2025,'Tüm İhaleler'!$D$3:$D$1646,"??.12.*")</f>
        <v/>
      </c>
      <c r="C26" s="15">
        <f>IFERROR(SUMPRODUCT(('Tüm İhaleler'!$B$3:$B$1646=2025)*((MID('Tüm İhaleler'!$D$3:$D$1646,4,2)="10")+(MID('Tüm İhaleler'!$D$3:$D$1646,4,2)="11")+(MID('Tüm İhaleler'!$D$3:$D$1646,4,2)="12"))*('Tüm İhaleler'!$V$3:$V$1646)*(('Tüm İhaleler'!$V$3:$V$1646&lt;&gt;"")*1))/SUMPRODUCT(('Tüm İhaleler'!$B$3:$B$1646=2025)*((MID('Tüm İhaleler'!$D$3:$D$1646,4,2)="10")+(MID('Tüm İhaleler'!$D$3:$D$1646,4,2)="11")+(MID('Tüm İhaleler'!$D$3:$D$1646,4,2)="12"))*(('Tüm İhaleler'!$V$3:$V$1646&lt;&gt;"")*1)),"")</f>
        <v/>
      </c>
      <c r="D26" s="15">
        <f>IFERROR(SUMPRODUCT(('Tüm İhaleler'!$B$3:$B$1646=2025)*((MID('Tüm İhaleler'!$D$3:$D$1646,4,2)="10")+(MID('Tüm İhaleler'!$D$3:$D$1646,4,2)="11")+(MID('Tüm İhaleler'!$D$3:$D$1646,4,2)="12"))*('Tüm İhaleler'!$V$3:$V$1646)*('Tüm İhaleler'!$T$3:$T$1646))/SUMPRODUCT(('Tüm İhaleler'!$B$3:$B$1646=2025)*((MID('Tüm İhaleler'!$D$3:$D$1646,4,2)="10")+(MID('Tüm İhaleler'!$D$3:$D$1646,4,2)="11")+(MID('Tüm İhaleler'!$D$3:$D$1646,4,2)="12"))*('Tüm İhaleler'!$T$3:$T$1646)),"")</f>
        <v/>
      </c>
      <c r="E26" s="14">
        <f>IFERROR(SUMPRODUCT(('Tüm İhaleler'!$B$3:$B$1646=2025)*((MID('Tüm İhaleler'!$D$3:$D$1646,4,2)="10")+(MID('Tüm İhaleler'!$D$3:$D$1646,4,2)="11")+(MID('Tüm İhaleler'!$D$3:$D$1646,4,2)="12"))*('Tüm İhaleler'!$F$3:$F$1646)*(('Tüm İhaleler'!$F$3:$F$1646&lt;&gt;"")*1))/SUMPRODUCT(('Tüm İhaleler'!$B$3:$B$1646=2025)*((MID('Tüm İhaleler'!$D$3:$D$1646,4,2)="10")+(MID('Tüm İhaleler'!$D$3:$D$1646,4,2)="11")+(MID('Tüm İhaleler'!$D$3:$D$1646,4,2)="12"))*(('Tüm İhaleler'!$F$3:$F$1646&lt;&gt;"")*1)),"")</f>
        <v/>
      </c>
      <c r="F26" s="14">
        <f>SUMIFS('Tüm İhaleler'!$T$3:$T$1646,'Tüm İhaleler'!$B$3:$B$1646,2025,'Tüm İhaleler'!$D$3:$D$1646,"??.10.*")+SUMIFS('Tüm İhaleler'!$T$3:$T$1646,'Tüm İhaleler'!$B$3:$B$1646,2025,'Tüm İhaleler'!$D$3:$D$1646,"??.11.*")+SUMIFS('Tüm İhaleler'!$T$3:$T$1646,'Tüm İhaleler'!$B$3:$B$1646,2025,'Tüm İhaleler'!$D$3:$D$1646,"??.12.*")</f>
        <v/>
      </c>
    </row>
    <row r="27">
      <c r="A27" s="44" t="inlineStr">
        <is>
          <t>2026-Q1</t>
        </is>
      </c>
      <c r="B27" s="14">
        <f>COUNTIFS('Tüm İhaleler'!$B$3:$B$1646,2026,'Tüm İhaleler'!$D$3:$D$1646,"??.01.*")+COUNTIFS('Tüm İhaleler'!$B$3:$B$1646,2026,'Tüm İhaleler'!$D$3:$D$1646,"??.02.*")+COUNTIFS('Tüm İhaleler'!$B$3:$B$1646,2026,'Tüm İhaleler'!$D$3:$D$1646,"??.03.*")</f>
        <v/>
      </c>
      <c r="C27" s="15">
        <f>IFERROR(SUMPRODUCT(('Tüm İhaleler'!$B$3:$B$1646=2026)*((MID('Tüm İhaleler'!$D$3:$D$1646,4,2)="01")+(MID('Tüm İhaleler'!$D$3:$D$1646,4,2)="02")+(MID('Tüm İhaleler'!$D$3:$D$1646,4,2)="03"))*('Tüm İhaleler'!$V$3:$V$1646)*(('Tüm İhaleler'!$V$3:$V$1646&lt;&gt;"")*1))/SUMPRODUCT(('Tüm İhaleler'!$B$3:$B$1646=2026)*((MID('Tüm İhaleler'!$D$3:$D$1646,4,2)="01")+(MID('Tüm İhaleler'!$D$3:$D$1646,4,2)="02")+(MID('Tüm İhaleler'!$D$3:$D$1646,4,2)="03"))*(('Tüm İhaleler'!$V$3:$V$1646&lt;&gt;"")*1)),"")</f>
        <v/>
      </c>
      <c r="D27" s="15">
        <f>IFERROR(SUMPRODUCT(('Tüm İhaleler'!$B$3:$B$1646=2026)*((MID('Tüm İhaleler'!$D$3:$D$1646,4,2)="01")+(MID('Tüm İhaleler'!$D$3:$D$1646,4,2)="02")+(MID('Tüm İhaleler'!$D$3:$D$1646,4,2)="03"))*('Tüm İhaleler'!$V$3:$V$1646)*('Tüm İhaleler'!$T$3:$T$1646))/SUMPRODUCT(('Tüm İhaleler'!$B$3:$B$1646=2026)*((MID('Tüm İhaleler'!$D$3:$D$1646,4,2)="01")+(MID('Tüm İhaleler'!$D$3:$D$1646,4,2)="02")+(MID('Tüm İhaleler'!$D$3:$D$1646,4,2)="03"))*('Tüm İhaleler'!$T$3:$T$1646)),"")</f>
        <v/>
      </c>
      <c r="E27" s="14">
        <f>IFERROR(SUMPRODUCT(('Tüm İhaleler'!$B$3:$B$1646=2026)*((MID('Tüm İhaleler'!$D$3:$D$1646,4,2)="01")+(MID('Tüm İhaleler'!$D$3:$D$1646,4,2)="02")+(MID('Tüm İhaleler'!$D$3:$D$1646,4,2)="03"))*('Tüm İhaleler'!$F$3:$F$1646)*(('Tüm İhaleler'!$F$3:$F$1646&lt;&gt;"")*1))/SUMPRODUCT(('Tüm İhaleler'!$B$3:$B$1646=2026)*((MID('Tüm İhaleler'!$D$3:$D$1646,4,2)="01")+(MID('Tüm İhaleler'!$D$3:$D$1646,4,2)="02")+(MID('Tüm İhaleler'!$D$3:$D$1646,4,2)="03"))*(('Tüm İhaleler'!$F$3:$F$1646&lt;&gt;"")*1)),"")</f>
        <v/>
      </c>
      <c r="F27" s="14">
        <f>SUMIFS('Tüm İhaleler'!$T$3:$T$1646,'Tüm İhaleler'!$B$3:$B$1646,2026,'Tüm İhaleler'!$D$3:$D$1646,"??.01.*")+SUMIFS('Tüm İhaleler'!$T$3:$T$1646,'Tüm İhaleler'!$B$3:$B$1646,2026,'Tüm İhaleler'!$D$3:$D$1646,"??.02.*")+SUMIFS('Tüm İhaleler'!$T$3:$T$1646,'Tüm İhaleler'!$B$3:$B$1646,2026,'Tüm İhaleler'!$D$3:$D$1646,"??.03.*")</f>
        <v/>
      </c>
    </row>
    <row r="28">
      <c r="A28" s="44" t="inlineStr">
        <is>
          <t>2026-Q2</t>
        </is>
      </c>
      <c r="B28" s="14">
        <f>COUNTIFS('Tüm İhaleler'!$B$3:$B$1646,2026,'Tüm İhaleler'!$D$3:$D$1646,"??.04.*")+COUNTIFS('Tüm İhaleler'!$B$3:$B$1646,2026,'Tüm İhaleler'!$D$3:$D$1646,"??.05.*")+COUNTIFS('Tüm İhaleler'!$B$3:$B$1646,2026,'Tüm İhaleler'!$D$3:$D$1646,"??.06.*")</f>
        <v/>
      </c>
      <c r="C28" s="15">
        <f>IFERROR(SUMPRODUCT(('Tüm İhaleler'!$B$3:$B$1646=2026)*((MID('Tüm İhaleler'!$D$3:$D$1646,4,2)="04")+(MID('Tüm İhaleler'!$D$3:$D$1646,4,2)="05")+(MID('Tüm İhaleler'!$D$3:$D$1646,4,2)="06"))*('Tüm İhaleler'!$V$3:$V$1646)*(('Tüm İhaleler'!$V$3:$V$1646&lt;&gt;"")*1))/SUMPRODUCT(('Tüm İhaleler'!$B$3:$B$1646=2026)*((MID('Tüm İhaleler'!$D$3:$D$1646,4,2)="04")+(MID('Tüm İhaleler'!$D$3:$D$1646,4,2)="05")+(MID('Tüm İhaleler'!$D$3:$D$1646,4,2)="06"))*(('Tüm İhaleler'!$V$3:$V$1646&lt;&gt;"")*1)),"")</f>
        <v/>
      </c>
      <c r="D28" s="15">
        <f>IFERROR(SUMPRODUCT(('Tüm İhaleler'!$B$3:$B$1646=2026)*((MID('Tüm İhaleler'!$D$3:$D$1646,4,2)="04")+(MID('Tüm İhaleler'!$D$3:$D$1646,4,2)="05")+(MID('Tüm İhaleler'!$D$3:$D$1646,4,2)="06"))*('Tüm İhaleler'!$V$3:$V$1646)*('Tüm İhaleler'!$T$3:$T$1646))/SUMPRODUCT(('Tüm İhaleler'!$B$3:$B$1646=2026)*((MID('Tüm İhaleler'!$D$3:$D$1646,4,2)="04")+(MID('Tüm İhaleler'!$D$3:$D$1646,4,2)="05")+(MID('Tüm İhaleler'!$D$3:$D$1646,4,2)="06"))*('Tüm İhaleler'!$T$3:$T$1646)),"")</f>
        <v/>
      </c>
      <c r="E28" s="14">
        <f>IFERROR(SUMPRODUCT(('Tüm İhaleler'!$B$3:$B$1646=2026)*((MID('Tüm İhaleler'!$D$3:$D$1646,4,2)="04")+(MID('Tüm İhaleler'!$D$3:$D$1646,4,2)="05")+(MID('Tüm İhaleler'!$D$3:$D$1646,4,2)="06"))*('Tüm İhaleler'!$F$3:$F$1646)*(('Tüm İhaleler'!$F$3:$F$1646&lt;&gt;"")*1))/SUMPRODUCT(('Tüm İhaleler'!$B$3:$B$1646=2026)*((MID('Tüm İhaleler'!$D$3:$D$1646,4,2)="04")+(MID('Tüm İhaleler'!$D$3:$D$1646,4,2)="05")+(MID('Tüm İhaleler'!$D$3:$D$1646,4,2)="06"))*(('Tüm İhaleler'!$F$3:$F$1646&lt;&gt;"")*1)),"")</f>
        <v/>
      </c>
      <c r="F28" s="14">
        <f>SUMIFS('Tüm İhaleler'!$T$3:$T$1646,'Tüm İhaleler'!$B$3:$B$1646,2026,'Tüm İhaleler'!$D$3:$D$1646,"??.04.*")+SUMIFS('Tüm İhaleler'!$T$3:$T$1646,'Tüm İhaleler'!$B$3:$B$1646,2026,'Tüm İhaleler'!$D$3:$D$1646,"??.05.*")+SUMIFS('Tüm İhaleler'!$T$3:$T$1646,'Tüm İhaleler'!$B$3:$B$1646,2026,'Tüm İhaleler'!$D$3:$D$1646,"??.06.*")</f>
        <v/>
      </c>
    </row>
    <row r="29">
      <c r="A29" s="44" t="inlineStr">
        <is>
          <t>2026-Q3</t>
        </is>
      </c>
      <c r="B29" s="14">
        <f>COUNTIFS('Tüm İhaleler'!$B$3:$B$1646,2026,'Tüm İhaleler'!$D$3:$D$1646,"??.07.*")+COUNTIFS('Tüm İhaleler'!$B$3:$B$1646,2026,'Tüm İhaleler'!$D$3:$D$1646,"??.08.*")+COUNTIFS('Tüm İhaleler'!$B$3:$B$1646,2026,'Tüm İhaleler'!$D$3:$D$1646,"??.09.*")</f>
        <v/>
      </c>
      <c r="C29" s="15">
        <f>IFERROR(SUMPRODUCT(('Tüm İhaleler'!$B$3:$B$1646=2026)*((MID('Tüm İhaleler'!$D$3:$D$1646,4,2)="07")+(MID('Tüm İhaleler'!$D$3:$D$1646,4,2)="08")+(MID('Tüm İhaleler'!$D$3:$D$1646,4,2)="09"))*('Tüm İhaleler'!$V$3:$V$1646)*(('Tüm İhaleler'!$V$3:$V$1646&lt;&gt;"")*1))/SUMPRODUCT(('Tüm İhaleler'!$B$3:$B$1646=2026)*((MID('Tüm İhaleler'!$D$3:$D$1646,4,2)="07")+(MID('Tüm İhaleler'!$D$3:$D$1646,4,2)="08")+(MID('Tüm İhaleler'!$D$3:$D$1646,4,2)="09"))*(('Tüm İhaleler'!$V$3:$V$1646&lt;&gt;"")*1)),"")</f>
        <v/>
      </c>
      <c r="D29" s="15">
        <f>IFERROR(SUMPRODUCT(('Tüm İhaleler'!$B$3:$B$1646=2026)*((MID('Tüm İhaleler'!$D$3:$D$1646,4,2)="07")+(MID('Tüm İhaleler'!$D$3:$D$1646,4,2)="08")+(MID('Tüm İhaleler'!$D$3:$D$1646,4,2)="09"))*('Tüm İhaleler'!$V$3:$V$1646)*('Tüm İhaleler'!$T$3:$T$1646))/SUMPRODUCT(('Tüm İhaleler'!$B$3:$B$1646=2026)*((MID('Tüm İhaleler'!$D$3:$D$1646,4,2)="07")+(MID('Tüm İhaleler'!$D$3:$D$1646,4,2)="08")+(MID('Tüm İhaleler'!$D$3:$D$1646,4,2)="09"))*('Tüm İhaleler'!$T$3:$T$1646)),"")</f>
        <v/>
      </c>
      <c r="E29" s="14">
        <f>IFERROR(SUMPRODUCT(('Tüm İhaleler'!$B$3:$B$1646=2026)*((MID('Tüm İhaleler'!$D$3:$D$1646,4,2)="07")+(MID('Tüm İhaleler'!$D$3:$D$1646,4,2)="08")+(MID('Tüm İhaleler'!$D$3:$D$1646,4,2)="09"))*('Tüm İhaleler'!$F$3:$F$1646)*(('Tüm İhaleler'!$F$3:$F$1646&lt;&gt;"")*1))/SUMPRODUCT(('Tüm İhaleler'!$B$3:$B$1646=2026)*((MID('Tüm İhaleler'!$D$3:$D$1646,4,2)="07")+(MID('Tüm İhaleler'!$D$3:$D$1646,4,2)="08")+(MID('Tüm İhaleler'!$D$3:$D$1646,4,2)="09"))*(('Tüm İhaleler'!$F$3:$F$1646&lt;&gt;"")*1)),"")</f>
        <v/>
      </c>
      <c r="F29" s="14">
        <f>SUMIFS('Tüm İhaleler'!$T$3:$T$1646,'Tüm İhaleler'!$B$3:$B$1646,2026,'Tüm İhaleler'!$D$3:$D$1646,"??.07.*")+SUMIFS('Tüm İhaleler'!$T$3:$T$1646,'Tüm İhaleler'!$B$3:$B$1646,2026,'Tüm İhaleler'!$D$3:$D$1646,"??.08.*")+SUMIFS('Tüm İhaleler'!$T$3:$T$1646,'Tüm İhaleler'!$B$3:$B$1646,2026,'Tüm İhaleler'!$D$3:$D$1646,"??.09.*")</f>
        <v/>
      </c>
    </row>
    <row r="30">
      <c r="A30" s="44" t="inlineStr">
        <is>
          <t>2026-Q4</t>
        </is>
      </c>
      <c r="B30" s="14">
        <f>COUNTIFS('Tüm İhaleler'!$B$3:$B$1646,2026,'Tüm İhaleler'!$D$3:$D$1646,"??.10.*")+COUNTIFS('Tüm İhaleler'!$B$3:$B$1646,2026,'Tüm İhaleler'!$D$3:$D$1646,"??.11.*")+COUNTIFS('Tüm İhaleler'!$B$3:$B$1646,2026,'Tüm İhaleler'!$D$3:$D$1646,"??.12.*")</f>
        <v/>
      </c>
      <c r="C30" s="15">
        <f>IFERROR(SUMPRODUCT(('Tüm İhaleler'!$B$3:$B$1646=2026)*((MID('Tüm İhaleler'!$D$3:$D$1646,4,2)="10")+(MID('Tüm İhaleler'!$D$3:$D$1646,4,2)="11")+(MID('Tüm İhaleler'!$D$3:$D$1646,4,2)="12"))*('Tüm İhaleler'!$V$3:$V$1646)*(('Tüm İhaleler'!$V$3:$V$1646&lt;&gt;"")*1))/SUMPRODUCT(('Tüm İhaleler'!$B$3:$B$1646=2026)*((MID('Tüm İhaleler'!$D$3:$D$1646,4,2)="10")+(MID('Tüm İhaleler'!$D$3:$D$1646,4,2)="11")+(MID('Tüm İhaleler'!$D$3:$D$1646,4,2)="12"))*(('Tüm İhaleler'!$V$3:$V$1646&lt;&gt;"")*1)),"")</f>
        <v/>
      </c>
      <c r="D30" s="15">
        <f>IFERROR(SUMPRODUCT(('Tüm İhaleler'!$B$3:$B$1646=2026)*((MID('Tüm İhaleler'!$D$3:$D$1646,4,2)="10")+(MID('Tüm İhaleler'!$D$3:$D$1646,4,2)="11")+(MID('Tüm İhaleler'!$D$3:$D$1646,4,2)="12"))*('Tüm İhaleler'!$V$3:$V$1646)*('Tüm İhaleler'!$T$3:$T$1646))/SUMPRODUCT(('Tüm İhaleler'!$B$3:$B$1646=2026)*((MID('Tüm İhaleler'!$D$3:$D$1646,4,2)="10")+(MID('Tüm İhaleler'!$D$3:$D$1646,4,2)="11")+(MID('Tüm İhaleler'!$D$3:$D$1646,4,2)="12"))*('Tüm İhaleler'!$T$3:$T$1646)),"")</f>
        <v/>
      </c>
      <c r="E30" s="14">
        <f>IFERROR(SUMPRODUCT(('Tüm İhaleler'!$B$3:$B$1646=2026)*((MID('Tüm İhaleler'!$D$3:$D$1646,4,2)="10")+(MID('Tüm İhaleler'!$D$3:$D$1646,4,2)="11")+(MID('Tüm İhaleler'!$D$3:$D$1646,4,2)="12"))*('Tüm İhaleler'!$F$3:$F$1646)*(('Tüm İhaleler'!$F$3:$F$1646&lt;&gt;"")*1))/SUMPRODUCT(('Tüm İhaleler'!$B$3:$B$1646=2026)*((MID('Tüm İhaleler'!$D$3:$D$1646,4,2)="10")+(MID('Tüm İhaleler'!$D$3:$D$1646,4,2)="11")+(MID('Tüm İhaleler'!$D$3:$D$1646,4,2)="12"))*(('Tüm İhaleler'!$F$3:$F$1646&lt;&gt;"")*1)),"")</f>
        <v/>
      </c>
      <c r="F30" s="14">
        <f>SUMIFS('Tüm İhaleler'!$T$3:$T$1646,'Tüm İhaleler'!$B$3:$B$1646,2026,'Tüm İhaleler'!$D$3:$D$1646,"??.10.*")+SUMIFS('Tüm İhaleler'!$T$3:$T$1646,'Tüm İhaleler'!$B$3:$B$1646,2026,'Tüm İhaleler'!$D$3:$D$1646,"??.11.*")+SUMIFS('Tüm İhaleler'!$T$3:$T$1646,'Tüm İhaleler'!$B$3:$B$1646,2026,'Tüm İhaleler'!$D$3:$D$1646,"??.12.*")</f>
        <v/>
      </c>
    </row>
    <row r="33">
      <c r="A33" s="50" t="inlineStr">
        <is>
          <t>9. Tarihteki En Büyük 20 İhale (Toplam Net Bazlı)</t>
        </is>
      </c>
    </row>
    <row r="34">
      <c r="A34" s="51" t="inlineStr">
        <is>
          <t>Sıra</t>
        </is>
      </c>
      <c r="B34" s="51" t="inlineStr">
        <is>
          <t>Toplam Net (Bin TL)</t>
        </is>
      </c>
      <c r="C34" s="51" t="inlineStr">
        <is>
          <t>Senet Türü</t>
        </is>
      </c>
      <c r="D34" s="51" t="inlineStr">
        <is>
          <t>ISIN</t>
        </is>
      </c>
      <c r="E34" s="51" t="inlineStr">
        <is>
          <t>Valör</t>
        </is>
      </c>
      <c r="F34" s="51" t="inlineStr">
        <is>
          <t>Yıl</t>
        </is>
      </c>
      <c r="G34" s="51" t="inlineStr">
        <is>
          <t>Vade (Gün)</t>
        </is>
      </c>
      <c r="H34" s="51" t="inlineStr">
        <is>
          <t>Faiz Bileşik (%)</t>
        </is>
      </c>
      <c r="I34" s="51" t="inlineStr">
        <is>
          <t>Birim Fiyat</t>
        </is>
      </c>
    </row>
    <row r="35">
      <c r="A35" s="44" t="n">
        <v>1</v>
      </c>
      <c r="B35" s="14">
        <f>IFERROR(LARGE('Tüm İhaleler'!$T$3:$T$1646,1),"")</f>
        <v/>
      </c>
      <c r="C35" s="44">
        <f>IFERROR(INDEX('Tüm İhaleler'!$A$3:$A$1646,MATCH(B35,'Tüm İhaleler'!$T$3:$T$1646,0)),"")</f>
        <v/>
      </c>
      <c r="D35" s="44">
        <f>IFERROR(INDEX('Tüm İhaleler'!$C$3:$C$1646,MATCH(B35,'Tüm İhaleler'!$T$3:$T$1646,0)),"")</f>
        <v/>
      </c>
      <c r="E35" s="44">
        <f>IFERROR(INDEX('Tüm İhaleler'!$D$3:$D$1646,MATCH(B35,'Tüm İhaleler'!$T$3:$T$1646,0)),"")</f>
        <v/>
      </c>
      <c r="F35" s="44">
        <f>IFERROR(INDEX('Tüm İhaleler'!$B$3:$B$1646,MATCH(B35,'Tüm İhaleler'!$T$3:$T$1646,0)),"")</f>
        <v/>
      </c>
      <c r="G35" s="14">
        <f>IFERROR(INDEX('Tüm İhaleler'!$F$3:$F$1646,MATCH(B35,'Tüm İhaleler'!$T$3:$T$1646,0)),"")</f>
        <v/>
      </c>
      <c r="H35" s="15">
        <f>IFERROR(INDEX('Tüm İhaleler'!$V$3:$V$1646,MATCH(B35,'Tüm İhaleler'!$T$3:$T$1646,0)),"")</f>
        <v/>
      </c>
      <c r="I35" s="49">
        <f>IFERROR(INDEX('Tüm İhaleler'!$W$3:$W$1646,MATCH(B35,'Tüm İhaleler'!$T$3:$T$1646,0)),"")</f>
        <v/>
      </c>
    </row>
    <row r="36">
      <c r="A36" s="44" t="n">
        <v>2</v>
      </c>
      <c r="B36" s="14">
        <f>IFERROR(LARGE('Tüm İhaleler'!$T$3:$T$1646,2),"")</f>
        <v/>
      </c>
      <c r="C36" s="44">
        <f>IFERROR(INDEX('Tüm İhaleler'!$A$3:$A$1646,MATCH(B36,'Tüm İhaleler'!$T$3:$T$1646,0)),"")</f>
        <v/>
      </c>
      <c r="D36" s="44">
        <f>IFERROR(INDEX('Tüm İhaleler'!$C$3:$C$1646,MATCH(B36,'Tüm İhaleler'!$T$3:$T$1646,0)),"")</f>
        <v/>
      </c>
      <c r="E36" s="44">
        <f>IFERROR(INDEX('Tüm İhaleler'!$D$3:$D$1646,MATCH(B36,'Tüm İhaleler'!$T$3:$T$1646,0)),"")</f>
        <v/>
      </c>
      <c r="F36" s="44">
        <f>IFERROR(INDEX('Tüm İhaleler'!$B$3:$B$1646,MATCH(B36,'Tüm İhaleler'!$T$3:$T$1646,0)),"")</f>
        <v/>
      </c>
      <c r="G36" s="14">
        <f>IFERROR(INDEX('Tüm İhaleler'!$F$3:$F$1646,MATCH(B36,'Tüm İhaleler'!$T$3:$T$1646,0)),"")</f>
        <v/>
      </c>
      <c r="H36" s="15">
        <f>IFERROR(INDEX('Tüm İhaleler'!$V$3:$V$1646,MATCH(B36,'Tüm İhaleler'!$T$3:$T$1646,0)),"")</f>
        <v/>
      </c>
      <c r="I36" s="49">
        <f>IFERROR(INDEX('Tüm İhaleler'!$W$3:$W$1646,MATCH(B36,'Tüm İhaleler'!$T$3:$T$1646,0)),"")</f>
        <v/>
      </c>
    </row>
    <row r="37">
      <c r="A37" s="44" t="n">
        <v>3</v>
      </c>
      <c r="B37" s="14">
        <f>IFERROR(LARGE('Tüm İhaleler'!$T$3:$T$1646,3),"")</f>
        <v/>
      </c>
      <c r="C37" s="44">
        <f>IFERROR(INDEX('Tüm İhaleler'!$A$3:$A$1646,MATCH(B37,'Tüm İhaleler'!$T$3:$T$1646,0)),"")</f>
        <v/>
      </c>
      <c r="D37" s="44">
        <f>IFERROR(INDEX('Tüm İhaleler'!$C$3:$C$1646,MATCH(B37,'Tüm İhaleler'!$T$3:$T$1646,0)),"")</f>
        <v/>
      </c>
      <c r="E37" s="44">
        <f>IFERROR(INDEX('Tüm İhaleler'!$D$3:$D$1646,MATCH(B37,'Tüm İhaleler'!$T$3:$T$1646,0)),"")</f>
        <v/>
      </c>
      <c r="F37" s="44">
        <f>IFERROR(INDEX('Tüm İhaleler'!$B$3:$B$1646,MATCH(B37,'Tüm İhaleler'!$T$3:$T$1646,0)),"")</f>
        <v/>
      </c>
      <c r="G37" s="14">
        <f>IFERROR(INDEX('Tüm İhaleler'!$F$3:$F$1646,MATCH(B37,'Tüm İhaleler'!$T$3:$T$1646,0)),"")</f>
        <v/>
      </c>
      <c r="H37" s="15">
        <f>IFERROR(INDEX('Tüm İhaleler'!$V$3:$V$1646,MATCH(B37,'Tüm İhaleler'!$T$3:$T$1646,0)),"")</f>
        <v/>
      </c>
      <c r="I37" s="49">
        <f>IFERROR(INDEX('Tüm İhaleler'!$W$3:$W$1646,MATCH(B37,'Tüm İhaleler'!$T$3:$T$1646,0)),"")</f>
        <v/>
      </c>
    </row>
    <row r="38">
      <c r="A38" s="44" t="n">
        <v>4</v>
      </c>
      <c r="B38" s="14">
        <f>IFERROR(LARGE('Tüm İhaleler'!$T$3:$T$1646,4),"")</f>
        <v/>
      </c>
      <c r="C38" s="44">
        <f>IFERROR(INDEX('Tüm İhaleler'!$A$3:$A$1646,MATCH(B38,'Tüm İhaleler'!$T$3:$T$1646,0)),"")</f>
        <v/>
      </c>
      <c r="D38" s="44">
        <f>IFERROR(INDEX('Tüm İhaleler'!$C$3:$C$1646,MATCH(B38,'Tüm İhaleler'!$T$3:$T$1646,0)),"")</f>
        <v/>
      </c>
      <c r="E38" s="44">
        <f>IFERROR(INDEX('Tüm İhaleler'!$D$3:$D$1646,MATCH(B38,'Tüm İhaleler'!$T$3:$T$1646,0)),"")</f>
        <v/>
      </c>
      <c r="F38" s="44">
        <f>IFERROR(INDEX('Tüm İhaleler'!$B$3:$B$1646,MATCH(B38,'Tüm İhaleler'!$T$3:$T$1646,0)),"")</f>
        <v/>
      </c>
      <c r="G38" s="14">
        <f>IFERROR(INDEX('Tüm İhaleler'!$F$3:$F$1646,MATCH(B38,'Tüm İhaleler'!$T$3:$T$1646,0)),"")</f>
        <v/>
      </c>
      <c r="H38" s="15">
        <f>IFERROR(INDEX('Tüm İhaleler'!$V$3:$V$1646,MATCH(B38,'Tüm İhaleler'!$T$3:$T$1646,0)),"")</f>
        <v/>
      </c>
      <c r="I38" s="49">
        <f>IFERROR(INDEX('Tüm İhaleler'!$W$3:$W$1646,MATCH(B38,'Tüm İhaleler'!$T$3:$T$1646,0)),"")</f>
        <v/>
      </c>
    </row>
    <row r="39">
      <c r="A39" s="44" t="n">
        <v>5</v>
      </c>
      <c r="B39" s="14">
        <f>IFERROR(LARGE('Tüm İhaleler'!$T$3:$T$1646,5),"")</f>
        <v/>
      </c>
      <c r="C39" s="44">
        <f>IFERROR(INDEX('Tüm İhaleler'!$A$3:$A$1646,MATCH(B39,'Tüm İhaleler'!$T$3:$T$1646,0)),"")</f>
        <v/>
      </c>
      <c r="D39" s="44">
        <f>IFERROR(INDEX('Tüm İhaleler'!$C$3:$C$1646,MATCH(B39,'Tüm İhaleler'!$T$3:$T$1646,0)),"")</f>
        <v/>
      </c>
      <c r="E39" s="44">
        <f>IFERROR(INDEX('Tüm İhaleler'!$D$3:$D$1646,MATCH(B39,'Tüm İhaleler'!$T$3:$T$1646,0)),"")</f>
        <v/>
      </c>
      <c r="F39" s="44">
        <f>IFERROR(INDEX('Tüm İhaleler'!$B$3:$B$1646,MATCH(B39,'Tüm İhaleler'!$T$3:$T$1646,0)),"")</f>
        <v/>
      </c>
      <c r="G39" s="14">
        <f>IFERROR(INDEX('Tüm İhaleler'!$F$3:$F$1646,MATCH(B39,'Tüm İhaleler'!$T$3:$T$1646,0)),"")</f>
        <v/>
      </c>
      <c r="H39" s="15">
        <f>IFERROR(INDEX('Tüm İhaleler'!$V$3:$V$1646,MATCH(B39,'Tüm İhaleler'!$T$3:$T$1646,0)),"")</f>
        <v/>
      </c>
      <c r="I39" s="49">
        <f>IFERROR(INDEX('Tüm İhaleler'!$W$3:$W$1646,MATCH(B39,'Tüm İhaleler'!$T$3:$T$1646,0)),"")</f>
        <v/>
      </c>
    </row>
    <row r="40">
      <c r="A40" s="44" t="n">
        <v>6</v>
      </c>
      <c r="B40" s="14">
        <f>IFERROR(LARGE('Tüm İhaleler'!$T$3:$T$1646,6),"")</f>
        <v/>
      </c>
      <c r="C40" s="44">
        <f>IFERROR(INDEX('Tüm İhaleler'!$A$3:$A$1646,MATCH(B40,'Tüm İhaleler'!$T$3:$T$1646,0)),"")</f>
        <v/>
      </c>
      <c r="D40" s="44">
        <f>IFERROR(INDEX('Tüm İhaleler'!$C$3:$C$1646,MATCH(B40,'Tüm İhaleler'!$T$3:$T$1646,0)),"")</f>
        <v/>
      </c>
      <c r="E40" s="44">
        <f>IFERROR(INDEX('Tüm İhaleler'!$D$3:$D$1646,MATCH(B40,'Tüm İhaleler'!$T$3:$T$1646,0)),"")</f>
        <v/>
      </c>
      <c r="F40" s="44">
        <f>IFERROR(INDEX('Tüm İhaleler'!$B$3:$B$1646,MATCH(B40,'Tüm İhaleler'!$T$3:$T$1646,0)),"")</f>
        <v/>
      </c>
      <c r="G40" s="14">
        <f>IFERROR(INDEX('Tüm İhaleler'!$F$3:$F$1646,MATCH(B40,'Tüm İhaleler'!$T$3:$T$1646,0)),"")</f>
        <v/>
      </c>
      <c r="H40" s="15">
        <f>IFERROR(INDEX('Tüm İhaleler'!$V$3:$V$1646,MATCH(B40,'Tüm İhaleler'!$T$3:$T$1646,0)),"")</f>
        <v/>
      </c>
      <c r="I40" s="49">
        <f>IFERROR(INDEX('Tüm İhaleler'!$W$3:$W$1646,MATCH(B40,'Tüm İhaleler'!$T$3:$T$1646,0)),"")</f>
        <v/>
      </c>
    </row>
    <row r="41">
      <c r="A41" s="44" t="n">
        <v>7</v>
      </c>
      <c r="B41" s="14">
        <f>IFERROR(LARGE('Tüm İhaleler'!$T$3:$T$1646,7),"")</f>
        <v/>
      </c>
      <c r="C41" s="44">
        <f>IFERROR(INDEX('Tüm İhaleler'!$A$3:$A$1646,MATCH(B41,'Tüm İhaleler'!$T$3:$T$1646,0)),"")</f>
        <v/>
      </c>
      <c r="D41" s="44">
        <f>IFERROR(INDEX('Tüm İhaleler'!$C$3:$C$1646,MATCH(B41,'Tüm İhaleler'!$T$3:$T$1646,0)),"")</f>
        <v/>
      </c>
      <c r="E41" s="44">
        <f>IFERROR(INDEX('Tüm İhaleler'!$D$3:$D$1646,MATCH(B41,'Tüm İhaleler'!$T$3:$T$1646,0)),"")</f>
        <v/>
      </c>
      <c r="F41" s="44">
        <f>IFERROR(INDEX('Tüm İhaleler'!$B$3:$B$1646,MATCH(B41,'Tüm İhaleler'!$T$3:$T$1646,0)),"")</f>
        <v/>
      </c>
      <c r="G41" s="14">
        <f>IFERROR(INDEX('Tüm İhaleler'!$F$3:$F$1646,MATCH(B41,'Tüm İhaleler'!$T$3:$T$1646,0)),"")</f>
        <v/>
      </c>
      <c r="H41" s="15">
        <f>IFERROR(INDEX('Tüm İhaleler'!$V$3:$V$1646,MATCH(B41,'Tüm İhaleler'!$T$3:$T$1646,0)),"")</f>
        <v/>
      </c>
      <c r="I41" s="49">
        <f>IFERROR(INDEX('Tüm İhaleler'!$W$3:$W$1646,MATCH(B41,'Tüm İhaleler'!$T$3:$T$1646,0)),"")</f>
        <v/>
      </c>
    </row>
    <row r="42">
      <c r="A42" s="44" t="n">
        <v>8</v>
      </c>
      <c r="B42" s="14">
        <f>IFERROR(LARGE('Tüm İhaleler'!$T$3:$T$1646,8),"")</f>
        <v/>
      </c>
      <c r="C42" s="44">
        <f>IFERROR(INDEX('Tüm İhaleler'!$A$3:$A$1646,MATCH(B42,'Tüm İhaleler'!$T$3:$T$1646,0)),"")</f>
        <v/>
      </c>
      <c r="D42" s="44">
        <f>IFERROR(INDEX('Tüm İhaleler'!$C$3:$C$1646,MATCH(B42,'Tüm İhaleler'!$T$3:$T$1646,0)),"")</f>
        <v/>
      </c>
      <c r="E42" s="44">
        <f>IFERROR(INDEX('Tüm İhaleler'!$D$3:$D$1646,MATCH(B42,'Tüm İhaleler'!$T$3:$T$1646,0)),"")</f>
        <v/>
      </c>
      <c r="F42" s="44">
        <f>IFERROR(INDEX('Tüm İhaleler'!$B$3:$B$1646,MATCH(B42,'Tüm İhaleler'!$T$3:$T$1646,0)),"")</f>
        <v/>
      </c>
      <c r="G42" s="14">
        <f>IFERROR(INDEX('Tüm İhaleler'!$F$3:$F$1646,MATCH(B42,'Tüm İhaleler'!$T$3:$T$1646,0)),"")</f>
        <v/>
      </c>
      <c r="H42" s="15">
        <f>IFERROR(INDEX('Tüm İhaleler'!$V$3:$V$1646,MATCH(B42,'Tüm İhaleler'!$T$3:$T$1646,0)),"")</f>
        <v/>
      </c>
      <c r="I42" s="49">
        <f>IFERROR(INDEX('Tüm İhaleler'!$W$3:$W$1646,MATCH(B42,'Tüm İhaleler'!$T$3:$T$1646,0)),"")</f>
        <v/>
      </c>
    </row>
    <row r="43">
      <c r="A43" s="44" t="n">
        <v>9</v>
      </c>
      <c r="B43" s="14">
        <f>IFERROR(LARGE('Tüm İhaleler'!$T$3:$T$1646,9),"")</f>
        <v/>
      </c>
      <c r="C43" s="44">
        <f>IFERROR(INDEX('Tüm İhaleler'!$A$3:$A$1646,MATCH(B43,'Tüm İhaleler'!$T$3:$T$1646,0)),"")</f>
        <v/>
      </c>
      <c r="D43" s="44">
        <f>IFERROR(INDEX('Tüm İhaleler'!$C$3:$C$1646,MATCH(B43,'Tüm İhaleler'!$T$3:$T$1646,0)),"")</f>
        <v/>
      </c>
      <c r="E43" s="44">
        <f>IFERROR(INDEX('Tüm İhaleler'!$D$3:$D$1646,MATCH(B43,'Tüm İhaleler'!$T$3:$T$1646,0)),"")</f>
        <v/>
      </c>
      <c r="F43" s="44">
        <f>IFERROR(INDEX('Tüm İhaleler'!$B$3:$B$1646,MATCH(B43,'Tüm İhaleler'!$T$3:$T$1646,0)),"")</f>
        <v/>
      </c>
      <c r="G43" s="14">
        <f>IFERROR(INDEX('Tüm İhaleler'!$F$3:$F$1646,MATCH(B43,'Tüm İhaleler'!$T$3:$T$1646,0)),"")</f>
        <v/>
      </c>
      <c r="H43" s="15">
        <f>IFERROR(INDEX('Tüm İhaleler'!$V$3:$V$1646,MATCH(B43,'Tüm İhaleler'!$T$3:$T$1646,0)),"")</f>
        <v/>
      </c>
      <c r="I43" s="49">
        <f>IFERROR(INDEX('Tüm İhaleler'!$W$3:$W$1646,MATCH(B43,'Tüm İhaleler'!$T$3:$T$1646,0)),"")</f>
        <v/>
      </c>
    </row>
    <row r="44">
      <c r="A44" s="44" t="n">
        <v>10</v>
      </c>
      <c r="B44" s="14">
        <f>IFERROR(LARGE('Tüm İhaleler'!$T$3:$T$1646,10),"")</f>
        <v/>
      </c>
      <c r="C44" s="44">
        <f>IFERROR(INDEX('Tüm İhaleler'!$A$3:$A$1646,MATCH(B44,'Tüm İhaleler'!$T$3:$T$1646,0)),"")</f>
        <v/>
      </c>
      <c r="D44" s="44">
        <f>IFERROR(INDEX('Tüm İhaleler'!$C$3:$C$1646,MATCH(B44,'Tüm İhaleler'!$T$3:$T$1646,0)),"")</f>
        <v/>
      </c>
      <c r="E44" s="44">
        <f>IFERROR(INDEX('Tüm İhaleler'!$D$3:$D$1646,MATCH(B44,'Tüm İhaleler'!$T$3:$T$1646,0)),"")</f>
        <v/>
      </c>
      <c r="F44" s="44">
        <f>IFERROR(INDEX('Tüm İhaleler'!$B$3:$B$1646,MATCH(B44,'Tüm İhaleler'!$T$3:$T$1646,0)),"")</f>
        <v/>
      </c>
      <c r="G44" s="14">
        <f>IFERROR(INDEX('Tüm İhaleler'!$F$3:$F$1646,MATCH(B44,'Tüm İhaleler'!$T$3:$T$1646,0)),"")</f>
        <v/>
      </c>
      <c r="H44" s="15">
        <f>IFERROR(INDEX('Tüm İhaleler'!$V$3:$V$1646,MATCH(B44,'Tüm İhaleler'!$T$3:$T$1646,0)),"")</f>
        <v/>
      </c>
      <c r="I44" s="49">
        <f>IFERROR(INDEX('Tüm İhaleler'!$W$3:$W$1646,MATCH(B44,'Tüm İhaleler'!$T$3:$T$1646,0)),"")</f>
        <v/>
      </c>
    </row>
    <row r="45">
      <c r="A45" s="44" t="n">
        <v>11</v>
      </c>
      <c r="B45" s="14">
        <f>IFERROR(LARGE('Tüm İhaleler'!$T$3:$T$1646,11),"")</f>
        <v/>
      </c>
      <c r="C45" s="44">
        <f>IFERROR(INDEX('Tüm İhaleler'!$A$3:$A$1646,MATCH(B45,'Tüm İhaleler'!$T$3:$T$1646,0)),"")</f>
        <v/>
      </c>
      <c r="D45" s="44">
        <f>IFERROR(INDEX('Tüm İhaleler'!$C$3:$C$1646,MATCH(B45,'Tüm İhaleler'!$T$3:$T$1646,0)),"")</f>
        <v/>
      </c>
      <c r="E45" s="44">
        <f>IFERROR(INDEX('Tüm İhaleler'!$D$3:$D$1646,MATCH(B45,'Tüm İhaleler'!$T$3:$T$1646,0)),"")</f>
        <v/>
      </c>
      <c r="F45" s="44">
        <f>IFERROR(INDEX('Tüm İhaleler'!$B$3:$B$1646,MATCH(B45,'Tüm İhaleler'!$T$3:$T$1646,0)),"")</f>
        <v/>
      </c>
      <c r="G45" s="14">
        <f>IFERROR(INDEX('Tüm İhaleler'!$F$3:$F$1646,MATCH(B45,'Tüm İhaleler'!$T$3:$T$1646,0)),"")</f>
        <v/>
      </c>
      <c r="H45" s="15">
        <f>IFERROR(INDEX('Tüm İhaleler'!$V$3:$V$1646,MATCH(B45,'Tüm İhaleler'!$T$3:$T$1646,0)),"")</f>
        <v/>
      </c>
      <c r="I45" s="49">
        <f>IFERROR(INDEX('Tüm İhaleler'!$W$3:$W$1646,MATCH(B45,'Tüm İhaleler'!$T$3:$T$1646,0)),"")</f>
        <v/>
      </c>
    </row>
    <row r="46">
      <c r="A46" s="44" t="n">
        <v>12</v>
      </c>
      <c r="B46" s="14">
        <f>IFERROR(LARGE('Tüm İhaleler'!$T$3:$T$1646,12),"")</f>
        <v/>
      </c>
      <c r="C46" s="44">
        <f>IFERROR(INDEX('Tüm İhaleler'!$A$3:$A$1646,MATCH(B46,'Tüm İhaleler'!$T$3:$T$1646,0)),"")</f>
        <v/>
      </c>
      <c r="D46" s="44">
        <f>IFERROR(INDEX('Tüm İhaleler'!$C$3:$C$1646,MATCH(B46,'Tüm İhaleler'!$T$3:$T$1646,0)),"")</f>
        <v/>
      </c>
      <c r="E46" s="44">
        <f>IFERROR(INDEX('Tüm İhaleler'!$D$3:$D$1646,MATCH(B46,'Tüm İhaleler'!$T$3:$T$1646,0)),"")</f>
        <v/>
      </c>
      <c r="F46" s="44">
        <f>IFERROR(INDEX('Tüm İhaleler'!$B$3:$B$1646,MATCH(B46,'Tüm İhaleler'!$T$3:$T$1646,0)),"")</f>
        <v/>
      </c>
      <c r="G46" s="14">
        <f>IFERROR(INDEX('Tüm İhaleler'!$F$3:$F$1646,MATCH(B46,'Tüm İhaleler'!$T$3:$T$1646,0)),"")</f>
        <v/>
      </c>
      <c r="H46" s="15">
        <f>IFERROR(INDEX('Tüm İhaleler'!$V$3:$V$1646,MATCH(B46,'Tüm İhaleler'!$T$3:$T$1646,0)),"")</f>
        <v/>
      </c>
      <c r="I46" s="49">
        <f>IFERROR(INDEX('Tüm İhaleler'!$W$3:$W$1646,MATCH(B46,'Tüm İhaleler'!$T$3:$T$1646,0)),"")</f>
        <v/>
      </c>
    </row>
    <row r="47">
      <c r="A47" s="44" t="n">
        <v>13</v>
      </c>
      <c r="B47" s="14">
        <f>IFERROR(LARGE('Tüm İhaleler'!$T$3:$T$1646,13),"")</f>
        <v/>
      </c>
      <c r="C47" s="44">
        <f>IFERROR(INDEX('Tüm İhaleler'!$A$3:$A$1646,MATCH(B47,'Tüm İhaleler'!$T$3:$T$1646,0)),"")</f>
        <v/>
      </c>
      <c r="D47" s="44">
        <f>IFERROR(INDEX('Tüm İhaleler'!$C$3:$C$1646,MATCH(B47,'Tüm İhaleler'!$T$3:$T$1646,0)),"")</f>
        <v/>
      </c>
      <c r="E47" s="44">
        <f>IFERROR(INDEX('Tüm İhaleler'!$D$3:$D$1646,MATCH(B47,'Tüm İhaleler'!$T$3:$T$1646,0)),"")</f>
        <v/>
      </c>
      <c r="F47" s="44">
        <f>IFERROR(INDEX('Tüm İhaleler'!$B$3:$B$1646,MATCH(B47,'Tüm İhaleler'!$T$3:$T$1646,0)),"")</f>
        <v/>
      </c>
      <c r="G47" s="14">
        <f>IFERROR(INDEX('Tüm İhaleler'!$F$3:$F$1646,MATCH(B47,'Tüm İhaleler'!$T$3:$T$1646,0)),"")</f>
        <v/>
      </c>
      <c r="H47" s="15">
        <f>IFERROR(INDEX('Tüm İhaleler'!$V$3:$V$1646,MATCH(B47,'Tüm İhaleler'!$T$3:$T$1646,0)),"")</f>
        <v/>
      </c>
      <c r="I47" s="49">
        <f>IFERROR(INDEX('Tüm İhaleler'!$W$3:$W$1646,MATCH(B47,'Tüm İhaleler'!$T$3:$T$1646,0)),"")</f>
        <v/>
      </c>
    </row>
    <row r="48">
      <c r="A48" s="44" t="n">
        <v>14</v>
      </c>
      <c r="B48" s="14">
        <f>IFERROR(LARGE('Tüm İhaleler'!$T$3:$T$1646,14),"")</f>
        <v/>
      </c>
      <c r="C48" s="44">
        <f>IFERROR(INDEX('Tüm İhaleler'!$A$3:$A$1646,MATCH(B48,'Tüm İhaleler'!$T$3:$T$1646,0)),"")</f>
        <v/>
      </c>
      <c r="D48" s="44">
        <f>IFERROR(INDEX('Tüm İhaleler'!$C$3:$C$1646,MATCH(B48,'Tüm İhaleler'!$T$3:$T$1646,0)),"")</f>
        <v/>
      </c>
      <c r="E48" s="44">
        <f>IFERROR(INDEX('Tüm İhaleler'!$D$3:$D$1646,MATCH(B48,'Tüm İhaleler'!$T$3:$T$1646,0)),"")</f>
        <v/>
      </c>
      <c r="F48" s="44">
        <f>IFERROR(INDEX('Tüm İhaleler'!$B$3:$B$1646,MATCH(B48,'Tüm İhaleler'!$T$3:$T$1646,0)),"")</f>
        <v/>
      </c>
      <c r="G48" s="14">
        <f>IFERROR(INDEX('Tüm İhaleler'!$F$3:$F$1646,MATCH(B48,'Tüm İhaleler'!$T$3:$T$1646,0)),"")</f>
        <v/>
      </c>
      <c r="H48" s="15">
        <f>IFERROR(INDEX('Tüm İhaleler'!$V$3:$V$1646,MATCH(B48,'Tüm İhaleler'!$T$3:$T$1646,0)),"")</f>
        <v/>
      </c>
      <c r="I48" s="49">
        <f>IFERROR(INDEX('Tüm İhaleler'!$W$3:$W$1646,MATCH(B48,'Tüm İhaleler'!$T$3:$T$1646,0)),"")</f>
        <v/>
      </c>
    </row>
    <row r="49">
      <c r="A49" s="44" t="n">
        <v>15</v>
      </c>
      <c r="B49" s="14">
        <f>IFERROR(LARGE('Tüm İhaleler'!$T$3:$T$1646,15),"")</f>
        <v/>
      </c>
      <c r="C49" s="44">
        <f>IFERROR(INDEX('Tüm İhaleler'!$A$3:$A$1646,MATCH(B49,'Tüm İhaleler'!$T$3:$T$1646,0)),"")</f>
        <v/>
      </c>
      <c r="D49" s="44">
        <f>IFERROR(INDEX('Tüm İhaleler'!$C$3:$C$1646,MATCH(B49,'Tüm İhaleler'!$T$3:$T$1646,0)),"")</f>
        <v/>
      </c>
      <c r="E49" s="44">
        <f>IFERROR(INDEX('Tüm İhaleler'!$D$3:$D$1646,MATCH(B49,'Tüm İhaleler'!$T$3:$T$1646,0)),"")</f>
        <v/>
      </c>
      <c r="F49" s="44">
        <f>IFERROR(INDEX('Tüm İhaleler'!$B$3:$B$1646,MATCH(B49,'Tüm İhaleler'!$T$3:$T$1646,0)),"")</f>
        <v/>
      </c>
      <c r="G49" s="14">
        <f>IFERROR(INDEX('Tüm İhaleler'!$F$3:$F$1646,MATCH(B49,'Tüm İhaleler'!$T$3:$T$1646,0)),"")</f>
        <v/>
      </c>
      <c r="H49" s="15">
        <f>IFERROR(INDEX('Tüm İhaleler'!$V$3:$V$1646,MATCH(B49,'Tüm İhaleler'!$T$3:$T$1646,0)),"")</f>
        <v/>
      </c>
      <c r="I49" s="49">
        <f>IFERROR(INDEX('Tüm İhaleler'!$W$3:$W$1646,MATCH(B49,'Tüm İhaleler'!$T$3:$T$1646,0)),"")</f>
        <v/>
      </c>
    </row>
    <row r="50">
      <c r="A50" s="44" t="n">
        <v>16</v>
      </c>
      <c r="B50" s="14">
        <f>IFERROR(LARGE('Tüm İhaleler'!$T$3:$T$1646,16),"")</f>
        <v/>
      </c>
      <c r="C50" s="44">
        <f>IFERROR(INDEX('Tüm İhaleler'!$A$3:$A$1646,MATCH(B50,'Tüm İhaleler'!$T$3:$T$1646,0)),"")</f>
        <v/>
      </c>
      <c r="D50" s="44">
        <f>IFERROR(INDEX('Tüm İhaleler'!$C$3:$C$1646,MATCH(B50,'Tüm İhaleler'!$T$3:$T$1646,0)),"")</f>
        <v/>
      </c>
      <c r="E50" s="44">
        <f>IFERROR(INDEX('Tüm İhaleler'!$D$3:$D$1646,MATCH(B50,'Tüm İhaleler'!$T$3:$T$1646,0)),"")</f>
        <v/>
      </c>
      <c r="F50" s="44">
        <f>IFERROR(INDEX('Tüm İhaleler'!$B$3:$B$1646,MATCH(B50,'Tüm İhaleler'!$T$3:$T$1646,0)),"")</f>
        <v/>
      </c>
      <c r="G50" s="14">
        <f>IFERROR(INDEX('Tüm İhaleler'!$F$3:$F$1646,MATCH(B50,'Tüm İhaleler'!$T$3:$T$1646,0)),"")</f>
        <v/>
      </c>
      <c r="H50" s="15">
        <f>IFERROR(INDEX('Tüm İhaleler'!$V$3:$V$1646,MATCH(B50,'Tüm İhaleler'!$T$3:$T$1646,0)),"")</f>
        <v/>
      </c>
      <c r="I50" s="49">
        <f>IFERROR(INDEX('Tüm İhaleler'!$W$3:$W$1646,MATCH(B50,'Tüm İhaleler'!$T$3:$T$1646,0)),"")</f>
        <v/>
      </c>
    </row>
    <row r="51">
      <c r="A51" s="44" t="n">
        <v>17</v>
      </c>
      <c r="B51" s="14">
        <f>IFERROR(LARGE('Tüm İhaleler'!$T$3:$T$1646,17),"")</f>
        <v/>
      </c>
      <c r="C51" s="44">
        <f>IFERROR(INDEX('Tüm İhaleler'!$A$3:$A$1646,MATCH(B51,'Tüm İhaleler'!$T$3:$T$1646,0)),"")</f>
        <v/>
      </c>
      <c r="D51" s="44">
        <f>IFERROR(INDEX('Tüm İhaleler'!$C$3:$C$1646,MATCH(B51,'Tüm İhaleler'!$T$3:$T$1646,0)),"")</f>
        <v/>
      </c>
      <c r="E51" s="44">
        <f>IFERROR(INDEX('Tüm İhaleler'!$D$3:$D$1646,MATCH(B51,'Tüm İhaleler'!$T$3:$T$1646,0)),"")</f>
        <v/>
      </c>
      <c r="F51" s="44">
        <f>IFERROR(INDEX('Tüm İhaleler'!$B$3:$B$1646,MATCH(B51,'Tüm İhaleler'!$T$3:$T$1646,0)),"")</f>
        <v/>
      </c>
      <c r="G51" s="14">
        <f>IFERROR(INDEX('Tüm İhaleler'!$F$3:$F$1646,MATCH(B51,'Tüm İhaleler'!$T$3:$T$1646,0)),"")</f>
        <v/>
      </c>
      <c r="H51" s="15">
        <f>IFERROR(INDEX('Tüm İhaleler'!$V$3:$V$1646,MATCH(B51,'Tüm İhaleler'!$T$3:$T$1646,0)),"")</f>
        <v/>
      </c>
      <c r="I51" s="49">
        <f>IFERROR(INDEX('Tüm İhaleler'!$W$3:$W$1646,MATCH(B51,'Tüm İhaleler'!$T$3:$T$1646,0)),"")</f>
        <v/>
      </c>
    </row>
    <row r="52">
      <c r="A52" s="44" t="n">
        <v>18</v>
      </c>
      <c r="B52" s="14">
        <f>IFERROR(LARGE('Tüm İhaleler'!$T$3:$T$1646,18),"")</f>
        <v/>
      </c>
      <c r="C52" s="44">
        <f>IFERROR(INDEX('Tüm İhaleler'!$A$3:$A$1646,MATCH(B52,'Tüm İhaleler'!$T$3:$T$1646,0)),"")</f>
        <v/>
      </c>
      <c r="D52" s="44">
        <f>IFERROR(INDEX('Tüm İhaleler'!$C$3:$C$1646,MATCH(B52,'Tüm İhaleler'!$T$3:$T$1646,0)),"")</f>
        <v/>
      </c>
      <c r="E52" s="44">
        <f>IFERROR(INDEX('Tüm İhaleler'!$D$3:$D$1646,MATCH(B52,'Tüm İhaleler'!$T$3:$T$1646,0)),"")</f>
        <v/>
      </c>
      <c r="F52" s="44">
        <f>IFERROR(INDEX('Tüm İhaleler'!$B$3:$B$1646,MATCH(B52,'Tüm İhaleler'!$T$3:$T$1646,0)),"")</f>
        <v/>
      </c>
      <c r="G52" s="14">
        <f>IFERROR(INDEX('Tüm İhaleler'!$F$3:$F$1646,MATCH(B52,'Tüm İhaleler'!$T$3:$T$1646,0)),"")</f>
        <v/>
      </c>
      <c r="H52" s="15">
        <f>IFERROR(INDEX('Tüm İhaleler'!$V$3:$V$1646,MATCH(B52,'Tüm İhaleler'!$T$3:$T$1646,0)),"")</f>
        <v/>
      </c>
      <c r="I52" s="49">
        <f>IFERROR(INDEX('Tüm İhaleler'!$W$3:$W$1646,MATCH(B52,'Tüm İhaleler'!$T$3:$T$1646,0)),"")</f>
        <v/>
      </c>
    </row>
    <row r="53">
      <c r="A53" s="44" t="n">
        <v>19</v>
      </c>
      <c r="B53" s="14">
        <f>IFERROR(LARGE('Tüm İhaleler'!$T$3:$T$1646,19),"")</f>
        <v/>
      </c>
      <c r="C53" s="44">
        <f>IFERROR(INDEX('Tüm İhaleler'!$A$3:$A$1646,MATCH(B53,'Tüm İhaleler'!$T$3:$T$1646,0)),"")</f>
        <v/>
      </c>
      <c r="D53" s="44">
        <f>IFERROR(INDEX('Tüm İhaleler'!$C$3:$C$1646,MATCH(B53,'Tüm İhaleler'!$T$3:$T$1646,0)),"")</f>
        <v/>
      </c>
      <c r="E53" s="44">
        <f>IFERROR(INDEX('Tüm İhaleler'!$D$3:$D$1646,MATCH(B53,'Tüm İhaleler'!$T$3:$T$1646,0)),"")</f>
        <v/>
      </c>
      <c r="F53" s="44">
        <f>IFERROR(INDEX('Tüm İhaleler'!$B$3:$B$1646,MATCH(B53,'Tüm İhaleler'!$T$3:$T$1646,0)),"")</f>
        <v/>
      </c>
      <c r="G53" s="14">
        <f>IFERROR(INDEX('Tüm İhaleler'!$F$3:$F$1646,MATCH(B53,'Tüm İhaleler'!$T$3:$T$1646,0)),"")</f>
        <v/>
      </c>
      <c r="H53" s="15">
        <f>IFERROR(INDEX('Tüm İhaleler'!$V$3:$V$1646,MATCH(B53,'Tüm İhaleler'!$T$3:$T$1646,0)),"")</f>
        <v/>
      </c>
      <c r="I53" s="49">
        <f>IFERROR(INDEX('Tüm İhaleler'!$W$3:$W$1646,MATCH(B53,'Tüm İhaleler'!$T$3:$T$1646,0)),"")</f>
        <v/>
      </c>
    </row>
    <row r="54">
      <c r="A54" s="44" t="n">
        <v>20</v>
      </c>
      <c r="B54" s="14">
        <f>IFERROR(LARGE('Tüm İhaleler'!$T$3:$T$1646,20),"")</f>
        <v/>
      </c>
      <c r="C54" s="44">
        <f>IFERROR(INDEX('Tüm İhaleler'!$A$3:$A$1646,MATCH(B54,'Tüm İhaleler'!$T$3:$T$1646,0)),"")</f>
        <v/>
      </c>
      <c r="D54" s="44">
        <f>IFERROR(INDEX('Tüm İhaleler'!$C$3:$C$1646,MATCH(B54,'Tüm İhaleler'!$T$3:$T$1646,0)),"")</f>
        <v/>
      </c>
      <c r="E54" s="44">
        <f>IFERROR(INDEX('Tüm İhaleler'!$D$3:$D$1646,MATCH(B54,'Tüm İhaleler'!$T$3:$T$1646,0)),"")</f>
        <v/>
      </c>
      <c r="F54" s="44">
        <f>IFERROR(INDEX('Tüm İhaleler'!$B$3:$B$1646,MATCH(B54,'Tüm İhaleler'!$T$3:$T$1646,0)),"")</f>
        <v/>
      </c>
      <c r="G54" s="14">
        <f>IFERROR(INDEX('Tüm İhaleler'!$F$3:$F$1646,MATCH(B54,'Tüm İhaleler'!$T$3:$T$1646,0)),"")</f>
        <v/>
      </c>
      <c r="H54" s="15">
        <f>IFERROR(INDEX('Tüm İhaleler'!$V$3:$V$1646,MATCH(B54,'Tüm İhaleler'!$T$3:$T$1646,0)),"")</f>
        <v/>
      </c>
      <c r="I54" s="49">
        <f>IFERROR(INDEX('Tüm İhaleler'!$W$3:$W$1646,MATCH(B54,'Tüm İhaleler'!$T$3:$T$1646,0)),"")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 ht="36" customHeight="1">
      <c r="A1" s="59" t="inlineStr">
        <is>
          <t>MERKEZİ YÖNETİM İÇ BORÇ ÖDEMELERİ</t>
        </is>
      </c>
      <c r="B1" s="60" t="n"/>
      <c r="C1" s="60" t="n"/>
      <c r="D1" s="60" t="n"/>
      <c r="E1" s="60" t="n"/>
      <c r="F1" s="60" t="n"/>
      <c r="G1" s="61" t="n"/>
    </row>
    <row r="2" ht="22" customHeight="1">
      <c r="A2" s="62" t="inlineStr">
        <is>
          <t>Son Güncelleme: 29.10.2026  •  Birim: Milyar TL  •  Kaynak: T.C. Hazine ve Maliye Bakanlığı</t>
        </is>
      </c>
      <c r="B2" s="60" t="n"/>
      <c r="C2" s="60" t="n"/>
      <c r="D2" s="60" t="n"/>
      <c r="E2" s="60" t="n"/>
      <c r="F2" s="60" t="n"/>
      <c r="G2" s="61" t="n"/>
    </row>
    <row r="3" ht="22" customHeight="1">
      <c r="A3" s="63" t="inlineStr">
        <is>
          <t>🟢 Yeşil = Gerçekleşme   🟡 Sarı = Projeksiyon (Son güncellenen projeksiyon verileri)</t>
        </is>
      </c>
      <c r="B3" s="60" t="n"/>
      <c r="C3" s="60" t="n"/>
      <c r="D3" s="60" t="n"/>
      <c r="E3" s="60" t="n"/>
      <c r="F3" s="60" t="n"/>
      <c r="G3" s="61" t="n"/>
    </row>
    <row r="4" ht="28" customHeight="1">
      <c r="A4" s="64" t="inlineStr">
        <is>
          <t>Yıl</t>
        </is>
      </c>
      <c r="B4" s="64" t="inlineStr">
        <is>
          <t>Ay</t>
        </is>
      </c>
      <c r="C4" s="64" t="inlineStr">
        <is>
          <t>Anapara</t>
        </is>
      </c>
      <c r="D4" s="64" t="inlineStr">
        <is>
          <t>Faiz</t>
        </is>
      </c>
      <c r="E4" s="64" t="inlineStr">
        <is>
          <t>Toplam</t>
        </is>
      </c>
      <c r="F4" s="64" t="inlineStr">
        <is>
          <t>Yıllık Birikimli</t>
        </is>
      </c>
      <c r="G4" s="64" t="inlineStr">
        <is>
          <t>Kaynak</t>
        </is>
      </c>
    </row>
    <row r="5">
      <c r="A5" s="65" t="n">
        <v>2020</v>
      </c>
      <c r="B5" s="66" t="inlineStr">
        <is>
          <t>Ocak</t>
        </is>
      </c>
      <c r="C5" s="67" t="n">
        <v>23.69</v>
      </c>
      <c r="D5" s="67" t="n">
        <v>10.01</v>
      </c>
      <c r="E5" s="67" t="n">
        <v>33.69</v>
      </c>
      <c r="F5" s="67" t="n">
        <v>33.69</v>
      </c>
      <c r="G5" s="68" t="inlineStr">
        <is>
          <t>Gerçekleşme</t>
        </is>
      </c>
    </row>
    <row r="6">
      <c r="A6" s="65" t="inlineStr"/>
      <c r="B6" s="66" t="inlineStr">
        <is>
          <t>Şubat</t>
        </is>
      </c>
      <c r="C6" s="67" t="n">
        <v>20.37</v>
      </c>
      <c r="D6" s="67" t="n">
        <v>11.61</v>
      </c>
      <c r="E6" s="67" t="n">
        <v>31.98</v>
      </c>
      <c r="F6" s="67" t="n">
        <v>65.68000000000001</v>
      </c>
      <c r="G6" s="68" t="inlineStr">
        <is>
          <t>Gerçekleşme</t>
        </is>
      </c>
    </row>
    <row r="7">
      <c r="A7" s="65" t="inlineStr"/>
      <c r="B7" s="66" t="inlineStr">
        <is>
          <t>Mart</t>
        </is>
      </c>
      <c r="C7" s="67" t="n">
        <v>19.23</v>
      </c>
      <c r="D7" s="67" t="n">
        <v>7.08</v>
      </c>
      <c r="E7" s="67" t="n">
        <v>26.31</v>
      </c>
      <c r="F7" s="67" t="n">
        <v>91.98</v>
      </c>
      <c r="G7" s="68" t="inlineStr">
        <is>
          <t>Gerçekleşme</t>
        </is>
      </c>
    </row>
    <row r="8">
      <c r="A8" s="65" t="inlineStr"/>
      <c r="B8" s="66" t="inlineStr">
        <is>
          <t>Nisan</t>
        </is>
      </c>
      <c r="C8" s="67" t="n">
        <v>6.92</v>
      </c>
      <c r="D8" s="67" t="n">
        <v>13.71</v>
      </c>
      <c r="E8" s="67" t="n">
        <v>20.63</v>
      </c>
      <c r="F8" s="67" t="n">
        <v>112.61</v>
      </c>
      <c r="G8" s="68" t="inlineStr">
        <is>
          <t>Gerçekleşme</t>
        </is>
      </c>
    </row>
    <row r="9">
      <c r="A9" s="65" t="inlineStr"/>
      <c r="B9" s="66" t="inlineStr">
        <is>
          <t>Mayıs</t>
        </is>
      </c>
      <c r="C9" s="67" t="n">
        <v>13.42</v>
      </c>
      <c r="D9" s="67" t="n">
        <v>6.46</v>
      </c>
      <c r="E9" s="67" t="n">
        <v>19.89</v>
      </c>
      <c r="F9" s="67" t="n">
        <v>132.5</v>
      </c>
      <c r="G9" s="68" t="inlineStr">
        <is>
          <t>Gerçekleşme</t>
        </is>
      </c>
    </row>
    <row r="10">
      <c r="A10" s="65" t="inlineStr"/>
      <c r="B10" s="66" t="inlineStr">
        <is>
          <t>Haziran</t>
        </is>
      </c>
      <c r="C10" s="67" t="n">
        <v>7.88</v>
      </c>
      <c r="D10" s="67" t="n">
        <v>4.6</v>
      </c>
      <c r="E10" s="67" t="n">
        <v>12.47</v>
      </c>
      <c r="F10" s="67" t="n">
        <v>144.97</v>
      </c>
      <c r="G10" s="68" t="inlineStr">
        <is>
          <t>Gerçekleşme</t>
        </is>
      </c>
    </row>
    <row r="11">
      <c r="A11" s="65" t="inlineStr"/>
      <c r="B11" s="66" t="inlineStr">
        <is>
          <t>Temmuz</t>
        </is>
      </c>
      <c r="C11" s="67" t="n">
        <v>14.89</v>
      </c>
      <c r="D11" s="67" t="n">
        <v>5.86</v>
      </c>
      <c r="E11" s="67" t="n">
        <v>20.74</v>
      </c>
      <c r="F11" s="67" t="n">
        <v>165.72</v>
      </c>
      <c r="G11" s="68" t="inlineStr">
        <is>
          <t>Gerçekleşme</t>
        </is>
      </c>
    </row>
    <row r="12">
      <c r="A12" s="65" t="inlineStr"/>
      <c r="B12" s="66" t="inlineStr">
        <is>
          <t>Ağustos</t>
        </is>
      </c>
      <c r="C12" s="67" t="n">
        <v>19.58</v>
      </c>
      <c r="D12" s="67" t="n">
        <v>8.57</v>
      </c>
      <c r="E12" s="67" t="n">
        <v>28.15</v>
      </c>
      <c r="F12" s="67" t="n">
        <v>193.87</v>
      </c>
      <c r="G12" s="68" t="inlineStr">
        <is>
          <t>Gerçekleşme</t>
        </is>
      </c>
    </row>
    <row r="13">
      <c r="A13" s="65" t="inlineStr"/>
      <c r="B13" s="66" t="inlineStr">
        <is>
          <t>Eylül</t>
        </is>
      </c>
      <c r="C13" s="67" t="n">
        <v>15.6</v>
      </c>
      <c r="D13" s="67" t="n">
        <v>10.1</v>
      </c>
      <c r="E13" s="67" t="n">
        <v>25.7</v>
      </c>
      <c r="F13" s="67" t="n">
        <v>219.57</v>
      </c>
      <c r="G13" s="68" t="inlineStr">
        <is>
          <t>Gerçekleşme</t>
        </is>
      </c>
    </row>
    <row r="14">
      <c r="A14" s="65" t="inlineStr"/>
      <c r="B14" s="66" t="inlineStr">
        <is>
          <t>Ekim</t>
        </is>
      </c>
      <c r="C14" s="67" t="n">
        <v>36.36</v>
      </c>
      <c r="D14" s="67" t="n">
        <v>8.17</v>
      </c>
      <c r="E14" s="67" t="n">
        <v>44.54</v>
      </c>
      <c r="F14" s="67" t="n">
        <v>264.11</v>
      </c>
      <c r="G14" s="68" t="inlineStr">
        <is>
          <t>Gerçekleşme</t>
        </is>
      </c>
    </row>
    <row r="15">
      <c r="A15" s="65" t="inlineStr"/>
      <c r="B15" s="66" t="inlineStr">
        <is>
          <t>Kasım</t>
        </is>
      </c>
      <c r="C15" s="67" t="n">
        <v>23.21</v>
      </c>
      <c r="D15" s="67" t="n">
        <v>6.02</v>
      </c>
      <c r="E15" s="67" t="n">
        <v>29.22</v>
      </c>
      <c r="F15" s="67" t="n">
        <v>293.33</v>
      </c>
      <c r="G15" s="68" t="inlineStr">
        <is>
          <t>Gerçekleşme</t>
        </is>
      </c>
    </row>
    <row r="16">
      <c r="A16" s="65" t="inlineStr"/>
      <c r="B16" s="66" t="inlineStr">
        <is>
          <t>Aralık</t>
        </is>
      </c>
      <c r="C16" s="67" t="n">
        <v>17.02</v>
      </c>
      <c r="D16" s="67" t="n">
        <v>3.56</v>
      </c>
      <c r="E16" s="67" t="n">
        <v>20.58</v>
      </c>
      <c r="F16" s="67" t="n">
        <v>313.91</v>
      </c>
      <c r="G16" s="68" t="inlineStr">
        <is>
          <t>Gerçekleşme</t>
        </is>
      </c>
    </row>
    <row r="17">
      <c r="A17" s="65" t="n">
        <v>2021</v>
      </c>
      <c r="B17" s="66" t="inlineStr">
        <is>
          <t>Ocak</t>
        </is>
      </c>
      <c r="C17" s="67" t="n">
        <v>22.22</v>
      </c>
      <c r="D17" s="67" t="n">
        <v>20.06</v>
      </c>
      <c r="E17" s="67" t="n">
        <v>42.28</v>
      </c>
      <c r="F17" s="67" t="n">
        <v>42.28</v>
      </c>
      <c r="G17" s="68" t="inlineStr">
        <is>
          <t>Gerçekleşme</t>
        </is>
      </c>
    </row>
    <row r="18">
      <c r="A18" s="65" t="inlineStr"/>
      <c r="B18" s="66" t="inlineStr">
        <is>
          <t>Şubat</t>
        </is>
      </c>
      <c r="C18" s="67" t="n">
        <v>38.19</v>
      </c>
      <c r="D18" s="67" t="n">
        <v>7.63</v>
      </c>
      <c r="E18" s="67" t="n">
        <v>45.82</v>
      </c>
      <c r="F18" s="67" t="n">
        <v>88.09999999999999</v>
      </c>
      <c r="G18" s="68" t="inlineStr">
        <is>
          <t>Gerçekleşme</t>
        </is>
      </c>
    </row>
    <row r="19">
      <c r="A19" s="65" t="inlineStr"/>
      <c r="B19" s="66" t="inlineStr">
        <is>
          <t>Mart</t>
        </is>
      </c>
      <c r="C19" s="67" t="n">
        <v>23.17</v>
      </c>
      <c r="D19" s="67" t="n">
        <v>7.9</v>
      </c>
      <c r="E19" s="67" t="n">
        <v>31.07</v>
      </c>
      <c r="F19" s="67" t="n">
        <v>119.17</v>
      </c>
      <c r="G19" s="68" t="inlineStr">
        <is>
          <t>Gerçekleşme</t>
        </is>
      </c>
    </row>
    <row r="20">
      <c r="A20" s="65" t="inlineStr"/>
      <c r="B20" s="66" t="inlineStr">
        <is>
          <t>Nisan</t>
        </is>
      </c>
      <c r="C20" s="67" t="n">
        <v>30.76</v>
      </c>
      <c r="D20" s="67" t="n">
        <v>12.55</v>
      </c>
      <c r="E20" s="67" t="n">
        <v>43.3</v>
      </c>
      <c r="F20" s="67" t="n">
        <v>162.47</v>
      </c>
      <c r="G20" s="68" t="inlineStr">
        <is>
          <t>Gerçekleşme</t>
        </is>
      </c>
    </row>
    <row r="21">
      <c r="A21" s="65" t="inlineStr"/>
      <c r="B21" s="66" t="inlineStr">
        <is>
          <t>Mayıs</t>
        </is>
      </c>
      <c r="C21" s="67" t="n">
        <v>48.34</v>
      </c>
      <c r="D21" s="67" t="n">
        <v>10.28</v>
      </c>
      <c r="E21" s="67" t="n">
        <v>58.62</v>
      </c>
      <c r="F21" s="67" t="n">
        <v>221.09</v>
      </c>
      <c r="G21" s="68" t="inlineStr">
        <is>
          <t>Gerçekleşme</t>
        </is>
      </c>
    </row>
    <row r="22">
      <c r="A22" s="65" t="inlineStr"/>
      <c r="B22" s="66" t="inlineStr">
        <is>
          <t>Haziran</t>
        </is>
      </c>
      <c r="C22" s="67" t="n">
        <v>25.74</v>
      </c>
      <c r="D22" s="67" t="n">
        <v>6.15</v>
      </c>
      <c r="E22" s="67" t="n">
        <v>31.89</v>
      </c>
      <c r="F22" s="67" t="n">
        <v>252.97</v>
      </c>
      <c r="G22" s="68" t="inlineStr">
        <is>
          <t>Gerçekleşme</t>
        </is>
      </c>
    </row>
    <row r="23">
      <c r="A23" s="65" t="inlineStr"/>
      <c r="B23" s="66" t="inlineStr">
        <is>
          <t>Temmuz</t>
        </is>
      </c>
      <c r="C23" s="67" t="n">
        <v>36.96</v>
      </c>
      <c r="D23" s="67" t="n">
        <v>19</v>
      </c>
      <c r="E23" s="67" t="n">
        <v>55.96</v>
      </c>
      <c r="F23" s="67" t="n">
        <v>308.94</v>
      </c>
      <c r="G23" s="68" t="inlineStr">
        <is>
          <t>Gerçekleşme</t>
        </is>
      </c>
    </row>
    <row r="24">
      <c r="A24" s="65" t="inlineStr"/>
      <c r="B24" s="66" t="inlineStr">
        <is>
          <t>Ağustos</t>
        </is>
      </c>
      <c r="C24" s="67" t="n">
        <v>2.39</v>
      </c>
      <c r="D24" s="67" t="n">
        <v>8.710000000000001</v>
      </c>
      <c r="E24" s="67" t="n">
        <v>11.1</v>
      </c>
      <c r="F24" s="67" t="n">
        <v>320.04</v>
      </c>
      <c r="G24" s="68" t="inlineStr">
        <is>
          <t>Gerçekleşme</t>
        </is>
      </c>
    </row>
    <row r="25">
      <c r="A25" s="65" t="inlineStr"/>
      <c r="B25" s="66" t="inlineStr">
        <is>
          <t>Eylül</t>
        </is>
      </c>
      <c r="C25" s="67" t="n">
        <v>27.15</v>
      </c>
      <c r="D25" s="67" t="n">
        <v>8.18</v>
      </c>
      <c r="E25" s="67" t="n">
        <v>35.33</v>
      </c>
      <c r="F25" s="67" t="n">
        <v>355.37</v>
      </c>
      <c r="G25" s="68" t="inlineStr">
        <is>
          <t>Gerçekleşme</t>
        </is>
      </c>
    </row>
    <row r="26">
      <c r="A26" s="65" t="inlineStr"/>
      <c r="B26" s="66" t="inlineStr">
        <is>
          <t>Ekim</t>
        </is>
      </c>
      <c r="C26" s="67" t="n">
        <v>36.72</v>
      </c>
      <c r="D26" s="67" t="n">
        <v>9.029999999999999</v>
      </c>
      <c r="E26" s="67" t="n">
        <v>45.74</v>
      </c>
      <c r="F26" s="67" t="n">
        <v>401.11</v>
      </c>
      <c r="G26" s="68" t="inlineStr">
        <is>
          <t>Gerçekleşme</t>
        </is>
      </c>
    </row>
    <row r="27">
      <c r="A27" s="65" t="inlineStr"/>
      <c r="B27" s="66" t="inlineStr">
        <is>
          <t>Kasım</t>
        </is>
      </c>
      <c r="C27" s="67" t="n">
        <v>0</v>
      </c>
      <c r="D27" s="67" t="n">
        <v>11.09</v>
      </c>
      <c r="E27" s="67" t="n">
        <v>11.09</v>
      </c>
      <c r="F27" s="67" t="n">
        <v>412.2</v>
      </c>
      <c r="G27" s="68" t="inlineStr">
        <is>
          <t>Gerçekleşme</t>
        </is>
      </c>
    </row>
    <row r="28">
      <c r="A28" s="65" t="inlineStr"/>
      <c r="B28" s="66" t="inlineStr">
        <is>
          <t>Aralık</t>
        </is>
      </c>
      <c r="C28" s="67" t="n">
        <v>23.48</v>
      </c>
      <c r="D28" s="67" t="n">
        <v>5.31</v>
      </c>
      <c r="E28" s="67" t="n">
        <v>28.8</v>
      </c>
      <c r="F28" s="67" t="n">
        <v>441</v>
      </c>
      <c r="G28" s="68" t="inlineStr">
        <is>
          <t>Gerçekleşme</t>
        </is>
      </c>
    </row>
    <row r="29">
      <c r="A29" s="65" t="n">
        <v>2022</v>
      </c>
      <c r="B29" s="66" t="inlineStr">
        <is>
          <t>Ocak</t>
        </is>
      </c>
      <c r="C29" s="67" t="n">
        <v>43.34</v>
      </c>
      <c r="D29" s="67" t="n">
        <v>8.84</v>
      </c>
      <c r="E29" s="67" t="n">
        <v>52.17</v>
      </c>
      <c r="F29" s="67" t="n">
        <v>52.17</v>
      </c>
      <c r="G29" s="68" t="inlineStr">
        <is>
          <t>Gerçekleşme</t>
        </is>
      </c>
    </row>
    <row r="30">
      <c r="A30" s="65" t="inlineStr"/>
      <c r="B30" s="66" t="inlineStr">
        <is>
          <t>Şubat</t>
        </is>
      </c>
      <c r="C30" s="67" t="n">
        <v>30.47</v>
      </c>
      <c r="D30" s="67" t="n">
        <v>33.81</v>
      </c>
      <c r="E30" s="67" t="n">
        <v>64.28</v>
      </c>
      <c r="F30" s="67" t="n">
        <v>116.45</v>
      </c>
      <c r="G30" s="68" t="inlineStr">
        <is>
          <t>Gerçekleşme</t>
        </is>
      </c>
    </row>
    <row r="31">
      <c r="A31" s="65" t="inlineStr"/>
      <c r="B31" s="66" t="inlineStr">
        <is>
          <t>Mart</t>
        </is>
      </c>
      <c r="C31" s="67" t="n">
        <v>17.44</v>
      </c>
      <c r="D31" s="67" t="n">
        <v>14.04</v>
      </c>
      <c r="E31" s="67" t="n">
        <v>31.48</v>
      </c>
      <c r="F31" s="67" t="n">
        <v>147.93</v>
      </c>
      <c r="G31" s="68" t="inlineStr">
        <is>
          <t>Gerçekleşme</t>
        </is>
      </c>
    </row>
    <row r="32">
      <c r="A32" s="65" t="inlineStr"/>
      <c r="B32" s="66" t="inlineStr">
        <is>
          <t>Nisan</t>
        </is>
      </c>
      <c r="C32" s="67" t="n">
        <v>14.74</v>
      </c>
      <c r="D32" s="67" t="n">
        <v>7.89</v>
      </c>
      <c r="E32" s="67" t="n">
        <v>22.62</v>
      </c>
      <c r="F32" s="67" t="n">
        <v>170.56</v>
      </c>
      <c r="G32" s="68" t="inlineStr">
        <is>
          <t>Gerçekleşme</t>
        </is>
      </c>
    </row>
    <row r="33">
      <c r="A33" s="65" t="inlineStr"/>
      <c r="B33" s="66" t="inlineStr">
        <is>
          <t>Mayıs</t>
        </is>
      </c>
      <c r="C33" s="67" t="n">
        <v>41.26</v>
      </c>
      <c r="D33" s="67" t="n">
        <v>11.69</v>
      </c>
      <c r="E33" s="67" t="n">
        <v>52.95</v>
      </c>
      <c r="F33" s="67" t="n">
        <v>223.51</v>
      </c>
      <c r="G33" s="68" t="inlineStr">
        <is>
          <t>Gerçekleşme</t>
        </is>
      </c>
    </row>
    <row r="34">
      <c r="A34" s="65" t="inlineStr"/>
      <c r="B34" s="66" t="inlineStr">
        <is>
          <t>Haziran</t>
        </is>
      </c>
      <c r="C34" s="67" t="n">
        <v>11.6</v>
      </c>
      <c r="D34" s="67" t="n">
        <v>7.64</v>
      </c>
      <c r="E34" s="67" t="n">
        <v>19.24</v>
      </c>
      <c r="F34" s="67" t="n">
        <v>242.75</v>
      </c>
      <c r="G34" s="68" t="inlineStr">
        <is>
          <t>Gerçekleşme</t>
        </is>
      </c>
    </row>
    <row r="35">
      <c r="A35" s="65" t="inlineStr"/>
      <c r="B35" s="66" t="inlineStr">
        <is>
          <t>Temmuz</t>
        </is>
      </c>
      <c r="C35" s="67" t="n">
        <v>1.1</v>
      </c>
      <c r="D35" s="67" t="n">
        <v>9.98</v>
      </c>
      <c r="E35" s="67" t="n">
        <v>11.08</v>
      </c>
      <c r="F35" s="67" t="n">
        <v>253.82</v>
      </c>
      <c r="G35" s="68" t="inlineStr">
        <is>
          <t>Gerçekleşme</t>
        </is>
      </c>
    </row>
    <row r="36">
      <c r="A36" s="65" t="inlineStr"/>
      <c r="B36" s="66" t="inlineStr">
        <is>
          <t>Ağustos</t>
        </is>
      </c>
      <c r="C36" s="67" t="n">
        <v>70.37</v>
      </c>
      <c r="D36" s="67" t="n">
        <v>11.69</v>
      </c>
      <c r="E36" s="67" t="n">
        <v>82.06</v>
      </c>
      <c r="F36" s="67" t="n">
        <v>335.88</v>
      </c>
      <c r="G36" s="68" t="inlineStr">
        <is>
          <t>Gerçekleşme</t>
        </is>
      </c>
    </row>
    <row r="37">
      <c r="A37" s="65" t="inlineStr"/>
      <c r="B37" s="66" t="inlineStr">
        <is>
          <t>Eylül</t>
        </is>
      </c>
      <c r="C37" s="67" t="n">
        <v>10.77</v>
      </c>
      <c r="D37" s="67" t="n">
        <v>19.44</v>
      </c>
      <c r="E37" s="67" t="n">
        <v>30.21</v>
      </c>
      <c r="F37" s="67" t="n">
        <v>366.09</v>
      </c>
      <c r="G37" s="68" t="inlineStr">
        <is>
          <t>Gerçekleşme</t>
        </is>
      </c>
    </row>
    <row r="38">
      <c r="A38" s="65" t="inlineStr"/>
      <c r="B38" s="66" t="inlineStr">
        <is>
          <t>Ekim</t>
        </is>
      </c>
      <c r="C38" s="67" t="n">
        <v>10.9</v>
      </c>
      <c r="D38" s="67" t="n">
        <v>50.65</v>
      </c>
      <c r="E38" s="67" t="n">
        <v>61.55</v>
      </c>
      <c r="F38" s="67" t="n">
        <v>427.64</v>
      </c>
      <c r="G38" s="68" t="inlineStr">
        <is>
          <t>Gerçekleşme</t>
        </is>
      </c>
    </row>
    <row r="39">
      <c r="A39" s="65" t="inlineStr"/>
      <c r="B39" s="66" t="inlineStr">
        <is>
          <t>Kasım</t>
        </is>
      </c>
      <c r="C39" s="67" t="n">
        <v>14.12</v>
      </c>
      <c r="D39" s="67" t="n">
        <v>16.93</v>
      </c>
      <c r="E39" s="67" t="n">
        <v>31.05</v>
      </c>
      <c r="F39" s="67" t="n">
        <v>458.7</v>
      </c>
      <c r="G39" s="68" t="inlineStr">
        <is>
          <t>Gerçekleşme</t>
        </is>
      </c>
    </row>
    <row r="40">
      <c r="A40" s="65" t="inlineStr"/>
      <c r="B40" s="66" t="inlineStr">
        <is>
          <t>Aralık</t>
        </is>
      </c>
      <c r="C40" s="67" t="n">
        <v>10.76</v>
      </c>
      <c r="D40" s="67" t="n">
        <v>13.3</v>
      </c>
      <c r="E40" s="67" t="n">
        <v>24.06</v>
      </c>
      <c r="F40" s="67" t="n">
        <v>482.76</v>
      </c>
      <c r="G40" s="68" t="inlineStr">
        <is>
          <t>Gerçekleşme</t>
        </is>
      </c>
    </row>
    <row r="41">
      <c r="A41" s="65" t="n">
        <v>2023</v>
      </c>
      <c r="B41" s="66" t="inlineStr">
        <is>
          <t>Ocak</t>
        </is>
      </c>
      <c r="C41" s="67" t="n">
        <v>32.33</v>
      </c>
      <c r="D41" s="67" t="n">
        <v>13.9</v>
      </c>
      <c r="E41" s="67" t="n">
        <v>46.23</v>
      </c>
      <c r="F41" s="67" t="n">
        <v>46.23</v>
      </c>
      <c r="G41" s="68" t="inlineStr">
        <is>
          <t>Gerçekleşme</t>
        </is>
      </c>
    </row>
    <row r="42">
      <c r="A42" s="65" t="inlineStr"/>
      <c r="B42" s="66" t="inlineStr">
        <is>
          <t>Şubat</t>
        </is>
      </c>
      <c r="C42" s="67" t="n">
        <v>15.09</v>
      </c>
      <c r="D42" s="67" t="n">
        <v>19.99</v>
      </c>
      <c r="E42" s="67" t="n">
        <v>35.08</v>
      </c>
      <c r="F42" s="67" t="n">
        <v>81.31</v>
      </c>
      <c r="G42" s="68" t="inlineStr">
        <is>
          <t>Gerçekleşme</t>
        </is>
      </c>
    </row>
    <row r="43">
      <c r="A43" s="65" t="inlineStr"/>
      <c r="B43" s="66" t="inlineStr">
        <is>
          <t>Mart</t>
        </is>
      </c>
      <c r="C43" s="67" t="n">
        <v>16.99</v>
      </c>
      <c r="D43" s="67" t="n">
        <v>24.92</v>
      </c>
      <c r="E43" s="67" t="n">
        <v>41.9</v>
      </c>
      <c r="F43" s="67" t="n">
        <v>123.21</v>
      </c>
      <c r="G43" s="68" t="inlineStr">
        <is>
          <t>Gerçekleşme</t>
        </is>
      </c>
    </row>
    <row r="44">
      <c r="A44" s="65" t="inlineStr"/>
      <c r="B44" s="66" t="inlineStr">
        <is>
          <t>Nisan</t>
        </is>
      </c>
      <c r="C44" s="67" t="n">
        <v>0</v>
      </c>
      <c r="D44" s="67" t="n">
        <v>17.12</v>
      </c>
      <c r="E44" s="67" t="n">
        <v>17.12</v>
      </c>
      <c r="F44" s="67" t="n">
        <v>140.33</v>
      </c>
      <c r="G44" s="68" t="inlineStr">
        <is>
          <t>Gerçekleşme</t>
        </is>
      </c>
    </row>
    <row r="45">
      <c r="A45" s="65" t="inlineStr"/>
      <c r="B45" s="66" t="inlineStr">
        <is>
          <t>Mayıs</t>
        </is>
      </c>
      <c r="C45" s="67" t="n">
        <v>15.33</v>
      </c>
      <c r="D45" s="67" t="n">
        <v>87.83</v>
      </c>
      <c r="E45" s="67" t="n">
        <v>103.16</v>
      </c>
      <c r="F45" s="67" t="n">
        <v>243.49</v>
      </c>
      <c r="G45" s="68" t="inlineStr">
        <is>
          <t>Gerçekleşme</t>
        </is>
      </c>
    </row>
    <row r="46">
      <c r="A46" s="65" t="inlineStr"/>
      <c r="B46" s="66" t="inlineStr">
        <is>
          <t>Haziran</t>
        </is>
      </c>
      <c r="C46" s="67" t="n">
        <v>41.74</v>
      </c>
      <c r="D46" s="67" t="n">
        <v>15.28</v>
      </c>
      <c r="E46" s="67" t="n">
        <v>57.02</v>
      </c>
      <c r="F46" s="67" t="n">
        <v>300.51</v>
      </c>
      <c r="G46" s="68" t="inlineStr">
        <is>
          <t>Gerçekleşme</t>
        </is>
      </c>
    </row>
    <row r="47">
      <c r="A47" s="65" t="inlineStr"/>
      <c r="B47" s="66" t="inlineStr">
        <is>
          <t>Temmuz</t>
        </is>
      </c>
      <c r="C47" s="67" t="n">
        <v>147.48</v>
      </c>
      <c r="D47" s="67" t="n">
        <v>12.68</v>
      </c>
      <c r="E47" s="67" t="n">
        <v>160.16</v>
      </c>
      <c r="F47" s="67" t="n">
        <v>460.67</v>
      </c>
      <c r="G47" s="68" t="inlineStr">
        <is>
          <t>Gerçekleşme</t>
        </is>
      </c>
    </row>
    <row r="48">
      <c r="A48" s="65" t="inlineStr"/>
      <c r="B48" s="66" t="inlineStr">
        <is>
          <t>Ağustos</t>
        </is>
      </c>
      <c r="C48" s="67" t="n">
        <v>90.83</v>
      </c>
      <c r="D48" s="67" t="n">
        <v>60.92</v>
      </c>
      <c r="E48" s="67" t="n">
        <v>151.74</v>
      </c>
      <c r="F48" s="67" t="n">
        <v>612.41</v>
      </c>
      <c r="G48" s="68" t="inlineStr">
        <is>
          <t>Gerçekleşme</t>
        </is>
      </c>
    </row>
    <row r="49">
      <c r="A49" s="65" t="inlineStr"/>
      <c r="B49" s="66" t="inlineStr">
        <is>
          <t>Eylül</t>
        </is>
      </c>
      <c r="C49" s="67" t="n">
        <v>45.64</v>
      </c>
      <c r="D49" s="67" t="n">
        <v>29.28</v>
      </c>
      <c r="E49" s="67" t="n">
        <v>74.92</v>
      </c>
      <c r="F49" s="67" t="n">
        <v>687.33</v>
      </c>
      <c r="G49" s="68" t="inlineStr">
        <is>
          <t>Gerçekleşme</t>
        </is>
      </c>
    </row>
    <row r="50">
      <c r="A50" s="65" t="inlineStr"/>
      <c r="B50" s="66" t="inlineStr">
        <is>
          <t>Ekim</t>
        </is>
      </c>
      <c r="C50" s="67" t="n">
        <v>22.53</v>
      </c>
      <c r="D50" s="67" t="n">
        <v>44.06</v>
      </c>
      <c r="E50" s="67" t="n">
        <v>66.59</v>
      </c>
      <c r="F50" s="67" t="n">
        <v>753.92</v>
      </c>
      <c r="G50" s="68" t="inlineStr">
        <is>
          <t>Gerçekleşme</t>
        </is>
      </c>
    </row>
    <row r="51">
      <c r="A51" s="65" t="inlineStr"/>
      <c r="B51" s="66" t="inlineStr">
        <is>
          <t>Kasım</t>
        </is>
      </c>
      <c r="C51" s="67" t="n">
        <v>8.5</v>
      </c>
      <c r="D51" s="67" t="n">
        <v>70.48999999999999</v>
      </c>
      <c r="E51" s="67" t="n">
        <v>78.98999999999999</v>
      </c>
      <c r="F51" s="67" t="n">
        <v>832.91</v>
      </c>
      <c r="G51" s="68" t="inlineStr">
        <is>
          <t>Gerçekleşme</t>
        </is>
      </c>
    </row>
    <row r="52">
      <c r="A52" s="65" t="inlineStr"/>
      <c r="B52" s="66" t="inlineStr">
        <is>
          <t>Aralık</t>
        </is>
      </c>
      <c r="C52" s="67" t="n">
        <v>16.42</v>
      </c>
      <c r="D52" s="67" t="n">
        <v>26.7</v>
      </c>
      <c r="E52" s="67" t="n">
        <v>43.12</v>
      </c>
      <c r="F52" s="67" t="n">
        <v>876.02</v>
      </c>
      <c r="G52" s="68" t="inlineStr">
        <is>
          <t>Gerçekleşme</t>
        </is>
      </c>
    </row>
    <row r="53">
      <c r="A53" s="65" t="n">
        <v>2024</v>
      </c>
      <c r="B53" s="66" t="inlineStr">
        <is>
          <t>Ocak</t>
        </is>
      </c>
      <c r="C53" s="67" t="n">
        <v>13.04</v>
      </c>
      <c r="D53" s="67" t="n">
        <v>84.58</v>
      </c>
      <c r="E53" s="67" t="n">
        <v>97.62</v>
      </c>
      <c r="F53" s="67" t="n">
        <v>97.62</v>
      </c>
      <c r="G53" s="68" t="inlineStr">
        <is>
          <t>Gerçekleşme</t>
        </is>
      </c>
    </row>
    <row r="54">
      <c r="A54" s="65" t="inlineStr"/>
      <c r="B54" s="66" t="inlineStr">
        <is>
          <t>Şubat</t>
        </is>
      </c>
      <c r="C54" s="67" t="n">
        <v>156.11</v>
      </c>
      <c r="D54" s="67" t="n">
        <v>34.73</v>
      </c>
      <c r="E54" s="67" t="n">
        <v>190.84</v>
      </c>
      <c r="F54" s="67" t="n">
        <v>288.46</v>
      </c>
      <c r="G54" s="68" t="inlineStr">
        <is>
          <t>Gerçekleşme</t>
        </is>
      </c>
    </row>
    <row r="55">
      <c r="A55" s="65" t="inlineStr"/>
      <c r="B55" s="66" t="inlineStr">
        <is>
          <t>Mart</t>
        </is>
      </c>
      <c r="C55" s="67" t="n">
        <v>58.24</v>
      </c>
      <c r="D55" s="67" t="n">
        <v>39.19</v>
      </c>
      <c r="E55" s="67" t="n">
        <v>97.43000000000001</v>
      </c>
      <c r="F55" s="67" t="n">
        <v>385.89</v>
      </c>
      <c r="G55" s="68" t="inlineStr">
        <is>
          <t>Gerçekleşme</t>
        </is>
      </c>
    </row>
    <row r="56">
      <c r="A56" s="65" t="inlineStr"/>
      <c r="B56" s="66" t="inlineStr">
        <is>
          <t>Nisan</t>
        </is>
      </c>
      <c r="C56" s="67" t="n">
        <v>197.37</v>
      </c>
      <c r="D56" s="67" t="n">
        <v>90.14</v>
      </c>
      <c r="E56" s="67" t="n">
        <v>287.51</v>
      </c>
      <c r="F56" s="67" t="n">
        <v>673.4</v>
      </c>
      <c r="G56" s="68" t="inlineStr">
        <is>
          <t>Gerçekleşme</t>
        </is>
      </c>
    </row>
    <row r="57">
      <c r="A57" s="65" t="inlineStr"/>
      <c r="B57" s="66" t="inlineStr">
        <is>
          <t>Mayıs</t>
        </is>
      </c>
      <c r="C57" s="67" t="n">
        <v>55.48</v>
      </c>
      <c r="D57" s="67" t="n">
        <v>87.86</v>
      </c>
      <c r="E57" s="67" t="n">
        <v>143.33</v>
      </c>
      <c r="F57" s="67" t="n">
        <v>816.73</v>
      </c>
      <c r="G57" s="68" t="inlineStr">
        <is>
          <t>Gerçekleşme</t>
        </is>
      </c>
    </row>
    <row r="58">
      <c r="A58" s="65" t="inlineStr"/>
      <c r="B58" s="66" t="inlineStr">
        <is>
          <t>Haziran</t>
        </is>
      </c>
      <c r="C58" s="67" t="n">
        <v>58.92</v>
      </c>
      <c r="D58" s="67" t="n">
        <v>89.98999999999999</v>
      </c>
      <c r="E58" s="67" t="n">
        <v>148.91</v>
      </c>
      <c r="F58" s="67" t="n">
        <v>965.64</v>
      </c>
      <c r="G58" s="68" t="inlineStr">
        <is>
          <t>Gerçekleşme</t>
        </is>
      </c>
    </row>
    <row r="59">
      <c r="A59" s="65" t="inlineStr"/>
      <c r="B59" s="66" t="inlineStr">
        <is>
          <t>Temmuz</t>
        </is>
      </c>
      <c r="C59" s="67" t="n">
        <v>58.98</v>
      </c>
      <c r="D59" s="67" t="n">
        <v>56.68</v>
      </c>
      <c r="E59" s="67" t="n">
        <v>115.65</v>
      </c>
      <c r="F59" s="67" t="n">
        <v>1081.29</v>
      </c>
      <c r="G59" s="68" t="inlineStr">
        <is>
          <t>Gerçekleşme</t>
        </is>
      </c>
    </row>
    <row r="60">
      <c r="A60" s="65" t="inlineStr"/>
      <c r="B60" s="66" t="inlineStr">
        <is>
          <t>Ağustos</t>
        </is>
      </c>
      <c r="C60" s="67" t="n">
        <v>53.43</v>
      </c>
      <c r="D60" s="67" t="n">
        <v>72.45</v>
      </c>
      <c r="E60" s="67" t="n">
        <v>125.88</v>
      </c>
      <c r="F60" s="67" t="n">
        <v>1207.17</v>
      </c>
      <c r="G60" s="68" t="inlineStr">
        <is>
          <t>Gerçekleşme</t>
        </is>
      </c>
    </row>
    <row r="61">
      <c r="A61" s="65" t="inlineStr"/>
      <c r="B61" s="66" t="inlineStr">
        <is>
          <t>Eylül</t>
        </is>
      </c>
      <c r="C61" s="67" t="n">
        <v>8.050000000000001</v>
      </c>
      <c r="D61" s="67" t="n">
        <v>118.81</v>
      </c>
      <c r="E61" s="67" t="n">
        <v>126.86</v>
      </c>
      <c r="F61" s="67" t="n">
        <v>1334.03</v>
      </c>
      <c r="G61" s="68" t="inlineStr">
        <is>
          <t>Gerçekleşme</t>
        </is>
      </c>
    </row>
    <row r="62">
      <c r="A62" s="65" t="inlineStr"/>
      <c r="B62" s="66" t="inlineStr">
        <is>
          <t>Ekim</t>
        </is>
      </c>
      <c r="C62" s="67" t="n">
        <v>40.18</v>
      </c>
      <c r="D62" s="67" t="n">
        <v>110.16</v>
      </c>
      <c r="E62" s="67" t="n">
        <v>150.34</v>
      </c>
      <c r="F62" s="67" t="n">
        <v>1484.38</v>
      </c>
      <c r="G62" s="68" t="inlineStr">
        <is>
          <t>Gerçekleşme</t>
        </is>
      </c>
    </row>
    <row r="63">
      <c r="A63" s="65" t="inlineStr"/>
      <c r="B63" s="66" t="inlineStr">
        <is>
          <t>Kasım</t>
        </is>
      </c>
      <c r="C63" s="67" t="n">
        <v>7.14</v>
      </c>
      <c r="D63" s="67" t="n">
        <v>112.76</v>
      </c>
      <c r="E63" s="67" t="n">
        <v>119.9</v>
      </c>
      <c r="F63" s="67" t="n">
        <v>1604.27</v>
      </c>
      <c r="G63" s="68" t="inlineStr">
        <is>
          <t>Gerçekleşme</t>
        </is>
      </c>
    </row>
    <row r="64">
      <c r="A64" s="65" t="inlineStr"/>
      <c r="B64" s="66" t="inlineStr">
        <is>
          <t>Aralık</t>
        </is>
      </c>
      <c r="C64" s="67" t="n">
        <v>8.210000000000001</v>
      </c>
      <c r="D64" s="67" t="n">
        <v>63.24</v>
      </c>
      <c r="E64" s="67" t="n">
        <v>71.45</v>
      </c>
      <c r="F64" s="67" t="n">
        <v>1675.73</v>
      </c>
      <c r="G64" s="68" t="inlineStr">
        <is>
          <t>Gerçekleşme</t>
        </is>
      </c>
    </row>
    <row r="65">
      <c r="A65" s="65" t="n">
        <v>2025</v>
      </c>
      <c r="B65" s="66" t="inlineStr">
        <is>
          <t>Ocak</t>
        </is>
      </c>
      <c r="C65" s="67" t="n">
        <v>102.32</v>
      </c>
      <c r="D65" s="67" t="n">
        <v>118.51</v>
      </c>
      <c r="E65" s="67" t="n">
        <v>220.83</v>
      </c>
      <c r="F65" s="67" t="n">
        <v>220.83</v>
      </c>
      <c r="G65" s="68" t="inlineStr">
        <is>
          <t>Gerçekleşme</t>
        </is>
      </c>
    </row>
    <row r="66">
      <c r="A66" s="65" t="inlineStr"/>
      <c r="B66" s="66" t="inlineStr">
        <is>
          <t>Şubat</t>
        </is>
      </c>
      <c r="C66" s="67" t="n">
        <v>0</v>
      </c>
      <c r="D66" s="67" t="n">
        <v>117.72</v>
      </c>
      <c r="E66" s="67" t="n">
        <v>117.72</v>
      </c>
      <c r="F66" s="67" t="n">
        <v>338.55</v>
      </c>
      <c r="G66" s="68" t="inlineStr">
        <is>
          <t>Gerçekleşme</t>
        </is>
      </c>
    </row>
    <row r="67">
      <c r="A67" s="65" t="inlineStr"/>
      <c r="B67" s="66" t="inlineStr">
        <is>
          <t>Mart</t>
        </is>
      </c>
      <c r="C67" s="67" t="n">
        <v>14.77</v>
      </c>
      <c r="D67" s="67" t="n">
        <v>110.17</v>
      </c>
      <c r="E67" s="67" t="n">
        <v>124.93</v>
      </c>
      <c r="F67" s="67" t="n">
        <v>463.48</v>
      </c>
      <c r="G67" s="68" t="inlineStr">
        <is>
          <t>Gerçekleşme</t>
        </is>
      </c>
    </row>
    <row r="68">
      <c r="A68" s="65" t="inlineStr"/>
      <c r="B68" s="66" t="inlineStr">
        <is>
          <t>Nisan</t>
        </is>
      </c>
      <c r="C68" s="67" t="n">
        <v>56.97</v>
      </c>
      <c r="D68" s="67" t="n">
        <v>237.06</v>
      </c>
      <c r="E68" s="67" t="n">
        <v>294.03</v>
      </c>
      <c r="F68" s="67" t="n">
        <v>757.51</v>
      </c>
      <c r="G68" s="68" t="inlineStr">
        <is>
          <t>Gerçekleşme</t>
        </is>
      </c>
    </row>
    <row r="69">
      <c r="A69" s="65" t="inlineStr"/>
      <c r="B69" s="66" t="inlineStr">
        <is>
          <t>Mayıs</t>
        </is>
      </c>
      <c r="C69" s="67" t="n">
        <v>84.02</v>
      </c>
      <c r="D69" s="67" t="n">
        <v>79.06</v>
      </c>
      <c r="E69" s="67" t="n">
        <v>163.08</v>
      </c>
      <c r="F69" s="67" t="n">
        <v>920.59</v>
      </c>
      <c r="G69" s="68" t="inlineStr">
        <is>
          <t>Gerçekleşme</t>
        </is>
      </c>
    </row>
    <row r="70">
      <c r="A70" s="65" t="inlineStr"/>
      <c r="B70" s="66" t="inlineStr">
        <is>
          <t>Haziran</t>
        </is>
      </c>
      <c r="C70" s="67" t="n">
        <v>24.99</v>
      </c>
      <c r="D70" s="67" t="n">
        <v>242.39</v>
      </c>
      <c r="E70" s="67" t="n">
        <v>267.38</v>
      </c>
      <c r="F70" s="67" t="n">
        <v>1187.97</v>
      </c>
      <c r="G70" s="68" t="inlineStr">
        <is>
          <t>Gerçekleşme</t>
        </is>
      </c>
    </row>
    <row r="71">
      <c r="A71" s="65" t="inlineStr"/>
      <c r="B71" s="66" t="inlineStr">
        <is>
          <t>Temmuz</t>
        </is>
      </c>
      <c r="C71" s="67" t="n">
        <v>236.48</v>
      </c>
      <c r="D71" s="67" t="n">
        <v>80.70999999999999</v>
      </c>
      <c r="E71" s="67" t="n">
        <v>317.19</v>
      </c>
      <c r="F71" s="67" t="n">
        <v>1505.17</v>
      </c>
      <c r="G71" s="68" t="inlineStr">
        <is>
          <t>Gerçekleşme</t>
        </is>
      </c>
    </row>
    <row r="72">
      <c r="A72" s="65" t="inlineStr"/>
      <c r="B72" s="66" t="inlineStr">
        <is>
          <t>Ağustos</t>
        </is>
      </c>
      <c r="C72" s="67" t="n">
        <v>186.13</v>
      </c>
      <c r="D72" s="67" t="n">
        <v>151.66</v>
      </c>
      <c r="E72" s="67" t="n">
        <v>337.79</v>
      </c>
      <c r="F72" s="67" t="n">
        <v>1842.95</v>
      </c>
      <c r="G72" s="68" t="inlineStr">
        <is>
          <t>Gerçekleşme</t>
        </is>
      </c>
    </row>
    <row r="73">
      <c r="A73" s="65" t="inlineStr"/>
      <c r="B73" s="66" t="inlineStr">
        <is>
          <t>Eylül</t>
        </is>
      </c>
      <c r="C73" s="67" t="n">
        <v>54.3</v>
      </c>
      <c r="D73" s="67" t="n">
        <v>201.79</v>
      </c>
      <c r="E73" s="67" t="n">
        <v>256.08</v>
      </c>
      <c r="F73" s="67" t="n">
        <v>2099.04</v>
      </c>
      <c r="G73" s="68" t="inlineStr">
        <is>
          <t>Gerçekleşme</t>
        </is>
      </c>
    </row>
    <row r="74">
      <c r="A74" s="65" t="inlineStr"/>
      <c r="B74" s="66" t="inlineStr">
        <is>
          <t>Ekim</t>
        </is>
      </c>
      <c r="C74" s="67" t="n">
        <v>126.41</v>
      </c>
      <c r="D74" s="67" t="n">
        <v>137.45</v>
      </c>
      <c r="E74" s="67" t="n">
        <v>263.85</v>
      </c>
      <c r="F74" s="67" t="n">
        <v>2362.89</v>
      </c>
      <c r="G74" s="68" t="inlineStr">
        <is>
          <t>Gerçekleşme</t>
        </is>
      </c>
    </row>
    <row r="75">
      <c r="A75" s="65" t="inlineStr"/>
      <c r="B75" s="66" t="inlineStr">
        <is>
          <t>Kasım</t>
        </is>
      </c>
      <c r="C75" s="67" t="n">
        <v>0</v>
      </c>
      <c r="D75" s="67" t="n">
        <v>95.20999999999999</v>
      </c>
      <c r="E75" s="67" t="n">
        <v>95.20999999999999</v>
      </c>
      <c r="F75" s="67" t="n">
        <v>2458.1</v>
      </c>
      <c r="G75" s="68" t="inlineStr">
        <is>
          <t>Gerçekleşme</t>
        </is>
      </c>
    </row>
    <row r="76">
      <c r="A76" s="65" t="inlineStr"/>
      <c r="B76" s="66" t="inlineStr">
        <is>
          <t>Aralık</t>
        </is>
      </c>
      <c r="C76" s="67" t="n">
        <v>0.52</v>
      </c>
      <c r="D76" s="67" t="n">
        <v>109.25</v>
      </c>
      <c r="E76" s="67" t="n">
        <v>109.77</v>
      </c>
      <c r="F76" s="67" t="n">
        <v>2567.87</v>
      </c>
      <c r="G76" s="68" t="inlineStr">
        <is>
          <t>Gerçekleşme</t>
        </is>
      </c>
    </row>
    <row r="77">
      <c r="A77" s="65" t="n">
        <v>2026</v>
      </c>
      <c r="B77" s="66" t="inlineStr">
        <is>
          <t>Ocak</t>
        </is>
      </c>
      <c r="C77" s="67" t="n">
        <v>223.58</v>
      </c>
      <c r="D77" s="67" t="n">
        <v>408.83</v>
      </c>
      <c r="E77" s="67" t="n">
        <v>632.41</v>
      </c>
      <c r="F77" s="67" t="n">
        <v>632.41</v>
      </c>
      <c r="G77" s="68" t="inlineStr">
        <is>
          <t>Gerçekleşme</t>
        </is>
      </c>
    </row>
    <row r="78">
      <c r="A78" s="65" t="inlineStr"/>
      <c r="B78" s="66" t="inlineStr">
        <is>
          <t>Şubat</t>
        </is>
      </c>
      <c r="C78" s="67" t="n">
        <v>503.5</v>
      </c>
      <c r="D78" s="67" t="n">
        <v>154.67</v>
      </c>
      <c r="E78" s="67" t="n">
        <v>658.17</v>
      </c>
      <c r="F78" s="67" t="n">
        <v>1290.58</v>
      </c>
      <c r="G78" s="68" t="inlineStr">
        <is>
          <t>Gerçekleşme</t>
        </is>
      </c>
    </row>
    <row r="79">
      <c r="A79" s="65" t="inlineStr"/>
      <c r="B79" s="66" t="inlineStr">
        <is>
          <t>Mart</t>
        </is>
      </c>
      <c r="C79" s="67" t="n">
        <v>191.3</v>
      </c>
      <c r="D79" s="67" t="n">
        <v>202.15</v>
      </c>
      <c r="E79" s="67" t="n">
        <v>393.45</v>
      </c>
      <c r="F79" s="67" t="n">
        <v>1684.03</v>
      </c>
      <c r="G79" s="68" t="inlineStr">
        <is>
          <t>Gerçekleşme</t>
        </is>
      </c>
    </row>
    <row r="80">
      <c r="A80" s="65" t="inlineStr"/>
      <c r="B80" s="66" t="inlineStr">
        <is>
          <t>Nisan</t>
        </is>
      </c>
      <c r="C80" s="67" t="n">
        <v>288.27</v>
      </c>
      <c r="D80" s="67" t="n">
        <v>223.17</v>
      </c>
      <c r="E80" s="67" t="n">
        <v>511.44</v>
      </c>
      <c r="F80" s="67" t="n">
        <v>2195.48</v>
      </c>
      <c r="G80" s="68" t="inlineStr">
        <is>
          <t>Gerçekleşme</t>
        </is>
      </c>
    </row>
    <row r="81">
      <c r="A81" s="65" t="inlineStr"/>
      <c r="B81" s="66" t="inlineStr">
        <is>
          <t>Mayıs</t>
        </is>
      </c>
      <c r="C81" s="67" t="n">
        <v>237.21</v>
      </c>
      <c r="D81" s="67" t="n">
        <v>99</v>
      </c>
      <c r="E81" s="67" t="n">
        <v>336.2</v>
      </c>
      <c r="F81" s="67" t="n">
        <v>2531.68</v>
      </c>
      <c r="G81" s="68" t="inlineStr">
        <is>
          <t>Gerçekleşme</t>
        </is>
      </c>
    </row>
    <row r="82">
      <c r="A82" s="65" t="inlineStr"/>
      <c r="B82" s="66" t="inlineStr">
        <is>
          <t>Haziran</t>
        </is>
      </c>
      <c r="C82" s="67" t="n">
        <v>363.96</v>
      </c>
      <c r="D82" s="67" t="n">
        <v>181.31</v>
      </c>
      <c r="E82" s="67" t="n">
        <v>545.28</v>
      </c>
      <c r="F82" s="67" t="n">
        <v>3076.95</v>
      </c>
      <c r="G82" s="68" t="inlineStr">
        <is>
          <t>Gerçekleşme</t>
        </is>
      </c>
    </row>
    <row r="83">
      <c r="A83" s="65" t="inlineStr"/>
      <c r="B83" s="66" t="inlineStr">
        <is>
          <t>Temmuz</t>
        </is>
      </c>
      <c r="C83" s="67" t="n">
        <v>360.89</v>
      </c>
      <c r="D83" s="67" t="n">
        <v>272.83</v>
      </c>
      <c r="E83" s="67" t="n">
        <v>633.72</v>
      </c>
      <c r="F83" s="67" t="n">
        <v>3710.67</v>
      </c>
      <c r="G83" s="68" t="inlineStr">
        <is>
          <t>Gerçekleşme</t>
        </is>
      </c>
    </row>
    <row r="84">
      <c r="A84" s="65" t="inlineStr"/>
      <c r="B84" s="66" t="inlineStr">
        <is>
          <t>Ağustos</t>
        </is>
      </c>
      <c r="C84" s="67" t="n">
        <v>467.93</v>
      </c>
      <c r="D84" s="67" t="n">
        <v>128.25</v>
      </c>
      <c r="E84" s="67" t="n">
        <v>596.1799999999999</v>
      </c>
      <c r="F84" s="67" t="n">
        <v>4306.85</v>
      </c>
      <c r="G84" s="68" t="inlineStr">
        <is>
          <t>Gerçekleşme</t>
        </is>
      </c>
    </row>
    <row r="85">
      <c r="A85" s="65" t="inlineStr"/>
      <c r="B85" s="66" t="inlineStr">
        <is>
          <t>Eylül</t>
        </is>
      </c>
      <c r="C85" s="67" t="n">
        <v>56.57</v>
      </c>
      <c r="D85" s="67" t="n">
        <v>240.42</v>
      </c>
      <c r="E85" s="67" t="n">
        <v>296.99</v>
      </c>
      <c r="F85" s="67" t="n">
        <v>4603.84</v>
      </c>
      <c r="G85" s="68" t="inlineStr">
        <is>
          <t>Gerçekleşme</t>
        </is>
      </c>
    </row>
    <row r="86">
      <c r="A86" s="69" t="inlineStr"/>
      <c r="B86" s="70" t="inlineStr">
        <is>
          <t>Ekim</t>
        </is>
      </c>
      <c r="C86" s="71" t="n">
        <v>175.55</v>
      </c>
      <c r="D86" s="71" t="n">
        <v>247.61</v>
      </c>
      <c r="E86" s="71" t="n">
        <v>423.16</v>
      </c>
      <c r="F86" s="71" t="n">
        <v/>
      </c>
      <c r="G86" s="72" t="inlineStr">
        <is>
          <t>Projeksiyon</t>
        </is>
      </c>
    </row>
    <row r="87">
      <c r="A87" s="69" t="inlineStr"/>
      <c r="B87" s="70" t="inlineStr">
        <is>
          <t>Kasım</t>
        </is>
      </c>
      <c r="C87" s="71" t="n">
        <v>29.58</v>
      </c>
      <c r="D87" s="71" t="n">
        <v>93.06</v>
      </c>
      <c r="E87" s="71" t="n">
        <v>122.64</v>
      </c>
      <c r="F87" s="71" t="n">
        <v/>
      </c>
      <c r="G87" s="72" t="inlineStr">
        <is>
          <t>Projeksiyon</t>
        </is>
      </c>
    </row>
    <row r="88">
      <c r="A88" s="69" t="inlineStr"/>
      <c r="B88" s="70" t="inlineStr">
        <is>
          <t>Aralık</t>
        </is>
      </c>
      <c r="C88" s="71" t="n">
        <v>1.47</v>
      </c>
      <c r="D88" s="71" t="n">
        <v>116.21</v>
      </c>
      <c r="E88" s="71" t="n">
        <v>117.68</v>
      </c>
      <c r="F88" s="71" t="n">
        <v/>
      </c>
      <c r="G88" s="72" t="inlineStr">
        <is>
          <t>Projeksiyon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8" customWidth="1" min="8" max="8"/>
    <col width="12" customWidth="1" min="9" max="9"/>
    <col width="12" customWidth="1" min="10" max="10"/>
  </cols>
  <sheetData>
    <row r="1" ht="36" customHeight="1">
      <c r="A1" s="59" t="inlineStr">
        <is>
          <t>İÇ BORÇ ÖDEME ANALİZİ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22" customHeight="1">
      <c r="A2" s="62" t="inlineStr">
        <is>
          <t>Gerçekleşme + Projeksiyon Karşılaştırması  •  Birim: Milyar TL  •  29.10.2026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4" ht="28" customHeight="1">
      <c r="A4" s="73" t="inlineStr">
        <is>
          <t>1. YILLIK ÖDEME ÖZETİ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</row>
    <row r="5" ht="32" customHeight="1">
      <c r="A5" s="74" t="inlineStr">
        <is>
          <t>Yıl</t>
        </is>
      </c>
      <c r="B5" s="74" t="inlineStr">
        <is>
          <t>Toplam Anapara</t>
        </is>
      </c>
      <c r="C5" s="74" t="inlineStr">
        <is>
          <t>Toplam Faiz</t>
        </is>
      </c>
      <c r="D5" s="74" t="inlineStr">
        <is>
          <t>Genel Toplam</t>
        </is>
      </c>
      <c r="E5" s="74" t="inlineStr">
        <is>
          <t>Faiz/Anapara (%)</t>
        </is>
      </c>
      <c r="F5" s="74" t="inlineStr">
        <is>
          <t>Ort. Aylık Ödeme</t>
        </is>
      </c>
      <c r="G5" s="74" t="inlineStr">
        <is>
          <t>Max Ay Ödeme</t>
        </is>
      </c>
      <c r="H5" s="74" t="inlineStr">
        <is>
          <t>Max Ay</t>
        </is>
      </c>
      <c r="I5" s="74" t="inlineStr">
        <is>
          <t>YoY Değişim (%)</t>
        </is>
      </c>
      <c r="J5" s="74" t="inlineStr">
        <is>
          <t>Kaynak</t>
        </is>
      </c>
    </row>
    <row r="6">
      <c r="A6" s="75" t="n">
        <v>2020</v>
      </c>
      <c r="B6" s="76" t="n">
        <v>218.16</v>
      </c>
      <c r="C6" s="76" t="n">
        <v>95.75</v>
      </c>
      <c r="D6" s="77" t="n">
        <v>313.91</v>
      </c>
      <c r="E6" s="78" t="n">
        <v>43.9</v>
      </c>
      <c r="F6" s="76" t="n">
        <v>26.16</v>
      </c>
      <c r="G6" s="76" t="n">
        <v>44.54</v>
      </c>
      <c r="H6" s="79" t="inlineStr">
        <is>
          <t>Ekim</t>
        </is>
      </c>
      <c r="I6" s="80" t="inlineStr">
        <is>
          <t>-</t>
        </is>
      </c>
      <c r="J6" s="81" t="inlineStr">
        <is>
          <t>Gerçekleşme</t>
        </is>
      </c>
    </row>
    <row r="7">
      <c r="A7" s="82" t="n">
        <v>2021</v>
      </c>
      <c r="B7" s="83" t="n">
        <v>315.12</v>
      </c>
      <c r="C7" s="83" t="n">
        <v>125.88</v>
      </c>
      <c r="D7" s="84" t="n">
        <v>441</v>
      </c>
      <c r="E7" s="85" t="n">
        <v>39.9</v>
      </c>
      <c r="F7" s="83" t="n">
        <v>36.75</v>
      </c>
      <c r="G7" s="83" t="n">
        <v>58.62</v>
      </c>
      <c r="H7" s="86" t="inlineStr">
        <is>
          <t>Mayıs</t>
        </is>
      </c>
      <c r="I7" s="87" t="n">
        <v>40.5</v>
      </c>
      <c r="J7" s="88" t="inlineStr">
        <is>
          <t>Gerçekleşme</t>
        </is>
      </c>
    </row>
    <row r="8">
      <c r="A8" s="75" t="n">
        <v>2022</v>
      </c>
      <c r="B8" s="76" t="n">
        <v>276.86</v>
      </c>
      <c r="C8" s="76" t="n">
        <v>205.89</v>
      </c>
      <c r="D8" s="77" t="n">
        <v>482.76</v>
      </c>
      <c r="E8" s="78" t="n">
        <v>74.40000000000001</v>
      </c>
      <c r="F8" s="76" t="n">
        <v>40.23</v>
      </c>
      <c r="G8" s="76" t="n">
        <v>82.06</v>
      </c>
      <c r="H8" s="79" t="inlineStr">
        <is>
          <t>Ağustos</t>
        </is>
      </c>
      <c r="I8" s="89" t="n">
        <v>9.5</v>
      </c>
      <c r="J8" s="81" t="inlineStr">
        <is>
          <t>Gerçekleşme</t>
        </is>
      </c>
    </row>
    <row r="9">
      <c r="A9" s="82" t="n">
        <v>2023</v>
      </c>
      <c r="B9" s="83" t="n">
        <v>452.87</v>
      </c>
      <c r="C9" s="83" t="n">
        <v>423.15</v>
      </c>
      <c r="D9" s="84" t="n">
        <v>876.02</v>
      </c>
      <c r="E9" s="85" t="n">
        <v>93.40000000000001</v>
      </c>
      <c r="F9" s="83" t="n">
        <v>73</v>
      </c>
      <c r="G9" s="83" t="n">
        <v>160.16</v>
      </c>
      <c r="H9" s="86" t="inlineStr">
        <is>
          <t>Temmuz</t>
        </is>
      </c>
      <c r="I9" s="87" t="n">
        <v>81.5</v>
      </c>
      <c r="J9" s="88" t="inlineStr">
        <is>
          <t>Gerçekleşme</t>
        </is>
      </c>
    </row>
    <row r="10">
      <c r="A10" s="75" t="n">
        <v>2024</v>
      </c>
      <c r="B10" s="76" t="n">
        <v>715.13</v>
      </c>
      <c r="C10" s="76" t="n">
        <v>960.6</v>
      </c>
      <c r="D10" s="77" t="n">
        <v>1675.73</v>
      </c>
      <c r="E10" s="78" t="n">
        <v>134.3</v>
      </c>
      <c r="F10" s="76" t="n">
        <v>139.64</v>
      </c>
      <c r="G10" s="76" t="n">
        <v>287.51</v>
      </c>
      <c r="H10" s="79" t="inlineStr">
        <is>
          <t>Nisan</t>
        </is>
      </c>
      <c r="I10" s="89" t="n">
        <v>91.3</v>
      </c>
      <c r="J10" s="81" t="inlineStr">
        <is>
          <t>Gerçekleşme</t>
        </is>
      </c>
    </row>
    <row r="11">
      <c r="A11" s="82" t="n">
        <v>2025</v>
      </c>
      <c r="B11" s="83" t="n">
        <v>886.89</v>
      </c>
      <c r="C11" s="83" t="n">
        <v>1680.99</v>
      </c>
      <c r="D11" s="84" t="n">
        <v>2567.87</v>
      </c>
      <c r="E11" s="85" t="n">
        <v>189.5</v>
      </c>
      <c r="F11" s="83" t="n">
        <v>213.99</v>
      </c>
      <c r="G11" s="83" t="n">
        <v>337.79</v>
      </c>
      <c r="H11" s="86" t="inlineStr">
        <is>
          <t>Ağustos</t>
        </is>
      </c>
      <c r="I11" s="87" t="n">
        <v>53.2</v>
      </c>
      <c r="J11" s="88" t="inlineStr">
        <is>
          <t>Gerçekleşme</t>
        </is>
      </c>
    </row>
    <row r="12">
      <c r="A12" s="75" t="n">
        <v>2026</v>
      </c>
      <c r="B12" s="76" t="n">
        <v>2899.8</v>
      </c>
      <c r="C12" s="76" t="n">
        <v>2367.52</v>
      </c>
      <c r="D12" s="77" t="n">
        <v>5267.32</v>
      </c>
      <c r="E12" s="78" t="n">
        <v>81.59999999999999</v>
      </c>
      <c r="F12" s="76" t="n">
        <v>438.94</v>
      </c>
      <c r="G12" s="76" t="n">
        <v>658.17</v>
      </c>
      <c r="H12" s="79" t="inlineStr">
        <is>
          <t>Şubat</t>
        </is>
      </c>
      <c r="I12" s="89" t="n">
        <v>105.1</v>
      </c>
      <c r="J12" s="81" t="inlineStr">
        <is>
          <t>Karma</t>
        </is>
      </c>
    </row>
    <row r="14" ht="28" customHeight="1">
      <c r="A14" s="73" t="inlineStr">
        <is>
          <t>2. 2026 AYLIK ÖDEME DETAYI (Gerçekleşme vs Projeksiyon)</t>
        </is>
      </c>
      <c r="B14" s="60" t="n"/>
      <c r="C14" s="60" t="n"/>
      <c r="D14" s="60" t="n"/>
      <c r="E14" s="60" t="n"/>
      <c r="F14" s="60" t="n"/>
      <c r="G14" s="60" t="n"/>
      <c r="H14" s="60" t="n"/>
      <c r="I14" s="60" t="n"/>
      <c r="J14" s="61" t="n"/>
    </row>
    <row r="15" ht="32" customHeight="1">
      <c r="A15" s="74" t="inlineStr">
        <is>
          <t>Ay</t>
        </is>
      </c>
      <c r="B15" s="74" t="inlineStr">
        <is>
          <t>Projeksiyon Anapara</t>
        </is>
      </c>
      <c r="C15" s="74" t="inlineStr">
        <is>
          <t>Projeksiyon Faiz</t>
        </is>
      </c>
      <c r="D15" s="74" t="inlineStr">
        <is>
          <t>Projeksiyon Toplam</t>
        </is>
      </c>
      <c r="E15" s="74" t="inlineStr">
        <is>
          <t>Gerçekleşme Anapara</t>
        </is>
      </c>
      <c r="F15" s="74" t="inlineStr">
        <is>
          <t>Gerçekleşme Faiz</t>
        </is>
      </c>
      <c r="G15" s="74" t="inlineStr">
        <is>
          <t>Gerçekleşme Toplam</t>
        </is>
      </c>
      <c r="H15" s="74" t="inlineStr">
        <is>
          <t>Fark (Gerç.-Proj.)</t>
        </is>
      </c>
      <c r="I15" s="74" t="inlineStr">
        <is>
          <t>Sapma (%)</t>
        </is>
      </c>
      <c r="J15" s="74" t="inlineStr">
        <is>
          <t>Durum</t>
        </is>
      </c>
    </row>
    <row r="16">
      <c r="A16" s="65" t="inlineStr">
        <is>
          <t>Ocak</t>
        </is>
      </c>
      <c r="B16" s="67" t="inlineStr">
        <is>
          <t>-</t>
        </is>
      </c>
      <c r="C16" s="67" t="inlineStr">
        <is>
          <t>-</t>
        </is>
      </c>
      <c r="D16" s="90" t="inlineStr">
        <is>
          <t>-</t>
        </is>
      </c>
      <c r="E16" s="67" t="n">
        <v>223.58</v>
      </c>
      <c r="F16" s="67" t="n">
        <v>408.83</v>
      </c>
      <c r="G16" s="90" t="n">
        <v>632.41</v>
      </c>
      <c r="H16" s="91" t="inlineStr">
        <is>
          <t>-</t>
        </is>
      </c>
      <c r="I16" s="91" t="inlineStr">
        <is>
          <t>-</t>
        </is>
      </c>
      <c r="J16" s="92" t="inlineStr">
        <is>
          <t>✅ Gerçekleşti</t>
        </is>
      </c>
    </row>
    <row r="17">
      <c r="A17" s="65" t="inlineStr">
        <is>
          <t>Şubat</t>
        </is>
      </c>
      <c r="B17" s="67" t="inlineStr">
        <is>
          <t>-</t>
        </is>
      </c>
      <c r="C17" s="67" t="inlineStr">
        <is>
          <t>-</t>
        </is>
      </c>
      <c r="D17" s="90" t="inlineStr">
        <is>
          <t>-</t>
        </is>
      </c>
      <c r="E17" s="67" t="n">
        <v>503.5</v>
      </c>
      <c r="F17" s="67" t="n">
        <v>154.67</v>
      </c>
      <c r="G17" s="90" t="n">
        <v>658.17</v>
      </c>
      <c r="H17" s="91" t="inlineStr">
        <is>
          <t>-</t>
        </is>
      </c>
      <c r="I17" s="91" t="inlineStr">
        <is>
          <t>-</t>
        </is>
      </c>
      <c r="J17" s="92" t="inlineStr">
        <is>
          <t>✅ Gerçekleşti</t>
        </is>
      </c>
    </row>
    <row r="18">
      <c r="A18" s="65" t="inlineStr">
        <is>
          <t>Mart</t>
        </is>
      </c>
      <c r="B18" s="67" t="inlineStr">
        <is>
          <t>-</t>
        </is>
      </c>
      <c r="C18" s="67" t="inlineStr">
        <is>
          <t>-</t>
        </is>
      </c>
      <c r="D18" s="90" t="inlineStr">
        <is>
          <t>-</t>
        </is>
      </c>
      <c r="E18" s="67" t="n">
        <v>191.3</v>
      </c>
      <c r="F18" s="67" t="n">
        <v>202.15</v>
      </c>
      <c r="G18" s="90" t="n">
        <v>393.45</v>
      </c>
      <c r="H18" s="91" t="inlineStr">
        <is>
          <t>-</t>
        </is>
      </c>
      <c r="I18" s="91" t="inlineStr">
        <is>
          <t>-</t>
        </is>
      </c>
      <c r="J18" s="92" t="inlineStr">
        <is>
          <t>✅ Gerçekleşti</t>
        </is>
      </c>
    </row>
    <row r="19">
      <c r="A19" s="65" t="inlineStr">
        <is>
          <t>Nisan</t>
        </is>
      </c>
      <c r="B19" s="67" t="inlineStr">
        <is>
          <t>-</t>
        </is>
      </c>
      <c r="C19" s="67" t="inlineStr">
        <is>
          <t>-</t>
        </is>
      </c>
      <c r="D19" s="90" t="inlineStr">
        <is>
          <t>-</t>
        </is>
      </c>
      <c r="E19" s="67" t="n">
        <v>288.27</v>
      </c>
      <c r="F19" s="67" t="n">
        <v>223.17</v>
      </c>
      <c r="G19" s="90" t="n">
        <v>511.44</v>
      </c>
      <c r="H19" s="91" t="inlineStr">
        <is>
          <t>-</t>
        </is>
      </c>
      <c r="I19" s="91" t="inlineStr">
        <is>
          <t>-</t>
        </is>
      </c>
      <c r="J19" s="92" t="inlineStr">
        <is>
          <t>✅ Gerçekleşti</t>
        </is>
      </c>
    </row>
    <row r="20">
      <c r="A20" s="65" t="inlineStr">
        <is>
          <t>Mayıs</t>
        </is>
      </c>
      <c r="B20" s="67" t="inlineStr">
        <is>
          <t>-</t>
        </is>
      </c>
      <c r="C20" s="67" t="inlineStr">
        <is>
          <t>-</t>
        </is>
      </c>
      <c r="D20" s="90" t="inlineStr">
        <is>
          <t>-</t>
        </is>
      </c>
      <c r="E20" s="67" t="n">
        <v>237.21</v>
      </c>
      <c r="F20" s="67" t="n">
        <v>99</v>
      </c>
      <c r="G20" s="90" t="n">
        <v>336.2</v>
      </c>
      <c r="H20" s="91" t="inlineStr">
        <is>
          <t>-</t>
        </is>
      </c>
      <c r="I20" s="91" t="inlineStr">
        <is>
          <t>-</t>
        </is>
      </c>
      <c r="J20" s="92" t="inlineStr">
        <is>
          <t>✅ Gerçekleşti</t>
        </is>
      </c>
    </row>
    <row r="21">
      <c r="A21" s="65" t="inlineStr">
        <is>
          <t>Haziran</t>
        </is>
      </c>
      <c r="B21" s="67" t="inlineStr">
        <is>
          <t>-</t>
        </is>
      </c>
      <c r="C21" s="67" t="inlineStr">
        <is>
          <t>-</t>
        </is>
      </c>
      <c r="D21" s="90" t="inlineStr">
        <is>
          <t>-</t>
        </is>
      </c>
      <c r="E21" s="67" t="n">
        <v>363.96</v>
      </c>
      <c r="F21" s="67" t="n">
        <v>181.31</v>
      </c>
      <c r="G21" s="90" t="n">
        <v>545.28</v>
      </c>
      <c r="H21" s="91" t="inlineStr">
        <is>
          <t>-</t>
        </is>
      </c>
      <c r="I21" s="91" t="inlineStr">
        <is>
          <t>-</t>
        </is>
      </c>
      <c r="J21" s="92" t="inlineStr">
        <is>
          <t>✅ Gerçekleşti</t>
        </is>
      </c>
    </row>
    <row r="22">
      <c r="A22" s="65" t="inlineStr">
        <is>
          <t>Temmuz</t>
        </is>
      </c>
      <c r="B22" s="67" t="inlineStr">
        <is>
          <t>-</t>
        </is>
      </c>
      <c r="C22" s="67" t="inlineStr">
        <is>
          <t>-</t>
        </is>
      </c>
      <c r="D22" s="90" t="inlineStr">
        <is>
          <t>-</t>
        </is>
      </c>
      <c r="E22" s="67" t="n">
        <v>360.89</v>
      </c>
      <c r="F22" s="67" t="n">
        <v>272.83</v>
      </c>
      <c r="G22" s="90" t="n">
        <v>633.72</v>
      </c>
      <c r="H22" s="91" t="inlineStr">
        <is>
          <t>-</t>
        </is>
      </c>
      <c r="I22" s="91" t="inlineStr">
        <is>
          <t>-</t>
        </is>
      </c>
      <c r="J22" s="92" t="inlineStr">
        <is>
          <t>✅ Gerçekleşti</t>
        </is>
      </c>
    </row>
    <row r="23">
      <c r="A23" s="65" t="inlineStr">
        <is>
          <t>Ağustos</t>
        </is>
      </c>
      <c r="B23" s="67" t="inlineStr">
        <is>
          <t>-</t>
        </is>
      </c>
      <c r="C23" s="67" t="inlineStr">
        <is>
          <t>-</t>
        </is>
      </c>
      <c r="D23" s="90" t="inlineStr">
        <is>
          <t>-</t>
        </is>
      </c>
      <c r="E23" s="67" t="n">
        <v>467.93</v>
      </c>
      <c r="F23" s="67" t="n">
        <v>128.25</v>
      </c>
      <c r="G23" s="90" t="n">
        <v>596.1799999999999</v>
      </c>
      <c r="H23" s="91" t="inlineStr">
        <is>
          <t>-</t>
        </is>
      </c>
      <c r="I23" s="91" t="inlineStr">
        <is>
          <t>-</t>
        </is>
      </c>
      <c r="J23" s="92" t="inlineStr">
        <is>
          <t>✅ Gerçekleşti</t>
        </is>
      </c>
    </row>
    <row r="24">
      <c r="A24" s="65" t="inlineStr">
        <is>
          <t>Eylül</t>
        </is>
      </c>
      <c r="B24" s="67" t="inlineStr">
        <is>
          <t>-</t>
        </is>
      </c>
      <c r="C24" s="67" t="inlineStr">
        <is>
          <t>-</t>
        </is>
      </c>
      <c r="D24" s="90" t="inlineStr">
        <is>
          <t>-</t>
        </is>
      </c>
      <c r="E24" s="67" t="n">
        <v>56.57</v>
      </c>
      <c r="F24" s="67" t="n">
        <v>240.42</v>
      </c>
      <c r="G24" s="90" t="n">
        <v>296.99</v>
      </c>
      <c r="H24" s="91" t="inlineStr">
        <is>
          <t>-</t>
        </is>
      </c>
      <c r="I24" s="91" t="inlineStr">
        <is>
          <t>-</t>
        </is>
      </c>
      <c r="J24" s="92" t="inlineStr">
        <is>
          <t>✅ Gerçekleşti</t>
        </is>
      </c>
    </row>
    <row r="25">
      <c r="A25" s="69" t="inlineStr">
        <is>
          <t>Ekim</t>
        </is>
      </c>
      <c r="B25" s="71" t="n">
        <v>175.55</v>
      </c>
      <c r="C25" s="71" t="n">
        <v>247.61</v>
      </c>
      <c r="D25" s="93" t="n">
        <v>423.16</v>
      </c>
      <c r="E25" s="71" t="inlineStr">
        <is>
          <t>-</t>
        </is>
      </c>
      <c r="F25" s="71" t="inlineStr">
        <is>
          <t>-</t>
        </is>
      </c>
      <c r="G25" s="93" t="inlineStr">
        <is>
          <t>-</t>
        </is>
      </c>
      <c r="H25" s="94" t="inlineStr">
        <is>
          <t>-</t>
        </is>
      </c>
      <c r="I25" s="94" t="inlineStr">
        <is>
          <t>-</t>
        </is>
      </c>
      <c r="J25" s="95" t="inlineStr">
        <is>
          <t>📊 Projeksiyon</t>
        </is>
      </c>
    </row>
    <row r="26">
      <c r="A26" s="69" t="inlineStr">
        <is>
          <t>Kasım</t>
        </is>
      </c>
      <c r="B26" s="71" t="n">
        <v>29.58</v>
      </c>
      <c r="C26" s="71" t="n">
        <v>93.06</v>
      </c>
      <c r="D26" s="93" t="n">
        <v>122.64</v>
      </c>
      <c r="E26" s="71" t="inlineStr">
        <is>
          <t>-</t>
        </is>
      </c>
      <c r="F26" s="71" t="inlineStr">
        <is>
          <t>-</t>
        </is>
      </c>
      <c r="G26" s="93" t="inlineStr">
        <is>
          <t>-</t>
        </is>
      </c>
      <c r="H26" s="94" t="inlineStr">
        <is>
          <t>-</t>
        </is>
      </c>
      <c r="I26" s="94" t="inlineStr">
        <is>
          <t>-</t>
        </is>
      </c>
      <c r="J26" s="95" t="inlineStr">
        <is>
          <t>📊 Projeksiyon</t>
        </is>
      </c>
    </row>
    <row r="27">
      <c r="A27" s="69" t="inlineStr">
        <is>
          <t>Aralık</t>
        </is>
      </c>
      <c r="B27" s="71" t="n">
        <v>1.47</v>
      </c>
      <c r="C27" s="71" t="n">
        <v>116.21</v>
      </c>
      <c r="D27" s="93" t="n">
        <v>117.68</v>
      </c>
      <c r="E27" s="71" t="inlineStr">
        <is>
          <t>-</t>
        </is>
      </c>
      <c r="F27" s="71" t="inlineStr">
        <is>
          <t>-</t>
        </is>
      </c>
      <c r="G27" s="93" t="inlineStr">
        <is>
          <t>-</t>
        </is>
      </c>
      <c r="H27" s="94" t="inlineStr">
        <is>
          <t>-</t>
        </is>
      </c>
      <c r="I27" s="94" t="inlineStr">
        <is>
          <t>-</t>
        </is>
      </c>
      <c r="J27" s="95" t="inlineStr">
        <is>
          <t>📊 Projeksiyon</t>
        </is>
      </c>
    </row>
    <row r="28">
      <c r="A28" s="96" t="inlineStr">
        <is>
          <t>TOPLAM</t>
        </is>
      </c>
      <c r="B28" s="97" t="n"/>
      <c r="C28" s="97" t="n"/>
      <c r="D28" s="98" t="n">
        <v>663.48</v>
      </c>
      <c r="E28" s="97" t="n"/>
      <c r="F28" s="97" t="n"/>
      <c r="G28" s="98" t="n">
        <v>4603.84</v>
      </c>
      <c r="H28" s="97" t="n"/>
      <c r="I28" s="97" t="n"/>
      <c r="J28" s="97" t="n"/>
    </row>
    <row r="30" ht="28" customHeight="1">
      <c r="A30" s="73" t="inlineStr">
        <is>
          <t>3. ANAPARA vs FAİZ DAĞILIMI (Yıllık)</t>
        </is>
      </c>
      <c r="B30" s="60" t="n"/>
      <c r="C30" s="60" t="n"/>
      <c r="D30" s="60" t="n"/>
      <c r="E30" s="60" t="n"/>
      <c r="F30" s="60" t="n"/>
      <c r="G30" s="60" t="n"/>
      <c r="H30" s="60" t="n"/>
      <c r="I30" s="60" t="n"/>
      <c r="J30" s="61" t="n"/>
    </row>
    <row r="31" ht="32" customHeight="1">
      <c r="A31" s="74" t="inlineStr">
        <is>
          <t>Yıl</t>
        </is>
      </c>
      <c r="B31" s="74" t="inlineStr">
        <is>
          <t>Anapara (Milyar TL)</t>
        </is>
      </c>
      <c r="C31" s="74" t="inlineStr">
        <is>
          <t>Faiz (Milyar TL)</t>
        </is>
      </c>
      <c r="D31" s="74" t="inlineStr">
        <is>
          <t>Genel Toplam</t>
        </is>
      </c>
      <c r="E31" s="74" t="inlineStr">
        <is>
          <t>Anapara Payı (%)</t>
        </is>
      </c>
      <c r="F31" s="74" t="inlineStr">
        <is>
          <t>Faiz Payı (%)</t>
        </is>
      </c>
      <c r="G31" s="74" t="inlineStr">
        <is>
          <t>Faiz/Anapara Oranı</t>
        </is>
      </c>
      <c r="H31" s="74" t="inlineStr">
        <is>
          <t>Faiz Artışı YoY (%)</t>
        </is>
      </c>
      <c r="I31" s="74" t="inlineStr"/>
      <c r="J31" s="74" t="inlineStr"/>
    </row>
    <row r="32">
      <c r="A32" s="75" t="n">
        <v>2020</v>
      </c>
      <c r="B32" s="76" t="n">
        <v>218.16</v>
      </c>
      <c r="C32" s="76" t="n">
        <v>95.75</v>
      </c>
      <c r="D32" s="77" t="n">
        <v>313.91</v>
      </c>
      <c r="E32" s="78" t="n">
        <v>69.5</v>
      </c>
      <c r="F32" s="78" t="n">
        <v>30.5</v>
      </c>
      <c r="G32" s="99" t="n">
        <v>0.44</v>
      </c>
      <c r="H32" s="100" t="inlineStr">
        <is>
          <t>-</t>
        </is>
      </c>
    </row>
    <row r="33">
      <c r="A33" s="82" t="n">
        <v>2021</v>
      </c>
      <c r="B33" s="83" t="n">
        <v>315.12</v>
      </c>
      <c r="C33" s="83" t="n">
        <v>125.88</v>
      </c>
      <c r="D33" s="84" t="n">
        <v>441</v>
      </c>
      <c r="E33" s="85" t="n">
        <v>71.5</v>
      </c>
      <c r="F33" s="85" t="n">
        <v>28.5</v>
      </c>
      <c r="G33" s="101" t="n">
        <v>0.4</v>
      </c>
      <c r="H33" s="87" t="n">
        <v>31.5</v>
      </c>
    </row>
    <row r="34">
      <c r="A34" s="75" t="n">
        <v>2022</v>
      </c>
      <c r="B34" s="76" t="n">
        <v>276.86</v>
      </c>
      <c r="C34" s="76" t="n">
        <v>205.89</v>
      </c>
      <c r="D34" s="77" t="n">
        <v>482.76</v>
      </c>
      <c r="E34" s="78" t="n">
        <v>57.4</v>
      </c>
      <c r="F34" s="78" t="n">
        <v>42.6</v>
      </c>
      <c r="G34" s="99" t="n">
        <v>0.74</v>
      </c>
      <c r="H34" s="89" t="n">
        <v>63.6</v>
      </c>
    </row>
    <row r="35">
      <c r="A35" s="82" t="n">
        <v>2023</v>
      </c>
      <c r="B35" s="83" t="n">
        <v>452.87</v>
      </c>
      <c r="C35" s="83" t="n">
        <v>423.15</v>
      </c>
      <c r="D35" s="84" t="n">
        <v>876.02</v>
      </c>
      <c r="E35" s="85" t="n">
        <v>51.7</v>
      </c>
      <c r="F35" s="85" t="n">
        <v>48.3</v>
      </c>
      <c r="G35" s="101" t="n">
        <v>0.93</v>
      </c>
      <c r="H35" s="87" t="n">
        <v>105.5</v>
      </c>
    </row>
    <row r="36">
      <c r="A36" s="75" t="n">
        <v>2024</v>
      </c>
      <c r="B36" s="76" t="n">
        <v>715.13</v>
      </c>
      <c r="C36" s="76" t="n">
        <v>960.6</v>
      </c>
      <c r="D36" s="77" t="n">
        <v>1675.73</v>
      </c>
      <c r="E36" s="78" t="n">
        <v>42.7</v>
      </c>
      <c r="F36" s="78" t="n">
        <v>57.3</v>
      </c>
      <c r="G36" s="99" t="n">
        <v>1.34</v>
      </c>
      <c r="H36" s="89" t="n">
        <v>127</v>
      </c>
    </row>
    <row r="37">
      <c r="A37" s="82" t="n">
        <v>2025</v>
      </c>
      <c r="B37" s="83" t="n">
        <v>886.89</v>
      </c>
      <c r="C37" s="83" t="n">
        <v>1680.99</v>
      </c>
      <c r="D37" s="84" t="n">
        <v>2567.87</v>
      </c>
      <c r="E37" s="85" t="n">
        <v>34.5</v>
      </c>
      <c r="F37" s="85" t="n">
        <v>65.5</v>
      </c>
      <c r="G37" s="101" t="n">
        <v>1.9</v>
      </c>
      <c r="H37" s="87" t="n">
        <v>75</v>
      </c>
    </row>
    <row r="38">
      <c r="A38" s="75" t="n">
        <v>2026</v>
      </c>
      <c r="B38" s="76" t="n">
        <v>2899.8</v>
      </c>
      <c r="C38" s="76" t="n">
        <v>2367.52</v>
      </c>
      <c r="D38" s="77" t="n">
        <v>5267.32</v>
      </c>
      <c r="E38" s="78" t="n">
        <v>55.1</v>
      </c>
      <c r="F38" s="78" t="n">
        <v>44.9</v>
      </c>
      <c r="G38" s="99" t="n">
        <v>0.82</v>
      </c>
      <c r="H38" s="89" t="n">
        <v>40.8</v>
      </c>
    </row>
    <row r="40" ht="28" customHeight="1">
      <c r="A40" s="73" t="inlineStr">
        <is>
          <t>4. BORÇLANMA vs ÖDEME KARŞILAŞTIRMASI (Yıllık)</t>
        </is>
      </c>
      <c r="B40" s="60" t="n"/>
      <c r="C40" s="60" t="n"/>
      <c r="D40" s="60" t="n"/>
      <c r="E40" s="60" t="n"/>
      <c r="F40" s="60" t="n"/>
      <c r="G40" s="60" t="n"/>
      <c r="H40" s="60" t="n"/>
      <c r="I40" s="60" t="n"/>
      <c r="J40" s="61" t="n"/>
    </row>
    <row r="41" ht="32" customHeight="1">
      <c r="A41" s="74" t="inlineStr">
        <is>
          <t>Yıl</t>
        </is>
      </c>
      <c r="B41" s="74" t="inlineStr">
        <is>
          <t>Toplam Borçlanma (Milyar TL)</t>
        </is>
      </c>
      <c r="C41" s="74" t="inlineStr">
        <is>
          <t>Toplam Ödeme (Milyar TL)</t>
        </is>
      </c>
      <c r="D41" s="74" t="inlineStr">
        <is>
          <t>Net Borçlanma</t>
        </is>
      </c>
      <c r="E41" s="74" t="inlineStr">
        <is>
          <t>Borçlanma/Ödeme</t>
        </is>
      </c>
      <c r="F41" s="74" t="inlineStr">
        <is>
          <t>Çevrim Oranı (%)</t>
        </is>
      </c>
      <c r="G41" s="74" t="inlineStr">
        <is>
          <t>Anapara Öd.</t>
        </is>
      </c>
      <c r="H41" s="74" t="inlineStr">
        <is>
          <t>Faiz Öd.</t>
        </is>
      </c>
      <c r="I41" s="74" t="inlineStr"/>
      <c r="J41" s="74" t="inlineStr"/>
    </row>
    <row r="42">
      <c r="A42" s="75" t="n">
        <v>2020</v>
      </c>
      <c r="B42" s="76" t="n">
        <v>234.11</v>
      </c>
      <c r="C42" s="76" t="n">
        <v>313.91</v>
      </c>
      <c r="D42" s="102" t="n">
        <v>-79.8</v>
      </c>
      <c r="E42" s="99" t="n">
        <v>0.75</v>
      </c>
      <c r="F42" s="78" t="n">
        <v>134.1</v>
      </c>
      <c r="G42" s="76" t="n">
        <v>218.16</v>
      </c>
      <c r="H42" s="76" t="n">
        <v>95.75</v>
      </c>
    </row>
    <row r="43">
      <c r="A43" s="82" t="n">
        <v>2021</v>
      </c>
      <c r="B43" s="83" t="n">
        <v>271.87</v>
      </c>
      <c r="C43" s="83" t="n">
        <v>441</v>
      </c>
      <c r="D43" s="103" t="n">
        <v>-169.13</v>
      </c>
      <c r="E43" s="101" t="n">
        <v>0.62</v>
      </c>
      <c r="F43" s="85" t="n">
        <v>162.2</v>
      </c>
      <c r="G43" s="83" t="n">
        <v>315.12</v>
      </c>
      <c r="H43" s="83" t="n">
        <v>125.88</v>
      </c>
    </row>
    <row r="44">
      <c r="A44" s="75" t="n">
        <v>2022</v>
      </c>
      <c r="B44" s="76" t="n">
        <v>528.71</v>
      </c>
      <c r="C44" s="76" t="n">
        <v>482.76</v>
      </c>
      <c r="D44" s="104" t="n">
        <v>45.95</v>
      </c>
      <c r="E44" s="99" t="n">
        <v>1.1</v>
      </c>
      <c r="F44" s="78" t="n">
        <v>91.3</v>
      </c>
      <c r="G44" s="76" t="n">
        <v>276.86</v>
      </c>
      <c r="H44" s="76" t="n">
        <v>205.89</v>
      </c>
    </row>
    <row r="45">
      <c r="A45" s="82" t="n">
        <v>2023</v>
      </c>
      <c r="B45" s="83" t="n">
        <v>980.36</v>
      </c>
      <c r="C45" s="83" t="n">
        <v>876.02</v>
      </c>
      <c r="D45" s="105" t="n">
        <v>104.34</v>
      </c>
      <c r="E45" s="101" t="n">
        <v>1.12</v>
      </c>
      <c r="F45" s="85" t="n">
        <v>89.40000000000001</v>
      </c>
      <c r="G45" s="83" t="n">
        <v>452.87</v>
      </c>
      <c r="H45" s="83" t="n">
        <v>423.15</v>
      </c>
    </row>
    <row r="46">
      <c r="A46" s="75" t="n">
        <v>2024</v>
      </c>
      <c r="B46" s="76" t="n">
        <v>1725.05</v>
      </c>
      <c r="C46" s="76" t="n">
        <v>1675.73</v>
      </c>
      <c r="D46" s="104" t="n">
        <v>49.32</v>
      </c>
      <c r="E46" s="99" t="n">
        <v>1.03</v>
      </c>
      <c r="F46" s="78" t="n">
        <v>97.09999999999999</v>
      </c>
      <c r="G46" s="76" t="n">
        <v>715.13</v>
      </c>
      <c r="H46" s="76" t="n">
        <v>960.6</v>
      </c>
    </row>
    <row r="47">
      <c r="A47" s="82" t="n">
        <v>2025</v>
      </c>
      <c r="B47" s="83" t="n">
        <v>2503.71</v>
      </c>
      <c r="C47" s="83" t="n">
        <v>2567.87</v>
      </c>
      <c r="D47" s="103" t="n">
        <v>-64.17</v>
      </c>
      <c r="E47" s="101" t="n">
        <v>0.98</v>
      </c>
      <c r="F47" s="85" t="n">
        <v>102.6</v>
      </c>
      <c r="G47" s="83" t="n">
        <v>886.89</v>
      </c>
      <c r="H47" s="83" t="n">
        <v>1680.99</v>
      </c>
    </row>
    <row r="48">
      <c r="A48" s="75" t="n">
        <v>2026</v>
      </c>
      <c r="B48" s="76" t="n">
        <v>2646.53</v>
      </c>
      <c r="C48" s="76" t="n">
        <v>5267.32</v>
      </c>
      <c r="D48" s="102" t="n">
        <v>-2620.79</v>
      </c>
      <c r="E48" s="99" t="n">
        <v>0.5</v>
      </c>
      <c r="F48" s="78" t="n">
        <v>199</v>
      </c>
      <c r="G48" s="76" t="n">
        <v>2899.8</v>
      </c>
      <c r="H48" s="76" t="n">
        <v>2367.52</v>
      </c>
    </row>
    <row r="50" ht="28" customHeight="1">
      <c r="A50" s="73" t="inlineStr">
        <is>
          <t>5. 2026 KALAN ÖDEME PROJEKSİYONU &amp; YOĞUNLUK</t>
        </is>
      </c>
      <c r="B50" s="60" t="n"/>
      <c r="C50" s="60" t="n"/>
      <c r="D50" s="60" t="n"/>
      <c r="E50" s="60" t="n"/>
      <c r="F50" s="60" t="n"/>
      <c r="G50" s="60" t="n"/>
      <c r="H50" s="60" t="n"/>
      <c r="I50" s="60" t="n"/>
      <c r="J50" s="61" t="n"/>
    </row>
    <row r="51" ht="28" customHeight="1">
      <c r="A51" s="74" t="inlineStr">
        <is>
          <t>Ay</t>
        </is>
      </c>
      <c r="B51" s="74" t="inlineStr">
        <is>
          <t>Proj. Anapara</t>
        </is>
      </c>
      <c r="C51" s="74" t="inlineStr">
        <is>
          <t>Proj. Faiz</t>
        </is>
      </c>
      <c r="D51" s="74" t="inlineStr">
        <is>
          <t>Proj. Toplam</t>
        </is>
      </c>
      <c r="E51" s="74" t="inlineStr">
        <is>
          <t>Kalan Toplam (%)</t>
        </is>
      </c>
      <c r="F51" s="74" t="inlineStr">
        <is>
          <t>Yoğunluk</t>
        </is>
      </c>
      <c r="G51" s="74" t="inlineStr"/>
      <c r="H51" s="74" t="inlineStr"/>
      <c r="I51" s="74" t="inlineStr"/>
      <c r="J51" s="74" t="inlineStr"/>
    </row>
    <row r="52">
      <c r="A52" s="69" t="inlineStr">
        <is>
          <t>Ekim</t>
        </is>
      </c>
      <c r="B52" s="71" t="n">
        <v>175.55</v>
      </c>
      <c r="C52" s="71" t="n">
        <v>247.61</v>
      </c>
      <c r="D52" s="93" t="n">
        <v>423.16</v>
      </c>
      <c r="E52" s="106" t="n">
        <v>63.8</v>
      </c>
      <c r="F52" s="107" t="inlineStr">
        <is>
          <t>███████████████████████████████</t>
        </is>
      </c>
      <c r="G52" s="95" t="inlineStr"/>
      <c r="H52" s="108" t="n"/>
      <c r="I52" s="108" t="n"/>
      <c r="J52" s="108" t="n"/>
    </row>
    <row r="53">
      <c r="A53" s="69" t="inlineStr">
        <is>
          <t>Kasım</t>
        </is>
      </c>
      <c r="B53" s="71" t="n">
        <v>29.58</v>
      </c>
      <c r="C53" s="71" t="n">
        <v>93.06</v>
      </c>
      <c r="D53" s="93" t="n">
        <v>122.64</v>
      </c>
      <c r="E53" s="106" t="n">
        <v>18.5</v>
      </c>
      <c r="F53" s="107" t="inlineStr">
        <is>
          <t>█████████</t>
        </is>
      </c>
      <c r="G53" s="95" t="inlineStr"/>
      <c r="H53" s="108" t="n"/>
      <c r="I53" s="108" t="n"/>
      <c r="J53" s="108" t="n"/>
    </row>
    <row r="54">
      <c r="A54" s="69" t="inlineStr">
        <is>
          <t>Aralık</t>
        </is>
      </c>
      <c r="B54" s="71" t="n">
        <v>1.47</v>
      </c>
      <c r="C54" s="71" t="n">
        <v>116.21</v>
      </c>
      <c r="D54" s="93" t="n">
        <v>117.68</v>
      </c>
      <c r="E54" s="106" t="n">
        <v>17.7</v>
      </c>
      <c r="F54" s="107" t="inlineStr">
        <is>
          <t>████████</t>
        </is>
      </c>
      <c r="G54" s="95" t="inlineStr"/>
      <c r="H54" s="108" t="n"/>
      <c r="I54" s="108" t="n"/>
      <c r="J54" s="108" t="n"/>
    </row>
    <row r="55">
      <c r="A55" s="109" t="inlineStr">
        <is>
          <t>KALAN</t>
        </is>
      </c>
      <c r="B55" s="110" t="n"/>
      <c r="C55" s="110" t="n"/>
      <c r="D55" s="111" t="n">
        <v>663.48</v>
      </c>
      <c r="E55" s="112" t="inlineStr">
        <is>
          <t>Yıl sonuna kadar ödenecek tutar</t>
        </is>
      </c>
      <c r="F55" s="60" t="n"/>
      <c r="G55" s="60" t="n"/>
      <c r="H55" s="60" t="n"/>
      <c r="I55" s="60" t="n"/>
      <c r="J55" s="61" t="n"/>
    </row>
    <row r="57" ht="28" customHeight="1">
      <c r="A57" s="73" t="inlineStr">
        <is>
          <t>6. DİKKAT ÇEKEN NOKTALAR</t>
        </is>
      </c>
      <c r="B57" s="60" t="n"/>
      <c r="C57" s="60" t="n"/>
      <c r="D57" s="60" t="n"/>
      <c r="E57" s="60" t="n"/>
      <c r="F57" s="60" t="n"/>
      <c r="G57" s="60" t="n"/>
      <c r="H57" s="60" t="n"/>
      <c r="I57" s="60" t="n"/>
      <c r="J57" s="61" t="n"/>
    </row>
    <row r="58" ht="32" customHeight="1">
      <c r="A58" s="113" t="inlineStr">
        <is>
          <t>📈 Faiz Yükü Trendi</t>
        </is>
      </c>
      <c r="B58" s="114" t="n"/>
      <c r="C58" s="115" t="inlineStr">
        <is>
          <t>2023: 423.2 → 2024: 960.6 → 2025: 1,681.0 → 2026: 2,367.5 Milyar TL</t>
        </is>
      </c>
      <c r="D58" s="114" t="n"/>
      <c r="E58" s="114" t="n"/>
      <c r="F58" s="114" t="n"/>
      <c r="G58" s="114" t="n"/>
      <c r="H58" s="114" t="n"/>
      <c r="I58" s="114" t="n"/>
      <c r="J58" s="114" t="n"/>
    </row>
    <row r="59" ht="32" customHeight="1">
      <c r="A59" s="116" t="inlineStr">
        <is>
          <t>⚠️ 2026 En Yoğun Ödeme Ayı</t>
        </is>
      </c>
      <c r="B59" s="117" t="n"/>
      <c r="C59" s="118" t="inlineStr">
        <is>
          <t>Ekim: 423.16 Milyar TL (Anapara: 175.55 + Faiz: 247.61)</t>
        </is>
      </c>
      <c r="D59" s="117" t="n"/>
      <c r="E59" s="117" t="n"/>
      <c r="F59" s="117" t="n"/>
      <c r="G59" s="117" t="n"/>
      <c r="H59" s="117" t="n"/>
      <c r="I59" s="117" t="n"/>
      <c r="J59" s="117" t="n"/>
    </row>
    <row r="60" ht="32" customHeight="1">
      <c r="A60" s="113" t="inlineStr">
        <is>
          <t>💰 2025 Net Borçlanma</t>
        </is>
      </c>
      <c r="B60" s="114" t="n"/>
      <c r="C60" s="115" t="inlineStr">
        <is>
          <t>Borçlanma: 2,503.71 - Ödeme: 2,567.87 = Net: -64.17 Milyar TL</t>
        </is>
      </c>
      <c r="D60" s="114" t="n"/>
      <c r="E60" s="114" t="n"/>
      <c r="F60" s="114" t="n"/>
      <c r="G60" s="114" t="n"/>
      <c r="H60" s="114" t="n"/>
      <c r="I60" s="114" t="n"/>
      <c r="J60" s="114" t="n"/>
    </row>
    <row r="61" ht="32" customHeight="1">
      <c r="A61" s="116" t="inlineStr">
        <is>
          <t>📊 Faiz/Anapara Yapısı</t>
        </is>
      </c>
      <c r="B61" s="117" t="n"/>
      <c r="C61" s="118" t="inlineStr">
        <is>
          <t>2024: 1.34x → 2026: 0.82x (Faiz yükü azalıyor)</t>
        </is>
      </c>
      <c r="D61" s="117" t="n"/>
      <c r="E61" s="117" t="n"/>
      <c r="F61" s="117" t="n"/>
      <c r="G61" s="117" t="n"/>
      <c r="H61" s="117" t="n"/>
      <c r="I61" s="117" t="n"/>
      <c r="J61" s="117" t="n"/>
    </row>
  </sheetData>
  <mergeCells count="17">
    <mergeCell ref="A1:J1"/>
    <mergeCell ref="E55:J55"/>
    <mergeCell ref="A14:J14"/>
    <mergeCell ref="A59:B59"/>
    <mergeCell ref="C59:J59"/>
    <mergeCell ref="A60:B60"/>
    <mergeCell ref="A40:J40"/>
    <mergeCell ref="A30:J30"/>
    <mergeCell ref="C58:J58"/>
    <mergeCell ref="C60:J60"/>
    <mergeCell ref="A50:J50"/>
    <mergeCell ref="A4:J4"/>
    <mergeCell ref="A57:J57"/>
    <mergeCell ref="A2:J2"/>
    <mergeCell ref="C61:J61"/>
    <mergeCell ref="A61:B61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2026-10-29T17:33:48Z</dcterms:created>
  <dcterms:modified xsi:type="dcterms:W3CDTF">2026-10-29T17:34:21Z</dcterms:modified>
</cp:coreProperties>
</file>