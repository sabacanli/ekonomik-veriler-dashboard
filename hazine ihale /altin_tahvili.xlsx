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mbds01\BGM\TL Bono ve Tahvil\Temel Faaliyetler\Istatistikler\İç ve Dış Borç Borçlanma Verileri\türkce\"/>
    </mc:Choice>
  </mc:AlternateContent>
  <bookViews>
    <workbookView xWindow="3165" yWindow="495" windowWidth="23250" windowHeight="12570"/>
  </bookViews>
  <sheets>
    <sheet name="2026" sheetId="20" r:id="rId1"/>
    <sheet name="2025" sheetId="19" r:id="rId2"/>
    <sheet name="2024" sheetId="18" r:id="rId3"/>
    <sheet name="2022" sheetId="17" r:id="rId4"/>
    <sheet name="2021" sheetId="15" r:id="rId5"/>
    <sheet name="2020" sheetId="14" r:id="rId6"/>
    <sheet name="2019" sheetId="13" r:id="rId7"/>
    <sheet name="2018" sheetId="12" r:id="rId8"/>
    <sheet name="2017" sheetId="11" r:id="rId9"/>
  </sheets>
  <definedNames>
    <definedName name="_xlnm._FilterDatabase" localSheetId="8" hidden="1">'2017'!$A$2:$N$10</definedName>
    <definedName name="_xlnm._FilterDatabase" localSheetId="7" hidden="1">'2018'!$A$2:$N$24</definedName>
    <definedName name="_xlnm._FilterDatabase" localSheetId="6" hidden="1">'2019'!$A$2:$N$26</definedName>
    <definedName name="_xlnm._FilterDatabase" localSheetId="5" hidden="1">'2020'!$A$1:$J$11</definedName>
    <definedName name="_xlnm._FilterDatabase" localSheetId="4" hidden="1">'2021'!$A$4:$J$11</definedName>
    <definedName name="_xlnm._FilterDatabase" localSheetId="3" hidden="1">'2022'!$A$2:$J$5</definedName>
    <definedName name="_xlnm._FilterDatabase" localSheetId="2" hidden="1">'2024'!$A$2:$J$9</definedName>
    <definedName name="_xlnm._FilterDatabase" localSheetId="1" hidden="1">'2025'!$A$2:$J$5</definedName>
    <definedName name="_xlnm._FilterDatabase" localSheetId="0" hidden="1">'2026'!$A$2:$J$5</definedName>
    <definedName name="_xlnm.Print_Area" localSheetId="8">'2017'!$A$1:$N$10</definedName>
    <definedName name="_xlnm.Print_Area" localSheetId="7">'2018'!$A$1:$N$24</definedName>
    <definedName name="_xlnm.Print_Area" localSheetId="6">'2019'!$A$1:$N$27</definedName>
    <definedName name="_xlnm.Print_Area" localSheetId="5">'2020'!$A$1:$J$11</definedName>
    <definedName name="_xlnm.Print_Area" localSheetId="4">'2021'!$A$1:$J$12</definedName>
    <definedName name="_xlnm.Print_Area" localSheetId="3">'2022'!$A$1:$J$7</definedName>
    <definedName name="_xlnm.Print_Area" localSheetId="2">'2024'!$A$1:$J$11</definedName>
    <definedName name="_xlnm.Print_Area" localSheetId="1">'2025'!$A$1:$J$7</definedName>
    <definedName name="_xlnm.Print_Area" localSheetId="0">'2026'!$A$1:$J$8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20" l="1"/>
  <c r="J4" i="20" l="1"/>
  <c r="J3" i="20" l="1"/>
  <c r="J4" i="19" l="1"/>
  <c r="J3" i="19" l="1"/>
  <c r="J8" i="18" l="1"/>
  <c r="J6" i="18" l="1"/>
  <c r="J3" i="18" l="1"/>
  <c r="J4" i="18" l="1"/>
  <c r="N23" i="13" l="1"/>
  <c r="N22" i="13"/>
  <c r="N21" i="13"/>
  <c r="N20" i="13"/>
  <c r="N19" i="13"/>
  <c r="M25" i="13" l="1"/>
  <c r="I9" i="14"/>
  <c r="J3" i="17" l="1"/>
  <c r="J3" i="15" l="1"/>
  <c r="J8" i="14" l="1"/>
  <c r="J6" i="14" l="1"/>
  <c r="J7" i="14"/>
  <c r="J4" i="14" l="1"/>
  <c r="J5" i="14"/>
  <c r="J3" i="14" l="1"/>
  <c r="J9" i="14" s="1"/>
  <c r="M23" i="13" l="1"/>
  <c r="M16" i="13"/>
  <c r="N16" i="13" s="1"/>
  <c r="N15" i="13"/>
  <c r="N14" i="13"/>
  <c r="N13" i="13"/>
  <c r="N12" i="13"/>
  <c r="M9" i="13" l="1"/>
  <c r="N8" i="13"/>
  <c r="N7" i="13"/>
  <c r="N6" i="13"/>
  <c r="N5" i="13"/>
  <c r="N4" i="13"/>
  <c r="N3" i="13"/>
  <c r="N20" i="12"/>
  <c r="M21" i="12"/>
  <c r="N21" i="12" s="1"/>
  <c r="M17" i="12"/>
  <c r="N9" i="13" l="1"/>
  <c r="N25" i="13" s="1"/>
  <c r="N17" i="12" l="1"/>
  <c r="N16" i="12"/>
  <c r="N15" i="12"/>
  <c r="N14" i="12"/>
  <c r="N13" i="12"/>
  <c r="N12" i="12"/>
  <c r="N11" i="12"/>
  <c r="N10" i="12"/>
  <c r="M7" i="12"/>
  <c r="N6" i="12"/>
  <c r="N5" i="12"/>
  <c r="N4" i="12"/>
  <c r="N3" i="12"/>
  <c r="N7" i="12" l="1"/>
  <c r="M23" i="12"/>
  <c r="N23" i="12" s="1"/>
  <c r="M7" i="11" l="1"/>
  <c r="M9" i="11" s="1"/>
  <c r="N9" i="11" l="1"/>
  <c r="N7" i="11"/>
  <c r="N6" i="11"/>
  <c r="N5" i="11"/>
  <c r="N4" i="11"/>
  <c r="N3" i="11"/>
</calcChain>
</file>

<file path=xl/sharedStrings.xml><?xml version="1.0" encoding="utf-8"?>
<sst xmlns="http://schemas.openxmlformats.org/spreadsheetml/2006/main" count="395" uniqueCount="114">
  <si>
    <t>Valör Tarihi</t>
  </si>
  <si>
    <t>İtfa Tarihi</t>
  </si>
  <si>
    <t>Vadesi</t>
  </si>
  <si>
    <t>Senet Türü</t>
  </si>
  <si>
    <t>Talep Toplama Başlangıç Tarihi</t>
  </si>
  <si>
    <t>Talep Toplama Bitiş Tarihi</t>
  </si>
  <si>
    <t>Altın Tahvili</t>
  </si>
  <si>
    <t>TRT091019T16</t>
  </si>
  <si>
    <t>6 ay</t>
  </si>
  <si>
    <t>TRT161019T17</t>
  </si>
  <si>
    <t>TRT231019T18</t>
  </si>
  <si>
    <t>TRT301019T19</t>
  </si>
  <si>
    <t>İhraçta Kabul Edilen Altın Miktarı (1000/1000 saflık) (Gram)</t>
  </si>
  <si>
    <t>30.09.2019 - 04.10.2019</t>
  </si>
  <si>
    <t>07.10.2019 - 11.10.2019</t>
  </si>
  <si>
    <t>14.10.2019 - 18.10.2019</t>
  </si>
  <si>
    <t>21.10.2019 - 25.10.2019</t>
  </si>
  <si>
    <t>Etap</t>
  </si>
  <si>
    <t>2017 Yılı 1. İhraç Dönemi</t>
  </si>
  <si>
    <t>Kupon Dönemi</t>
  </si>
  <si>
    <t>Kupon Oranı (Dönem)(%)</t>
  </si>
  <si>
    <t>Toplam İhraç Edilen Altın Tahvili Adedi</t>
  </si>
  <si>
    <t>Fiziki Altın Talep Etme Dönemi*</t>
  </si>
  <si>
    <t>Altın Tahvilleri</t>
  </si>
  <si>
    <t>* Bilgi amaçlıdır. Değişiklik olması durumunda ayrıca bilgilendirme yapılacaktır.</t>
  </si>
  <si>
    <t>TOPLAM</t>
  </si>
  <si>
    <t>2018 Yılı 1. İhraç Dönemi</t>
  </si>
  <si>
    <t>TRT010420T35</t>
  </si>
  <si>
    <t>TRT080420T12</t>
  </si>
  <si>
    <t>TRT150420T13</t>
  </si>
  <si>
    <t>TRT220420T14</t>
  </si>
  <si>
    <t>23.03.2020 - 27.03.2020</t>
  </si>
  <si>
    <t>30.03.2020 - 03.04.2020</t>
  </si>
  <si>
    <t>06.04.2020 - 10.04.2020</t>
  </si>
  <si>
    <t>13.04.2020 - 17.04.2020</t>
  </si>
  <si>
    <t>GENEL TOPLAM</t>
  </si>
  <si>
    <t>2018 Yılı 2. İhraç Dönemi</t>
  </si>
  <si>
    <t>TRT160920T17</t>
  </si>
  <si>
    <t>TRT230920T18</t>
  </si>
  <si>
    <t>TRT300920T19</t>
  </si>
  <si>
    <t>TRT071020T15</t>
  </si>
  <si>
    <t>TRT141020T16</t>
  </si>
  <si>
    <t xml:space="preserve">TRT211020T17 </t>
  </si>
  <si>
    <t>TRT281020T10</t>
  </si>
  <si>
    <t>07.09.2020-11.09.2020</t>
  </si>
  <si>
    <t>14.09.2020-18.09.2020</t>
  </si>
  <si>
    <t>21.09.2020-25.09.2020</t>
  </si>
  <si>
    <t>28.09.2020-02.10.2020</t>
  </si>
  <si>
    <t>05.10.2020-09.10.2020</t>
  </si>
  <si>
    <t>12.10.2020-16.10.2020</t>
  </si>
  <si>
    <t>19.10.2020-23.10.2020</t>
  </si>
  <si>
    <t>TRT231220T13</t>
  </si>
  <si>
    <t>14.12.2020-18.12.2020</t>
  </si>
  <si>
    <t>2018 Yılı 3. İhraç Dönemi</t>
  </si>
  <si>
    <t>2019 Yılı 1. İhraç Dönemi</t>
  </si>
  <si>
    <t>TRT301220T14</t>
  </si>
  <si>
    <t>TRT060121T32</t>
  </si>
  <si>
    <t>TRT130121T17</t>
  </si>
  <si>
    <t>TRT200121T18</t>
  </si>
  <si>
    <t>TRT270121T11</t>
  </si>
  <si>
    <t>TRT030221T18</t>
  </si>
  <si>
    <t>21.12.2020-25.12.2020</t>
  </si>
  <si>
    <t>28.12.2020-01.01.2021</t>
  </si>
  <si>
    <t>04.01.2021-08.01.2021</t>
  </si>
  <si>
    <t>11.01.2021-15.01.2021</t>
  </si>
  <si>
    <t>18.01.2021-22.01.2021</t>
  </si>
  <si>
    <t>25.01.2021-29.01.2021</t>
  </si>
  <si>
    <t>-</t>
  </si>
  <si>
    <t>TRT240221T13</t>
  </si>
  <si>
    <t>NOT: Bireysel yatırımcılara gerçekleştirilen ihraçlarda 1 gram = 1000 DİBS kurumsal yatırımcılara gerçekleştirilen ihraçlarda 1 gram = 1 DİBS olarak yer almaktadır.</t>
  </si>
  <si>
    <t>TRT170921T15</t>
  </si>
  <si>
    <t>TRT091020T13</t>
  </si>
  <si>
    <t>Kira Dönemi</t>
  </si>
  <si>
    <t>Kira Oranı (Dönem)(%)</t>
  </si>
  <si>
    <t>Toplam İhraç Edilen Altına Dayalı Kira Sertifikası Adedi</t>
  </si>
  <si>
    <t>2019 Yılı 2. İhraç Dönemi</t>
  </si>
  <si>
    <t>27.09.2021-01.10.2021</t>
  </si>
  <si>
    <t>04.10.2021-08.10.2021</t>
  </si>
  <si>
    <t>11.10.2021-15.10.2021</t>
  </si>
  <si>
    <t>18.10.2021-22.10.2021</t>
  </si>
  <si>
    <t>TRT061021T15</t>
  </si>
  <si>
    <t>TRT131021T16</t>
  </si>
  <si>
    <t>TRT201021T17</t>
  </si>
  <si>
    <t>TRT271021T10</t>
  </si>
  <si>
    <t>TRT301020T16</t>
  </si>
  <si>
    <t>TRT310122T14</t>
  </si>
  <si>
    <t>TRT050321T15</t>
  </si>
  <si>
    <t>TRT160421T11</t>
  </si>
  <si>
    <t>TRT140521T12</t>
  </si>
  <si>
    <t>TRT090721T17</t>
  </si>
  <si>
    <t>TRT081021T13</t>
  </si>
  <si>
    <t>TRT210224T13</t>
  </si>
  <si>
    <t>TRT200324T39</t>
  </si>
  <si>
    <t>TRT120424T12</t>
  </si>
  <si>
    <t>TRT200522T13</t>
  </si>
  <si>
    <t>TRT140624T18</t>
  </si>
  <si>
    <t>TRT050724T18</t>
  </si>
  <si>
    <t>TRT091024T19</t>
  </si>
  <si>
    <t>TRT270125T17</t>
  </si>
  <si>
    <t>Talep Toplama Tarihi</t>
  </si>
  <si>
    <t>Vadesi (gün)</t>
  </si>
  <si>
    <t>TRT210525T19</t>
  </si>
  <si>
    <t>ISIN Kodu</t>
  </si>
  <si>
    <t>TRT180226T32</t>
  </si>
  <si>
    <t>TRT180326T15</t>
  </si>
  <si>
    <t xml:space="preserve">TRT150426T17 </t>
  </si>
  <si>
    <t>TRT120626T18</t>
  </si>
  <si>
    <t>TRT030726T18</t>
  </si>
  <si>
    <t>TRT071026T19</t>
  </si>
  <si>
    <t>TRT260126T17</t>
  </si>
  <si>
    <t>TRT200526T35</t>
  </si>
  <si>
    <t xml:space="preserve">TRT270127T15 </t>
  </si>
  <si>
    <t>TRT180827T35</t>
  </si>
  <si>
    <t xml:space="preserve">TRT150328T16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</si>
</sst>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,##0.00\ _₺_-;\-* #,##0.00\ _₺_-;_-* &quot;-&quot;??\ _₺_-;_-@_-"/>
    <numFmt numFmtId="165" formatCode="_-* #,##0.00\ _T_L_-;\-* #,##0.00\ _T_L_-;_-* &quot;-&quot;??\ _T_L_-;_-@_-"/>
    <numFmt numFmtId="166" formatCode="dd\.mm\.yyyy"/>
    <numFmt numFmtId="167" formatCode="#,##0.000;[Red]\-#,##0.000"/>
    <numFmt numFmtId="168" formatCode="_-* #,##0\ _T_L_-;\-* #,##0\ _T_L_-;_-* &quot;-&quot;??\ _T_L_-;_-@_-"/>
    <numFmt numFmtId="169" formatCode="_-* #,##0.00\ [$€-1]_-;\-* #,##0.00\ [$€-1]_-;_-* &quot;-&quot;??\ [$€-1]_-"/>
    <numFmt numFmtId="170" formatCode="#,##0\ _₺"/>
    <numFmt numFmtId="171" formatCode="#,##0.00\ _₺"/>
    <numFmt numFmtId="172" formatCode="#,##0.000"/>
    <numFmt numFmtId="173" formatCode="dd/mm/yyyy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b/>
      <sz val="16"/>
      <name val="Trebuchet MS"/>
      <family val="2"/>
    </font>
    <font>
      <b/>
      <sz val="14"/>
      <name val="Trebuchet MS"/>
      <family val="2"/>
    </font>
    <font>
      <b/>
      <sz val="12"/>
      <color theme="0"/>
      <name val="Trebuchet MS"/>
      <family val="2"/>
    </font>
    <font>
      <sz val="9"/>
      <name val="Trebuchet MS"/>
      <family val="2"/>
    </font>
    <font>
      <sz val="11"/>
      <name val="Trebuchet MS"/>
      <family val="2"/>
    </font>
    <font>
      <sz val="11"/>
      <color theme="1"/>
      <name val="Trebuchet MS"/>
      <family val="2"/>
    </font>
    <font>
      <b/>
      <sz val="9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1"/>
      <name val="Trebuchet MS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1DEB8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 style="hair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7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>
      <alignment vertical="center"/>
    </xf>
    <xf numFmtId="0" fontId="2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47">
    <xf numFmtId="0" fontId="0" fillId="0" borderId="0" xfId="0"/>
    <xf numFmtId="166" fontId="6" fillId="0" borderId="0" xfId="4" applyNumberFormat="1" applyFont="1" applyBorder="1" applyAlignment="1">
      <alignment vertical="center"/>
    </xf>
    <xf numFmtId="2" fontId="7" fillId="3" borderId="10" xfId="2" applyNumberFormat="1" applyFont="1" applyFill="1" applyBorder="1" applyAlignment="1" applyProtection="1">
      <alignment horizontal="center" vertical="center" wrapText="1"/>
    </xf>
    <xf numFmtId="166" fontId="8" fillId="0" borderId="0" xfId="4" applyNumberFormat="1" applyFont="1" applyBorder="1" applyAlignment="1">
      <alignment vertical="center" wrapText="1"/>
    </xf>
    <xf numFmtId="0" fontId="9" fillId="4" borderId="10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left" vertical="center"/>
    </xf>
    <xf numFmtId="166" fontId="9" fillId="4" borderId="10" xfId="1" applyNumberFormat="1" applyFont="1" applyFill="1" applyBorder="1" applyAlignment="1">
      <alignment horizontal="center" vertical="center"/>
    </xf>
    <xf numFmtId="166" fontId="9" fillId="4" borderId="10" xfId="1" applyNumberFormat="1" applyFont="1" applyFill="1" applyBorder="1" applyAlignment="1" applyProtection="1">
      <alignment horizontal="center" vertical="center"/>
    </xf>
    <xf numFmtId="1" fontId="9" fillId="4" borderId="10" xfId="2" applyNumberFormat="1" applyFont="1" applyFill="1" applyBorder="1" applyAlignment="1" applyProtection="1">
      <alignment horizontal="center" vertical="center"/>
    </xf>
    <xf numFmtId="4" fontId="9" fillId="4" borderId="10" xfId="1" applyNumberFormat="1" applyFont="1" applyFill="1" applyBorder="1" applyAlignment="1" applyProtection="1">
      <alignment horizontal="center" vertical="center"/>
    </xf>
    <xf numFmtId="2" fontId="9" fillId="4" borderId="10" xfId="1" applyNumberFormat="1" applyFont="1" applyFill="1" applyBorder="1" applyAlignment="1" applyProtection="1">
      <alignment horizontal="center" vertical="center"/>
    </xf>
    <xf numFmtId="168" fontId="9" fillId="4" borderId="10" xfId="2" applyNumberFormat="1" applyFont="1" applyFill="1" applyBorder="1" applyAlignment="1" applyProtection="1">
      <alignment horizontal="center" vertical="center"/>
    </xf>
    <xf numFmtId="2" fontId="9" fillId="5" borderId="10" xfId="2" applyNumberFormat="1" applyFont="1" applyFill="1" applyBorder="1" applyAlignment="1" applyProtection="1">
      <alignment horizontal="center" vertical="center"/>
    </xf>
    <xf numFmtId="2" fontId="9" fillId="5" borderId="10" xfId="2" applyNumberFormat="1" applyFont="1" applyFill="1" applyBorder="1" applyAlignment="1" applyProtection="1">
      <alignment horizontal="left" vertical="center"/>
    </xf>
    <xf numFmtId="173" fontId="9" fillId="5" borderId="10" xfId="2" applyNumberFormat="1" applyFont="1" applyFill="1" applyBorder="1" applyAlignment="1" applyProtection="1">
      <alignment horizontal="center" vertical="center"/>
    </xf>
    <xf numFmtId="1" fontId="9" fillId="5" borderId="10" xfId="2" applyNumberFormat="1" applyFont="1" applyFill="1" applyBorder="1" applyAlignment="1" applyProtection="1">
      <alignment horizontal="center" vertical="center"/>
    </xf>
    <xf numFmtId="168" fontId="9" fillId="5" borderId="10" xfId="2" applyNumberFormat="1" applyFont="1" applyFill="1" applyBorder="1" applyAlignment="1" applyProtection="1">
      <alignment horizontal="center" vertical="center"/>
    </xf>
    <xf numFmtId="166" fontId="8" fillId="0" borderId="0" xfId="4" applyNumberFormat="1" applyFont="1" applyAlignment="1">
      <alignment vertical="center" wrapText="1"/>
    </xf>
    <xf numFmtId="166" fontId="8" fillId="0" borderId="1" xfId="4" applyNumberFormat="1" applyFont="1" applyBorder="1" applyAlignment="1">
      <alignment vertical="center" wrapText="1"/>
    </xf>
    <xf numFmtId="166" fontId="8" fillId="0" borderId="2" xfId="4" applyNumberFormat="1" applyFont="1" applyBorder="1" applyAlignment="1">
      <alignment vertical="center" wrapText="1"/>
    </xf>
    <xf numFmtId="165" fontId="10" fillId="0" borderId="0" xfId="5" applyFont="1" applyBorder="1" applyAlignment="1">
      <alignment vertical="center"/>
    </xf>
    <xf numFmtId="166" fontId="8" fillId="2" borderId="7" xfId="4" applyNumberFormat="1" applyFont="1" applyFill="1" applyBorder="1" applyAlignment="1">
      <alignment horizontal="left" vertical="center" wrapText="1"/>
    </xf>
    <xf numFmtId="15" fontId="8" fillId="0" borderId="0" xfId="4" applyNumberFormat="1" applyFont="1" applyAlignment="1" applyProtection="1">
      <alignment horizontal="center" vertical="center" wrapText="1"/>
    </xf>
    <xf numFmtId="166" fontId="8" fillId="0" borderId="0" xfId="4" applyNumberFormat="1" applyFont="1" applyAlignment="1">
      <alignment horizontal="center" vertical="center" wrapText="1"/>
    </xf>
    <xf numFmtId="40" fontId="8" fillId="0" borderId="0" xfId="5" applyNumberFormat="1" applyFont="1" applyAlignment="1">
      <alignment vertical="center" wrapText="1"/>
    </xf>
    <xf numFmtId="166" fontId="8" fillId="0" borderId="0" xfId="4" applyNumberFormat="1" applyFont="1" applyAlignment="1" applyProtection="1">
      <alignment horizontal="left" vertical="center" wrapText="1"/>
    </xf>
    <xf numFmtId="15" fontId="8" fillId="0" borderId="0" xfId="4" applyNumberFormat="1" applyFont="1" applyAlignment="1">
      <alignment horizontal="center" vertical="center" wrapText="1"/>
    </xf>
    <xf numFmtId="9" fontId="8" fillId="0" borderId="0" xfId="3" applyNumberFormat="1" applyFont="1" applyAlignment="1">
      <alignment vertical="center" wrapText="1"/>
    </xf>
    <xf numFmtId="168" fontId="8" fillId="0" borderId="0" xfId="5" applyNumberFormat="1" applyFont="1" applyAlignment="1">
      <alignment vertical="center" wrapText="1"/>
    </xf>
    <xf numFmtId="0" fontId="8" fillId="0" borderId="0" xfId="4" applyFont="1" applyAlignment="1">
      <alignment vertical="center" wrapText="1"/>
    </xf>
    <xf numFmtId="40" fontId="8" fillId="0" borderId="0" xfId="5" applyNumberFormat="1" applyFont="1" applyAlignment="1" applyProtection="1">
      <alignment horizontal="right" vertical="center" wrapText="1"/>
    </xf>
    <xf numFmtId="15" fontId="8" fillId="0" borderId="0" xfId="4" applyNumberFormat="1" applyFont="1" applyAlignment="1">
      <alignment vertical="center" wrapText="1"/>
    </xf>
    <xf numFmtId="40" fontId="8" fillId="0" borderId="0" xfId="5" applyNumberFormat="1" applyFont="1" applyAlignment="1">
      <alignment horizontal="right" vertical="center" wrapText="1"/>
    </xf>
    <xf numFmtId="165" fontId="8" fillId="0" borderId="0" xfId="5" applyFont="1" applyBorder="1" applyAlignment="1">
      <alignment vertical="center"/>
    </xf>
    <xf numFmtId="166" fontId="9" fillId="4" borderId="10" xfId="1" applyNumberFormat="1" applyFont="1" applyFill="1" applyBorder="1" applyAlignment="1">
      <alignment horizontal="left" vertical="center"/>
    </xf>
    <xf numFmtId="1" fontId="9" fillId="4" borderId="10" xfId="1" applyNumberFormat="1" applyFont="1" applyFill="1" applyBorder="1" applyAlignment="1">
      <alignment horizontal="center" vertical="center"/>
    </xf>
    <xf numFmtId="0" fontId="9" fillId="4" borderId="10" xfId="2" applyNumberFormat="1" applyFont="1" applyFill="1" applyBorder="1" applyAlignment="1" applyProtection="1">
      <alignment horizontal="center" vertical="center"/>
    </xf>
    <xf numFmtId="2" fontId="9" fillId="4" borderId="10" xfId="2" applyNumberFormat="1" applyFont="1" applyFill="1" applyBorder="1" applyAlignment="1" applyProtection="1">
      <alignment horizontal="center" vertical="center"/>
    </xf>
    <xf numFmtId="172" fontId="9" fillId="4" borderId="10" xfId="1" applyNumberFormat="1" applyFont="1" applyFill="1" applyBorder="1" applyAlignment="1">
      <alignment horizontal="center" vertical="center"/>
    </xf>
    <xf numFmtId="3" fontId="9" fillId="4" borderId="10" xfId="1" applyNumberFormat="1" applyFont="1" applyFill="1" applyBorder="1" applyAlignment="1">
      <alignment horizontal="center" vertical="center"/>
    </xf>
    <xf numFmtId="166" fontId="8" fillId="2" borderId="0" xfId="4" applyNumberFormat="1" applyFont="1" applyFill="1" applyBorder="1" applyAlignment="1">
      <alignment vertical="center" wrapText="1"/>
    </xf>
    <xf numFmtId="173" fontId="9" fillId="5" borderId="10" xfId="2" applyNumberFormat="1" applyFont="1" applyFill="1" applyBorder="1" applyAlignment="1" applyProtection="1">
      <alignment horizontal="left" vertical="center"/>
    </xf>
    <xf numFmtId="0" fontId="9" fillId="5" borderId="10" xfId="2" applyNumberFormat="1" applyFont="1" applyFill="1" applyBorder="1" applyAlignment="1" applyProtection="1">
      <alignment horizontal="center" vertical="center"/>
    </xf>
    <xf numFmtId="172" fontId="9" fillId="5" borderId="10" xfId="2" applyNumberFormat="1" applyFont="1" applyFill="1" applyBorder="1" applyAlignment="1" applyProtection="1">
      <alignment horizontal="center" vertical="center"/>
    </xf>
    <xf numFmtId="3" fontId="9" fillId="5" borderId="10" xfId="2" applyNumberFormat="1" applyFont="1" applyFill="1" applyBorder="1" applyAlignment="1" applyProtection="1">
      <alignment horizontal="center" vertical="center"/>
    </xf>
    <xf numFmtId="166" fontId="8" fillId="0" borderId="5" xfId="4" applyNumberFormat="1" applyFont="1" applyBorder="1" applyAlignment="1">
      <alignment vertical="center" wrapText="1"/>
    </xf>
    <xf numFmtId="38" fontId="8" fillId="0" borderId="0" xfId="5" applyNumberFormat="1" applyFont="1" applyAlignment="1">
      <alignment horizontal="right" vertical="center" wrapText="1"/>
    </xf>
    <xf numFmtId="166" fontId="8" fillId="0" borderId="2" xfId="4" applyNumberFormat="1" applyFont="1" applyBorder="1" applyAlignment="1">
      <alignment horizontal="center" vertical="center" wrapText="1"/>
    </xf>
    <xf numFmtId="165" fontId="13" fillId="0" borderId="1" xfId="5" applyFont="1" applyBorder="1" applyAlignment="1">
      <alignment horizontal="center" vertical="center" wrapText="1"/>
    </xf>
    <xf numFmtId="166" fontId="13" fillId="0" borderId="1" xfId="4" applyNumberFormat="1" applyFont="1" applyBorder="1" applyAlignment="1">
      <alignment horizontal="center" vertical="center" wrapText="1"/>
    </xf>
    <xf numFmtId="15" fontId="13" fillId="0" borderId="1" xfId="4" applyNumberFormat="1" applyFont="1" applyBorder="1" applyAlignment="1" applyProtection="1">
      <alignment horizontal="center" vertical="center" wrapText="1"/>
    </xf>
    <xf numFmtId="14" fontId="13" fillId="0" borderId="1" xfId="4" applyNumberFormat="1" applyFont="1" applyBorder="1" applyAlignment="1" applyProtection="1">
      <alignment horizontal="center" vertical="center" wrapText="1"/>
    </xf>
    <xf numFmtId="165" fontId="13" fillId="0" borderId="1" xfId="5" applyFont="1" applyBorder="1" applyAlignment="1" applyProtection="1">
      <alignment horizontal="center" vertical="center" wrapText="1"/>
    </xf>
    <xf numFmtId="165" fontId="13" fillId="0" borderId="2" xfId="5" applyFont="1" applyBorder="1" applyAlignment="1" applyProtection="1">
      <alignment horizontal="center" vertical="center" wrapText="1"/>
    </xf>
    <xf numFmtId="166" fontId="8" fillId="0" borderId="0" xfId="4" applyNumberFormat="1" applyFont="1" applyBorder="1" applyAlignment="1">
      <alignment horizontal="center" vertical="center" wrapText="1"/>
    </xf>
    <xf numFmtId="165" fontId="13" fillId="2" borderId="1" xfId="5" applyFont="1" applyFill="1" applyBorder="1" applyAlignment="1">
      <alignment vertical="center" wrapText="1"/>
    </xf>
    <xf numFmtId="166" fontId="13" fillId="2" borderId="1" xfId="4" applyNumberFormat="1" applyFont="1" applyFill="1" applyBorder="1" applyAlignment="1">
      <alignment vertical="center" wrapText="1"/>
    </xf>
    <xf numFmtId="15" fontId="13" fillId="2" borderId="1" xfId="4" applyNumberFormat="1" applyFont="1" applyFill="1" applyBorder="1" applyAlignment="1" applyProtection="1">
      <alignment horizontal="center" vertical="center" wrapText="1"/>
    </xf>
    <xf numFmtId="14" fontId="13" fillId="2" borderId="1" xfId="4" applyNumberFormat="1" applyFont="1" applyFill="1" applyBorder="1" applyAlignment="1" applyProtection="1">
      <alignment horizontal="center" vertical="center" wrapText="1"/>
    </xf>
    <xf numFmtId="165" fontId="13" fillId="2" borderId="1" xfId="5" applyFont="1" applyFill="1" applyBorder="1" applyAlignment="1" applyProtection="1">
      <alignment horizontal="center" vertical="center" wrapText="1"/>
    </xf>
    <xf numFmtId="166" fontId="8" fillId="0" borderId="2" xfId="4" applyNumberFormat="1" applyFont="1" applyBorder="1" applyAlignment="1">
      <alignment vertical="center"/>
    </xf>
    <xf numFmtId="2" fontId="13" fillId="2" borderId="1" xfId="4" applyNumberFormat="1" applyFont="1" applyFill="1" applyBorder="1" applyAlignment="1" applyProtection="1">
      <alignment horizontal="center" vertical="center" wrapText="1"/>
    </xf>
    <xf numFmtId="38" fontId="8" fillId="0" borderId="0" xfId="5" applyNumberFormat="1" applyFont="1" applyAlignment="1">
      <alignment vertical="center" wrapText="1"/>
    </xf>
    <xf numFmtId="38" fontId="8" fillId="0" borderId="0" xfId="5" applyNumberFormat="1" applyFont="1" applyAlignment="1" applyProtection="1">
      <alignment horizontal="right" vertical="center" wrapText="1"/>
    </xf>
    <xf numFmtId="38" fontId="8" fillId="0" borderId="0" xfId="4" applyNumberFormat="1" applyFont="1" applyBorder="1" applyAlignment="1" applyProtection="1">
      <alignment horizontal="right" vertical="center" wrapText="1"/>
    </xf>
    <xf numFmtId="38" fontId="8" fillId="0" borderId="0" xfId="5" applyNumberFormat="1" applyFont="1" applyAlignment="1" applyProtection="1">
      <alignment horizontal="left" vertical="center" wrapText="1"/>
    </xf>
    <xf numFmtId="166" fontId="8" fillId="0" borderId="6" xfId="4" applyNumberFormat="1" applyFont="1" applyBorder="1" applyAlignment="1">
      <alignment vertical="center" wrapText="1"/>
    </xf>
    <xf numFmtId="167" fontId="12" fillId="2" borderId="0" xfId="5" applyNumberFormat="1" applyFont="1" applyFill="1" applyBorder="1" applyAlignment="1">
      <alignment horizontal="center" vertical="center" wrapText="1"/>
    </xf>
    <xf numFmtId="170" fontId="12" fillId="2" borderId="0" xfId="16" applyNumberFormat="1" applyFont="1" applyFill="1" applyBorder="1" applyAlignment="1" applyProtection="1">
      <alignment horizontal="center" vertical="center" wrapText="1"/>
    </xf>
    <xf numFmtId="166" fontId="8" fillId="0" borderId="4" xfId="4" applyNumberFormat="1" applyFont="1" applyBorder="1" applyAlignment="1">
      <alignment vertical="center" wrapText="1"/>
    </xf>
    <xf numFmtId="166" fontId="11" fillId="0" borderId="0" xfId="4" applyNumberFormat="1" applyFont="1" applyBorder="1" applyAlignment="1">
      <alignment horizontal="center" vertical="center" wrapText="1"/>
    </xf>
    <xf numFmtId="166" fontId="11" fillId="2" borderId="0" xfId="4" applyNumberFormat="1" applyFont="1" applyFill="1" applyBorder="1" applyAlignment="1">
      <alignment vertical="center" wrapText="1"/>
    </xf>
    <xf numFmtId="0" fontId="9" fillId="4" borderId="10" xfId="1" applyNumberFormat="1" applyFont="1" applyFill="1" applyBorder="1" applyAlignment="1" applyProtection="1">
      <alignment horizontal="center" vertical="center"/>
    </xf>
    <xf numFmtId="38" fontId="12" fillId="2" borderId="0" xfId="5" applyNumberFormat="1" applyFont="1" applyFill="1" applyBorder="1" applyAlignment="1">
      <alignment horizontal="center" vertical="center" wrapText="1"/>
    </xf>
    <xf numFmtId="166" fontId="13" fillId="0" borderId="0" xfId="4" applyNumberFormat="1" applyFont="1" applyFill="1" applyBorder="1" applyAlignment="1">
      <alignment horizontal="center" vertical="center" wrapText="1"/>
    </xf>
    <xf numFmtId="166" fontId="8" fillId="0" borderId="0" xfId="4" applyNumberFormat="1" applyFont="1" applyAlignment="1">
      <alignment horizontal="left" vertical="center" wrapText="1"/>
    </xf>
    <xf numFmtId="0" fontId="14" fillId="4" borderId="10" xfId="1" applyFont="1" applyFill="1" applyBorder="1" applyAlignment="1">
      <alignment horizontal="left" vertical="center"/>
    </xf>
    <xf numFmtId="0" fontId="9" fillId="4" borderId="15" xfId="1" applyFont="1" applyFill="1" applyBorder="1" applyAlignment="1">
      <alignment horizontal="center" vertical="center"/>
    </xf>
    <xf numFmtId="0" fontId="9" fillId="4" borderId="15" xfId="1" applyFont="1" applyFill="1" applyBorder="1" applyAlignment="1">
      <alignment horizontal="left" vertical="center"/>
    </xf>
    <xf numFmtId="166" fontId="9" fillId="4" borderId="15" xfId="1" applyNumberFormat="1" applyFont="1" applyFill="1" applyBorder="1" applyAlignment="1">
      <alignment horizontal="center" vertical="center"/>
    </xf>
    <xf numFmtId="166" fontId="9" fillId="4" borderId="15" xfId="1" applyNumberFormat="1" applyFont="1" applyFill="1" applyBorder="1" applyAlignment="1" applyProtection="1">
      <alignment horizontal="center" vertical="center"/>
    </xf>
    <xf numFmtId="0" fontId="9" fillId="4" borderId="15" xfId="1" applyNumberFormat="1" applyFont="1" applyFill="1" applyBorder="1" applyAlignment="1" applyProtection="1">
      <alignment horizontal="center" vertical="center"/>
    </xf>
    <xf numFmtId="2" fontId="9" fillId="4" borderId="15" xfId="1" applyNumberFormat="1" applyFont="1" applyFill="1" applyBorder="1" applyAlignment="1" applyProtection="1">
      <alignment horizontal="center" vertical="center"/>
    </xf>
    <xf numFmtId="2" fontId="9" fillId="4" borderId="15" xfId="2" applyNumberFormat="1" applyFont="1" applyFill="1" applyBorder="1" applyAlignment="1" applyProtection="1">
      <alignment horizontal="center" vertical="center"/>
    </xf>
    <xf numFmtId="168" fontId="9" fillId="4" borderId="15" xfId="2" applyNumberFormat="1" applyFont="1" applyFill="1" applyBorder="1" applyAlignment="1" applyProtection="1">
      <alignment horizontal="center" vertical="center"/>
    </xf>
    <xf numFmtId="2" fontId="9" fillId="5" borderId="15" xfId="2" applyNumberFormat="1" applyFont="1" applyFill="1" applyBorder="1" applyAlignment="1" applyProtection="1">
      <alignment horizontal="center" vertical="center"/>
    </xf>
    <xf numFmtId="168" fontId="9" fillId="5" borderId="15" xfId="2" applyNumberFormat="1" applyFont="1" applyFill="1" applyBorder="1" applyAlignment="1" applyProtection="1">
      <alignment horizontal="center" vertical="center"/>
    </xf>
    <xf numFmtId="167" fontId="12" fillId="2" borderId="10" xfId="5" applyNumberFormat="1" applyFont="1" applyFill="1" applyBorder="1" applyAlignment="1">
      <alignment horizontal="center" vertical="center" wrapText="1"/>
    </xf>
    <xf numFmtId="38" fontId="12" fillId="2" borderId="10" xfId="5" applyNumberFormat="1" applyFont="1" applyFill="1" applyBorder="1" applyAlignment="1">
      <alignment horizontal="center" vertical="center" wrapText="1"/>
    </xf>
    <xf numFmtId="165" fontId="13" fillId="2" borderId="2" xfId="5" applyFont="1" applyFill="1" applyBorder="1" applyAlignment="1" applyProtection="1">
      <alignment horizontal="center" vertical="center" wrapText="1"/>
    </xf>
    <xf numFmtId="0" fontId="9" fillId="4" borderId="16" xfId="1" applyFont="1" applyFill="1" applyBorder="1" applyAlignment="1">
      <alignment horizontal="center" vertical="center"/>
    </xf>
    <xf numFmtId="2" fontId="9" fillId="5" borderId="16" xfId="2" applyNumberFormat="1" applyFont="1" applyFill="1" applyBorder="1" applyAlignment="1" applyProtection="1">
      <alignment horizontal="center" vertical="center"/>
    </xf>
    <xf numFmtId="2" fontId="8" fillId="5" borderId="16" xfId="2" applyNumberFormat="1" applyFont="1" applyFill="1" applyBorder="1" applyAlignment="1" applyProtection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1" fontId="9" fillId="4" borderId="15" xfId="1" applyNumberFormat="1" applyFont="1" applyFill="1" applyBorder="1" applyAlignment="1">
      <alignment horizontal="center" vertical="center"/>
    </xf>
    <xf numFmtId="166" fontId="9" fillId="4" borderId="15" xfId="1" applyNumberFormat="1" applyFont="1" applyFill="1" applyBorder="1" applyAlignment="1">
      <alignment horizontal="left" vertical="center"/>
    </xf>
    <xf numFmtId="0" fontId="9" fillId="4" borderId="15" xfId="2" applyNumberFormat="1" applyFont="1" applyFill="1" applyBorder="1" applyAlignment="1" applyProtection="1">
      <alignment horizontal="center" vertical="center"/>
    </xf>
    <xf numFmtId="172" fontId="9" fillId="4" borderId="15" xfId="1" applyNumberFormat="1" applyFont="1" applyFill="1" applyBorder="1" applyAlignment="1">
      <alignment horizontal="center" vertical="center"/>
    </xf>
    <xf numFmtId="3" fontId="9" fillId="4" borderId="15" xfId="1" applyNumberFormat="1" applyFont="1" applyFill="1" applyBorder="1" applyAlignment="1">
      <alignment horizontal="center" vertical="center"/>
    </xf>
    <xf numFmtId="172" fontId="9" fillId="5" borderId="15" xfId="2" applyNumberFormat="1" applyFont="1" applyFill="1" applyBorder="1" applyAlignment="1" applyProtection="1">
      <alignment horizontal="center" vertical="center"/>
    </xf>
    <xf numFmtId="3" fontId="9" fillId="5" borderId="15" xfId="2" applyNumberFormat="1" applyFont="1" applyFill="1" applyBorder="1" applyAlignment="1" applyProtection="1">
      <alignment horizontal="center" vertical="center"/>
    </xf>
    <xf numFmtId="166" fontId="8" fillId="0" borderId="18" xfId="4" applyNumberFormat="1" applyFont="1" applyBorder="1" applyAlignment="1">
      <alignment vertical="center" wrapText="1"/>
    </xf>
    <xf numFmtId="166" fontId="8" fillId="0" borderId="19" xfId="4" applyNumberFormat="1" applyFont="1" applyBorder="1" applyAlignment="1">
      <alignment vertical="center" wrapText="1"/>
    </xf>
    <xf numFmtId="166" fontId="13" fillId="2" borderId="5" xfId="4" applyNumberFormat="1" applyFont="1" applyFill="1" applyBorder="1" applyAlignment="1">
      <alignment horizontal="center" vertical="center" wrapText="1"/>
    </xf>
    <xf numFmtId="14" fontId="13" fillId="2" borderId="5" xfId="4" applyNumberFormat="1" applyFont="1" applyFill="1" applyBorder="1" applyAlignment="1" applyProtection="1">
      <alignment horizontal="center" vertical="center" wrapText="1"/>
    </xf>
    <xf numFmtId="166" fontId="11" fillId="0" borderId="10" xfId="4" applyNumberFormat="1" applyFont="1" applyBorder="1" applyAlignment="1">
      <alignment horizontal="center" vertical="center" wrapText="1"/>
    </xf>
    <xf numFmtId="170" fontId="12" fillId="2" borderId="10" xfId="16" applyNumberFormat="1" applyFont="1" applyFill="1" applyBorder="1" applyAlignment="1" applyProtection="1">
      <alignment horizontal="center" vertical="center" wrapText="1"/>
    </xf>
    <xf numFmtId="171" fontId="12" fillId="2" borderId="10" xfId="16" applyNumberFormat="1" applyFont="1" applyFill="1" applyBorder="1" applyAlignment="1" applyProtection="1">
      <alignment horizontal="center" vertical="center" wrapText="1"/>
    </xf>
    <xf numFmtId="2" fontId="9" fillId="5" borderId="17" xfId="2" applyNumberFormat="1" applyFont="1" applyFill="1" applyBorder="1" applyAlignment="1" applyProtection="1">
      <alignment horizontal="center" vertical="center"/>
    </xf>
    <xf numFmtId="1" fontId="9" fillId="5" borderId="15" xfId="2" applyNumberFormat="1" applyFont="1" applyFill="1" applyBorder="1" applyAlignment="1" applyProtection="1">
      <alignment horizontal="center" vertical="center"/>
    </xf>
    <xf numFmtId="173" fontId="9" fillId="5" borderId="15" xfId="2" applyNumberFormat="1" applyFont="1" applyFill="1" applyBorder="1" applyAlignment="1" applyProtection="1">
      <alignment horizontal="left" vertical="center"/>
    </xf>
    <xf numFmtId="173" fontId="9" fillId="5" borderId="15" xfId="2" applyNumberFormat="1" applyFont="1" applyFill="1" applyBorder="1" applyAlignment="1" applyProtection="1">
      <alignment horizontal="center" vertical="center"/>
    </xf>
    <xf numFmtId="0" fontId="9" fillId="5" borderId="15" xfId="2" applyNumberFormat="1" applyFont="1" applyFill="1" applyBorder="1" applyAlignment="1" applyProtection="1">
      <alignment horizontal="center" vertical="center"/>
    </xf>
    <xf numFmtId="2" fontId="7" fillId="3" borderId="15" xfId="2" applyNumberFormat="1" applyFont="1" applyFill="1" applyBorder="1" applyAlignment="1" applyProtection="1">
      <alignment horizontal="center" vertical="center" wrapText="1"/>
    </xf>
    <xf numFmtId="166" fontId="8" fillId="0" borderId="14" xfId="4" applyNumberFormat="1" applyFont="1" applyBorder="1" applyAlignment="1">
      <alignment vertical="center" wrapText="1"/>
    </xf>
    <xf numFmtId="166" fontId="9" fillId="4" borderId="16" xfId="1" applyNumberFormat="1" applyFont="1" applyFill="1" applyBorder="1" applyAlignment="1">
      <alignment horizontal="left" vertical="center"/>
    </xf>
    <xf numFmtId="173" fontId="9" fillId="5" borderId="16" xfId="2" applyNumberFormat="1" applyFont="1" applyFill="1" applyBorder="1" applyAlignment="1" applyProtection="1">
      <alignment horizontal="left" vertical="center"/>
    </xf>
    <xf numFmtId="166" fontId="9" fillId="4" borderId="17" xfId="1" applyNumberFormat="1" applyFont="1" applyFill="1" applyBorder="1" applyAlignment="1">
      <alignment horizontal="left" vertical="center"/>
    </xf>
    <xf numFmtId="166" fontId="13" fillId="0" borderId="14" xfId="4" applyNumberFormat="1" applyFont="1" applyFill="1" applyBorder="1" applyAlignment="1">
      <alignment horizontal="center" vertical="center" wrapText="1"/>
    </xf>
    <xf numFmtId="14" fontId="13" fillId="0" borderId="19" xfId="4" applyNumberFormat="1" applyFont="1" applyBorder="1" applyAlignment="1" applyProtection="1">
      <alignment horizontal="center" vertical="center" wrapText="1"/>
    </xf>
    <xf numFmtId="166" fontId="12" fillId="0" borderId="10" xfId="4" applyNumberFormat="1" applyFont="1" applyBorder="1" applyAlignment="1">
      <alignment horizontal="center" vertical="center" wrapText="1"/>
    </xf>
    <xf numFmtId="166" fontId="8" fillId="2" borderId="7" xfId="4" applyNumberFormat="1" applyFont="1" applyFill="1" applyBorder="1" applyAlignment="1">
      <alignment horizontal="left" vertical="center" wrapText="1"/>
    </xf>
    <xf numFmtId="166" fontId="8" fillId="2" borderId="7" xfId="4" applyNumberFormat="1" applyFont="1" applyFill="1" applyBorder="1" applyAlignment="1">
      <alignment horizontal="left" vertical="center" wrapText="1"/>
    </xf>
    <xf numFmtId="166" fontId="8" fillId="2" borderId="7" xfId="4" applyNumberFormat="1" applyFont="1" applyFill="1" applyBorder="1" applyAlignment="1">
      <alignment horizontal="left" vertical="center" wrapText="1"/>
    </xf>
    <xf numFmtId="166" fontId="5" fillId="0" borderId="2" xfId="4" applyNumberFormat="1" applyFont="1" applyBorder="1" applyAlignment="1">
      <alignment horizontal="left" vertical="center"/>
    </xf>
    <xf numFmtId="166" fontId="5" fillId="0" borderId="3" xfId="4" applyNumberFormat="1" applyFont="1" applyBorder="1" applyAlignment="1">
      <alignment horizontal="left" vertical="center"/>
    </xf>
    <xf numFmtId="166" fontId="8" fillId="0" borderId="2" xfId="4" applyNumberFormat="1" applyFont="1" applyBorder="1" applyAlignment="1">
      <alignment horizontal="left" vertical="center"/>
    </xf>
    <xf numFmtId="166" fontId="8" fillId="0" borderId="3" xfId="4" applyNumberFormat="1" applyFont="1" applyBorder="1" applyAlignment="1">
      <alignment horizontal="left" vertical="center"/>
    </xf>
    <xf numFmtId="166" fontId="8" fillId="0" borderId="8" xfId="4" applyNumberFormat="1" applyFont="1" applyBorder="1" applyAlignment="1">
      <alignment horizontal="left" vertical="center"/>
    </xf>
    <xf numFmtId="166" fontId="8" fillId="2" borderId="3" xfId="4" applyNumberFormat="1" applyFont="1" applyFill="1" applyBorder="1" applyAlignment="1">
      <alignment horizontal="left" vertical="center" wrapText="1"/>
    </xf>
    <xf numFmtId="166" fontId="8" fillId="2" borderId="8" xfId="4" applyNumberFormat="1" applyFont="1" applyFill="1" applyBorder="1" applyAlignment="1">
      <alignment horizontal="left" vertical="center" wrapText="1"/>
    </xf>
    <xf numFmtId="166" fontId="8" fillId="2" borderId="7" xfId="4" applyNumberFormat="1" applyFont="1" applyFill="1" applyBorder="1" applyAlignment="1">
      <alignment horizontal="left" vertical="center" wrapText="1"/>
    </xf>
    <xf numFmtId="166" fontId="8" fillId="2" borderId="9" xfId="4" applyNumberFormat="1" applyFont="1" applyFill="1" applyBorder="1" applyAlignment="1">
      <alignment horizontal="left" vertical="center" wrapText="1"/>
    </xf>
    <xf numFmtId="166" fontId="8" fillId="0" borderId="12" xfId="4" applyNumberFormat="1" applyFont="1" applyBorder="1" applyAlignment="1">
      <alignment horizontal="center" vertical="center" wrapText="1"/>
    </xf>
    <xf numFmtId="166" fontId="5" fillId="0" borderId="14" xfId="4" applyNumberFormat="1" applyFont="1" applyBorder="1" applyAlignment="1">
      <alignment horizontal="left" vertical="center"/>
    </xf>
    <xf numFmtId="166" fontId="5" fillId="0" borderId="0" xfId="4" applyNumberFormat="1" applyFont="1" applyBorder="1" applyAlignment="1">
      <alignment horizontal="left" vertical="center"/>
    </xf>
    <xf numFmtId="166" fontId="8" fillId="2" borderId="0" xfId="4" applyNumberFormat="1" applyFont="1" applyFill="1" applyBorder="1" applyAlignment="1">
      <alignment horizontal="left" vertical="center" wrapText="1"/>
    </xf>
    <xf numFmtId="166" fontId="8" fillId="2" borderId="11" xfId="4" applyNumberFormat="1" applyFont="1" applyFill="1" applyBorder="1" applyAlignment="1">
      <alignment horizontal="left" vertical="center" wrapText="1"/>
    </xf>
    <xf numFmtId="166" fontId="8" fillId="0" borderId="13" xfId="4" applyNumberFormat="1" applyFont="1" applyBorder="1" applyAlignment="1">
      <alignment horizontal="center" vertical="center" wrapText="1"/>
    </xf>
    <xf numFmtId="166" fontId="8" fillId="0" borderId="7" xfId="4" applyNumberFormat="1" applyFont="1" applyBorder="1" applyAlignment="1">
      <alignment horizontal="center" vertical="center" wrapText="1"/>
    </xf>
    <xf numFmtId="166" fontId="8" fillId="0" borderId="22" xfId="4" applyNumberFormat="1" applyFont="1" applyBorder="1" applyAlignment="1">
      <alignment horizontal="center" vertical="center" wrapText="1"/>
    </xf>
    <xf numFmtId="166" fontId="11" fillId="2" borderId="15" xfId="4" applyNumberFormat="1" applyFont="1" applyFill="1" applyBorder="1" applyAlignment="1">
      <alignment horizontal="center" vertical="center" wrapText="1"/>
    </xf>
    <xf numFmtId="166" fontId="11" fillId="2" borderId="20" xfId="4" applyNumberFormat="1" applyFont="1" applyFill="1" applyBorder="1" applyAlignment="1">
      <alignment horizontal="center" vertical="center" wrapText="1"/>
    </xf>
    <xf numFmtId="166" fontId="11" fillId="2" borderId="21" xfId="4" applyNumberFormat="1" applyFont="1" applyFill="1" applyBorder="1" applyAlignment="1">
      <alignment horizontal="center" vertical="center" wrapText="1"/>
    </xf>
    <xf numFmtId="166" fontId="5" fillId="0" borderId="2" xfId="4" applyNumberFormat="1" applyFont="1" applyBorder="1" applyAlignment="1">
      <alignment vertical="center"/>
    </xf>
    <xf numFmtId="166" fontId="5" fillId="0" borderId="3" xfId="4" applyNumberFormat="1" applyFont="1" applyBorder="1" applyAlignment="1">
      <alignment vertical="center"/>
    </xf>
    <xf numFmtId="166" fontId="8" fillId="0" borderId="23" xfId="4" applyNumberFormat="1" applyFont="1" applyBorder="1" applyAlignment="1">
      <alignment vertical="center" wrapText="1"/>
    </xf>
  </cellXfs>
  <cellStyles count="17">
    <cellStyle name="Comma 2" xfId="5"/>
    <cellStyle name="Comma 2 2" xfId="6"/>
    <cellStyle name="Comma 2 3" xfId="9"/>
    <cellStyle name="Comma 3" xfId="2"/>
    <cellStyle name="Comma 4" xfId="8"/>
    <cellStyle name="Euro" xfId="10"/>
    <cellStyle name="Euro 2" xfId="11"/>
    <cellStyle name="f‰H_x0010_‹Ëf‰h,ÿt$_x0018_è¸Wÿÿé&gt;Ëÿÿ÷Ç_x0001_" xfId="12"/>
    <cellStyle name="Normal" xfId="0" builtinId="0"/>
    <cellStyle name="Normal 2" xfId="4"/>
    <cellStyle name="Normal 2 2" xfId="13"/>
    <cellStyle name="Normal 3" xfId="1"/>
    <cellStyle name="Percent 2" xfId="7"/>
    <cellStyle name="Percent 3" xfId="14"/>
    <cellStyle name="Percent 4" xfId="15"/>
    <cellStyle name="Virgül" xfId="16" builtinId="3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3"/>
  <sheetViews>
    <sheetView tabSelected="1" zoomScale="70" zoomScaleNormal="70" zoomScaleSheetLayoutView="100" workbookViewId="0">
      <selection activeCell="A6" sqref="A6"/>
    </sheetView>
  </sheetViews>
  <sheetFormatPr defaultColWidth="54.28515625" defaultRowHeight="15" x14ac:dyDescent="0.25"/>
  <cols>
    <col min="1" max="1" width="15.42578125" style="17" bestFit="1" customWidth="1"/>
    <col min="2" max="2" width="12.85546875" style="17" bestFit="1" customWidth="1"/>
    <col min="3" max="3" width="17.28515625" style="17" bestFit="1" customWidth="1"/>
    <col min="4" max="4" width="13.140625" style="17" bestFit="1" customWidth="1"/>
    <col min="5" max="5" width="11.85546875" style="31" bestFit="1" customWidth="1"/>
    <col min="6" max="6" width="13.5703125" style="31" customWidth="1"/>
    <col min="7" max="7" width="9.42578125" style="31" bestFit="1" customWidth="1"/>
    <col min="8" max="8" width="13.85546875" style="31" bestFit="1" customWidth="1"/>
    <col min="9" max="9" width="27.85546875" style="17" customWidth="1"/>
    <col min="10" max="10" width="23" style="32" bestFit="1" customWidth="1" collapsed="1"/>
    <col min="11" max="16384" width="54.28515625" style="3"/>
  </cols>
  <sheetData>
    <row r="1" spans="1:10" s="1" customFormat="1" ht="21" x14ac:dyDescent="0.25">
      <c r="A1" s="124" t="s">
        <v>23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63.75" customHeight="1" x14ac:dyDescent="0.25">
      <c r="A2" s="2" t="s">
        <v>102</v>
      </c>
      <c r="B2" s="2" t="s">
        <v>3</v>
      </c>
      <c r="C2" s="2" t="s">
        <v>99</v>
      </c>
      <c r="D2" s="2" t="s">
        <v>0</v>
      </c>
      <c r="E2" s="2" t="s">
        <v>1</v>
      </c>
      <c r="F2" s="2" t="s">
        <v>100</v>
      </c>
      <c r="G2" s="2" t="s">
        <v>19</v>
      </c>
      <c r="H2" s="2" t="s">
        <v>20</v>
      </c>
      <c r="I2" s="2" t="s">
        <v>12</v>
      </c>
      <c r="J2" s="2" t="s">
        <v>21</v>
      </c>
    </row>
    <row r="3" spans="1:10" ht="18" customHeight="1" x14ac:dyDescent="0.25">
      <c r="A3" s="5" t="s">
        <v>111</v>
      </c>
      <c r="B3" s="5" t="s">
        <v>6</v>
      </c>
      <c r="C3" s="6">
        <v>46048</v>
      </c>
      <c r="D3" s="6">
        <v>46050</v>
      </c>
      <c r="E3" s="7">
        <v>46414</v>
      </c>
      <c r="F3" s="8">
        <v>364</v>
      </c>
      <c r="G3" s="9" t="s">
        <v>8</v>
      </c>
      <c r="H3" s="10">
        <v>0.4</v>
      </c>
      <c r="I3" s="11">
        <v>6647595</v>
      </c>
      <c r="J3" s="11">
        <f>+I3*1</f>
        <v>6647595</v>
      </c>
    </row>
    <row r="4" spans="1:10" ht="18" customHeight="1" x14ac:dyDescent="0.25">
      <c r="A4" s="5" t="s">
        <v>112</v>
      </c>
      <c r="B4" s="5" t="s">
        <v>6</v>
      </c>
      <c r="C4" s="6">
        <v>46070</v>
      </c>
      <c r="D4" s="6">
        <v>46071</v>
      </c>
      <c r="E4" s="7">
        <v>46617</v>
      </c>
      <c r="F4" s="8">
        <v>546</v>
      </c>
      <c r="G4" s="9" t="s">
        <v>8</v>
      </c>
      <c r="H4" s="10">
        <v>0.3</v>
      </c>
      <c r="I4" s="11">
        <v>16051340</v>
      </c>
      <c r="J4" s="11">
        <f>+I4*1</f>
        <v>16051340</v>
      </c>
    </row>
    <row r="5" spans="1:10" ht="18" customHeight="1" x14ac:dyDescent="0.25">
      <c r="A5" s="5" t="s">
        <v>113</v>
      </c>
      <c r="B5" s="5" t="s">
        <v>6</v>
      </c>
      <c r="C5" s="6">
        <v>46098</v>
      </c>
      <c r="D5" s="6">
        <v>46099</v>
      </c>
      <c r="E5" s="7">
        <v>46827</v>
      </c>
      <c r="F5" s="8">
        <v>728</v>
      </c>
      <c r="G5" s="9" t="s">
        <v>8</v>
      </c>
      <c r="H5" s="10">
        <v>0.4</v>
      </c>
      <c r="I5" s="11">
        <v>9477375</v>
      </c>
      <c r="J5" s="11">
        <f>+I5*1</f>
        <v>9477375</v>
      </c>
    </row>
    <row r="6" spans="1:10" ht="14.25" customHeight="1" x14ac:dyDescent="0.25">
      <c r="B6" s="146"/>
      <c r="C6" s="146"/>
      <c r="D6" s="146"/>
      <c r="E6" s="146"/>
      <c r="F6" s="146"/>
      <c r="G6" s="146"/>
      <c r="H6" s="146"/>
      <c r="I6" s="146"/>
      <c r="J6" s="146"/>
    </row>
    <row r="7" spans="1:10" s="20" customFormat="1" ht="15" customHeight="1" x14ac:dyDescent="0.25">
      <c r="A7" s="126" t="s">
        <v>24</v>
      </c>
      <c r="B7" s="127"/>
      <c r="C7" s="127"/>
      <c r="D7" s="127"/>
      <c r="E7" s="127"/>
      <c r="F7" s="127"/>
      <c r="G7" s="127"/>
      <c r="H7" s="127"/>
      <c r="I7" s="127"/>
      <c r="J7" s="128"/>
    </row>
    <row r="8" spans="1:10" s="20" customFormat="1" ht="15" customHeight="1" x14ac:dyDescent="0.25">
      <c r="A8" s="129" t="s">
        <v>69</v>
      </c>
      <c r="B8" s="129"/>
      <c r="C8" s="129"/>
      <c r="D8" s="129"/>
      <c r="E8" s="129"/>
      <c r="F8" s="129"/>
      <c r="G8" s="129"/>
      <c r="H8" s="129"/>
      <c r="I8" s="130"/>
      <c r="J8" s="123"/>
    </row>
    <row r="9" spans="1:10" s="20" customFormat="1" ht="16.5" x14ac:dyDescent="0.25">
      <c r="A9" s="17"/>
      <c r="B9" s="17"/>
      <c r="C9" s="17"/>
      <c r="D9" s="17"/>
      <c r="E9" s="22"/>
      <c r="F9" s="22"/>
      <c r="G9" s="22"/>
      <c r="H9" s="22"/>
      <c r="I9" s="23"/>
      <c r="J9" s="24"/>
    </row>
    <row r="10" spans="1:10" s="20" customFormat="1" ht="16.5" x14ac:dyDescent="0.25">
      <c r="A10" s="17"/>
      <c r="B10" s="17"/>
      <c r="C10" s="17"/>
      <c r="D10" s="17"/>
      <c r="E10" s="25"/>
      <c r="F10" s="25"/>
      <c r="G10" s="25"/>
      <c r="H10" s="25"/>
      <c r="I10" s="25"/>
      <c r="J10" s="24"/>
    </row>
    <row r="11" spans="1:10" s="20" customFormat="1" ht="16.5" x14ac:dyDescent="0.25">
      <c r="A11" s="17"/>
      <c r="B11" s="17"/>
      <c r="C11" s="17"/>
      <c r="D11" s="17"/>
      <c r="E11" s="25"/>
      <c r="F11" s="25"/>
      <c r="G11" s="25"/>
      <c r="H11" s="25"/>
      <c r="I11" s="25"/>
      <c r="J11" s="24"/>
    </row>
    <row r="12" spans="1:10" s="20" customFormat="1" ht="16.5" x14ac:dyDescent="0.25">
      <c r="A12" s="17"/>
      <c r="B12" s="17"/>
      <c r="C12" s="17"/>
      <c r="D12" s="17"/>
      <c r="E12" s="26"/>
      <c r="F12" s="26"/>
      <c r="G12" s="26"/>
      <c r="H12" s="26"/>
      <c r="I12" s="23"/>
      <c r="J12" s="27"/>
    </row>
    <row r="13" spans="1:10" s="20" customFormat="1" ht="16.5" x14ac:dyDescent="0.25">
      <c r="A13" s="17"/>
      <c r="B13" s="17"/>
      <c r="C13" s="17"/>
      <c r="D13" s="17"/>
      <c r="E13" s="22"/>
      <c r="F13" s="26"/>
      <c r="G13" s="26"/>
      <c r="H13" s="26"/>
      <c r="I13" s="25"/>
      <c r="J13" s="24"/>
    </row>
    <row r="14" spans="1:10" s="20" customFormat="1" ht="16.5" x14ac:dyDescent="0.25">
      <c r="A14" s="17"/>
      <c r="B14" s="17"/>
      <c r="C14" s="17"/>
      <c r="D14" s="17"/>
      <c r="E14" s="26"/>
      <c r="F14" s="26"/>
      <c r="G14" s="26"/>
      <c r="H14" s="26"/>
      <c r="I14" s="23"/>
      <c r="J14" s="24"/>
    </row>
    <row r="15" spans="1:10" s="20" customFormat="1" ht="16.5" x14ac:dyDescent="0.25">
      <c r="A15" s="17"/>
      <c r="B15" s="17"/>
      <c r="C15" s="17"/>
      <c r="D15" s="17"/>
      <c r="E15" s="25"/>
      <c r="F15" s="25"/>
      <c r="G15" s="25"/>
      <c r="H15" s="25"/>
      <c r="I15" s="25"/>
      <c r="J15" s="24"/>
    </row>
    <row r="16" spans="1:10" s="20" customFormat="1" ht="16.5" x14ac:dyDescent="0.25">
      <c r="A16" s="17"/>
      <c r="B16" s="17"/>
      <c r="C16" s="17"/>
      <c r="D16" s="17"/>
      <c r="E16" s="22"/>
      <c r="F16" s="22"/>
      <c r="G16" s="22"/>
      <c r="H16" s="22"/>
      <c r="I16" s="23"/>
      <c r="J16" s="24"/>
    </row>
    <row r="17" spans="1:10" s="20" customFormat="1" ht="16.5" x14ac:dyDescent="0.25">
      <c r="A17" s="17"/>
      <c r="B17" s="17"/>
      <c r="C17" s="17"/>
      <c r="D17" s="17"/>
      <c r="E17" s="22"/>
      <c r="F17" s="22"/>
      <c r="G17" s="22"/>
      <c r="H17" s="22"/>
      <c r="I17" s="23"/>
      <c r="J17" s="24"/>
    </row>
    <row r="18" spans="1:10" s="20" customFormat="1" ht="16.5" x14ac:dyDescent="0.25">
      <c r="A18" s="17"/>
      <c r="B18" s="17"/>
      <c r="C18" s="17"/>
      <c r="D18" s="17"/>
      <c r="E18" s="22"/>
      <c r="F18" s="22"/>
      <c r="G18" s="22"/>
      <c r="H18" s="22"/>
      <c r="I18" s="23"/>
      <c r="J18" s="24"/>
    </row>
    <row r="19" spans="1:10" s="20" customFormat="1" ht="16.5" x14ac:dyDescent="0.25">
      <c r="A19" s="17"/>
      <c r="B19" s="17"/>
      <c r="C19" s="17"/>
      <c r="D19" s="17"/>
      <c r="E19" s="22"/>
      <c r="F19" s="22"/>
      <c r="G19" s="22"/>
      <c r="H19" s="22"/>
      <c r="I19" s="23"/>
      <c r="J19" s="24"/>
    </row>
    <row r="20" spans="1:10" s="20" customFormat="1" ht="16.5" x14ac:dyDescent="0.25">
      <c r="A20" s="17"/>
      <c r="B20" s="17"/>
      <c r="C20" s="17"/>
      <c r="D20" s="17"/>
      <c r="E20" s="25"/>
      <c r="F20" s="25"/>
      <c r="G20" s="25"/>
      <c r="H20" s="25"/>
      <c r="I20" s="25"/>
      <c r="J20" s="24"/>
    </row>
    <row r="21" spans="1:10" s="20" customFormat="1" ht="16.5" x14ac:dyDescent="0.25">
      <c r="A21" s="17"/>
      <c r="B21" s="17"/>
      <c r="C21" s="17"/>
      <c r="D21" s="17"/>
      <c r="E21" s="26"/>
      <c r="F21" s="26"/>
      <c r="G21" s="26"/>
      <c r="H21" s="26"/>
      <c r="I21" s="23"/>
      <c r="J21" s="24"/>
    </row>
    <row r="22" spans="1:10" s="20" customFormat="1" ht="16.5" x14ac:dyDescent="0.25">
      <c r="A22" s="17"/>
      <c r="B22" s="17"/>
      <c r="C22" s="17"/>
      <c r="D22" s="17"/>
      <c r="E22" s="22"/>
      <c r="F22" s="26"/>
      <c r="G22" s="26"/>
      <c r="H22" s="26"/>
      <c r="I22" s="25"/>
      <c r="J22" s="24"/>
    </row>
    <row r="23" spans="1:10" s="20" customFormat="1" ht="16.5" x14ac:dyDescent="0.25">
      <c r="A23" s="17"/>
      <c r="B23" s="17"/>
      <c r="C23" s="17"/>
      <c r="D23" s="17"/>
      <c r="E23" s="26"/>
      <c r="F23" s="26"/>
      <c r="G23" s="26"/>
      <c r="H23" s="26"/>
      <c r="I23" s="23"/>
      <c r="J23" s="24"/>
    </row>
    <row r="24" spans="1:10" s="20" customFormat="1" ht="16.5" x14ac:dyDescent="0.25">
      <c r="A24" s="17"/>
      <c r="B24" s="17"/>
      <c r="C24" s="17"/>
      <c r="D24" s="17"/>
      <c r="E24" s="25"/>
      <c r="F24" s="25"/>
      <c r="G24" s="25"/>
      <c r="H24" s="25"/>
      <c r="I24" s="25"/>
      <c r="J24" s="24"/>
    </row>
    <row r="25" spans="1:10" s="20" customFormat="1" ht="16.5" x14ac:dyDescent="0.25">
      <c r="A25" s="17"/>
      <c r="B25" s="17"/>
      <c r="C25" s="17"/>
      <c r="D25" s="17"/>
      <c r="E25" s="22"/>
      <c r="F25" s="22"/>
      <c r="G25" s="22"/>
      <c r="H25" s="22"/>
      <c r="I25" s="23"/>
      <c r="J25" s="24"/>
    </row>
    <row r="26" spans="1:10" s="20" customFormat="1" ht="16.5" x14ac:dyDescent="0.25">
      <c r="A26" s="17"/>
      <c r="B26" s="17"/>
      <c r="C26" s="17"/>
      <c r="D26" s="17"/>
      <c r="E26" s="25"/>
      <c r="F26" s="25"/>
      <c r="G26" s="25"/>
      <c r="H26" s="25"/>
      <c r="I26" s="25"/>
      <c r="J26" s="24"/>
    </row>
    <row r="27" spans="1:10" s="20" customFormat="1" ht="16.5" x14ac:dyDescent="0.25">
      <c r="A27" s="17"/>
      <c r="B27" s="17"/>
      <c r="C27" s="17"/>
      <c r="D27" s="17"/>
      <c r="E27" s="25"/>
      <c r="F27" s="25"/>
      <c r="G27" s="25"/>
      <c r="H27" s="25"/>
      <c r="I27" s="25"/>
      <c r="J27" s="24"/>
    </row>
    <row r="28" spans="1:10" s="20" customFormat="1" ht="16.5" x14ac:dyDescent="0.25">
      <c r="A28" s="17"/>
      <c r="B28" s="17"/>
      <c r="C28" s="17"/>
      <c r="D28" s="17"/>
      <c r="E28" s="26"/>
      <c r="F28" s="26"/>
      <c r="G28" s="26"/>
      <c r="H28" s="26"/>
      <c r="I28" s="23"/>
      <c r="J28" s="24"/>
    </row>
    <row r="29" spans="1:10" s="20" customFormat="1" ht="16.5" x14ac:dyDescent="0.25">
      <c r="A29" s="17"/>
      <c r="B29" s="17"/>
      <c r="C29" s="17"/>
      <c r="D29" s="17"/>
      <c r="E29" s="22"/>
      <c r="F29" s="26"/>
      <c r="G29" s="26"/>
      <c r="H29" s="26"/>
      <c r="I29" s="25"/>
      <c r="J29" s="24"/>
    </row>
    <row r="30" spans="1:10" s="20" customFormat="1" ht="16.5" x14ac:dyDescent="0.25">
      <c r="A30" s="17"/>
      <c r="B30" s="17"/>
      <c r="C30" s="17"/>
      <c r="D30" s="17"/>
      <c r="E30" s="26"/>
      <c r="F30" s="26"/>
      <c r="G30" s="26"/>
      <c r="H30" s="26"/>
      <c r="I30" s="23"/>
      <c r="J30" s="24"/>
    </row>
    <row r="31" spans="1:10" s="20" customFormat="1" ht="16.5" x14ac:dyDescent="0.25">
      <c r="A31" s="17"/>
      <c r="B31" s="17"/>
      <c r="C31" s="17"/>
      <c r="D31" s="17"/>
      <c r="E31" s="25"/>
      <c r="F31" s="25"/>
      <c r="G31" s="25"/>
      <c r="H31" s="25"/>
      <c r="I31" s="25"/>
      <c r="J31" s="24"/>
    </row>
    <row r="32" spans="1:10" s="20" customFormat="1" ht="16.5" x14ac:dyDescent="0.25">
      <c r="A32" s="17"/>
      <c r="B32" s="17"/>
      <c r="C32" s="17"/>
      <c r="D32" s="17"/>
      <c r="E32" s="22"/>
      <c r="F32" s="22"/>
      <c r="G32" s="22"/>
      <c r="H32" s="22"/>
      <c r="I32" s="23"/>
      <c r="J32" s="24"/>
    </row>
    <row r="33" spans="1:10" s="20" customFormat="1" ht="16.5" x14ac:dyDescent="0.25">
      <c r="A33" s="17"/>
      <c r="B33" s="28"/>
      <c r="C33" s="28"/>
      <c r="D33" s="28"/>
      <c r="E33" s="25"/>
      <c r="F33" s="25"/>
      <c r="G33" s="25"/>
      <c r="H33" s="25"/>
      <c r="I33" s="25"/>
      <c r="J33" s="24"/>
    </row>
    <row r="34" spans="1:10" s="20" customFormat="1" ht="16.5" x14ac:dyDescent="0.25">
      <c r="A34" s="17"/>
      <c r="B34" s="28"/>
      <c r="C34" s="28"/>
      <c r="D34" s="28"/>
      <c r="E34" s="25"/>
      <c r="F34" s="25"/>
      <c r="G34" s="25"/>
      <c r="H34" s="25"/>
      <c r="I34" s="25"/>
      <c r="J34" s="24"/>
    </row>
    <row r="35" spans="1:10" s="20" customFormat="1" ht="16.5" x14ac:dyDescent="0.25">
      <c r="A35" s="17"/>
      <c r="B35" s="28"/>
      <c r="C35" s="28"/>
      <c r="D35" s="28"/>
      <c r="E35" s="25"/>
      <c r="F35" s="25"/>
      <c r="G35" s="25"/>
      <c r="H35" s="25"/>
      <c r="I35" s="25"/>
      <c r="J35" s="24"/>
    </row>
    <row r="36" spans="1:10" s="20" customFormat="1" ht="16.5" x14ac:dyDescent="0.25">
      <c r="A36" s="17"/>
      <c r="B36" s="17"/>
      <c r="C36" s="17"/>
      <c r="D36" s="17"/>
      <c r="E36" s="25"/>
      <c r="F36" s="25"/>
      <c r="G36" s="25"/>
      <c r="H36" s="25"/>
      <c r="I36" s="25"/>
      <c r="J36" s="24"/>
    </row>
    <row r="37" spans="1:10" s="20" customFormat="1" ht="16.5" x14ac:dyDescent="0.25">
      <c r="A37" s="17"/>
      <c r="B37" s="17"/>
      <c r="C37" s="17"/>
      <c r="D37" s="17"/>
      <c r="E37" s="25"/>
      <c r="F37" s="25"/>
      <c r="G37" s="25"/>
      <c r="H37" s="25"/>
      <c r="I37" s="25"/>
      <c r="J37" s="24"/>
    </row>
    <row r="38" spans="1:10" s="20" customFormat="1" ht="16.5" x14ac:dyDescent="0.25">
      <c r="A38" s="17"/>
      <c r="B38" s="17"/>
      <c r="C38" s="17"/>
      <c r="D38" s="17"/>
      <c r="E38" s="25"/>
      <c r="F38" s="25"/>
      <c r="G38" s="25"/>
      <c r="H38" s="25"/>
      <c r="I38" s="25"/>
      <c r="J38" s="24"/>
    </row>
    <row r="39" spans="1:10" s="20" customFormat="1" ht="16.5" x14ac:dyDescent="0.25">
      <c r="A39" s="17"/>
      <c r="B39" s="17"/>
      <c r="C39" s="17"/>
      <c r="D39" s="17"/>
      <c r="E39" s="25"/>
      <c r="F39" s="25"/>
      <c r="G39" s="25"/>
      <c r="H39" s="25"/>
      <c r="I39" s="25"/>
      <c r="J39" s="24"/>
    </row>
    <row r="40" spans="1:10" s="20" customFormat="1" ht="16.5" x14ac:dyDescent="0.25">
      <c r="A40" s="17"/>
      <c r="B40" s="17"/>
      <c r="C40" s="17"/>
      <c r="D40" s="17"/>
      <c r="E40" s="25"/>
      <c r="F40" s="25"/>
      <c r="G40" s="25"/>
      <c r="H40" s="25"/>
      <c r="I40" s="25"/>
      <c r="J40" s="24"/>
    </row>
    <row r="41" spans="1:10" s="20" customFormat="1" ht="16.5" x14ac:dyDescent="0.25">
      <c r="A41" s="17"/>
      <c r="B41" s="17"/>
      <c r="C41" s="17"/>
      <c r="D41" s="17"/>
      <c r="E41" s="25"/>
      <c r="F41" s="25"/>
      <c r="G41" s="25"/>
      <c r="H41" s="25"/>
      <c r="I41" s="25"/>
      <c r="J41" s="24"/>
    </row>
    <row r="42" spans="1:10" s="20" customFormat="1" ht="16.5" x14ac:dyDescent="0.25">
      <c r="A42" s="17"/>
      <c r="B42" s="17"/>
      <c r="C42" s="17"/>
      <c r="D42" s="17"/>
      <c r="E42" s="25"/>
      <c r="F42" s="25"/>
      <c r="G42" s="25"/>
      <c r="H42" s="25"/>
      <c r="I42" s="25"/>
      <c r="J42" s="24"/>
    </row>
    <row r="43" spans="1:10" s="20" customFormat="1" ht="16.5" x14ac:dyDescent="0.25">
      <c r="A43" s="17"/>
      <c r="B43" s="17"/>
      <c r="C43" s="17"/>
      <c r="D43" s="17"/>
      <c r="E43" s="26"/>
      <c r="F43" s="26"/>
      <c r="G43" s="26"/>
      <c r="H43" s="26"/>
      <c r="I43" s="23"/>
      <c r="J43" s="24"/>
    </row>
    <row r="44" spans="1:10" s="20" customFormat="1" ht="16.5" x14ac:dyDescent="0.25">
      <c r="A44" s="17"/>
      <c r="B44" s="17"/>
      <c r="C44" s="17"/>
      <c r="D44" s="17"/>
      <c r="E44" s="26"/>
      <c r="F44" s="26"/>
      <c r="G44" s="26"/>
      <c r="H44" s="26"/>
      <c r="I44" s="23"/>
      <c r="J44" s="24"/>
    </row>
    <row r="45" spans="1:10" s="20" customFormat="1" ht="16.5" x14ac:dyDescent="0.25">
      <c r="A45" s="17"/>
      <c r="B45" s="17"/>
      <c r="C45" s="17"/>
      <c r="D45" s="17"/>
      <c r="E45" s="26"/>
      <c r="F45" s="26"/>
      <c r="G45" s="26"/>
      <c r="H45" s="26"/>
      <c r="I45" s="23"/>
      <c r="J45" s="24"/>
    </row>
    <row r="46" spans="1:10" s="20" customFormat="1" ht="16.5" x14ac:dyDescent="0.25">
      <c r="A46" s="17"/>
      <c r="B46" s="17"/>
      <c r="C46" s="17"/>
      <c r="D46" s="17"/>
      <c r="E46" s="25"/>
      <c r="F46" s="25"/>
      <c r="G46" s="25"/>
      <c r="H46" s="25"/>
      <c r="I46" s="25"/>
      <c r="J46" s="24"/>
    </row>
    <row r="47" spans="1:10" s="20" customFormat="1" ht="16.5" x14ac:dyDescent="0.25">
      <c r="A47" s="17"/>
      <c r="B47" s="17"/>
      <c r="C47" s="17"/>
      <c r="D47" s="17"/>
      <c r="E47" s="22"/>
      <c r="F47" s="22"/>
      <c r="G47" s="22"/>
      <c r="H47" s="22"/>
      <c r="I47" s="23"/>
      <c r="J47" s="24"/>
    </row>
    <row r="48" spans="1:10" s="20" customFormat="1" ht="16.5" x14ac:dyDescent="0.25">
      <c r="A48" s="17"/>
      <c r="B48" s="17"/>
      <c r="C48" s="17"/>
      <c r="D48" s="17"/>
      <c r="E48" s="25"/>
      <c r="F48" s="25"/>
      <c r="G48" s="25"/>
      <c r="H48" s="25"/>
      <c r="I48" s="25"/>
      <c r="J48" s="24"/>
    </row>
    <row r="49" spans="1:10" s="20" customFormat="1" ht="16.5" x14ac:dyDescent="0.25">
      <c r="A49" s="17"/>
      <c r="B49" s="17"/>
      <c r="C49" s="17"/>
      <c r="D49" s="17"/>
      <c r="E49" s="25"/>
      <c r="F49" s="25"/>
      <c r="G49" s="25"/>
      <c r="H49" s="25"/>
      <c r="I49" s="25"/>
      <c r="J49" s="24"/>
    </row>
    <row r="50" spans="1:10" s="20" customFormat="1" ht="16.5" x14ac:dyDescent="0.25">
      <c r="A50" s="17"/>
      <c r="B50" s="17"/>
      <c r="C50" s="17"/>
      <c r="D50" s="17"/>
      <c r="E50" s="26"/>
      <c r="F50" s="26"/>
      <c r="G50" s="26"/>
      <c r="H50" s="26"/>
      <c r="I50" s="23"/>
      <c r="J50" s="24"/>
    </row>
    <row r="51" spans="1:10" s="20" customFormat="1" ht="16.5" x14ac:dyDescent="0.25">
      <c r="A51" s="17"/>
      <c r="B51" s="17"/>
      <c r="C51" s="17"/>
      <c r="D51" s="17"/>
      <c r="E51" s="22"/>
      <c r="F51" s="26"/>
      <c r="G51" s="26"/>
      <c r="H51" s="26"/>
      <c r="I51" s="25"/>
      <c r="J51" s="24"/>
    </row>
    <row r="52" spans="1:10" s="20" customFormat="1" ht="16.5" x14ac:dyDescent="0.25">
      <c r="A52" s="17"/>
      <c r="B52" s="17"/>
      <c r="C52" s="17"/>
      <c r="D52" s="17"/>
      <c r="E52" s="25"/>
      <c r="F52" s="25"/>
      <c r="G52" s="25"/>
      <c r="H52" s="25"/>
      <c r="I52" s="25"/>
      <c r="J52" s="24"/>
    </row>
    <row r="53" spans="1:10" s="17" customFormat="1" x14ac:dyDescent="0.25">
      <c r="E53" s="22"/>
      <c r="F53" s="22"/>
      <c r="G53" s="22"/>
      <c r="H53" s="22"/>
      <c r="I53" s="23"/>
      <c r="J53" s="24"/>
    </row>
    <row r="54" spans="1:10" s="17" customFormat="1" x14ac:dyDescent="0.25">
      <c r="E54" s="25"/>
      <c r="F54" s="25"/>
      <c r="G54" s="25"/>
      <c r="H54" s="25"/>
      <c r="I54" s="25"/>
      <c r="J54" s="24"/>
    </row>
    <row r="55" spans="1:10" s="17" customFormat="1" x14ac:dyDescent="0.25">
      <c r="E55" s="25"/>
      <c r="F55" s="25"/>
      <c r="G55" s="25"/>
      <c r="H55" s="25"/>
      <c r="I55" s="25"/>
      <c r="J55" s="24"/>
    </row>
    <row r="56" spans="1:10" s="17" customFormat="1" x14ac:dyDescent="0.25">
      <c r="E56" s="26"/>
      <c r="F56" s="26"/>
      <c r="G56" s="26"/>
      <c r="H56" s="26"/>
      <c r="I56" s="23"/>
      <c r="J56" s="24"/>
    </row>
    <row r="57" spans="1:10" s="17" customFormat="1" x14ac:dyDescent="0.25">
      <c r="E57" s="26"/>
      <c r="F57" s="26"/>
      <c r="G57" s="26"/>
      <c r="H57" s="26"/>
      <c r="I57" s="23"/>
      <c r="J57" s="24"/>
    </row>
    <row r="58" spans="1:10" s="17" customFormat="1" x14ac:dyDescent="0.25">
      <c r="E58" s="22"/>
      <c r="F58" s="26"/>
      <c r="G58" s="26"/>
      <c r="H58" s="26"/>
      <c r="I58" s="25"/>
      <c r="J58" s="24"/>
    </row>
    <row r="59" spans="1:10" s="17" customFormat="1" x14ac:dyDescent="0.25">
      <c r="E59" s="25"/>
      <c r="F59" s="25"/>
      <c r="G59" s="25"/>
      <c r="H59" s="25"/>
      <c r="I59" s="25"/>
      <c r="J59" s="24"/>
    </row>
    <row r="60" spans="1:10" s="17" customFormat="1" x14ac:dyDescent="0.25">
      <c r="E60" s="22"/>
      <c r="F60" s="22"/>
      <c r="G60" s="22"/>
      <c r="H60" s="22"/>
      <c r="I60" s="23"/>
      <c r="J60" s="24"/>
    </row>
    <row r="61" spans="1:10" s="17" customFormat="1" x14ac:dyDescent="0.25">
      <c r="E61" s="25"/>
      <c r="F61" s="25"/>
      <c r="G61" s="25"/>
      <c r="H61" s="25"/>
      <c r="I61" s="25"/>
      <c r="J61" s="24"/>
    </row>
    <row r="62" spans="1:10" s="17" customFormat="1" x14ac:dyDescent="0.25">
      <c r="E62" s="25"/>
      <c r="F62" s="25"/>
      <c r="G62" s="25"/>
      <c r="H62" s="25"/>
      <c r="I62" s="25"/>
      <c r="J62" s="24"/>
    </row>
    <row r="63" spans="1:10" s="17" customFormat="1" x14ac:dyDescent="0.25">
      <c r="E63" s="26"/>
      <c r="F63" s="26"/>
      <c r="G63" s="26"/>
      <c r="H63" s="26"/>
      <c r="I63" s="23"/>
      <c r="J63" s="24"/>
    </row>
    <row r="64" spans="1:10" s="17" customFormat="1" x14ac:dyDescent="0.25">
      <c r="E64" s="26"/>
      <c r="F64" s="26"/>
      <c r="G64" s="26"/>
      <c r="H64" s="26"/>
      <c r="I64" s="23"/>
      <c r="J64" s="24"/>
    </row>
    <row r="65" spans="5:10" s="17" customFormat="1" x14ac:dyDescent="0.25">
      <c r="E65" s="26"/>
      <c r="F65" s="26"/>
      <c r="G65" s="26"/>
      <c r="H65" s="26"/>
      <c r="I65" s="23"/>
      <c r="J65" s="24"/>
    </row>
    <row r="66" spans="5:10" s="17" customFormat="1" x14ac:dyDescent="0.25">
      <c r="E66" s="22"/>
      <c r="F66" s="26"/>
      <c r="G66" s="26"/>
      <c r="H66" s="26"/>
      <c r="I66" s="25"/>
      <c r="J66" s="24"/>
    </row>
    <row r="67" spans="5:10" s="17" customFormat="1" x14ac:dyDescent="0.25">
      <c r="E67" s="25"/>
      <c r="F67" s="25"/>
      <c r="G67" s="25"/>
      <c r="H67" s="25"/>
      <c r="I67" s="25"/>
      <c r="J67" s="24"/>
    </row>
    <row r="68" spans="5:10" s="17" customFormat="1" x14ac:dyDescent="0.25">
      <c r="E68" s="22"/>
      <c r="F68" s="22"/>
      <c r="G68" s="22"/>
      <c r="H68" s="22"/>
      <c r="I68" s="23"/>
      <c r="J68" s="24"/>
    </row>
    <row r="69" spans="5:10" s="17" customFormat="1" x14ac:dyDescent="0.25">
      <c r="E69" s="25"/>
      <c r="F69" s="25"/>
      <c r="G69" s="25"/>
      <c r="H69" s="25"/>
      <c r="I69" s="25"/>
      <c r="J69" s="24"/>
    </row>
    <row r="70" spans="5:10" s="17" customFormat="1" x14ac:dyDescent="0.25">
      <c r="E70" s="25"/>
      <c r="F70" s="25"/>
      <c r="G70" s="25"/>
      <c r="H70" s="25"/>
      <c r="I70" s="25"/>
      <c r="J70" s="24"/>
    </row>
    <row r="71" spans="5:10" s="17" customFormat="1" x14ac:dyDescent="0.25">
      <c r="E71" s="25"/>
      <c r="F71" s="25"/>
      <c r="G71" s="25"/>
      <c r="H71" s="25"/>
      <c r="I71" s="25"/>
      <c r="J71" s="24"/>
    </row>
    <row r="72" spans="5:10" s="17" customFormat="1" x14ac:dyDescent="0.25">
      <c r="E72" s="25"/>
      <c r="F72" s="25"/>
      <c r="G72" s="25"/>
      <c r="H72" s="25"/>
      <c r="I72" s="25"/>
      <c r="J72" s="24"/>
    </row>
    <row r="73" spans="5:10" s="17" customFormat="1" x14ac:dyDescent="0.25">
      <c r="E73" s="25"/>
      <c r="F73" s="29"/>
      <c r="G73" s="29"/>
      <c r="H73" s="29"/>
      <c r="I73" s="25"/>
      <c r="J73" s="24"/>
    </row>
    <row r="74" spans="5:10" s="17" customFormat="1" x14ac:dyDescent="0.25">
      <c r="E74" s="25"/>
      <c r="F74" s="25"/>
      <c r="G74" s="25"/>
      <c r="H74" s="25"/>
      <c r="I74" s="25"/>
      <c r="J74" s="24"/>
    </row>
    <row r="75" spans="5:10" s="17" customFormat="1" x14ac:dyDescent="0.25">
      <c r="E75" s="25"/>
      <c r="F75" s="25"/>
      <c r="G75" s="25"/>
      <c r="H75" s="25"/>
      <c r="I75" s="25"/>
      <c r="J75" s="24"/>
    </row>
    <row r="76" spans="5:10" s="17" customFormat="1" x14ac:dyDescent="0.25">
      <c r="E76" s="25"/>
      <c r="F76" s="25"/>
      <c r="G76" s="25"/>
      <c r="H76" s="25"/>
      <c r="I76" s="25"/>
      <c r="J76" s="24"/>
    </row>
    <row r="77" spans="5:10" s="17" customFormat="1" x14ac:dyDescent="0.25">
      <c r="E77" s="25"/>
      <c r="F77" s="25"/>
      <c r="G77" s="25"/>
      <c r="H77" s="25"/>
      <c r="I77" s="25"/>
      <c r="J77" s="30"/>
    </row>
    <row r="78" spans="5:10" s="17" customFormat="1" x14ac:dyDescent="0.25">
      <c r="E78" s="25"/>
      <c r="F78" s="25"/>
      <c r="G78" s="25"/>
      <c r="H78" s="25"/>
      <c r="I78" s="25"/>
      <c r="J78" s="30"/>
    </row>
    <row r="79" spans="5:10" s="17" customFormat="1" x14ac:dyDescent="0.25">
      <c r="E79" s="25"/>
      <c r="F79" s="25"/>
      <c r="G79" s="25"/>
      <c r="H79" s="25"/>
      <c r="I79" s="25"/>
      <c r="J79" s="30"/>
    </row>
    <row r="80" spans="5:10" s="17" customFormat="1" x14ac:dyDescent="0.25">
      <c r="E80" s="31"/>
      <c r="F80" s="31"/>
      <c r="G80" s="31"/>
      <c r="H80" s="31"/>
      <c r="J80" s="30"/>
    </row>
    <row r="81" spans="5:10" s="17" customFormat="1" x14ac:dyDescent="0.25">
      <c r="E81" s="31"/>
      <c r="F81" s="31"/>
      <c r="G81" s="31"/>
      <c r="H81" s="31"/>
      <c r="J81" s="30"/>
    </row>
    <row r="82" spans="5:10" s="17" customFormat="1" x14ac:dyDescent="0.25">
      <c r="E82" s="31"/>
      <c r="F82" s="31"/>
      <c r="G82" s="31"/>
      <c r="H82" s="31"/>
      <c r="J82" s="30"/>
    </row>
    <row r="83" spans="5:10" x14ac:dyDescent="0.25">
      <c r="J83" s="30"/>
    </row>
  </sheetData>
  <dataConsolidate/>
  <mergeCells count="3">
    <mergeCell ref="A1:J1"/>
    <mergeCell ref="A7:J7"/>
    <mergeCell ref="A8:I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2"/>
  <sheetViews>
    <sheetView view="pageBreakPreview" zoomScaleNormal="70" zoomScaleSheetLayoutView="100" workbookViewId="0">
      <selection activeCell="A4" sqref="A4"/>
    </sheetView>
  </sheetViews>
  <sheetFormatPr defaultColWidth="54.28515625" defaultRowHeight="15" x14ac:dyDescent="0.25"/>
  <cols>
    <col min="1" max="1" width="15.42578125" style="17" bestFit="1" customWidth="1"/>
    <col min="2" max="2" width="12.85546875" style="17" bestFit="1" customWidth="1"/>
    <col min="3" max="3" width="17.28515625" style="17" bestFit="1" customWidth="1"/>
    <col min="4" max="4" width="13.140625" style="17" bestFit="1" customWidth="1"/>
    <col min="5" max="5" width="11.85546875" style="31" bestFit="1" customWidth="1"/>
    <col min="6" max="6" width="13.5703125" style="31" customWidth="1"/>
    <col min="7" max="7" width="9.42578125" style="31" bestFit="1" customWidth="1"/>
    <col min="8" max="8" width="13.85546875" style="31" bestFit="1" customWidth="1"/>
    <col min="9" max="9" width="27.85546875" style="17" customWidth="1"/>
    <col min="10" max="10" width="23" style="32" bestFit="1" customWidth="1" collapsed="1"/>
    <col min="11" max="16384" width="54.28515625" style="3"/>
  </cols>
  <sheetData>
    <row r="1" spans="1:10" s="1" customFormat="1" ht="21" x14ac:dyDescent="0.25">
      <c r="A1" s="124" t="s">
        <v>23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63.75" customHeight="1" x14ac:dyDescent="0.25">
      <c r="A2" s="2" t="s">
        <v>102</v>
      </c>
      <c r="B2" s="2" t="s">
        <v>3</v>
      </c>
      <c r="C2" s="2" t="s">
        <v>99</v>
      </c>
      <c r="D2" s="2" t="s">
        <v>0</v>
      </c>
      <c r="E2" s="2" t="s">
        <v>1</v>
      </c>
      <c r="F2" s="2" t="s">
        <v>100</v>
      </c>
      <c r="G2" s="2" t="s">
        <v>19</v>
      </c>
      <c r="H2" s="2" t="s">
        <v>20</v>
      </c>
      <c r="I2" s="2" t="s">
        <v>12</v>
      </c>
      <c r="J2" s="2" t="s">
        <v>21</v>
      </c>
    </row>
    <row r="3" spans="1:10" ht="18" customHeight="1" x14ac:dyDescent="0.25">
      <c r="A3" s="4" t="s">
        <v>109</v>
      </c>
      <c r="B3" s="5" t="s">
        <v>6</v>
      </c>
      <c r="C3" s="6">
        <v>45681</v>
      </c>
      <c r="D3" s="6">
        <v>45684</v>
      </c>
      <c r="E3" s="7">
        <v>46048</v>
      </c>
      <c r="F3" s="8">
        <v>364</v>
      </c>
      <c r="G3" s="9" t="s">
        <v>8</v>
      </c>
      <c r="H3" s="10">
        <v>0.5</v>
      </c>
      <c r="I3" s="11">
        <v>6561030</v>
      </c>
      <c r="J3" s="11">
        <f>+I3*1</f>
        <v>6561030</v>
      </c>
    </row>
    <row r="4" spans="1:10" ht="18" customHeight="1" x14ac:dyDescent="0.25">
      <c r="A4" s="4" t="s">
        <v>110</v>
      </c>
      <c r="B4" s="5" t="s">
        <v>6</v>
      </c>
      <c r="C4" s="6">
        <v>45797</v>
      </c>
      <c r="D4" s="6">
        <v>45798</v>
      </c>
      <c r="E4" s="7">
        <v>46162</v>
      </c>
      <c r="F4" s="8">
        <v>364</v>
      </c>
      <c r="G4" s="9" t="s">
        <v>8</v>
      </c>
      <c r="H4" s="10">
        <v>0.6</v>
      </c>
      <c r="I4" s="11">
        <v>9482350</v>
      </c>
      <c r="J4" s="11">
        <f>+I4*1</f>
        <v>9482350</v>
      </c>
    </row>
    <row r="5" spans="1:10" ht="14.25" customHeight="1" x14ac:dyDescent="0.25">
      <c r="B5" s="45"/>
      <c r="C5" s="45"/>
      <c r="D5" s="45"/>
      <c r="E5" s="45"/>
      <c r="F5" s="45"/>
      <c r="G5" s="45"/>
      <c r="H5" s="66"/>
      <c r="I5" s="66"/>
      <c r="J5" s="66"/>
    </row>
    <row r="6" spans="1:10" s="20" customFormat="1" ht="15" customHeight="1" x14ac:dyDescent="0.25">
      <c r="A6" s="126" t="s">
        <v>24</v>
      </c>
      <c r="B6" s="127"/>
      <c r="C6" s="127"/>
      <c r="D6" s="127"/>
      <c r="E6" s="127"/>
      <c r="F6" s="127"/>
      <c r="G6" s="127"/>
      <c r="H6" s="127"/>
      <c r="I6" s="127"/>
      <c r="J6" s="128"/>
    </row>
    <row r="7" spans="1:10" s="20" customFormat="1" ht="15" customHeight="1" x14ac:dyDescent="0.25">
      <c r="A7" s="129" t="s">
        <v>69</v>
      </c>
      <c r="B7" s="129"/>
      <c r="C7" s="129"/>
      <c r="D7" s="129"/>
      <c r="E7" s="129"/>
      <c r="F7" s="129"/>
      <c r="G7" s="129"/>
      <c r="H7" s="129"/>
      <c r="I7" s="130"/>
      <c r="J7" s="122"/>
    </row>
    <row r="8" spans="1:10" s="20" customFormat="1" ht="16.5" x14ac:dyDescent="0.25">
      <c r="A8" s="17"/>
      <c r="B8" s="17"/>
      <c r="C8" s="17"/>
      <c r="D8" s="17"/>
      <c r="E8" s="22"/>
      <c r="F8" s="22"/>
      <c r="G8" s="22"/>
      <c r="H8" s="22"/>
      <c r="I8" s="23"/>
      <c r="J8" s="24"/>
    </row>
    <row r="9" spans="1:10" s="20" customFormat="1" ht="16.5" x14ac:dyDescent="0.25">
      <c r="A9" s="17"/>
      <c r="B9" s="17"/>
      <c r="C9" s="17"/>
      <c r="D9" s="17"/>
      <c r="E9" s="25"/>
      <c r="F9" s="25"/>
      <c r="G9" s="25"/>
      <c r="H9" s="25"/>
      <c r="I9" s="25"/>
      <c r="J9" s="24"/>
    </row>
    <row r="10" spans="1:10" s="20" customFormat="1" ht="16.5" x14ac:dyDescent="0.25">
      <c r="A10" s="17"/>
      <c r="B10" s="17"/>
      <c r="C10" s="17"/>
      <c r="D10" s="17"/>
      <c r="E10" s="25"/>
      <c r="F10" s="25"/>
      <c r="G10" s="25"/>
      <c r="H10" s="25"/>
      <c r="I10" s="25"/>
      <c r="J10" s="24"/>
    </row>
    <row r="11" spans="1:10" s="20" customFormat="1" ht="16.5" x14ac:dyDescent="0.25">
      <c r="A11" s="17"/>
      <c r="B11" s="17"/>
      <c r="C11" s="17"/>
      <c r="D11" s="17"/>
      <c r="E11" s="26"/>
      <c r="F11" s="26"/>
      <c r="G11" s="26"/>
      <c r="H11" s="26"/>
      <c r="I11" s="23"/>
      <c r="J11" s="27"/>
    </row>
    <row r="12" spans="1:10" s="20" customFormat="1" ht="16.5" x14ac:dyDescent="0.25">
      <c r="A12" s="17"/>
      <c r="B12" s="17"/>
      <c r="C12" s="17"/>
      <c r="D12" s="17"/>
      <c r="E12" s="22"/>
      <c r="F12" s="26"/>
      <c r="G12" s="26"/>
      <c r="H12" s="26"/>
      <c r="I12" s="25"/>
      <c r="J12" s="24"/>
    </row>
    <row r="13" spans="1:10" s="20" customFormat="1" ht="16.5" x14ac:dyDescent="0.25">
      <c r="A13" s="17"/>
      <c r="B13" s="17"/>
      <c r="C13" s="17"/>
      <c r="D13" s="17"/>
      <c r="E13" s="26"/>
      <c r="F13" s="26"/>
      <c r="G13" s="26"/>
      <c r="H13" s="26"/>
      <c r="I13" s="23"/>
      <c r="J13" s="24"/>
    </row>
    <row r="14" spans="1:10" s="20" customFormat="1" ht="16.5" x14ac:dyDescent="0.25">
      <c r="A14" s="17"/>
      <c r="B14" s="17"/>
      <c r="C14" s="17"/>
      <c r="D14" s="17"/>
      <c r="E14" s="25"/>
      <c r="F14" s="25"/>
      <c r="G14" s="25"/>
      <c r="H14" s="25"/>
      <c r="I14" s="25"/>
      <c r="J14" s="24"/>
    </row>
    <row r="15" spans="1:10" s="20" customFormat="1" ht="16.5" x14ac:dyDescent="0.25">
      <c r="A15" s="17"/>
      <c r="B15" s="17"/>
      <c r="C15" s="17"/>
      <c r="D15" s="17"/>
      <c r="E15" s="22"/>
      <c r="F15" s="22"/>
      <c r="G15" s="22"/>
      <c r="H15" s="22"/>
      <c r="I15" s="23"/>
      <c r="J15" s="24"/>
    </row>
    <row r="16" spans="1:10" s="20" customFormat="1" ht="16.5" x14ac:dyDescent="0.25">
      <c r="A16" s="17"/>
      <c r="B16" s="17"/>
      <c r="C16" s="17"/>
      <c r="D16" s="17"/>
      <c r="E16" s="22"/>
      <c r="F16" s="22"/>
      <c r="G16" s="22"/>
      <c r="H16" s="22"/>
      <c r="I16" s="23"/>
      <c r="J16" s="24"/>
    </row>
    <row r="17" spans="1:10" s="20" customFormat="1" ht="16.5" x14ac:dyDescent="0.25">
      <c r="A17" s="17"/>
      <c r="B17" s="17"/>
      <c r="C17" s="17"/>
      <c r="D17" s="17"/>
      <c r="E17" s="22"/>
      <c r="F17" s="22"/>
      <c r="G17" s="22"/>
      <c r="H17" s="22"/>
      <c r="I17" s="23"/>
      <c r="J17" s="24"/>
    </row>
    <row r="18" spans="1:10" s="20" customFormat="1" ht="16.5" x14ac:dyDescent="0.25">
      <c r="A18" s="17"/>
      <c r="B18" s="17"/>
      <c r="C18" s="17"/>
      <c r="D18" s="17"/>
      <c r="E18" s="22"/>
      <c r="F18" s="22"/>
      <c r="G18" s="22"/>
      <c r="H18" s="22"/>
      <c r="I18" s="23"/>
      <c r="J18" s="24"/>
    </row>
    <row r="19" spans="1:10" s="20" customFormat="1" ht="16.5" x14ac:dyDescent="0.25">
      <c r="A19" s="17"/>
      <c r="B19" s="17"/>
      <c r="C19" s="17"/>
      <c r="D19" s="17"/>
      <c r="E19" s="25"/>
      <c r="F19" s="25"/>
      <c r="G19" s="25"/>
      <c r="H19" s="25"/>
      <c r="I19" s="25"/>
      <c r="J19" s="24"/>
    </row>
    <row r="20" spans="1:10" s="20" customFormat="1" ht="16.5" x14ac:dyDescent="0.25">
      <c r="A20" s="17"/>
      <c r="B20" s="17"/>
      <c r="C20" s="17"/>
      <c r="D20" s="17"/>
      <c r="E20" s="26"/>
      <c r="F20" s="26"/>
      <c r="G20" s="26"/>
      <c r="H20" s="26"/>
      <c r="I20" s="23"/>
      <c r="J20" s="24"/>
    </row>
    <row r="21" spans="1:10" s="20" customFormat="1" ht="16.5" x14ac:dyDescent="0.25">
      <c r="A21" s="17"/>
      <c r="B21" s="17"/>
      <c r="C21" s="17"/>
      <c r="D21" s="17"/>
      <c r="E21" s="22"/>
      <c r="F21" s="26"/>
      <c r="G21" s="26"/>
      <c r="H21" s="26"/>
      <c r="I21" s="25"/>
      <c r="J21" s="24"/>
    </row>
    <row r="22" spans="1:10" s="20" customFormat="1" ht="16.5" x14ac:dyDescent="0.25">
      <c r="A22" s="17"/>
      <c r="B22" s="17"/>
      <c r="C22" s="17"/>
      <c r="D22" s="17"/>
      <c r="E22" s="26"/>
      <c r="F22" s="26"/>
      <c r="G22" s="26"/>
      <c r="H22" s="26"/>
      <c r="I22" s="23"/>
      <c r="J22" s="24"/>
    </row>
    <row r="23" spans="1:10" s="20" customFormat="1" ht="16.5" x14ac:dyDescent="0.25">
      <c r="A23" s="17"/>
      <c r="B23" s="17"/>
      <c r="C23" s="17"/>
      <c r="D23" s="17"/>
      <c r="E23" s="25"/>
      <c r="F23" s="25"/>
      <c r="G23" s="25"/>
      <c r="H23" s="25"/>
      <c r="I23" s="25"/>
      <c r="J23" s="24"/>
    </row>
    <row r="24" spans="1:10" s="20" customFormat="1" ht="16.5" x14ac:dyDescent="0.25">
      <c r="A24" s="17"/>
      <c r="B24" s="17"/>
      <c r="C24" s="17"/>
      <c r="D24" s="17"/>
      <c r="E24" s="22"/>
      <c r="F24" s="22"/>
      <c r="G24" s="22"/>
      <c r="H24" s="22"/>
      <c r="I24" s="23"/>
      <c r="J24" s="24"/>
    </row>
    <row r="25" spans="1:10" s="20" customFormat="1" ht="16.5" x14ac:dyDescent="0.25">
      <c r="A25" s="17"/>
      <c r="B25" s="17"/>
      <c r="C25" s="17"/>
      <c r="D25" s="17"/>
      <c r="E25" s="25"/>
      <c r="F25" s="25"/>
      <c r="G25" s="25"/>
      <c r="H25" s="25"/>
      <c r="I25" s="25"/>
      <c r="J25" s="24"/>
    </row>
    <row r="26" spans="1:10" s="20" customFormat="1" ht="16.5" x14ac:dyDescent="0.25">
      <c r="A26" s="17"/>
      <c r="B26" s="17"/>
      <c r="C26" s="17"/>
      <c r="D26" s="17"/>
      <c r="E26" s="25"/>
      <c r="F26" s="25"/>
      <c r="G26" s="25"/>
      <c r="H26" s="25"/>
      <c r="I26" s="25"/>
      <c r="J26" s="24"/>
    </row>
    <row r="27" spans="1:10" s="20" customFormat="1" ht="16.5" x14ac:dyDescent="0.25">
      <c r="A27" s="17"/>
      <c r="B27" s="17"/>
      <c r="C27" s="17"/>
      <c r="D27" s="17"/>
      <c r="E27" s="26"/>
      <c r="F27" s="26"/>
      <c r="G27" s="26"/>
      <c r="H27" s="26"/>
      <c r="I27" s="23"/>
      <c r="J27" s="24"/>
    </row>
    <row r="28" spans="1:10" s="20" customFormat="1" ht="16.5" x14ac:dyDescent="0.25">
      <c r="A28" s="17"/>
      <c r="B28" s="17"/>
      <c r="C28" s="17"/>
      <c r="D28" s="17"/>
      <c r="E28" s="22"/>
      <c r="F28" s="26"/>
      <c r="G28" s="26"/>
      <c r="H28" s="26"/>
      <c r="I28" s="25"/>
      <c r="J28" s="24"/>
    </row>
    <row r="29" spans="1:10" s="20" customFormat="1" ht="16.5" x14ac:dyDescent="0.25">
      <c r="A29" s="17"/>
      <c r="B29" s="17"/>
      <c r="C29" s="17"/>
      <c r="D29" s="17"/>
      <c r="E29" s="26"/>
      <c r="F29" s="26"/>
      <c r="G29" s="26"/>
      <c r="H29" s="26"/>
      <c r="I29" s="23"/>
      <c r="J29" s="24"/>
    </row>
    <row r="30" spans="1:10" s="20" customFormat="1" ht="16.5" x14ac:dyDescent="0.25">
      <c r="A30" s="17"/>
      <c r="B30" s="17"/>
      <c r="C30" s="17"/>
      <c r="D30" s="17"/>
      <c r="E30" s="25"/>
      <c r="F30" s="25"/>
      <c r="G30" s="25"/>
      <c r="H30" s="25"/>
      <c r="I30" s="25"/>
      <c r="J30" s="24"/>
    </row>
    <row r="31" spans="1:10" s="20" customFormat="1" ht="16.5" x14ac:dyDescent="0.25">
      <c r="A31" s="17"/>
      <c r="B31" s="17"/>
      <c r="C31" s="17"/>
      <c r="D31" s="17"/>
      <c r="E31" s="22"/>
      <c r="F31" s="22"/>
      <c r="G31" s="22"/>
      <c r="H31" s="22"/>
      <c r="I31" s="23"/>
      <c r="J31" s="24"/>
    </row>
    <row r="32" spans="1:10" s="20" customFormat="1" ht="16.5" x14ac:dyDescent="0.25">
      <c r="A32" s="17"/>
      <c r="B32" s="28"/>
      <c r="C32" s="28"/>
      <c r="D32" s="28"/>
      <c r="E32" s="25"/>
      <c r="F32" s="25"/>
      <c r="G32" s="25"/>
      <c r="H32" s="25"/>
      <c r="I32" s="25"/>
      <c r="J32" s="24"/>
    </row>
    <row r="33" spans="1:10" s="20" customFormat="1" ht="16.5" x14ac:dyDescent="0.25">
      <c r="A33" s="17"/>
      <c r="B33" s="28"/>
      <c r="C33" s="28"/>
      <c r="D33" s="28"/>
      <c r="E33" s="25"/>
      <c r="F33" s="25"/>
      <c r="G33" s="25"/>
      <c r="H33" s="25"/>
      <c r="I33" s="25"/>
      <c r="J33" s="24"/>
    </row>
    <row r="34" spans="1:10" s="20" customFormat="1" ht="16.5" x14ac:dyDescent="0.25">
      <c r="A34" s="17"/>
      <c r="B34" s="28"/>
      <c r="C34" s="28"/>
      <c r="D34" s="28"/>
      <c r="E34" s="25"/>
      <c r="F34" s="25"/>
      <c r="G34" s="25"/>
      <c r="H34" s="25"/>
      <c r="I34" s="25"/>
      <c r="J34" s="24"/>
    </row>
    <row r="35" spans="1:10" s="20" customFormat="1" ht="16.5" x14ac:dyDescent="0.25">
      <c r="A35" s="17"/>
      <c r="B35" s="17"/>
      <c r="C35" s="17"/>
      <c r="D35" s="17"/>
      <c r="E35" s="25"/>
      <c r="F35" s="25"/>
      <c r="G35" s="25"/>
      <c r="H35" s="25"/>
      <c r="I35" s="25"/>
      <c r="J35" s="24"/>
    </row>
    <row r="36" spans="1:10" s="20" customFormat="1" ht="16.5" x14ac:dyDescent="0.25">
      <c r="A36" s="17"/>
      <c r="B36" s="17"/>
      <c r="C36" s="17"/>
      <c r="D36" s="17"/>
      <c r="E36" s="25"/>
      <c r="F36" s="25"/>
      <c r="G36" s="25"/>
      <c r="H36" s="25"/>
      <c r="I36" s="25"/>
      <c r="J36" s="24"/>
    </row>
    <row r="37" spans="1:10" s="20" customFormat="1" ht="16.5" x14ac:dyDescent="0.25">
      <c r="A37" s="17"/>
      <c r="B37" s="17"/>
      <c r="C37" s="17"/>
      <c r="D37" s="17"/>
      <c r="E37" s="25"/>
      <c r="F37" s="25"/>
      <c r="G37" s="25"/>
      <c r="H37" s="25"/>
      <c r="I37" s="25"/>
      <c r="J37" s="24"/>
    </row>
    <row r="38" spans="1:10" s="20" customFormat="1" ht="16.5" x14ac:dyDescent="0.25">
      <c r="A38" s="17"/>
      <c r="B38" s="17"/>
      <c r="C38" s="17"/>
      <c r="D38" s="17"/>
      <c r="E38" s="25"/>
      <c r="F38" s="25"/>
      <c r="G38" s="25"/>
      <c r="H38" s="25"/>
      <c r="I38" s="25"/>
      <c r="J38" s="24"/>
    </row>
    <row r="39" spans="1:10" s="20" customFormat="1" ht="16.5" x14ac:dyDescent="0.25">
      <c r="A39" s="17"/>
      <c r="B39" s="17"/>
      <c r="C39" s="17"/>
      <c r="D39" s="17"/>
      <c r="E39" s="25"/>
      <c r="F39" s="25"/>
      <c r="G39" s="25"/>
      <c r="H39" s="25"/>
      <c r="I39" s="25"/>
      <c r="J39" s="24"/>
    </row>
    <row r="40" spans="1:10" s="20" customFormat="1" ht="16.5" x14ac:dyDescent="0.25">
      <c r="A40" s="17"/>
      <c r="B40" s="17"/>
      <c r="C40" s="17"/>
      <c r="D40" s="17"/>
      <c r="E40" s="25"/>
      <c r="F40" s="25"/>
      <c r="G40" s="25"/>
      <c r="H40" s="25"/>
      <c r="I40" s="25"/>
      <c r="J40" s="24"/>
    </row>
    <row r="41" spans="1:10" s="20" customFormat="1" ht="16.5" x14ac:dyDescent="0.25">
      <c r="A41" s="17"/>
      <c r="B41" s="17"/>
      <c r="C41" s="17"/>
      <c r="D41" s="17"/>
      <c r="E41" s="25"/>
      <c r="F41" s="25"/>
      <c r="G41" s="25"/>
      <c r="H41" s="25"/>
      <c r="I41" s="25"/>
      <c r="J41" s="24"/>
    </row>
    <row r="42" spans="1:10" s="20" customFormat="1" ht="16.5" x14ac:dyDescent="0.25">
      <c r="A42" s="17"/>
      <c r="B42" s="17"/>
      <c r="C42" s="17"/>
      <c r="D42" s="17"/>
      <c r="E42" s="26"/>
      <c r="F42" s="26"/>
      <c r="G42" s="26"/>
      <c r="H42" s="26"/>
      <c r="I42" s="23"/>
      <c r="J42" s="24"/>
    </row>
    <row r="43" spans="1:10" s="20" customFormat="1" ht="16.5" x14ac:dyDescent="0.25">
      <c r="A43" s="17"/>
      <c r="B43" s="17"/>
      <c r="C43" s="17"/>
      <c r="D43" s="17"/>
      <c r="E43" s="26"/>
      <c r="F43" s="26"/>
      <c r="G43" s="26"/>
      <c r="H43" s="26"/>
      <c r="I43" s="23"/>
      <c r="J43" s="24"/>
    </row>
    <row r="44" spans="1:10" s="20" customFormat="1" ht="16.5" x14ac:dyDescent="0.25">
      <c r="A44" s="17"/>
      <c r="B44" s="17"/>
      <c r="C44" s="17"/>
      <c r="D44" s="17"/>
      <c r="E44" s="26"/>
      <c r="F44" s="26"/>
      <c r="G44" s="26"/>
      <c r="H44" s="26"/>
      <c r="I44" s="23"/>
      <c r="J44" s="24"/>
    </row>
    <row r="45" spans="1:10" s="20" customFormat="1" ht="16.5" x14ac:dyDescent="0.25">
      <c r="A45" s="17"/>
      <c r="B45" s="17"/>
      <c r="C45" s="17"/>
      <c r="D45" s="17"/>
      <c r="E45" s="25"/>
      <c r="F45" s="25"/>
      <c r="G45" s="25"/>
      <c r="H45" s="25"/>
      <c r="I45" s="25"/>
      <c r="J45" s="24"/>
    </row>
    <row r="46" spans="1:10" s="20" customFormat="1" ht="16.5" x14ac:dyDescent="0.25">
      <c r="A46" s="17"/>
      <c r="B46" s="17"/>
      <c r="C46" s="17"/>
      <c r="D46" s="17"/>
      <c r="E46" s="22"/>
      <c r="F46" s="22"/>
      <c r="G46" s="22"/>
      <c r="H46" s="22"/>
      <c r="I46" s="23"/>
      <c r="J46" s="24"/>
    </row>
    <row r="47" spans="1:10" s="20" customFormat="1" ht="16.5" x14ac:dyDescent="0.25">
      <c r="A47" s="17"/>
      <c r="B47" s="17"/>
      <c r="C47" s="17"/>
      <c r="D47" s="17"/>
      <c r="E47" s="25"/>
      <c r="F47" s="25"/>
      <c r="G47" s="25"/>
      <c r="H47" s="25"/>
      <c r="I47" s="25"/>
      <c r="J47" s="24"/>
    </row>
    <row r="48" spans="1:10" s="20" customFormat="1" ht="16.5" x14ac:dyDescent="0.25">
      <c r="A48" s="17"/>
      <c r="B48" s="17"/>
      <c r="C48" s="17"/>
      <c r="D48" s="17"/>
      <c r="E48" s="25"/>
      <c r="F48" s="25"/>
      <c r="G48" s="25"/>
      <c r="H48" s="25"/>
      <c r="I48" s="25"/>
      <c r="J48" s="24"/>
    </row>
    <row r="49" spans="1:10" s="20" customFormat="1" ht="16.5" x14ac:dyDescent="0.25">
      <c r="A49" s="17"/>
      <c r="B49" s="17"/>
      <c r="C49" s="17"/>
      <c r="D49" s="17"/>
      <c r="E49" s="26"/>
      <c r="F49" s="26"/>
      <c r="G49" s="26"/>
      <c r="H49" s="26"/>
      <c r="I49" s="23"/>
      <c r="J49" s="24"/>
    </row>
    <row r="50" spans="1:10" s="20" customFormat="1" ht="16.5" x14ac:dyDescent="0.25">
      <c r="A50" s="17"/>
      <c r="B50" s="17"/>
      <c r="C50" s="17"/>
      <c r="D50" s="17"/>
      <c r="E50" s="22"/>
      <c r="F50" s="26"/>
      <c r="G50" s="26"/>
      <c r="H50" s="26"/>
      <c r="I50" s="25"/>
      <c r="J50" s="24"/>
    </row>
    <row r="51" spans="1:10" s="20" customFormat="1" ht="16.5" x14ac:dyDescent="0.25">
      <c r="A51" s="17"/>
      <c r="B51" s="17"/>
      <c r="C51" s="17"/>
      <c r="D51" s="17"/>
      <c r="E51" s="25"/>
      <c r="F51" s="25"/>
      <c r="G51" s="25"/>
      <c r="H51" s="25"/>
      <c r="I51" s="25"/>
      <c r="J51" s="24"/>
    </row>
    <row r="52" spans="1:10" s="17" customFormat="1" x14ac:dyDescent="0.25">
      <c r="E52" s="22"/>
      <c r="F52" s="22"/>
      <c r="G52" s="22"/>
      <c r="H52" s="22"/>
      <c r="I52" s="23"/>
      <c r="J52" s="24"/>
    </row>
    <row r="53" spans="1:10" s="17" customFormat="1" x14ac:dyDescent="0.25">
      <c r="E53" s="25"/>
      <c r="F53" s="25"/>
      <c r="G53" s="25"/>
      <c r="H53" s="25"/>
      <c r="I53" s="25"/>
      <c r="J53" s="24"/>
    </row>
    <row r="54" spans="1:10" s="17" customFormat="1" x14ac:dyDescent="0.25">
      <c r="E54" s="25"/>
      <c r="F54" s="25"/>
      <c r="G54" s="25"/>
      <c r="H54" s="25"/>
      <c r="I54" s="25"/>
      <c r="J54" s="24"/>
    </row>
    <row r="55" spans="1:10" s="17" customFormat="1" x14ac:dyDescent="0.25">
      <c r="E55" s="26"/>
      <c r="F55" s="26"/>
      <c r="G55" s="26"/>
      <c r="H55" s="26"/>
      <c r="I55" s="23"/>
      <c r="J55" s="24"/>
    </row>
    <row r="56" spans="1:10" s="17" customFormat="1" x14ac:dyDescent="0.25">
      <c r="E56" s="26"/>
      <c r="F56" s="26"/>
      <c r="G56" s="26"/>
      <c r="H56" s="26"/>
      <c r="I56" s="23"/>
      <c r="J56" s="24"/>
    </row>
    <row r="57" spans="1:10" s="17" customFormat="1" x14ac:dyDescent="0.25">
      <c r="E57" s="22"/>
      <c r="F57" s="26"/>
      <c r="G57" s="26"/>
      <c r="H57" s="26"/>
      <c r="I57" s="25"/>
      <c r="J57" s="24"/>
    </row>
    <row r="58" spans="1:10" s="17" customFormat="1" x14ac:dyDescent="0.25">
      <c r="E58" s="25"/>
      <c r="F58" s="25"/>
      <c r="G58" s="25"/>
      <c r="H58" s="25"/>
      <c r="I58" s="25"/>
      <c r="J58" s="24"/>
    </row>
    <row r="59" spans="1:10" s="17" customFormat="1" x14ac:dyDescent="0.25">
      <c r="E59" s="22"/>
      <c r="F59" s="22"/>
      <c r="G59" s="22"/>
      <c r="H59" s="22"/>
      <c r="I59" s="23"/>
      <c r="J59" s="24"/>
    </row>
    <row r="60" spans="1:10" s="17" customFormat="1" x14ac:dyDescent="0.25">
      <c r="E60" s="25"/>
      <c r="F60" s="25"/>
      <c r="G60" s="25"/>
      <c r="H60" s="25"/>
      <c r="I60" s="25"/>
      <c r="J60" s="24"/>
    </row>
    <row r="61" spans="1:10" s="17" customFormat="1" x14ac:dyDescent="0.25">
      <c r="E61" s="25"/>
      <c r="F61" s="25"/>
      <c r="G61" s="25"/>
      <c r="H61" s="25"/>
      <c r="I61" s="25"/>
      <c r="J61" s="24"/>
    </row>
    <row r="62" spans="1:10" s="17" customFormat="1" x14ac:dyDescent="0.25">
      <c r="E62" s="26"/>
      <c r="F62" s="26"/>
      <c r="G62" s="26"/>
      <c r="H62" s="26"/>
      <c r="I62" s="23"/>
      <c r="J62" s="24"/>
    </row>
    <row r="63" spans="1:10" s="17" customFormat="1" x14ac:dyDescent="0.25">
      <c r="E63" s="26"/>
      <c r="F63" s="26"/>
      <c r="G63" s="26"/>
      <c r="H63" s="26"/>
      <c r="I63" s="23"/>
      <c r="J63" s="24"/>
    </row>
    <row r="64" spans="1:10" s="17" customFormat="1" x14ac:dyDescent="0.25">
      <c r="E64" s="26"/>
      <c r="F64" s="26"/>
      <c r="G64" s="26"/>
      <c r="H64" s="26"/>
      <c r="I64" s="23"/>
      <c r="J64" s="24"/>
    </row>
    <row r="65" spans="5:10" s="17" customFormat="1" x14ac:dyDescent="0.25">
      <c r="E65" s="22"/>
      <c r="F65" s="26"/>
      <c r="G65" s="26"/>
      <c r="H65" s="26"/>
      <c r="I65" s="25"/>
      <c r="J65" s="24"/>
    </row>
    <row r="66" spans="5:10" s="17" customFormat="1" x14ac:dyDescent="0.25">
      <c r="E66" s="25"/>
      <c r="F66" s="25"/>
      <c r="G66" s="25"/>
      <c r="H66" s="25"/>
      <c r="I66" s="25"/>
      <c r="J66" s="24"/>
    </row>
    <row r="67" spans="5:10" s="17" customFormat="1" x14ac:dyDescent="0.25">
      <c r="E67" s="22"/>
      <c r="F67" s="22"/>
      <c r="G67" s="22"/>
      <c r="H67" s="22"/>
      <c r="I67" s="23"/>
      <c r="J67" s="24"/>
    </row>
    <row r="68" spans="5:10" s="17" customFormat="1" x14ac:dyDescent="0.25">
      <c r="E68" s="25"/>
      <c r="F68" s="25"/>
      <c r="G68" s="25"/>
      <c r="H68" s="25"/>
      <c r="I68" s="25"/>
      <c r="J68" s="24"/>
    </row>
    <row r="69" spans="5:10" s="17" customFormat="1" x14ac:dyDescent="0.25">
      <c r="E69" s="25"/>
      <c r="F69" s="25"/>
      <c r="G69" s="25"/>
      <c r="H69" s="25"/>
      <c r="I69" s="25"/>
      <c r="J69" s="24"/>
    </row>
    <row r="70" spans="5:10" s="17" customFormat="1" x14ac:dyDescent="0.25">
      <c r="E70" s="25"/>
      <c r="F70" s="25"/>
      <c r="G70" s="25"/>
      <c r="H70" s="25"/>
      <c r="I70" s="25"/>
      <c r="J70" s="24"/>
    </row>
    <row r="71" spans="5:10" s="17" customFormat="1" x14ac:dyDescent="0.25">
      <c r="E71" s="25"/>
      <c r="F71" s="25"/>
      <c r="G71" s="25"/>
      <c r="H71" s="25"/>
      <c r="I71" s="25"/>
      <c r="J71" s="24"/>
    </row>
    <row r="72" spans="5:10" s="17" customFormat="1" x14ac:dyDescent="0.25">
      <c r="E72" s="25"/>
      <c r="F72" s="29"/>
      <c r="G72" s="29"/>
      <c r="H72" s="29"/>
      <c r="I72" s="25"/>
      <c r="J72" s="24"/>
    </row>
    <row r="73" spans="5:10" s="17" customFormat="1" x14ac:dyDescent="0.25">
      <c r="E73" s="25"/>
      <c r="F73" s="25"/>
      <c r="G73" s="25"/>
      <c r="H73" s="25"/>
      <c r="I73" s="25"/>
      <c r="J73" s="24"/>
    </row>
    <row r="74" spans="5:10" s="17" customFormat="1" x14ac:dyDescent="0.25">
      <c r="E74" s="25"/>
      <c r="F74" s="25"/>
      <c r="G74" s="25"/>
      <c r="H74" s="25"/>
      <c r="I74" s="25"/>
      <c r="J74" s="24"/>
    </row>
    <row r="75" spans="5:10" s="17" customFormat="1" x14ac:dyDescent="0.25">
      <c r="E75" s="25"/>
      <c r="F75" s="25"/>
      <c r="G75" s="25"/>
      <c r="H75" s="25"/>
      <c r="I75" s="25"/>
      <c r="J75" s="24"/>
    </row>
    <row r="76" spans="5:10" s="17" customFormat="1" x14ac:dyDescent="0.25">
      <c r="E76" s="25"/>
      <c r="F76" s="25"/>
      <c r="G76" s="25"/>
      <c r="H76" s="25"/>
      <c r="I76" s="25"/>
      <c r="J76" s="30"/>
    </row>
    <row r="77" spans="5:10" s="17" customFormat="1" x14ac:dyDescent="0.25">
      <c r="E77" s="25"/>
      <c r="F77" s="25"/>
      <c r="G77" s="25"/>
      <c r="H77" s="25"/>
      <c r="I77" s="25"/>
      <c r="J77" s="30"/>
    </row>
    <row r="78" spans="5:10" s="17" customFormat="1" x14ac:dyDescent="0.25">
      <c r="E78" s="25"/>
      <c r="F78" s="25"/>
      <c r="G78" s="25"/>
      <c r="H78" s="25"/>
      <c r="I78" s="25"/>
      <c r="J78" s="30"/>
    </row>
    <row r="79" spans="5:10" s="17" customFormat="1" x14ac:dyDescent="0.25">
      <c r="E79" s="31"/>
      <c r="F79" s="31"/>
      <c r="G79" s="31"/>
      <c r="H79" s="31"/>
      <c r="J79" s="30"/>
    </row>
    <row r="80" spans="5:10" s="17" customFormat="1" x14ac:dyDescent="0.25">
      <c r="E80" s="31"/>
      <c r="F80" s="31"/>
      <c r="G80" s="31"/>
      <c r="H80" s="31"/>
      <c r="J80" s="30"/>
    </row>
    <row r="81" spans="5:10" s="17" customFormat="1" x14ac:dyDescent="0.25">
      <c r="E81" s="31"/>
      <c r="F81" s="31"/>
      <c r="G81" s="31"/>
      <c r="H81" s="31"/>
      <c r="J81" s="30"/>
    </row>
    <row r="82" spans="5:10" x14ac:dyDescent="0.25">
      <c r="J82" s="30"/>
    </row>
  </sheetData>
  <dataConsolidate/>
  <mergeCells count="3">
    <mergeCell ref="A1:J1"/>
    <mergeCell ref="A6:J6"/>
    <mergeCell ref="A7:I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6"/>
  <sheetViews>
    <sheetView view="pageBreakPreview" zoomScaleNormal="70" zoomScaleSheetLayoutView="100" workbookViewId="0">
      <selection activeCell="D9" sqref="D9"/>
    </sheetView>
  </sheetViews>
  <sheetFormatPr defaultColWidth="54.28515625" defaultRowHeight="15" x14ac:dyDescent="0.25"/>
  <cols>
    <col min="1" max="1" width="15.42578125" style="17" bestFit="1" customWidth="1"/>
    <col min="2" max="2" width="12.85546875" style="17" bestFit="1" customWidth="1"/>
    <col min="3" max="3" width="17.28515625" style="17" bestFit="1" customWidth="1"/>
    <col min="4" max="4" width="13.140625" style="17" bestFit="1" customWidth="1"/>
    <col min="5" max="5" width="11.85546875" style="31" bestFit="1" customWidth="1"/>
    <col min="6" max="6" width="13.5703125" style="31" customWidth="1"/>
    <col min="7" max="7" width="9.42578125" style="31" bestFit="1" customWidth="1"/>
    <col min="8" max="8" width="13.85546875" style="31" bestFit="1" customWidth="1"/>
    <col min="9" max="9" width="27.85546875" style="17" customWidth="1"/>
    <col min="10" max="10" width="23" style="32" bestFit="1" customWidth="1" collapsed="1"/>
    <col min="11" max="16384" width="54.28515625" style="3"/>
  </cols>
  <sheetData>
    <row r="1" spans="1:10" s="1" customFormat="1" ht="21" x14ac:dyDescent="0.25">
      <c r="A1" s="124" t="s">
        <v>23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63.75" customHeight="1" x14ac:dyDescent="0.25">
      <c r="A2" s="2" t="s">
        <v>102</v>
      </c>
      <c r="B2" s="2" t="s">
        <v>3</v>
      </c>
      <c r="C2" s="2" t="s">
        <v>99</v>
      </c>
      <c r="D2" s="2" t="s">
        <v>0</v>
      </c>
      <c r="E2" s="2" t="s">
        <v>1</v>
      </c>
      <c r="F2" s="2" t="s">
        <v>100</v>
      </c>
      <c r="G2" s="2" t="s">
        <v>19</v>
      </c>
      <c r="H2" s="2" t="s">
        <v>20</v>
      </c>
      <c r="I2" s="2" t="s">
        <v>12</v>
      </c>
      <c r="J2" s="2" t="s">
        <v>21</v>
      </c>
    </row>
    <row r="3" spans="1:10" ht="18" customHeight="1" x14ac:dyDescent="0.25">
      <c r="A3" s="4" t="s">
        <v>103</v>
      </c>
      <c r="B3" s="5" t="s">
        <v>6</v>
      </c>
      <c r="C3" s="6">
        <v>45342</v>
      </c>
      <c r="D3" s="6">
        <v>45343</v>
      </c>
      <c r="E3" s="7">
        <v>46071</v>
      </c>
      <c r="F3" s="8">
        <v>728</v>
      </c>
      <c r="G3" s="9" t="s">
        <v>8</v>
      </c>
      <c r="H3" s="10">
        <v>1</v>
      </c>
      <c r="I3" s="11">
        <v>16890125</v>
      </c>
      <c r="J3" s="11">
        <f>+I3*1</f>
        <v>16890125</v>
      </c>
    </row>
    <row r="4" spans="1:10" ht="16.5" x14ac:dyDescent="0.25">
      <c r="A4" s="12" t="s">
        <v>104</v>
      </c>
      <c r="B4" s="13" t="s">
        <v>6</v>
      </c>
      <c r="C4" s="14">
        <v>45369</v>
      </c>
      <c r="D4" s="14">
        <v>45371</v>
      </c>
      <c r="E4" s="14">
        <v>46099</v>
      </c>
      <c r="F4" s="15">
        <v>728</v>
      </c>
      <c r="G4" s="12" t="s">
        <v>8</v>
      </c>
      <c r="H4" s="12">
        <v>1</v>
      </c>
      <c r="I4" s="16">
        <v>11310165</v>
      </c>
      <c r="J4" s="16">
        <f>+I4*1</f>
        <v>11310165</v>
      </c>
    </row>
    <row r="5" spans="1:10" ht="16.5" x14ac:dyDescent="0.25">
      <c r="A5" s="4" t="s">
        <v>105</v>
      </c>
      <c r="B5" s="5" t="s">
        <v>6</v>
      </c>
      <c r="C5" s="6">
        <v>45397</v>
      </c>
      <c r="D5" s="6">
        <v>45399</v>
      </c>
      <c r="E5" s="7">
        <v>46127</v>
      </c>
      <c r="F5" s="8">
        <v>728</v>
      </c>
      <c r="G5" s="9" t="s">
        <v>8</v>
      </c>
      <c r="H5" s="10">
        <v>0.85</v>
      </c>
      <c r="I5" s="11">
        <v>7687370</v>
      </c>
      <c r="J5" s="11">
        <v>7687370</v>
      </c>
    </row>
    <row r="6" spans="1:10" ht="16.5" x14ac:dyDescent="0.25">
      <c r="A6" s="12" t="s">
        <v>106</v>
      </c>
      <c r="B6" s="13" t="s">
        <v>6</v>
      </c>
      <c r="C6" s="14">
        <v>45456</v>
      </c>
      <c r="D6" s="14">
        <v>45457</v>
      </c>
      <c r="E6" s="14">
        <v>46185</v>
      </c>
      <c r="F6" s="15">
        <v>728</v>
      </c>
      <c r="G6" s="12" t="s">
        <v>8</v>
      </c>
      <c r="H6" s="12">
        <v>0.85</v>
      </c>
      <c r="I6" s="16">
        <v>2026815</v>
      </c>
      <c r="J6" s="16">
        <f>+I6*1</f>
        <v>2026815</v>
      </c>
    </row>
    <row r="7" spans="1:10" ht="16.5" x14ac:dyDescent="0.25">
      <c r="A7" s="4" t="s">
        <v>107</v>
      </c>
      <c r="B7" s="5" t="s">
        <v>6</v>
      </c>
      <c r="C7" s="6">
        <v>45476</v>
      </c>
      <c r="D7" s="6">
        <v>45478</v>
      </c>
      <c r="E7" s="7">
        <v>46206</v>
      </c>
      <c r="F7" s="8">
        <v>728</v>
      </c>
      <c r="G7" s="9" t="s">
        <v>8</v>
      </c>
      <c r="H7" s="10">
        <v>0.85</v>
      </c>
      <c r="I7" s="11">
        <v>5178975</v>
      </c>
      <c r="J7" s="11">
        <v>5178975</v>
      </c>
    </row>
    <row r="8" spans="1:10" ht="16.5" x14ac:dyDescent="0.25">
      <c r="A8" s="12" t="s">
        <v>108</v>
      </c>
      <c r="B8" s="13" t="s">
        <v>6</v>
      </c>
      <c r="C8" s="14">
        <v>45572</v>
      </c>
      <c r="D8" s="14">
        <v>45574</v>
      </c>
      <c r="E8" s="14">
        <v>46302</v>
      </c>
      <c r="F8" s="15">
        <v>728</v>
      </c>
      <c r="G8" s="12" t="s">
        <v>8</v>
      </c>
      <c r="H8" s="12">
        <v>0.75</v>
      </c>
      <c r="I8" s="16">
        <v>5358075</v>
      </c>
      <c r="J8" s="16">
        <f>+I8*1</f>
        <v>5358075</v>
      </c>
    </row>
    <row r="9" spans="1:10" ht="14.25" customHeight="1" x14ac:dyDescent="0.25">
      <c r="B9" s="45"/>
      <c r="C9" s="45"/>
      <c r="D9" s="45"/>
      <c r="E9" s="45"/>
      <c r="F9" s="45"/>
      <c r="G9" s="45"/>
      <c r="H9" s="66"/>
      <c r="I9" s="66"/>
      <c r="J9" s="66"/>
    </row>
    <row r="10" spans="1:10" s="20" customFormat="1" ht="15" customHeight="1" x14ac:dyDescent="0.25">
      <c r="A10" s="126" t="s">
        <v>24</v>
      </c>
      <c r="B10" s="127"/>
      <c r="C10" s="127"/>
      <c r="D10" s="127"/>
      <c r="E10" s="127"/>
      <c r="F10" s="127"/>
      <c r="G10" s="127"/>
      <c r="H10" s="127"/>
      <c r="I10" s="127"/>
      <c r="J10" s="128"/>
    </row>
    <row r="11" spans="1:10" s="20" customFormat="1" ht="15" customHeight="1" x14ac:dyDescent="0.25">
      <c r="A11" s="129" t="s">
        <v>69</v>
      </c>
      <c r="B11" s="129"/>
      <c r="C11" s="129"/>
      <c r="D11" s="129"/>
      <c r="E11" s="129"/>
      <c r="F11" s="129"/>
      <c r="G11" s="129"/>
      <c r="H11" s="129"/>
      <c r="I11" s="130"/>
      <c r="J11" s="121"/>
    </row>
    <row r="12" spans="1:10" s="20" customFormat="1" ht="16.5" x14ac:dyDescent="0.25">
      <c r="A12" s="17"/>
      <c r="B12" s="17"/>
      <c r="C12" s="17"/>
      <c r="D12" s="17"/>
      <c r="E12" s="22"/>
      <c r="F12" s="22"/>
      <c r="G12" s="22"/>
      <c r="H12" s="22"/>
      <c r="I12" s="23"/>
      <c r="J12" s="24"/>
    </row>
    <row r="13" spans="1:10" s="20" customFormat="1" ht="16.5" x14ac:dyDescent="0.25">
      <c r="A13" s="17"/>
      <c r="B13" s="17"/>
      <c r="C13" s="17"/>
      <c r="D13" s="17"/>
      <c r="E13" s="25"/>
      <c r="F13" s="25"/>
      <c r="G13" s="25"/>
      <c r="H13" s="25"/>
      <c r="I13" s="25"/>
      <c r="J13" s="24"/>
    </row>
    <row r="14" spans="1:10" s="20" customFormat="1" ht="16.5" x14ac:dyDescent="0.25">
      <c r="A14" s="17"/>
      <c r="B14" s="17"/>
      <c r="C14" s="17"/>
      <c r="D14" s="17"/>
      <c r="E14" s="25"/>
      <c r="F14" s="25"/>
      <c r="G14" s="25"/>
      <c r="H14" s="25"/>
      <c r="I14" s="25"/>
      <c r="J14" s="24"/>
    </row>
    <row r="15" spans="1:10" s="20" customFormat="1" ht="16.5" x14ac:dyDescent="0.25">
      <c r="A15" s="17"/>
      <c r="B15" s="17"/>
      <c r="C15" s="17"/>
      <c r="D15" s="17"/>
      <c r="E15" s="26"/>
      <c r="F15" s="26"/>
      <c r="G15" s="26"/>
      <c r="H15" s="26"/>
      <c r="I15" s="23"/>
      <c r="J15" s="27"/>
    </row>
    <row r="16" spans="1:10" s="20" customFormat="1" ht="16.5" x14ac:dyDescent="0.25">
      <c r="A16" s="17"/>
      <c r="B16" s="17"/>
      <c r="C16" s="17"/>
      <c r="D16" s="17"/>
      <c r="E16" s="22"/>
      <c r="F16" s="26"/>
      <c r="G16" s="26"/>
      <c r="H16" s="26"/>
      <c r="I16" s="25"/>
      <c r="J16" s="24"/>
    </row>
    <row r="17" spans="1:10" s="20" customFormat="1" ht="16.5" x14ac:dyDescent="0.25">
      <c r="A17" s="17"/>
      <c r="B17" s="17"/>
      <c r="C17" s="17"/>
      <c r="D17" s="17"/>
      <c r="E17" s="26"/>
      <c r="F17" s="26"/>
      <c r="G17" s="26"/>
      <c r="H17" s="26"/>
      <c r="I17" s="23"/>
      <c r="J17" s="24"/>
    </row>
    <row r="18" spans="1:10" s="20" customFormat="1" ht="16.5" x14ac:dyDescent="0.25">
      <c r="A18" s="17"/>
      <c r="B18" s="17"/>
      <c r="C18" s="17"/>
      <c r="D18" s="17"/>
      <c r="E18" s="25"/>
      <c r="F18" s="25"/>
      <c r="G18" s="25"/>
      <c r="H18" s="25"/>
      <c r="I18" s="25"/>
      <c r="J18" s="24"/>
    </row>
    <row r="19" spans="1:10" s="20" customFormat="1" ht="16.5" x14ac:dyDescent="0.25">
      <c r="A19" s="17"/>
      <c r="B19" s="17"/>
      <c r="C19" s="17"/>
      <c r="D19" s="17"/>
      <c r="E19" s="22"/>
      <c r="F19" s="22"/>
      <c r="G19" s="22"/>
      <c r="H19" s="22"/>
      <c r="I19" s="23"/>
      <c r="J19" s="24"/>
    </row>
    <row r="20" spans="1:10" s="20" customFormat="1" ht="16.5" x14ac:dyDescent="0.25">
      <c r="A20" s="17"/>
      <c r="B20" s="17"/>
      <c r="C20" s="17"/>
      <c r="D20" s="17"/>
      <c r="E20" s="22"/>
      <c r="F20" s="22"/>
      <c r="G20" s="22"/>
      <c r="H20" s="22"/>
      <c r="I20" s="23"/>
      <c r="J20" s="24"/>
    </row>
    <row r="21" spans="1:10" s="20" customFormat="1" ht="16.5" x14ac:dyDescent="0.25">
      <c r="A21" s="17"/>
      <c r="B21" s="17"/>
      <c r="C21" s="17"/>
      <c r="D21" s="17"/>
      <c r="E21" s="22"/>
      <c r="F21" s="22"/>
      <c r="G21" s="22"/>
      <c r="H21" s="22"/>
      <c r="I21" s="23"/>
      <c r="J21" s="24"/>
    </row>
    <row r="22" spans="1:10" s="20" customFormat="1" ht="16.5" x14ac:dyDescent="0.25">
      <c r="A22" s="17"/>
      <c r="B22" s="17"/>
      <c r="C22" s="17"/>
      <c r="D22" s="17"/>
      <c r="E22" s="22"/>
      <c r="F22" s="22"/>
      <c r="G22" s="22"/>
      <c r="H22" s="22"/>
      <c r="I22" s="23"/>
      <c r="J22" s="24"/>
    </row>
    <row r="23" spans="1:10" s="20" customFormat="1" ht="16.5" x14ac:dyDescent="0.25">
      <c r="A23" s="17"/>
      <c r="B23" s="17"/>
      <c r="C23" s="17"/>
      <c r="D23" s="17"/>
      <c r="E23" s="25"/>
      <c r="F23" s="25"/>
      <c r="G23" s="25"/>
      <c r="H23" s="25"/>
      <c r="I23" s="25"/>
      <c r="J23" s="24"/>
    </row>
    <row r="24" spans="1:10" s="20" customFormat="1" ht="16.5" x14ac:dyDescent="0.25">
      <c r="A24" s="17"/>
      <c r="B24" s="17"/>
      <c r="C24" s="17"/>
      <c r="D24" s="17"/>
      <c r="E24" s="26"/>
      <c r="F24" s="26"/>
      <c r="G24" s="26"/>
      <c r="H24" s="26"/>
      <c r="I24" s="23"/>
      <c r="J24" s="24"/>
    </row>
    <row r="25" spans="1:10" s="20" customFormat="1" ht="16.5" x14ac:dyDescent="0.25">
      <c r="A25" s="17"/>
      <c r="B25" s="17"/>
      <c r="C25" s="17"/>
      <c r="D25" s="17"/>
      <c r="E25" s="22"/>
      <c r="F25" s="26"/>
      <c r="G25" s="26"/>
      <c r="H25" s="26"/>
      <c r="I25" s="25"/>
      <c r="J25" s="24"/>
    </row>
    <row r="26" spans="1:10" s="20" customFormat="1" ht="16.5" x14ac:dyDescent="0.25">
      <c r="A26" s="17"/>
      <c r="B26" s="17"/>
      <c r="C26" s="17"/>
      <c r="D26" s="17"/>
      <c r="E26" s="26"/>
      <c r="F26" s="26"/>
      <c r="G26" s="26"/>
      <c r="H26" s="26"/>
      <c r="I26" s="23"/>
      <c r="J26" s="24"/>
    </row>
    <row r="27" spans="1:10" s="20" customFormat="1" ht="16.5" x14ac:dyDescent="0.25">
      <c r="A27" s="17"/>
      <c r="B27" s="17"/>
      <c r="C27" s="17"/>
      <c r="D27" s="17"/>
      <c r="E27" s="25"/>
      <c r="F27" s="25"/>
      <c r="G27" s="25"/>
      <c r="H27" s="25"/>
      <c r="I27" s="25"/>
      <c r="J27" s="24"/>
    </row>
    <row r="28" spans="1:10" s="20" customFormat="1" ht="16.5" x14ac:dyDescent="0.25">
      <c r="A28" s="17"/>
      <c r="B28" s="17"/>
      <c r="C28" s="17"/>
      <c r="D28" s="17"/>
      <c r="E28" s="22"/>
      <c r="F28" s="22"/>
      <c r="G28" s="22"/>
      <c r="H28" s="22"/>
      <c r="I28" s="23"/>
      <c r="J28" s="24"/>
    </row>
    <row r="29" spans="1:10" s="20" customFormat="1" ht="16.5" x14ac:dyDescent="0.25">
      <c r="A29" s="17"/>
      <c r="B29" s="17"/>
      <c r="C29" s="17"/>
      <c r="D29" s="17"/>
      <c r="E29" s="25"/>
      <c r="F29" s="25"/>
      <c r="G29" s="25"/>
      <c r="H29" s="25"/>
      <c r="I29" s="25"/>
      <c r="J29" s="24"/>
    </row>
    <row r="30" spans="1:10" s="20" customFormat="1" ht="16.5" x14ac:dyDescent="0.25">
      <c r="A30" s="17"/>
      <c r="B30" s="17"/>
      <c r="C30" s="17"/>
      <c r="D30" s="17"/>
      <c r="E30" s="25"/>
      <c r="F30" s="25"/>
      <c r="G30" s="25"/>
      <c r="H30" s="25"/>
      <c r="I30" s="25"/>
      <c r="J30" s="24"/>
    </row>
    <row r="31" spans="1:10" s="20" customFormat="1" ht="16.5" x14ac:dyDescent="0.25">
      <c r="A31" s="17"/>
      <c r="B31" s="17"/>
      <c r="C31" s="17"/>
      <c r="D31" s="17"/>
      <c r="E31" s="26"/>
      <c r="F31" s="26"/>
      <c r="G31" s="26"/>
      <c r="H31" s="26"/>
      <c r="I31" s="23"/>
      <c r="J31" s="24"/>
    </row>
    <row r="32" spans="1:10" s="20" customFormat="1" ht="16.5" x14ac:dyDescent="0.25">
      <c r="A32" s="17"/>
      <c r="B32" s="17"/>
      <c r="C32" s="17"/>
      <c r="D32" s="17"/>
      <c r="E32" s="22"/>
      <c r="F32" s="26"/>
      <c r="G32" s="26"/>
      <c r="H32" s="26"/>
      <c r="I32" s="25"/>
      <c r="J32" s="24"/>
    </row>
    <row r="33" spans="1:10" s="20" customFormat="1" ht="16.5" x14ac:dyDescent="0.25">
      <c r="A33" s="17"/>
      <c r="B33" s="17"/>
      <c r="C33" s="17"/>
      <c r="D33" s="17"/>
      <c r="E33" s="26"/>
      <c r="F33" s="26"/>
      <c r="G33" s="26"/>
      <c r="H33" s="26"/>
      <c r="I33" s="23"/>
      <c r="J33" s="24"/>
    </row>
    <row r="34" spans="1:10" s="20" customFormat="1" ht="16.5" x14ac:dyDescent="0.25">
      <c r="A34" s="17"/>
      <c r="B34" s="17"/>
      <c r="C34" s="17"/>
      <c r="D34" s="17"/>
      <c r="E34" s="25"/>
      <c r="F34" s="25"/>
      <c r="G34" s="25"/>
      <c r="H34" s="25"/>
      <c r="I34" s="25"/>
      <c r="J34" s="24"/>
    </row>
    <row r="35" spans="1:10" s="20" customFormat="1" ht="16.5" x14ac:dyDescent="0.25">
      <c r="A35" s="17"/>
      <c r="B35" s="17"/>
      <c r="C35" s="17"/>
      <c r="D35" s="17"/>
      <c r="E35" s="22"/>
      <c r="F35" s="22"/>
      <c r="G35" s="22"/>
      <c r="H35" s="22"/>
      <c r="I35" s="23"/>
      <c r="J35" s="24"/>
    </row>
    <row r="36" spans="1:10" s="20" customFormat="1" ht="16.5" x14ac:dyDescent="0.25">
      <c r="A36" s="17"/>
      <c r="B36" s="28"/>
      <c r="C36" s="28"/>
      <c r="D36" s="28"/>
      <c r="E36" s="25"/>
      <c r="F36" s="25"/>
      <c r="G36" s="25"/>
      <c r="H36" s="25"/>
      <c r="I36" s="25"/>
      <c r="J36" s="24"/>
    </row>
    <row r="37" spans="1:10" s="20" customFormat="1" ht="16.5" x14ac:dyDescent="0.25">
      <c r="A37" s="17"/>
      <c r="B37" s="28"/>
      <c r="C37" s="28"/>
      <c r="D37" s="28"/>
      <c r="E37" s="25"/>
      <c r="F37" s="25"/>
      <c r="G37" s="25"/>
      <c r="H37" s="25"/>
      <c r="I37" s="25"/>
      <c r="J37" s="24"/>
    </row>
    <row r="38" spans="1:10" s="20" customFormat="1" ht="16.5" x14ac:dyDescent="0.25">
      <c r="A38" s="17"/>
      <c r="B38" s="28"/>
      <c r="C38" s="28"/>
      <c r="D38" s="28"/>
      <c r="E38" s="25"/>
      <c r="F38" s="25"/>
      <c r="G38" s="25"/>
      <c r="H38" s="25"/>
      <c r="I38" s="25"/>
      <c r="J38" s="24"/>
    </row>
    <row r="39" spans="1:10" s="20" customFormat="1" ht="16.5" x14ac:dyDescent="0.25">
      <c r="A39" s="17"/>
      <c r="B39" s="17"/>
      <c r="C39" s="17"/>
      <c r="D39" s="17"/>
      <c r="E39" s="25"/>
      <c r="F39" s="25"/>
      <c r="G39" s="25"/>
      <c r="H39" s="25"/>
      <c r="I39" s="25"/>
      <c r="J39" s="24"/>
    </row>
    <row r="40" spans="1:10" s="20" customFormat="1" ht="16.5" x14ac:dyDescent="0.25">
      <c r="A40" s="17"/>
      <c r="B40" s="17"/>
      <c r="C40" s="17"/>
      <c r="D40" s="17"/>
      <c r="E40" s="25"/>
      <c r="F40" s="25"/>
      <c r="G40" s="25"/>
      <c r="H40" s="25"/>
      <c r="I40" s="25"/>
      <c r="J40" s="24"/>
    </row>
    <row r="41" spans="1:10" s="20" customFormat="1" ht="16.5" x14ac:dyDescent="0.25">
      <c r="A41" s="17"/>
      <c r="B41" s="17"/>
      <c r="C41" s="17"/>
      <c r="D41" s="17"/>
      <c r="E41" s="25"/>
      <c r="F41" s="25"/>
      <c r="G41" s="25"/>
      <c r="H41" s="25"/>
      <c r="I41" s="25"/>
      <c r="J41" s="24"/>
    </row>
    <row r="42" spans="1:10" s="20" customFormat="1" ht="16.5" x14ac:dyDescent="0.25">
      <c r="A42" s="17"/>
      <c r="B42" s="17"/>
      <c r="C42" s="17"/>
      <c r="D42" s="17"/>
      <c r="E42" s="25"/>
      <c r="F42" s="25"/>
      <c r="G42" s="25"/>
      <c r="H42" s="25"/>
      <c r="I42" s="25"/>
      <c r="J42" s="24"/>
    </row>
    <row r="43" spans="1:10" s="20" customFormat="1" ht="16.5" x14ac:dyDescent="0.25">
      <c r="A43" s="17"/>
      <c r="B43" s="17"/>
      <c r="C43" s="17"/>
      <c r="D43" s="17"/>
      <c r="E43" s="25"/>
      <c r="F43" s="25"/>
      <c r="G43" s="25"/>
      <c r="H43" s="25"/>
      <c r="I43" s="25"/>
      <c r="J43" s="24"/>
    </row>
    <row r="44" spans="1:10" s="20" customFormat="1" ht="16.5" x14ac:dyDescent="0.25">
      <c r="A44" s="17"/>
      <c r="B44" s="17"/>
      <c r="C44" s="17"/>
      <c r="D44" s="17"/>
      <c r="E44" s="25"/>
      <c r="F44" s="25"/>
      <c r="G44" s="25"/>
      <c r="H44" s="25"/>
      <c r="I44" s="25"/>
      <c r="J44" s="24"/>
    </row>
    <row r="45" spans="1:10" s="20" customFormat="1" ht="16.5" x14ac:dyDescent="0.25">
      <c r="A45" s="17"/>
      <c r="B45" s="17"/>
      <c r="C45" s="17"/>
      <c r="D45" s="17"/>
      <c r="E45" s="25"/>
      <c r="F45" s="25"/>
      <c r="G45" s="25"/>
      <c r="H45" s="25"/>
      <c r="I45" s="25"/>
      <c r="J45" s="24"/>
    </row>
    <row r="46" spans="1:10" s="20" customFormat="1" ht="16.5" x14ac:dyDescent="0.25">
      <c r="A46" s="17"/>
      <c r="B46" s="17"/>
      <c r="C46" s="17"/>
      <c r="D46" s="17"/>
      <c r="E46" s="26"/>
      <c r="F46" s="26"/>
      <c r="G46" s="26"/>
      <c r="H46" s="26"/>
      <c r="I46" s="23"/>
      <c r="J46" s="24"/>
    </row>
    <row r="47" spans="1:10" s="20" customFormat="1" ht="16.5" x14ac:dyDescent="0.25">
      <c r="A47" s="17"/>
      <c r="B47" s="17"/>
      <c r="C47" s="17"/>
      <c r="D47" s="17"/>
      <c r="E47" s="26"/>
      <c r="F47" s="26"/>
      <c r="G47" s="26"/>
      <c r="H47" s="26"/>
      <c r="I47" s="23"/>
      <c r="J47" s="24"/>
    </row>
    <row r="48" spans="1:10" s="20" customFormat="1" ht="16.5" x14ac:dyDescent="0.25">
      <c r="A48" s="17"/>
      <c r="B48" s="17"/>
      <c r="C48" s="17"/>
      <c r="D48" s="17"/>
      <c r="E48" s="26"/>
      <c r="F48" s="26"/>
      <c r="G48" s="26"/>
      <c r="H48" s="26"/>
      <c r="I48" s="23"/>
      <c r="J48" s="24"/>
    </row>
    <row r="49" spans="1:10" s="20" customFormat="1" ht="16.5" x14ac:dyDescent="0.25">
      <c r="A49" s="17"/>
      <c r="B49" s="17"/>
      <c r="C49" s="17"/>
      <c r="D49" s="17"/>
      <c r="E49" s="25"/>
      <c r="F49" s="25"/>
      <c r="G49" s="25"/>
      <c r="H49" s="25"/>
      <c r="I49" s="25"/>
      <c r="J49" s="24"/>
    </row>
    <row r="50" spans="1:10" s="20" customFormat="1" ht="16.5" x14ac:dyDescent="0.25">
      <c r="A50" s="17"/>
      <c r="B50" s="17"/>
      <c r="C50" s="17"/>
      <c r="D50" s="17"/>
      <c r="E50" s="22"/>
      <c r="F50" s="22"/>
      <c r="G50" s="22"/>
      <c r="H50" s="22"/>
      <c r="I50" s="23"/>
      <c r="J50" s="24"/>
    </row>
    <row r="51" spans="1:10" s="20" customFormat="1" ht="16.5" x14ac:dyDescent="0.25">
      <c r="A51" s="17"/>
      <c r="B51" s="17"/>
      <c r="C51" s="17"/>
      <c r="D51" s="17"/>
      <c r="E51" s="25"/>
      <c r="F51" s="25"/>
      <c r="G51" s="25"/>
      <c r="H51" s="25"/>
      <c r="I51" s="25"/>
      <c r="J51" s="24"/>
    </row>
    <row r="52" spans="1:10" s="20" customFormat="1" ht="16.5" x14ac:dyDescent="0.25">
      <c r="A52" s="17"/>
      <c r="B52" s="17"/>
      <c r="C52" s="17"/>
      <c r="D52" s="17"/>
      <c r="E52" s="25"/>
      <c r="F52" s="25"/>
      <c r="G52" s="25"/>
      <c r="H52" s="25"/>
      <c r="I52" s="25"/>
      <c r="J52" s="24"/>
    </row>
    <row r="53" spans="1:10" s="20" customFormat="1" ht="16.5" x14ac:dyDescent="0.25">
      <c r="A53" s="17"/>
      <c r="B53" s="17"/>
      <c r="C53" s="17"/>
      <c r="D53" s="17"/>
      <c r="E53" s="26"/>
      <c r="F53" s="26"/>
      <c r="G53" s="26"/>
      <c r="H53" s="26"/>
      <c r="I53" s="23"/>
      <c r="J53" s="24"/>
    </row>
    <row r="54" spans="1:10" s="20" customFormat="1" ht="16.5" x14ac:dyDescent="0.25">
      <c r="A54" s="17"/>
      <c r="B54" s="17"/>
      <c r="C54" s="17"/>
      <c r="D54" s="17"/>
      <c r="E54" s="22"/>
      <c r="F54" s="26"/>
      <c r="G54" s="26"/>
      <c r="H54" s="26"/>
      <c r="I54" s="25"/>
      <c r="J54" s="24"/>
    </row>
    <row r="55" spans="1:10" s="20" customFormat="1" ht="16.5" x14ac:dyDescent="0.25">
      <c r="A55" s="17"/>
      <c r="B55" s="17"/>
      <c r="C55" s="17"/>
      <c r="D55" s="17"/>
      <c r="E55" s="25"/>
      <c r="F55" s="25"/>
      <c r="G55" s="25"/>
      <c r="H55" s="25"/>
      <c r="I55" s="25"/>
      <c r="J55" s="24"/>
    </row>
    <row r="56" spans="1:10" s="17" customFormat="1" x14ac:dyDescent="0.25">
      <c r="E56" s="22"/>
      <c r="F56" s="22"/>
      <c r="G56" s="22"/>
      <c r="H56" s="22"/>
      <c r="I56" s="23"/>
      <c r="J56" s="24"/>
    </row>
    <row r="57" spans="1:10" s="17" customFormat="1" x14ac:dyDescent="0.25">
      <c r="E57" s="25"/>
      <c r="F57" s="25"/>
      <c r="G57" s="25"/>
      <c r="H57" s="25"/>
      <c r="I57" s="25"/>
      <c r="J57" s="24"/>
    </row>
    <row r="58" spans="1:10" s="17" customFormat="1" x14ac:dyDescent="0.25">
      <c r="E58" s="25"/>
      <c r="F58" s="25"/>
      <c r="G58" s="25"/>
      <c r="H58" s="25"/>
      <c r="I58" s="25"/>
      <c r="J58" s="24"/>
    </row>
    <row r="59" spans="1:10" s="17" customFormat="1" x14ac:dyDescent="0.25">
      <c r="E59" s="26"/>
      <c r="F59" s="26"/>
      <c r="G59" s="26"/>
      <c r="H59" s="26"/>
      <c r="I59" s="23"/>
      <c r="J59" s="24"/>
    </row>
    <row r="60" spans="1:10" s="17" customFormat="1" x14ac:dyDescent="0.25">
      <c r="E60" s="26"/>
      <c r="F60" s="26"/>
      <c r="G60" s="26"/>
      <c r="H60" s="26"/>
      <c r="I60" s="23"/>
      <c r="J60" s="24"/>
    </row>
    <row r="61" spans="1:10" s="17" customFormat="1" x14ac:dyDescent="0.25">
      <c r="E61" s="22"/>
      <c r="F61" s="26"/>
      <c r="G61" s="26"/>
      <c r="H61" s="26"/>
      <c r="I61" s="25"/>
      <c r="J61" s="24"/>
    </row>
    <row r="62" spans="1:10" s="17" customFormat="1" x14ac:dyDescent="0.25">
      <c r="E62" s="25"/>
      <c r="F62" s="25"/>
      <c r="G62" s="25"/>
      <c r="H62" s="25"/>
      <c r="I62" s="25"/>
      <c r="J62" s="24"/>
    </row>
    <row r="63" spans="1:10" s="17" customFormat="1" x14ac:dyDescent="0.25">
      <c r="E63" s="22"/>
      <c r="F63" s="22"/>
      <c r="G63" s="22"/>
      <c r="H63" s="22"/>
      <c r="I63" s="23"/>
      <c r="J63" s="24"/>
    </row>
    <row r="64" spans="1:10" s="17" customFormat="1" x14ac:dyDescent="0.25">
      <c r="E64" s="25"/>
      <c r="F64" s="25"/>
      <c r="G64" s="25"/>
      <c r="H64" s="25"/>
      <c r="I64" s="25"/>
      <c r="J64" s="24"/>
    </row>
    <row r="65" spans="5:10" s="17" customFormat="1" x14ac:dyDescent="0.25">
      <c r="E65" s="25"/>
      <c r="F65" s="25"/>
      <c r="G65" s="25"/>
      <c r="H65" s="25"/>
      <c r="I65" s="25"/>
      <c r="J65" s="24"/>
    </row>
    <row r="66" spans="5:10" s="17" customFormat="1" x14ac:dyDescent="0.25">
      <c r="E66" s="26"/>
      <c r="F66" s="26"/>
      <c r="G66" s="26"/>
      <c r="H66" s="26"/>
      <c r="I66" s="23"/>
      <c r="J66" s="24"/>
    </row>
    <row r="67" spans="5:10" s="17" customFormat="1" x14ac:dyDescent="0.25">
      <c r="E67" s="26"/>
      <c r="F67" s="26"/>
      <c r="G67" s="26"/>
      <c r="H67" s="26"/>
      <c r="I67" s="23"/>
      <c r="J67" s="24"/>
    </row>
    <row r="68" spans="5:10" s="17" customFormat="1" x14ac:dyDescent="0.25">
      <c r="E68" s="26"/>
      <c r="F68" s="26"/>
      <c r="G68" s="26"/>
      <c r="H68" s="26"/>
      <c r="I68" s="23"/>
      <c r="J68" s="24"/>
    </row>
    <row r="69" spans="5:10" s="17" customFormat="1" x14ac:dyDescent="0.25">
      <c r="E69" s="22"/>
      <c r="F69" s="26"/>
      <c r="G69" s="26"/>
      <c r="H69" s="26"/>
      <c r="I69" s="25"/>
      <c r="J69" s="24"/>
    </row>
    <row r="70" spans="5:10" s="17" customFormat="1" x14ac:dyDescent="0.25">
      <c r="E70" s="25"/>
      <c r="F70" s="25"/>
      <c r="G70" s="25"/>
      <c r="H70" s="25"/>
      <c r="I70" s="25"/>
      <c r="J70" s="24"/>
    </row>
    <row r="71" spans="5:10" s="17" customFormat="1" x14ac:dyDescent="0.25">
      <c r="E71" s="22"/>
      <c r="F71" s="22"/>
      <c r="G71" s="22"/>
      <c r="H71" s="22"/>
      <c r="I71" s="23"/>
      <c r="J71" s="24"/>
    </row>
    <row r="72" spans="5:10" s="17" customFormat="1" x14ac:dyDescent="0.25">
      <c r="E72" s="25"/>
      <c r="F72" s="25"/>
      <c r="G72" s="25"/>
      <c r="H72" s="25"/>
      <c r="I72" s="25"/>
      <c r="J72" s="24"/>
    </row>
    <row r="73" spans="5:10" s="17" customFormat="1" x14ac:dyDescent="0.25">
      <c r="E73" s="25"/>
      <c r="F73" s="25"/>
      <c r="G73" s="25"/>
      <c r="H73" s="25"/>
      <c r="I73" s="25"/>
      <c r="J73" s="24"/>
    </row>
    <row r="74" spans="5:10" s="17" customFormat="1" x14ac:dyDescent="0.25">
      <c r="E74" s="25"/>
      <c r="F74" s="25"/>
      <c r="G74" s="25"/>
      <c r="H74" s="25"/>
      <c r="I74" s="25"/>
      <c r="J74" s="24"/>
    </row>
    <row r="75" spans="5:10" s="17" customFormat="1" x14ac:dyDescent="0.25">
      <c r="E75" s="25"/>
      <c r="F75" s="25"/>
      <c r="G75" s="25"/>
      <c r="H75" s="25"/>
      <c r="I75" s="25"/>
      <c r="J75" s="24"/>
    </row>
    <row r="76" spans="5:10" s="17" customFormat="1" x14ac:dyDescent="0.25">
      <c r="E76" s="25"/>
      <c r="F76" s="29"/>
      <c r="G76" s="29"/>
      <c r="H76" s="29"/>
      <c r="I76" s="25"/>
      <c r="J76" s="24"/>
    </row>
    <row r="77" spans="5:10" s="17" customFormat="1" x14ac:dyDescent="0.25">
      <c r="E77" s="25"/>
      <c r="F77" s="25"/>
      <c r="G77" s="25"/>
      <c r="H77" s="25"/>
      <c r="I77" s="25"/>
      <c r="J77" s="24"/>
    </row>
    <row r="78" spans="5:10" s="17" customFormat="1" x14ac:dyDescent="0.25">
      <c r="E78" s="25"/>
      <c r="F78" s="25"/>
      <c r="G78" s="25"/>
      <c r="H78" s="25"/>
      <c r="I78" s="25"/>
      <c r="J78" s="24"/>
    </row>
    <row r="79" spans="5:10" s="17" customFormat="1" x14ac:dyDescent="0.25">
      <c r="E79" s="25"/>
      <c r="F79" s="25"/>
      <c r="G79" s="25"/>
      <c r="H79" s="25"/>
      <c r="I79" s="25"/>
      <c r="J79" s="24"/>
    </row>
    <row r="80" spans="5:10" s="17" customFormat="1" x14ac:dyDescent="0.25">
      <c r="E80" s="25"/>
      <c r="F80" s="25"/>
      <c r="G80" s="25"/>
      <c r="H80" s="25"/>
      <c r="I80" s="25"/>
      <c r="J80" s="30"/>
    </row>
    <row r="81" spans="5:10" s="17" customFormat="1" x14ac:dyDescent="0.25">
      <c r="E81" s="25"/>
      <c r="F81" s="25"/>
      <c r="G81" s="25"/>
      <c r="H81" s="25"/>
      <c r="I81" s="25"/>
      <c r="J81" s="30"/>
    </row>
    <row r="82" spans="5:10" s="17" customFormat="1" x14ac:dyDescent="0.25">
      <c r="E82" s="25"/>
      <c r="F82" s="25"/>
      <c r="G82" s="25"/>
      <c r="H82" s="25"/>
      <c r="I82" s="25"/>
      <c r="J82" s="30"/>
    </row>
    <row r="83" spans="5:10" s="17" customFormat="1" x14ac:dyDescent="0.25">
      <c r="E83" s="31"/>
      <c r="F83" s="31"/>
      <c r="G83" s="31"/>
      <c r="H83" s="31"/>
      <c r="J83" s="30"/>
    </row>
    <row r="84" spans="5:10" s="17" customFormat="1" x14ac:dyDescent="0.25">
      <c r="E84" s="31"/>
      <c r="F84" s="31"/>
      <c r="G84" s="31"/>
      <c r="H84" s="31"/>
      <c r="J84" s="30"/>
    </row>
    <row r="85" spans="5:10" s="17" customFormat="1" x14ac:dyDescent="0.25">
      <c r="E85" s="31"/>
      <c r="F85" s="31"/>
      <c r="G85" s="31"/>
      <c r="H85" s="31"/>
      <c r="J85" s="30"/>
    </row>
    <row r="86" spans="5:10" x14ac:dyDescent="0.25">
      <c r="J86" s="30"/>
    </row>
  </sheetData>
  <dataConsolidate/>
  <mergeCells count="3">
    <mergeCell ref="A1:J1"/>
    <mergeCell ref="A10:J10"/>
    <mergeCell ref="A11:I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2"/>
  <sheetViews>
    <sheetView view="pageBreakPreview" zoomScale="90" zoomScaleNormal="70" zoomScaleSheetLayoutView="90" workbookViewId="0">
      <selection activeCell="A4" sqref="A4:J4"/>
    </sheetView>
  </sheetViews>
  <sheetFormatPr defaultColWidth="54.28515625" defaultRowHeight="15" x14ac:dyDescent="0.25"/>
  <cols>
    <col min="1" max="1" width="15.42578125" style="17" bestFit="1" customWidth="1"/>
    <col min="2" max="2" width="12.85546875" style="17" bestFit="1" customWidth="1"/>
    <col min="3" max="3" width="17.28515625" style="17" bestFit="1" customWidth="1"/>
    <col min="4" max="4" width="13.140625" style="17" bestFit="1" customWidth="1"/>
    <col min="5" max="5" width="11.85546875" style="31" bestFit="1" customWidth="1"/>
    <col min="6" max="6" width="13.5703125" style="31" customWidth="1"/>
    <col min="7" max="7" width="9.42578125" style="31" bestFit="1" customWidth="1"/>
    <col min="8" max="8" width="13.85546875" style="31" bestFit="1" customWidth="1"/>
    <col min="9" max="9" width="27.85546875" style="17" customWidth="1"/>
    <col min="10" max="10" width="23" style="32" bestFit="1" customWidth="1" collapsed="1"/>
    <col min="11" max="16384" width="54.28515625" style="3"/>
  </cols>
  <sheetData>
    <row r="1" spans="1:10" s="1" customFormat="1" ht="21" x14ac:dyDescent="0.25">
      <c r="A1" s="124" t="s">
        <v>23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63.75" customHeight="1" x14ac:dyDescent="0.25">
      <c r="A2" s="2" t="s">
        <v>102</v>
      </c>
      <c r="B2" s="2" t="s">
        <v>3</v>
      </c>
      <c r="C2" s="2" t="s">
        <v>99</v>
      </c>
      <c r="D2" s="2" t="s">
        <v>0</v>
      </c>
      <c r="E2" s="2" t="s">
        <v>1</v>
      </c>
      <c r="F2" s="2" t="s">
        <v>100</v>
      </c>
      <c r="G2" s="2" t="s">
        <v>19</v>
      </c>
      <c r="H2" s="2" t="s">
        <v>20</v>
      </c>
      <c r="I2" s="2" t="s">
        <v>12</v>
      </c>
      <c r="J2" s="2" t="s">
        <v>21</v>
      </c>
    </row>
    <row r="3" spans="1:10" ht="16.5" x14ac:dyDescent="0.25">
      <c r="A3" s="4" t="s">
        <v>98</v>
      </c>
      <c r="B3" s="5" t="s">
        <v>6</v>
      </c>
      <c r="C3" s="6">
        <v>44588</v>
      </c>
      <c r="D3" s="6">
        <v>44592</v>
      </c>
      <c r="E3" s="7">
        <v>45684</v>
      </c>
      <c r="F3" s="8">
        <v>1092</v>
      </c>
      <c r="G3" s="9" t="s">
        <v>8</v>
      </c>
      <c r="H3" s="10">
        <v>1</v>
      </c>
      <c r="I3" s="11">
        <v>6147110</v>
      </c>
      <c r="J3" s="11">
        <f>+I3*1</f>
        <v>6147110</v>
      </c>
    </row>
    <row r="4" spans="1:10" ht="16.5" x14ac:dyDescent="0.25">
      <c r="A4" s="12" t="s">
        <v>101</v>
      </c>
      <c r="B4" s="13" t="s">
        <v>6</v>
      </c>
      <c r="C4" s="14">
        <v>44704</v>
      </c>
      <c r="D4" s="14">
        <v>44706</v>
      </c>
      <c r="E4" s="14">
        <v>45798</v>
      </c>
      <c r="F4" s="15">
        <v>1092</v>
      </c>
      <c r="G4" s="12" t="s">
        <v>8</v>
      </c>
      <c r="H4" s="12">
        <v>1.5</v>
      </c>
      <c r="I4" s="16">
        <v>8213725</v>
      </c>
      <c r="J4" s="16">
        <v>8213725</v>
      </c>
    </row>
    <row r="5" spans="1:10" ht="14.25" customHeight="1" x14ac:dyDescent="0.25">
      <c r="B5" s="45"/>
      <c r="C5" s="45"/>
      <c r="D5" s="45"/>
      <c r="E5" s="45"/>
      <c r="F5" s="45"/>
      <c r="G5" s="45"/>
      <c r="H5" s="66"/>
      <c r="I5" s="66"/>
      <c r="J5" s="66"/>
    </row>
    <row r="6" spans="1:10" s="20" customFormat="1" ht="15" customHeight="1" x14ac:dyDescent="0.25">
      <c r="A6" s="126" t="s">
        <v>24</v>
      </c>
      <c r="B6" s="127"/>
      <c r="C6" s="127"/>
      <c r="D6" s="127"/>
      <c r="E6" s="127"/>
      <c r="F6" s="127"/>
      <c r="G6" s="127"/>
      <c r="H6" s="127"/>
      <c r="I6" s="127"/>
      <c r="J6" s="128"/>
    </row>
    <row r="7" spans="1:10" s="20" customFormat="1" ht="15" customHeight="1" x14ac:dyDescent="0.25">
      <c r="A7" s="129" t="s">
        <v>69</v>
      </c>
      <c r="B7" s="129"/>
      <c r="C7" s="129"/>
      <c r="D7" s="129"/>
      <c r="E7" s="129"/>
      <c r="F7" s="129"/>
      <c r="G7" s="129"/>
      <c r="H7" s="129"/>
      <c r="I7" s="130"/>
      <c r="J7" s="21"/>
    </row>
    <row r="8" spans="1:10" s="20" customFormat="1" ht="16.5" x14ac:dyDescent="0.25">
      <c r="A8" s="17"/>
      <c r="B8" s="17"/>
      <c r="C8" s="17"/>
      <c r="D8" s="17"/>
      <c r="E8" s="22"/>
      <c r="F8" s="22"/>
      <c r="G8" s="22"/>
      <c r="H8" s="22"/>
      <c r="I8" s="23"/>
      <c r="J8" s="24"/>
    </row>
    <row r="9" spans="1:10" s="20" customFormat="1" ht="16.5" x14ac:dyDescent="0.25">
      <c r="A9" s="17"/>
      <c r="B9" s="17"/>
      <c r="C9" s="17"/>
      <c r="D9" s="17"/>
      <c r="E9" s="25"/>
      <c r="F9" s="25"/>
      <c r="G9" s="25"/>
      <c r="H9" s="25"/>
      <c r="I9" s="25"/>
      <c r="J9" s="24"/>
    </row>
    <row r="10" spans="1:10" s="20" customFormat="1" ht="16.5" x14ac:dyDescent="0.25">
      <c r="A10" s="17"/>
      <c r="B10" s="17"/>
      <c r="C10" s="17"/>
      <c r="D10" s="17"/>
      <c r="E10" s="25"/>
      <c r="F10" s="25"/>
      <c r="G10" s="25"/>
      <c r="H10" s="25"/>
      <c r="I10" s="25"/>
      <c r="J10" s="24"/>
    </row>
    <row r="11" spans="1:10" s="20" customFormat="1" ht="16.5" x14ac:dyDescent="0.25">
      <c r="A11" s="17"/>
      <c r="B11" s="17"/>
      <c r="C11" s="17"/>
      <c r="D11" s="17"/>
      <c r="E11" s="26"/>
      <c r="F11" s="26"/>
      <c r="G11" s="26"/>
      <c r="H11" s="26"/>
      <c r="I11" s="23"/>
      <c r="J11" s="27"/>
    </row>
    <row r="12" spans="1:10" s="20" customFormat="1" ht="16.5" x14ac:dyDescent="0.25">
      <c r="A12" s="17"/>
      <c r="B12" s="17"/>
      <c r="C12" s="17"/>
      <c r="D12" s="17"/>
      <c r="E12" s="22"/>
      <c r="F12" s="26"/>
      <c r="G12" s="26"/>
      <c r="H12" s="26"/>
      <c r="I12" s="25"/>
      <c r="J12" s="24"/>
    </row>
    <row r="13" spans="1:10" s="20" customFormat="1" ht="16.5" x14ac:dyDescent="0.25">
      <c r="A13" s="17"/>
      <c r="B13" s="17"/>
      <c r="C13" s="17"/>
      <c r="D13" s="17"/>
      <c r="E13" s="26"/>
      <c r="F13" s="26"/>
      <c r="G13" s="26"/>
      <c r="H13" s="26"/>
      <c r="I13" s="23"/>
      <c r="J13" s="24"/>
    </row>
    <row r="14" spans="1:10" s="20" customFormat="1" ht="16.5" x14ac:dyDescent="0.25">
      <c r="A14" s="17"/>
      <c r="B14" s="17"/>
      <c r="C14" s="17"/>
      <c r="D14" s="17"/>
      <c r="E14" s="25"/>
      <c r="F14" s="25"/>
      <c r="G14" s="25"/>
      <c r="H14" s="25"/>
      <c r="I14" s="25"/>
      <c r="J14" s="24"/>
    </row>
    <row r="15" spans="1:10" s="20" customFormat="1" ht="16.5" x14ac:dyDescent="0.25">
      <c r="A15" s="17"/>
      <c r="B15" s="17"/>
      <c r="C15" s="17"/>
      <c r="D15" s="17"/>
      <c r="E15" s="22"/>
      <c r="F15" s="22"/>
      <c r="G15" s="22"/>
      <c r="H15" s="22"/>
      <c r="I15" s="23"/>
      <c r="J15" s="24"/>
    </row>
    <row r="16" spans="1:10" s="20" customFormat="1" ht="16.5" x14ac:dyDescent="0.25">
      <c r="A16" s="17"/>
      <c r="B16" s="17"/>
      <c r="C16" s="17"/>
      <c r="D16" s="17"/>
      <c r="E16" s="22"/>
      <c r="F16" s="22"/>
      <c r="G16" s="22"/>
      <c r="H16" s="22"/>
      <c r="I16" s="23"/>
      <c r="J16" s="24"/>
    </row>
    <row r="17" spans="1:10" s="20" customFormat="1" ht="16.5" x14ac:dyDescent="0.25">
      <c r="A17" s="17"/>
      <c r="B17" s="17"/>
      <c r="C17" s="17"/>
      <c r="D17" s="17"/>
      <c r="E17" s="22"/>
      <c r="F17" s="22"/>
      <c r="G17" s="22"/>
      <c r="H17" s="22"/>
      <c r="I17" s="23"/>
      <c r="J17" s="24"/>
    </row>
    <row r="18" spans="1:10" s="20" customFormat="1" ht="16.5" x14ac:dyDescent="0.25">
      <c r="A18" s="17"/>
      <c r="B18" s="17"/>
      <c r="C18" s="17"/>
      <c r="D18" s="17"/>
      <c r="E18" s="22"/>
      <c r="F18" s="22"/>
      <c r="G18" s="22"/>
      <c r="H18" s="22"/>
      <c r="I18" s="23"/>
      <c r="J18" s="24"/>
    </row>
    <row r="19" spans="1:10" s="20" customFormat="1" ht="16.5" x14ac:dyDescent="0.25">
      <c r="A19" s="17"/>
      <c r="B19" s="17"/>
      <c r="C19" s="17"/>
      <c r="D19" s="17"/>
      <c r="E19" s="25"/>
      <c r="F19" s="25"/>
      <c r="G19" s="25"/>
      <c r="H19" s="25"/>
      <c r="I19" s="25"/>
      <c r="J19" s="24"/>
    </row>
    <row r="20" spans="1:10" s="20" customFormat="1" ht="16.5" x14ac:dyDescent="0.25">
      <c r="A20" s="17"/>
      <c r="B20" s="17"/>
      <c r="C20" s="17"/>
      <c r="D20" s="17"/>
      <c r="E20" s="26"/>
      <c r="F20" s="26"/>
      <c r="G20" s="26"/>
      <c r="H20" s="26"/>
      <c r="I20" s="23"/>
      <c r="J20" s="24"/>
    </row>
    <row r="21" spans="1:10" s="20" customFormat="1" ht="16.5" x14ac:dyDescent="0.25">
      <c r="A21" s="17"/>
      <c r="B21" s="17"/>
      <c r="C21" s="17"/>
      <c r="D21" s="17"/>
      <c r="E21" s="22"/>
      <c r="F21" s="26"/>
      <c r="G21" s="26"/>
      <c r="H21" s="26"/>
      <c r="I21" s="25"/>
      <c r="J21" s="24"/>
    </row>
    <row r="22" spans="1:10" s="20" customFormat="1" ht="16.5" x14ac:dyDescent="0.25">
      <c r="A22" s="17"/>
      <c r="B22" s="17"/>
      <c r="C22" s="17"/>
      <c r="D22" s="17"/>
      <c r="E22" s="26"/>
      <c r="F22" s="26"/>
      <c r="G22" s="26"/>
      <c r="H22" s="26"/>
      <c r="I22" s="23"/>
      <c r="J22" s="24"/>
    </row>
    <row r="23" spans="1:10" s="20" customFormat="1" ht="16.5" x14ac:dyDescent="0.25">
      <c r="A23" s="17"/>
      <c r="B23" s="17"/>
      <c r="C23" s="17"/>
      <c r="D23" s="17"/>
      <c r="E23" s="25"/>
      <c r="F23" s="25"/>
      <c r="G23" s="25"/>
      <c r="H23" s="25"/>
      <c r="I23" s="25"/>
      <c r="J23" s="24"/>
    </row>
    <row r="24" spans="1:10" s="20" customFormat="1" ht="16.5" x14ac:dyDescent="0.25">
      <c r="A24" s="17"/>
      <c r="B24" s="17"/>
      <c r="C24" s="17"/>
      <c r="D24" s="17"/>
      <c r="E24" s="22"/>
      <c r="F24" s="22"/>
      <c r="G24" s="22"/>
      <c r="H24" s="22"/>
      <c r="I24" s="23"/>
      <c r="J24" s="24"/>
    </row>
    <row r="25" spans="1:10" s="20" customFormat="1" ht="16.5" x14ac:dyDescent="0.25">
      <c r="A25" s="17"/>
      <c r="B25" s="17"/>
      <c r="C25" s="17"/>
      <c r="D25" s="17"/>
      <c r="E25" s="25"/>
      <c r="F25" s="25"/>
      <c r="G25" s="25"/>
      <c r="H25" s="25"/>
      <c r="I25" s="25"/>
      <c r="J25" s="24"/>
    </row>
    <row r="26" spans="1:10" s="20" customFormat="1" ht="16.5" x14ac:dyDescent="0.25">
      <c r="A26" s="17"/>
      <c r="B26" s="17"/>
      <c r="C26" s="17"/>
      <c r="D26" s="17"/>
      <c r="E26" s="25"/>
      <c r="F26" s="25"/>
      <c r="G26" s="25"/>
      <c r="H26" s="25"/>
      <c r="I26" s="25"/>
      <c r="J26" s="24"/>
    </row>
    <row r="27" spans="1:10" s="20" customFormat="1" ht="16.5" x14ac:dyDescent="0.25">
      <c r="A27" s="17"/>
      <c r="B27" s="17"/>
      <c r="C27" s="17"/>
      <c r="D27" s="17"/>
      <c r="E27" s="26"/>
      <c r="F27" s="26"/>
      <c r="G27" s="26"/>
      <c r="H27" s="26"/>
      <c r="I27" s="23"/>
      <c r="J27" s="24"/>
    </row>
    <row r="28" spans="1:10" s="20" customFormat="1" ht="16.5" x14ac:dyDescent="0.25">
      <c r="A28" s="17"/>
      <c r="B28" s="17"/>
      <c r="C28" s="17"/>
      <c r="D28" s="17"/>
      <c r="E28" s="22"/>
      <c r="F28" s="26"/>
      <c r="G28" s="26"/>
      <c r="H28" s="26"/>
      <c r="I28" s="25"/>
      <c r="J28" s="24"/>
    </row>
    <row r="29" spans="1:10" s="20" customFormat="1" ht="16.5" x14ac:dyDescent="0.25">
      <c r="A29" s="17"/>
      <c r="B29" s="17"/>
      <c r="C29" s="17"/>
      <c r="D29" s="17"/>
      <c r="E29" s="26"/>
      <c r="F29" s="26"/>
      <c r="G29" s="26"/>
      <c r="H29" s="26"/>
      <c r="I29" s="23"/>
      <c r="J29" s="24"/>
    </row>
    <row r="30" spans="1:10" s="20" customFormat="1" ht="16.5" x14ac:dyDescent="0.25">
      <c r="A30" s="17"/>
      <c r="B30" s="17"/>
      <c r="C30" s="17"/>
      <c r="D30" s="17"/>
      <c r="E30" s="25"/>
      <c r="F30" s="25"/>
      <c r="G30" s="25"/>
      <c r="H30" s="25"/>
      <c r="I30" s="25"/>
      <c r="J30" s="24"/>
    </row>
    <row r="31" spans="1:10" s="20" customFormat="1" ht="16.5" x14ac:dyDescent="0.25">
      <c r="A31" s="17"/>
      <c r="B31" s="17"/>
      <c r="C31" s="17"/>
      <c r="D31" s="17"/>
      <c r="E31" s="22"/>
      <c r="F31" s="22"/>
      <c r="G31" s="22"/>
      <c r="H31" s="22"/>
      <c r="I31" s="23"/>
      <c r="J31" s="24"/>
    </row>
    <row r="32" spans="1:10" s="20" customFormat="1" ht="16.5" x14ac:dyDescent="0.25">
      <c r="A32" s="17"/>
      <c r="B32" s="28"/>
      <c r="C32" s="28"/>
      <c r="D32" s="28"/>
      <c r="E32" s="25"/>
      <c r="F32" s="25"/>
      <c r="G32" s="25"/>
      <c r="H32" s="25"/>
      <c r="I32" s="25"/>
      <c r="J32" s="24"/>
    </row>
    <row r="33" spans="1:10" s="20" customFormat="1" ht="16.5" x14ac:dyDescent="0.25">
      <c r="A33" s="17"/>
      <c r="B33" s="28"/>
      <c r="C33" s="28"/>
      <c r="D33" s="28"/>
      <c r="E33" s="25"/>
      <c r="F33" s="25"/>
      <c r="G33" s="25"/>
      <c r="H33" s="25"/>
      <c r="I33" s="25"/>
      <c r="J33" s="24"/>
    </row>
    <row r="34" spans="1:10" s="20" customFormat="1" ht="16.5" x14ac:dyDescent="0.25">
      <c r="A34" s="17"/>
      <c r="B34" s="28"/>
      <c r="C34" s="28"/>
      <c r="D34" s="28"/>
      <c r="E34" s="25"/>
      <c r="F34" s="25"/>
      <c r="G34" s="25"/>
      <c r="H34" s="25"/>
      <c r="I34" s="25"/>
      <c r="J34" s="24"/>
    </row>
    <row r="35" spans="1:10" s="20" customFormat="1" ht="16.5" x14ac:dyDescent="0.25">
      <c r="A35" s="17"/>
      <c r="B35" s="17"/>
      <c r="C35" s="17"/>
      <c r="D35" s="17"/>
      <c r="E35" s="25"/>
      <c r="F35" s="25"/>
      <c r="G35" s="25"/>
      <c r="H35" s="25"/>
      <c r="I35" s="25"/>
      <c r="J35" s="24"/>
    </row>
    <row r="36" spans="1:10" s="20" customFormat="1" ht="16.5" x14ac:dyDescent="0.25">
      <c r="A36" s="17"/>
      <c r="B36" s="17"/>
      <c r="C36" s="17"/>
      <c r="D36" s="17"/>
      <c r="E36" s="25"/>
      <c r="F36" s="25"/>
      <c r="G36" s="25"/>
      <c r="H36" s="25"/>
      <c r="I36" s="25"/>
      <c r="J36" s="24"/>
    </row>
    <row r="37" spans="1:10" s="20" customFormat="1" ht="16.5" x14ac:dyDescent="0.25">
      <c r="A37" s="17"/>
      <c r="B37" s="17"/>
      <c r="C37" s="17"/>
      <c r="D37" s="17"/>
      <c r="E37" s="25"/>
      <c r="F37" s="25"/>
      <c r="G37" s="25"/>
      <c r="H37" s="25"/>
      <c r="I37" s="25"/>
      <c r="J37" s="24"/>
    </row>
    <row r="38" spans="1:10" s="20" customFormat="1" ht="16.5" x14ac:dyDescent="0.25">
      <c r="A38" s="17"/>
      <c r="B38" s="17"/>
      <c r="C38" s="17"/>
      <c r="D38" s="17"/>
      <c r="E38" s="25"/>
      <c r="F38" s="25"/>
      <c r="G38" s="25"/>
      <c r="H38" s="25"/>
      <c r="I38" s="25"/>
      <c r="J38" s="24"/>
    </row>
    <row r="39" spans="1:10" s="20" customFormat="1" ht="16.5" x14ac:dyDescent="0.25">
      <c r="A39" s="17"/>
      <c r="B39" s="17"/>
      <c r="C39" s="17"/>
      <c r="D39" s="17"/>
      <c r="E39" s="25"/>
      <c r="F39" s="25"/>
      <c r="G39" s="25"/>
      <c r="H39" s="25"/>
      <c r="I39" s="25"/>
      <c r="J39" s="24"/>
    </row>
    <row r="40" spans="1:10" s="20" customFormat="1" ht="16.5" x14ac:dyDescent="0.25">
      <c r="A40" s="17"/>
      <c r="B40" s="17"/>
      <c r="C40" s="17"/>
      <c r="D40" s="17"/>
      <c r="E40" s="25"/>
      <c r="F40" s="25"/>
      <c r="G40" s="25"/>
      <c r="H40" s="25"/>
      <c r="I40" s="25"/>
      <c r="J40" s="24"/>
    </row>
    <row r="41" spans="1:10" s="20" customFormat="1" ht="16.5" x14ac:dyDescent="0.25">
      <c r="A41" s="17"/>
      <c r="B41" s="17"/>
      <c r="C41" s="17"/>
      <c r="D41" s="17"/>
      <c r="E41" s="25"/>
      <c r="F41" s="25"/>
      <c r="G41" s="25"/>
      <c r="H41" s="25"/>
      <c r="I41" s="25"/>
      <c r="J41" s="24"/>
    </row>
    <row r="42" spans="1:10" s="20" customFormat="1" ht="16.5" x14ac:dyDescent="0.25">
      <c r="A42" s="17"/>
      <c r="B42" s="17"/>
      <c r="C42" s="17"/>
      <c r="D42" s="17"/>
      <c r="E42" s="26"/>
      <c r="F42" s="26"/>
      <c r="G42" s="26"/>
      <c r="H42" s="26"/>
      <c r="I42" s="23"/>
      <c r="J42" s="24"/>
    </row>
    <row r="43" spans="1:10" s="20" customFormat="1" ht="16.5" x14ac:dyDescent="0.25">
      <c r="A43" s="17"/>
      <c r="B43" s="17"/>
      <c r="C43" s="17"/>
      <c r="D43" s="17"/>
      <c r="E43" s="26"/>
      <c r="F43" s="26"/>
      <c r="G43" s="26"/>
      <c r="H43" s="26"/>
      <c r="I43" s="23"/>
      <c r="J43" s="24"/>
    </row>
    <row r="44" spans="1:10" s="20" customFormat="1" ht="16.5" x14ac:dyDescent="0.25">
      <c r="A44" s="17"/>
      <c r="B44" s="17"/>
      <c r="C44" s="17"/>
      <c r="D44" s="17"/>
      <c r="E44" s="26"/>
      <c r="F44" s="26"/>
      <c r="G44" s="26"/>
      <c r="H44" s="26"/>
      <c r="I44" s="23"/>
      <c r="J44" s="24"/>
    </row>
    <row r="45" spans="1:10" s="20" customFormat="1" ht="16.5" x14ac:dyDescent="0.25">
      <c r="A45" s="17"/>
      <c r="B45" s="17"/>
      <c r="C45" s="17"/>
      <c r="D45" s="17"/>
      <c r="E45" s="25"/>
      <c r="F45" s="25"/>
      <c r="G45" s="25"/>
      <c r="H45" s="25"/>
      <c r="I45" s="25"/>
      <c r="J45" s="24"/>
    </row>
    <row r="46" spans="1:10" s="20" customFormat="1" ht="16.5" x14ac:dyDescent="0.25">
      <c r="A46" s="17"/>
      <c r="B46" s="17"/>
      <c r="C46" s="17"/>
      <c r="D46" s="17"/>
      <c r="E46" s="22"/>
      <c r="F46" s="22"/>
      <c r="G46" s="22"/>
      <c r="H46" s="22"/>
      <c r="I46" s="23"/>
      <c r="J46" s="24"/>
    </row>
    <row r="47" spans="1:10" s="20" customFormat="1" ht="16.5" x14ac:dyDescent="0.25">
      <c r="A47" s="17"/>
      <c r="B47" s="17"/>
      <c r="C47" s="17"/>
      <c r="D47" s="17"/>
      <c r="E47" s="25"/>
      <c r="F47" s="25"/>
      <c r="G47" s="25"/>
      <c r="H47" s="25"/>
      <c r="I47" s="25"/>
      <c r="J47" s="24"/>
    </row>
    <row r="48" spans="1:10" s="20" customFormat="1" ht="16.5" x14ac:dyDescent="0.25">
      <c r="A48" s="17"/>
      <c r="B48" s="17"/>
      <c r="C48" s="17"/>
      <c r="D48" s="17"/>
      <c r="E48" s="25"/>
      <c r="F48" s="25"/>
      <c r="G48" s="25"/>
      <c r="H48" s="25"/>
      <c r="I48" s="25"/>
      <c r="J48" s="24"/>
    </row>
    <row r="49" spans="1:10" s="20" customFormat="1" ht="16.5" x14ac:dyDescent="0.25">
      <c r="A49" s="17"/>
      <c r="B49" s="17"/>
      <c r="C49" s="17"/>
      <c r="D49" s="17"/>
      <c r="E49" s="26"/>
      <c r="F49" s="26"/>
      <c r="G49" s="26"/>
      <c r="H49" s="26"/>
      <c r="I49" s="23"/>
      <c r="J49" s="24"/>
    </row>
    <row r="50" spans="1:10" s="20" customFormat="1" ht="16.5" x14ac:dyDescent="0.25">
      <c r="A50" s="17"/>
      <c r="B50" s="17"/>
      <c r="C50" s="17"/>
      <c r="D50" s="17"/>
      <c r="E50" s="22"/>
      <c r="F50" s="26"/>
      <c r="G50" s="26"/>
      <c r="H50" s="26"/>
      <c r="I50" s="25"/>
      <c r="J50" s="24"/>
    </row>
    <row r="51" spans="1:10" s="20" customFormat="1" ht="16.5" x14ac:dyDescent="0.25">
      <c r="A51" s="17"/>
      <c r="B51" s="17"/>
      <c r="C51" s="17"/>
      <c r="D51" s="17"/>
      <c r="E51" s="25"/>
      <c r="F51" s="25"/>
      <c r="G51" s="25"/>
      <c r="H51" s="25"/>
      <c r="I51" s="25"/>
      <c r="J51" s="24"/>
    </row>
    <row r="52" spans="1:10" s="17" customFormat="1" x14ac:dyDescent="0.25">
      <c r="E52" s="22"/>
      <c r="F52" s="22"/>
      <c r="G52" s="22"/>
      <c r="H52" s="22"/>
      <c r="I52" s="23"/>
      <c r="J52" s="24"/>
    </row>
    <row r="53" spans="1:10" s="17" customFormat="1" x14ac:dyDescent="0.25">
      <c r="E53" s="25"/>
      <c r="F53" s="25"/>
      <c r="G53" s="25"/>
      <c r="H53" s="25"/>
      <c r="I53" s="25"/>
      <c r="J53" s="24"/>
    </row>
    <row r="54" spans="1:10" s="17" customFormat="1" x14ac:dyDescent="0.25">
      <c r="E54" s="25"/>
      <c r="F54" s="25"/>
      <c r="G54" s="25"/>
      <c r="H54" s="25"/>
      <c r="I54" s="25"/>
      <c r="J54" s="24"/>
    </row>
    <row r="55" spans="1:10" s="17" customFormat="1" x14ac:dyDescent="0.25">
      <c r="E55" s="26"/>
      <c r="F55" s="26"/>
      <c r="G55" s="26"/>
      <c r="H55" s="26"/>
      <c r="I55" s="23"/>
      <c r="J55" s="24"/>
    </row>
    <row r="56" spans="1:10" s="17" customFormat="1" x14ac:dyDescent="0.25">
      <c r="E56" s="26"/>
      <c r="F56" s="26"/>
      <c r="G56" s="26"/>
      <c r="H56" s="26"/>
      <c r="I56" s="23"/>
      <c r="J56" s="24"/>
    </row>
    <row r="57" spans="1:10" s="17" customFormat="1" x14ac:dyDescent="0.25">
      <c r="E57" s="22"/>
      <c r="F57" s="26"/>
      <c r="G57" s="26"/>
      <c r="H57" s="26"/>
      <c r="I57" s="25"/>
      <c r="J57" s="24"/>
    </row>
    <row r="58" spans="1:10" s="17" customFormat="1" x14ac:dyDescent="0.25">
      <c r="E58" s="25"/>
      <c r="F58" s="25"/>
      <c r="G58" s="25"/>
      <c r="H58" s="25"/>
      <c r="I58" s="25"/>
      <c r="J58" s="24"/>
    </row>
    <row r="59" spans="1:10" s="17" customFormat="1" x14ac:dyDescent="0.25">
      <c r="E59" s="22"/>
      <c r="F59" s="22"/>
      <c r="G59" s="22"/>
      <c r="H59" s="22"/>
      <c r="I59" s="23"/>
      <c r="J59" s="24"/>
    </row>
    <row r="60" spans="1:10" s="17" customFormat="1" x14ac:dyDescent="0.25">
      <c r="E60" s="25"/>
      <c r="F60" s="25"/>
      <c r="G60" s="25"/>
      <c r="H60" s="25"/>
      <c r="I60" s="25"/>
      <c r="J60" s="24"/>
    </row>
    <row r="61" spans="1:10" s="17" customFormat="1" x14ac:dyDescent="0.25">
      <c r="E61" s="25"/>
      <c r="F61" s="25"/>
      <c r="G61" s="25"/>
      <c r="H61" s="25"/>
      <c r="I61" s="25"/>
      <c r="J61" s="24"/>
    </row>
    <row r="62" spans="1:10" s="17" customFormat="1" x14ac:dyDescent="0.25">
      <c r="E62" s="26"/>
      <c r="F62" s="26"/>
      <c r="G62" s="26"/>
      <c r="H62" s="26"/>
      <c r="I62" s="23"/>
      <c r="J62" s="24"/>
    </row>
    <row r="63" spans="1:10" s="17" customFormat="1" x14ac:dyDescent="0.25">
      <c r="E63" s="26"/>
      <c r="F63" s="26"/>
      <c r="G63" s="26"/>
      <c r="H63" s="26"/>
      <c r="I63" s="23"/>
      <c r="J63" s="24"/>
    </row>
    <row r="64" spans="1:10" s="17" customFormat="1" x14ac:dyDescent="0.25">
      <c r="E64" s="26"/>
      <c r="F64" s="26"/>
      <c r="G64" s="26"/>
      <c r="H64" s="26"/>
      <c r="I64" s="23"/>
      <c r="J64" s="24"/>
    </row>
    <row r="65" spans="5:10" s="17" customFormat="1" x14ac:dyDescent="0.25">
      <c r="E65" s="22"/>
      <c r="F65" s="26"/>
      <c r="G65" s="26"/>
      <c r="H65" s="26"/>
      <c r="I65" s="25"/>
      <c r="J65" s="24"/>
    </row>
    <row r="66" spans="5:10" s="17" customFormat="1" x14ac:dyDescent="0.25">
      <c r="E66" s="25"/>
      <c r="F66" s="25"/>
      <c r="G66" s="25"/>
      <c r="H66" s="25"/>
      <c r="I66" s="25"/>
      <c r="J66" s="24"/>
    </row>
    <row r="67" spans="5:10" s="17" customFormat="1" x14ac:dyDescent="0.25">
      <c r="E67" s="22"/>
      <c r="F67" s="22"/>
      <c r="G67" s="22"/>
      <c r="H67" s="22"/>
      <c r="I67" s="23"/>
      <c r="J67" s="24"/>
    </row>
    <row r="68" spans="5:10" s="17" customFormat="1" x14ac:dyDescent="0.25">
      <c r="E68" s="25"/>
      <c r="F68" s="25"/>
      <c r="G68" s="25"/>
      <c r="H68" s="25"/>
      <c r="I68" s="25"/>
      <c r="J68" s="24"/>
    </row>
    <row r="69" spans="5:10" s="17" customFormat="1" x14ac:dyDescent="0.25">
      <c r="E69" s="25"/>
      <c r="F69" s="25"/>
      <c r="G69" s="25"/>
      <c r="H69" s="25"/>
      <c r="I69" s="25"/>
      <c r="J69" s="24"/>
    </row>
    <row r="70" spans="5:10" s="17" customFormat="1" x14ac:dyDescent="0.25">
      <c r="E70" s="25"/>
      <c r="F70" s="25"/>
      <c r="G70" s="25"/>
      <c r="H70" s="25"/>
      <c r="I70" s="25"/>
      <c r="J70" s="24"/>
    </row>
    <row r="71" spans="5:10" s="17" customFormat="1" x14ac:dyDescent="0.25">
      <c r="E71" s="25"/>
      <c r="F71" s="25"/>
      <c r="G71" s="25"/>
      <c r="H71" s="25"/>
      <c r="I71" s="25"/>
      <c r="J71" s="24"/>
    </row>
    <row r="72" spans="5:10" s="17" customFormat="1" x14ac:dyDescent="0.25">
      <c r="E72" s="25"/>
      <c r="F72" s="29"/>
      <c r="G72" s="29"/>
      <c r="H72" s="29"/>
      <c r="I72" s="25"/>
      <c r="J72" s="24"/>
    </row>
    <row r="73" spans="5:10" s="17" customFormat="1" x14ac:dyDescent="0.25">
      <c r="E73" s="25"/>
      <c r="F73" s="25"/>
      <c r="G73" s="25"/>
      <c r="H73" s="25"/>
      <c r="I73" s="25"/>
      <c r="J73" s="24"/>
    </row>
    <row r="74" spans="5:10" s="17" customFormat="1" x14ac:dyDescent="0.25">
      <c r="E74" s="25"/>
      <c r="F74" s="25"/>
      <c r="G74" s="25"/>
      <c r="H74" s="25"/>
      <c r="I74" s="25"/>
      <c r="J74" s="24"/>
    </row>
    <row r="75" spans="5:10" s="17" customFormat="1" x14ac:dyDescent="0.25">
      <c r="E75" s="25"/>
      <c r="F75" s="25"/>
      <c r="G75" s="25"/>
      <c r="H75" s="25"/>
      <c r="I75" s="25"/>
      <c r="J75" s="24"/>
    </row>
    <row r="76" spans="5:10" s="17" customFormat="1" x14ac:dyDescent="0.25">
      <c r="E76" s="25"/>
      <c r="F76" s="25"/>
      <c r="G76" s="25"/>
      <c r="H76" s="25"/>
      <c r="I76" s="25"/>
      <c r="J76" s="30"/>
    </row>
    <row r="77" spans="5:10" s="17" customFormat="1" x14ac:dyDescent="0.25">
      <c r="E77" s="25"/>
      <c r="F77" s="25"/>
      <c r="G77" s="25"/>
      <c r="H77" s="25"/>
      <c r="I77" s="25"/>
      <c r="J77" s="30"/>
    </row>
    <row r="78" spans="5:10" s="17" customFormat="1" x14ac:dyDescent="0.25">
      <c r="E78" s="25"/>
      <c r="F78" s="25"/>
      <c r="G78" s="25"/>
      <c r="H78" s="25"/>
      <c r="I78" s="25"/>
      <c r="J78" s="30"/>
    </row>
    <row r="79" spans="5:10" s="17" customFormat="1" x14ac:dyDescent="0.25">
      <c r="E79" s="31"/>
      <c r="F79" s="31"/>
      <c r="G79" s="31"/>
      <c r="H79" s="31"/>
      <c r="J79" s="30"/>
    </row>
    <row r="80" spans="5:10" s="17" customFormat="1" x14ac:dyDescent="0.25">
      <c r="E80" s="31"/>
      <c r="F80" s="31"/>
      <c r="G80" s="31"/>
      <c r="H80" s="31"/>
      <c r="J80" s="30"/>
    </row>
    <row r="81" spans="5:10" s="17" customFormat="1" x14ac:dyDescent="0.25">
      <c r="E81" s="31"/>
      <c r="F81" s="31"/>
      <c r="G81" s="31"/>
      <c r="H81" s="31"/>
      <c r="J81" s="30"/>
    </row>
    <row r="82" spans="5:10" x14ac:dyDescent="0.25">
      <c r="J82" s="30"/>
    </row>
  </sheetData>
  <dataConsolidate/>
  <mergeCells count="3">
    <mergeCell ref="A6:J6"/>
    <mergeCell ref="A7:I7"/>
    <mergeCell ref="A1:J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7"/>
  <sheetViews>
    <sheetView view="pageBreakPreview" zoomScale="90" zoomScaleNormal="70" zoomScaleSheetLayoutView="90" workbookViewId="0">
      <selection sqref="A1:J1"/>
    </sheetView>
  </sheetViews>
  <sheetFormatPr defaultColWidth="54.28515625" defaultRowHeight="15" x14ac:dyDescent="0.25"/>
  <cols>
    <col min="1" max="1" width="16" style="17" customWidth="1"/>
    <col min="2" max="2" width="15.28515625" style="17" customWidth="1"/>
    <col min="3" max="3" width="16.28515625" style="17" bestFit="1" customWidth="1"/>
    <col min="4" max="4" width="16.140625" style="17" customWidth="1"/>
    <col min="5" max="5" width="13.5703125" style="31" customWidth="1"/>
    <col min="6" max="6" width="8.28515625" style="31" bestFit="1" customWidth="1"/>
    <col min="7" max="7" width="9.42578125" style="31" bestFit="1" customWidth="1"/>
    <col min="8" max="8" width="13.85546875" style="31" bestFit="1" customWidth="1"/>
    <col min="9" max="9" width="21.85546875" style="31" bestFit="1" customWidth="1"/>
    <col min="10" max="10" width="16.85546875" style="17" bestFit="1" customWidth="1"/>
    <col min="11" max="16384" width="54.28515625" style="3"/>
  </cols>
  <sheetData>
    <row r="1" spans="1:10" s="74" customFormat="1" ht="21" x14ac:dyDescent="0.25">
      <c r="A1" s="134" t="s">
        <v>23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s="1" customFormat="1" ht="90" x14ac:dyDescent="0.25">
      <c r="A2" s="2" t="s">
        <v>102</v>
      </c>
      <c r="B2" s="2" t="s">
        <v>3</v>
      </c>
      <c r="C2" s="2" t="s">
        <v>99</v>
      </c>
      <c r="D2" s="2" t="s">
        <v>0</v>
      </c>
      <c r="E2" s="2" t="s">
        <v>1</v>
      </c>
      <c r="F2" s="2" t="s">
        <v>100</v>
      </c>
      <c r="G2" s="2" t="s">
        <v>19</v>
      </c>
      <c r="H2" s="2" t="s">
        <v>20</v>
      </c>
      <c r="I2" s="2" t="s">
        <v>12</v>
      </c>
      <c r="J2" s="2" t="s">
        <v>21</v>
      </c>
    </row>
    <row r="3" spans="1:10" ht="16.5" x14ac:dyDescent="0.25">
      <c r="A3" s="4" t="s">
        <v>91</v>
      </c>
      <c r="B3" s="5" t="s">
        <v>6</v>
      </c>
      <c r="C3" s="6">
        <v>44249</v>
      </c>
      <c r="D3" s="7">
        <v>44251</v>
      </c>
      <c r="E3" s="7">
        <v>45343</v>
      </c>
      <c r="F3" s="72">
        <v>1092</v>
      </c>
      <c r="G3" s="10" t="s">
        <v>8</v>
      </c>
      <c r="H3" s="37">
        <v>1.1499999999999999</v>
      </c>
      <c r="I3" s="11">
        <v>21021365</v>
      </c>
      <c r="J3" s="11">
        <f>+I3*1</f>
        <v>21021365</v>
      </c>
    </row>
    <row r="4" spans="1:10" ht="16.5" x14ac:dyDescent="0.25">
      <c r="A4" s="12" t="s">
        <v>92</v>
      </c>
      <c r="B4" s="13" t="s">
        <v>6</v>
      </c>
      <c r="C4" s="14">
        <v>44277</v>
      </c>
      <c r="D4" s="14">
        <v>44279</v>
      </c>
      <c r="E4" s="14">
        <v>45371</v>
      </c>
      <c r="F4" s="42">
        <v>1092</v>
      </c>
      <c r="G4" s="12" t="s">
        <v>8</v>
      </c>
      <c r="H4" s="12">
        <v>1.1499999999999999</v>
      </c>
      <c r="I4" s="16">
        <v>10312180</v>
      </c>
      <c r="J4" s="16">
        <v>10312180</v>
      </c>
    </row>
    <row r="5" spans="1:10" ht="16.5" x14ac:dyDescent="0.25">
      <c r="A5" s="4" t="s">
        <v>93</v>
      </c>
      <c r="B5" s="76" t="s">
        <v>6</v>
      </c>
      <c r="C5" s="6">
        <v>44300</v>
      </c>
      <c r="D5" s="7">
        <v>44302</v>
      </c>
      <c r="E5" s="7">
        <v>45394</v>
      </c>
      <c r="F5" s="72">
        <v>1092</v>
      </c>
      <c r="G5" s="10" t="s">
        <v>8</v>
      </c>
      <c r="H5" s="37">
        <v>1.1499999999999999</v>
      </c>
      <c r="I5" s="11">
        <v>8649535</v>
      </c>
      <c r="J5" s="11">
        <v>8649535</v>
      </c>
    </row>
    <row r="6" spans="1:10" ht="16.5" x14ac:dyDescent="0.25">
      <c r="A6" s="12" t="s">
        <v>94</v>
      </c>
      <c r="B6" s="13" t="s">
        <v>6</v>
      </c>
      <c r="C6" s="14">
        <v>44334</v>
      </c>
      <c r="D6" s="14">
        <v>44337</v>
      </c>
      <c r="E6" s="14">
        <v>44701</v>
      </c>
      <c r="F6" s="42">
        <v>364</v>
      </c>
      <c r="G6" s="12" t="s">
        <v>8</v>
      </c>
      <c r="H6" s="12">
        <v>0.75</v>
      </c>
      <c r="I6" s="16">
        <v>10759930</v>
      </c>
      <c r="J6" s="16">
        <v>10759930</v>
      </c>
    </row>
    <row r="7" spans="1:10" ht="16.5" x14ac:dyDescent="0.25">
      <c r="A7" s="4" t="s">
        <v>95</v>
      </c>
      <c r="B7" s="5" t="s">
        <v>6</v>
      </c>
      <c r="C7" s="6">
        <v>44363</v>
      </c>
      <c r="D7" s="7">
        <v>44365</v>
      </c>
      <c r="E7" s="7">
        <v>45457</v>
      </c>
      <c r="F7" s="72">
        <v>1092</v>
      </c>
      <c r="G7" s="10" t="s">
        <v>8</v>
      </c>
      <c r="H7" s="37">
        <v>1.1499999999999999</v>
      </c>
      <c r="I7" s="11">
        <v>5278475</v>
      </c>
      <c r="J7" s="11">
        <v>5278475</v>
      </c>
    </row>
    <row r="8" spans="1:10" ht="16.5" x14ac:dyDescent="0.25">
      <c r="A8" s="12" t="s">
        <v>96</v>
      </c>
      <c r="B8" s="13" t="s">
        <v>6</v>
      </c>
      <c r="C8" s="14">
        <v>44384</v>
      </c>
      <c r="D8" s="14">
        <v>44386</v>
      </c>
      <c r="E8" s="14">
        <v>45478</v>
      </c>
      <c r="F8" s="42">
        <v>1092</v>
      </c>
      <c r="G8" s="12" t="s">
        <v>8</v>
      </c>
      <c r="H8" s="12">
        <v>1.1499999999999999</v>
      </c>
      <c r="I8" s="16">
        <v>6646600</v>
      </c>
      <c r="J8" s="16">
        <v>6646600</v>
      </c>
    </row>
    <row r="9" spans="1:10" ht="16.5" x14ac:dyDescent="0.25">
      <c r="A9" s="4" t="s">
        <v>97</v>
      </c>
      <c r="B9" s="5" t="s">
        <v>6</v>
      </c>
      <c r="C9" s="6">
        <v>44480</v>
      </c>
      <c r="D9" s="7">
        <v>44482</v>
      </c>
      <c r="E9" s="7">
        <v>45574</v>
      </c>
      <c r="F9" s="72">
        <v>1092</v>
      </c>
      <c r="G9" s="10" t="s">
        <v>8</v>
      </c>
      <c r="H9" s="37">
        <v>0.75</v>
      </c>
      <c r="I9" s="11">
        <v>1389020</v>
      </c>
      <c r="J9" s="11">
        <v>1389020</v>
      </c>
    </row>
    <row r="10" spans="1:10" ht="11.25" customHeight="1" x14ac:dyDescent="0.25">
      <c r="A10" s="133"/>
      <c r="B10" s="133"/>
      <c r="C10" s="133"/>
      <c r="D10" s="133"/>
      <c r="E10" s="133"/>
      <c r="F10" s="133"/>
      <c r="G10" s="133"/>
      <c r="H10" s="133"/>
      <c r="I10" s="133"/>
      <c r="J10" s="133"/>
    </row>
    <row r="11" spans="1:10" ht="17.25" customHeight="1" x14ac:dyDescent="0.25">
      <c r="A11" s="126" t="s">
        <v>24</v>
      </c>
      <c r="B11" s="127"/>
      <c r="C11" s="127"/>
      <c r="D11" s="127"/>
      <c r="E11" s="127"/>
      <c r="F11" s="127"/>
      <c r="G11" s="127"/>
      <c r="H11" s="127"/>
      <c r="I11" s="127"/>
      <c r="J11" s="128"/>
    </row>
    <row r="12" spans="1:10" s="20" customFormat="1" ht="29.25" customHeight="1" x14ac:dyDescent="0.25">
      <c r="A12" s="131" t="s">
        <v>69</v>
      </c>
      <c r="B12" s="131"/>
      <c r="C12" s="131"/>
      <c r="D12" s="131"/>
      <c r="E12" s="131"/>
      <c r="F12" s="131"/>
      <c r="G12" s="131"/>
      <c r="H12" s="131"/>
      <c r="I12" s="132"/>
    </row>
    <row r="13" spans="1:10" s="20" customFormat="1" ht="16.5" x14ac:dyDescent="0.25">
      <c r="B13" s="33"/>
      <c r="J13" s="75"/>
    </row>
    <row r="14" spans="1:10" s="20" customFormat="1" ht="16.5" x14ac:dyDescent="0.25">
      <c r="A14" s="17"/>
      <c r="B14" s="17"/>
      <c r="C14" s="17"/>
      <c r="D14" s="17"/>
      <c r="E14" s="22"/>
      <c r="F14" s="22"/>
      <c r="G14" s="22"/>
      <c r="H14" s="22"/>
      <c r="I14" s="22"/>
      <c r="J14" s="23"/>
    </row>
    <row r="15" spans="1:10" s="20" customFormat="1" ht="16.5" x14ac:dyDescent="0.25">
      <c r="A15" s="17"/>
      <c r="B15" s="17"/>
      <c r="C15" s="17"/>
      <c r="D15" s="17"/>
      <c r="E15" s="25"/>
      <c r="F15" s="25"/>
      <c r="G15" s="25"/>
      <c r="H15" s="25"/>
      <c r="I15" s="25"/>
      <c r="J15" s="25"/>
    </row>
    <row r="16" spans="1:10" s="20" customFormat="1" ht="16.5" x14ac:dyDescent="0.25">
      <c r="A16" s="17"/>
      <c r="B16" s="17"/>
      <c r="C16" s="17"/>
      <c r="D16" s="17"/>
      <c r="E16" s="25"/>
      <c r="F16" s="25"/>
      <c r="G16" s="25"/>
      <c r="H16" s="25"/>
      <c r="I16" s="25"/>
      <c r="J16" s="25"/>
    </row>
    <row r="17" spans="1:10" s="20" customFormat="1" ht="16.5" x14ac:dyDescent="0.25">
      <c r="A17" s="17"/>
      <c r="B17" s="17"/>
      <c r="C17" s="17"/>
      <c r="D17" s="17"/>
      <c r="E17" s="22"/>
      <c r="F17" s="26"/>
      <c r="G17" s="26"/>
      <c r="H17" s="26"/>
      <c r="I17" s="26"/>
      <c r="J17" s="23"/>
    </row>
    <row r="18" spans="1:10" s="20" customFormat="1" ht="16.5" x14ac:dyDescent="0.25">
      <c r="A18" s="17"/>
      <c r="B18" s="17"/>
      <c r="C18" s="17"/>
      <c r="D18" s="17"/>
      <c r="E18" s="22"/>
      <c r="F18" s="22"/>
      <c r="G18" s="26"/>
      <c r="H18" s="26"/>
      <c r="I18" s="26"/>
      <c r="J18" s="25"/>
    </row>
    <row r="19" spans="1:10" s="20" customFormat="1" ht="16.5" x14ac:dyDescent="0.25">
      <c r="A19" s="17"/>
      <c r="B19" s="17"/>
      <c r="C19" s="17"/>
      <c r="D19" s="17"/>
      <c r="E19" s="22"/>
      <c r="F19" s="26"/>
      <c r="G19" s="26"/>
      <c r="H19" s="26"/>
      <c r="I19" s="26"/>
      <c r="J19" s="23"/>
    </row>
    <row r="20" spans="1:10" s="20" customFormat="1" ht="16.5" x14ac:dyDescent="0.25">
      <c r="A20" s="17"/>
      <c r="B20" s="17"/>
      <c r="C20" s="17"/>
      <c r="D20" s="17"/>
      <c r="E20" s="25"/>
      <c r="F20" s="25"/>
      <c r="G20" s="25"/>
      <c r="H20" s="25"/>
      <c r="I20" s="25"/>
      <c r="J20" s="25"/>
    </row>
    <row r="21" spans="1:10" s="20" customFormat="1" ht="16.5" x14ac:dyDescent="0.25">
      <c r="A21" s="17"/>
      <c r="B21" s="17"/>
      <c r="C21" s="17"/>
      <c r="D21" s="17"/>
      <c r="E21" s="22"/>
      <c r="F21" s="22"/>
      <c r="G21" s="22"/>
      <c r="H21" s="22"/>
      <c r="I21" s="22"/>
      <c r="J21" s="23"/>
    </row>
    <row r="22" spans="1:10" s="20" customFormat="1" ht="16.5" x14ac:dyDescent="0.25">
      <c r="A22" s="17"/>
      <c r="B22" s="17"/>
      <c r="C22" s="17"/>
      <c r="D22" s="17"/>
      <c r="E22" s="22"/>
      <c r="F22" s="22"/>
      <c r="G22" s="22"/>
      <c r="H22" s="22"/>
      <c r="I22" s="22"/>
      <c r="J22" s="23"/>
    </row>
    <row r="23" spans="1:10" s="20" customFormat="1" ht="16.5" x14ac:dyDescent="0.25">
      <c r="A23" s="17"/>
      <c r="B23" s="17"/>
      <c r="C23" s="17"/>
      <c r="D23" s="17"/>
      <c r="E23" s="22"/>
      <c r="F23" s="22"/>
      <c r="G23" s="22"/>
      <c r="H23" s="22"/>
      <c r="I23" s="22"/>
      <c r="J23" s="23"/>
    </row>
    <row r="24" spans="1:10" s="20" customFormat="1" ht="16.5" x14ac:dyDescent="0.25">
      <c r="A24" s="17"/>
      <c r="B24" s="17"/>
      <c r="C24" s="17"/>
      <c r="D24" s="17"/>
      <c r="E24" s="22"/>
      <c r="F24" s="22"/>
      <c r="G24" s="22"/>
      <c r="H24" s="22"/>
      <c r="I24" s="22"/>
      <c r="J24" s="23"/>
    </row>
    <row r="25" spans="1:10" s="20" customFormat="1" ht="16.5" x14ac:dyDescent="0.25">
      <c r="A25" s="17"/>
      <c r="B25" s="17"/>
      <c r="C25" s="17"/>
      <c r="D25" s="17"/>
      <c r="E25" s="25"/>
      <c r="F25" s="25"/>
      <c r="G25" s="25"/>
      <c r="H25" s="25"/>
      <c r="I25" s="25"/>
      <c r="J25" s="25"/>
    </row>
    <row r="26" spans="1:10" s="20" customFormat="1" ht="16.5" x14ac:dyDescent="0.25">
      <c r="A26" s="17"/>
      <c r="B26" s="17"/>
      <c r="C26" s="17"/>
      <c r="D26" s="17"/>
      <c r="E26" s="22"/>
      <c r="F26" s="26"/>
      <c r="G26" s="26"/>
      <c r="H26" s="26"/>
      <c r="I26" s="26"/>
      <c r="J26" s="23"/>
    </row>
    <row r="27" spans="1:10" s="20" customFormat="1" ht="16.5" x14ac:dyDescent="0.25">
      <c r="A27" s="17"/>
      <c r="B27" s="17"/>
      <c r="C27" s="17"/>
      <c r="D27" s="17"/>
      <c r="E27" s="22"/>
      <c r="F27" s="22"/>
      <c r="G27" s="26"/>
      <c r="H27" s="26"/>
      <c r="I27" s="26"/>
      <c r="J27" s="25"/>
    </row>
    <row r="28" spans="1:10" s="20" customFormat="1" ht="16.5" x14ac:dyDescent="0.25">
      <c r="A28" s="17"/>
      <c r="B28" s="17"/>
      <c r="C28" s="17"/>
      <c r="D28" s="17"/>
      <c r="E28" s="22"/>
      <c r="F28" s="26"/>
      <c r="G28" s="26"/>
      <c r="H28" s="26"/>
      <c r="I28" s="26"/>
      <c r="J28" s="23"/>
    </row>
    <row r="29" spans="1:10" s="20" customFormat="1" ht="16.5" x14ac:dyDescent="0.25">
      <c r="A29" s="17"/>
      <c r="B29" s="17"/>
      <c r="C29" s="17"/>
      <c r="D29" s="17"/>
      <c r="E29" s="25"/>
      <c r="F29" s="25"/>
      <c r="G29" s="25"/>
      <c r="H29" s="25"/>
      <c r="I29" s="25"/>
      <c r="J29" s="25"/>
    </row>
    <row r="30" spans="1:10" s="20" customFormat="1" ht="16.5" x14ac:dyDescent="0.25">
      <c r="A30" s="17"/>
      <c r="B30" s="17"/>
      <c r="C30" s="17"/>
      <c r="D30" s="17"/>
      <c r="E30" s="22"/>
      <c r="F30" s="22"/>
      <c r="G30" s="22"/>
      <c r="H30" s="22"/>
      <c r="I30" s="22"/>
      <c r="J30" s="23"/>
    </row>
    <row r="31" spans="1:10" s="20" customFormat="1" ht="16.5" x14ac:dyDescent="0.25">
      <c r="A31" s="17"/>
      <c r="B31" s="17"/>
      <c r="C31" s="17"/>
      <c r="D31" s="17"/>
      <c r="E31" s="25"/>
      <c r="F31" s="25"/>
      <c r="G31" s="25"/>
      <c r="H31" s="25"/>
      <c r="I31" s="25"/>
      <c r="J31" s="25"/>
    </row>
    <row r="32" spans="1:10" s="20" customFormat="1" ht="16.5" x14ac:dyDescent="0.25">
      <c r="A32" s="17"/>
      <c r="B32" s="17"/>
      <c r="C32" s="17"/>
      <c r="D32" s="17"/>
      <c r="E32" s="25"/>
      <c r="F32" s="25"/>
      <c r="G32" s="25"/>
      <c r="H32" s="25"/>
      <c r="I32" s="25"/>
      <c r="J32" s="25"/>
    </row>
    <row r="33" spans="1:10" s="20" customFormat="1" ht="16.5" x14ac:dyDescent="0.25">
      <c r="A33" s="17"/>
      <c r="B33" s="17"/>
      <c r="C33" s="17"/>
      <c r="D33" s="17"/>
      <c r="E33" s="22"/>
      <c r="F33" s="26"/>
      <c r="G33" s="26"/>
      <c r="H33" s="26"/>
      <c r="I33" s="26"/>
      <c r="J33" s="23"/>
    </row>
    <row r="34" spans="1:10" s="20" customFormat="1" ht="16.5" x14ac:dyDescent="0.25">
      <c r="A34" s="17"/>
      <c r="B34" s="17"/>
      <c r="C34" s="17"/>
      <c r="D34" s="17"/>
      <c r="E34" s="22"/>
      <c r="F34" s="22"/>
      <c r="G34" s="26"/>
      <c r="H34" s="26"/>
      <c r="I34" s="26"/>
      <c r="J34" s="25"/>
    </row>
    <row r="35" spans="1:10" s="20" customFormat="1" ht="16.5" x14ac:dyDescent="0.25">
      <c r="A35" s="17"/>
      <c r="B35" s="17"/>
      <c r="C35" s="17"/>
      <c r="D35" s="17"/>
      <c r="E35" s="22"/>
      <c r="F35" s="26"/>
      <c r="G35" s="26"/>
      <c r="H35" s="26"/>
      <c r="I35" s="26"/>
      <c r="J35" s="23"/>
    </row>
    <row r="36" spans="1:10" s="20" customFormat="1" ht="16.5" x14ac:dyDescent="0.25">
      <c r="A36" s="17"/>
      <c r="B36" s="17"/>
      <c r="C36" s="17"/>
      <c r="D36" s="17"/>
      <c r="E36" s="25"/>
      <c r="F36" s="25"/>
      <c r="G36" s="25"/>
      <c r="H36" s="25"/>
      <c r="I36" s="25"/>
      <c r="J36" s="25"/>
    </row>
    <row r="37" spans="1:10" s="20" customFormat="1" ht="16.5" x14ac:dyDescent="0.25">
      <c r="A37" s="17"/>
      <c r="B37" s="17"/>
      <c r="C37" s="17"/>
      <c r="D37" s="17"/>
      <c r="E37" s="22"/>
      <c r="F37" s="22"/>
      <c r="G37" s="22"/>
      <c r="H37" s="22"/>
      <c r="I37" s="22"/>
      <c r="J37" s="23"/>
    </row>
    <row r="38" spans="1:10" s="20" customFormat="1" ht="16.5" x14ac:dyDescent="0.25">
      <c r="A38" s="17"/>
      <c r="B38" s="17"/>
      <c r="C38" s="17"/>
      <c r="D38" s="28"/>
      <c r="E38" s="25"/>
      <c r="F38" s="25"/>
      <c r="G38" s="25"/>
      <c r="H38" s="25"/>
      <c r="I38" s="25"/>
      <c r="J38" s="25"/>
    </row>
    <row r="39" spans="1:10" s="20" customFormat="1" ht="16.5" x14ac:dyDescent="0.25">
      <c r="A39" s="17"/>
      <c r="B39" s="17"/>
      <c r="C39" s="17"/>
      <c r="D39" s="28"/>
      <c r="E39" s="25"/>
      <c r="F39" s="25"/>
      <c r="G39" s="25"/>
      <c r="H39" s="25"/>
      <c r="I39" s="25"/>
      <c r="J39" s="25"/>
    </row>
    <row r="40" spans="1:10" s="20" customFormat="1" ht="16.5" x14ac:dyDescent="0.25">
      <c r="A40" s="17"/>
      <c r="B40" s="17"/>
      <c r="C40" s="17"/>
      <c r="D40" s="28"/>
      <c r="E40" s="25"/>
      <c r="F40" s="25"/>
      <c r="G40" s="25"/>
      <c r="H40" s="25"/>
      <c r="I40" s="25"/>
      <c r="J40" s="25"/>
    </row>
    <row r="41" spans="1:10" s="20" customFormat="1" ht="16.5" x14ac:dyDescent="0.25">
      <c r="A41" s="17"/>
      <c r="B41" s="17"/>
      <c r="C41" s="17"/>
      <c r="D41" s="17"/>
      <c r="E41" s="25"/>
      <c r="F41" s="25"/>
      <c r="G41" s="25"/>
      <c r="H41" s="25"/>
      <c r="I41" s="25"/>
      <c r="J41" s="25"/>
    </row>
    <row r="42" spans="1:10" s="20" customFormat="1" ht="16.5" x14ac:dyDescent="0.25">
      <c r="A42" s="17"/>
      <c r="B42" s="17"/>
      <c r="C42" s="17"/>
      <c r="D42" s="17"/>
      <c r="E42" s="25"/>
      <c r="F42" s="25"/>
      <c r="G42" s="25"/>
      <c r="H42" s="25"/>
      <c r="I42" s="25"/>
      <c r="J42" s="25"/>
    </row>
    <row r="43" spans="1:10" s="20" customFormat="1" ht="16.5" x14ac:dyDescent="0.25">
      <c r="A43" s="17"/>
      <c r="B43" s="17"/>
      <c r="C43" s="17"/>
      <c r="D43" s="17"/>
      <c r="E43" s="25"/>
      <c r="F43" s="25"/>
      <c r="G43" s="25"/>
      <c r="H43" s="25"/>
      <c r="I43" s="25"/>
      <c r="J43" s="25"/>
    </row>
    <row r="44" spans="1:10" s="20" customFormat="1" ht="16.5" x14ac:dyDescent="0.25">
      <c r="A44" s="17"/>
      <c r="B44" s="17"/>
      <c r="C44" s="17"/>
      <c r="D44" s="17"/>
      <c r="E44" s="25"/>
      <c r="F44" s="25"/>
      <c r="G44" s="25"/>
      <c r="H44" s="25"/>
      <c r="I44" s="25"/>
      <c r="J44" s="25"/>
    </row>
    <row r="45" spans="1:10" s="20" customFormat="1" ht="16.5" x14ac:dyDescent="0.25">
      <c r="A45" s="17"/>
      <c r="B45" s="17"/>
      <c r="C45" s="17"/>
      <c r="D45" s="17"/>
      <c r="E45" s="25"/>
      <c r="F45" s="25"/>
      <c r="G45" s="25"/>
      <c r="H45" s="25"/>
      <c r="I45" s="25"/>
      <c r="J45" s="25"/>
    </row>
    <row r="46" spans="1:10" s="20" customFormat="1" ht="16.5" x14ac:dyDescent="0.25">
      <c r="A46" s="17"/>
      <c r="B46" s="17"/>
      <c r="C46" s="17"/>
      <c r="D46" s="17"/>
      <c r="E46" s="25"/>
      <c r="F46" s="25"/>
      <c r="G46" s="25"/>
      <c r="H46" s="25"/>
      <c r="I46" s="25"/>
      <c r="J46" s="25"/>
    </row>
    <row r="47" spans="1:10" s="20" customFormat="1" ht="16.5" x14ac:dyDescent="0.25">
      <c r="A47" s="17"/>
      <c r="B47" s="17"/>
      <c r="C47" s="17"/>
      <c r="D47" s="17"/>
      <c r="E47" s="25"/>
      <c r="F47" s="25"/>
      <c r="G47" s="25"/>
      <c r="H47" s="25"/>
      <c r="I47" s="25"/>
      <c r="J47" s="25"/>
    </row>
    <row r="48" spans="1:10" s="20" customFormat="1" ht="16.5" x14ac:dyDescent="0.25">
      <c r="A48" s="17"/>
      <c r="B48" s="17"/>
      <c r="C48" s="17"/>
      <c r="D48" s="17"/>
      <c r="E48" s="22"/>
      <c r="F48" s="26"/>
      <c r="G48" s="26"/>
      <c r="H48" s="26"/>
      <c r="I48" s="26"/>
      <c r="J48" s="23"/>
    </row>
    <row r="49" spans="1:10" s="20" customFormat="1" ht="16.5" x14ac:dyDescent="0.25">
      <c r="A49" s="17"/>
      <c r="B49" s="17"/>
      <c r="C49" s="17"/>
      <c r="D49" s="17"/>
      <c r="E49" s="22"/>
      <c r="F49" s="26"/>
      <c r="G49" s="26"/>
      <c r="H49" s="26"/>
      <c r="I49" s="26"/>
      <c r="J49" s="23"/>
    </row>
    <row r="50" spans="1:10" s="20" customFormat="1" ht="16.5" x14ac:dyDescent="0.25">
      <c r="A50" s="17"/>
      <c r="B50" s="17"/>
      <c r="C50" s="17"/>
      <c r="D50" s="17"/>
      <c r="E50" s="22"/>
      <c r="F50" s="26"/>
      <c r="G50" s="26"/>
      <c r="H50" s="26"/>
      <c r="I50" s="26"/>
      <c r="J50" s="23"/>
    </row>
    <row r="51" spans="1:10" s="20" customFormat="1" ht="16.5" x14ac:dyDescent="0.25">
      <c r="A51" s="17"/>
      <c r="B51" s="17"/>
      <c r="C51" s="17"/>
      <c r="D51" s="17"/>
      <c r="E51" s="25"/>
      <c r="F51" s="25"/>
      <c r="G51" s="25"/>
      <c r="H51" s="25"/>
      <c r="I51" s="25"/>
      <c r="J51" s="25"/>
    </row>
    <row r="52" spans="1:10" s="20" customFormat="1" ht="16.5" x14ac:dyDescent="0.25">
      <c r="A52" s="17"/>
      <c r="B52" s="17"/>
      <c r="C52" s="17"/>
      <c r="D52" s="17"/>
      <c r="E52" s="22"/>
      <c r="F52" s="22"/>
      <c r="G52" s="22"/>
      <c r="H52" s="22"/>
      <c r="I52" s="22"/>
      <c r="J52" s="23"/>
    </row>
    <row r="53" spans="1:10" s="20" customFormat="1" ht="16.5" x14ac:dyDescent="0.25">
      <c r="A53" s="17"/>
      <c r="B53" s="17"/>
      <c r="C53" s="17"/>
      <c r="D53" s="17"/>
      <c r="E53" s="25"/>
      <c r="F53" s="25"/>
      <c r="G53" s="25"/>
      <c r="H53" s="25"/>
      <c r="I53" s="25"/>
      <c r="J53" s="25"/>
    </row>
    <row r="54" spans="1:10" s="20" customFormat="1" ht="16.5" x14ac:dyDescent="0.25">
      <c r="A54" s="17"/>
      <c r="B54" s="17"/>
      <c r="C54" s="17"/>
      <c r="D54" s="17"/>
      <c r="E54" s="25"/>
      <c r="F54" s="25"/>
      <c r="G54" s="25"/>
      <c r="H54" s="25"/>
      <c r="I54" s="25"/>
      <c r="J54" s="25"/>
    </row>
    <row r="55" spans="1:10" s="20" customFormat="1" ht="16.5" x14ac:dyDescent="0.25">
      <c r="A55" s="17"/>
      <c r="B55" s="17"/>
      <c r="C55" s="17"/>
      <c r="D55" s="17"/>
      <c r="E55" s="22"/>
      <c r="F55" s="26"/>
      <c r="G55" s="26"/>
      <c r="H55" s="26"/>
      <c r="I55" s="26"/>
      <c r="J55" s="23"/>
    </row>
    <row r="56" spans="1:10" s="20" customFormat="1" ht="16.5" x14ac:dyDescent="0.25">
      <c r="A56" s="17"/>
      <c r="B56" s="17"/>
      <c r="C56" s="17"/>
      <c r="D56" s="17"/>
      <c r="E56" s="22"/>
      <c r="F56" s="22"/>
      <c r="G56" s="26"/>
      <c r="H56" s="26"/>
      <c r="I56" s="26"/>
      <c r="J56" s="25"/>
    </row>
    <row r="57" spans="1:10" s="20" customFormat="1" ht="16.5" x14ac:dyDescent="0.25">
      <c r="A57" s="17"/>
      <c r="B57" s="17"/>
      <c r="C57" s="17"/>
      <c r="D57" s="17"/>
      <c r="E57" s="25"/>
      <c r="F57" s="25"/>
      <c r="G57" s="25"/>
      <c r="H57" s="25"/>
      <c r="I57" s="25"/>
      <c r="J57" s="25"/>
    </row>
    <row r="58" spans="1:10" s="17" customFormat="1" x14ac:dyDescent="0.25">
      <c r="E58" s="22"/>
      <c r="F58" s="22"/>
      <c r="G58" s="22"/>
      <c r="H58" s="22"/>
      <c r="I58" s="22"/>
      <c r="J58" s="23"/>
    </row>
    <row r="59" spans="1:10" s="17" customFormat="1" x14ac:dyDescent="0.25">
      <c r="E59" s="25"/>
      <c r="F59" s="25"/>
      <c r="G59" s="25"/>
      <c r="H59" s="25"/>
      <c r="I59" s="25"/>
      <c r="J59" s="25"/>
    </row>
    <row r="60" spans="1:10" s="17" customFormat="1" x14ac:dyDescent="0.25">
      <c r="E60" s="25"/>
      <c r="F60" s="25"/>
      <c r="G60" s="25"/>
      <c r="H60" s="25"/>
      <c r="I60" s="25"/>
      <c r="J60" s="25"/>
    </row>
    <row r="61" spans="1:10" s="17" customFormat="1" x14ac:dyDescent="0.25">
      <c r="E61" s="22"/>
      <c r="F61" s="26"/>
      <c r="G61" s="26"/>
      <c r="H61" s="26"/>
      <c r="I61" s="26"/>
      <c r="J61" s="23"/>
    </row>
    <row r="62" spans="1:10" s="17" customFormat="1" x14ac:dyDescent="0.25">
      <c r="E62" s="22"/>
      <c r="F62" s="26"/>
      <c r="G62" s="26"/>
      <c r="H62" s="26"/>
      <c r="I62" s="26"/>
      <c r="J62" s="23"/>
    </row>
    <row r="63" spans="1:10" s="17" customFormat="1" x14ac:dyDescent="0.25">
      <c r="E63" s="22"/>
      <c r="F63" s="22"/>
      <c r="G63" s="26"/>
      <c r="H63" s="26"/>
      <c r="I63" s="26"/>
      <c r="J63" s="25"/>
    </row>
    <row r="64" spans="1:10" s="17" customFormat="1" x14ac:dyDescent="0.25">
      <c r="E64" s="25"/>
      <c r="F64" s="25"/>
      <c r="G64" s="25"/>
      <c r="H64" s="25"/>
      <c r="I64" s="25"/>
      <c r="J64" s="25"/>
    </row>
    <row r="65" spans="5:10" s="17" customFormat="1" x14ac:dyDescent="0.25">
      <c r="E65" s="22"/>
      <c r="F65" s="22"/>
      <c r="G65" s="22"/>
      <c r="H65" s="22"/>
      <c r="I65" s="22"/>
      <c r="J65" s="23"/>
    </row>
    <row r="66" spans="5:10" s="17" customFormat="1" x14ac:dyDescent="0.25">
      <c r="E66" s="25"/>
      <c r="F66" s="25"/>
      <c r="G66" s="25"/>
      <c r="H66" s="25"/>
      <c r="I66" s="25"/>
      <c r="J66" s="25"/>
    </row>
    <row r="67" spans="5:10" s="17" customFormat="1" x14ac:dyDescent="0.25">
      <c r="E67" s="25"/>
      <c r="F67" s="25"/>
      <c r="G67" s="25"/>
      <c r="H67" s="25"/>
      <c r="I67" s="25"/>
      <c r="J67" s="25"/>
    </row>
    <row r="68" spans="5:10" s="17" customFormat="1" x14ac:dyDescent="0.25">
      <c r="E68" s="22"/>
      <c r="F68" s="26"/>
      <c r="G68" s="26"/>
      <c r="H68" s="26"/>
      <c r="I68" s="26"/>
      <c r="J68" s="23"/>
    </row>
    <row r="69" spans="5:10" s="17" customFormat="1" x14ac:dyDescent="0.25">
      <c r="E69" s="22"/>
      <c r="F69" s="26"/>
      <c r="G69" s="26"/>
      <c r="H69" s="26"/>
      <c r="I69" s="26"/>
      <c r="J69" s="23"/>
    </row>
    <row r="70" spans="5:10" s="17" customFormat="1" x14ac:dyDescent="0.25">
      <c r="E70" s="22"/>
      <c r="F70" s="26"/>
      <c r="G70" s="26"/>
      <c r="H70" s="26"/>
      <c r="I70" s="26"/>
      <c r="J70" s="23"/>
    </row>
    <row r="71" spans="5:10" s="17" customFormat="1" x14ac:dyDescent="0.25">
      <c r="E71" s="22"/>
      <c r="F71" s="22"/>
      <c r="G71" s="26"/>
      <c r="H71" s="26"/>
      <c r="I71" s="26"/>
      <c r="J71" s="25"/>
    </row>
    <row r="72" spans="5:10" s="17" customFormat="1" x14ac:dyDescent="0.25">
      <c r="E72" s="25"/>
      <c r="F72" s="25"/>
      <c r="G72" s="25"/>
      <c r="H72" s="25"/>
      <c r="I72" s="25"/>
      <c r="J72" s="25"/>
    </row>
    <row r="73" spans="5:10" s="17" customFormat="1" x14ac:dyDescent="0.25">
      <c r="E73" s="22"/>
      <c r="F73" s="22"/>
      <c r="G73" s="22"/>
      <c r="H73" s="22"/>
      <c r="I73" s="22"/>
      <c r="J73" s="23"/>
    </row>
    <row r="74" spans="5:10" s="17" customFormat="1" x14ac:dyDescent="0.25">
      <c r="E74" s="25"/>
      <c r="F74" s="25"/>
      <c r="G74" s="25"/>
      <c r="H74" s="25"/>
      <c r="I74" s="25"/>
      <c r="J74" s="25"/>
    </row>
    <row r="75" spans="5:10" s="17" customFormat="1" x14ac:dyDescent="0.25">
      <c r="E75" s="25"/>
      <c r="F75" s="25"/>
      <c r="G75" s="25"/>
      <c r="H75" s="25"/>
      <c r="I75" s="25"/>
      <c r="J75" s="25"/>
    </row>
    <row r="76" spans="5:10" s="17" customFormat="1" x14ac:dyDescent="0.25">
      <c r="E76" s="25"/>
      <c r="F76" s="25"/>
      <c r="G76" s="25"/>
      <c r="H76" s="25"/>
      <c r="I76" s="25"/>
      <c r="J76" s="25"/>
    </row>
    <row r="77" spans="5:10" s="17" customFormat="1" x14ac:dyDescent="0.25">
      <c r="E77" s="25"/>
      <c r="F77" s="25"/>
      <c r="G77" s="25"/>
      <c r="H77" s="25"/>
      <c r="I77" s="25"/>
      <c r="J77" s="25"/>
    </row>
    <row r="78" spans="5:10" s="17" customFormat="1" x14ac:dyDescent="0.25">
      <c r="E78" s="25"/>
      <c r="F78" s="25"/>
      <c r="G78" s="29"/>
      <c r="H78" s="29"/>
      <c r="I78" s="29"/>
      <c r="J78" s="25"/>
    </row>
    <row r="79" spans="5:10" s="17" customFormat="1" x14ac:dyDescent="0.25">
      <c r="E79" s="25"/>
      <c r="F79" s="25"/>
      <c r="G79" s="25"/>
      <c r="H79" s="25"/>
      <c r="I79" s="25"/>
      <c r="J79" s="25"/>
    </row>
    <row r="80" spans="5:10" s="17" customFormat="1" x14ac:dyDescent="0.25">
      <c r="E80" s="25"/>
      <c r="F80" s="25"/>
      <c r="G80" s="25"/>
      <c r="H80" s="25"/>
      <c r="I80" s="25"/>
      <c r="J80" s="25"/>
    </row>
    <row r="81" spans="5:10" s="17" customFormat="1" x14ac:dyDescent="0.25">
      <c r="E81" s="25"/>
      <c r="F81" s="25"/>
      <c r="G81" s="25"/>
      <c r="H81" s="25"/>
      <c r="I81" s="25"/>
      <c r="J81" s="25"/>
    </row>
    <row r="82" spans="5:10" s="17" customFormat="1" x14ac:dyDescent="0.25">
      <c r="E82" s="25"/>
      <c r="F82" s="25"/>
      <c r="G82" s="25"/>
      <c r="H82" s="25"/>
      <c r="I82" s="25"/>
      <c r="J82" s="25"/>
    </row>
    <row r="83" spans="5:10" s="17" customFormat="1" x14ac:dyDescent="0.25">
      <c r="E83" s="25"/>
      <c r="F83" s="25"/>
      <c r="G83" s="25"/>
      <c r="H83" s="25"/>
      <c r="I83" s="25"/>
      <c r="J83" s="25"/>
    </row>
    <row r="84" spans="5:10" s="17" customFormat="1" x14ac:dyDescent="0.25">
      <c r="E84" s="25"/>
      <c r="F84" s="25"/>
      <c r="G84" s="25"/>
      <c r="H84" s="25"/>
      <c r="I84" s="25"/>
      <c r="J84" s="25"/>
    </row>
    <row r="85" spans="5:10" s="17" customFormat="1" x14ac:dyDescent="0.25">
      <c r="E85" s="31"/>
      <c r="F85" s="31"/>
      <c r="G85" s="31"/>
      <c r="H85" s="31"/>
      <c r="I85" s="31"/>
    </row>
    <row r="86" spans="5:10" s="17" customFormat="1" x14ac:dyDescent="0.25">
      <c r="E86" s="31"/>
      <c r="F86" s="31"/>
      <c r="G86" s="31"/>
      <c r="H86" s="31"/>
      <c r="I86" s="31"/>
    </row>
    <row r="87" spans="5:10" s="17" customFormat="1" x14ac:dyDescent="0.25">
      <c r="E87" s="31"/>
      <c r="F87" s="31"/>
      <c r="G87" s="31"/>
      <c r="H87" s="31"/>
      <c r="I87" s="31"/>
    </row>
  </sheetData>
  <dataConsolidate/>
  <mergeCells count="4">
    <mergeCell ref="A11:J11"/>
    <mergeCell ref="A12:I12"/>
    <mergeCell ref="A10:J10"/>
    <mergeCell ref="A1:J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6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6"/>
  <sheetViews>
    <sheetView view="pageBreakPreview" zoomScaleNormal="70" zoomScaleSheetLayoutView="100" workbookViewId="0">
      <selection sqref="A1:J1"/>
    </sheetView>
  </sheetViews>
  <sheetFormatPr defaultColWidth="54.28515625" defaultRowHeight="15" x14ac:dyDescent="0.25"/>
  <cols>
    <col min="1" max="4" width="16.42578125" style="17" customWidth="1"/>
    <col min="5" max="9" width="16.42578125" style="31" customWidth="1"/>
    <col min="10" max="10" width="16.42578125" style="17" customWidth="1"/>
    <col min="11" max="16384" width="54.28515625" style="3"/>
  </cols>
  <sheetData>
    <row r="1" spans="1:10" ht="23.25" customHeight="1" x14ac:dyDescent="0.25">
      <c r="A1" s="134" t="s">
        <v>23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90" x14ac:dyDescent="0.25">
      <c r="A2" s="2" t="s">
        <v>102</v>
      </c>
      <c r="B2" s="2" t="s">
        <v>3</v>
      </c>
      <c r="C2" s="2" t="s">
        <v>99</v>
      </c>
      <c r="D2" s="2" t="s">
        <v>0</v>
      </c>
      <c r="E2" s="2" t="s">
        <v>1</v>
      </c>
      <c r="F2" s="2" t="s">
        <v>100</v>
      </c>
      <c r="G2" s="2" t="s">
        <v>19</v>
      </c>
      <c r="H2" s="2" t="s">
        <v>20</v>
      </c>
      <c r="I2" s="2" t="s">
        <v>12</v>
      </c>
      <c r="J2" s="2" t="s">
        <v>21</v>
      </c>
    </row>
    <row r="3" spans="1:10" ht="16.5" x14ac:dyDescent="0.25">
      <c r="A3" s="4" t="s">
        <v>85</v>
      </c>
      <c r="B3" s="5" t="s">
        <v>6</v>
      </c>
      <c r="C3" s="6">
        <v>43860</v>
      </c>
      <c r="D3" s="7">
        <v>43864</v>
      </c>
      <c r="E3" s="7">
        <v>44592</v>
      </c>
      <c r="F3" s="72">
        <v>728</v>
      </c>
      <c r="G3" s="10" t="s">
        <v>8</v>
      </c>
      <c r="H3" s="37">
        <v>0.38</v>
      </c>
      <c r="I3" s="11">
        <v>13608615</v>
      </c>
      <c r="J3" s="11">
        <f>+I3*1</f>
        <v>13608615</v>
      </c>
    </row>
    <row r="4" spans="1:10" ht="16.5" x14ac:dyDescent="0.25">
      <c r="A4" s="12" t="s">
        <v>86</v>
      </c>
      <c r="B4" s="13" t="s">
        <v>6</v>
      </c>
      <c r="C4" s="14">
        <v>43894</v>
      </c>
      <c r="D4" s="14">
        <v>43896</v>
      </c>
      <c r="E4" s="14">
        <v>44260</v>
      </c>
      <c r="F4" s="42">
        <v>364</v>
      </c>
      <c r="G4" s="12" t="s">
        <v>8</v>
      </c>
      <c r="H4" s="12">
        <v>0.5</v>
      </c>
      <c r="I4" s="16">
        <v>18081140</v>
      </c>
      <c r="J4" s="16">
        <f t="shared" ref="J4:J7" si="0">+I4*1</f>
        <v>18081140</v>
      </c>
    </row>
    <row r="5" spans="1:10" ht="16.5" x14ac:dyDescent="0.25">
      <c r="A5" s="4" t="s">
        <v>87</v>
      </c>
      <c r="B5" s="5" t="s">
        <v>6</v>
      </c>
      <c r="C5" s="6">
        <v>43936</v>
      </c>
      <c r="D5" s="7">
        <v>43938</v>
      </c>
      <c r="E5" s="7">
        <v>44302</v>
      </c>
      <c r="F5" s="72">
        <v>364</v>
      </c>
      <c r="G5" s="10" t="s">
        <v>8</v>
      </c>
      <c r="H5" s="37">
        <v>0.75</v>
      </c>
      <c r="I5" s="11">
        <v>8663465</v>
      </c>
      <c r="J5" s="11">
        <f t="shared" si="0"/>
        <v>8663465</v>
      </c>
    </row>
    <row r="6" spans="1:10" ht="16.5" x14ac:dyDescent="0.25">
      <c r="A6" s="12" t="s">
        <v>88</v>
      </c>
      <c r="B6" s="13" t="s">
        <v>6</v>
      </c>
      <c r="C6" s="14">
        <v>43964</v>
      </c>
      <c r="D6" s="14">
        <v>43966</v>
      </c>
      <c r="E6" s="14">
        <v>44330</v>
      </c>
      <c r="F6" s="42">
        <v>364</v>
      </c>
      <c r="G6" s="12" t="s">
        <v>8</v>
      </c>
      <c r="H6" s="12">
        <v>0.75</v>
      </c>
      <c r="I6" s="16">
        <v>11089275</v>
      </c>
      <c r="J6" s="16">
        <f t="shared" si="0"/>
        <v>11089275</v>
      </c>
    </row>
    <row r="7" spans="1:10" ht="16.5" x14ac:dyDescent="0.25">
      <c r="A7" s="77" t="s">
        <v>89</v>
      </c>
      <c r="B7" s="78" t="s">
        <v>6</v>
      </c>
      <c r="C7" s="79">
        <v>44020</v>
      </c>
      <c r="D7" s="80">
        <v>44022</v>
      </c>
      <c r="E7" s="80">
        <v>44386</v>
      </c>
      <c r="F7" s="81">
        <v>364</v>
      </c>
      <c r="G7" s="82" t="s">
        <v>8</v>
      </c>
      <c r="H7" s="83">
        <v>0.75</v>
      </c>
      <c r="I7" s="84">
        <v>7061515</v>
      </c>
      <c r="J7" s="84">
        <f t="shared" si="0"/>
        <v>7061515</v>
      </c>
    </row>
    <row r="8" spans="1:10" ht="16.5" x14ac:dyDescent="0.25">
      <c r="A8" s="12" t="s">
        <v>90</v>
      </c>
      <c r="B8" s="13" t="s">
        <v>6</v>
      </c>
      <c r="C8" s="14">
        <v>44111</v>
      </c>
      <c r="D8" s="14">
        <v>44113</v>
      </c>
      <c r="E8" s="14">
        <v>44477</v>
      </c>
      <c r="F8" s="42">
        <v>364</v>
      </c>
      <c r="G8" s="12" t="s">
        <v>8</v>
      </c>
      <c r="H8" s="12">
        <v>0.75</v>
      </c>
      <c r="I8" s="16">
        <v>4139200</v>
      </c>
      <c r="J8" s="16">
        <f t="shared" ref="J8" si="1">+I8*1</f>
        <v>4139200</v>
      </c>
    </row>
    <row r="9" spans="1:10" ht="14.25" customHeight="1" x14ac:dyDescent="0.25">
      <c r="A9" s="133"/>
      <c r="B9" s="133"/>
      <c r="C9" s="133"/>
      <c r="D9" s="133"/>
      <c r="E9" s="133"/>
      <c r="F9" s="133"/>
      <c r="G9" s="140"/>
      <c r="H9" s="87" t="s">
        <v>25</v>
      </c>
      <c r="I9" s="88">
        <f>SUM(I3:I8)</f>
        <v>62643210</v>
      </c>
      <c r="J9" s="88">
        <f>SUM(J3:J8)</f>
        <v>62643210</v>
      </c>
    </row>
    <row r="10" spans="1:10" ht="14.25" customHeight="1" x14ac:dyDescent="0.25">
      <c r="A10" s="60" t="s">
        <v>24</v>
      </c>
      <c r="B10" s="60"/>
      <c r="C10" s="18"/>
      <c r="D10" s="138"/>
      <c r="E10" s="139"/>
      <c r="F10" s="139"/>
      <c r="G10" s="139"/>
      <c r="H10" s="67"/>
      <c r="I10" s="73"/>
      <c r="J10" s="73"/>
    </row>
    <row r="11" spans="1:10" ht="14.25" customHeight="1" x14ac:dyDescent="0.25">
      <c r="A11" s="136" t="s">
        <v>69</v>
      </c>
      <c r="B11" s="136"/>
      <c r="C11" s="136"/>
      <c r="D11" s="136"/>
      <c r="E11" s="136"/>
      <c r="F11" s="136"/>
      <c r="G11" s="136"/>
      <c r="H11" s="137"/>
      <c r="I11" s="19"/>
      <c r="J11" s="18"/>
    </row>
    <row r="12" spans="1:10" s="20" customFormat="1" ht="16.5" x14ac:dyDescent="0.25">
      <c r="A12" s="17"/>
      <c r="B12" s="17"/>
      <c r="C12" s="21"/>
      <c r="D12" s="21"/>
      <c r="E12" s="21"/>
      <c r="F12" s="21"/>
      <c r="G12" s="21"/>
      <c r="H12" s="21"/>
      <c r="I12" s="21"/>
      <c r="J12" s="21"/>
    </row>
    <row r="13" spans="1:10" s="20" customFormat="1" ht="15" customHeight="1" x14ac:dyDescent="0.25">
      <c r="A13" s="17"/>
      <c r="B13" s="17"/>
      <c r="C13" s="17"/>
      <c r="D13" s="17"/>
      <c r="E13" s="22"/>
      <c r="F13" s="22"/>
      <c r="G13" s="22"/>
      <c r="H13" s="22"/>
      <c r="I13" s="22"/>
      <c r="J13" s="23"/>
    </row>
    <row r="14" spans="1:10" s="20" customFormat="1" ht="16.5" x14ac:dyDescent="0.25">
      <c r="A14" s="17"/>
      <c r="B14" s="17"/>
      <c r="C14" s="17"/>
      <c r="D14" s="17"/>
      <c r="E14" s="25"/>
      <c r="F14" s="25"/>
      <c r="G14" s="25"/>
      <c r="H14" s="25"/>
      <c r="I14" s="25"/>
      <c r="J14" s="25"/>
    </row>
    <row r="15" spans="1:10" s="20" customFormat="1" ht="16.5" x14ac:dyDescent="0.25">
      <c r="A15" s="17"/>
      <c r="B15" s="17"/>
      <c r="C15" s="17"/>
      <c r="D15" s="17"/>
      <c r="E15" s="25"/>
      <c r="F15" s="25"/>
      <c r="G15" s="25"/>
      <c r="H15" s="25"/>
      <c r="I15" s="25"/>
      <c r="J15" s="25"/>
    </row>
    <row r="16" spans="1:10" s="20" customFormat="1" ht="16.5" x14ac:dyDescent="0.25">
      <c r="A16" s="17"/>
      <c r="B16" s="17"/>
      <c r="C16" s="17"/>
      <c r="D16" s="17"/>
      <c r="E16" s="22"/>
      <c r="F16" s="26"/>
      <c r="G16" s="26"/>
      <c r="H16" s="26"/>
      <c r="I16" s="26"/>
      <c r="J16" s="23"/>
    </row>
    <row r="17" spans="1:10" s="20" customFormat="1" ht="16.5" x14ac:dyDescent="0.25">
      <c r="A17" s="17"/>
      <c r="B17" s="17"/>
      <c r="C17" s="17"/>
      <c r="D17" s="17"/>
      <c r="E17" s="22"/>
      <c r="F17" s="22"/>
      <c r="G17" s="26"/>
      <c r="H17" s="26"/>
      <c r="I17" s="26"/>
      <c r="J17" s="25"/>
    </row>
    <row r="18" spans="1:10" s="20" customFormat="1" ht="16.5" x14ac:dyDescent="0.25">
      <c r="A18" s="17"/>
      <c r="B18" s="17"/>
      <c r="C18" s="17"/>
      <c r="D18" s="17"/>
      <c r="E18" s="22"/>
      <c r="F18" s="26"/>
      <c r="G18" s="26"/>
      <c r="H18" s="26"/>
      <c r="I18" s="26"/>
      <c r="J18" s="23"/>
    </row>
    <row r="19" spans="1:10" s="20" customFormat="1" ht="16.5" x14ac:dyDescent="0.25">
      <c r="A19" s="17"/>
      <c r="B19" s="17"/>
      <c r="C19" s="17"/>
      <c r="D19" s="17"/>
      <c r="E19" s="25"/>
      <c r="F19" s="25"/>
      <c r="G19" s="25"/>
      <c r="H19" s="25"/>
      <c r="I19" s="25"/>
      <c r="J19" s="25"/>
    </row>
    <row r="20" spans="1:10" s="20" customFormat="1" ht="16.5" x14ac:dyDescent="0.25">
      <c r="A20" s="17"/>
      <c r="B20" s="17"/>
      <c r="C20" s="17"/>
      <c r="D20" s="17"/>
      <c r="E20" s="22"/>
      <c r="F20" s="22"/>
      <c r="G20" s="22"/>
      <c r="H20" s="22"/>
      <c r="I20" s="22"/>
      <c r="J20" s="23"/>
    </row>
    <row r="21" spans="1:10" s="20" customFormat="1" ht="16.5" x14ac:dyDescent="0.25">
      <c r="A21" s="17"/>
      <c r="B21" s="17"/>
      <c r="C21" s="17"/>
      <c r="D21" s="17"/>
      <c r="E21" s="22"/>
      <c r="F21" s="22"/>
      <c r="G21" s="22"/>
      <c r="H21" s="22"/>
      <c r="I21" s="22"/>
      <c r="J21" s="23"/>
    </row>
    <row r="22" spans="1:10" s="20" customFormat="1" ht="16.5" x14ac:dyDescent="0.25">
      <c r="A22" s="17"/>
      <c r="B22" s="17"/>
      <c r="C22" s="17"/>
      <c r="D22" s="17"/>
      <c r="E22" s="22"/>
      <c r="F22" s="22"/>
      <c r="G22" s="22"/>
      <c r="H22" s="22"/>
      <c r="I22" s="22"/>
      <c r="J22" s="23"/>
    </row>
    <row r="23" spans="1:10" s="20" customFormat="1" ht="16.5" x14ac:dyDescent="0.25">
      <c r="A23" s="17"/>
      <c r="B23" s="17"/>
      <c r="C23" s="17"/>
      <c r="D23" s="17"/>
      <c r="E23" s="22"/>
      <c r="F23" s="22"/>
      <c r="G23" s="22"/>
      <c r="H23" s="22"/>
      <c r="I23" s="22"/>
      <c r="J23" s="23"/>
    </row>
    <row r="24" spans="1:10" s="20" customFormat="1" ht="16.5" x14ac:dyDescent="0.25">
      <c r="A24" s="17"/>
      <c r="B24" s="17"/>
      <c r="C24" s="17"/>
      <c r="D24" s="17"/>
      <c r="E24" s="25"/>
      <c r="F24" s="25"/>
      <c r="G24" s="25"/>
      <c r="H24" s="25"/>
      <c r="I24" s="25"/>
      <c r="J24" s="25"/>
    </row>
    <row r="25" spans="1:10" s="20" customFormat="1" ht="16.5" x14ac:dyDescent="0.25">
      <c r="A25" s="17"/>
      <c r="B25" s="17"/>
      <c r="C25" s="17"/>
      <c r="D25" s="17"/>
      <c r="E25" s="22"/>
      <c r="F25" s="26"/>
      <c r="G25" s="26"/>
      <c r="H25" s="26"/>
      <c r="I25" s="26"/>
      <c r="J25" s="23"/>
    </row>
    <row r="26" spans="1:10" s="20" customFormat="1" ht="16.5" x14ac:dyDescent="0.25">
      <c r="A26" s="17"/>
      <c r="B26" s="17"/>
      <c r="C26" s="17"/>
      <c r="D26" s="17"/>
      <c r="E26" s="22"/>
      <c r="F26" s="22"/>
      <c r="G26" s="26"/>
      <c r="H26" s="26"/>
      <c r="I26" s="26"/>
      <c r="J26" s="25"/>
    </row>
    <row r="27" spans="1:10" s="20" customFormat="1" ht="16.5" x14ac:dyDescent="0.25">
      <c r="A27" s="17"/>
      <c r="B27" s="17"/>
      <c r="C27" s="17"/>
      <c r="D27" s="17"/>
      <c r="E27" s="22"/>
      <c r="F27" s="26"/>
      <c r="G27" s="26"/>
      <c r="H27" s="26"/>
      <c r="I27" s="26"/>
      <c r="J27" s="23"/>
    </row>
    <row r="28" spans="1:10" s="20" customFormat="1" ht="16.5" x14ac:dyDescent="0.25">
      <c r="A28" s="17"/>
      <c r="B28" s="17"/>
      <c r="C28" s="17"/>
      <c r="D28" s="17"/>
      <c r="E28" s="25"/>
      <c r="F28" s="25"/>
      <c r="G28" s="25"/>
      <c r="H28" s="25"/>
      <c r="I28" s="25"/>
      <c r="J28" s="25"/>
    </row>
    <row r="29" spans="1:10" s="20" customFormat="1" ht="16.5" x14ac:dyDescent="0.25">
      <c r="A29" s="17"/>
      <c r="B29" s="17"/>
      <c r="C29" s="17"/>
      <c r="D29" s="17"/>
      <c r="E29" s="22"/>
      <c r="F29" s="22"/>
      <c r="G29" s="22"/>
      <c r="H29" s="22"/>
      <c r="I29" s="22"/>
      <c r="J29" s="23"/>
    </row>
    <row r="30" spans="1:10" s="20" customFormat="1" ht="16.5" x14ac:dyDescent="0.25">
      <c r="A30" s="17"/>
      <c r="B30" s="17"/>
      <c r="C30" s="17"/>
      <c r="D30" s="17"/>
      <c r="E30" s="25"/>
      <c r="F30" s="25"/>
      <c r="G30" s="25"/>
      <c r="H30" s="25"/>
      <c r="I30" s="25"/>
      <c r="J30" s="25"/>
    </row>
    <row r="31" spans="1:10" s="20" customFormat="1" ht="16.5" x14ac:dyDescent="0.25">
      <c r="A31" s="17"/>
      <c r="B31" s="17"/>
      <c r="C31" s="17"/>
      <c r="D31" s="17"/>
      <c r="E31" s="25"/>
      <c r="F31" s="25"/>
      <c r="G31" s="25"/>
      <c r="H31" s="25"/>
      <c r="I31" s="25"/>
      <c r="J31" s="25"/>
    </row>
    <row r="32" spans="1:10" s="20" customFormat="1" ht="16.5" x14ac:dyDescent="0.25">
      <c r="A32" s="17"/>
      <c r="B32" s="17"/>
      <c r="C32" s="17"/>
      <c r="D32" s="17"/>
      <c r="E32" s="22"/>
      <c r="F32" s="26"/>
      <c r="G32" s="26"/>
      <c r="H32" s="26"/>
      <c r="I32" s="26"/>
      <c r="J32" s="23"/>
    </row>
    <row r="33" spans="1:10" s="20" customFormat="1" ht="16.5" x14ac:dyDescent="0.25">
      <c r="A33" s="17"/>
      <c r="B33" s="17"/>
      <c r="C33" s="17"/>
      <c r="D33" s="17"/>
      <c r="E33" s="22"/>
      <c r="F33" s="22"/>
      <c r="G33" s="26"/>
      <c r="H33" s="26"/>
      <c r="I33" s="26"/>
      <c r="J33" s="25"/>
    </row>
    <row r="34" spans="1:10" s="20" customFormat="1" ht="16.5" x14ac:dyDescent="0.25">
      <c r="A34" s="17"/>
      <c r="B34" s="17"/>
      <c r="C34" s="17"/>
      <c r="D34" s="17"/>
      <c r="E34" s="22"/>
      <c r="F34" s="26"/>
      <c r="G34" s="26"/>
      <c r="H34" s="26"/>
      <c r="I34" s="26"/>
      <c r="J34" s="23"/>
    </row>
    <row r="35" spans="1:10" s="20" customFormat="1" ht="16.5" x14ac:dyDescent="0.25">
      <c r="A35" s="17"/>
      <c r="B35" s="17"/>
      <c r="C35" s="17"/>
      <c r="D35" s="17"/>
      <c r="E35" s="25"/>
      <c r="F35" s="25"/>
      <c r="G35" s="25"/>
      <c r="H35" s="25"/>
      <c r="I35" s="25"/>
      <c r="J35" s="25"/>
    </row>
    <row r="36" spans="1:10" s="20" customFormat="1" ht="16.5" x14ac:dyDescent="0.25">
      <c r="A36" s="17"/>
      <c r="B36" s="17"/>
      <c r="C36" s="17"/>
      <c r="D36" s="17"/>
      <c r="E36" s="22"/>
      <c r="F36" s="22"/>
      <c r="G36" s="22"/>
      <c r="H36" s="22"/>
      <c r="I36" s="22"/>
      <c r="J36" s="23"/>
    </row>
    <row r="37" spans="1:10" s="20" customFormat="1" ht="16.5" x14ac:dyDescent="0.25">
      <c r="A37" s="17"/>
      <c r="B37" s="17"/>
      <c r="C37" s="17"/>
      <c r="D37" s="28"/>
      <c r="E37" s="25"/>
      <c r="F37" s="25"/>
      <c r="G37" s="25"/>
      <c r="H37" s="25"/>
      <c r="I37" s="25"/>
      <c r="J37" s="25"/>
    </row>
    <row r="38" spans="1:10" s="20" customFormat="1" ht="16.5" x14ac:dyDescent="0.25">
      <c r="A38" s="17"/>
      <c r="B38" s="17"/>
      <c r="C38" s="17"/>
      <c r="D38" s="28"/>
      <c r="E38" s="25"/>
      <c r="F38" s="25"/>
      <c r="G38" s="25"/>
      <c r="H38" s="25"/>
      <c r="I38" s="25"/>
      <c r="J38" s="25"/>
    </row>
    <row r="39" spans="1:10" s="20" customFormat="1" ht="16.5" x14ac:dyDescent="0.25">
      <c r="A39" s="17"/>
      <c r="B39" s="17"/>
      <c r="C39" s="17"/>
      <c r="D39" s="28"/>
      <c r="E39" s="25"/>
      <c r="F39" s="25"/>
      <c r="G39" s="25"/>
      <c r="H39" s="25"/>
      <c r="I39" s="25"/>
      <c r="J39" s="25"/>
    </row>
    <row r="40" spans="1:10" s="20" customFormat="1" ht="16.5" x14ac:dyDescent="0.25">
      <c r="A40" s="17"/>
      <c r="B40" s="17"/>
      <c r="C40" s="17"/>
      <c r="D40" s="17"/>
      <c r="E40" s="25"/>
      <c r="F40" s="25"/>
      <c r="G40" s="25"/>
      <c r="H40" s="25"/>
      <c r="I40" s="25"/>
      <c r="J40" s="25"/>
    </row>
    <row r="41" spans="1:10" s="20" customFormat="1" ht="16.5" x14ac:dyDescent="0.25">
      <c r="A41" s="17"/>
      <c r="B41" s="17"/>
      <c r="C41" s="17"/>
      <c r="D41" s="17"/>
      <c r="E41" s="25"/>
      <c r="F41" s="25"/>
      <c r="G41" s="25"/>
      <c r="H41" s="25"/>
      <c r="I41" s="25"/>
      <c r="J41" s="25"/>
    </row>
    <row r="42" spans="1:10" s="20" customFormat="1" ht="16.5" x14ac:dyDescent="0.25">
      <c r="A42" s="17"/>
      <c r="B42" s="17"/>
      <c r="C42" s="17"/>
      <c r="D42" s="17"/>
      <c r="E42" s="25"/>
      <c r="F42" s="25"/>
      <c r="G42" s="25"/>
      <c r="H42" s="25"/>
      <c r="I42" s="25"/>
      <c r="J42" s="25"/>
    </row>
    <row r="43" spans="1:10" s="20" customFormat="1" ht="16.5" x14ac:dyDescent="0.25">
      <c r="A43" s="17"/>
      <c r="B43" s="17"/>
      <c r="C43" s="17"/>
      <c r="D43" s="17"/>
      <c r="E43" s="25"/>
      <c r="F43" s="25"/>
      <c r="G43" s="25"/>
      <c r="H43" s="25"/>
      <c r="I43" s="25"/>
      <c r="J43" s="25"/>
    </row>
    <row r="44" spans="1:10" s="20" customFormat="1" ht="16.5" x14ac:dyDescent="0.25">
      <c r="A44" s="17"/>
      <c r="B44" s="17"/>
      <c r="C44" s="17"/>
      <c r="D44" s="17"/>
      <c r="E44" s="25"/>
      <c r="F44" s="25"/>
      <c r="G44" s="25"/>
      <c r="H44" s="25"/>
      <c r="I44" s="25"/>
      <c r="J44" s="25"/>
    </row>
    <row r="45" spans="1:10" s="20" customFormat="1" ht="16.5" x14ac:dyDescent="0.25">
      <c r="A45" s="17"/>
      <c r="B45" s="17"/>
      <c r="C45" s="17"/>
      <c r="D45" s="17"/>
      <c r="E45" s="25"/>
      <c r="F45" s="25"/>
      <c r="G45" s="25"/>
      <c r="H45" s="25"/>
      <c r="I45" s="25"/>
      <c r="J45" s="25"/>
    </row>
    <row r="46" spans="1:10" s="20" customFormat="1" ht="16.5" x14ac:dyDescent="0.25">
      <c r="A46" s="17"/>
      <c r="B46" s="17"/>
      <c r="C46" s="17"/>
      <c r="D46" s="17"/>
      <c r="E46" s="25"/>
      <c r="F46" s="25"/>
      <c r="G46" s="25"/>
      <c r="H46" s="25"/>
      <c r="I46" s="25"/>
      <c r="J46" s="25"/>
    </row>
    <row r="47" spans="1:10" s="20" customFormat="1" ht="16.5" x14ac:dyDescent="0.25">
      <c r="A47" s="17"/>
      <c r="B47" s="17"/>
      <c r="C47" s="17"/>
      <c r="D47" s="17"/>
      <c r="E47" s="22"/>
      <c r="F47" s="26"/>
      <c r="G47" s="26"/>
      <c r="H47" s="26"/>
      <c r="I47" s="26"/>
      <c r="J47" s="23"/>
    </row>
    <row r="48" spans="1:10" s="20" customFormat="1" ht="16.5" x14ac:dyDescent="0.25">
      <c r="A48" s="17"/>
      <c r="B48" s="17"/>
      <c r="C48" s="17"/>
      <c r="D48" s="17"/>
      <c r="E48" s="22"/>
      <c r="F48" s="26"/>
      <c r="G48" s="26"/>
      <c r="H48" s="26"/>
      <c r="I48" s="26"/>
      <c r="J48" s="23"/>
    </row>
    <row r="49" spans="1:10" s="20" customFormat="1" ht="16.5" x14ac:dyDescent="0.25">
      <c r="A49" s="17"/>
      <c r="B49" s="17"/>
      <c r="C49" s="17"/>
      <c r="D49" s="17"/>
      <c r="E49" s="22"/>
      <c r="F49" s="26"/>
      <c r="G49" s="26"/>
      <c r="H49" s="26"/>
      <c r="I49" s="26"/>
      <c r="J49" s="23"/>
    </row>
    <row r="50" spans="1:10" s="20" customFormat="1" ht="16.5" x14ac:dyDescent="0.25">
      <c r="A50" s="17"/>
      <c r="B50" s="17"/>
      <c r="C50" s="17"/>
      <c r="D50" s="17"/>
      <c r="E50" s="25"/>
      <c r="F50" s="25"/>
      <c r="G50" s="25"/>
      <c r="H50" s="25"/>
      <c r="I50" s="25"/>
      <c r="J50" s="25"/>
    </row>
    <row r="51" spans="1:10" s="20" customFormat="1" ht="16.5" x14ac:dyDescent="0.25">
      <c r="A51" s="17"/>
      <c r="B51" s="17"/>
      <c r="C51" s="17"/>
      <c r="D51" s="17"/>
      <c r="E51" s="22"/>
      <c r="F51" s="22"/>
      <c r="G51" s="22"/>
      <c r="H51" s="22"/>
      <c r="I51" s="22"/>
      <c r="J51" s="23"/>
    </row>
    <row r="52" spans="1:10" s="20" customFormat="1" ht="16.5" x14ac:dyDescent="0.25">
      <c r="A52" s="17"/>
      <c r="B52" s="17"/>
      <c r="C52" s="17"/>
      <c r="D52" s="17"/>
      <c r="E52" s="25"/>
      <c r="F52" s="25"/>
      <c r="G52" s="25"/>
      <c r="H52" s="25"/>
      <c r="I52" s="25"/>
      <c r="J52" s="25"/>
    </row>
    <row r="53" spans="1:10" s="20" customFormat="1" ht="16.5" x14ac:dyDescent="0.25">
      <c r="A53" s="17"/>
      <c r="B53" s="17"/>
      <c r="C53" s="17"/>
      <c r="D53" s="17"/>
      <c r="E53" s="25"/>
      <c r="F53" s="25"/>
      <c r="G53" s="25"/>
      <c r="H53" s="25"/>
      <c r="I53" s="25"/>
      <c r="J53" s="25"/>
    </row>
    <row r="54" spans="1:10" s="20" customFormat="1" ht="16.5" x14ac:dyDescent="0.25">
      <c r="A54" s="17"/>
      <c r="B54" s="17"/>
      <c r="C54" s="17"/>
      <c r="D54" s="17"/>
      <c r="E54" s="22"/>
      <c r="F54" s="26"/>
      <c r="G54" s="26"/>
      <c r="H54" s="26"/>
      <c r="I54" s="26"/>
      <c r="J54" s="23"/>
    </row>
    <row r="55" spans="1:10" s="20" customFormat="1" ht="16.5" x14ac:dyDescent="0.25">
      <c r="A55" s="17"/>
      <c r="B55" s="17"/>
      <c r="C55" s="17"/>
      <c r="D55" s="17"/>
      <c r="E55" s="22"/>
      <c r="F55" s="22"/>
      <c r="G55" s="26"/>
      <c r="H55" s="26"/>
      <c r="I55" s="26"/>
      <c r="J55" s="25"/>
    </row>
    <row r="56" spans="1:10" s="20" customFormat="1" ht="16.5" x14ac:dyDescent="0.25">
      <c r="A56" s="17"/>
      <c r="B56" s="17"/>
      <c r="C56" s="17"/>
      <c r="D56" s="17"/>
      <c r="E56" s="25"/>
      <c r="F56" s="25"/>
      <c r="G56" s="25"/>
      <c r="H56" s="25"/>
      <c r="I56" s="25"/>
      <c r="J56" s="25"/>
    </row>
    <row r="57" spans="1:10" s="17" customFormat="1" x14ac:dyDescent="0.25">
      <c r="E57" s="22"/>
      <c r="F57" s="22"/>
      <c r="G57" s="22"/>
      <c r="H57" s="22"/>
      <c r="I57" s="22"/>
      <c r="J57" s="23"/>
    </row>
    <row r="58" spans="1:10" s="17" customFormat="1" x14ac:dyDescent="0.25">
      <c r="E58" s="25"/>
      <c r="F58" s="25"/>
      <c r="G58" s="25"/>
      <c r="H58" s="25"/>
      <c r="I58" s="25"/>
      <c r="J58" s="25"/>
    </row>
    <row r="59" spans="1:10" s="17" customFormat="1" x14ac:dyDescent="0.25">
      <c r="E59" s="25"/>
      <c r="F59" s="25"/>
      <c r="G59" s="25"/>
      <c r="H59" s="25"/>
      <c r="I59" s="25"/>
      <c r="J59" s="25"/>
    </row>
    <row r="60" spans="1:10" s="17" customFormat="1" x14ac:dyDescent="0.25">
      <c r="E60" s="22"/>
      <c r="F60" s="26"/>
      <c r="G60" s="26"/>
      <c r="H60" s="26"/>
      <c r="I60" s="26"/>
      <c r="J60" s="23"/>
    </row>
    <row r="61" spans="1:10" s="17" customFormat="1" x14ac:dyDescent="0.25">
      <c r="E61" s="22"/>
      <c r="F61" s="26"/>
      <c r="G61" s="26"/>
      <c r="H61" s="26"/>
      <c r="I61" s="26"/>
      <c r="J61" s="23"/>
    </row>
    <row r="62" spans="1:10" s="17" customFormat="1" x14ac:dyDescent="0.25">
      <c r="E62" s="22"/>
      <c r="F62" s="22"/>
      <c r="G62" s="26"/>
      <c r="H62" s="26"/>
      <c r="I62" s="26"/>
      <c r="J62" s="25"/>
    </row>
    <row r="63" spans="1:10" s="17" customFormat="1" x14ac:dyDescent="0.25">
      <c r="E63" s="25"/>
      <c r="F63" s="25"/>
      <c r="G63" s="25"/>
      <c r="H63" s="25"/>
      <c r="I63" s="25"/>
      <c r="J63" s="25"/>
    </row>
    <row r="64" spans="1:10" s="17" customFormat="1" x14ac:dyDescent="0.25">
      <c r="E64" s="22"/>
      <c r="F64" s="22"/>
      <c r="G64" s="22"/>
      <c r="H64" s="22"/>
      <c r="I64" s="22"/>
      <c r="J64" s="23"/>
    </row>
    <row r="65" spans="5:10" s="17" customFormat="1" x14ac:dyDescent="0.25">
      <c r="E65" s="25"/>
      <c r="F65" s="25"/>
      <c r="G65" s="25"/>
      <c r="H65" s="25"/>
      <c r="I65" s="25"/>
      <c r="J65" s="25"/>
    </row>
    <row r="66" spans="5:10" s="17" customFormat="1" x14ac:dyDescent="0.25">
      <c r="E66" s="25"/>
      <c r="F66" s="25"/>
      <c r="G66" s="25"/>
      <c r="H66" s="25"/>
      <c r="I66" s="25"/>
      <c r="J66" s="25"/>
    </row>
    <row r="67" spans="5:10" s="17" customFormat="1" x14ac:dyDescent="0.25">
      <c r="E67" s="22"/>
      <c r="F67" s="26"/>
      <c r="G67" s="26"/>
      <c r="H67" s="26"/>
      <c r="I67" s="26"/>
      <c r="J67" s="23"/>
    </row>
    <row r="68" spans="5:10" s="17" customFormat="1" x14ac:dyDescent="0.25">
      <c r="E68" s="22"/>
      <c r="F68" s="26"/>
      <c r="G68" s="26"/>
      <c r="H68" s="26"/>
      <c r="I68" s="26"/>
      <c r="J68" s="23"/>
    </row>
    <row r="69" spans="5:10" s="17" customFormat="1" x14ac:dyDescent="0.25">
      <c r="E69" s="22"/>
      <c r="F69" s="26"/>
      <c r="G69" s="26"/>
      <c r="H69" s="26"/>
      <c r="I69" s="26"/>
      <c r="J69" s="23"/>
    </row>
    <row r="70" spans="5:10" s="17" customFormat="1" x14ac:dyDescent="0.25">
      <c r="E70" s="22"/>
      <c r="F70" s="22"/>
      <c r="G70" s="26"/>
      <c r="H70" s="26"/>
      <c r="I70" s="26"/>
      <c r="J70" s="25"/>
    </row>
    <row r="71" spans="5:10" s="17" customFormat="1" x14ac:dyDescent="0.25">
      <c r="E71" s="25"/>
      <c r="F71" s="25"/>
      <c r="G71" s="25"/>
      <c r="H71" s="25"/>
      <c r="I71" s="25"/>
      <c r="J71" s="25"/>
    </row>
    <row r="72" spans="5:10" s="17" customFormat="1" x14ac:dyDescent="0.25">
      <c r="E72" s="22"/>
      <c r="F72" s="22"/>
      <c r="G72" s="22"/>
      <c r="H72" s="22"/>
      <c r="I72" s="22"/>
      <c r="J72" s="23"/>
    </row>
    <row r="73" spans="5:10" s="17" customFormat="1" x14ac:dyDescent="0.25">
      <c r="E73" s="25"/>
      <c r="F73" s="25"/>
      <c r="G73" s="25"/>
      <c r="H73" s="25"/>
      <c r="I73" s="25"/>
      <c r="J73" s="25"/>
    </row>
    <row r="74" spans="5:10" s="17" customFormat="1" x14ac:dyDescent="0.25">
      <c r="E74" s="25"/>
      <c r="F74" s="25"/>
      <c r="G74" s="25"/>
      <c r="H74" s="25"/>
      <c r="I74" s="25"/>
      <c r="J74" s="25"/>
    </row>
    <row r="75" spans="5:10" s="17" customFormat="1" x14ac:dyDescent="0.25">
      <c r="E75" s="25"/>
      <c r="F75" s="25"/>
      <c r="G75" s="25"/>
      <c r="H75" s="25"/>
      <c r="I75" s="25"/>
      <c r="J75" s="25"/>
    </row>
    <row r="76" spans="5:10" s="17" customFormat="1" x14ac:dyDescent="0.25">
      <c r="E76" s="25"/>
      <c r="F76" s="25"/>
      <c r="G76" s="25"/>
      <c r="H76" s="25"/>
      <c r="I76" s="25"/>
      <c r="J76" s="25"/>
    </row>
    <row r="77" spans="5:10" s="17" customFormat="1" x14ac:dyDescent="0.25">
      <c r="E77" s="25"/>
      <c r="F77" s="25"/>
      <c r="G77" s="29"/>
      <c r="H77" s="29"/>
      <c r="I77" s="29"/>
      <c r="J77" s="25"/>
    </row>
    <row r="78" spans="5:10" s="17" customFormat="1" x14ac:dyDescent="0.25">
      <c r="E78" s="25"/>
      <c r="F78" s="25"/>
      <c r="G78" s="25"/>
      <c r="H78" s="25"/>
      <c r="I78" s="25"/>
      <c r="J78" s="25"/>
    </row>
    <row r="79" spans="5:10" s="17" customFormat="1" x14ac:dyDescent="0.25">
      <c r="E79" s="25"/>
      <c r="F79" s="25"/>
      <c r="G79" s="25"/>
      <c r="H79" s="25"/>
      <c r="I79" s="25"/>
      <c r="J79" s="25"/>
    </row>
    <row r="80" spans="5:10" s="17" customFormat="1" x14ac:dyDescent="0.25">
      <c r="E80" s="25"/>
      <c r="F80" s="25"/>
      <c r="G80" s="25"/>
      <c r="H80" s="25"/>
      <c r="I80" s="25"/>
      <c r="J80" s="25"/>
    </row>
    <row r="81" spans="5:10" s="17" customFormat="1" x14ac:dyDescent="0.25">
      <c r="E81" s="25"/>
      <c r="F81" s="25"/>
      <c r="G81" s="25"/>
      <c r="H81" s="25"/>
      <c r="I81" s="25"/>
      <c r="J81" s="25"/>
    </row>
    <row r="82" spans="5:10" s="17" customFormat="1" x14ac:dyDescent="0.25">
      <c r="E82" s="25"/>
      <c r="F82" s="25"/>
      <c r="G82" s="25"/>
      <c r="H82" s="25"/>
      <c r="I82" s="25"/>
      <c r="J82" s="25"/>
    </row>
    <row r="83" spans="5:10" s="17" customFormat="1" x14ac:dyDescent="0.25">
      <c r="E83" s="25"/>
      <c r="F83" s="25"/>
      <c r="G83" s="25"/>
      <c r="H83" s="25"/>
      <c r="I83" s="25"/>
      <c r="J83" s="25"/>
    </row>
    <row r="84" spans="5:10" s="17" customFormat="1" x14ac:dyDescent="0.25">
      <c r="E84" s="31"/>
      <c r="F84" s="31"/>
      <c r="G84" s="31"/>
      <c r="H84" s="31"/>
      <c r="I84" s="31"/>
    </row>
    <row r="85" spans="5:10" s="17" customFormat="1" x14ac:dyDescent="0.25">
      <c r="E85" s="31"/>
      <c r="F85" s="31"/>
      <c r="G85" s="31"/>
      <c r="H85" s="31"/>
      <c r="I85" s="31"/>
    </row>
    <row r="86" spans="5:10" s="17" customFormat="1" x14ac:dyDescent="0.25">
      <c r="E86" s="31"/>
      <c r="F86" s="31"/>
      <c r="G86" s="31"/>
      <c r="H86" s="31"/>
      <c r="I86" s="31"/>
    </row>
  </sheetData>
  <dataConsolidate/>
  <mergeCells count="4">
    <mergeCell ref="A11:H11"/>
    <mergeCell ref="D10:G10"/>
    <mergeCell ref="A1:J1"/>
    <mergeCell ref="A9:G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7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N102"/>
  <sheetViews>
    <sheetView view="pageBreakPreview" zoomScale="90" zoomScaleNormal="70" zoomScaleSheetLayoutView="90" workbookViewId="0">
      <selection activeCell="L25" sqref="L25"/>
    </sheetView>
  </sheetViews>
  <sheetFormatPr defaultColWidth="54.28515625" defaultRowHeight="15" x14ac:dyDescent="0.25"/>
  <cols>
    <col min="1" max="1" width="8.5703125" style="17" customWidth="1"/>
    <col min="2" max="2" width="15.42578125" style="17" bestFit="1" customWidth="1"/>
    <col min="3" max="3" width="6" style="17" bestFit="1" customWidth="1"/>
    <col min="4" max="4" width="12.5703125" style="17" bestFit="1" customWidth="1"/>
    <col min="5" max="5" width="18.85546875" style="17" bestFit="1" customWidth="1"/>
    <col min="6" max="6" width="17.28515625" style="31" bestFit="1" customWidth="1"/>
    <col min="7" max="7" width="13.140625" style="31" bestFit="1" customWidth="1"/>
    <col min="8" max="8" width="11.85546875" style="31" bestFit="1" customWidth="1"/>
    <col min="9" max="9" width="25" style="31" bestFit="1" customWidth="1"/>
    <col min="10" max="10" width="8.28515625" style="31" bestFit="1" customWidth="1"/>
    <col min="11" max="11" width="9.42578125" style="31" bestFit="1" customWidth="1"/>
    <col min="12" max="12" width="15.28515625" style="17" bestFit="1" customWidth="1"/>
    <col min="13" max="13" width="35.7109375" style="32" customWidth="1" collapsed="1"/>
    <col min="14" max="14" width="35.5703125" style="46" bestFit="1" customWidth="1" collapsed="1"/>
    <col min="15" max="16384" width="54.28515625" style="3"/>
  </cols>
  <sheetData>
    <row r="1" spans="1:14" s="1" customFormat="1" ht="21" x14ac:dyDescent="0.25">
      <c r="A1" s="124" t="s">
        <v>23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54" x14ac:dyDescent="0.25">
      <c r="A2" s="69"/>
      <c r="B2" s="2" t="s">
        <v>102</v>
      </c>
      <c r="C2" s="2" t="s">
        <v>17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1</v>
      </c>
      <c r="I2" s="2" t="s">
        <v>22</v>
      </c>
      <c r="J2" s="2" t="s">
        <v>100</v>
      </c>
      <c r="K2" s="2" t="s">
        <v>19</v>
      </c>
      <c r="L2" s="2" t="s">
        <v>20</v>
      </c>
      <c r="M2" s="2" t="s">
        <v>12</v>
      </c>
      <c r="N2" s="2" t="s">
        <v>21</v>
      </c>
    </row>
    <row r="3" spans="1:14" s="40" customFormat="1" ht="16.5" x14ac:dyDescent="0.25">
      <c r="A3" s="141" t="s">
        <v>54</v>
      </c>
      <c r="B3" s="90" t="s">
        <v>55</v>
      </c>
      <c r="C3" s="35">
        <v>2</v>
      </c>
      <c r="D3" s="34" t="s">
        <v>6</v>
      </c>
      <c r="E3" s="6">
        <v>43458</v>
      </c>
      <c r="F3" s="7">
        <v>43462</v>
      </c>
      <c r="G3" s="7">
        <v>43467</v>
      </c>
      <c r="H3" s="7">
        <v>44195</v>
      </c>
      <c r="I3" s="10" t="s">
        <v>61</v>
      </c>
      <c r="J3" s="36">
        <v>728</v>
      </c>
      <c r="K3" s="11" t="s">
        <v>8</v>
      </c>
      <c r="L3" s="37">
        <v>1.2</v>
      </c>
      <c r="M3" s="38">
        <v>88825.857000000004</v>
      </c>
      <c r="N3" s="39">
        <f t="shared" ref="N3:N9" si="0">+M3*1000</f>
        <v>88825857</v>
      </c>
    </row>
    <row r="4" spans="1:14" s="40" customFormat="1" ht="16.5" x14ac:dyDescent="0.25">
      <c r="A4" s="142"/>
      <c r="B4" s="91" t="s">
        <v>56</v>
      </c>
      <c r="C4" s="15">
        <v>3</v>
      </c>
      <c r="D4" s="41" t="s">
        <v>6</v>
      </c>
      <c r="E4" s="14">
        <v>43465</v>
      </c>
      <c r="F4" s="14">
        <v>43469</v>
      </c>
      <c r="G4" s="14">
        <v>43474</v>
      </c>
      <c r="H4" s="14">
        <v>44202</v>
      </c>
      <c r="I4" s="12" t="s">
        <v>62</v>
      </c>
      <c r="J4" s="42">
        <v>728</v>
      </c>
      <c r="K4" s="16" t="s">
        <v>8</v>
      </c>
      <c r="L4" s="12">
        <v>1.2</v>
      </c>
      <c r="M4" s="43">
        <v>56424.855000000003</v>
      </c>
      <c r="N4" s="44">
        <f t="shared" si="0"/>
        <v>56424855</v>
      </c>
    </row>
    <row r="5" spans="1:14" s="40" customFormat="1" ht="16.5" x14ac:dyDescent="0.25">
      <c r="A5" s="142"/>
      <c r="B5" s="90" t="s">
        <v>57</v>
      </c>
      <c r="C5" s="35">
        <v>4</v>
      </c>
      <c r="D5" s="34" t="s">
        <v>6</v>
      </c>
      <c r="E5" s="6">
        <v>43472</v>
      </c>
      <c r="F5" s="7">
        <v>43476</v>
      </c>
      <c r="G5" s="7">
        <v>43481</v>
      </c>
      <c r="H5" s="7">
        <v>44209</v>
      </c>
      <c r="I5" s="10" t="s">
        <v>63</v>
      </c>
      <c r="J5" s="36">
        <v>728</v>
      </c>
      <c r="K5" s="11" t="s">
        <v>8</v>
      </c>
      <c r="L5" s="37">
        <v>1.2</v>
      </c>
      <c r="M5" s="38">
        <v>47757.178</v>
      </c>
      <c r="N5" s="39">
        <f t="shared" si="0"/>
        <v>47757178</v>
      </c>
    </row>
    <row r="6" spans="1:14" s="40" customFormat="1" ht="16.5" x14ac:dyDescent="0.25">
      <c r="A6" s="142"/>
      <c r="B6" s="91" t="s">
        <v>58</v>
      </c>
      <c r="C6" s="15">
        <v>5</v>
      </c>
      <c r="D6" s="41" t="s">
        <v>6</v>
      </c>
      <c r="E6" s="14">
        <v>43479</v>
      </c>
      <c r="F6" s="14">
        <v>43483</v>
      </c>
      <c r="G6" s="14">
        <v>43488</v>
      </c>
      <c r="H6" s="14">
        <v>44216</v>
      </c>
      <c r="I6" s="12" t="s">
        <v>64</v>
      </c>
      <c r="J6" s="42">
        <v>728</v>
      </c>
      <c r="K6" s="16" t="s">
        <v>8</v>
      </c>
      <c r="L6" s="12">
        <v>1.2</v>
      </c>
      <c r="M6" s="43">
        <v>42729.265999999996</v>
      </c>
      <c r="N6" s="44">
        <f t="shared" si="0"/>
        <v>42729265.999999993</v>
      </c>
    </row>
    <row r="7" spans="1:14" s="40" customFormat="1" ht="16.5" x14ac:dyDescent="0.25">
      <c r="A7" s="142"/>
      <c r="B7" s="93" t="s">
        <v>59</v>
      </c>
      <c r="C7" s="94">
        <v>6</v>
      </c>
      <c r="D7" s="95" t="s">
        <v>6</v>
      </c>
      <c r="E7" s="79">
        <v>43486</v>
      </c>
      <c r="F7" s="80">
        <v>43490</v>
      </c>
      <c r="G7" s="80">
        <v>43495</v>
      </c>
      <c r="H7" s="80">
        <v>44223</v>
      </c>
      <c r="I7" s="82" t="s">
        <v>65</v>
      </c>
      <c r="J7" s="96">
        <v>728</v>
      </c>
      <c r="K7" s="84" t="s">
        <v>8</v>
      </c>
      <c r="L7" s="83">
        <v>1.2</v>
      </c>
      <c r="M7" s="97">
        <v>61762.044000000002</v>
      </c>
      <c r="N7" s="98">
        <f t="shared" si="0"/>
        <v>61762044</v>
      </c>
    </row>
    <row r="8" spans="1:14" s="40" customFormat="1" ht="16.5" x14ac:dyDescent="0.25">
      <c r="A8" s="143"/>
      <c r="B8" s="12" t="s">
        <v>60</v>
      </c>
      <c r="C8" s="15">
        <v>7</v>
      </c>
      <c r="D8" s="41" t="s">
        <v>6</v>
      </c>
      <c r="E8" s="14">
        <v>43493</v>
      </c>
      <c r="F8" s="14">
        <v>43497</v>
      </c>
      <c r="G8" s="14">
        <v>43502</v>
      </c>
      <c r="H8" s="14">
        <v>44230</v>
      </c>
      <c r="I8" s="12" t="s">
        <v>66</v>
      </c>
      <c r="J8" s="42">
        <v>728</v>
      </c>
      <c r="K8" s="16" t="s">
        <v>8</v>
      </c>
      <c r="L8" s="12">
        <v>1.2</v>
      </c>
      <c r="M8" s="43">
        <v>59127.57699999999</v>
      </c>
      <c r="N8" s="44">
        <f t="shared" si="0"/>
        <v>59127576.999999993</v>
      </c>
    </row>
    <row r="9" spans="1:14" ht="14.25" customHeight="1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66"/>
      <c r="L9" s="120" t="s">
        <v>25</v>
      </c>
      <c r="M9" s="87">
        <f>+M3+M4+M5+M6+M7+M8</f>
        <v>356626.777</v>
      </c>
      <c r="N9" s="106">
        <f t="shared" si="0"/>
        <v>356626777</v>
      </c>
    </row>
    <row r="10" spans="1:14" ht="14.25" customHeight="1" x14ac:dyDescent="0.25">
      <c r="A10" s="66"/>
      <c r="B10" s="18"/>
      <c r="C10" s="18"/>
      <c r="D10" s="18"/>
      <c r="E10" s="18"/>
      <c r="F10" s="18"/>
      <c r="G10" s="18"/>
      <c r="H10" s="18"/>
      <c r="I10" s="18"/>
      <c r="J10" s="18"/>
      <c r="K10" s="19"/>
      <c r="L10" s="70"/>
      <c r="M10" s="67"/>
      <c r="N10" s="68"/>
    </row>
    <row r="11" spans="1:14" ht="54" x14ac:dyDescent="0.25">
      <c r="A11" s="69"/>
      <c r="B11" s="2" t="s">
        <v>102</v>
      </c>
      <c r="C11" s="2" t="s">
        <v>17</v>
      </c>
      <c r="D11" s="2" t="s">
        <v>3</v>
      </c>
      <c r="E11" s="2" t="s">
        <v>4</v>
      </c>
      <c r="F11" s="2" t="s">
        <v>5</v>
      </c>
      <c r="G11" s="2" t="s">
        <v>0</v>
      </c>
      <c r="H11" s="2" t="s">
        <v>1</v>
      </c>
      <c r="I11" s="2" t="s">
        <v>22</v>
      </c>
      <c r="J11" s="2" t="s">
        <v>2</v>
      </c>
      <c r="K11" s="2" t="s">
        <v>72</v>
      </c>
      <c r="L11" s="2" t="s">
        <v>73</v>
      </c>
      <c r="M11" s="2" t="s">
        <v>12</v>
      </c>
      <c r="N11" s="2" t="s">
        <v>74</v>
      </c>
    </row>
    <row r="12" spans="1:14" s="40" customFormat="1" ht="16.5" x14ac:dyDescent="0.25">
      <c r="A12" s="141" t="s">
        <v>75</v>
      </c>
      <c r="B12" s="90" t="s">
        <v>80</v>
      </c>
      <c r="C12" s="35">
        <v>1</v>
      </c>
      <c r="D12" s="34" t="s">
        <v>6</v>
      </c>
      <c r="E12" s="6">
        <v>43738</v>
      </c>
      <c r="F12" s="7">
        <v>43742</v>
      </c>
      <c r="G12" s="7">
        <v>43747</v>
      </c>
      <c r="H12" s="7">
        <v>44475</v>
      </c>
      <c r="I12" s="10" t="s">
        <v>76</v>
      </c>
      <c r="J12" s="36">
        <v>728</v>
      </c>
      <c r="K12" s="11" t="s">
        <v>8</v>
      </c>
      <c r="L12" s="37">
        <v>1</v>
      </c>
      <c r="M12" s="38">
        <v>59133.584999999999</v>
      </c>
      <c r="N12" s="39">
        <f t="shared" ref="N12:N16" si="1">+M12*1000</f>
        <v>59133585</v>
      </c>
    </row>
    <row r="13" spans="1:14" s="40" customFormat="1" ht="16.5" x14ac:dyDescent="0.25">
      <c r="A13" s="142"/>
      <c r="B13" s="92" t="s">
        <v>81</v>
      </c>
      <c r="C13" s="15">
        <v>2</v>
      </c>
      <c r="D13" s="41" t="s">
        <v>6</v>
      </c>
      <c r="E13" s="14">
        <v>43745</v>
      </c>
      <c r="F13" s="14">
        <v>43749</v>
      </c>
      <c r="G13" s="14">
        <v>43754</v>
      </c>
      <c r="H13" s="14">
        <v>44482</v>
      </c>
      <c r="I13" s="12" t="s">
        <v>77</v>
      </c>
      <c r="J13" s="42">
        <v>728</v>
      </c>
      <c r="K13" s="16" t="s">
        <v>8</v>
      </c>
      <c r="L13" s="12">
        <v>1</v>
      </c>
      <c r="M13" s="43">
        <v>61107.055</v>
      </c>
      <c r="N13" s="44">
        <f t="shared" si="1"/>
        <v>61107055</v>
      </c>
    </row>
    <row r="14" spans="1:14" s="40" customFormat="1" ht="16.5" x14ac:dyDescent="0.25">
      <c r="A14" s="142"/>
      <c r="B14" s="93" t="s">
        <v>82</v>
      </c>
      <c r="C14" s="94">
        <v>3</v>
      </c>
      <c r="D14" s="95" t="s">
        <v>6</v>
      </c>
      <c r="E14" s="79">
        <v>43752</v>
      </c>
      <c r="F14" s="80">
        <v>43756</v>
      </c>
      <c r="G14" s="80">
        <v>43761</v>
      </c>
      <c r="H14" s="80">
        <v>44489</v>
      </c>
      <c r="I14" s="82" t="s">
        <v>78</v>
      </c>
      <c r="J14" s="96">
        <v>728</v>
      </c>
      <c r="K14" s="84" t="s">
        <v>8</v>
      </c>
      <c r="L14" s="83">
        <v>1</v>
      </c>
      <c r="M14" s="97">
        <v>86267.57</v>
      </c>
      <c r="N14" s="98">
        <f t="shared" si="1"/>
        <v>86267570</v>
      </c>
    </row>
    <row r="15" spans="1:14" s="40" customFormat="1" ht="16.5" x14ac:dyDescent="0.25">
      <c r="A15" s="143"/>
      <c r="B15" s="12" t="s">
        <v>83</v>
      </c>
      <c r="C15" s="15">
        <v>4</v>
      </c>
      <c r="D15" s="41" t="s">
        <v>6</v>
      </c>
      <c r="E15" s="14">
        <v>43759</v>
      </c>
      <c r="F15" s="14">
        <v>43763</v>
      </c>
      <c r="G15" s="14">
        <v>43768</v>
      </c>
      <c r="H15" s="14">
        <v>44496</v>
      </c>
      <c r="I15" s="12" t="s">
        <v>79</v>
      </c>
      <c r="J15" s="42">
        <v>728</v>
      </c>
      <c r="K15" s="16" t="s">
        <v>8</v>
      </c>
      <c r="L15" s="12">
        <v>1</v>
      </c>
      <c r="M15" s="43">
        <v>109542.2</v>
      </c>
      <c r="N15" s="44">
        <f t="shared" si="1"/>
        <v>109542200</v>
      </c>
    </row>
    <row r="16" spans="1:14" ht="14.25" customHeight="1" x14ac:dyDescent="0.25">
      <c r="A16" s="71"/>
      <c r="B16" s="45"/>
      <c r="C16" s="45"/>
      <c r="D16" s="101"/>
      <c r="E16" s="45"/>
      <c r="F16" s="45"/>
      <c r="G16" s="45"/>
      <c r="H16" s="45"/>
      <c r="I16" s="45"/>
      <c r="J16" s="45"/>
      <c r="K16" s="66"/>
      <c r="L16" s="107" t="s">
        <v>25</v>
      </c>
      <c r="M16" s="87">
        <f>+M12+M13+M14+M15</f>
        <v>316050.41000000003</v>
      </c>
      <c r="N16" s="106">
        <f t="shared" si="1"/>
        <v>316050410.00000006</v>
      </c>
    </row>
    <row r="17" spans="1:14" ht="14.25" customHeight="1" x14ac:dyDescent="0.25">
      <c r="A17" s="66"/>
      <c r="B17" s="18"/>
      <c r="C17" s="18"/>
      <c r="D17" s="18"/>
      <c r="E17" s="18"/>
      <c r="F17" s="18"/>
      <c r="G17" s="18"/>
      <c r="H17" s="18"/>
      <c r="I17" s="18"/>
      <c r="J17" s="18"/>
      <c r="K17" s="19"/>
      <c r="L17" s="70"/>
      <c r="M17" s="67"/>
      <c r="N17" s="68"/>
    </row>
    <row r="18" spans="1:14" ht="54" x14ac:dyDescent="0.25">
      <c r="A18" s="66"/>
      <c r="B18" s="2" t="s">
        <v>102</v>
      </c>
      <c r="C18" s="2" t="s">
        <v>17</v>
      </c>
      <c r="D18" s="2" t="s">
        <v>3</v>
      </c>
      <c r="E18" s="2" t="s">
        <v>4</v>
      </c>
      <c r="F18" s="2" t="s">
        <v>5</v>
      </c>
      <c r="G18" s="2" t="s">
        <v>0</v>
      </c>
      <c r="H18" s="2" t="s">
        <v>1</v>
      </c>
      <c r="I18" s="2" t="s">
        <v>22</v>
      </c>
      <c r="J18" s="2" t="s">
        <v>2</v>
      </c>
      <c r="K18" s="2" t="s">
        <v>19</v>
      </c>
      <c r="L18" s="2" t="s">
        <v>20</v>
      </c>
      <c r="M18" s="2" t="s">
        <v>12</v>
      </c>
      <c r="N18" s="2" t="s">
        <v>21</v>
      </c>
    </row>
    <row r="19" spans="1:14" ht="16.5" x14ac:dyDescent="0.25">
      <c r="A19" s="66"/>
      <c r="B19" s="4" t="s">
        <v>68</v>
      </c>
      <c r="C19" s="35" t="s">
        <v>67</v>
      </c>
      <c r="D19" s="34" t="s">
        <v>6</v>
      </c>
      <c r="E19" s="6">
        <v>43521</v>
      </c>
      <c r="F19" s="7">
        <v>43521</v>
      </c>
      <c r="G19" s="7">
        <v>43523</v>
      </c>
      <c r="H19" s="7">
        <v>44251</v>
      </c>
      <c r="I19" s="10" t="s">
        <v>67</v>
      </c>
      <c r="J19" s="36">
        <v>728</v>
      </c>
      <c r="K19" s="11" t="s">
        <v>8</v>
      </c>
      <c r="L19" s="37">
        <v>1</v>
      </c>
      <c r="M19" s="38">
        <v>1873585</v>
      </c>
      <c r="N19" s="39">
        <f>+M19*1000</f>
        <v>1873585000</v>
      </c>
    </row>
    <row r="20" spans="1:14" ht="16.5" x14ac:dyDescent="0.25">
      <c r="A20" s="66"/>
      <c r="B20" s="12" t="s">
        <v>70</v>
      </c>
      <c r="C20" s="15" t="s">
        <v>67</v>
      </c>
      <c r="D20" s="41" t="s">
        <v>6</v>
      </c>
      <c r="E20" s="14">
        <v>43726</v>
      </c>
      <c r="F20" s="14">
        <v>43726</v>
      </c>
      <c r="G20" s="14">
        <v>43728</v>
      </c>
      <c r="H20" s="14">
        <v>44456</v>
      </c>
      <c r="I20" s="12" t="s">
        <v>67</v>
      </c>
      <c r="J20" s="42">
        <v>728</v>
      </c>
      <c r="K20" s="16" t="s">
        <v>8</v>
      </c>
      <c r="L20" s="12">
        <v>1</v>
      </c>
      <c r="M20" s="43">
        <v>3965075</v>
      </c>
      <c r="N20" s="44">
        <f>+M20*1000</f>
        <v>3965075000</v>
      </c>
    </row>
    <row r="21" spans="1:14" ht="16.5" x14ac:dyDescent="0.25">
      <c r="A21" s="66"/>
      <c r="B21" s="77" t="s">
        <v>71</v>
      </c>
      <c r="C21" s="94" t="s">
        <v>67</v>
      </c>
      <c r="D21" s="95" t="s">
        <v>6</v>
      </c>
      <c r="E21" s="79">
        <v>43747</v>
      </c>
      <c r="F21" s="80">
        <v>43747</v>
      </c>
      <c r="G21" s="80">
        <v>43749</v>
      </c>
      <c r="H21" s="80">
        <v>44113</v>
      </c>
      <c r="I21" s="82" t="s">
        <v>67</v>
      </c>
      <c r="J21" s="96">
        <v>364</v>
      </c>
      <c r="K21" s="84" t="s">
        <v>8</v>
      </c>
      <c r="L21" s="83">
        <v>0.87</v>
      </c>
      <c r="M21" s="97">
        <v>2999925</v>
      </c>
      <c r="N21" s="98">
        <f>+M21*1000</f>
        <v>2999925000</v>
      </c>
    </row>
    <row r="22" spans="1:14" ht="16.5" x14ac:dyDescent="0.25">
      <c r="A22" s="66"/>
      <c r="B22" s="12" t="s">
        <v>84</v>
      </c>
      <c r="C22" s="15" t="s">
        <v>67</v>
      </c>
      <c r="D22" s="41" t="s">
        <v>6</v>
      </c>
      <c r="E22" s="14">
        <v>43768</v>
      </c>
      <c r="F22" s="14">
        <v>43768</v>
      </c>
      <c r="G22" s="14">
        <v>43770</v>
      </c>
      <c r="H22" s="14">
        <v>44134</v>
      </c>
      <c r="I22" s="12" t="s">
        <v>67</v>
      </c>
      <c r="J22" s="42">
        <v>364</v>
      </c>
      <c r="K22" s="16" t="s">
        <v>8</v>
      </c>
      <c r="L22" s="12">
        <v>0.75</v>
      </c>
      <c r="M22" s="43">
        <v>7331160</v>
      </c>
      <c r="N22" s="44">
        <f>+M22*1000</f>
        <v>7331160000</v>
      </c>
    </row>
    <row r="23" spans="1:14" ht="14.25" customHeight="1" x14ac:dyDescent="0.25">
      <c r="A23" s="66"/>
      <c r="B23" s="66"/>
      <c r="C23" s="45"/>
      <c r="D23" s="45"/>
      <c r="E23" s="45"/>
      <c r="F23" s="45"/>
      <c r="G23" s="45"/>
      <c r="H23" s="45"/>
      <c r="I23" s="45"/>
      <c r="J23" s="45"/>
      <c r="K23" s="66"/>
      <c r="L23" s="120" t="s">
        <v>25</v>
      </c>
      <c r="M23" s="87">
        <f>SUM(M19:M22)</f>
        <v>16169745</v>
      </c>
      <c r="N23" s="106">
        <f>+M23*1000</f>
        <v>16169745000</v>
      </c>
    </row>
    <row r="24" spans="1:14" ht="14.25" customHeight="1" x14ac:dyDescent="0.25">
      <c r="A24" s="66"/>
      <c r="B24" s="66"/>
      <c r="C24" s="18"/>
      <c r="D24" s="18"/>
      <c r="E24" s="18"/>
      <c r="F24" s="18"/>
      <c r="G24" s="18"/>
      <c r="H24" s="18"/>
      <c r="I24" s="18"/>
      <c r="J24" s="18"/>
      <c r="K24" s="19"/>
      <c r="L24" s="102"/>
      <c r="M24" s="67"/>
      <c r="N24" s="68"/>
    </row>
    <row r="25" spans="1:14" ht="14.25" customHeight="1" x14ac:dyDescent="0.25">
      <c r="A25" s="19"/>
      <c r="B25" s="19"/>
      <c r="C25" s="56"/>
      <c r="D25" s="56"/>
      <c r="E25" s="56"/>
      <c r="F25" s="57"/>
      <c r="G25" s="58"/>
      <c r="H25" s="59"/>
      <c r="I25" s="59"/>
      <c r="J25" s="59"/>
      <c r="K25" s="89"/>
      <c r="L25" s="120" t="s">
        <v>35</v>
      </c>
      <c r="M25" s="87">
        <f>+M9+M16+M23</f>
        <v>16842422.186999999</v>
      </c>
      <c r="N25" s="88">
        <f>+N9+N16+N23</f>
        <v>16842422187</v>
      </c>
    </row>
    <row r="26" spans="1:14" ht="14.25" customHeight="1" x14ac:dyDescent="0.25">
      <c r="A26" s="60" t="s">
        <v>24</v>
      </c>
      <c r="B26" s="60"/>
      <c r="C26" s="56"/>
      <c r="D26" s="56"/>
      <c r="E26" s="56"/>
      <c r="F26" s="57"/>
      <c r="G26" s="61"/>
      <c r="H26" s="59"/>
      <c r="I26" s="59"/>
      <c r="J26" s="59"/>
      <c r="K26" s="59"/>
      <c r="L26" s="103"/>
      <c r="M26" s="104"/>
      <c r="N26" s="104"/>
    </row>
    <row r="27" spans="1:14" s="20" customFormat="1" ht="16.5" x14ac:dyDescent="0.25">
      <c r="A27" s="131" t="s">
        <v>69</v>
      </c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</row>
    <row r="28" spans="1:14" s="20" customFormat="1" ht="16.5" x14ac:dyDescent="0.25">
      <c r="A28" s="17"/>
      <c r="B28" s="17"/>
      <c r="C28" s="17"/>
      <c r="D28" s="17"/>
      <c r="E28" s="17"/>
      <c r="F28" s="22"/>
      <c r="G28" s="22"/>
      <c r="H28" s="22"/>
      <c r="I28" s="22"/>
      <c r="J28" s="22"/>
      <c r="K28" s="22"/>
      <c r="L28" s="23"/>
      <c r="M28" s="24"/>
      <c r="N28" s="62"/>
    </row>
    <row r="29" spans="1:14" s="20" customFormat="1" ht="16.5" x14ac:dyDescent="0.25">
      <c r="A29" s="17"/>
      <c r="B29" s="17"/>
      <c r="C29" s="17"/>
      <c r="D29" s="17"/>
      <c r="E29" s="17"/>
      <c r="F29" s="25"/>
      <c r="G29" s="25"/>
      <c r="H29" s="25"/>
      <c r="I29" s="25"/>
      <c r="J29" s="25"/>
      <c r="K29" s="25"/>
      <c r="L29" s="25"/>
      <c r="M29" s="24"/>
      <c r="N29" s="63"/>
    </row>
    <row r="30" spans="1:14" s="20" customFormat="1" ht="16.5" x14ac:dyDescent="0.25">
      <c r="A30" s="17"/>
      <c r="B30" s="17"/>
      <c r="C30" s="17"/>
      <c r="D30" s="17"/>
      <c r="E30" s="17"/>
      <c r="F30" s="25"/>
      <c r="G30" s="25"/>
      <c r="H30" s="25"/>
      <c r="I30" s="25"/>
      <c r="J30" s="25"/>
      <c r="K30" s="25"/>
      <c r="L30" s="25"/>
      <c r="M30" s="24"/>
      <c r="N30" s="63"/>
    </row>
    <row r="31" spans="1:14" s="20" customFormat="1" ht="16.5" x14ac:dyDescent="0.25">
      <c r="A31" s="17"/>
      <c r="B31" s="17"/>
      <c r="C31" s="17"/>
      <c r="D31" s="17"/>
      <c r="E31" s="17"/>
      <c r="F31" s="22"/>
      <c r="G31" s="26"/>
      <c r="H31" s="26"/>
      <c r="I31" s="26"/>
      <c r="J31" s="26"/>
      <c r="K31" s="26"/>
      <c r="L31" s="23"/>
      <c r="M31" s="27"/>
      <c r="N31" s="64"/>
    </row>
    <row r="32" spans="1:14" s="20" customFormat="1" ht="16.5" x14ac:dyDescent="0.25">
      <c r="A32" s="17"/>
      <c r="B32" s="17"/>
      <c r="C32" s="17"/>
      <c r="D32" s="17"/>
      <c r="E32" s="17"/>
      <c r="F32" s="22"/>
      <c r="G32" s="22"/>
      <c r="H32" s="26"/>
      <c r="I32" s="26"/>
      <c r="J32" s="26"/>
      <c r="K32" s="26"/>
      <c r="L32" s="25"/>
      <c r="M32" s="24"/>
      <c r="N32" s="64"/>
    </row>
    <row r="33" spans="1:14" s="20" customFormat="1" ht="16.5" x14ac:dyDescent="0.25">
      <c r="A33" s="17"/>
      <c r="B33" s="17"/>
      <c r="C33" s="17"/>
      <c r="D33" s="17"/>
      <c r="E33" s="17"/>
      <c r="F33" s="22"/>
      <c r="G33" s="26"/>
      <c r="H33" s="26"/>
      <c r="I33" s="26"/>
      <c r="J33" s="26"/>
      <c r="K33" s="26"/>
      <c r="L33" s="23"/>
      <c r="M33" s="24"/>
      <c r="N33" s="64"/>
    </row>
    <row r="34" spans="1:14" s="20" customFormat="1" ht="16.5" x14ac:dyDescent="0.25">
      <c r="A34" s="17"/>
      <c r="B34" s="17"/>
      <c r="C34" s="17"/>
      <c r="D34" s="17"/>
      <c r="E34" s="17"/>
      <c r="F34" s="25"/>
      <c r="G34" s="25"/>
      <c r="H34" s="25"/>
      <c r="I34" s="25"/>
      <c r="J34" s="25"/>
      <c r="K34" s="25"/>
      <c r="L34" s="25"/>
      <c r="M34" s="24"/>
      <c r="N34" s="63"/>
    </row>
    <row r="35" spans="1:14" s="20" customFormat="1" ht="16.5" x14ac:dyDescent="0.25">
      <c r="A35" s="17"/>
      <c r="B35" s="17"/>
      <c r="C35" s="17"/>
      <c r="D35" s="17"/>
      <c r="E35" s="17"/>
      <c r="F35" s="22"/>
      <c r="G35" s="22"/>
      <c r="H35" s="22"/>
      <c r="I35" s="22"/>
      <c r="J35" s="22"/>
      <c r="K35" s="22"/>
      <c r="L35" s="23"/>
      <c r="M35" s="24"/>
      <c r="N35" s="62"/>
    </row>
    <row r="36" spans="1:14" s="20" customFormat="1" ht="16.5" x14ac:dyDescent="0.25">
      <c r="A36" s="17"/>
      <c r="B36" s="17"/>
      <c r="C36" s="17"/>
      <c r="D36" s="17"/>
      <c r="E36" s="17"/>
      <c r="F36" s="22"/>
      <c r="G36" s="22"/>
      <c r="H36" s="22"/>
      <c r="I36" s="22"/>
      <c r="J36" s="22"/>
      <c r="K36" s="22"/>
      <c r="L36" s="23"/>
      <c r="M36" s="24"/>
      <c r="N36" s="62"/>
    </row>
    <row r="37" spans="1:14" s="20" customFormat="1" ht="16.5" x14ac:dyDescent="0.25">
      <c r="A37" s="17"/>
      <c r="B37" s="17"/>
      <c r="C37" s="17"/>
      <c r="D37" s="17"/>
      <c r="E37" s="17"/>
      <c r="F37" s="22"/>
      <c r="G37" s="22"/>
      <c r="H37" s="22"/>
      <c r="I37" s="22"/>
      <c r="J37" s="22"/>
      <c r="K37" s="22"/>
      <c r="L37" s="23"/>
      <c r="M37" s="24"/>
      <c r="N37" s="62"/>
    </row>
    <row r="38" spans="1:14" s="20" customFormat="1" ht="16.5" x14ac:dyDescent="0.25">
      <c r="A38" s="17"/>
      <c r="B38" s="17"/>
      <c r="C38" s="17"/>
      <c r="D38" s="17"/>
      <c r="E38" s="17"/>
      <c r="F38" s="22"/>
      <c r="G38" s="22"/>
      <c r="H38" s="22"/>
      <c r="I38" s="22"/>
      <c r="J38" s="22"/>
      <c r="K38" s="22"/>
      <c r="L38" s="23"/>
      <c r="M38" s="24"/>
      <c r="N38" s="62"/>
    </row>
    <row r="39" spans="1:14" s="20" customFormat="1" ht="16.5" x14ac:dyDescent="0.25">
      <c r="A39" s="17"/>
      <c r="B39" s="17"/>
      <c r="C39" s="17"/>
      <c r="D39" s="17"/>
      <c r="E39" s="17"/>
      <c r="F39" s="25"/>
      <c r="G39" s="25"/>
      <c r="H39" s="25"/>
      <c r="I39" s="25"/>
      <c r="J39" s="25"/>
      <c r="K39" s="25"/>
      <c r="L39" s="25"/>
      <c r="M39" s="24"/>
      <c r="N39" s="63"/>
    </row>
    <row r="40" spans="1:14" s="20" customFormat="1" ht="16.5" x14ac:dyDescent="0.25">
      <c r="A40" s="17"/>
      <c r="B40" s="17"/>
      <c r="C40" s="17"/>
      <c r="D40" s="17"/>
      <c r="E40" s="17"/>
      <c r="F40" s="22"/>
      <c r="G40" s="26"/>
      <c r="H40" s="26"/>
      <c r="I40" s="26"/>
      <c r="J40" s="26"/>
      <c r="K40" s="26"/>
      <c r="L40" s="23"/>
      <c r="M40" s="24"/>
      <c r="N40" s="64"/>
    </row>
    <row r="41" spans="1:14" s="20" customFormat="1" ht="16.5" x14ac:dyDescent="0.25">
      <c r="A41" s="17"/>
      <c r="B41" s="17"/>
      <c r="C41" s="17"/>
      <c r="D41" s="17"/>
      <c r="E41" s="17"/>
      <c r="F41" s="22"/>
      <c r="G41" s="22"/>
      <c r="H41" s="26"/>
      <c r="I41" s="26"/>
      <c r="J41" s="26"/>
      <c r="K41" s="26"/>
      <c r="L41" s="25"/>
      <c r="M41" s="24"/>
      <c r="N41" s="64"/>
    </row>
    <row r="42" spans="1:14" s="20" customFormat="1" ht="16.5" x14ac:dyDescent="0.25">
      <c r="A42" s="17"/>
      <c r="B42" s="17"/>
      <c r="C42" s="17"/>
      <c r="D42" s="17"/>
      <c r="E42" s="17"/>
      <c r="F42" s="22"/>
      <c r="G42" s="26"/>
      <c r="H42" s="26"/>
      <c r="I42" s="26"/>
      <c r="J42" s="26"/>
      <c r="K42" s="26"/>
      <c r="L42" s="23"/>
      <c r="M42" s="24"/>
      <c r="N42" s="64"/>
    </row>
    <row r="43" spans="1:14" s="20" customFormat="1" ht="16.5" x14ac:dyDescent="0.25">
      <c r="A43" s="17"/>
      <c r="B43" s="17"/>
      <c r="C43" s="17"/>
      <c r="D43" s="17"/>
      <c r="E43" s="17"/>
      <c r="F43" s="25"/>
      <c r="G43" s="25"/>
      <c r="H43" s="25"/>
      <c r="I43" s="25"/>
      <c r="J43" s="25"/>
      <c r="K43" s="25"/>
      <c r="L43" s="25"/>
      <c r="M43" s="24"/>
      <c r="N43" s="63"/>
    </row>
    <row r="44" spans="1:14" s="20" customFormat="1" ht="16.5" x14ac:dyDescent="0.25">
      <c r="A44" s="17"/>
      <c r="B44" s="17"/>
      <c r="C44" s="17"/>
      <c r="D44" s="17"/>
      <c r="E44" s="17"/>
      <c r="F44" s="22"/>
      <c r="G44" s="22"/>
      <c r="H44" s="22"/>
      <c r="I44" s="22"/>
      <c r="J44" s="22"/>
      <c r="K44" s="22"/>
      <c r="L44" s="23"/>
      <c r="M44" s="24"/>
      <c r="N44" s="62"/>
    </row>
    <row r="45" spans="1:14" s="20" customFormat="1" ht="16.5" x14ac:dyDescent="0.25">
      <c r="A45" s="17"/>
      <c r="B45" s="17"/>
      <c r="C45" s="17"/>
      <c r="D45" s="17"/>
      <c r="E45" s="17"/>
      <c r="F45" s="25"/>
      <c r="G45" s="25"/>
      <c r="H45" s="25"/>
      <c r="I45" s="25"/>
      <c r="J45" s="25"/>
      <c r="K45" s="25"/>
      <c r="L45" s="25"/>
      <c r="M45" s="24"/>
      <c r="N45" s="63"/>
    </row>
    <row r="46" spans="1:14" s="20" customFormat="1" ht="16.5" x14ac:dyDescent="0.25">
      <c r="A46" s="17"/>
      <c r="B46" s="17"/>
      <c r="C46" s="17"/>
      <c r="D46" s="17"/>
      <c r="E46" s="17"/>
      <c r="F46" s="25"/>
      <c r="G46" s="25"/>
      <c r="H46" s="25"/>
      <c r="I46" s="25"/>
      <c r="J46" s="25"/>
      <c r="K46" s="25"/>
      <c r="L46" s="25"/>
      <c r="M46" s="24"/>
      <c r="N46" s="63"/>
    </row>
    <row r="47" spans="1:14" s="20" customFormat="1" ht="16.5" x14ac:dyDescent="0.25">
      <c r="A47" s="17"/>
      <c r="B47" s="17"/>
      <c r="C47" s="17"/>
      <c r="D47" s="17"/>
      <c r="E47" s="17"/>
      <c r="F47" s="22"/>
      <c r="G47" s="26"/>
      <c r="H47" s="26"/>
      <c r="I47" s="26"/>
      <c r="J47" s="26"/>
      <c r="K47" s="26"/>
      <c r="L47" s="23"/>
      <c r="M47" s="24"/>
      <c r="N47" s="64"/>
    </row>
    <row r="48" spans="1:14" s="20" customFormat="1" ht="16.5" x14ac:dyDescent="0.25">
      <c r="A48" s="17"/>
      <c r="B48" s="17"/>
      <c r="C48" s="17"/>
      <c r="D48" s="17"/>
      <c r="E48" s="17"/>
      <c r="F48" s="22"/>
      <c r="G48" s="22"/>
      <c r="H48" s="26"/>
      <c r="I48" s="26"/>
      <c r="J48" s="26"/>
      <c r="K48" s="26"/>
      <c r="L48" s="25"/>
      <c r="M48" s="24"/>
      <c r="N48" s="64"/>
    </row>
    <row r="49" spans="1:14" s="20" customFormat="1" ht="16.5" x14ac:dyDescent="0.25">
      <c r="A49" s="17"/>
      <c r="B49" s="17"/>
      <c r="C49" s="17"/>
      <c r="D49" s="17"/>
      <c r="E49" s="17"/>
      <c r="F49" s="22"/>
      <c r="G49" s="26"/>
      <c r="H49" s="26"/>
      <c r="I49" s="26"/>
      <c r="J49" s="26"/>
      <c r="K49" s="26"/>
      <c r="L49" s="23"/>
      <c r="M49" s="24"/>
      <c r="N49" s="64"/>
    </row>
    <row r="50" spans="1:14" s="20" customFormat="1" ht="16.5" x14ac:dyDescent="0.25">
      <c r="A50" s="17"/>
      <c r="B50" s="17"/>
      <c r="C50" s="17"/>
      <c r="D50" s="17"/>
      <c r="E50" s="17"/>
      <c r="F50" s="25"/>
      <c r="G50" s="25"/>
      <c r="H50" s="25"/>
      <c r="I50" s="25"/>
      <c r="J50" s="25"/>
      <c r="K50" s="25"/>
      <c r="L50" s="25"/>
      <c r="M50" s="24"/>
      <c r="N50" s="63"/>
    </row>
    <row r="51" spans="1:14" s="20" customFormat="1" ht="16.5" x14ac:dyDescent="0.25">
      <c r="A51" s="17"/>
      <c r="B51" s="17"/>
      <c r="C51" s="17"/>
      <c r="D51" s="17"/>
      <c r="E51" s="17"/>
      <c r="F51" s="22"/>
      <c r="G51" s="22"/>
      <c r="H51" s="22"/>
      <c r="I51" s="22"/>
      <c r="J51" s="22"/>
      <c r="K51" s="22"/>
      <c r="L51" s="23"/>
      <c r="M51" s="24"/>
      <c r="N51" s="62"/>
    </row>
    <row r="52" spans="1:14" s="20" customFormat="1" ht="16.5" x14ac:dyDescent="0.25">
      <c r="A52" s="17"/>
      <c r="B52" s="17"/>
      <c r="C52" s="17"/>
      <c r="D52" s="17"/>
      <c r="E52" s="28"/>
      <c r="F52" s="25"/>
      <c r="G52" s="25"/>
      <c r="H52" s="25"/>
      <c r="I52" s="25"/>
      <c r="J52" s="25"/>
      <c r="K52" s="25"/>
      <c r="L52" s="25"/>
      <c r="M52" s="24"/>
      <c r="N52" s="63"/>
    </row>
    <row r="53" spans="1:14" s="20" customFormat="1" ht="16.5" x14ac:dyDescent="0.25">
      <c r="A53" s="17"/>
      <c r="B53" s="17"/>
      <c r="C53" s="17"/>
      <c r="D53" s="17"/>
      <c r="E53" s="28"/>
      <c r="F53" s="25"/>
      <c r="G53" s="25"/>
      <c r="H53" s="25"/>
      <c r="I53" s="25"/>
      <c r="J53" s="25"/>
      <c r="K53" s="25"/>
      <c r="L53" s="25"/>
      <c r="M53" s="24"/>
      <c r="N53" s="63"/>
    </row>
    <row r="54" spans="1:14" s="20" customFormat="1" ht="16.5" x14ac:dyDescent="0.25">
      <c r="A54" s="17"/>
      <c r="B54" s="17"/>
      <c r="C54" s="17"/>
      <c r="D54" s="17"/>
      <c r="E54" s="28"/>
      <c r="F54" s="25"/>
      <c r="G54" s="25"/>
      <c r="H54" s="25"/>
      <c r="I54" s="25"/>
      <c r="J54" s="25"/>
      <c r="K54" s="25"/>
      <c r="L54" s="25"/>
      <c r="M54" s="24"/>
      <c r="N54" s="63"/>
    </row>
    <row r="55" spans="1:14" s="20" customFormat="1" ht="16.5" x14ac:dyDescent="0.25">
      <c r="A55" s="17"/>
      <c r="B55" s="17"/>
      <c r="C55" s="17"/>
      <c r="D55" s="17"/>
      <c r="E55" s="17"/>
      <c r="F55" s="25"/>
      <c r="G55" s="25"/>
      <c r="H55" s="25"/>
      <c r="I55" s="25"/>
      <c r="J55" s="25"/>
      <c r="K55" s="25"/>
      <c r="L55" s="25"/>
      <c r="M55" s="24"/>
      <c r="N55" s="63"/>
    </row>
    <row r="56" spans="1:14" s="20" customFormat="1" ht="16.5" x14ac:dyDescent="0.25">
      <c r="A56" s="17"/>
      <c r="B56" s="17"/>
      <c r="C56" s="17"/>
      <c r="D56" s="17"/>
      <c r="E56" s="17"/>
      <c r="F56" s="25"/>
      <c r="G56" s="25"/>
      <c r="H56" s="25"/>
      <c r="I56" s="25"/>
      <c r="J56" s="25"/>
      <c r="K56" s="25"/>
      <c r="L56" s="25"/>
      <c r="M56" s="24"/>
      <c r="N56" s="63"/>
    </row>
    <row r="57" spans="1:14" s="20" customFormat="1" ht="16.5" x14ac:dyDescent="0.25">
      <c r="A57" s="17"/>
      <c r="B57" s="17"/>
      <c r="C57" s="17"/>
      <c r="D57" s="17"/>
      <c r="E57" s="17"/>
      <c r="F57" s="25"/>
      <c r="G57" s="25"/>
      <c r="H57" s="25"/>
      <c r="I57" s="25"/>
      <c r="J57" s="25"/>
      <c r="K57" s="25"/>
      <c r="L57" s="25"/>
      <c r="M57" s="24"/>
      <c r="N57" s="63"/>
    </row>
    <row r="58" spans="1:14" s="20" customFormat="1" ht="16.5" x14ac:dyDescent="0.25">
      <c r="A58" s="17"/>
      <c r="B58" s="17"/>
      <c r="C58" s="17"/>
      <c r="D58" s="17"/>
      <c r="E58" s="17"/>
      <c r="F58" s="25"/>
      <c r="G58" s="25"/>
      <c r="H58" s="25"/>
      <c r="I58" s="25"/>
      <c r="J58" s="25"/>
      <c r="K58" s="25"/>
      <c r="L58" s="25"/>
      <c r="M58" s="24"/>
      <c r="N58" s="63"/>
    </row>
    <row r="59" spans="1:14" s="20" customFormat="1" ht="16.5" x14ac:dyDescent="0.25">
      <c r="A59" s="17"/>
      <c r="B59" s="17"/>
      <c r="C59" s="17"/>
      <c r="D59" s="17"/>
      <c r="E59" s="17"/>
      <c r="F59" s="25"/>
      <c r="G59" s="25"/>
      <c r="H59" s="25"/>
      <c r="I59" s="25"/>
      <c r="J59" s="25"/>
      <c r="K59" s="25"/>
      <c r="L59" s="25"/>
      <c r="M59" s="24"/>
      <c r="N59" s="63"/>
    </row>
    <row r="60" spans="1:14" s="20" customFormat="1" ht="16.5" x14ac:dyDescent="0.25">
      <c r="A60" s="17"/>
      <c r="B60" s="17"/>
      <c r="C60" s="17"/>
      <c r="D60" s="17"/>
      <c r="E60" s="17"/>
      <c r="F60" s="25"/>
      <c r="G60" s="25"/>
      <c r="H60" s="25"/>
      <c r="I60" s="25"/>
      <c r="J60" s="25"/>
      <c r="K60" s="25"/>
      <c r="L60" s="25"/>
      <c r="M60" s="24"/>
      <c r="N60" s="63"/>
    </row>
    <row r="61" spans="1:14" s="20" customFormat="1" ht="16.5" x14ac:dyDescent="0.25">
      <c r="A61" s="17"/>
      <c r="B61" s="17"/>
      <c r="C61" s="17"/>
      <c r="D61" s="17"/>
      <c r="E61" s="17"/>
      <c r="F61" s="25"/>
      <c r="G61" s="25"/>
      <c r="H61" s="25"/>
      <c r="I61" s="25"/>
      <c r="J61" s="25"/>
      <c r="K61" s="25"/>
      <c r="L61" s="25"/>
      <c r="M61" s="24"/>
      <c r="N61" s="63"/>
    </row>
    <row r="62" spans="1:14" s="20" customFormat="1" ht="16.5" x14ac:dyDescent="0.25">
      <c r="A62" s="17"/>
      <c r="B62" s="17"/>
      <c r="C62" s="17"/>
      <c r="D62" s="17"/>
      <c r="E62" s="17"/>
      <c r="F62" s="22"/>
      <c r="G62" s="26"/>
      <c r="H62" s="26"/>
      <c r="I62" s="26"/>
      <c r="J62" s="26"/>
      <c r="K62" s="26"/>
      <c r="L62" s="23"/>
      <c r="M62" s="24"/>
      <c r="N62" s="64"/>
    </row>
    <row r="63" spans="1:14" s="20" customFormat="1" ht="16.5" x14ac:dyDescent="0.25">
      <c r="A63" s="17"/>
      <c r="B63" s="17"/>
      <c r="C63" s="17"/>
      <c r="D63" s="17"/>
      <c r="E63" s="17"/>
      <c r="F63" s="22"/>
      <c r="G63" s="26"/>
      <c r="H63" s="26"/>
      <c r="I63" s="26"/>
      <c r="J63" s="26"/>
      <c r="K63" s="26"/>
      <c r="L63" s="23"/>
      <c r="M63" s="24"/>
      <c r="N63" s="64"/>
    </row>
    <row r="64" spans="1:14" s="20" customFormat="1" ht="16.5" x14ac:dyDescent="0.25">
      <c r="A64" s="17"/>
      <c r="B64" s="17"/>
      <c r="C64" s="17"/>
      <c r="D64" s="17"/>
      <c r="E64" s="17"/>
      <c r="F64" s="22"/>
      <c r="G64" s="26"/>
      <c r="H64" s="26"/>
      <c r="I64" s="26"/>
      <c r="J64" s="26"/>
      <c r="K64" s="26"/>
      <c r="L64" s="23"/>
      <c r="M64" s="24"/>
      <c r="N64" s="64"/>
    </row>
    <row r="65" spans="1:14" s="20" customFormat="1" ht="16.5" x14ac:dyDescent="0.25">
      <c r="A65" s="17"/>
      <c r="B65" s="17"/>
      <c r="C65" s="17"/>
      <c r="D65" s="17"/>
      <c r="E65" s="17"/>
      <c r="F65" s="25"/>
      <c r="G65" s="25"/>
      <c r="H65" s="25"/>
      <c r="I65" s="25"/>
      <c r="J65" s="25"/>
      <c r="K65" s="25"/>
      <c r="L65" s="25"/>
      <c r="M65" s="24"/>
      <c r="N65" s="63"/>
    </row>
    <row r="66" spans="1:14" s="20" customFormat="1" ht="16.5" x14ac:dyDescent="0.25">
      <c r="A66" s="17"/>
      <c r="B66" s="17"/>
      <c r="C66" s="17"/>
      <c r="D66" s="17"/>
      <c r="E66" s="17"/>
      <c r="F66" s="22"/>
      <c r="G66" s="22"/>
      <c r="H66" s="22"/>
      <c r="I66" s="22"/>
      <c r="J66" s="22"/>
      <c r="K66" s="22"/>
      <c r="L66" s="23"/>
      <c r="M66" s="24"/>
      <c r="N66" s="62"/>
    </row>
    <row r="67" spans="1:14" s="20" customFormat="1" ht="16.5" x14ac:dyDescent="0.25">
      <c r="A67" s="17"/>
      <c r="B67" s="17"/>
      <c r="C67" s="17"/>
      <c r="D67" s="17"/>
      <c r="E67" s="17"/>
      <c r="F67" s="25"/>
      <c r="G67" s="25"/>
      <c r="H67" s="25"/>
      <c r="I67" s="25"/>
      <c r="J67" s="25"/>
      <c r="K67" s="25"/>
      <c r="L67" s="25"/>
      <c r="M67" s="24"/>
      <c r="N67" s="63"/>
    </row>
    <row r="68" spans="1:14" s="20" customFormat="1" ht="16.5" x14ac:dyDescent="0.25">
      <c r="A68" s="17"/>
      <c r="B68" s="17"/>
      <c r="C68" s="17"/>
      <c r="D68" s="17"/>
      <c r="E68" s="17"/>
      <c r="F68" s="25"/>
      <c r="G68" s="25"/>
      <c r="H68" s="25"/>
      <c r="I68" s="25"/>
      <c r="J68" s="25"/>
      <c r="K68" s="25"/>
      <c r="L68" s="25"/>
      <c r="M68" s="24"/>
      <c r="N68" s="63"/>
    </row>
    <row r="69" spans="1:14" s="20" customFormat="1" ht="16.5" x14ac:dyDescent="0.25">
      <c r="A69" s="17"/>
      <c r="B69" s="17"/>
      <c r="C69" s="17"/>
      <c r="D69" s="17"/>
      <c r="E69" s="17"/>
      <c r="F69" s="22"/>
      <c r="G69" s="26"/>
      <c r="H69" s="26"/>
      <c r="I69" s="26"/>
      <c r="J69" s="26"/>
      <c r="K69" s="26"/>
      <c r="L69" s="23"/>
      <c r="M69" s="24"/>
      <c r="N69" s="64"/>
    </row>
    <row r="70" spans="1:14" s="20" customFormat="1" ht="16.5" x14ac:dyDescent="0.25">
      <c r="A70" s="17"/>
      <c r="B70" s="17"/>
      <c r="C70" s="17"/>
      <c r="D70" s="17"/>
      <c r="E70" s="17"/>
      <c r="F70" s="22"/>
      <c r="G70" s="22"/>
      <c r="H70" s="26"/>
      <c r="I70" s="26"/>
      <c r="J70" s="26"/>
      <c r="K70" s="26"/>
      <c r="L70" s="25"/>
      <c r="M70" s="24"/>
      <c r="N70" s="64"/>
    </row>
    <row r="71" spans="1:14" s="20" customFormat="1" ht="16.5" x14ac:dyDescent="0.25">
      <c r="A71" s="17"/>
      <c r="B71" s="17"/>
      <c r="C71" s="17"/>
      <c r="D71" s="17"/>
      <c r="E71" s="17"/>
      <c r="F71" s="25"/>
      <c r="G71" s="25"/>
      <c r="H71" s="25"/>
      <c r="I71" s="25"/>
      <c r="J71" s="25"/>
      <c r="K71" s="25"/>
      <c r="L71" s="25"/>
      <c r="M71" s="24"/>
      <c r="N71" s="63"/>
    </row>
    <row r="72" spans="1:14" s="20" customFormat="1" ht="16.5" x14ac:dyDescent="0.25">
      <c r="A72" s="17"/>
      <c r="B72" s="17"/>
      <c r="C72" s="17"/>
      <c r="D72" s="17"/>
      <c r="E72" s="17"/>
      <c r="F72" s="22"/>
      <c r="G72" s="22"/>
      <c r="H72" s="22"/>
      <c r="I72" s="22"/>
      <c r="J72" s="22"/>
      <c r="K72" s="22"/>
      <c r="L72" s="23"/>
      <c r="M72" s="24"/>
      <c r="N72" s="62"/>
    </row>
    <row r="73" spans="1:14" s="17" customFormat="1" x14ac:dyDescent="0.25">
      <c r="F73" s="25"/>
      <c r="G73" s="25"/>
      <c r="H73" s="25"/>
      <c r="I73" s="25"/>
      <c r="J73" s="25"/>
      <c r="K73" s="25"/>
      <c r="L73" s="25"/>
      <c r="M73" s="24"/>
      <c r="N73" s="63"/>
    </row>
    <row r="74" spans="1:14" s="17" customFormat="1" x14ac:dyDescent="0.25">
      <c r="F74" s="25"/>
      <c r="G74" s="25"/>
      <c r="H74" s="25"/>
      <c r="I74" s="25"/>
      <c r="J74" s="25"/>
      <c r="K74" s="25"/>
      <c r="L74" s="25"/>
      <c r="M74" s="24"/>
      <c r="N74" s="63"/>
    </row>
    <row r="75" spans="1:14" s="17" customFormat="1" x14ac:dyDescent="0.25">
      <c r="F75" s="22"/>
      <c r="G75" s="26"/>
      <c r="H75" s="26"/>
      <c r="I75" s="26"/>
      <c r="J75" s="26"/>
      <c r="K75" s="26"/>
      <c r="L75" s="23"/>
      <c r="M75" s="24"/>
      <c r="N75" s="64"/>
    </row>
    <row r="76" spans="1:14" s="17" customFormat="1" x14ac:dyDescent="0.25">
      <c r="F76" s="22"/>
      <c r="G76" s="26"/>
      <c r="H76" s="26"/>
      <c r="I76" s="26"/>
      <c r="J76" s="26"/>
      <c r="K76" s="26"/>
      <c r="L76" s="23"/>
      <c r="M76" s="24"/>
      <c r="N76" s="64"/>
    </row>
    <row r="77" spans="1:14" s="17" customFormat="1" x14ac:dyDescent="0.25">
      <c r="F77" s="22"/>
      <c r="G77" s="22"/>
      <c r="H77" s="26"/>
      <c r="I77" s="26"/>
      <c r="J77" s="26"/>
      <c r="K77" s="26"/>
      <c r="L77" s="25"/>
      <c r="M77" s="24"/>
      <c r="N77" s="64"/>
    </row>
    <row r="78" spans="1:14" s="17" customFormat="1" x14ac:dyDescent="0.25">
      <c r="F78" s="25"/>
      <c r="G78" s="25"/>
      <c r="H78" s="25"/>
      <c r="I78" s="25"/>
      <c r="J78" s="25"/>
      <c r="K78" s="25"/>
      <c r="L78" s="25"/>
      <c r="M78" s="24"/>
      <c r="N78" s="63"/>
    </row>
    <row r="79" spans="1:14" s="17" customFormat="1" x14ac:dyDescent="0.25">
      <c r="F79" s="22"/>
      <c r="G79" s="22"/>
      <c r="H79" s="22"/>
      <c r="I79" s="22"/>
      <c r="J79" s="22"/>
      <c r="K79" s="22"/>
      <c r="L79" s="23"/>
      <c r="M79" s="24"/>
      <c r="N79" s="62"/>
    </row>
    <row r="80" spans="1:14" s="17" customFormat="1" x14ac:dyDescent="0.25">
      <c r="F80" s="25"/>
      <c r="G80" s="25"/>
      <c r="H80" s="25"/>
      <c r="I80" s="25"/>
      <c r="J80" s="25"/>
      <c r="K80" s="25"/>
      <c r="L80" s="25"/>
      <c r="M80" s="24"/>
      <c r="N80" s="63"/>
    </row>
    <row r="81" spans="6:14" s="17" customFormat="1" x14ac:dyDescent="0.25">
      <c r="F81" s="25"/>
      <c r="G81" s="25"/>
      <c r="H81" s="25"/>
      <c r="I81" s="25"/>
      <c r="J81" s="25"/>
      <c r="K81" s="25"/>
      <c r="L81" s="25"/>
      <c r="M81" s="24"/>
      <c r="N81" s="63"/>
    </row>
    <row r="82" spans="6:14" s="17" customFormat="1" x14ac:dyDescent="0.25">
      <c r="F82" s="22"/>
      <c r="G82" s="26"/>
      <c r="H82" s="26"/>
      <c r="I82" s="26"/>
      <c r="J82" s="26"/>
      <c r="K82" s="26"/>
      <c r="L82" s="23"/>
      <c r="M82" s="24"/>
      <c r="N82" s="64"/>
    </row>
    <row r="83" spans="6:14" s="17" customFormat="1" x14ac:dyDescent="0.25">
      <c r="F83" s="22"/>
      <c r="G83" s="26"/>
      <c r="H83" s="26"/>
      <c r="I83" s="26"/>
      <c r="J83" s="26"/>
      <c r="K83" s="26"/>
      <c r="L83" s="23"/>
      <c r="M83" s="24"/>
      <c r="N83" s="64"/>
    </row>
    <row r="84" spans="6:14" s="17" customFormat="1" x14ac:dyDescent="0.25">
      <c r="F84" s="22"/>
      <c r="G84" s="26"/>
      <c r="H84" s="26"/>
      <c r="I84" s="26"/>
      <c r="J84" s="26"/>
      <c r="K84" s="26"/>
      <c r="L84" s="23"/>
      <c r="M84" s="24"/>
      <c r="N84" s="64"/>
    </row>
    <row r="85" spans="6:14" s="17" customFormat="1" x14ac:dyDescent="0.25">
      <c r="F85" s="22"/>
      <c r="G85" s="22"/>
      <c r="H85" s="26"/>
      <c r="I85" s="26"/>
      <c r="J85" s="26"/>
      <c r="K85" s="26"/>
      <c r="L85" s="25"/>
      <c r="M85" s="24"/>
      <c r="N85" s="64"/>
    </row>
    <row r="86" spans="6:14" s="17" customFormat="1" x14ac:dyDescent="0.25">
      <c r="F86" s="25"/>
      <c r="G86" s="25"/>
      <c r="H86" s="25"/>
      <c r="I86" s="25"/>
      <c r="J86" s="25"/>
      <c r="K86" s="25"/>
      <c r="L86" s="25"/>
      <c r="M86" s="24"/>
      <c r="N86" s="63"/>
    </row>
    <row r="87" spans="6:14" s="17" customFormat="1" x14ac:dyDescent="0.25">
      <c r="F87" s="22"/>
      <c r="G87" s="22"/>
      <c r="H87" s="22"/>
      <c r="I87" s="22"/>
      <c r="J87" s="22"/>
      <c r="K87" s="22"/>
      <c r="L87" s="23"/>
      <c r="M87" s="24"/>
      <c r="N87" s="62"/>
    </row>
    <row r="88" spans="6:14" s="17" customFormat="1" x14ac:dyDescent="0.25">
      <c r="F88" s="25"/>
      <c r="G88" s="25"/>
      <c r="H88" s="25"/>
      <c r="I88" s="25"/>
      <c r="J88" s="25"/>
      <c r="K88" s="25"/>
      <c r="L88" s="25"/>
      <c r="M88" s="24"/>
      <c r="N88" s="63"/>
    </row>
    <row r="89" spans="6:14" s="17" customFormat="1" x14ac:dyDescent="0.25">
      <c r="F89" s="25"/>
      <c r="G89" s="25"/>
      <c r="H89" s="25"/>
      <c r="I89" s="25"/>
      <c r="J89" s="25"/>
      <c r="K89" s="25"/>
      <c r="L89" s="25"/>
      <c r="M89" s="24"/>
      <c r="N89" s="63"/>
    </row>
    <row r="90" spans="6:14" s="17" customFormat="1" x14ac:dyDescent="0.25">
      <c r="F90" s="25"/>
      <c r="G90" s="25"/>
      <c r="H90" s="25"/>
      <c r="I90" s="25"/>
      <c r="J90" s="25"/>
      <c r="K90" s="25"/>
      <c r="L90" s="25"/>
      <c r="M90" s="24"/>
      <c r="N90" s="62"/>
    </row>
    <row r="91" spans="6:14" s="17" customFormat="1" x14ac:dyDescent="0.25">
      <c r="F91" s="25"/>
      <c r="G91" s="25"/>
      <c r="H91" s="25"/>
      <c r="I91" s="25"/>
      <c r="J91" s="25"/>
      <c r="K91" s="25"/>
      <c r="L91" s="25"/>
      <c r="M91" s="24"/>
      <c r="N91" s="63"/>
    </row>
    <row r="92" spans="6:14" s="17" customFormat="1" x14ac:dyDescent="0.25">
      <c r="F92" s="25"/>
      <c r="G92" s="25"/>
      <c r="H92" s="29"/>
      <c r="I92" s="29"/>
      <c r="J92" s="29"/>
      <c r="K92" s="29"/>
      <c r="L92" s="25"/>
      <c r="M92" s="24"/>
      <c r="N92" s="65"/>
    </row>
    <row r="93" spans="6:14" s="17" customFormat="1" x14ac:dyDescent="0.25">
      <c r="F93" s="25"/>
      <c r="G93" s="25"/>
      <c r="H93" s="25"/>
      <c r="I93" s="25"/>
      <c r="J93" s="25"/>
      <c r="K93" s="25"/>
      <c r="L93" s="25"/>
      <c r="M93" s="24"/>
      <c r="N93" s="62"/>
    </row>
    <row r="94" spans="6:14" s="17" customFormat="1" x14ac:dyDescent="0.25">
      <c r="F94" s="25"/>
      <c r="G94" s="25"/>
      <c r="H94" s="25"/>
      <c r="I94" s="25"/>
      <c r="J94" s="25"/>
      <c r="K94" s="25"/>
      <c r="L94" s="25"/>
      <c r="M94" s="24"/>
      <c r="N94" s="62"/>
    </row>
    <row r="95" spans="6:14" s="17" customFormat="1" x14ac:dyDescent="0.25">
      <c r="F95" s="25"/>
      <c r="G95" s="25"/>
      <c r="H95" s="25"/>
      <c r="I95" s="25"/>
      <c r="J95" s="25"/>
      <c r="K95" s="25"/>
      <c r="L95" s="25"/>
      <c r="M95" s="24"/>
      <c r="N95" s="62"/>
    </row>
    <row r="96" spans="6:14" s="17" customFormat="1" x14ac:dyDescent="0.25">
      <c r="F96" s="25"/>
      <c r="G96" s="25"/>
      <c r="H96" s="25"/>
      <c r="I96" s="25"/>
      <c r="J96" s="25"/>
      <c r="K96" s="25"/>
      <c r="L96" s="25"/>
      <c r="M96" s="30"/>
      <c r="N96" s="63"/>
    </row>
    <row r="97" spans="6:14" s="17" customFormat="1" x14ac:dyDescent="0.25">
      <c r="F97" s="25"/>
      <c r="G97" s="25"/>
      <c r="H97" s="25"/>
      <c r="I97" s="25"/>
      <c r="J97" s="25"/>
      <c r="K97" s="25"/>
      <c r="L97" s="25"/>
      <c r="M97" s="30"/>
      <c r="N97" s="63"/>
    </row>
    <row r="98" spans="6:14" s="17" customFormat="1" x14ac:dyDescent="0.25">
      <c r="F98" s="25"/>
      <c r="G98" s="25"/>
      <c r="H98" s="25"/>
      <c r="I98" s="25"/>
      <c r="J98" s="25"/>
      <c r="K98" s="25"/>
      <c r="L98" s="25"/>
      <c r="M98" s="30"/>
      <c r="N98" s="63"/>
    </row>
    <row r="99" spans="6:14" s="17" customFormat="1" x14ac:dyDescent="0.25">
      <c r="F99" s="31"/>
      <c r="G99" s="31"/>
      <c r="H99" s="31"/>
      <c r="I99" s="31"/>
      <c r="J99" s="31"/>
      <c r="K99" s="31"/>
      <c r="M99" s="30"/>
      <c r="N99" s="63"/>
    </row>
    <row r="100" spans="6:14" s="17" customFormat="1" x14ac:dyDescent="0.25">
      <c r="F100" s="31"/>
      <c r="G100" s="31"/>
      <c r="H100" s="31"/>
      <c r="I100" s="31"/>
      <c r="J100" s="31"/>
      <c r="K100" s="31"/>
      <c r="M100" s="30"/>
      <c r="N100" s="46"/>
    </row>
    <row r="101" spans="6:14" s="17" customFormat="1" x14ac:dyDescent="0.25">
      <c r="F101" s="31"/>
      <c r="G101" s="31"/>
      <c r="H101" s="31"/>
      <c r="I101" s="31"/>
      <c r="J101" s="31"/>
      <c r="K101" s="31"/>
      <c r="M101" s="30"/>
      <c r="N101" s="46"/>
    </row>
    <row r="102" spans="6:14" s="17" customFormat="1" x14ac:dyDescent="0.25">
      <c r="F102" s="31"/>
      <c r="G102" s="31"/>
      <c r="H102" s="31"/>
      <c r="I102" s="31"/>
      <c r="J102" s="31"/>
      <c r="K102" s="31"/>
      <c r="M102" s="30"/>
      <c r="N102" s="46"/>
    </row>
  </sheetData>
  <dataConsolidate/>
  <mergeCells count="4">
    <mergeCell ref="A3:A8"/>
    <mergeCell ref="A27:N27"/>
    <mergeCell ref="A12:A15"/>
    <mergeCell ref="A1:N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0"/>
    <pageSetUpPr fitToPage="1"/>
  </sheetPr>
  <dimension ref="A1:N99"/>
  <sheetViews>
    <sheetView view="pageBreakPreview" zoomScale="90" zoomScaleNormal="70" zoomScaleSheetLayoutView="90" workbookViewId="0">
      <selection sqref="A1:N1"/>
    </sheetView>
  </sheetViews>
  <sheetFormatPr defaultColWidth="54.28515625" defaultRowHeight="15" x14ac:dyDescent="0.25"/>
  <cols>
    <col min="1" max="1" width="15.7109375" style="17" customWidth="1"/>
    <col min="2" max="2" width="16.140625" style="17" bestFit="1" customWidth="1"/>
    <col min="3" max="3" width="6" style="17" bestFit="1" customWidth="1"/>
    <col min="4" max="4" width="12.5703125" style="17" bestFit="1" customWidth="1"/>
    <col min="5" max="5" width="18.85546875" style="17" bestFit="1" customWidth="1"/>
    <col min="6" max="6" width="17.28515625" style="31" bestFit="1" customWidth="1"/>
    <col min="7" max="7" width="13.140625" style="31" bestFit="1" customWidth="1"/>
    <col min="8" max="8" width="11.85546875" style="31" bestFit="1" customWidth="1"/>
    <col min="9" max="9" width="26.28515625" style="31" bestFit="1" customWidth="1"/>
    <col min="10" max="10" width="8.28515625" style="31" bestFit="1" customWidth="1"/>
    <col min="11" max="11" width="9.42578125" style="31" bestFit="1" customWidth="1"/>
    <col min="12" max="12" width="15.28515625" style="17" bestFit="1" customWidth="1"/>
    <col min="13" max="13" width="35.7109375" style="32" bestFit="1" customWidth="1" collapsed="1"/>
    <col min="14" max="14" width="23" style="46" bestFit="1" customWidth="1" collapsed="1"/>
    <col min="15" max="16384" width="54.28515625" style="3"/>
  </cols>
  <sheetData>
    <row r="1" spans="1:14" s="1" customFormat="1" ht="21" x14ac:dyDescent="0.25">
      <c r="A1" s="144" t="s">
        <v>23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</row>
    <row r="2" spans="1:14" ht="54" x14ac:dyDescent="0.25">
      <c r="A2" s="69"/>
      <c r="B2" s="2" t="s">
        <v>102</v>
      </c>
      <c r="C2" s="2" t="s">
        <v>17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1</v>
      </c>
      <c r="I2" s="2" t="s">
        <v>22</v>
      </c>
      <c r="J2" s="2" t="s">
        <v>100</v>
      </c>
      <c r="K2" s="2" t="s">
        <v>19</v>
      </c>
      <c r="L2" s="2" t="s">
        <v>20</v>
      </c>
      <c r="M2" s="2" t="s">
        <v>12</v>
      </c>
      <c r="N2" s="2" t="s">
        <v>21</v>
      </c>
    </row>
    <row r="3" spans="1:14" s="40" customFormat="1" ht="16.5" x14ac:dyDescent="0.25">
      <c r="A3" s="141" t="s">
        <v>26</v>
      </c>
      <c r="B3" s="90" t="s">
        <v>27</v>
      </c>
      <c r="C3" s="35">
        <v>1</v>
      </c>
      <c r="D3" s="34" t="s">
        <v>6</v>
      </c>
      <c r="E3" s="6">
        <v>43185</v>
      </c>
      <c r="F3" s="7">
        <v>43189</v>
      </c>
      <c r="G3" s="7">
        <v>43194</v>
      </c>
      <c r="H3" s="7">
        <v>43922</v>
      </c>
      <c r="I3" s="10" t="s">
        <v>31</v>
      </c>
      <c r="J3" s="36">
        <v>728</v>
      </c>
      <c r="K3" s="11" t="s">
        <v>8</v>
      </c>
      <c r="L3" s="37">
        <v>1.2</v>
      </c>
      <c r="M3" s="38">
        <v>283668.78899999999</v>
      </c>
      <c r="N3" s="39">
        <f t="shared" ref="N3:N23" si="0">+M3*1000</f>
        <v>283668789</v>
      </c>
    </row>
    <row r="4" spans="1:14" s="40" customFormat="1" ht="16.5" x14ac:dyDescent="0.25">
      <c r="A4" s="142"/>
      <c r="B4" s="91" t="s">
        <v>28</v>
      </c>
      <c r="C4" s="15">
        <v>2</v>
      </c>
      <c r="D4" s="41" t="s">
        <v>6</v>
      </c>
      <c r="E4" s="14">
        <v>43192</v>
      </c>
      <c r="F4" s="14">
        <v>43196</v>
      </c>
      <c r="G4" s="14">
        <v>43201</v>
      </c>
      <c r="H4" s="14">
        <v>43929</v>
      </c>
      <c r="I4" s="12" t="s">
        <v>32</v>
      </c>
      <c r="J4" s="42">
        <v>728</v>
      </c>
      <c r="K4" s="16" t="s">
        <v>8</v>
      </c>
      <c r="L4" s="12">
        <v>1.2</v>
      </c>
      <c r="M4" s="43">
        <v>162201.872</v>
      </c>
      <c r="N4" s="44">
        <f t="shared" si="0"/>
        <v>162201872</v>
      </c>
    </row>
    <row r="5" spans="1:14" s="40" customFormat="1" ht="16.5" x14ac:dyDescent="0.25">
      <c r="A5" s="142"/>
      <c r="B5" s="93" t="s">
        <v>29</v>
      </c>
      <c r="C5" s="94">
        <v>3</v>
      </c>
      <c r="D5" s="95" t="s">
        <v>6</v>
      </c>
      <c r="E5" s="79">
        <v>43199</v>
      </c>
      <c r="F5" s="80">
        <v>43203</v>
      </c>
      <c r="G5" s="80">
        <v>43208</v>
      </c>
      <c r="H5" s="80">
        <v>43936</v>
      </c>
      <c r="I5" s="82" t="s">
        <v>33</v>
      </c>
      <c r="J5" s="96">
        <v>728</v>
      </c>
      <c r="K5" s="84" t="s">
        <v>8</v>
      </c>
      <c r="L5" s="83">
        <v>1.2</v>
      </c>
      <c r="M5" s="97">
        <v>165038.18599999999</v>
      </c>
      <c r="N5" s="98">
        <f t="shared" si="0"/>
        <v>165038186</v>
      </c>
    </row>
    <row r="6" spans="1:14" s="40" customFormat="1" ht="16.5" x14ac:dyDescent="0.25">
      <c r="A6" s="143"/>
      <c r="B6" s="12" t="s">
        <v>30</v>
      </c>
      <c r="C6" s="15">
        <v>4</v>
      </c>
      <c r="D6" s="41" t="s">
        <v>6</v>
      </c>
      <c r="E6" s="14">
        <v>43206</v>
      </c>
      <c r="F6" s="14">
        <v>43210</v>
      </c>
      <c r="G6" s="14">
        <v>43215</v>
      </c>
      <c r="H6" s="14">
        <v>43943</v>
      </c>
      <c r="I6" s="12" t="s">
        <v>34</v>
      </c>
      <c r="J6" s="42">
        <v>728</v>
      </c>
      <c r="K6" s="16" t="s">
        <v>8</v>
      </c>
      <c r="L6" s="12">
        <v>1.2</v>
      </c>
      <c r="M6" s="43">
        <v>198298.76800000001</v>
      </c>
      <c r="N6" s="44">
        <f t="shared" si="0"/>
        <v>198298768</v>
      </c>
    </row>
    <row r="7" spans="1:14" ht="14.25" customHeight="1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66"/>
      <c r="L7" s="120" t="s">
        <v>25</v>
      </c>
      <c r="M7" s="87">
        <f>+M3+M4+M5+M6</f>
        <v>809207.61499999999</v>
      </c>
      <c r="N7" s="106">
        <f t="shared" si="0"/>
        <v>809207615</v>
      </c>
    </row>
    <row r="8" spans="1:14" ht="14.25" customHeight="1" x14ac:dyDescent="0.25">
      <c r="A8" s="66"/>
      <c r="B8" s="18"/>
      <c r="C8" s="18"/>
      <c r="D8" s="18"/>
      <c r="E8" s="18"/>
      <c r="F8" s="18"/>
      <c r="G8" s="18"/>
      <c r="H8" s="18"/>
      <c r="I8" s="18"/>
      <c r="J8" s="18"/>
      <c r="K8" s="19"/>
      <c r="L8" s="66"/>
      <c r="M8" s="66"/>
      <c r="N8" s="66"/>
    </row>
    <row r="9" spans="1:14" ht="54" x14ac:dyDescent="0.25">
      <c r="A9" s="69"/>
      <c r="B9" s="2" t="s">
        <v>102</v>
      </c>
      <c r="C9" s="2" t="s">
        <v>17</v>
      </c>
      <c r="D9" s="2" t="s">
        <v>3</v>
      </c>
      <c r="E9" s="2" t="s">
        <v>4</v>
      </c>
      <c r="F9" s="2" t="s">
        <v>5</v>
      </c>
      <c r="G9" s="2" t="s">
        <v>0</v>
      </c>
      <c r="H9" s="2" t="s">
        <v>1</v>
      </c>
      <c r="I9" s="2" t="s">
        <v>22</v>
      </c>
      <c r="J9" s="2" t="s">
        <v>2</v>
      </c>
      <c r="K9" s="2" t="s">
        <v>19</v>
      </c>
      <c r="L9" s="2" t="s">
        <v>20</v>
      </c>
      <c r="M9" s="2" t="s">
        <v>12</v>
      </c>
      <c r="N9" s="2" t="s">
        <v>21</v>
      </c>
    </row>
    <row r="10" spans="1:14" s="40" customFormat="1" ht="16.5" x14ac:dyDescent="0.25">
      <c r="A10" s="141" t="s">
        <v>36</v>
      </c>
      <c r="B10" s="90" t="s">
        <v>37</v>
      </c>
      <c r="C10" s="35">
        <v>1</v>
      </c>
      <c r="D10" s="34" t="s">
        <v>6</v>
      </c>
      <c r="E10" s="6">
        <v>43353</v>
      </c>
      <c r="F10" s="7">
        <v>43357</v>
      </c>
      <c r="G10" s="7">
        <v>43362</v>
      </c>
      <c r="H10" s="7">
        <v>44090</v>
      </c>
      <c r="I10" s="10" t="s">
        <v>44</v>
      </c>
      <c r="J10" s="36">
        <v>728</v>
      </c>
      <c r="K10" s="11" t="s">
        <v>8</v>
      </c>
      <c r="L10" s="37">
        <v>1.2</v>
      </c>
      <c r="M10" s="38">
        <v>121757.148</v>
      </c>
      <c r="N10" s="39">
        <f t="shared" ref="N10:N17" si="1">+M10*1000</f>
        <v>121757148</v>
      </c>
    </row>
    <row r="11" spans="1:14" s="40" customFormat="1" ht="16.5" x14ac:dyDescent="0.25">
      <c r="A11" s="142"/>
      <c r="B11" s="91" t="s">
        <v>38</v>
      </c>
      <c r="C11" s="15">
        <v>2</v>
      </c>
      <c r="D11" s="41" t="s">
        <v>6</v>
      </c>
      <c r="E11" s="14">
        <v>43360</v>
      </c>
      <c r="F11" s="14">
        <v>43364</v>
      </c>
      <c r="G11" s="14">
        <v>43369</v>
      </c>
      <c r="H11" s="14">
        <v>44097</v>
      </c>
      <c r="I11" s="12" t="s">
        <v>45</v>
      </c>
      <c r="J11" s="42">
        <v>728</v>
      </c>
      <c r="K11" s="16" t="s">
        <v>8</v>
      </c>
      <c r="L11" s="12">
        <v>1.2</v>
      </c>
      <c r="M11" s="43">
        <v>113318.37</v>
      </c>
      <c r="N11" s="44">
        <f t="shared" si="1"/>
        <v>113318370</v>
      </c>
    </row>
    <row r="12" spans="1:14" s="40" customFormat="1" ht="16.5" x14ac:dyDescent="0.25">
      <c r="A12" s="142"/>
      <c r="B12" s="90" t="s">
        <v>39</v>
      </c>
      <c r="C12" s="35">
        <v>3</v>
      </c>
      <c r="D12" s="34" t="s">
        <v>6</v>
      </c>
      <c r="E12" s="6">
        <v>43367</v>
      </c>
      <c r="F12" s="7">
        <v>43371</v>
      </c>
      <c r="G12" s="7">
        <v>43376</v>
      </c>
      <c r="H12" s="7">
        <v>44104</v>
      </c>
      <c r="I12" s="10" t="s">
        <v>46</v>
      </c>
      <c r="J12" s="36">
        <v>728</v>
      </c>
      <c r="K12" s="11" t="s">
        <v>8</v>
      </c>
      <c r="L12" s="37">
        <v>1.2</v>
      </c>
      <c r="M12" s="38">
        <v>115904.072</v>
      </c>
      <c r="N12" s="39">
        <f t="shared" si="1"/>
        <v>115904072</v>
      </c>
    </row>
    <row r="13" spans="1:14" s="40" customFormat="1" ht="16.5" x14ac:dyDescent="0.25">
      <c r="A13" s="142"/>
      <c r="B13" s="92" t="s">
        <v>40</v>
      </c>
      <c r="C13" s="15">
        <v>4</v>
      </c>
      <c r="D13" s="41" t="s">
        <v>6</v>
      </c>
      <c r="E13" s="14">
        <v>43374</v>
      </c>
      <c r="F13" s="14">
        <v>43378</v>
      </c>
      <c r="G13" s="14">
        <v>43383</v>
      </c>
      <c r="H13" s="14">
        <v>44111</v>
      </c>
      <c r="I13" s="12" t="s">
        <v>47</v>
      </c>
      <c r="J13" s="42">
        <v>728</v>
      </c>
      <c r="K13" s="16" t="s">
        <v>8</v>
      </c>
      <c r="L13" s="12">
        <v>1.2</v>
      </c>
      <c r="M13" s="43">
        <v>116860.393</v>
      </c>
      <c r="N13" s="44">
        <f t="shared" si="1"/>
        <v>116860393</v>
      </c>
    </row>
    <row r="14" spans="1:14" s="40" customFormat="1" ht="16.5" x14ac:dyDescent="0.25">
      <c r="A14" s="142"/>
      <c r="B14" s="90" t="s">
        <v>41</v>
      </c>
      <c r="C14" s="35">
        <v>5</v>
      </c>
      <c r="D14" s="34" t="s">
        <v>6</v>
      </c>
      <c r="E14" s="6">
        <v>43381</v>
      </c>
      <c r="F14" s="7">
        <v>43385</v>
      </c>
      <c r="G14" s="7">
        <v>43390</v>
      </c>
      <c r="H14" s="7">
        <v>44118</v>
      </c>
      <c r="I14" s="10" t="s">
        <v>48</v>
      </c>
      <c r="J14" s="36">
        <v>728</v>
      </c>
      <c r="K14" s="11" t="s">
        <v>8</v>
      </c>
      <c r="L14" s="37">
        <v>1.2</v>
      </c>
      <c r="M14" s="38">
        <v>119786.056</v>
      </c>
      <c r="N14" s="39">
        <f t="shared" si="1"/>
        <v>119786056</v>
      </c>
    </row>
    <row r="15" spans="1:14" s="40" customFormat="1" ht="16.5" x14ac:dyDescent="0.25">
      <c r="A15" s="142"/>
      <c r="B15" s="108" t="s">
        <v>42</v>
      </c>
      <c r="C15" s="109">
        <v>6</v>
      </c>
      <c r="D15" s="110" t="s">
        <v>6</v>
      </c>
      <c r="E15" s="111">
        <v>43388</v>
      </c>
      <c r="F15" s="111">
        <v>43392</v>
      </c>
      <c r="G15" s="111">
        <v>43397</v>
      </c>
      <c r="H15" s="111">
        <v>44125</v>
      </c>
      <c r="I15" s="85" t="s">
        <v>49</v>
      </c>
      <c r="J15" s="112">
        <v>728</v>
      </c>
      <c r="K15" s="86" t="s">
        <v>8</v>
      </c>
      <c r="L15" s="85">
        <v>1.2</v>
      </c>
      <c r="M15" s="99">
        <v>113370.137</v>
      </c>
      <c r="N15" s="100">
        <f t="shared" si="1"/>
        <v>113370137</v>
      </c>
    </row>
    <row r="16" spans="1:14" s="40" customFormat="1" ht="16.5" x14ac:dyDescent="0.25">
      <c r="A16" s="143"/>
      <c r="B16" s="4" t="s">
        <v>43</v>
      </c>
      <c r="C16" s="35">
        <v>7</v>
      </c>
      <c r="D16" s="34" t="s">
        <v>6</v>
      </c>
      <c r="E16" s="6">
        <v>43395</v>
      </c>
      <c r="F16" s="7">
        <v>43399</v>
      </c>
      <c r="G16" s="7">
        <v>43404</v>
      </c>
      <c r="H16" s="7">
        <v>44132</v>
      </c>
      <c r="I16" s="10" t="s">
        <v>50</v>
      </c>
      <c r="J16" s="36">
        <v>728</v>
      </c>
      <c r="K16" s="11" t="s">
        <v>8</v>
      </c>
      <c r="L16" s="37">
        <v>1.2</v>
      </c>
      <c r="M16" s="38">
        <v>112935.126</v>
      </c>
      <c r="N16" s="39">
        <f t="shared" si="1"/>
        <v>112935126</v>
      </c>
    </row>
    <row r="17" spans="1:14" ht="14.25" customHeight="1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66"/>
      <c r="L17" s="120" t="s">
        <v>25</v>
      </c>
      <c r="M17" s="87">
        <f>+M10+M11+M12+M13+M14+M15+M16</f>
        <v>813931.30200000003</v>
      </c>
      <c r="N17" s="106">
        <f t="shared" si="1"/>
        <v>813931302</v>
      </c>
    </row>
    <row r="18" spans="1:14" ht="14.25" customHeight="1" x14ac:dyDescent="0.25">
      <c r="A18" s="66"/>
      <c r="B18" s="18"/>
      <c r="C18" s="18"/>
      <c r="D18" s="18"/>
      <c r="E18" s="18"/>
      <c r="F18" s="18"/>
      <c r="G18" s="18"/>
      <c r="H18" s="18"/>
      <c r="I18" s="18"/>
      <c r="J18" s="18"/>
      <c r="K18" s="19"/>
      <c r="L18" s="45"/>
      <c r="M18" s="67"/>
      <c r="N18" s="68"/>
    </row>
    <row r="19" spans="1:14" ht="54" x14ac:dyDescent="0.25">
      <c r="A19" s="69"/>
      <c r="B19" s="113" t="s">
        <v>102</v>
      </c>
      <c r="C19" s="113" t="s">
        <v>17</v>
      </c>
      <c r="D19" s="113" t="s">
        <v>3</v>
      </c>
      <c r="E19" s="113" t="s">
        <v>4</v>
      </c>
      <c r="F19" s="113" t="s">
        <v>5</v>
      </c>
      <c r="G19" s="113" t="s">
        <v>0</v>
      </c>
      <c r="H19" s="113" t="s">
        <v>1</v>
      </c>
      <c r="I19" s="113" t="s">
        <v>22</v>
      </c>
      <c r="J19" s="113" t="s">
        <v>2</v>
      </c>
      <c r="K19" s="113" t="s">
        <v>19</v>
      </c>
      <c r="L19" s="113" t="s">
        <v>20</v>
      </c>
      <c r="M19" s="113" t="s">
        <v>12</v>
      </c>
      <c r="N19" s="113" t="s">
        <v>21</v>
      </c>
    </row>
    <row r="20" spans="1:14" s="40" customFormat="1" ht="30" x14ac:dyDescent="0.25">
      <c r="A20" s="105" t="s">
        <v>53</v>
      </c>
      <c r="B20" s="4" t="s">
        <v>51</v>
      </c>
      <c r="C20" s="35">
        <v>1</v>
      </c>
      <c r="D20" s="34" t="s">
        <v>6</v>
      </c>
      <c r="E20" s="6">
        <v>43451</v>
      </c>
      <c r="F20" s="7">
        <v>43455</v>
      </c>
      <c r="G20" s="7">
        <v>43460</v>
      </c>
      <c r="H20" s="7">
        <v>44188</v>
      </c>
      <c r="I20" s="10" t="s">
        <v>52</v>
      </c>
      <c r="J20" s="36">
        <v>728</v>
      </c>
      <c r="K20" s="11" t="s">
        <v>8</v>
      </c>
      <c r="L20" s="37">
        <v>1.2</v>
      </c>
      <c r="M20" s="38">
        <v>81542.7</v>
      </c>
      <c r="N20" s="39">
        <f t="shared" ref="N20" si="2">+M20*1000</f>
        <v>81542700</v>
      </c>
    </row>
    <row r="21" spans="1:14" ht="14.25" customHeight="1" x14ac:dyDescent="0.25">
      <c r="A21" s="66"/>
      <c r="B21" s="66"/>
      <c r="C21" s="45"/>
      <c r="D21" s="45"/>
      <c r="E21" s="45"/>
      <c r="F21" s="45"/>
      <c r="G21" s="45"/>
      <c r="H21" s="45"/>
      <c r="I21" s="45"/>
      <c r="J21" s="45"/>
      <c r="K21" s="66"/>
      <c r="L21" s="120" t="s">
        <v>25</v>
      </c>
      <c r="M21" s="87">
        <f>+M20</f>
        <v>81542.7</v>
      </c>
      <c r="N21" s="106">
        <f t="shared" ref="N21" si="3">+M21*1000</f>
        <v>81542700</v>
      </c>
    </row>
    <row r="22" spans="1:14" ht="14.25" customHeight="1" x14ac:dyDescent="0.25">
      <c r="A22" s="66"/>
      <c r="B22" s="66"/>
      <c r="C22" s="18"/>
      <c r="D22" s="18"/>
      <c r="E22" s="18"/>
      <c r="F22" s="18"/>
      <c r="G22" s="18"/>
      <c r="H22" s="18"/>
      <c r="I22" s="18"/>
      <c r="J22" s="18"/>
      <c r="K22" s="19"/>
      <c r="L22" s="102"/>
      <c r="M22" s="114"/>
      <c r="N22" s="114"/>
    </row>
    <row r="23" spans="1:14" ht="14.25" customHeight="1" x14ac:dyDescent="0.25">
      <c r="A23" s="19"/>
      <c r="B23" s="19"/>
      <c r="C23" s="56"/>
      <c r="D23" s="56"/>
      <c r="E23" s="56"/>
      <c r="F23" s="57"/>
      <c r="G23" s="58"/>
      <c r="H23" s="59"/>
      <c r="I23" s="59"/>
      <c r="J23" s="59"/>
      <c r="K23" s="89"/>
      <c r="L23" s="120" t="s">
        <v>35</v>
      </c>
      <c r="M23" s="87">
        <f>+M7+M17+M21</f>
        <v>1704681.6169999999</v>
      </c>
      <c r="N23" s="106">
        <f t="shared" si="0"/>
        <v>1704681616.9999998</v>
      </c>
    </row>
    <row r="24" spans="1:14" ht="14.25" customHeight="1" x14ac:dyDescent="0.25">
      <c r="A24" s="60" t="s">
        <v>24</v>
      </c>
      <c r="B24" s="60"/>
      <c r="C24" s="56"/>
      <c r="D24" s="56"/>
      <c r="E24" s="56"/>
      <c r="F24" s="57"/>
      <c r="G24" s="61"/>
      <c r="H24" s="59"/>
      <c r="I24" s="59"/>
      <c r="J24" s="59"/>
      <c r="K24" s="59"/>
      <c r="L24" s="103"/>
      <c r="M24" s="104"/>
      <c r="N24" s="104"/>
    </row>
    <row r="25" spans="1:14" s="20" customFormat="1" ht="16.5" x14ac:dyDescent="0.25">
      <c r="A25" s="17"/>
      <c r="B25" s="17"/>
      <c r="C25" s="17"/>
      <c r="D25" s="17"/>
      <c r="E25" s="17"/>
      <c r="F25" s="22"/>
      <c r="G25" s="22"/>
      <c r="H25" s="22"/>
      <c r="I25" s="22"/>
      <c r="J25" s="22"/>
      <c r="K25" s="22"/>
      <c r="L25" s="23"/>
      <c r="M25" s="24"/>
      <c r="N25" s="62"/>
    </row>
    <row r="26" spans="1:14" s="20" customFormat="1" ht="16.5" x14ac:dyDescent="0.25">
      <c r="A26" s="17"/>
      <c r="B26" s="17"/>
      <c r="C26" s="17"/>
      <c r="D26" s="17"/>
      <c r="E26" s="17"/>
      <c r="F26" s="25"/>
      <c r="G26" s="25"/>
      <c r="H26" s="25"/>
      <c r="I26" s="25"/>
      <c r="J26" s="25"/>
      <c r="K26" s="25"/>
      <c r="L26" s="25"/>
      <c r="M26" s="24"/>
      <c r="N26" s="63"/>
    </row>
    <row r="27" spans="1:14" s="20" customFormat="1" ht="16.5" x14ac:dyDescent="0.25">
      <c r="A27" s="17"/>
      <c r="B27" s="17"/>
      <c r="C27" s="17"/>
      <c r="D27" s="17"/>
      <c r="E27" s="17"/>
      <c r="F27" s="25"/>
      <c r="G27" s="25"/>
      <c r="H27" s="25"/>
      <c r="I27" s="25"/>
      <c r="J27" s="25"/>
      <c r="K27" s="25"/>
      <c r="L27" s="25"/>
      <c r="M27" s="24"/>
      <c r="N27" s="63"/>
    </row>
    <row r="28" spans="1:14" s="20" customFormat="1" ht="16.5" x14ac:dyDescent="0.25">
      <c r="A28" s="17"/>
      <c r="B28" s="17"/>
      <c r="C28" s="17"/>
      <c r="D28" s="17"/>
      <c r="E28" s="17"/>
      <c r="F28" s="22"/>
      <c r="G28" s="26"/>
      <c r="H28" s="26"/>
      <c r="I28" s="26"/>
      <c r="J28" s="26"/>
      <c r="K28" s="26"/>
      <c r="L28" s="23"/>
      <c r="M28" s="27"/>
      <c r="N28" s="64"/>
    </row>
    <row r="29" spans="1:14" s="20" customFormat="1" ht="16.5" x14ac:dyDescent="0.25">
      <c r="A29" s="17"/>
      <c r="B29" s="17"/>
      <c r="C29" s="17"/>
      <c r="D29" s="17"/>
      <c r="E29" s="17"/>
      <c r="F29" s="22"/>
      <c r="G29" s="22"/>
      <c r="H29" s="26"/>
      <c r="I29" s="26"/>
      <c r="J29" s="26"/>
      <c r="K29" s="26"/>
      <c r="L29" s="25"/>
      <c r="M29" s="24"/>
      <c r="N29" s="64"/>
    </row>
    <row r="30" spans="1:14" s="20" customFormat="1" ht="16.5" x14ac:dyDescent="0.25">
      <c r="A30" s="17"/>
      <c r="B30" s="17"/>
      <c r="C30" s="17"/>
      <c r="D30" s="17"/>
      <c r="E30" s="17"/>
      <c r="F30" s="22"/>
      <c r="G30" s="26"/>
      <c r="H30" s="26"/>
      <c r="I30" s="26"/>
      <c r="J30" s="26"/>
      <c r="K30" s="26"/>
      <c r="L30" s="23"/>
      <c r="M30" s="24"/>
      <c r="N30" s="64"/>
    </row>
    <row r="31" spans="1:14" s="20" customFormat="1" ht="16.5" x14ac:dyDescent="0.25">
      <c r="A31" s="17"/>
      <c r="B31" s="17"/>
      <c r="C31" s="17"/>
      <c r="D31" s="17"/>
      <c r="E31" s="17"/>
      <c r="F31" s="25"/>
      <c r="G31" s="25"/>
      <c r="H31" s="25"/>
      <c r="I31" s="25"/>
      <c r="J31" s="25"/>
      <c r="K31" s="25"/>
      <c r="L31" s="25"/>
      <c r="M31" s="24"/>
      <c r="N31" s="63"/>
    </row>
    <row r="32" spans="1:14" s="20" customFormat="1" ht="16.5" x14ac:dyDescent="0.25">
      <c r="A32" s="17"/>
      <c r="B32" s="17"/>
      <c r="C32" s="17"/>
      <c r="D32" s="17"/>
      <c r="E32" s="17"/>
      <c r="F32" s="22"/>
      <c r="G32" s="22"/>
      <c r="H32" s="22"/>
      <c r="I32" s="22"/>
      <c r="J32" s="22"/>
      <c r="K32" s="22"/>
      <c r="L32" s="23"/>
      <c r="M32" s="24"/>
      <c r="N32" s="62"/>
    </row>
    <row r="33" spans="1:14" s="20" customFormat="1" ht="16.5" x14ac:dyDescent="0.25">
      <c r="A33" s="17"/>
      <c r="B33" s="17"/>
      <c r="C33" s="17"/>
      <c r="D33" s="17"/>
      <c r="E33" s="17"/>
      <c r="F33" s="22"/>
      <c r="G33" s="22"/>
      <c r="H33" s="22"/>
      <c r="I33" s="22"/>
      <c r="J33" s="22"/>
      <c r="K33" s="22"/>
      <c r="L33" s="23"/>
      <c r="M33" s="24"/>
      <c r="N33" s="62"/>
    </row>
    <row r="34" spans="1:14" s="20" customFormat="1" ht="16.5" x14ac:dyDescent="0.25">
      <c r="A34" s="17"/>
      <c r="B34" s="17"/>
      <c r="C34" s="17"/>
      <c r="D34" s="17"/>
      <c r="E34" s="17"/>
      <c r="F34" s="22"/>
      <c r="G34" s="22"/>
      <c r="H34" s="22"/>
      <c r="I34" s="22"/>
      <c r="J34" s="22"/>
      <c r="K34" s="22"/>
      <c r="L34" s="23"/>
      <c r="M34" s="24"/>
      <c r="N34" s="62"/>
    </row>
    <row r="35" spans="1:14" s="20" customFormat="1" ht="16.5" x14ac:dyDescent="0.25">
      <c r="A35" s="17"/>
      <c r="B35" s="17"/>
      <c r="C35" s="17"/>
      <c r="D35" s="17"/>
      <c r="E35" s="17"/>
      <c r="F35" s="22"/>
      <c r="G35" s="22"/>
      <c r="H35" s="22"/>
      <c r="I35" s="22"/>
      <c r="J35" s="22"/>
      <c r="K35" s="22"/>
      <c r="L35" s="23"/>
      <c r="M35" s="24"/>
      <c r="N35" s="62"/>
    </row>
    <row r="36" spans="1:14" s="20" customFormat="1" ht="16.5" x14ac:dyDescent="0.25">
      <c r="A36" s="17"/>
      <c r="B36" s="17"/>
      <c r="C36" s="17"/>
      <c r="D36" s="17"/>
      <c r="E36" s="17"/>
      <c r="F36" s="25"/>
      <c r="G36" s="25"/>
      <c r="H36" s="25"/>
      <c r="I36" s="25"/>
      <c r="J36" s="25"/>
      <c r="K36" s="25"/>
      <c r="L36" s="25"/>
      <c r="M36" s="24"/>
      <c r="N36" s="63"/>
    </row>
    <row r="37" spans="1:14" s="20" customFormat="1" ht="16.5" x14ac:dyDescent="0.25">
      <c r="A37" s="17"/>
      <c r="B37" s="17"/>
      <c r="C37" s="17"/>
      <c r="D37" s="17"/>
      <c r="E37" s="17"/>
      <c r="F37" s="22"/>
      <c r="G37" s="26"/>
      <c r="H37" s="26"/>
      <c r="I37" s="26"/>
      <c r="J37" s="26"/>
      <c r="K37" s="26"/>
      <c r="L37" s="23"/>
      <c r="M37" s="24"/>
      <c r="N37" s="64"/>
    </row>
    <row r="38" spans="1:14" s="20" customFormat="1" ht="16.5" x14ac:dyDescent="0.25">
      <c r="A38" s="17"/>
      <c r="B38" s="17"/>
      <c r="C38" s="17"/>
      <c r="D38" s="17"/>
      <c r="E38" s="17"/>
      <c r="F38" s="22"/>
      <c r="G38" s="22"/>
      <c r="H38" s="26"/>
      <c r="I38" s="26"/>
      <c r="J38" s="26"/>
      <c r="K38" s="26"/>
      <c r="L38" s="25"/>
      <c r="M38" s="24"/>
      <c r="N38" s="64"/>
    </row>
    <row r="39" spans="1:14" s="20" customFormat="1" ht="16.5" x14ac:dyDescent="0.25">
      <c r="A39" s="17"/>
      <c r="B39" s="17"/>
      <c r="C39" s="17"/>
      <c r="D39" s="17"/>
      <c r="E39" s="17"/>
      <c r="F39" s="22"/>
      <c r="G39" s="26"/>
      <c r="H39" s="26"/>
      <c r="I39" s="26"/>
      <c r="J39" s="26"/>
      <c r="K39" s="26"/>
      <c r="L39" s="23"/>
      <c r="M39" s="24"/>
      <c r="N39" s="64"/>
    </row>
    <row r="40" spans="1:14" s="20" customFormat="1" ht="16.5" x14ac:dyDescent="0.25">
      <c r="A40" s="17"/>
      <c r="B40" s="17"/>
      <c r="C40" s="17"/>
      <c r="D40" s="17"/>
      <c r="E40" s="17"/>
      <c r="F40" s="25"/>
      <c r="G40" s="25"/>
      <c r="H40" s="25"/>
      <c r="I40" s="25"/>
      <c r="J40" s="25"/>
      <c r="K40" s="25"/>
      <c r="L40" s="25"/>
      <c r="M40" s="24"/>
      <c r="N40" s="63"/>
    </row>
    <row r="41" spans="1:14" s="20" customFormat="1" ht="16.5" x14ac:dyDescent="0.25">
      <c r="A41" s="17"/>
      <c r="B41" s="17"/>
      <c r="C41" s="17"/>
      <c r="D41" s="17"/>
      <c r="E41" s="17"/>
      <c r="F41" s="22"/>
      <c r="G41" s="22"/>
      <c r="H41" s="22"/>
      <c r="I41" s="22"/>
      <c r="J41" s="22"/>
      <c r="K41" s="22"/>
      <c r="L41" s="23"/>
      <c r="M41" s="24"/>
      <c r="N41" s="62"/>
    </row>
    <row r="42" spans="1:14" s="20" customFormat="1" ht="16.5" x14ac:dyDescent="0.25">
      <c r="A42" s="17"/>
      <c r="B42" s="17"/>
      <c r="C42" s="17"/>
      <c r="D42" s="17"/>
      <c r="E42" s="17"/>
      <c r="F42" s="25"/>
      <c r="G42" s="25"/>
      <c r="H42" s="25"/>
      <c r="I42" s="25"/>
      <c r="J42" s="25"/>
      <c r="K42" s="25"/>
      <c r="L42" s="25"/>
      <c r="M42" s="24"/>
      <c r="N42" s="63"/>
    </row>
    <row r="43" spans="1:14" s="20" customFormat="1" ht="16.5" x14ac:dyDescent="0.25">
      <c r="A43" s="17"/>
      <c r="B43" s="17"/>
      <c r="C43" s="17"/>
      <c r="D43" s="17"/>
      <c r="E43" s="17"/>
      <c r="F43" s="25"/>
      <c r="G43" s="25"/>
      <c r="H43" s="25"/>
      <c r="I43" s="25"/>
      <c r="J43" s="25"/>
      <c r="K43" s="25"/>
      <c r="L43" s="25"/>
      <c r="M43" s="24"/>
      <c r="N43" s="63"/>
    </row>
    <row r="44" spans="1:14" s="20" customFormat="1" ht="16.5" x14ac:dyDescent="0.25">
      <c r="A44" s="17"/>
      <c r="B44" s="17"/>
      <c r="C44" s="17"/>
      <c r="D44" s="17"/>
      <c r="E44" s="17"/>
      <c r="F44" s="22"/>
      <c r="G44" s="26"/>
      <c r="H44" s="26"/>
      <c r="I44" s="26"/>
      <c r="J44" s="26"/>
      <c r="K44" s="26"/>
      <c r="L44" s="23"/>
      <c r="M44" s="24"/>
      <c r="N44" s="64"/>
    </row>
    <row r="45" spans="1:14" s="20" customFormat="1" ht="16.5" x14ac:dyDescent="0.25">
      <c r="A45" s="17"/>
      <c r="B45" s="17"/>
      <c r="C45" s="17"/>
      <c r="D45" s="17"/>
      <c r="E45" s="17"/>
      <c r="F45" s="22"/>
      <c r="G45" s="22"/>
      <c r="H45" s="26"/>
      <c r="I45" s="26"/>
      <c r="J45" s="26"/>
      <c r="K45" s="26"/>
      <c r="L45" s="25"/>
      <c r="M45" s="24"/>
      <c r="N45" s="64"/>
    </row>
    <row r="46" spans="1:14" s="20" customFormat="1" ht="16.5" x14ac:dyDescent="0.25">
      <c r="A46" s="17"/>
      <c r="B46" s="17"/>
      <c r="C46" s="17"/>
      <c r="D46" s="17"/>
      <c r="E46" s="17"/>
      <c r="F46" s="22"/>
      <c r="G46" s="26"/>
      <c r="H46" s="26"/>
      <c r="I46" s="26"/>
      <c r="J46" s="26"/>
      <c r="K46" s="26"/>
      <c r="L46" s="23"/>
      <c r="M46" s="24"/>
      <c r="N46" s="64"/>
    </row>
    <row r="47" spans="1:14" s="20" customFormat="1" ht="16.5" x14ac:dyDescent="0.25">
      <c r="A47" s="17"/>
      <c r="B47" s="17"/>
      <c r="C47" s="17"/>
      <c r="D47" s="17"/>
      <c r="E47" s="17"/>
      <c r="F47" s="25"/>
      <c r="G47" s="25"/>
      <c r="H47" s="25"/>
      <c r="I47" s="25"/>
      <c r="J47" s="25"/>
      <c r="K47" s="25"/>
      <c r="L47" s="25"/>
      <c r="M47" s="24"/>
      <c r="N47" s="63"/>
    </row>
    <row r="48" spans="1:14" s="20" customFormat="1" ht="16.5" x14ac:dyDescent="0.25">
      <c r="A48" s="17"/>
      <c r="B48" s="17"/>
      <c r="C48" s="17"/>
      <c r="D48" s="17"/>
      <c r="E48" s="17"/>
      <c r="F48" s="22"/>
      <c r="G48" s="22"/>
      <c r="H48" s="22"/>
      <c r="I48" s="22"/>
      <c r="J48" s="22"/>
      <c r="K48" s="22"/>
      <c r="L48" s="23"/>
      <c r="M48" s="24"/>
      <c r="N48" s="62"/>
    </row>
    <row r="49" spans="1:14" s="20" customFormat="1" ht="16.5" x14ac:dyDescent="0.25">
      <c r="A49" s="17"/>
      <c r="B49" s="17"/>
      <c r="C49" s="17"/>
      <c r="D49" s="17"/>
      <c r="E49" s="28"/>
      <c r="F49" s="25"/>
      <c r="G49" s="25"/>
      <c r="H49" s="25"/>
      <c r="I49" s="25"/>
      <c r="J49" s="25"/>
      <c r="K49" s="25"/>
      <c r="L49" s="25"/>
      <c r="M49" s="24"/>
      <c r="N49" s="63"/>
    </row>
    <row r="50" spans="1:14" s="20" customFormat="1" ht="16.5" x14ac:dyDescent="0.25">
      <c r="A50" s="17"/>
      <c r="B50" s="17"/>
      <c r="C50" s="17"/>
      <c r="D50" s="17"/>
      <c r="E50" s="28"/>
      <c r="F50" s="25"/>
      <c r="G50" s="25"/>
      <c r="H50" s="25"/>
      <c r="I50" s="25"/>
      <c r="J50" s="25"/>
      <c r="K50" s="25"/>
      <c r="L50" s="25"/>
      <c r="M50" s="24"/>
      <c r="N50" s="63"/>
    </row>
    <row r="51" spans="1:14" s="20" customFormat="1" ht="16.5" x14ac:dyDescent="0.25">
      <c r="A51" s="17"/>
      <c r="B51" s="17"/>
      <c r="C51" s="17"/>
      <c r="D51" s="17"/>
      <c r="E51" s="28"/>
      <c r="F51" s="25"/>
      <c r="G51" s="25"/>
      <c r="H51" s="25"/>
      <c r="I51" s="25"/>
      <c r="J51" s="25"/>
      <c r="K51" s="25"/>
      <c r="L51" s="25"/>
      <c r="M51" s="24"/>
      <c r="N51" s="63"/>
    </row>
    <row r="52" spans="1:14" s="20" customFormat="1" ht="16.5" x14ac:dyDescent="0.25">
      <c r="A52" s="17"/>
      <c r="B52" s="17"/>
      <c r="C52" s="17"/>
      <c r="D52" s="17"/>
      <c r="E52" s="17"/>
      <c r="F52" s="25"/>
      <c r="G52" s="25"/>
      <c r="H52" s="25"/>
      <c r="I52" s="25"/>
      <c r="J52" s="25"/>
      <c r="K52" s="25"/>
      <c r="L52" s="25"/>
      <c r="M52" s="24"/>
      <c r="N52" s="63"/>
    </row>
    <row r="53" spans="1:14" s="20" customFormat="1" ht="16.5" x14ac:dyDescent="0.25">
      <c r="A53" s="17"/>
      <c r="B53" s="17"/>
      <c r="C53" s="17"/>
      <c r="D53" s="17"/>
      <c r="E53" s="17"/>
      <c r="F53" s="25"/>
      <c r="G53" s="25"/>
      <c r="H53" s="25"/>
      <c r="I53" s="25"/>
      <c r="J53" s="25"/>
      <c r="K53" s="25"/>
      <c r="L53" s="25"/>
      <c r="M53" s="24"/>
      <c r="N53" s="63"/>
    </row>
    <row r="54" spans="1:14" s="20" customFormat="1" ht="16.5" x14ac:dyDescent="0.25">
      <c r="A54" s="17"/>
      <c r="B54" s="17"/>
      <c r="C54" s="17"/>
      <c r="D54" s="17"/>
      <c r="E54" s="17"/>
      <c r="F54" s="25"/>
      <c r="G54" s="25"/>
      <c r="H54" s="25"/>
      <c r="I54" s="25"/>
      <c r="J54" s="25"/>
      <c r="K54" s="25"/>
      <c r="L54" s="25"/>
      <c r="M54" s="24"/>
      <c r="N54" s="63"/>
    </row>
    <row r="55" spans="1:14" s="20" customFormat="1" ht="16.5" x14ac:dyDescent="0.25">
      <c r="A55" s="17"/>
      <c r="B55" s="17"/>
      <c r="C55" s="17"/>
      <c r="D55" s="17"/>
      <c r="E55" s="17"/>
      <c r="F55" s="25"/>
      <c r="G55" s="25"/>
      <c r="H55" s="25"/>
      <c r="I55" s="25"/>
      <c r="J55" s="25"/>
      <c r="K55" s="25"/>
      <c r="L55" s="25"/>
      <c r="M55" s="24"/>
      <c r="N55" s="63"/>
    </row>
    <row r="56" spans="1:14" s="20" customFormat="1" ht="16.5" x14ac:dyDescent="0.25">
      <c r="A56" s="17"/>
      <c r="B56" s="17"/>
      <c r="C56" s="17"/>
      <c r="D56" s="17"/>
      <c r="E56" s="17"/>
      <c r="F56" s="25"/>
      <c r="G56" s="25"/>
      <c r="H56" s="25"/>
      <c r="I56" s="25"/>
      <c r="J56" s="25"/>
      <c r="K56" s="25"/>
      <c r="L56" s="25"/>
      <c r="M56" s="24"/>
      <c r="N56" s="63"/>
    </row>
    <row r="57" spans="1:14" s="20" customFormat="1" ht="16.5" x14ac:dyDescent="0.25">
      <c r="A57" s="17"/>
      <c r="B57" s="17"/>
      <c r="C57" s="17"/>
      <c r="D57" s="17"/>
      <c r="E57" s="17"/>
      <c r="F57" s="25"/>
      <c r="G57" s="25"/>
      <c r="H57" s="25"/>
      <c r="I57" s="25"/>
      <c r="J57" s="25"/>
      <c r="K57" s="25"/>
      <c r="L57" s="25"/>
      <c r="M57" s="24"/>
      <c r="N57" s="63"/>
    </row>
    <row r="58" spans="1:14" s="20" customFormat="1" ht="16.5" x14ac:dyDescent="0.25">
      <c r="A58" s="17"/>
      <c r="B58" s="17"/>
      <c r="C58" s="17"/>
      <c r="D58" s="17"/>
      <c r="E58" s="17"/>
      <c r="F58" s="25"/>
      <c r="G58" s="25"/>
      <c r="H58" s="25"/>
      <c r="I58" s="25"/>
      <c r="J58" s="25"/>
      <c r="K58" s="25"/>
      <c r="L58" s="25"/>
      <c r="M58" s="24"/>
      <c r="N58" s="63"/>
    </row>
    <row r="59" spans="1:14" s="20" customFormat="1" ht="16.5" x14ac:dyDescent="0.25">
      <c r="A59" s="17"/>
      <c r="B59" s="17"/>
      <c r="C59" s="17"/>
      <c r="D59" s="17"/>
      <c r="E59" s="17"/>
      <c r="F59" s="22"/>
      <c r="G59" s="26"/>
      <c r="H59" s="26"/>
      <c r="I59" s="26"/>
      <c r="J59" s="26"/>
      <c r="K59" s="26"/>
      <c r="L59" s="23"/>
      <c r="M59" s="24"/>
      <c r="N59" s="64"/>
    </row>
    <row r="60" spans="1:14" s="20" customFormat="1" ht="16.5" x14ac:dyDescent="0.25">
      <c r="A60" s="17"/>
      <c r="B60" s="17"/>
      <c r="C60" s="17"/>
      <c r="D60" s="17"/>
      <c r="E60" s="17"/>
      <c r="F60" s="22"/>
      <c r="G60" s="26"/>
      <c r="H60" s="26"/>
      <c r="I60" s="26"/>
      <c r="J60" s="26"/>
      <c r="K60" s="26"/>
      <c r="L60" s="23"/>
      <c r="M60" s="24"/>
      <c r="N60" s="64"/>
    </row>
    <row r="61" spans="1:14" s="20" customFormat="1" ht="16.5" x14ac:dyDescent="0.25">
      <c r="A61" s="17"/>
      <c r="B61" s="17"/>
      <c r="C61" s="17"/>
      <c r="D61" s="17"/>
      <c r="E61" s="17"/>
      <c r="F61" s="22"/>
      <c r="G61" s="26"/>
      <c r="H61" s="26"/>
      <c r="I61" s="26"/>
      <c r="J61" s="26"/>
      <c r="K61" s="26"/>
      <c r="L61" s="23"/>
      <c r="M61" s="24"/>
      <c r="N61" s="64"/>
    </row>
    <row r="62" spans="1:14" s="20" customFormat="1" ht="16.5" x14ac:dyDescent="0.25">
      <c r="A62" s="17"/>
      <c r="B62" s="17"/>
      <c r="C62" s="17"/>
      <c r="D62" s="17"/>
      <c r="E62" s="17"/>
      <c r="F62" s="25"/>
      <c r="G62" s="25"/>
      <c r="H62" s="25"/>
      <c r="I62" s="25"/>
      <c r="J62" s="25"/>
      <c r="K62" s="25"/>
      <c r="L62" s="25"/>
      <c r="M62" s="24"/>
      <c r="N62" s="63"/>
    </row>
    <row r="63" spans="1:14" s="20" customFormat="1" ht="16.5" x14ac:dyDescent="0.25">
      <c r="A63" s="17"/>
      <c r="B63" s="17"/>
      <c r="C63" s="17"/>
      <c r="D63" s="17"/>
      <c r="E63" s="17"/>
      <c r="F63" s="22"/>
      <c r="G63" s="22"/>
      <c r="H63" s="22"/>
      <c r="I63" s="22"/>
      <c r="J63" s="22"/>
      <c r="K63" s="22"/>
      <c r="L63" s="23"/>
      <c r="M63" s="24"/>
      <c r="N63" s="62"/>
    </row>
    <row r="64" spans="1:14" s="20" customFormat="1" ht="16.5" x14ac:dyDescent="0.25">
      <c r="A64" s="17"/>
      <c r="B64" s="17"/>
      <c r="C64" s="17"/>
      <c r="D64" s="17"/>
      <c r="E64" s="17"/>
      <c r="F64" s="25"/>
      <c r="G64" s="25"/>
      <c r="H64" s="25"/>
      <c r="I64" s="25"/>
      <c r="J64" s="25"/>
      <c r="K64" s="25"/>
      <c r="L64" s="25"/>
      <c r="M64" s="24"/>
      <c r="N64" s="63"/>
    </row>
    <row r="65" spans="1:14" s="20" customFormat="1" ht="16.5" x14ac:dyDescent="0.25">
      <c r="A65" s="17"/>
      <c r="B65" s="17"/>
      <c r="C65" s="17"/>
      <c r="D65" s="17"/>
      <c r="E65" s="17"/>
      <c r="F65" s="25"/>
      <c r="G65" s="25"/>
      <c r="H65" s="25"/>
      <c r="I65" s="25"/>
      <c r="J65" s="25"/>
      <c r="K65" s="25"/>
      <c r="L65" s="25"/>
      <c r="M65" s="24"/>
      <c r="N65" s="63"/>
    </row>
    <row r="66" spans="1:14" s="20" customFormat="1" ht="16.5" x14ac:dyDescent="0.25">
      <c r="A66" s="17"/>
      <c r="B66" s="17"/>
      <c r="C66" s="17"/>
      <c r="D66" s="17"/>
      <c r="E66" s="17"/>
      <c r="F66" s="22"/>
      <c r="G66" s="26"/>
      <c r="H66" s="26"/>
      <c r="I66" s="26"/>
      <c r="J66" s="26"/>
      <c r="K66" s="26"/>
      <c r="L66" s="23"/>
      <c r="M66" s="24"/>
      <c r="N66" s="64"/>
    </row>
    <row r="67" spans="1:14" s="20" customFormat="1" ht="16.5" x14ac:dyDescent="0.25">
      <c r="A67" s="17"/>
      <c r="B67" s="17"/>
      <c r="C67" s="17"/>
      <c r="D67" s="17"/>
      <c r="E67" s="17"/>
      <c r="F67" s="22"/>
      <c r="G67" s="22"/>
      <c r="H67" s="26"/>
      <c r="I67" s="26"/>
      <c r="J67" s="26"/>
      <c r="K67" s="26"/>
      <c r="L67" s="25"/>
      <c r="M67" s="24"/>
      <c r="N67" s="64"/>
    </row>
    <row r="68" spans="1:14" s="20" customFormat="1" ht="16.5" x14ac:dyDescent="0.25">
      <c r="A68" s="17"/>
      <c r="B68" s="17"/>
      <c r="C68" s="17"/>
      <c r="D68" s="17"/>
      <c r="E68" s="17"/>
      <c r="F68" s="25"/>
      <c r="G68" s="25"/>
      <c r="H68" s="25"/>
      <c r="I68" s="25"/>
      <c r="J68" s="25"/>
      <c r="K68" s="25"/>
      <c r="L68" s="25"/>
      <c r="M68" s="24"/>
      <c r="N68" s="63"/>
    </row>
    <row r="69" spans="1:14" s="20" customFormat="1" ht="16.5" x14ac:dyDescent="0.25">
      <c r="A69" s="17"/>
      <c r="B69" s="17"/>
      <c r="C69" s="17"/>
      <c r="D69" s="17"/>
      <c r="E69" s="17"/>
      <c r="F69" s="22"/>
      <c r="G69" s="22"/>
      <c r="H69" s="22"/>
      <c r="I69" s="22"/>
      <c r="J69" s="22"/>
      <c r="K69" s="22"/>
      <c r="L69" s="23"/>
      <c r="M69" s="24"/>
      <c r="N69" s="62"/>
    </row>
    <row r="70" spans="1:14" s="17" customFormat="1" x14ac:dyDescent="0.25">
      <c r="F70" s="25"/>
      <c r="G70" s="25"/>
      <c r="H70" s="25"/>
      <c r="I70" s="25"/>
      <c r="J70" s="25"/>
      <c r="K70" s="25"/>
      <c r="L70" s="25"/>
      <c r="M70" s="24"/>
      <c r="N70" s="63"/>
    </row>
    <row r="71" spans="1:14" s="17" customFormat="1" x14ac:dyDescent="0.25">
      <c r="F71" s="25"/>
      <c r="G71" s="25"/>
      <c r="H71" s="25"/>
      <c r="I71" s="25"/>
      <c r="J71" s="25"/>
      <c r="K71" s="25"/>
      <c r="L71" s="25"/>
      <c r="M71" s="24"/>
      <c r="N71" s="63"/>
    </row>
    <row r="72" spans="1:14" s="17" customFormat="1" x14ac:dyDescent="0.25">
      <c r="F72" s="22"/>
      <c r="G72" s="26"/>
      <c r="H72" s="26"/>
      <c r="I72" s="26"/>
      <c r="J72" s="26"/>
      <c r="K72" s="26"/>
      <c r="L72" s="23"/>
      <c r="M72" s="24"/>
      <c r="N72" s="64"/>
    </row>
    <row r="73" spans="1:14" s="17" customFormat="1" x14ac:dyDescent="0.25">
      <c r="F73" s="22"/>
      <c r="G73" s="26"/>
      <c r="H73" s="26"/>
      <c r="I73" s="26"/>
      <c r="J73" s="26"/>
      <c r="K73" s="26"/>
      <c r="L73" s="23"/>
      <c r="M73" s="24"/>
      <c r="N73" s="64"/>
    </row>
    <row r="74" spans="1:14" s="17" customFormat="1" x14ac:dyDescent="0.25">
      <c r="F74" s="22"/>
      <c r="G74" s="22"/>
      <c r="H74" s="26"/>
      <c r="I74" s="26"/>
      <c r="J74" s="26"/>
      <c r="K74" s="26"/>
      <c r="L74" s="25"/>
      <c r="M74" s="24"/>
      <c r="N74" s="64"/>
    </row>
    <row r="75" spans="1:14" s="17" customFormat="1" x14ac:dyDescent="0.25">
      <c r="F75" s="25"/>
      <c r="G75" s="25"/>
      <c r="H75" s="25"/>
      <c r="I75" s="25"/>
      <c r="J75" s="25"/>
      <c r="K75" s="25"/>
      <c r="L75" s="25"/>
      <c r="M75" s="24"/>
      <c r="N75" s="63"/>
    </row>
    <row r="76" spans="1:14" s="17" customFormat="1" x14ac:dyDescent="0.25">
      <c r="F76" s="22"/>
      <c r="G76" s="22"/>
      <c r="H76" s="22"/>
      <c r="I76" s="22"/>
      <c r="J76" s="22"/>
      <c r="K76" s="22"/>
      <c r="L76" s="23"/>
      <c r="M76" s="24"/>
      <c r="N76" s="62"/>
    </row>
    <row r="77" spans="1:14" s="17" customFormat="1" x14ac:dyDescent="0.25">
      <c r="F77" s="25"/>
      <c r="G77" s="25"/>
      <c r="H77" s="25"/>
      <c r="I77" s="25"/>
      <c r="J77" s="25"/>
      <c r="K77" s="25"/>
      <c r="L77" s="25"/>
      <c r="M77" s="24"/>
      <c r="N77" s="63"/>
    </row>
    <row r="78" spans="1:14" s="17" customFormat="1" x14ac:dyDescent="0.25">
      <c r="F78" s="25"/>
      <c r="G78" s="25"/>
      <c r="H78" s="25"/>
      <c r="I78" s="25"/>
      <c r="J78" s="25"/>
      <c r="K78" s="25"/>
      <c r="L78" s="25"/>
      <c r="M78" s="24"/>
      <c r="N78" s="63"/>
    </row>
    <row r="79" spans="1:14" s="17" customFormat="1" x14ac:dyDescent="0.25">
      <c r="F79" s="22"/>
      <c r="G79" s="26"/>
      <c r="H79" s="26"/>
      <c r="I79" s="26"/>
      <c r="J79" s="26"/>
      <c r="K79" s="26"/>
      <c r="L79" s="23"/>
      <c r="M79" s="24"/>
      <c r="N79" s="64"/>
    </row>
    <row r="80" spans="1:14" s="17" customFormat="1" x14ac:dyDescent="0.25">
      <c r="F80" s="22"/>
      <c r="G80" s="26"/>
      <c r="H80" s="26"/>
      <c r="I80" s="26"/>
      <c r="J80" s="26"/>
      <c r="K80" s="26"/>
      <c r="L80" s="23"/>
      <c r="M80" s="24"/>
      <c r="N80" s="64"/>
    </row>
    <row r="81" spans="6:14" s="17" customFormat="1" x14ac:dyDescent="0.25">
      <c r="F81" s="22"/>
      <c r="G81" s="26"/>
      <c r="H81" s="26"/>
      <c r="I81" s="26"/>
      <c r="J81" s="26"/>
      <c r="K81" s="26"/>
      <c r="L81" s="23"/>
      <c r="M81" s="24"/>
      <c r="N81" s="64"/>
    </row>
    <row r="82" spans="6:14" s="17" customFormat="1" x14ac:dyDescent="0.25">
      <c r="F82" s="22"/>
      <c r="G82" s="22"/>
      <c r="H82" s="26"/>
      <c r="I82" s="26"/>
      <c r="J82" s="26"/>
      <c r="K82" s="26"/>
      <c r="L82" s="25"/>
      <c r="M82" s="24"/>
      <c r="N82" s="64"/>
    </row>
    <row r="83" spans="6:14" s="17" customFormat="1" x14ac:dyDescent="0.25">
      <c r="F83" s="25"/>
      <c r="G83" s="25"/>
      <c r="H83" s="25"/>
      <c r="I83" s="25"/>
      <c r="J83" s="25"/>
      <c r="K83" s="25"/>
      <c r="L83" s="25"/>
      <c r="M83" s="24"/>
      <c r="N83" s="63"/>
    </row>
    <row r="84" spans="6:14" s="17" customFormat="1" x14ac:dyDescent="0.25">
      <c r="F84" s="22"/>
      <c r="G84" s="22"/>
      <c r="H84" s="22"/>
      <c r="I84" s="22"/>
      <c r="J84" s="22"/>
      <c r="K84" s="22"/>
      <c r="L84" s="23"/>
      <c r="M84" s="24"/>
      <c r="N84" s="62"/>
    </row>
    <row r="85" spans="6:14" s="17" customFormat="1" x14ac:dyDescent="0.25">
      <c r="F85" s="25"/>
      <c r="G85" s="25"/>
      <c r="H85" s="25"/>
      <c r="I85" s="25"/>
      <c r="J85" s="25"/>
      <c r="K85" s="25"/>
      <c r="L85" s="25"/>
      <c r="M85" s="24"/>
      <c r="N85" s="63"/>
    </row>
    <row r="86" spans="6:14" s="17" customFormat="1" x14ac:dyDescent="0.25">
      <c r="F86" s="25"/>
      <c r="G86" s="25"/>
      <c r="H86" s="25"/>
      <c r="I86" s="25"/>
      <c r="J86" s="25"/>
      <c r="K86" s="25"/>
      <c r="L86" s="25"/>
      <c r="M86" s="24"/>
      <c r="N86" s="63"/>
    </row>
    <row r="87" spans="6:14" s="17" customFormat="1" x14ac:dyDescent="0.25">
      <c r="F87" s="25"/>
      <c r="G87" s="25"/>
      <c r="H87" s="25"/>
      <c r="I87" s="25"/>
      <c r="J87" s="25"/>
      <c r="K87" s="25"/>
      <c r="L87" s="25"/>
      <c r="M87" s="24"/>
      <c r="N87" s="62"/>
    </row>
    <row r="88" spans="6:14" s="17" customFormat="1" x14ac:dyDescent="0.25">
      <c r="F88" s="25"/>
      <c r="G88" s="25"/>
      <c r="H88" s="25"/>
      <c r="I88" s="25"/>
      <c r="J88" s="25"/>
      <c r="K88" s="25"/>
      <c r="L88" s="25"/>
      <c r="M88" s="24"/>
      <c r="N88" s="63"/>
    </row>
    <row r="89" spans="6:14" s="17" customFormat="1" x14ac:dyDescent="0.25">
      <c r="F89" s="25"/>
      <c r="G89" s="25"/>
      <c r="H89" s="29"/>
      <c r="I89" s="29"/>
      <c r="J89" s="29"/>
      <c r="K89" s="29"/>
      <c r="L89" s="25"/>
      <c r="M89" s="24"/>
      <c r="N89" s="65"/>
    </row>
    <row r="90" spans="6:14" s="17" customFormat="1" x14ac:dyDescent="0.25">
      <c r="F90" s="25"/>
      <c r="G90" s="25"/>
      <c r="H90" s="25"/>
      <c r="I90" s="25"/>
      <c r="J90" s="25"/>
      <c r="K90" s="25"/>
      <c r="L90" s="25"/>
      <c r="M90" s="24"/>
      <c r="N90" s="62"/>
    </row>
    <row r="91" spans="6:14" s="17" customFormat="1" x14ac:dyDescent="0.25">
      <c r="F91" s="25"/>
      <c r="G91" s="25"/>
      <c r="H91" s="25"/>
      <c r="I91" s="25"/>
      <c r="J91" s="25"/>
      <c r="K91" s="25"/>
      <c r="L91" s="25"/>
      <c r="M91" s="24"/>
      <c r="N91" s="62"/>
    </row>
    <row r="92" spans="6:14" s="17" customFormat="1" x14ac:dyDescent="0.25">
      <c r="F92" s="25"/>
      <c r="G92" s="25"/>
      <c r="H92" s="25"/>
      <c r="I92" s="25"/>
      <c r="J92" s="25"/>
      <c r="K92" s="25"/>
      <c r="L92" s="25"/>
      <c r="M92" s="24"/>
      <c r="N92" s="62"/>
    </row>
    <row r="93" spans="6:14" s="17" customFormat="1" x14ac:dyDescent="0.25">
      <c r="F93" s="25"/>
      <c r="G93" s="25"/>
      <c r="H93" s="25"/>
      <c r="I93" s="25"/>
      <c r="J93" s="25"/>
      <c r="K93" s="25"/>
      <c r="L93" s="25"/>
      <c r="M93" s="30"/>
      <c r="N93" s="63"/>
    </row>
    <row r="94" spans="6:14" s="17" customFormat="1" x14ac:dyDescent="0.25">
      <c r="F94" s="25"/>
      <c r="G94" s="25"/>
      <c r="H94" s="25"/>
      <c r="I94" s="25"/>
      <c r="J94" s="25"/>
      <c r="K94" s="25"/>
      <c r="L94" s="25"/>
      <c r="M94" s="30"/>
      <c r="N94" s="63"/>
    </row>
    <row r="95" spans="6:14" s="17" customFormat="1" x14ac:dyDescent="0.25">
      <c r="F95" s="25"/>
      <c r="G95" s="25"/>
      <c r="H95" s="25"/>
      <c r="I95" s="25"/>
      <c r="J95" s="25"/>
      <c r="K95" s="25"/>
      <c r="L95" s="25"/>
      <c r="M95" s="30"/>
      <c r="N95" s="63"/>
    </row>
    <row r="96" spans="6:14" s="17" customFormat="1" x14ac:dyDescent="0.25">
      <c r="F96" s="31"/>
      <c r="G96" s="31"/>
      <c r="H96" s="31"/>
      <c r="I96" s="31"/>
      <c r="J96" s="31"/>
      <c r="K96" s="31"/>
      <c r="M96" s="30"/>
      <c r="N96" s="63"/>
    </row>
    <row r="97" spans="6:14" s="17" customFormat="1" x14ac:dyDescent="0.25">
      <c r="F97" s="31"/>
      <c r="G97" s="31"/>
      <c r="H97" s="31"/>
      <c r="I97" s="31"/>
      <c r="J97" s="31"/>
      <c r="K97" s="31"/>
      <c r="M97" s="30"/>
      <c r="N97" s="46"/>
    </row>
    <row r="98" spans="6:14" s="17" customFormat="1" x14ac:dyDescent="0.25">
      <c r="F98" s="31"/>
      <c r="G98" s="31"/>
      <c r="H98" s="31"/>
      <c r="I98" s="31"/>
      <c r="J98" s="31"/>
      <c r="K98" s="31"/>
      <c r="M98" s="30"/>
      <c r="N98" s="46"/>
    </row>
    <row r="99" spans="6:14" s="17" customFormat="1" x14ac:dyDescent="0.25">
      <c r="F99" s="31"/>
      <c r="G99" s="31"/>
      <c r="H99" s="31"/>
      <c r="I99" s="31"/>
      <c r="J99" s="31"/>
      <c r="K99" s="31"/>
      <c r="M99" s="30"/>
      <c r="N99" s="46"/>
    </row>
  </sheetData>
  <dataConsolidate/>
  <mergeCells count="3">
    <mergeCell ref="A3:A6"/>
    <mergeCell ref="A10:A16"/>
    <mergeCell ref="A1:N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2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0"/>
    <pageSetUpPr fitToPage="1"/>
  </sheetPr>
  <dimension ref="A1:N85"/>
  <sheetViews>
    <sheetView view="pageBreakPreview" zoomScale="90" zoomScaleNormal="70" zoomScaleSheetLayoutView="90" workbookViewId="0">
      <selection sqref="A1:N1"/>
    </sheetView>
  </sheetViews>
  <sheetFormatPr defaultColWidth="54.28515625" defaultRowHeight="15" x14ac:dyDescent="0.25"/>
  <cols>
    <col min="1" max="1" width="7.42578125" style="17" customWidth="1"/>
    <col min="2" max="2" width="15.42578125" style="17" bestFit="1" customWidth="1"/>
    <col min="3" max="3" width="6" style="17" bestFit="1" customWidth="1"/>
    <col min="4" max="4" width="12.5703125" style="17" bestFit="1" customWidth="1"/>
    <col min="5" max="5" width="17.140625" style="17" bestFit="1" customWidth="1"/>
    <col min="6" max="6" width="17.28515625" style="17" bestFit="1" customWidth="1"/>
    <col min="7" max="7" width="14.28515625" style="31" bestFit="1" customWidth="1"/>
    <col min="8" max="8" width="12" style="31" bestFit="1" customWidth="1"/>
    <col min="9" max="9" width="25.5703125" style="31" bestFit="1" customWidth="1"/>
    <col min="10" max="10" width="14.7109375" style="31" bestFit="1" customWidth="1"/>
    <col min="11" max="11" width="9.42578125" style="31" bestFit="1" customWidth="1"/>
    <col min="12" max="12" width="13" style="31" bestFit="1" customWidth="1"/>
    <col min="13" max="13" width="15" style="17" bestFit="1" customWidth="1"/>
    <col min="14" max="14" width="28.85546875" style="32" bestFit="1" customWidth="1" collapsed="1"/>
    <col min="15" max="16384" width="54.28515625" style="3"/>
  </cols>
  <sheetData>
    <row r="1" spans="1:14" s="1" customFormat="1" ht="21" x14ac:dyDescent="0.25">
      <c r="A1" s="124" t="s">
        <v>23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108" x14ac:dyDescent="0.25">
      <c r="A2" s="69"/>
      <c r="B2" s="2" t="s">
        <v>102</v>
      </c>
      <c r="C2" s="2" t="s">
        <v>17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1</v>
      </c>
      <c r="I2" s="2" t="s">
        <v>22</v>
      </c>
      <c r="J2" s="2" t="s">
        <v>100</v>
      </c>
      <c r="K2" s="2" t="s">
        <v>19</v>
      </c>
      <c r="L2" s="2" t="s">
        <v>20</v>
      </c>
      <c r="M2" s="2" t="s">
        <v>12</v>
      </c>
      <c r="N2" s="2" t="s">
        <v>21</v>
      </c>
    </row>
    <row r="3" spans="1:14" s="40" customFormat="1" ht="16.5" x14ac:dyDescent="0.25">
      <c r="A3" s="141" t="s">
        <v>18</v>
      </c>
      <c r="B3" s="115" t="s">
        <v>7</v>
      </c>
      <c r="C3" s="35">
        <v>1</v>
      </c>
      <c r="D3" s="4" t="s">
        <v>6</v>
      </c>
      <c r="E3" s="6">
        <v>43010</v>
      </c>
      <c r="F3" s="7">
        <v>43014</v>
      </c>
      <c r="G3" s="7">
        <v>43019</v>
      </c>
      <c r="H3" s="7">
        <v>43747</v>
      </c>
      <c r="I3" s="10" t="s">
        <v>13</v>
      </c>
      <c r="J3" s="36">
        <v>728</v>
      </c>
      <c r="K3" s="11" t="s">
        <v>8</v>
      </c>
      <c r="L3" s="37">
        <v>1.2</v>
      </c>
      <c r="M3" s="38">
        <v>187461.41500000001</v>
      </c>
      <c r="N3" s="39">
        <f t="shared" ref="N3:N6" si="0">+M3*1000</f>
        <v>187461415</v>
      </c>
    </row>
    <row r="4" spans="1:14" s="40" customFormat="1" ht="16.5" x14ac:dyDescent="0.25">
      <c r="A4" s="142"/>
      <c r="B4" s="116" t="s">
        <v>9</v>
      </c>
      <c r="C4" s="15">
        <v>2</v>
      </c>
      <c r="D4" s="12" t="s">
        <v>6</v>
      </c>
      <c r="E4" s="14">
        <v>43017</v>
      </c>
      <c r="F4" s="14">
        <v>43021</v>
      </c>
      <c r="G4" s="14">
        <v>43026</v>
      </c>
      <c r="H4" s="14">
        <v>43754</v>
      </c>
      <c r="I4" s="12" t="s">
        <v>14</v>
      </c>
      <c r="J4" s="42">
        <v>728</v>
      </c>
      <c r="K4" s="16" t="s">
        <v>8</v>
      </c>
      <c r="L4" s="12">
        <v>1.2</v>
      </c>
      <c r="M4" s="43">
        <v>248671.94500000001</v>
      </c>
      <c r="N4" s="44">
        <f t="shared" si="0"/>
        <v>248671945</v>
      </c>
    </row>
    <row r="5" spans="1:14" s="40" customFormat="1" ht="16.5" x14ac:dyDescent="0.25">
      <c r="A5" s="142"/>
      <c r="B5" s="117" t="s">
        <v>10</v>
      </c>
      <c r="C5" s="94">
        <v>3</v>
      </c>
      <c r="D5" s="77" t="s">
        <v>6</v>
      </c>
      <c r="E5" s="79">
        <v>43024</v>
      </c>
      <c r="F5" s="80">
        <v>43028</v>
      </c>
      <c r="G5" s="80">
        <v>43033</v>
      </c>
      <c r="H5" s="80">
        <v>43761</v>
      </c>
      <c r="I5" s="82" t="s">
        <v>15</v>
      </c>
      <c r="J5" s="96">
        <v>728</v>
      </c>
      <c r="K5" s="84" t="s">
        <v>8</v>
      </c>
      <c r="L5" s="83">
        <v>1.2</v>
      </c>
      <c r="M5" s="97">
        <v>306864.45799999998</v>
      </c>
      <c r="N5" s="98">
        <f t="shared" si="0"/>
        <v>306864458</v>
      </c>
    </row>
    <row r="6" spans="1:14" s="40" customFormat="1" ht="16.5" x14ac:dyDescent="0.25">
      <c r="A6" s="143"/>
      <c r="B6" s="41" t="s">
        <v>11</v>
      </c>
      <c r="C6" s="15">
        <v>4</v>
      </c>
      <c r="D6" s="12" t="s">
        <v>6</v>
      </c>
      <c r="E6" s="14">
        <v>43031</v>
      </c>
      <c r="F6" s="14">
        <v>43035</v>
      </c>
      <c r="G6" s="14">
        <v>43040</v>
      </c>
      <c r="H6" s="14">
        <v>43768</v>
      </c>
      <c r="I6" s="12" t="s">
        <v>16</v>
      </c>
      <c r="J6" s="42">
        <v>728</v>
      </c>
      <c r="K6" s="16" t="s">
        <v>8</v>
      </c>
      <c r="L6" s="12">
        <v>1.2</v>
      </c>
      <c r="M6" s="43">
        <v>402711.62099999998</v>
      </c>
      <c r="N6" s="44">
        <f t="shared" si="0"/>
        <v>402711621</v>
      </c>
    </row>
    <row r="7" spans="1:14" ht="14.25" customHeight="1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66"/>
      <c r="L7" s="120" t="s">
        <v>25</v>
      </c>
      <c r="M7" s="87">
        <f>+M3+M4+M5+M6</f>
        <v>1145709.439</v>
      </c>
      <c r="N7" s="106">
        <f t="shared" ref="N7" si="1">+M7*1000</f>
        <v>1145709439</v>
      </c>
    </row>
    <row r="8" spans="1:14" s="54" customFormat="1" x14ac:dyDescent="0.25">
      <c r="A8" s="47"/>
      <c r="B8" s="48"/>
      <c r="C8" s="49"/>
      <c r="D8" s="49"/>
      <c r="E8" s="49"/>
      <c r="F8" s="50"/>
      <c r="G8" s="51"/>
      <c r="H8" s="52"/>
      <c r="I8" s="53"/>
      <c r="J8" s="53"/>
      <c r="K8" s="53"/>
      <c r="L8" s="118"/>
      <c r="M8" s="119"/>
      <c r="N8" s="119"/>
    </row>
    <row r="9" spans="1:14" ht="30" x14ac:dyDescent="0.25">
      <c r="A9" s="19"/>
      <c r="B9" s="55"/>
      <c r="C9" s="56"/>
      <c r="D9" s="56"/>
      <c r="E9" s="56"/>
      <c r="F9" s="57"/>
      <c r="G9" s="58"/>
      <c r="H9" s="59"/>
      <c r="I9" s="59"/>
      <c r="J9" s="59"/>
      <c r="K9" s="89"/>
      <c r="L9" s="120" t="s">
        <v>35</v>
      </c>
      <c r="M9" s="87">
        <f>+M7</f>
        <v>1145709.439</v>
      </c>
      <c r="N9" s="106">
        <f t="shared" ref="N9" si="2">+M9*1000</f>
        <v>1145709439</v>
      </c>
    </row>
    <row r="10" spans="1:14" ht="14.25" customHeight="1" x14ac:dyDescent="0.25">
      <c r="A10" s="60" t="s">
        <v>24</v>
      </c>
      <c r="B10" s="55"/>
      <c r="C10" s="56"/>
      <c r="D10" s="56"/>
      <c r="E10" s="56"/>
      <c r="F10" s="57"/>
      <c r="G10" s="61"/>
      <c r="H10" s="59"/>
      <c r="I10" s="59"/>
      <c r="J10" s="59"/>
      <c r="K10" s="59"/>
      <c r="L10" s="103"/>
      <c r="M10" s="104"/>
      <c r="N10" s="104"/>
    </row>
    <row r="11" spans="1:14" s="20" customFormat="1" ht="16.5" x14ac:dyDescent="0.25">
      <c r="A11" s="17"/>
      <c r="B11" s="17"/>
      <c r="C11" s="17"/>
      <c r="D11" s="17"/>
      <c r="E11" s="17"/>
      <c r="F11" s="17"/>
      <c r="G11" s="22"/>
      <c r="H11" s="22"/>
      <c r="I11" s="22"/>
      <c r="J11" s="22"/>
      <c r="K11" s="22"/>
      <c r="L11" s="22"/>
      <c r="M11" s="23"/>
      <c r="N11" s="24"/>
    </row>
    <row r="12" spans="1:14" s="20" customFormat="1" ht="16.5" x14ac:dyDescent="0.25">
      <c r="A12" s="17"/>
      <c r="B12" s="17"/>
      <c r="C12" s="17"/>
      <c r="D12" s="17"/>
      <c r="E12" s="17"/>
      <c r="F12" s="17"/>
      <c r="G12" s="25"/>
      <c r="H12" s="25"/>
      <c r="I12" s="25"/>
      <c r="J12" s="25"/>
      <c r="K12" s="25"/>
      <c r="L12" s="25"/>
      <c r="M12" s="25"/>
      <c r="N12" s="24"/>
    </row>
    <row r="13" spans="1:14" s="20" customFormat="1" ht="16.5" x14ac:dyDescent="0.25">
      <c r="A13" s="17"/>
      <c r="B13" s="17"/>
      <c r="C13" s="17"/>
      <c r="D13" s="17"/>
      <c r="E13" s="17"/>
      <c r="F13" s="17"/>
      <c r="G13" s="25"/>
      <c r="H13" s="25"/>
      <c r="I13" s="25"/>
      <c r="J13" s="25"/>
      <c r="K13" s="25"/>
      <c r="L13" s="25"/>
      <c r="M13" s="25"/>
      <c r="N13" s="24"/>
    </row>
    <row r="14" spans="1:14" s="20" customFormat="1" ht="16.5" x14ac:dyDescent="0.25">
      <c r="A14" s="17"/>
      <c r="B14" s="17"/>
      <c r="C14" s="17"/>
      <c r="D14" s="17"/>
      <c r="E14" s="17"/>
      <c r="F14" s="17"/>
      <c r="G14" s="22"/>
      <c r="H14" s="26"/>
      <c r="I14" s="26"/>
      <c r="J14" s="26"/>
      <c r="K14" s="26"/>
      <c r="L14" s="26"/>
      <c r="M14" s="23"/>
      <c r="N14" s="27"/>
    </row>
    <row r="15" spans="1:14" s="20" customFormat="1" ht="16.5" x14ac:dyDescent="0.25">
      <c r="A15" s="17"/>
      <c r="B15" s="17"/>
      <c r="C15" s="17"/>
      <c r="D15" s="17"/>
      <c r="E15" s="17"/>
      <c r="F15" s="17"/>
      <c r="G15" s="22"/>
      <c r="H15" s="22"/>
      <c r="I15" s="26"/>
      <c r="J15" s="26"/>
      <c r="K15" s="26"/>
      <c r="L15" s="26"/>
      <c r="M15" s="25"/>
      <c r="N15" s="24"/>
    </row>
    <row r="16" spans="1:14" s="20" customFormat="1" ht="16.5" x14ac:dyDescent="0.25">
      <c r="A16" s="17"/>
      <c r="B16" s="17"/>
      <c r="C16" s="17"/>
      <c r="D16" s="17"/>
      <c r="E16" s="17"/>
      <c r="F16" s="17"/>
      <c r="G16" s="22"/>
      <c r="H16" s="26"/>
      <c r="I16" s="26"/>
      <c r="J16" s="26"/>
      <c r="K16" s="26"/>
      <c r="L16" s="26"/>
      <c r="M16" s="23"/>
      <c r="N16" s="24"/>
    </row>
    <row r="17" spans="1:14" s="20" customFormat="1" ht="16.5" x14ac:dyDescent="0.25">
      <c r="A17" s="17"/>
      <c r="B17" s="17"/>
      <c r="C17" s="17"/>
      <c r="D17" s="17"/>
      <c r="E17" s="17"/>
      <c r="F17" s="17"/>
      <c r="G17" s="25"/>
      <c r="H17" s="25"/>
      <c r="I17" s="25"/>
      <c r="J17" s="25"/>
      <c r="K17" s="25"/>
      <c r="L17" s="25"/>
      <c r="M17" s="25"/>
      <c r="N17" s="24"/>
    </row>
    <row r="18" spans="1:14" s="20" customFormat="1" ht="16.5" x14ac:dyDescent="0.25">
      <c r="A18" s="17"/>
      <c r="B18" s="17"/>
      <c r="C18" s="17"/>
      <c r="D18" s="17"/>
      <c r="E18" s="17"/>
      <c r="F18" s="17"/>
      <c r="G18" s="22"/>
      <c r="H18" s="22"/>
      <c r="I18" s="22"/>
      <c r="J18" s="22"/>
      <c r="K18" s="22"/>
      <c r="L18" s="22"/>
      <c r="M18" s="23"/>
      <c r="N18" s="24"/>
    </row>
    <row r="19" spans="1:14" s="20" customFormat="1" ht="16.5" x14ac:dyDescent="0.25">
      <c r="A19" s="17"/>
      <c r="B19" s="17"/>
      <c r="C19" s="17"/>
      <c r="D19" s="17"/>
      <c r="E19" s="17"/>
      <c r="F19" s="17"/>
      <c r="G19" s="22"/>
      <c r="H19" s="22"/>
      <c r="I19" s="22"/>
      <c r="J19" s="22"/>
      <c r="K19" s="22"/>
      <c r="L19" s="22"/>
      <c r="M19" s="23"/>
      <c r="N19" s="24"/>
    </row>
    <row r="20" spans="1:14" s="20" customFormat="1" ht="16.5" x14ac:dyDescent="0.25">
      <c r="A20" s="17"/>
      <c r="B20" s="17"/>
      <c r="C20" s="17"/>
      <c r="D20" s="17"/>
      <c r="E20" s="17"/>
      <c r="F20" s="17"/>
      <c r="G20" s="22"/>
      <c r="H20" s="22"/>
      <c r="I20" s="22"/>
      <c r="J20" s="22"/>
      <c r="K20" s="22"/>
      <c r="L20" s="22"/>
      <c r="M20" s="23"/>
      <c r="N20" s="24"/>
    </row>
    <row r="21" spans="1:14" s="20" customFormat="1" ht="16.5" x14ac:dyDescent="0.25">
      <c r="A21" s="17"/>
      <c r="B21" s="17"/>
      <c r="C21" s="17"/>
      <c r="D21" s="17"/>
      <c r="E21" s="17"/>
      <c r="F21" s="17"/>
      <c r="G21" s="22"/>
      <c r="H21" s="22"/>
      <c r="I21" s="22"/>
      <c r="J21" s="22"/>
      <c r="K21" s="22"/>
      <c r="L21" s="22"/>
      <c r="M21" s="23"/>
      <c r="N21" s="24"/>
    </row>
    <row r="22" spans="1:14" s="20" customFormat="1" ht="16.5" x14ac:dyDescent="0.25">
      <c r="A22" s="17"/>
      <c r="B22" s="17"/>
      <c r="C22" s="17"/>
      <c r="D22" s="17"/>
      <c r="E22" s="17"/>
      <c r="F22" s="17"/>
      <c r="G22" s="25"/>
      <c r="H22" s="25"/>
      <c r="I22" s="25"/>
      <c r="J22" s="25"/>
      <c r="K22" s="25"/>
      <c r="L22" s="25"/>
      <c r="M22" s="25"/>
      <c r="N22" s="24"/>
    </row>
    <row r="23" spans="1:14" s="20" customFormat="1" ht="16.5" x14ac:dyDescent="0.25">
      <c r="A23" s="17"/>
      <c r="B23" s="17"/>
      <c r="C23" s="17"/>
      <c r="D23" s="17"/>
      <c r="E23" s="17"/>
      <c r="F23" s="17"/>
      <c r="G23" s="22"/>
      <c r="H23" s="26"/>
      <c r="I23" s="26"/>
      <c r="J23" s="26"/>
      <c r="K23" s="26"/>
      <c r="L23" s="26"/>
      <c r="M23" s="23"/>
      <c r="N23" s="24"/>
    </row>
    <row r="24" spans="1:14" s="20" customFormat="1" ht="16.5" x14ac:dyDescent="0.25">
      <c r="A24" s="17"/>
      <c r="B24" s="17"/>
      <c r="C24" s="17"/>
      <c r="D24" s="17"/>
      <c r="E24" s="17"/>
      <c r="F24" s="17"/>
      <c r="G24" s="22"/>
      <c r="H24" s="22"/>
      <c r="I24" s="26"/>
      <c r="J24" s="26"/>
      <c r="K24" s="26"/>
      <c r="L24" s="26"/>
      <c r="M24" s="25"/>
      <c r="N24" s="24"/>
    </row>
    <row r="25" spans="1:14" s="20" customFormat="1" ht="16.5" x14ac:dyDescent="0.25">
      <c r="A25" s="17"/>
      <c r="B25" s="17"/>
      <c r="C25" s="17"/>
      <c r="D25" s="17"/>
      <c r="E25" s="17"/>
      <c r="F25" s="17"/>
      <c r="G25" s="22"/>
      <c r="H25" s="26"/>
      <c r="I25" s="26"/>
      <c r="J25" s="26"/>
      <c r="K25" s="26"/>
      <c r="L25" s="26"/>
      <c r="M25" s="23"/>
      <c r="N25" s="24"/>
    </row>
    <row r="26" spans="1:14" s="20" customFormat="1" ht="16.5" x14ac:dyDescent="0.25">
      <c r="A26" s="17"/>
      <c r="B26" s="17"/>
      <c r="C26" s="17"/>
      <c r="D26" s="17"/>
      <c r="E26" s="17"/>
      <c r="F26" s="17"/>
      <c r="G26" s="25"/>
      <c r="H26" s="25"/>
      <c r="I26" s="25"/>
      <c r="J26" s="25"/>
      <c r="K26" s="25"/>
      <c r="L26" s="25"/>
      <c r="M26" s="25"/>
      <c r="N26" s="24"/>
    </row>
    <row r="27" spans="1:14" s="20" customFormat="1" ht="16.5" x14ac:dyDescent="0.25">
      <c r="A27" s="17"/>
      <c r="B27" s="17"/>
      <c r="C27" s="17"/>
      <c r="D27" s="17"/>
      <c r="E27" s="17"/>
      <c r="F27" s="17"/>
      <c r="G27" s="22"/>
      <c r="H27" s="22"/>
      <c r="I27" s="22"/>
      <c r="J27" s="22"/>
      <c r="K27" s="22"/>
      <c r="L27" s="22"/>
      <c r="M27" s="23"/>
      <c r="N27" s="24"/>
    </row>
    <row r="28" spans="1:14" s="20" customFormat="1" ht="16.5" x14ac:dyDescent="0.25">
      <c r="A28" s="17"/>
      <c r="B28" s="17"/>
      <c r="C28" s="17"/>
      <c r="D28" s="17"/>
      <c r="E28" s="17"/>
      <c r="F28" s="17"/>
      <c r="G28" s="25"/>
      <c r="H28" s="25"/>
      <c r="I28" s="25"/>
      <c r="J28" s="25"/>
      <c r="K28" s="25"/>
      <c r="L28" s="25"/>
      <c r="M28" s="25"/>
      <c r="N28" s="24"/>
    </row>
    <row r="29" spans="1:14" s="20" customFormat="1" ht="16.5" x14ac:dyDescent="0.25">
      <c r="A29" s="17"/>
      <c r="B29" s="17"/>
      <c r="C29" s="17"/>
      <c r="D29" s="17"/>
      <c r="E29" s="17"/>
      <c r="F29" s="17"/>
      <c r="G29" s="25"/>
      <c r="H29" s="25"/>
      <c r="I29" s="25"/>
      <c r="J29" s="25"/>
      <c r="K29" s="25"/>
      <c r="L29" s="25"/>
      <c r="M29" s="25"/>
      <c r="N29" s="24"/>
    </row>
    <row r="30" spans="1:14" s="20" customFormat="1" ht="16.5" x14ac:dyDescent="0.25">
      <c r="A30" s="17"/>
      <c r="B30" s="17"/>
      <c r="C30" s="17"/>
      <c r="D30" s="17"/>
      <c r="E30" s="17"/>
      <c r="F30" s="17"/>
      <c r="G30" s="22"/>
      <c r="H30" s="26"/>
      <c r="I30" s="26"/>
      <c r="J30" s="26"/>
      <c r="K30" s="26"/>
      <c r="L30" s="26"/>
      <c r="M30" s="23"/>
      <c r="N30" s="24"/>
    </row>
    <row r="31" spans="1:14" s="20" customFormat="1" ht="16.5" x14ac:dyDescent="0.25">
      <c r="A31" s="17"/>
      <c r="B31" s="17"/>
      <c r="C31" s="17"/>
      <c r="D31" s="17"/>
      <c r="E31" s="17"/>
      <c r="F31" s="17"/>
      <c r="G31" s="22"/>
      <c r="H31" s="22"/>
      <c r="I31" s="26"/>
      <c r="J31" s="26"/>
      <c r="K31" s="26"/>
      <c r="L31" s="26"/>
      <c r="M31" s="25"/>
      <c r="N31" s="24"/>
    </row>
    <row r="32" spans="1:14" s="20" customFormat="1" ht="16.5" x14ac:dyDescent="0.25">
      <c r="A32" s="17"/>
      <c r="B32" s="17"/>
      <c r="C32" s="17"/>
      <c r="D32" s="17"/>
      <c r="E32" s="17"/>
      <c r="F32" s="17"/>
      <c r="G32" s="22"/>
      <c r="H32" s="26"/>
      <c r="I32" s="26"/>
      <c r="J32" s="26"/>
      <c r="K32" s="26"/>
      <c r="L32" s="26"/>
      <c r="M32" s="23"/>
      <c r="N32" s="24"/>
    </row>
    <row r="33" spans="1:14" s="20" customFormat="1" ht="16.5" x14ac:dyDescent="0.25">
      <c r="A33" s="17"/>
      <c r="B33" s="17"/>
      <c r="C33" s="17"/>
      <c r="D33" s="17"/>
      <c r="E33" s="17"/>
      <c r="F33" s="17"/>
      <c r="G33" s="25"/>
      <c r="H33" s="25"/>
      <c r="I33" s="25"/>
      <c r="J33" s="25"/>
      <c r="K33" s="25"/>
      <c r="L33" s="25"/>
      <c r="M33" s="25"/>
      <c r="N33" s="24"/>
    </row>
    <row r="34" spans="1:14" s="20" customFormat="1" ht="16.5" x14ac:dyDescent="0.25">
      <c r="A34" s="17"/>
      <c r="B34" s="17"/>
      <c r="C34" s="17"/>
      <c r="D34" s="17"/>
      <c r="E34" s="17"/>
      <c r="F34" s="17"/>
      <c r="G34" s="22"/>
      <c r="H34" s="22"/>
      <c r="I34" s="22"/>
      <c r="J34" s="22"/>
      <c r="K34" s="22"/>
      <c r="L34" s="22"/>
      <c r="M34" s="23"/>
      <c r="N34" s="24"/>
    </row>
    <row r="35" spans="1:14" s="20" customFormat="1" ht="16.5" x14ac:dyDescent="0.25">
      <c r="A35" s="17"/>
      <c r="B35" s="17"/>
      <c r="C35" s="17"/>
      <c r="D35" s="17"/>
      <c r="E35" s="28"/>
      <c r="F35" s="28"/>
      <c r="G35" s="25"/>
      <c r="H35" s="25"/>
      <c r="I35" s="25"/>
      <c r="J35" s="25"/>
      <c r="K35" s="25"/>
      <c r="L35" s="25"/>
      <c r="M35" s="25"/>
      <c r="N35" s="24"/>
    </row>
    <row r="36" spans="1:14" s="20" customFormat="1" ht="16.5" x14ac:dyDescent="0.25">
      <c r="A36" s="17"/>
      <c r="B36" s="17"/>
      <c r="C36" s="17"/>
      <c r="D36" s="17"/>
      <c r="E36" s="28"/>
      <c r="F36" s="28"/>
      <c r="G36" s="25"/>
      <c r="H36" s="25"/>
      <c r="I36" s="25"/>
      <c r="J36" s="25"/>
      <c r="K36" s="25"/>
      <c r="L36" s="25"/>
      <c r="M36" s="25"/>
      <c r="N36" s="24"/>
    </row>
    <row r="37" spans="1:14" s="20" customFormat="1" ht="16.5" x14ac:dyDescent="0.25">
      <c r="A37" s="17"/>
      <c r="B37" s="17"/>
      <c r="C37" s="17"/>
      <c r="D37" s="17"/>
      <c r="E37" s="28"/>
      <c r="F37" s="28"/>
      <c r="G37" s="25"/>
      <c r="H37" s="25"/>
      <c r="I37" s="25"/>
      <c r="J37" s="25"/>
      <c r="K37" s="25"/>
      <c r="L37" s="25"/>
      <c r="M37" s="25"/>
      <c r="N37" s="24"/>
    </row>
    <row r="38" spans="1:14" s="20" customFormat="1" ht="16.5" x14ac:dyDescent="0.25">
      <c r="A38" s="17"/>
      <c r="B38" s="17"/>
      <c r="C38" s="17"/>
      <c r="D38" s="17"/>
      <c r="E38" s="17"/>
      <c r="F38" s="17"/>
      <c r="G38" s="25"/>
      <c r="H38" s="25"/>
      <c r="I38" s="25"/>
      <c r="J38" s="25"/>
      <c r="K38" s="25"/>
      <c r="L38" s="25"/>
      <c r="M38" s="25"/>
      <c r="N38" s="24"/>
    </row>
    <row r="39" spans="1:14" s="20" customFormat="1" ht="16.5" x14ac:dyDescent="0.25">
      <c r="A39" s="17"/>
      <c r="B39" s="17"/>
      <c r="C39" s="17"/>
      <c r="D39" s="17"/>
      <c r="E39" s="17"/>
      <c r="F39" s="17"/>
      <c r="G39" s="25"/>
      <c r="H39" s="25"/>
      <c r="I39" s="25"/>
      <c r="J39" s="25"/>
      <c r="K39" s="25"/>
      <c r="L39" s="25"/>
      <c r="M39" s="25"/>
      <c r="N39" s="24"/>
    </row>
    <row r="40" spans="1:14" s="20" customFormat="1" ht="16.5" x14ac:dyDescent="0.25">
      <c r="A40" s="17"/>
      <c r="B40" s="17"/>
      <c r="C40" s="17"/>
      <c r="D40" s="17"/>
      <c r="E40" s="17"/>
      <c r="F40" s="17"/>
      <c r="G40" s="25"/>
      <c r="H40" s="25"/>
      <c r="I40" s="25"/>
      <c r="J40" s="25"/>
      <c r="K40" s="25"/>
      <c r="L40" s="25"/>
      <c r="M40" s="25"/>
      <c r="N40" s="24"/>
    </row>
    <row r="41" spans="1:14" s="20" customFormat="1" ht="16.5" x14ac:dyDescent="0.25">
      <c r="A41" s="17"/>
      <c r="B41" s="17"/>
      <c r="C41" s="17"/>
      <c r="D41" s="17"/>
      <c r="E41" s="17"/>
      <c r="F41" s="17"/>
      <c r="G41" s="25"/>
      <c r="H41" s="25"/>
      <c r="I41" s="25"/>
      <c r="J41" s="25"/>
      <c r="K41" s="25"/>
      <c r="L41" s="25"/>
      <c r="M41" s="25"/>
      <c r="N41" s="24"/>
    </row>
    <row r="42" spans="1:14" s="20" customFormat="1" ht="16.5" x14ac:dyDescent="0.25">
      <c r="A42" s="17"/>
      <c r="B42" s="17"/>
      <c r="C42" s="17"/>
      <c r="D42" s="17"/>
      <c r="E42" s="17"/>
      <c r="F42" s="17"/>
      <c r="G42" s="25"/>
      <c r="H42" s="25"/>
      <c r="I42" s="25"/>
      <c r="J42" s="25"/>
      <c r="K42" s="25"/>
      <c r="L42" s="25"/>
      <c r="M42" s="25"/>
      <c r="N42" s="24"/>
    </row>
    <row r="43" spans="1:14" s="20" customFormat="1" ht="16.5" x14ac:dyDescent="0.25">
      <c r="A43" s="17"/>
      <c r="B43" s="17"/>
      <c r="C43" s="17"/>
      <c r="D43" s="17"/>
      <c r="E43" s="17"/>
      <c r="F43" s="17"/>
      <c r="G43" s="25"/>
      <c r="H43" s="25"/>
      <c r="I43" s="25"/>
      <c r="J43" s="25"/>
      <c r="K43" s="25"/>
      <c r="L43" s="25"/>
      <c r="M43" s="25"/>
      <c r="N43" s="24"/>
    </row>
    <row r="44" spans="1:14" s="20" customFormat="1" ht="16.5" x14ac:dyDescent="0.25">
      <c r="A44" s="17"/>
      <c r="B44" s="17"/>
      <c r="C44" s="17"/>
      <c r="D44" s="17"/>
      <c r="E44" s="17"/>
      <c r="F44" s="17"/>
      <c r="G44" s="25"/>
      <c r="H44" s="25"/>
      <c r="I44" s="25"/>
      <c r="J44" s="25"/>
      <c r="K44" s="25"/>
      <c r="L44" s="25"/>
      <c r="M44" s="25"/>
      <c r="N44" s="24"/>
    </row>
    <row r="45" spans="1:14" s="20" customFormat="1" ht="16.5" x14ac:dyDescent="0.25">
      <c r="A45" s="17"/>
      <c r="B45" s="17"/>
      <c r="C45" s="17"/>
      <c r="D45" s="17"/>
      <c r="E45" s="17"/>
      <c r="F45" s="17"/>
      <c r="G45" s="22"/>
      <c r="H45" s="26"/>
      <c r="I45" s="26"/>
      <c r="J45" s="26"/>
      <c r="K45" s="26"/>
      <c r="L45" s="26"/>
      <c r="M45" s="23"/>
      <c r="N45" s="24"/>
    </row>
    <row r="46" spans="1:14" s="20" customFormat="1" ht="16.5" x14ac:dyDescent="0.25">
      <c r="A46" s="17"/>
      <c r="B46" s="17"/>
      <c r="C46" s="17"/>
      <c r="D46" s="17"/>
      <c r="E46" s="17"/>
      <c r="F46" s="17"/>
      <c r="G46" s="22"/>
      <c r="H46" s="26"/>
      <c r="I46" s="26"/>
      <c r="J46" s="26"/>
      <c r="K46" s="26"/>
      <c r="L46" s="26"/>
      <c r="M46" s="23"/>
      <c r="N46" s="24"/>
    </row>
    <row r="47" spans="1:14" s="20" customFormat="1" ht="16.5" x14ac:dyDescent="0.25">
      <c r="A47" s="17"/>
      <c r="B47" s="17"/>
      <c r="C47" s="17"/>
      <c r="D47" s="17"/>
      <c r="E47" s="17"/>
      <c r="F47" s="17"/>
      <c r="G47" s="22"/>
      <c r="H47" s="26"/>
      <c r="I47" s="26"/>
      <c r="J47" s="26"/>
      <c r="K47" s="26"/>
      <c r="L47" s="26"/>
      <c r="M47" s="23"/>
      <c r="N47" s="24"/>
    </row>
    <row r="48" spans="1:14" s="20" customFormat="1" ht="16.5" x14ac:dyDescent="0.25">
      <c r="A48" s="17"/>
      <c r="B48" s="17"/>
      <c r="C48" s="17"/>
      <c r="D48" s="17"/>
      <c r="E48" s="17"/>
      <c r="F48" s="17"/>
      <c r="G48" s="25"/>
      <c r="H48" s="25"/>
      <c r="I48" s="25"/>
      <c r="J48" s="25"/>
      <c r="K48" s="25"/>
      <c r="L48" s="25"/>
      <c r="M48" s="25"/>
      <c r="N48" s="24"/>
    </row>
    <row r="49" spans="1:14" s="20" customFormat="1" ht="16.5" x14ac:dyDescent="0.25">
      <c r="A49" s="17"/>
      <c r="B49" s="17"/>
      <c r="C49" s="17"/>
      <c r="D49" s="17"/>
      <c r="E49" s="17"/>
      <c r="F49" s="17"/>
      <c r="G49" s="22"/>
      <c r="H49" s="22"/>
      <c r="I49" s="22"/>
      <c r="J49" s="22"/>
      <c r="K49" s="22"/>
      <c r="L49" s="22"/>
      <c r="M49" s="23"/>
      <c r="N49" s="24"/>
    </row>
    <row r="50" spans="1:14" s="20" customFormat="1" ht="16.5" x14ac:dyDescent="0.25">
      <c r="A50" s="17"/>
      <c r="B50" s="17"/>
      <c r="C50" s="17"/>
      <c r="D50" s="17"/>
      <c r="E50" s="17"/>
      <c r="F50" s="17"/>
      <c r="G50" s="25"/>
      <c r="H50" s="25"/>
      <c r="I50" s="25"/>
      <c r="J50" s="25"/>
      <c r="K50" s="25"/>
      <c r="L50" s="25"/>
      <c r="M50" s="25"/>
      <c r="N50" s="24"/>
    </row>
    <row r="51" spans="1:14" s="20" customFormat="1" ht="16.5" x14ac:dyDescent="0.25">
      <c r="A51" s="17"/>
      <c r="B51" s="17"/>
      <c r="C51" s="17"/>
      <c r="D51" s="17"/>
      <c r="E51" s="17"/>
      <c r="F51" s="17"/>
      <c r="G51" s="25"/>
      <c r="H51" s="25"/>
      <c r="I51" s="25"/>
      <c r="J51" s="25"/>
      <c r="K51" s="25"/>
      <c r="L51" s="25"/>
      <c r="M51" s="25"/>
      <c r="N51" s="24"/>
    </row>
    <row r="52" spans="1:14" s="20" customFormat="1" ht="16.5" x14ac:dyDescent="0.25">
      <c r="A52" s="17"/>
      <c r="B52" s="17"/>
      <c r="C52" s="17"/>
      <c r="D52" s="17"/>
      <c r="E52" s="17"/>
      <c r="F52" s="17"/>
      <c r="G52" s="22"/>
      <c r="H52" s="26"/>
      <c r="I52" s="26"/>
      <c r="J52" s="26"/>
      <c r="K52" s="26"/>
      <c r="L52" s="26"/>
      <c r="M52" s="23"/>
      <c r="N52" s="24"/>
    </row>
    <row r="53" spans="1:14" s="20" customFormat="1" ht="16.5" x14ac:dyDescent="0.25">
      <c r="A53" s="17"/>
      <c r="B53" s="17"/>
      <c r="C53" s="17"/>
      <c r="D53" s="17"/>
      <c r="E53" s="17"/>
      <c r="F53" s="17"/>
      <c r="G53" s="22"/>
      <c r="H53" s="22"/>
      <c r="I53" s="26"/>
      <c r="J53" s="26"/>
      <c r="K53" s="26"/>
      <c r="L53" s="26"/>
      <c r="M53" s="25"/>
      <c r="N53" s="24"/>
    </row>
    <row r="54" spans="1:14" s="20" customFormat="1" ht="16.5" x14ac:dyDescent="0.25">
      <c r="A54" s="17"/>
      <c r="B54" s="17"/>
      <c r="C54" s="17"/>
      <c r="D54" s="17"/>
      <c r="E54" s="17"/>
      <c r="F54" s="17"/>
      <c r="G54" s="25"/>
      <c r="H54" s="25"/>
      <c r="I54" s="25"/>
      <c r="J54" s="25"/>
      <c r="K54" s="25"/>
      <c r="L54" s="25"/>
      <c r="M54" s="25"/>
      <c r="N54" s="24"/>
    </row>
    <row r="55" spans="1:14" s="20" customFormat="1" ht="16.5" x14ac:dyDescent="0.25">
      <c r="A55" s="17"/>
      <c r="B55" s="17"/>
      <c r="C55" s="17"/>
      <c r="D55" s="17"/>
      <c r="E55" s="17"/>
      <c r="F55" s="17"/>
      <c r="G55" s="22"/>
      <c r="H55" s="22"/>
      <c r="I55" s="22"/>
      <c r="J55" s="22"/>
      <c r="K55" s="22"/>
      <c r="L55" s="22"/>
      <c r="M55" s="23"/>
      <c r="N55" s="24"/>
    </row>
    <row r="56" spans="1:14" s="17" customFormat="1" x14ac:dyDescent="0.25">
      <c r="G56" s="25"/>
      <c r="H56" s="25"/>
      <c r="I56" s="25"/>
      <c r="J56" s="25"/>
      <c r="K56" s="25"/>
      <c r="L56" s="25"/>
      <c r="M56" s="25"/>
      <c r="N56" s="24"/>
    </row>
    <row r="57" spans="1:14" s="17" customFormat="1" x14ac:dyDescent="0.25">
      <c r="G57" s="25"/>
      <c r="H57" s="25"/>
      <c r="I57" s="25"/>
      <c r="J57" s="25"/>
      <c r="K57" s="25"/>
      <c r="L57" s="25"/>
      <c r="M57" s="25"/>
      <c r="N57" s="24"/>
    </row>
    <row r="58" spans="1:14" s="17" customFormat="1" x14ac:dyDescent="0.25">
      <c r="G58" s="22"/>
      <c r="H58" s="26"/>
      <c r="I58" s="26"/>
      <c r="J58" s="26"/>
      <c r="K58" s="26"/>
      <c r="L58" s="26"/>
      <c r="M58" s="23"/>
      <c r="N58" s="24"/>
    </row>
    <row r="59" spans="1:14" s="17" customFormat="1" x14ac:dyDescent="0.25">
      <c r="G59" s="22"/>
      <c r="H59" s="26"/>
      <c r="I59" s="26"/>
      <c r="J59" s="26"/>
      <c r="K59" s="26"/>
      <c r="L59" s="26"/>
      <c r="M59" s="23"/>
      <c r="N59" s="24"/>
    </row>
    <row r="60" spans="1:14" s="17" customFormat="1" x14ac:dyDescent="0.25">
      <c r="G60" s="22"/>
      <c r="H60" s="22"/>
      <c r="I60" s="26"/>
      <c r="J60" s="26"/>
      <c r="K60" s="26"/>
      <c r="L60" s="26"/>
      <c r="M60" s="25"/>
      <c r="N60" s="24"/>
    </row>
    <row r="61" spans="1:14" s="17" customFormat="1" x14ac:dyDescent="0.25">
      <c r="G61" s="25"/>
      <c r="H61" s="25"/>
      <c r="I61" s="25"/>
      <c r="J61" s="25"/>
      <c r="K61" s="25"/>
      <c r="L61" s="25"/>
      <c r="M61" s="25"/>
      <c r="N61" s="24"/>
    </row>
    <row r="62" spans="1:14" s="17" customFormat="1" x14ac:dyDescent="0.25">
      <c r="G62" s="22"/>
      <c r="H62" s="22"/>
      <c r="I62" s="22"/>
      <c r="J62" s="22"/>
      <c r="K62" s="22"/>
      <c r="L62" s="22"/>
      <c r="M62" s="23"/>
      <c r="N62" s="24"/>
    </row>
    <row r="63" spans="1:14" s="17" customFormat="1" x14ac:dyDescent="0.25">
      <c r="G63" s="25"/>
      <c r="H63" s="25"/>
      <c r="I63" s="25"/>
      <c r="J63" s="25"/>
      <c r="K63" s="25"/>
      <c r="L63" s="25"/>
      <c r="M63" s="25"/>
      <c r="N63" s="24"/>
    </row>
    <row r="64" spans="1:14" s="17" customFormat="1" x14ac:dyDescent="0.25">
      <c r="G64" s="25"/>
      <c r="H64" s="25"/>
      <c r="I64" s="25"/>
      <c r="J64" s="25"/>
      <c r="K64" s="25"/>
      <c r="L64" s="25"/>
      <c r="M64" s="25"/>
      <c r="N64" s="24"/>
    </row>
    <row r="65" spans="7:14" s="17" customFormat="1" x14ac:dyDescent="0.25">
      <c r="G65" s="22"/>
      <c r="H65" s="26"/>
      <c r="I65" s="26"/>
      <c r="J65" s="26"/>
      <c r="K65" s="26"/>
      <c r="L65" s="26"/>
      <c r="M65" s="23"/>
      <c r="N65" s="24"/>
    </row>
    <row r="66" spans="7:14" s="17" customFormat="1" x14ac:dyDescent="0.25">
      <c r="G66" s="22"/>
      <c r="H66" s="26"/>
      <c r="I66" s="26"/>
      <c r="J66" s="26"/>
      <c r="K66" s="26"/>
      <c r="L66" s="26"/>
      <c r="M66" s="23"/>
      <c r="N66" s="24"/>
    </row>
    <row r="67" spans="7:14" s="17" customFormat="1" x14ac:dyDescent="0.25">
      <c r="G67" s="22"/>
      <c r="H67" s="26"/>
      <c r="I67" s="26"/>
      <c r="J67" s="26"/>
      <c r="K67" s="26"/>
      <c r="L67" s="26"/>
      <c r="M67" s="23"/>
      <c r="N67" s="24"/>
    </row>
    <row r="68" spans="7:14" s="17" customFormat="1" x14ac:dyDescent="0.25">
      <c r="G68" s="22"/>
      <c r="H68" s="22"/>
      <c r="I68" s="26"/>
      <c r="J68" s="26"/>
      <c r="K68" s="26"/>
      <c r="L68" s="26"/>
      <c r="M68" s="25"/>
      <c r="N68" s="24"/>
    </row>
    <row r="69" spans="7:14" s="17" customFormat="1" x14ac:dyDescent="0.25">
      <c r="G69" s="25"/>
      <c r="H69" s="25"/>
      <c r="I69" s="25"/>
      <c r="J69" s="25"/>
      <c r="K69" s="25"/>
      <c r="L69" s="25"/>
      <c r="M69" s="25"/>
      <c r="N69" s="24"/>
    </row>
    <row r="70" spans="7:14" s="17" customFormat="1" x14ac:dyDescent="0.25">
      <c r="G70" s="22"/>
      <c r="H70" s="22"/>
      <c r="I70" s="22"/>
      <c r="J70" s="22"/>
      <c r="K70" s="22"/>
      <c r="L70" s="22"/>
      <c r="M70" s="23"/>
      <c r="N70" s="24"/>
    </row>
    <row r="71" spans="7:14" s="17" customFormat="1" x14ac:dyDescent="0.25">
      <c r="G71" s="25"/>
      <c r="H71" s="25"/>
      <c r="I71" s="25"/>
      <c r="J71" s="25"/>
      <c r="K71" s="25"/>
      <c r="L71" s="25"/>
      <c r="M71" s="25"/>
      <c r="N71" s="24"/>
    </row>
    <row r="72" spans="7:14" s="17" customFormat="1" x14ac:dyDescent="0.25">
      <c r="G72" s="25"/>
      <c r="H72" s="25"/>
      <c r="I72" s="25"/>
      <c r="J72" s="25"/>
      <c r="K72" s="25"/>
      <c r="L72" s="25"/>
      <c r="M72" s="25"/>
      <c r="N72" s="24"/>
    </row>
    <row r="73" spans="7:14" s="17" customFormat="1" x14ac:dyDescent="0.25">
      <c r="G73" s="25"/>
      <c r="H73" s="25"/>
      <c r="I73" s="25"/>
      <c r="J73" s="25"/>
      <c r="K73" s="25"/>
      <c r="L73" s="25"/>
      <c r="M73" s="25"/>
      <c r="N73" s="24"/>
    </row>
    <row r="74" spans="7:14" s="17" customFormat="1" x14ac:dyDescent="0.25">
      <c r="G74" s="25"/>
      <c r="H74" s="25"/>
      <c r="I74" s="25"/>
      <c r="J74" s="25"/>
      <c r="K74" s="25"/>
      <c r="L74" s="25"/>
      <c r="M74" s="25"/>
      <c r="N74" s="24"/>
    </row>
    <row r="75" spans="7:14" s="17" customFormat="1" x14ac:dyDescent="0.25">
      <c r="G75" s="25"/>
      <c r="H75" s="25"/>
      <c r="I75" s="29"/>
      <c r="J75" s="29"/>
      <c r="K75" s="29"/>
      <c r="L75" s="29"/>
      <c r="M75" s="25"/>
      <c r="N75" s="24"/>
    </row>
    <row r="76" spans="7:14" s="17" customFormat="1" x14ac:dyDescent="0.25">
      <c r="G76" s="25"/>
      <c r="H76" s="25"/>
      <c r="I76" s="25"/>
      <c r="J76" s="25"/>
      <c r="K76" s="25"/>
      <c r="L76" s="25"/>
      <c r="M76" s="25"/>
      <c r="N76" s="24"/>
    </row>
    <row r="77" spans="7:14" s="17" customFormat="1" x14ac:dyDescent="0.25">
      <c r="G77" s="25"/>
      <c r="H77" s="25"/>
      <c r="I77" s="25"/>
      <c r="J77" s="25"/>
      <c r="K77" s="25"/>
      <c r="L77" s="25"/>
      <c r="M77" s="25"/>
      <c r="N77" s="24"/>
    </row>
    <row r="78" spans="7:14" s="17" customFormat="1" x14ac:dyDescent="0.25">
      <c r="G78" s="25"/>
      <c r="H78" s="25"/>
      <c r="I78" s="25"/>
      <c r="J78" s="25"/>
      <c r="K78" s="25"/>
      <c r="L78" s="25"/>
      <c r="M78" s="25"/>
      <c r="N78" s="24"/>
    </row>
    <row r="79" spans="7:14" s="17" customFormat="1" x14ac:dyDescent="0.25">
      <c r="G79" s="25"/>
      <c r="H79" s="25"/>
      <c r="I79" s="25"/>
      <c r="J79" s="25"/>
      <c r="K79" s="25"/>
      <c r="L79" s="25"/>
      <c r="M79" s="25"/>
      <c r="N79" s="30"/>
    </row>
    <row r="80" spans="7:14" s="17" customFormat="1" x14ac:dyDescent="0.25">
      <c r="G80" s="25"/>
      <c r="H80" s="25"/>
      <c r="I80" s="25"/>
      <c r="J80" s="25"/>
      <c r="K80" s="25"/>
      <c r="L80" s="25"/>
      <c r="M80" s="25"/>
      <c r="N80" s="30"/>
    </row>
    <row r="81" spans="7:14" s="17" customFormat="1" x14ac:dyDescent="0.25">
      <c r="G81" s="25"/>
      <c r="H81" s="25"/>
      <c r="I81" s="25"/>
      <c r="J81" s="25"/>
      <c r="K81" s="25"/>
      <c r="L81" s="25"/>
      <c r="M81" s="25"/>
      <c r="N81" s="30"/>
    </row>
    <row r="82" spans="7:14" s="17" customFormat="1" x14ac:dyDescent="0.25">
      <c r="G82" s="31"/>
      <c r="H82" s="31"/>
      <c r="I82" s="31"/>
      <c r="J82" s="31"/>
      <c r="K82" s="31"/>
      <c r="L82" s="31"/>
      <c r="N82" s="30"/>
    </row>
    <row r="83" spans="7:14" s="17" customFormat="1" x14ac:dyDescent="0.25">
      <c r="G83" s="31"/>
      <c r="H83" s="31"/>
      <c r="I83" s="31"/>
      <c r="J83" s="31"/>
      <c r="K83" s="31"/>
      <c r="L83" s="31"/>
      <c r="N83" s="30"/>
    </row>
    <row r="84" spans="7:14" s="17" customFormat="1" x14ac:dyDescent="0.25">
      <c r="G84" s="31"/>
      <c r="H84" s="31"/>
      <c r="I84" s="31"/>
      <c r="J84" s="31"/>
      <c r="K84" s="31"/>
      <c r="L84" s="31"/>
      <c r="N84" s="30"/>
    </row>
    <row r="85" spans="7:14" s="17" customFormat="1" x14ac:dyDescent="0.25">
      <c r="G85" s="31"/>
      <c r="H85" s="31"/>
      <c r="I85" s="31"/>
      <c r="J85" s="31"/>
      <c r="K85" s="31"/>
      <c r="L85" s="31"/>
      <c r="N85" s="30"/>
    </row>
  </sheetData>
  <dataConsolidate/>
  <mergeCells count="2">
    <mergeCell ref="A3:A6"/>
    <mergeCell ref="A1:N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9</vt:i4>
      </vt:variant>
    </vt:vector>
  </HeadingPairs>
  <TitlesOfParts>
    <vt:vector size="18" baseType="lpstr">
      <vt:lpstr>2026</vt:lpstr>
      <vt:lpstr>2025</vt:lpstr>
      <vt:lpstr>2024</vt:lpstr>
      <vt:lpstr>2022</vt:lpstr>
      <vt:lpstr>2021</vt:lpstr>
      <vt:lpstr>2020</vt:lpstr>
      <vt:lpstr>2019</vt:lpstr>
      <vt:lpstr>2018</vt:lpstr>
      <vt:lpstr>2017</vt:lpstr>
      <vt:lpstr>'2017'!Yazdırma_Alanı</vt:lpstr>
      <vt:lpstr>'2018'!Yazdırma_Alanı</vt:lpstr>
      <vt:lpstr>'2019'!Yazdırma_Alanı</vt:lpstr>
      <vt:lpstr>'2020'!Yazdırma_Alanı</vt:lpstr>
      <vt:lpstr>'2021'!Yazdırma_Alanı</vt:lpstr>
      <vt:lpstr>'2022'!Yazdırma_Alanı</vt:lpstr>
      <vt:lpstr>'2024'!Yazdırma_Alanı</vt:lpstr>
      <vt:lpstr>'2025'!Yazdırma_Alanı</vt:lpstr>
      <vt:lpstr>'2026'!Yazdırma_Alanı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KAYA</dc:creator>
  <cp:lastModifiedBy>Mert Karakelle</cp:lastModifiedBy>
  <cp:lastPrinted>2022-01-31T13:15:13Z</cp:lastPrinted>
  <dcterms:created xsi:type="dcterms:W3CDTF">2012-10-08T11:43:36Z</dcterms:created>
  <dcterms:modified xsi:type="dcterms:W3CDTF">2026-03-18T06:51:48Z</dcterms:modified>
</cp:coreProperties>
</file>