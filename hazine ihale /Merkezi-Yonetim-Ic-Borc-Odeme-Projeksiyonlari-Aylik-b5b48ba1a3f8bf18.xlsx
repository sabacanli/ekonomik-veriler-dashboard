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mbds01\KAF\Ic Borc Islemleri\Raporlama ve Istatistik\Temel Faaliyetler\Tablolar\İnternet Tabloları\Yayınlanan\TR\2026\5-Mayıs\Ödeme Tabloları\"/>
    </mc:Choice>
  </mc:AlternateContent>
  <bookViews>
    <workbookView xWindow="480" yWindow="105" windowWidth="22995" windowHeight="9975" activeTab="14"/>
  </bookViews>
  <sheets>
    <sheet name="2012" sheetId="1" r:id="rId1"/>
    <sheet name="2013" sheetId="2" r:id="rId2"/>
    <sheet name="2014" sheetId="3" r:id="rId3"/>
    <sheet name="2015" sheetId="4" r:id="rId4"/>
    <sheet name="2016" sheetId="6" r:id="rId5"/>
    <sheet name="2017" sheetId="5" r:id="rId6"/>
    <sheet name="2018" sheetId="7" r:id="rId7"/>
    <sheet name="2019" sheetId="9" r:id="rId8"/>
    <sheet name="2020" sheetId="8" r:id="rId9"/>
    <sheet name="2021" sheetId="11" r:id="rId10"/>
    <sheet name="2022" sheetId="13" r:id="rId11"/>
    <sheet name="2023" sheetId="12" r:id="rId12"/>
    <sheet name="2024" sheetId="16" r:id="rId13"/>
    <sheet name="2025" sheetId="14" r:id="rId14"/>
    <sheet name="2026" sheetId="17" r:id="rId15"/>
  </sheets>
  <definedNames>
    <definedName name="HTML_CodePage" hidden="1">1254</definedName>
    <definedName name="HTML_Control" localSheetId="4" hidden="1">{"'original'!$B$2:$H$81"}</definedName>
    <definedName name="HTML_Control" localSheetId="7" hidden="1">{"'original'!$B$2:$H$81"}</definedName>
    <definedName name="HTML_Control" localSheetId="11" hidden="1">{"'original'!$B$2:$H$81"}</definedName>
    <definedName name="HTML_Control" localSheetId="12" hidden="1">{"'original'!$B$2:$H$81"}</definedName>
    <definedName name="HTML_Control" localSheetId="13" hidden="1">{"'original'!$B$2:$H$81"}</definedName>
    <definedName name="HTML_Control" localSheetId="14" hidden="1">{"'original'!$B$2:$H$81"}</definedName>
    <definedName name="HTML_Control" hidden="1">{"'original'!$B$2:$H$81"}</definedName>
    <definedName name="HTML_Description" hidden="1">""</definedName>
    <definedName name="HTML_Email" hidden="1">""</definedName>
    <definedName name="HTML_Header" hidden="1">""</definedName>
    <definedName name="HTML_LastUpdate" hidden="1">"20/12/2000"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"\\Hm2\UPDATE_KAF\SDDS\3-15.htm"</definedName>
    <definedName name="HTML_Title" hidden="1">""</definedName>
    <definedName name="_xlnm.Print_Area" localSheetId="0">'2012'!#REF!,'2012'!#REF!</definedName>
    <definedName name="_xlnm.Print_Area" localSheetId="1">'2013'!#REF!,'2013'!#REF!</definedName>
    <definedName name="_xlnm.Print_Area" localSheetId="2">'2014'!#REF!,'2014'!#REF!</definedName>
    <definedName name="_xlnm.Print_Area" localSheetId="3">'2015'!#REF!,'2015'!#REF!</definedName>
    <definedName name="_xlnm.Print_Area" localSheetId="5">'2017'!#REF!,'2017'!#REF!</definedName>
    <definedName name="_xlnm.Print_Area" localSheetId="6">'2018'!#REF!,'2018'!#REF!</definedName>
    <definedName name="_xlnm.Print_Area" localSheetId="7">'2019'!$A$1:$AD$38</definedName>
    <definedName name="_xlnm.Print_Area" localSheetId="8">'2020'!$A$1:$AD$38</definedName>
    <definedName name="_xlnm.Print_Area" localSheetId="9">'2021'!$A$1:$AD$38</definedName>
    <definedName name="_xlnm.Print_Area" localSheetId="11">'2023'!$A$1:$AD$38</definedName>
    <definedName name="_xlnm.Print_Area" localSheetId="12">'2024'!$A$1:$AD$38</definedName>
    <definedName name="_xlnm.Print_Area" localSheetId="13">'2025'!$A$1:$AD$38</definedName>
    <definedName name="_xlnm.Print_Area" localSheetId="14">'2026'!$A$1:$AD$38</definedName>
  </definedNames>
  <calcPr calcId="162913"/>
</workbook>
</file>

<file path=xl/calcChain.xml><?xml version="1.0" encoding="utf-8"?>
<calcChain xmlns="http://schemas.openxmlformats.org/spreadsheetml/2006/main">
  <c r="AC31" i="17" l="1"/>
  <c r="AC30" i="17"/>
  <c r="AC29" i="17"/>
  <c r="AC28" i="17"/>
  <c r="AC27" i="17"/>
  <c r="AC26" i="17"/>
  <c r="AC25" i="17"/>
  <c r="AC24" i="17"/>
  <c r="AC23" i="17"/>
  <c r="AC22" i="17"/>
  <c r="AC21" i="17"/>
  <c r="AC20" i="17"/>
  <c r="AC18" i="17"/>
  <c r="AC17" i="17"/>
  <c r="AC16" i="17"/>
  <c r="AC15" i="17"/>
  <c r="AC14" i="17"/>
  <c r="AC13" i="17"/>
  <c r="AC12" i="17"/>
  <c r="AC11" i="17"/>
  <c r="AC10" i="17"/>
  <c r="AC9" i="17"/>
  <c r="AC8" i="17"/>
  <c r="AC7" i="17"/>
  <c r="Q5" i="17"/>
  <c r="AC21" i="14" l="1"/>
  <c r="AC8" i="14"/>
  <c r="AC31" i="16" l="1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7" i="16"/>
  <c r="Q5" i="16"/>
  <c r="AC25" i="14" l="1"/>
  <c r="AC31" i="14" l="1"/>
  <c r="AC30" i="14"/>
  <c r="AC29" i="14"/>
  <c r="AC28" i="14"/>
  <c r="AC27" i="14"/>
  <c r="AC26" i="14"/>
  <c r="AC24" i="14"/>
  <c r="AC23" i="14"/>
  <c r="AC22" i="14"/>
  <c r="AC20" i="14"/>
  <c r="AC18" i="14"/>
  <c r="AC17" i="14"/>
  <c r="AC16" i="14"/>
  <c r="AC15" i="14"/>
  <c r="AC14" i="14"/>
  <c r="AC13" i="14"/>
  <c r="AC12" i="14"/>
  <c r="AC11" i="14"/>
  <c r="AC10" i="14"/>
  <c r="AC9" i="14"/>
  <c r="AC7" i="14"/>
  <c r="Q5" i="14"/>
  <c r="AC31" i="12" l="1"/>
  <c r="AC18" i="12"/>
  <c r="AC30" i="12" l="1"/>
  <c r="AC17" i="12"/>
  <c r="AC29" i="12" l="1"/>
  <c r="AC16" i="12"/>
  <c r="AC28" i="12" l="1"/>
  <c r="AC15" i="12"/>
  <c r="AC27" i="12" l="1"/>
  <c r="AC14" i="12"/>
  <c r="AC26" i="12" l="1"/>
  <c r="AC13" i="12"/>
  <c r="AC25" i="12" l="1"/>
  <c r="AC12" i="12"/>
  <c r="AC24" i="12" l="1"/>
  <c r="AC11" i="12"/>
  <c r="AC23" i="12" l="1"/>
  <c r="AC10" i="12"/>
  <c r="AC22" i="12" l="1"/>
  <c r="AC9" i="12"/>
  <c r="AC21" i="12" l="1"/>
  <c r="AC20" i="12"/>
  <c r="AC8" i="12"/>
  <c r="AC7" i="12"/>
  <c r="AC31" i="1" l="1"/>
  <c r="AC30" i="1"/>
  <c r="AC29" i="1"/>
  <c r="AC28" i="1"/>
  <c r="AC27" i="1"/>
  <c r="AC26" i="1"/>
  <c r="AC25" i="1"/>
  <c r="AC24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31" i="2"/>
  <c r="AC30" i="2"/>
  <c r="AC29" i="2"/>
  <c r="AC28" i="2"/>
  <c r="AC27" i="2"/>
  <c r="AC26" i="2"/>
  <c r="AC25" i="2"/>
  <c r="AC24" i="2"/>
  <c r="AC23" i="2"/>
  <c r="AC22" i="2"/>
  <c r="AC21" i="2"/>
  <c r="AC20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31" i="3"/>
  <c r="AC30" i="3"/>
  <c r="AC29" i="3"/>
  <c r="AC28" i="3"/>
  <c r="AC27" i="3"/>
  <c r="AC26" i="3"/>
  <c r="AC25" i="3"/>
  <c r="AC24" i="3"/>
  <c r="AC23" i="3"/>
  <c r="AC22" i="3"/>
  <c r="AC21" i="3"/>
  <c r="AC20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31" i="4"/>
  <c r="AC30" i="4"/>
  <c r="AC29" i="4"/>
  <c r="AC28" i="4"/>
  <c r="AC27" i="4"/>
  <c r="AC26" i="4"/>
  <c r="AC25" i="4"/>
  <c r="AC24" i="4"/>
  <c r="AC23" i="4"/>
  <c r="AC22" i="4"/>
  <c r="AC21" i="4"/>
  <c r="AC20" i="4"/>
  <c r="AC18" i="4"/>
  <c r="AC17" i="4"/>
  <c r="AC16" i="4"/>
  <c r="AC15" i="4"/>
  <c r="AC14" i="4"/>
  <c r="AC13" i="4"/>
  <c r="AC12" i="4"/>
  <c r="AC11" i="4"/>
  <c r="AC10" i="4"/>
  <c r="AC9" i="4"/>
  <c r="AC8" i="4"/>
  <c r="AC7" i="4"/>
  <c r="AC31" i="6"/>
  <c r="AC30" i="6"/>
  <c r="AC29" i="6"/>
  <c r="AC28" i="6"/>
  <c r="AC27" i="6"/>
  <c r="AC26" i="6"/>
  <c r="AC25" i="6"/>
  <c r="AC24" i="6"/>
  <c r="AC23" i="6"/>
  <c r="AC22" i="6"/>
  <c r="AC21" i="6"/>
  <c r="AC20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31" i="5"/>
  <c r="AC30" i="5"/>
  <c r="AC29" i="5"/>
  <c r="AC28" i="5"/>
  <c r="AC27" i="5"/>
  <c r="AC26" i="5"/>
  <c r="AC25" i="5"/>
  <c r="AC24" i="5"/>
  <c r="AC23" i="5"/>
  <c r="AC22" i="5"/>
  <c r="AC21" i="5"/>
  <c r="AC20" i="5"/>
  <c r="AC18" i="5"/>
  <c r="AC17" i="5"/>
  <c r="AC16" i="5"/>
  <c r="AC15" i="5"/>
  <c r="AC14" i="5"/>
  <c r="AC13" i="5"/>
  <c r="AC12" i="5"/>
  <c r="AC11" i="5"/>
  <c r="AC10" i="5"/>
  <c r="AC9" i="5"/>
  <c r="AC8" i="5"/>
  <c r="AC7" i="5"/>
  <c r="AC31" i="7"/>
  <c r="AC30" i="7"/>
  <c r="AC29" i="7"/>
  <c r="AC28" i="7"/>
  <c r="AC27" i="7"/>
  <c r="AC26" i="7"/>
  <c r="AC25" i="7"/>
  <c r="AC24" i="7"/>
  <c r="AC23" i="7"/>
  <c r="AC22" i="7"/>
  <c r="AC21" i="7"/>
  <c r="AC20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C31" i="9"/>
  <c r="AC30" i="9"/>
  <c r="AC29" i="9"/>
  <c r="AC28" i="9"/>
  <c r="AC27" i="9"/>
  <c r="AC26" i="9"/>
  <c r="AC25" i="9"/>
  <c r="AC24" i="9"/>
  <c r="AC23" i="9"/>
  <c r="AC22" i="9"/>
  <c r="AC21" i="9"/>
  <c r="AC20" i="9"/>
  <c r="AC18" i="9"/>
  <c r="AC17" i="9"/>
  <c r="AC16" i="9"/>
  <c r="AC15" i="9"/>
  <c r="AC14" i="9"/>
  <c r="AC13" i="9"/>
  <c r="AC12" i="9"/>
  <c r="AC11" i="9"/>
  <c r="AC10" i="9"/>
  <c r="AC9" i="9"/>
  <c r="AC8" i="9"/>
  <c r="AC7" i="9"/>
  <c r="AC31" i="8"/>
  <c r="AC30" i="8"/>
  <c r="AC29" i="8"/>
  <c r="AC28" i="8"/>
  <c r="AC27" i="8"/>
  <c r="AC26" i="8"/>
  <c r="AC25" i="8"/>
  <c r="AC24" i="8"/>
  <c r="AC23" i="8"/>
  <c r="AC22" i="8"/>
  <c r="AC21" i="8"/>
  <c r="AC20" i="8"/>
  <c r="AC18" i="8"/>
  <c r="AC17" i="8"/>
  <c r="AC16" i="8"/>
  <c r="AC15" i="8"/>
  <c r="AC14" i="8"/>
  <c r="AC13" i="8"/>
  <c r="AC12" i="8"/>
  <c r="AC11" i="8"/>
  <c r="AC10" i="8"/>
  <c r="AC9" i="8"/>
  <c r="AC8" i="8"/>
  <c r="AC7" i="8"/>
  <c r="AC31" i="13"/>
  <c r="AC30" i="13"/>
  <c r="AC29" i="13"/>
  <c r="AC28" i="13"/>
  <c r="AC27" i="13"/>
  <c r="AC26" i="13"/>
  <c r="AC25" i="13"/>
  <c r="AC24" i="13"/>
  <c r="AC23" i="13"/>
  <c r="AC22" i="13"/>
  <c r="AC21" i="13"/>
  <c r="AC20" i="13"/>
  <c r="AC18" i="13"/>
  <c r="AC17" i="13"/>
  <c r="AC16" i="13"/>
  <c r="AC15" i="13"/>
  <c r="AC14" i="13"/>
  <c r="AC13" i="13"/>
  <c r="AC12" i="13"/>
  <c r="AC11" i="13"/>
  <c r="AC10" i="13"/>
  <c r="AC9" i="13"/>
  <c r="AC8" i="13"/>
  <c r="AC7" i="13"/>
  <c r="AC31" i="11"/>
  <c r="AC30" i="11"/>
  <c r="AC29" i="11"/>
  <c r="AC28" i="11"/>
  <c r="AC27" i="11"/>
  <c r="AC26" i="11"/>
  <c r="AC25" i="11"/>
  <c r="AC24" i="11"/>
  <c r="AC23" i="11"/>
  <c r="AC22" i="11"/>
  <c r="AC21" i="11"/>
  <c r="AC20" i="11"/>
  <c r="AC16" i="11"/>
  <c r="AC17" i="11"/>
  <c r="AC18" i="11"/>
  <c r="AC15" i="11"/>
  <c r="AC14" i="11"/>
  <c r="AC13" i="11"/>
  <c r="AC12" i="11"/>
  <c r="AC11" i="11"/>
  <c r="AC10" i="11"/>
  <c r="AC9" i="11"/>
  <c r="AC8" i="11"/>
  <c r="AC7" i="11"/>
  <c r="Q5" i="13" l="1"/>
  <c r="Q5" i="12" l="1"/>
  <c r="Q5" i="11" l="1"/>
  <c r="E5" i="9" l="1"/>
  <c r="Q5" i="9" s="1"/>
  <c r="Q5" i="8" l="1"/>
  <c r="E5" i="7" l="1"/>
  <c r="Q5" i="7" s="1"/>
  <c r="C20" i="6" l="1"/>
  <c r="E5" i="6"/>
  <c r="Q5" i="6" s="1"/>
  <c r="C20" i="1" l="1"/>
  <c r="E5" i="5"/>
  <c r="Q5" i="5" s="1"/>
  <c r="E5" i="4"/>
  <c r="Q5" i="4" s="1"/>
  <c r="C20" i="4"/>
  <c r="Q5" i="3"/>
  <c r="Q5" i="2"/>
  <c r="Q5" i="1" l="1"/>
</calcChain>
</file>

<file path=xl/sharedStrings.xml><?xml version="1.0" encoding="utf-8"?>
<sst xmlns="http://schemas.openxmlformats.org/spreadsheetml/2006/main" count="900" uniqueCount="24">
  <si>
    <t>Projeksiyon Ayları</t>
  </si>
  <si>
    <t>Projeksiyon Zamanı (**)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</si>
  <si>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</si>
  <si>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</si>
  <si>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</si>
  <si>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</si>
  <si>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</si>
  <si>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</si>
  <si>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</si>
  <si>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</si>
  <si>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</si>
  <si>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</si>
  <si>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</si>
  <si>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</si>
  <si>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ANAPARA</t>
  </si>
  <si>
    <t>FAİZ</t>
  </si>
  <si>
    <t>(Milyon TL)</t>
  </si>
  <si>
    <t>Soru ve görüşleriniz için:</t>
  </si>
  <si>
    <t>MERKEZİ YÖNETİM İÇ BORÇ ÖDEME PROJEKSİYONLARI - AYLIK (*)</t>
  </si>
  <si>
    <t>(**) İlgili ayda yapılan projeksiyonları ifade etmektedir.</t>
  </si>
  <si>
    <t>(*) "Projeksiyon Zamanı" nda belirtilen ayda merkezi yönetim iç borç geri ödeme tahminlerinin aylar itibarıyla dağılımını göstermektedir.</t>
  </si>
  <si>
    <t>T.C. Hazine ve Maliye Bakanlığı, Kamu Finansmanı Genel Müdürlüğü</t>
  </si>
  <si>
    <t>TOPLAM</t>
  </si>
  <si>
    <t>E-posta: kaf.icborc@hmb.gov.tr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</si>
</sst>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_₺_-;\-* #,##0.00\ _₺_-;_-* &quot;-&quot;??\ _₺_-;_-@_-"/>
    <numFmt numFmtId="165" formatCode="[$-41F]mmmm\ yy;@"/>
    <numFmt numFmtId="166" formatCode="0.0"/>
    <numFmt numFmtId="167" formatCode="_-* #,##0.0\ _₺_-;\-* #,##0.0\ _₺_-;_-* &quot;-&quot;??\ _₺_-;_-@_-"/>
  </numFmts>
  <fonts count="20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i/>
      <sz val="12"/>
      <name val="Arial"/>
      <family val="2"/>
      <charset val="162"/>
    </font>
    <font>
      <u/>
      <sz val="10"/>
      <color theme="10"/>
      <name val="Arial"/>
      <family val="2"/>
      <charset val="16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  <charset val="162"/>
    </font>
    <font>
      <sz val="10"/>
      <color indexed="8"/>
      <name val="Arial"/>
      <family val="2"/>
      <charset val="162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162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2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 style="thin">
        <color indexed="64"/>
      </right>
      <top/>
      <bottom/>
      <diagonal/>
    </border>
  </borders>
  <cellStyleXfs count="68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7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5" borderId="0" applyNumberFormat="0" applyBorder="0" applyAlignment="0" applyProtection="0"/>
    <xf numFmtId="0" fontId="6" fillId="13" borderId="0" applyNumberFormat="0" applyBorder="0" applyAlignment="0" applyProtection="0"/>
    <xf numFmtId="0" fontId="6" fillId="8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1" fillId="0" borderId="0"/>
    <xf numFmtId="4" fontId="9" fillId="18" borderId="14" applyNumberFormat="0" applyProtection="0">
      <alignment vertical="center"/>
    </xf>
    <xf numFmtId="4" fontId="10" fillId="18" borderId="14" applyNumberFormat="0" applyProtection="0">
      <alignment vertical="center"/>
    </xf>
    <xf numFmtId="4" fontId="9" fillId="18" borderId="14" applyNumberFormat="0" applyProtection="0">
      <alignment horizontal="left" vertical="center" indent="1"/>
    </xf>
    <xf numFmtId="0" fontId="9" fillId="18" borderId="14" applyNumberFormat="0" applyProtection="0">
      <alignment horizontal="left" vertical="top" indent="1"/>
    </xf>
    <xf numFmtId="4" fontId="9" fillId="19" borderId="0" applyNumberFormat="0" applyProtection="0">
      <alignment horizontal="left" vertical="center" indent="1"/>
    </xf>
    <xf numFmtId="4" fontId="11" fillId="20" borderId="14" applyNumberFormat="0" applyProtection="0">
      <alignment horizontal="right" vertical="center"/>
    </xf>
    <xf numFmtId="4" fontId="11" fillId="21" borderId="14" applyNumberFormat="0" applyProtection="0">
      <alignment horizontal="right" vertical="center"/>
    </xf>
    <xf numFmtId="4" fontId="11" fillId="22" borderId="14" applyNumberFormat="0" applyProtection="0">
      <alignment horizontal="right" vertical="center"/>
    </xf>
    <xf numFmtId="4" fontId="11" fillId="23" borderId="14" applyNumberFormat="0" applyProtection="0">
      <alignment horizontal="right" vertical="center"/>
    </xf>
    <xf numFmtId="4" fontId="11" fillId="24" borderId="14" applyNumberFormat="0" applyProtection="0">
      <alignment horizontal="right" vertical="center"/>
    </xf>
    <xf numFmtId="4" fontId="11" fillId="25" borderId="14" applyNumberFormat="0" applyProtection="0">
      <alignment horizontal="right" vertical="center"/>
    </xf>
    <xf numFmtId="4" fontId="11" fillId="26" borderId="14" applyNumberFormat="0" applyProtection="0">
      <alignment horizontal="right" vertical="center"/>
    </xf>
    <xf numFmtId="4" fontId="11" fillId="27" borderId="14" applyNumberFormat="0" applyProtection="0">
      <alignment horizontal="right" vertical="center"/>
    </xf>
    <xf numFmtId="4" fontId="11" fillId="28" borderId="14" applyNumberFormat="0" applyProtection="0">
      <alignment horizontal="right" vertical="center"/>
    </xf>
    <xf numFmtId="4" fontId="9" fillId="29" borderId="15" applyNumberFormat="0" applyProtection="0">
      <alignment horizontal="left" vertical="center" indent="1"/>
    </xf>
    <xf numFmtId="4" fontId="11" fillId="30" borderId="0" applyNumberFormat="0" applyProtection="0">
      <alignment horizontal="left" vertical="center" indent="1"/>
    </xf>
    <xf numFmtId="4" fontId="12" fillId="31" borderId="0" applyNumberFormat="0" applyProtection="0">
      <alignment horizontal="left" vertical="center" indent="1"/>
    </xf>
    <xf numFmtId="4" fontId="11" fillId="19" borderId="14" applyNumberFormat="0" applyProtection="0">
      <alignment horizontal="right" vertical="center"/>
    </xf>
    <xf numFmtId="4" fontId="13" fillId="30" borderId="0" applyNumberFormat="0" applyProtection="0">
      <alignment horizontal="left" vertical="center" indent="1"/>
    </xf>
    <xf numFmtId="4" fontId="13" fillId="19" borderId="0" applyNumberFormat="0" applyProtection="0">
      <alignment horizontal="left" vertical="center" indent="1"/>
    </xf>
    <xf numFmtId="0" fontId="1" fillId="31" borderId="14" applyNumberFormat="0" applyProtection="0">
      <alignment horizontal="left" vertical="center" indent="1"/>
    </xf>
    <xf numFmtId="0" fontId="1" fillId="31" borderId="14" applyNumberFormat="0" applyProtection="0">
      <alignment horizontal="left" vertical="top" indent="1"/>
    </xf>
    <xf numFmtId="0" fontId="1" fillId="19" borderId="14" applyNumberFormat="0" applyProtection="0">
      <alignment horizontal="left" vertical="center" indent="1"/>
    </xf>
    <xf numFmtId="0" fontId="1" fillId="19" borderId="14" applyNumberFormat="0" applyProtection="0">
      <alignment horizontal="left" vertical="top" indent="1"/>
    </xf>
    <xf numFmtId="0" fontId="1" fillId="32" borderId="14" applyNumberFormat="0" applyProtection="0">
      <alignment horizontal="left" vertical="center" indent="1"/>
    </xf>
    <xf numFmtId="0" fontId="1" fillId="32" borderId="14" applyNumberFormat="0" applyProtection="0">
      <alignment horizontal="left" vertical="top" indent="1"/>
    </xf>
    <xf numFmtId="0" fontId="1" fillId="30" borderId="14" applyNumberFormat="0" applyProtection="0">
      <alignment horizontal="left" vertical="center" indent="1"/>
    </xf>
    <xf numFmtId="0" fontId="1" fillId="30" borderId="14" applyNumberFormat="0" applyProtection="0">
      <alignment horizontal="left" vertical="top" indent="1"/>
    </xf>
    <xf numFmtId="0" fontId="14" fillId="31" borderId="16" applyBorder="0"/>
    <xf numFmtId="0" fontId="1" fillId="33" borderId="10" applyNumberFormat="0">
      <protection locked="0"/>
    </xf>
    <xf numFmtId="4" fontId="11" fillId="34" borderId="14" applyNumberFormat="0" applyProtection="0">
      <alignment vertical="center"/>
    </xf>
    <xf numFmtId="4" fontId="15" fillId="34" borderId="14" applyNumberFormat="0" applyProtection="0">
      <alignment vertical="center"/>
    </xf>
    <xf numFmtId="4" fontId="11" fillId="34" borderId="14" applyNumberFormat="0" applyProtection="0">
      <alignment horizontal="left" vertical="center" indent="1"/>
    </xf>
    <xf numFmtId="0" fontId="11" fillId="34" borderId="14" applyNumberFormat="0" applyProtection="0">
      <alignment horizontal="left" vertical="top" indent="1"/>
    </xf>
    <xf numFmtId="4" fontId="11" fillId="30" borderId="14" applyNumberFormat="0" applyProtection="0">
      <alignment horizontal="right" vertical="center"/>
    </xf>
    <xf numFmtId="4" fontId="15" fillId="30" borderId="14" applyNumberFormat="0" applyProtection="0">
      <alignment horizontal="right" vertical="center"/>
    </xf>
    <xf numFmtId="4" fontId="11" fillId="19" borderId="14" applyNumberFormat="0" applyProtection="0">
      <alignment horizontal="left" vertical="center" indent="1"/>
    </xf>
    <xf numFmtId="0" fontId="11" fillId="19" borderId="14" applyNumberFormat="0" applyProtection="0">
      <alignment horizontal="left" vertical="top" indent="1"/>
    </xf>
    <xf numFmtId="4" fontId="16" fillId="35" borderId="0" applyNumberFormat="0" applyProtection="0">
      <alignment horizontal="left" vertical="center" indent="1"/>
    </xf>
    <xf numFmtId="0" fontId="17" fillId="36" borderId="10"/>
    <xf numFmtId="4" fontId="18" fillId="30" borderId="14" applyNumberFormat="0" applyProtection="0">
      <alignment horizontal="right" vertical="center"/>
    </xf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1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/>
    <xf numFmtId="0" fontId="4" fillId="3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10" xfId="0" applyNumberFormat="1" applyFont="1" applyFill="1" applyBorder="1" applyAlignment="1">
      <alignment horizontal="right" vertical="center"/>
    </xf>
    <xf numFmtId="3" fontId="3" fillId="2" borderId="0" xfId="0" applyNumberFormat="1" applyFont="1" applyFill="1"/>
    <xf numFmtId="0" fontId="3" fillId="3" borderId="0" xfId="1" applyFont="1" applyFill="1" applyBorder="1" applyAlignment="1"/>
    <xf numFmtId="4" fontId="3" fillId="2" borderId="6" xfId="0" applyNumberFormat="1" applyFont="1" applyFill="1" applyBorder="1" applyAlignment="1">
      <alignment horizontal="right" vertical="center"/>
    </xf>
    <xf numFmtId="4" fontId="3" fillId="2" borderId="10" xfId="0" applyNumberFormat="1" applyFont="1" applyFill="1" applyBorder="1" applyAlignment="1">
      <alignment horizontal="right" vertical="center"/>
    </xf>
    <xf numFmtId="4" fontId="3" fillId="2" borderId="0" xfId="0" applyNumberFormat="1" applyFont="1" applyFill="1" applyBorder="1"/>
    <xf numFmtId="4" fontId="3" fillId="2" borderId="17" xfId="0" applyNumberFormat="1" applyFont="1" applyFill="1" applyBorder="1"/>
    <xf numFmtId="4" fontId="3" fillId="2" borderId="0" xfId="0" applyNumberFormat="1" applyFont="1" applyFill="1" applyBorder="1" applyAlignment="1">
      <alignment horizontal="right" vertical="center"/>
    </xf>
    <xf numFmtId="4" fontId="3" fillId="2" borderId="5" xfId="0" applyNumberFormat="1" applyFont="1" applyFill="1" applyBorder="1"/>
    <xf numFmtId="4" fontId="3" fillId="2" borderId="5" xfId="0" applyNumberFormat="1" applyFont="1" applyFill="1" applyBorder="1" applyAlignment="1">
      <alignment horizontal="right" vertical="center"/>
    </xf>
    <xf numFmtId="4" fontId="3" fillId="2" borderId="6" xfId="0" applyNumberFormat="1" applyFont="1" applyFill="1" applyBorder="1"/>
    <xf numFmtId="4" fontId="3" fillId="2" borderId="11" xfId="0" applyNumberFormat="1" applyFont="1" applyFill="1" applyBorder="1" applyAlignment="1">
      <alignment horizontal="right" vertical="center"/>
    </xf>
    <xf numFmtId="4" fontId="3" fillId="2" borderId="8" xfId="0" applyNumberFormat="1" applyFont="1" applyFill="1" applyBorder="1"/>
    <xf numFmtId="4" fontId="3" fillId="2" borderId="9" xfId="0" applyNumberFormat="1" applyFont="1" applyFill="1" applyBorder="1"/>
    <xf numFmtId="164" fontId="3" fillId="2" borderId="0" xfId="67" applyFont="1" applyFill="1" applyBorder="1"/>
    <xf numFmtId="164" fontId="3" fillId="2" borderId="8" xfId="67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0" xfId="0" applyNumberFormat="1" applyFont="1" applyFill="1"/>
    <xf numFmtId="165" fontId="2" fillId="2" borderId="1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4" fontId="3" fillId="2" borderId="1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/>
    </xf>
    <xf numFmtId="4" fontId="3" fillId="2" borderId="17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center"/>
    </xf>
    <xf numFmtId="4" fontId="3" fillId="2" borderId="8" xfId="0" applyNumberFormat="1" applyFont="1" applyFill="1" applyBorder="1" applyAlignment="1">
      <alignment horizontal="center"/>
    </xf>
    <xf numFmtId="164" fontId="3" fillId="2" borderId="8" xfId="67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0" xfId="67" applyFont="1" applyFill="1" applyBorder="1" applyAlignment="1">
      <alignment horizontal="right" vertical="center"/>
    </xf>
    <xf numFmtId="4" fontId="3" fillId="0" borderId="10" xfId="0" applyNumberFormat="1" applyFont="1" applyFill="1" applyBorder="1" applyAlignment="1">
      <alignment horizontal="right" vertical="center"/>
    </xf>
    <xf numFmtId="165" fontId="2" fillId="0" borderId="10" xfId="0" applyNumberFormat="1" applyFont="1" applyFill="1" applyBorder="1" applyAlignment="1">
      <alignment horizontal="center" vertical="center"/>
    </xf>
    <xf numFmtId="4" fontId="3" fillId="0" borderId="6" xfId="0" applyNumberFormat="1" applyFont="1" applyFill="1" applyBorder="1"/>
    <xf numFmtId="0" fontId="3" fillId="0" borderId="0" xfId="0" applyFont="1" applyFill="1"/>
    <xf numFmtId="0" fontId="5" fillId="3" borderId="0" xfId="2" applyFill="1" applyAlignment="1" applyProtection="1"/>
    <xf numFmtId="0" fontId="2" fillId="3" borderId="0" xfId="1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" fontId="3" fillId="2" borderId="13" xfId="0" applyNumberFormat="1" applyFont="1" applyFill="1" applyBorder="1"/>
    <xf numFmtId="166" fontId="3" fillId="2" borderId="0" xfId="0" applyNumberFormat="1" applyFont="1" applyFill="1"/>
    <xf numFmtId="167" fontId="3" fillId="2" borderId="0" xfId="67" applyNumberFormat="1" applyFont="1" applyFill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textRotation="90"/>
    </xf>
    <xf numFmtId="0" fontId="2" fillId="2" borderId="11" xfId="0" applyFont="1" applyFill="1" applyBorder="1" applyAlignment="1">
      <alignment horizontal="center" vertical="center"/>
    </xf>
  </cellXfs>
  <cellStyles count="68">
    <cellStyle name="Accent1 - 20%" xfId="3"/>
    <cellStyle name="Accent1 - 40%" xfId="4"/>
    <cellStyle name="Accent1 - 60%" xfId="5"/>
    <cellStyle name="Accent2 - 20%" xfId="6"/>
    <cellStyle name="Accent2 - 40%" xfId="7"/>
    <cellStyle name="Accent2 - 60%" xfId="8"/>
    <cellStyle name="Accent3 - 20%" xfId="9"/>
    <cellStyle name="Accent3 - 40%" xfId="10"/>
    <cellStyle name="Accent3 - 60%" xfId="11"/>
    <cellStyle name="Accent4 - 20%" xfId="12"/>
    <cellStyle name="Accent4 - 40%" xfId="13"/>
    <cellStyle name="Accent4 - 60%" xfId="14"/>
    <cellStyle name="Accent5 - 20%" xfId="15"/>
    <cellStyle name="Accent5 - 40%" xfId="16"/>
    <cellStyle name="Accent5 - 60%" xfId="17"/>
    <cellStyle name="Accent6 - 20%" xfId="18"/>
    <cellStyle name="Accent6 - 40%" xfId="19"/>
    <cellStyle name="Accent6 - 60%" xfId="20"/>
    <cellStyle name="Comma" xfId="67" builtinId="3"/>
    <cellStyle name="Emphasis 1" xfId="21"/>
    <cellStyle name="Emphasis 2" xfId="22"/>
    <cellStyle name="Emphasis 3" xfId="23"/>
    <cellStyle name="Hyperlink" xfId="2" builtinId="8"/>
    <cellStyle name="Normal" xfId="0" builtinId="0"/>
    <cellStyle name="Normal 3" xfId="24"/>
    <cellStyle name="Normal_Hepsi01" xfId="1"/>
    <cellStyle name="SAPBEXaggData" xfId="25"/>
    <cellStyle name="SAPBEXaggDataEmph" xfId="26"/>
    <cellStyle name="SAPBEXaggItem" xfId="27"/>
    <cellStyle name="SAPBEXaggItemX" xfId="28"/>
    <cellStyle name="SAPBEXchaText" xfId="29"/>
    <cellStyle name="SAPBEXexcBad7" xfId="30"/>
    <cellStyle name="SAPBEXexcBad8" xfId="31"/>
    <cellStyle name="SAPBEXexcBad9" xfId="32"/>
    <cellStyle name="SAPBEXexcCritical4" xfId="33"/>
    <cellStyle name="SAPBEXexcCritical5" xfId="34"/>
    <cellStyle name="SAPBEXexcCritical6" xfId="35"/>
    <cellStyle name="SAPBEXexcGood1" xfId="36"/>
    <cellStyle name="SAPBEXexcGood2" xfId="37"/>
    <cellStyle name="SAPBEXexcGood3" xfId="38"/>
    <cellStyle name="SAPBEXfilterDrill" xfId="39"/>
    <cellStyle name="SAPBEXfilterItem" xfId="40"/>
    <cellStyle name="SAPBEXfilterText" xfId="41"/>
    <cellStyle name="SAPBEXformats" xfId="42"/>
    <cellStyle name="SAPBEXheaderItem" xfId="43"/>
    <cellStyle name="SAPBEXheaderText" xfId="44"/>
    <cellStyle name="SAPBEXHLevel0" xfId="45"/>
    <cellStyle name="SAPBEXHLevel0X" xfId="46"/>
    <cellStyle name="SAPBEXHLevel1" xfId="47"/>
    <cellStyle name="SAPBEXHLevel1X" xfId="48"/>
    <cellStyle name="SAPBEXHLevel2" xfId="49"/>
    <cellStyle name="SAPBEXHLevel2X" xfId="50"/>
    <cellStyle name="SAPBEXHLevel3" xfId="51"/>
    <cellStyle name="SAPBEXHLevel3X" xfId="52"/>
    <cellStyle name="SAPBEXItemHeader" xfId="53"/>
    <cellStyle name="SAPBEXinputData" xfId="54"/>
    <cellStyle name="SAPBEXresData" xfId="55"/>
    <cellStyle name="SAPBEXresDataEmph" xfId="56"/>
    <cellStyle name="SAPBEXresItem" xfId="57"/>
    <cellStyle name="SAPBEXresItemX" xfId="58"/>
    <cellStyle name="SAPBEXstdData" xfId="59"/>
    <cellStyle name="SAPBEXstdDataEmph" xfId="60"/>
    <cellStyle name="SAPBEXstdItem" xfId="61"/>
    <cellStyle name="SAPBEXstdItemX" xfId="62"/>
    <cellStyle name="SAPBEXtitle" xfId="63"/>
    <cellStyle name="SAPBEXunassignedItem" xfId="64"/>
    <cellStyle name="SAPBEXundefined" xfId="65"/>
    <cellStyle name="Sheet Title" xfId="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af.icborc@hmb.gov.t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af.icborc@hmb.gov.tr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kaf.icborc@hmb.gov.t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kaf.icborc@hmb.gov.tr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kaf.icborc@hmb.gov.tr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kaf.icborc@hmb.gov.tr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kaf.icborc@hmb.gov.tr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kaf.icborc@hmb.gov.tr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kaf.icborc@hmb.gov.tr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mailto:kaf.icborc@hmb.gov.t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kaf.icborc@hmb.gov.tr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kaf.icborc@hmb.gov.tr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kaf.icborc@hmb.gov.tr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kaf.icborc@hmb.gov.tr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kaf.icborc@hmb.gov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2012</v>
      </c>
      <c r="D7" s="3" t="s">
        <v>2</v>
      </c>
      <c r="E7" s="16">
        <v>13632.264569739998</v>
      </c>
      <c r="F7" s="17">
        <v>8926.0710006466506</v>
      </c>
      <c r="G7" s="17">
        <v>11751.383168679997</v>
      </c>
      <c r="H7" s="17">
        <v>12905.7176922</v>
      </c>
      <c r="I7" s="17">
        <v>0</v>
      </c>
      <c r="J7" s="17">
        <v>0</v>
      </c>
      <c r="K7" s="17">
        <v>0</v>
      </c>
      <c r="L7" s="17">
        <v>12282.13384959</v>
      </c>
      <c r="M7" s="17">
        <v>5646.1618279999993</v>
      </c>
      <c r="N7" s="17">
        <v>540.93799999999999</v>
      </c>
      <c r="O7" s="17">
        <v>16021.075777620003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81705.745886476638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8921.0302040000006</v>
      </c>
      <c r="G8" s="17">
        <v>11751.383168679997</v>
      </c>
      <c r="H8" s="17">
        <v>12905.7176922</v>
      </c>
      <c r="I8" s="17">
        <v>0</v>
      </c>
      <c r="J8" s="17">
        <v>0</v>
      </c>
      <c r="K8" s="17">
        <v>0</v>
      </c>
      <c r="L8" s="17">
        <v>12282.13384959</v>
      </c>
      <c r="M8" s="17">
        <v>5646.1618279999993</v>
      </c>
      <c r="N8" s="17">
        <v>540.93799999999999</v>
      </c>
      <c r="O8" s="17">
        <v>16021.075777620003</v>
      </c>
      <c r="P8" s="17">
        <v>0</v>
      </c>
      <c r="Q8" s="17">
        <v>8862.3546229999993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76930.795143089985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11751.383168679997</v>
      </c>
      <c r="H9" s="17">
        <v>12905.7176922</v>
      </c>
      <c r="I9" s="17">
        <v>0</v>
      </c>
      <c r="J9" s="17">
        <v>0</v>
      </c>
      <c r="K9" s="17">
        <v>0</v>
      </c>
      <c r="L9" s="17">
        <v>12282.13384959</v>
      </c>
      <c r="M9" s="17">
        <v>5646.1618279999993</v>
      </c>
      <c r="N9" s="17">
        <v>540.93799999999999</v>
      </c>
      <c r="O9" s="17">
        <v>16021.075777619999</v>
      </c>
      <c r="P9" s="17">
        <v>0</v>
      </c>
      <c r="Q9" s="17">
        <v>8862.3546229999993</v>
      </c>
      <c r="R9" s="17">
        <v>11021.7852363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79031.550175389988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12905.7176922</v>
      </c>
      <c r="I10" s="17">
        <v>0</v>
      </c>
      <c r="J10" s="17">
        <v>0</v>
      </c>
      <c r="K10" s="17">
        <v>0</v>
      </c>
      <c r="L10" s="17">
        <v>12282.13384959</v>
      </c>
      <c r="M10" s="17">
        <v>5646.1618279999993</v>
      </c>
      <c r="N10" s="17">
        <v>540.93799999999999</v>
      </c>
      <c r="O10" s="17">
        <v>16021.075777619999</v>
      </c>
      <c r="P10" s="17">
        <v>0</v>
      </c>
      <c r="Q10" s="17">
        <v>8862.3546229999993</v>
      </c>
      <c r="R10" s="17">
        <v>11021.7852363</v>
      </c>
      <c r="S10" s="17">
        <v>6799.5625682399996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74079.72957494999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0.5</v>
      </c>
      <c r="J11" s="17">
        <v>0</v>
      </c>
      <c r="K11" s="17">
        <v>0</v>
      </c>
      <c r="L11" s="17">
        <v>12282.13384959</v>
      </c>
      <c r="M11" s="17">
        <v>5646.1618279999993</v>
      </c>
      <c r="N11" s="17">
        <v>540.93799999999999</v>
      </c>
      <c r="O11" s="17">
        <v>16021.075777619999</v>
      </c>
      <c r="P11" s="17">
        <v>0</v>
      </c>
      <c r="Q11" s="17">
        <v>8862.3546229999993</v>
      </c>
      <c r="R11" s="17">
        <v>11021.7852363</v>
      </c>
      <c r="S11" s="17">
        <v>7732.45888595</v>
      </c>
      <c r="T11" s="17">
        <v>13729.797694000001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75837.205894459999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0.75</v>
      </c>
      <c r="K12" s="17">
        <v>0</v>
      </c>
      <c r="L12" s="17">
        <v>12282.13384959</v>
      </c>
      <c r="M12" s="17">
        <v>5646.1618279999993</v>
      </c>
      <c r="N12" s="17">
        <v>540.93799999999999</v>
      </c>
      <c r="O12" s="17">
        <v>16021.075777619999</v>
      </c>
      <c r="P12" s="17">
        <v>0</v>
      </c>
      <c r="Q12" s="17">
        <v>8862.3546229999993</v>
      </c>
      <c r="R12" s="17">
        <v>11021.7852363</v>
      </c>
      <c r="S12" s="17">
        <v>7732.45888595</v>
      </c>
      <c r="T12" s="17">
        <v>13729.797694000001</v>
      </c>
      <c r="U12" s="17">
        <v>12972.214780099999</v>
      </c>
      <c r="V12" s="18"/>
      <c r="W12" s="18"/>
      <c r="X12" s="18"/>
      <c r="Y12" s="18"/>
      <c r="Z12" s="18"/>
      <c r="AA12" s="18"/>
      <c r="AB12" s="19"/>
      <c r="AC12" s="19">
        <f>+SUM(J12:U12)</f>
        <v>88809.670674559995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</v>
      </c>
      <c r="L13" s="17">
        <v>12282.13384959</v>
      </c>
      <c r="M13" s="17">
        <v>5646.1618279999993</v>
      </c>
      <c r="N13" s="17">
        <v>540.93799999999999</v>
      </c>
      <c r="O13" s="17">
        <v>16021.075777619999</v>
      </c>
      <c r="P13" s="17">
        <v>0</v>
      </c>
      <c r="Q13" s="17">
        <v>8862.3546229999993</v>
      </c>
      <c r="R13" s="17">
        <v>11021.7852363</v>
      </c>
      <c r="S13" s="17">
        <v>7732.45888595</v>
      </c>
      <c r="T13" s="17">
        <v>13729.797694000001</v>
      </c>
      <c r="U13" s="17">
        <v>12972.214780099999</v>
      </c>
      <c r="V13" s="17">
        <v>13377.197787999998</v>
      </c>
      <c r="W13" s="18"/>
      <c r="X13" s="18"/>
      <c r="Y13" s="18"/>
      <c r="Z13" s="18"/>
      <c r="AA13" s="18"/>
      <c r="AB13" s="19"/>
      <c r="AC13" s="19">
        <f>+SUM(K13:V13)</f>
        <v>102196.11846256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12282.633849589998</v>
      </c>
      <c r="M14" s="16">
        <v>5646.1618279999993</v>
      </c>
      <c r="N14" s="17">
        <v>540.93799999999999</v>
      </c>
      <c r="O14" s="17">
        <v>16021.075777619999</v>
      </c>
      <c r="P14" s="17">
        <v>0</v>
      </c>
      <c r="Q14" s="17">
        <v>8862.3546229999993</v>
      </c>
      <c r="R14" s="17">
        <v>11021.7852363</v>
      </c>
      <c r="S14" s="17">
        <v>7732.45888595</v>
      </c>
      <c r="T14" s="17">
        <v>13729.797694000001</v>
      </c>
      <c r="U14" s="17">
        <v>12972.214780099999</v>
      </c>
      <c r="V14" s="17">
        <v>13377.197787999998</v>
      </c>
      <c r="W14" s="17">
        <v>7900.6365288299994</v>
      </c>
      <c r="X14" s="18"/>
      <c r="Y14" s="18"/>
      <c r="Z14" s="18"/>
      <c r="AA14" s="18"/>
      <c r="AB14" s="19"/>
      <c r="AC14" s="19">
        <f>+SUM(L14:W14)</f>
        <v>110087.25499139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5646.1618279999993</v>
      </c>
      <c r="N15" s="17">
        <v>540.93799999999999</v>
      </c>
      <c r="O15" s="17">
        <v>16021.075777619999</v>
      </c>
      <c r="P15" s="17">
        <v>0</v>
      </c>
      <c r="Q15" s="17">
        <v>8862.3546229999993</v>
      </c>
      <c r="R15" s="17">
        <v>11021.7852363</v>
      </c>
      <c r="S15" s="17">
        <v>7732.45888595</v>
      </c>
      <c r="T15" s="17">
        <v>13729.797694000001</v>
      </c>
      <c r="U15" s="17">
        <v>12972.214780099999</v>
      </c>
      <c r="V15" s="17">
        <v>13377.197787999998</v>
      </c>
      <c r="W15" s="17">
        <v>7900.6365288299994</v>
      </c>
      <c r="X15" s="17">
        <v>10635.062177000002</v>
      </c>
      <c r="Y15" s="18"/>
      <c r="Z15" s="18"/>
      <c r="AA15" s="18"/>
      <c r="AB15" s="19"/>
      <c r="AC15" s="19">
        <f>+SUM(M15:X15)</f>
        <v>108439.6833188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540.93799999999999</v>
      </c>
      <c r="O16" s="17">
        <v>16021.075777619999</v>
      </c>
      <c r="P16" s="17">
        <v>0</v>
      </c>
      <c r="Q16" s="17">
        <v>8862.3546229999993</v>
      </c>
      <c r="R16" s="17">
        <v>11021.7852363</v>
      </c>
      <c r="S16" s="17">
        <v>7732.45888595</v>
      </c>
      <c r="T16" s="17">
        <v>13729.797694000001</v>
      </c>
      <c r="U16" s="17">
        <v>12972.214780099999</v>
      </c>
      <c r="V16" s="17">
        <v>13377.197787999998</v>
      </c>
      <c r="W16" s="17">
        <v>7900.6365288299994</v>
      </c>
      <c r="X16" s="17">
        <v>10635.062177000002</v>
      </c>
      <c r="Y16" s="17">
        <v>4321.5888606599992</v>
      </c>
      <c r="Z16" s="18"/>
      <c r="AA16" s="18"/>
      <c r="AB16" s="19"/>
      <c r="AC16" s="19">
        <f>+SUM(N16:Y16)</f>
        <v>107115.11035146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16021.075777619999</v>
      </c>
      <c r="P17" s="17">
        <v>0</v>
      </c>
      <c r="Q17" s="17">
        <v>8862.3546229999993</v>
      </c>
      <c r="R17" s="17">
        <v>11021.7852363</v>
      </c>
      <c r="S17" s="17">
        <v>7732.45888595</v>
      </c>
      <c r="T17" s="17">
        <v>13729.797694000001</v>
      </c>
      <c r="U17" s="17">
        <v>12972.214780099999</v>
      </c>
      <c r="V17" s="17">
        <v>13377.197787999998</v>
      </c>
      <c r="W17" s="17">
        <v>7900.6365288299994</v>
      </c>
      <c r="X17" s="17">
        <v>10635.062177000002</v>
      </c>
      <c r="Y17" s="17">
        <v>4321.5888606599992</v>
      </c>
      <c r="Z17" s="17">
        <v>12777.809735000001</v>
      </c>
      <c r="AA17" s="18"/>
      <c r="AB17" s="19"/>
      <c r="AC17" s="19">
        <f>+SUM(O17:Z17)</f>
        <v>119351.98208646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1153</v>
      </c>
      <c r="Q18" s="17">
        <v>8862.3546229999993</v>
      </c>
      <c r="R18" s="17">
        <v>11021.7852363</v>
      </c>
      <c r="S18" s="17">
        <v>7732.45888595</v>
      </c>
      <c r="T18" s="17">
        <v>13729.797694000001</v>
      </c>
      <c r="U18" s="17">
        <v>12972.214780099999</v>
      </c>
      <c r="V18" s="17">
        <v>13377.197787999998</v>
      </c>
      <c r="W18" s="17">
        <v>7900.6365288299994</v>
      </c>
      <c r="X18" s="17">
        <v>10635.062177000002</v>
      </c>
      <c r="Y18" s="17">
        <v>5692.1283355299993</v>
      </c>
      <c r="Z18" s="17">
        <v>12777.809735000001</v>
      </c>
      <c r="AA18" s="17">
        <v>13164.367237</v>
      </c>
      <c r="AB18" s="19"/>
      <c r="AC18" s="19">
        <f>+SUM(P18:AA18)</f>
        <v>119018.81302071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2012</v>
      </c>
      <c r="D20" s="3" t="s">
        <v>2</v>
      </c>
      <c r="E20" s="17">
        <v>4254.6824575200008</v>
      </c>
      <c r="F20" s="17">
        <v>7536.312295589998</v>
      </c>
      <c r="G20" s="17">
        <v>2044.5361409199995</v>
      </c>
      <c r="H20" s="17">
        <v>4307.5000163899995</v>
      </c>
      <c r="I20" s="17">
        <v>1747.6835116000002</v>
      </c>
      <c r="J20" s="17">
        <v>1295.2493420799995</v>
      </c>
      <c r="K20" s="17">
        <v>2884.1803132699997</v>
      </c>
      <c r="L20" s="17">
        <v>5142.094533110002</v>
      </c>
      <c r="M20" s="17">
        <v>1148.1576701900001</v>
      </c>
      <c r="N20" s="17">
        <v>3595.4801047699993</v>
      </c>
      <c r="O20" s="17">
        <v>3228.3836420799998</v>
      </c>
      <c r="P20" s="17">
        <v>1276.4307047300001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38460.690732250005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7737.5167343999992</v>
      </c>
      <c r="G21" s="17">
        <v>2044.5361409199995</v>
      </c>
      <c r="H21" s="17">
        <v>4307.5000163899995</v>
      </c>
      <c r="I21" s="17">
        <v>1726.1101326200001</v>
      </c>
      <c r="J21" s="17">
        <v>1666.7513944500001</v>
      </c>
      <c r="K21" s="17">
        <v>2961.0581089400002</v>
      </c>
      <c r="L21" s="17">
        <v>5450.856344740002</v>
      </c>
      <c r="M21" s="17">
        <v>1132.1050328399999</v>
      </c>
      <c r="N21" s="17">
        <v>3505.4139610499997</v>
      </c>
      <c r="O21" s="17">
        <v>3213.0385473699998</v>
      </c>
      <c r="P21" s="17">
        <v>1655.9590757699996</v>
      </c>
      <c r="Q21" s="17">
        <v>4093.1664582199996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39494.011947710002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2040.6176409199998</v>
      </c>
      <c r="H22" s="17">
        <v>4296.9657953900005</v>
      </c>
      <c r="I22" s="17">
        <v>1725.2458418799997</v>
      </c>
      <c r="J22" s="17">
        <v>1622.9811801900003</v>
      </c>
      <c r="K22" s="17">
        <v>2968.5124653499997</v>
      </c>
      <c r="L22" s="17">
        <v>5423.2849622600015</v>
      </c>
      <c r="M22" s="17">
        <v>1360.3175524900003</v>
      </c>
      <c r="N22" s="17">
        <v>3348.907933</v>
      </c>
      <c r="O22" s="17">
        <v>3184.2833054400003</v>
      </c>
      <c r="P22" s="17">
        <v>1615.7863010800002</v>
      </c>
      <c r="Q22" s="17">
        <v>4045.9434377600001</v>
      </c>
      <c r="R22" s="17">
        <v>4376.9282183500009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36009.774634109999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4296.0294201899997</v>
      </c>
      <c r="I23" s="17">
        <v>1724.3815511299997</v>
      </c>
      <c r="J23" s="17">
        <v>1648.3978559799998</v>
      </c>
      <c r="K23" s="17">
        <v>3039.4125717199995</v>
      </c>
      <c r="L23" s="17">
        <v>5427.0095785000003</v>
      </c>
      <c r="M23" s="17">
        <v>1537.8430700900001</v>
      </c>
      <c r="N23" s="17">
        <v>3376.5621504299993</v>
      </c>
      <c r="O23" s="17">
        <v>3189.7154170899994</v>
      </c>
      <c r="P23" s="17">
        <v>1615.7863010800002</v>
      </c>
      <c r="Q23" s="17">
        <v>4047.4547093900001</v>
      </c>
      <c r="R23" s="17">
        <v>4382.22171772</v>
      </c>
      <c r="S23" s="17">
        <v>1936.11025546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36220.924598780002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1724.3815511299997</v>
      </c>
      <c r="J24" s="17">
        <v>1647.47585598</v>
      </c>
      <c r="K24" s="17">
        <v>3214.5015952599992</v>
      </c>
      <c r="L24" s="17">
        <v>5430.2403109700017</v>
      </c>
      <c r="M24" s="17">
        <v>1667.7797095399997</v>
      </c>
      <c r="N24" s="17">
        <v>3392.6789889699999</v>
      </c>
      <c r="O24" s="17">
        <v>3188.85112635</v>
      </c>
      <c r="P24" s="17">
        <v>1615.7863010800002</v>
      </c>
      <c r="Q24" s="17">
        <v>4217.6306934499999</v>
      </c>
      <c r="R24" s="17">
        <v>4382.9402954200004</v>
      </c>
      <c r="S24" s="17">
        <v>2154.8393613000003</v>
      </c>
      <c r="T24" s="17">
        <v>2196.2833121800004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34833.389101630004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1649.0893559799999</v>
      </c>
      <c r="K25" s="17">
        <v>3211.8779032599996</v>
      </c>
      <c r="L25" s="17">
        <v>5417.4140744600018</v>
      </c>
      <c r="M25" s="17">
        <v>1655.0594818700001</v>
      </c>
      <c r="N25" s="17">
        <v>3356.8586248899992</v>
      </c>
      <c r="O25" s="17">
        <v>3179.0175585400007</v>
      </c>
      <c r="P25" s="17">
        <v>1615.7863010800002</v>
      </c>
      <c r="Q25" s="17">
        <v>4206.2933428600008</v>
      </c>
      <c r="R25" s="17">
        <v>4369.1328666500003</v>
      </c>
      <c r="S25" s="17">
        <v>2154.8393613000003</v>
      </c>
      <c r="T25" s="17">
        <v>2196.2833121800004</v>
      </c>
      <c r="U25" s="17">
        <v>3803.8115701299998</v>
      </c>
      <c r="V25" s="18"/>
      <c r="W25" s="18"/>
      <c r="X25" s="18"/>
      <c r="Y25" s="18"/>
      <c r="Z25" s="18"/>
      <c r="AA25" s="18"/>
      <c r="AB25" s="19"/>
      <c r="AC25" s="19">
        <f>+SUM(J25:U25)</f>
        <v>36815.463753199998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3214.4529350599996</v>
      </c>
      <c r="L26" s="24">
        <v>5415.9769190600009</v>
      </c>
      <c r="M26" s="17">
        <v>1949.7255201399996</v>
      </c>
      <c r="N26" s="17">
        <v>3391.08489091</v>
      </c>
      <c r="O26" s="17">
        <v>3170.2540602400004</v>
      </c>
      <c r="P26" s="17">
        <v>1615.7863010800002</v>
      </c>
      <c r="Q26" s="17">
        <v>4201.0972916199989</v>
      </c>
      <c r="R26" s="17">
        <v>4357.3072077400011</v>
      </c>
      <c r="S26" s="17">
        <v>2435.4819819999998</v>
      </c>
      <c r="T26" s="17">
        <v>2197.6901504899997</v>
      </c>
      <c r="U26" s="17">
        <v>3802.8589272000004</v>
      </c>
      <c r="V26" s="17">
        <v>1615.7863010800002</v>
      </c>
      <c r="W26" s="18"/>
      <c r="X26" s="18"/>
      <c r="Y26" s="18"/>
      <c r="Z26" s="18"/>
      <c r="AA26" s="18"/>
      <c r="AB26" s="19"/>
      <c r="AC26" s="19">
        <f>+SUM(K26:V26)</f>
        <v>37367.502486619996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5415.8567990600013</v>
      </c>
      <c r="M27" s="16">
        <v>2293.2399155900002</v>
      </c>
      <c r="N27" s="17">
        <v>3385.4689152200003</v>
      </c>
      <c r="O27" s="17">
        <v>3137.1373634000001</v>
      </c>
      <c r="P27" s="17">
        <v>1566.3400483800001</v>
      </c>
      <c r="Q27" s="17">
        <v>4164.0762127899998</v>
      </c>
      <c r="R27" s="17">
        <v>4251.8323182000013</v>
      </c>
      <c r="S27" s="17">
        <v>2753.3547387000003</v>
      </c>
      <c r="T27" s="17">
        <v>2076.93591844</v>
      </c>
      <c r="U27" s="17">
        <v>3732.8359264399996</v>
      </c>
      <c r="V27" s="17">
        <v>1598.5358835100001</v>
      </c>
      <c r="W27" s="17">
        <v>5117.8764351900008</v>
      </c>
      <c r="X27" s="18"/>
      <c r="Y27" s="18"/>
      <c r="Z27" s="18"/>
      <c r="AA27" s="18"/>
      <c r="AB27" s="19"/>
      <c r="AC27" s="19">
        <f>+SUM(L27:W27)</f>
        <v>39493.490474920007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2292.3179155899998</v>
      </c>
      <c r="N28" s="17">
        <v>3385.4689152200003</v>
      </c>
      <c r="O28" s="17">
        <v>3131.8716165000005</v>
      </c>
      <c r="P28" s="17">
        <v>1566.3400483800001</v>
      </c>
      <c r="Q28" s="17">
        <v>4164.0762127899998</v>
      </c>
      <c r="R28" s="17">
        <v>4241.0309279799994</v>
      </c>
      <c r="S28" s="17">
        <v>2753.3547387000003</v>
      </c>
      <c r="T28" s="17">
        <v>2076.93591844</v>
      </c>
      <c r="U28" s="17">
        <v>3732.8359264399996</v>
      </c>
      <c r="V28" s="17">
        <v>1598.5358835100001</v>
      </c>
      <c r="W28" s="17">
        <v>5117.8764351900008</v>
      </c>
      <c r="X28" s="17">
        <v>5590.268891149999</v>
      </c>
      <c r="Y28" s="18"/>
      <c r="Z28" s="18"/>
      <c r="AA28" s="18"/>
      <c r="AB28" s="19"/>
      <c r="AC28" s="19">
        <f>+SUM(M28:X28)</f>
        <v>39650.913429890003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3383.3620710200003</v>
      </c>
      <c r="O29" s="17">
        <v>3131.8716165000005</v>
      </c>
      <c r="P29" s="17">
        <v>1566.3400483800001</v>
      </c>
      <c r="Q29" s="17">
        <v>4137.6596098</v>
      </c>
      <c r="R29" s="17">
        <v>4248.6118881900002</v>
      </c>
      <c r="S29" s="17">
        <v>3131.4973208299994</v>
      </c>
      <c r="T29" s="17">
        <v>2134.1804882300003</v>
      </c>
      <c r="U29" s="17">
        <v>3738.6879671799998</v>
      </c>
      <c r="V29" s="17">
        <v>1598.5358835100001</v>
      </c>
      <c r="W29" s="17">
        <v>5120.8989784600008</v>
      </c>
      <c r="X29" s="17">
        <v>5706.2688549200002</v>
      </c>
      <c r="Y29" s="17">
        <v>2254.09244274</v>
      </c>
      <c r="Z29" s="18"/>
      <c r="AA29" s="18"/>
      <c r="AB29" s="19"/>
      <c r="AC29" s="19">
        <f>+SUM(N29:Y29)</f>
        <v>40152.007169760007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3131.8716165000005</v>
      </c>
      <c r="P30" s="17">
        <v>1566.3400483800001</v>
      </c>
      <c r="Q30" s="17">
        <v>4137.6596098</v>
      </c>
      <c r="R30" s="17">
        <v>4248.6118881900002</v>
      </c>
      <c r="S30" s="17">
        <v>3450.52864568</v>
      </c>
      <c r="T30" s="17">
        <v>2134.1804882300003</v>
      </c>
      <c r="U30" s="17">
        <v>3733.6519330400001</v>
      </c>
      <c r="V30" s="17">
        <v>1598.5358835100001</v>
      </c>
      <c r="W30" s="17">
        <v>5120.8989784600008</v>
      </c>
      <c r="X30" s="17">
        <v>5706.2688549200002</v>
      </c>
      <c r="Y30" s="17">
        <v>2573.1237675899997</v>
      </c>
      <c r="Z30" s="17">
        <v>2549.7797824700001</v>
      </c>
      <c r="AA30" s="18"/>
      <c r="AB30" s="19"/>
      <c r="AC30" s="19">
        <f>+SUM(O30:Z30)</f>
        <v>39951.451496770002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1555.9675483799999</v>
      </c>
      <c r="Q31" s="17">
        <v>4135.4996098000001</v>
      </c>
      <c r="R31" s="17">
        <v>4209.1187864899994</v>
      </c>
      <c r="S31" s="17">
        <v>3456.4566631099997</v>
      </c>
      <c r="T31" s="17">
        <v>2106.3687473699997</v>
      </c>
      <c r="U31" s="17">
        <v>3707.3231985799998</v>
      </c>
      <c r="V31" s="17">
        <v>1535.6588588100001</v>
      </c>
      <c r="W31" s="17">
        <v>5015.1369652199992</v>
      </c>
      <c r="X31" s="17">
        <v>5620.6674224300004</v>
      </c>
      <c r="Y31" s="17">
        <v>2648.4211212700002</v>
      </c>
      <c r="Z31" s="17">
        <v>2417.9881526800004</v>
      </c>
      <c r="AA31" s="17">
        <v>921.73361804000001</v>
      </c>
      <c r="AB31" s="26"/>
      <c r="AC31" s="26">
        <f>+SUM(P31:AA31)</f>
        <v>37330.340692180005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2013</v>
      </c>
      <c r="D7" s="3" t="s">
        <v>2</v>
      </c>
      <c r="E7" s="16">
        <v>8862.3546229999993</v>
      </c>
      <c r="F7" s="17">
        <v>11021.7852363</v>
      </c>
      <c r="G7" s="17">
        <v>7732.45888595</v>
      </c>
      <c r="H7" s="17">
        <v>13729.797694000001</v>
      </c>
      <c r="I7" s="17">
        <v>12972.214780099999</v>
      </c>
      <c r="J7" s="17">
        <v>13377.197787999998</v>
      </c>
      <c r="K7" s="17">
        <v>7900.6365288299994</v>
      </c>
      <c r="L7" s="17">
        <v>10635.062177000002</v>
      </c>
      <c r="M7" s="17">
        <v>5692.1283355299993</v>
      </c>
      <c r="N7" s="17">
        <v>12777.809735000001</v>
      </c>
      <c r="O7" s="17">
        <v>13164.367237</v>
      </c>
      <c r="P7" s="17">
        <v>10179.975210999999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128045.78823171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11021.7852363</v>
      </c>
      <c r="G8" s="17">
        <v>7732.45888595</v>
      </c>
      <c r="H8" s="17">
        <v>13729.797694000001</v>
      </c>
      <c r="I8" s="17">
        <v>12972.214780099999</v>
      </c>
      <c r="J8" s="17">
        <v>13377.197787999998</v>
      </c>
      <c r="K8" s="17">
        <v>7900.6365288299994</v>
      </c>
      <c r="L8" s="17">
        <v>10635.062177000002</v>
      </c>
      <c r="M8" s="17">
        <v>5692.1283355299993</v>
      </c>
      <c r="N8" s="17">
        <v>12777.809735000001</v>
      </c>
      <c r="O8" s="17">
        <v>13164.367237</v>
      </c>
      <c r="P8" s="17">
        <v>10179.975210999999</v>
      </c>
      <c r="Q8" s="17">
        <v>8446.9182920000021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127630.35190070998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7732.45888595</v>
      </c>
      <c r="H9" s="17">
        <v>13729.797694000001</v>
      </c>
      <c r="I9" s="17">
        <v>12972.214780099999</v>
      </c>
      <c r="J9" s="17">
        <v>13377.197787999998</v>
      </c>
      <c r="K9" s="17">
        <v>7900.6365288299994</v>
      </c>
      <c r="L9" s="17">
        <v>10635.062177000002</v>
      </c>
      <c r="M9" s="17">
        <v>5692.1283355299993</v>
      </c>
      <c r="N9" s="17">
        <v>12777.809735000001</v>
      </c>
      <c r="O9" s="17">
        <v>13164.367237</v>
      </c>
      <c r="P9" s="17">
        <v>10179.975210999999</v>
      </c>
      <c r="Q9" s="17">
        <v>8446.9182920000021</v>
      </c>
      <c r="R9" s="17">
        <v>13610.937785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130219.50444941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13729.947694</v>
      </c>
      <c r="I10" s="17">
        <v>12972.214780099999</v>
      </c>
      <c r="J10" s="17">
        <v>13377.197787999998</v>
      </c>
      <c r="K10" s="17">
        <v>7900.6365288299994</v>
      </c>
      <c r="L10" s="17">
        <v>10635.062177000002</v>
      </c>
      <c r="M10" s="17">
        <v>5692.1283355299993</v>
      </c>
      <c r="N10" s="17">
        <v>12777.809735000001</v>
      </c>
      <c r="O10" s="17">
        <v>13164.367237</v>
      </c>
      <c r="P10" s="17">
        <v>10179.975210999999</v>
      </c>
      <c r="Q10" s="17">
        <v>8446.9182920000021</v>
      </c>
      <c r="R10" s="17">
        <v>13610.937785</v>
      </c>
      <c r="S10" s="17">
        <v>15545.549419000001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138032.74498245999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12980.214780099999</v>
      </c>
      <c r="J11" s="17">
        <v>13377.197787999998</v>
      </c>
      <c r="K11" s="17">
        <v>7900.6365288299994</v>
      </c>
      <c r="L11" s="17">
        <v>10635.062177000002</v>
      </c>
      <c r="M11" s="17">
        <v>5692.1283355299993</v>
      </c>
      <c r="N11" s="17">
        <v>12777.809735000001</v>
      </c>
      <c r="O11" s="17">
        <v>13164.367237</v>
      </c>
      <c r="P11" s="17">
        <v>10179.975210999999</v>
      </c>
      <c r="Q11" s="17">
        <v>8446.9182920000021</v>
      </c>
      <c r="R11" s="17">
        <v>13610.937785</v>
      </c>
      <c r="S11" s="17">
        <v>15545.549419000001</v>
      </c>
      <c r="T11" s="17">
        <v>13273.84906774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137584.64635620001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13377.197787999998</v>
      </c>
      <c r="K12" s="17">
        <v>7900.6365288299994</v>
      </c>
      <c r="L12" s="17">
        <v>10635.062177000002</v>
      </c>
      <c r="M12" s="17">
        <v>5692.1283355299993</v>
      </c>
      <c r="N12" s="17">
        <v>12777.809735000001</v>
      </c>
      <c r="O12" s="17">
        <v>13164.367237</v>
      </c>
      <c r="P12" s="17">
        <v>10179.975210999999</v>
      </c>
      <c r="Q12" s="17">
        <v>8446.9182920000021</v>
      </c>
      <c r="R12" s="17">
        <v>13610.937785</v>
      </c>
      <c r="S12" s="17">
        <v>15545.549419000001</v>
      </c>
      <c r="T12" s="17">
        <v>13273.84906774</v>
      </c>
      <c r="U12" s="17">
        <v>8642.9074219999984</v>
      </c>
      <c r="V12" s="18"/>
      <c r="W12" s="18"/>
      <c r="X12" s="18"/>
      <c r="Y12" s="18"/>
      <c r="Z12" s="18"/>
      <c r="AA12" s="18"/>
      <c r="AB12" s="19"/>
      <c r="AC12" s="19">
        <f>+SUM(J12:U12)</f>
        <v>133247.33899809999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7900.8365288300001</v>
      </c>
      <c r="L13" s="17">
        <v>10635.062177000002</v>
      </c>
      <c r="M13" s="17">
        <v>5692.1283355299993</v>
      </c>
      <c r="N13" s="17">
        <v>12777.809735000001</v>
      </c>
      <c r="O13" s="17">
        <v>13164.367237</v>
      </c>
      <c r="P13" s="17">
        <v>10179.975210999999</v>
      </c>
      <c r="Q13" s="17">
        <v>8446.9182920000021</v>
      </c>
      <c r="R13" s="17">
        <v>13610.937785</v>
      </c>
      <c r="S13" s="17">
        <v>15545.549419000001</v>
      </c>
      <c r="T13" s="17">
        <v>13273.84906774</v>
      </c>
      <c r="U13" s="17">
        <v>8642.9074219999984</v>
      </c>
      <c r="V13" s="17">
        <v>15424.925978000001</v>
      </c>
      <c r="W13" s="18"/>
      <c r="X13" s="18"/>
      <c r="Y13" s="18"/>
      <c r="Z13" s="18"/>
      <c r="AA13" s="18"/>
      <c r="AB13" s="19"/>
      <c r="AC13" s="19">
        <f>+SUM(K13:V13)</f>
        <v>135295.2671881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10635.062177000002</v>
      </c>
      <c r="M14" s="16">
        <v>5692.1283355299993</v>
      </c>
      <c r="N14" s="17">
        <v>12777.809735000001</v>
      </c>
      <c r="O14" s="17">
        <v>13164.367237</v>
      </c>
      <c r="P14" s="17">
        <v>10179.975210999999</v>
      </c>
      <c r="Q14" s="17">
        <v>8446.9182920000021</v>
      </c>
      <c r="R14" s="17">
        <v>13610.937785</v>
      </c>
      <c r="S14" s="17">
        <v>15545.549419000001</v>
      </c>
      <c r="T14" s="17">
        <v>13273.84906774</v>
      </c>
      <c r="U14" s="17">
        <v>8642.9074219999984</v>
      </c>
      <c r="V14" s="17">
        <v>15424.925978000001</v>
      </c>
      <c r="W14" s="17">
        <v>11301.573003</v>
      </c>
      <c r="X14" s="18"/>
      <c r="Y14" s="18"/>
      <c r="Z14" s="18"/>
      <c r="AA14" s="18"/>
      <c r="AB14" s="19"/>
      <c r="AC14" s="19">
        <f>+SUM(L14:W14)</f>
        <v>138696.00366227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5692.1283355299993</v>
      </c>
      <c r="N15" s="17">
        <v>12777.809735000001</v>
      </c>
      <c r="O15" s="17">
        <v>13164.367237</v>
      </c>
      <c r="P15" s="17">
        <v>10179.975210999999</v>
      </c>
      <c r="Q15" s="17">
        <v>8446.9182920000021</v>
      </c>
      <c r="R15" s="17">
        <v>13610.937785</v>
      </c>
      <c r="S15" s="17">
        <v>15545.549419000001</v>
      </c>
      <c r="T15" s="17">
        <v>13273.84906774</v>
      </c>
      <c r="U15" s="17">
        <v>8642.9074219999984</v>
      </c>
      <c r="V15" s="17">
        <v>15424.925978000001</v>
      </c>
      <c r="W15" s="17">
        <v>11301.573003</v>
      </c>
      <c r="X15" s="17">
        <v>9946.1393159699983</v>
      </c>
      <c r="Y15" s="18"/>
      <c r="Z15" s="18"/>
      <c r="AA15" s="18"/>
      <c r="AB15" s="19"/>
      <c r="AC15" s="19">
        <f>+SUM(M15:X15)</f>
        <v>138007.08080123999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12777.809735000001</v>
      </c>
      <c r="O16" s="17">
        <v>13164.367237</v>
      </c>
      <c r="P16" s="17">
        <v>10179.975210999999</v>
      </c>
      <c r="Q16" s="17">
        <v>8446.9182920000021</v>
      </c>
      <c r="R16" s="17">
        <v>13610.937785</v>
      </c>
      <c r="S16" s="17">
        <v>15545.549419000001</v>
      </c>
      <c r="T16" s="17">
        <v>13273.84906774</v>
      </c>
      <c r="U16" s="17">
        <v>8642.9074219999984</v>
      </c>
      <c r="V16" s="17">
        <v>15424.925978000001</v>
      </c>
      <c r="W16" s="17">
        <v>11301.573003</v>
      </c>
      <c r="X16" s="17">
        <v>9946.1393159699983</v>
      </c>
      <c r="Y16" s="17">
        <v>10122.882632999999</v>
      </c>
      <c r="Z16" s="18"/>
      <c r="AA16" s="18"/>
      <c r="AB16" s="19"/>
      <c r="AC16" s="19">
        <f>+SUM(N16:Y16)</f>
        <v>142437.83509871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13164.367237</v>
      </c>
      <c r="P17" s="17">
        <v>10179.975210999999</v>
      </c>
      <c r="Q17" s="17">
        <v>8446.9182920000021</v>
      </c>
      <c r="R17" s="17">
        <v>13610.937785</v>
      </c>
      <c r="S17" s="17">
        <v>15545.549419000001</v>
      </c>
      <c r="T17" s="17">
        <v>13273.84906774</v>
      </c>
      <c r="U17" s="17">
        <v>8642.9074219999984</v>
      </c>
      <c r="V17" s="17">
        <v>15424.925978000001</v>
      </c>
      <c r="W17" s="17">
        <v>11301.573003</v>
      </c>
      <c r="X17" s="17">
        <v>9946.1393159699983</v>
      </c>
      <c r="Y17" s="17">
        <v>10122.882632999999</v>
      </c>
      <c r="Z17" s="17">
        <v>8557.2016410000015</v>
      </c>
      <c r="AA17" s="18"/>
      <c r="AB17" s="19"/>
      <c r="AC17" s="19">
        <f>+SUM(O17:Z17)</f>
        <v>138217.22700471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10179.975210999999</v>
      </c>
      <c r="Q18" s="17">
        <v>8446.9182920000021</v>
      </c>
      <c r="R18" s="17">
        <v>13610.937785</v>
      </c>
      <c r="S18" s="17">
        <v>15545.549419000001</v>
      </c>
      <c r="T18" s="17">
        <v>13273.84906774</v>
      </c>
      <c r="U18" s="17">
        <v>8642.9074219999984</v>
      </c>
      <c r="V18" s="17">
        <v>15424.925978000001</v>
      </c>
      <c r="W18" s="17">
        <v>11301.573003</v>
      </c>
      <c r="X18" s="17">
        <v>9946.1393159699983</v>
      </c>
      <c r="Y18" s="17">
        <v>10122.882632999999</v>
      </c>
      <c r="Z18" s="17">
        <v>8557.2016410000015</v>
      </c>
      <c r="AA18" s="17">
        <v>2910.6797825399999</v>
      </c>
      <c r="AB18" s="19"/>
      <c r="AC18" s="19">
        <f>+SUM(P18:AA18)</f>
        <v>127963.53955025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2013</v>
      </c>
      <c r="D20" s="3" t="s">
        <v>2</v>
      </c>
      <c r="E20" s="17">
        <v>4123.4770665299993</v>
      </c>
      <c r="F20" s="17">
        <v>4200.1006708800005</v>
      </c>
      <c r="G20" s="17">
        <v>3602.8872046399997</v>
      </c>
      <c r="H20" s="17">
        <v>1898.56410878</v>
      </c>
      <c r="I20" s="17">
        <v>3717.2426803200005</v>
      </c>
      <c r="J20" s="17">
        <v>1494.3664714700001</v>
      </c>
      <c r="K20" s="17">
        <v>5009.4716205100003</v>
      </c>
      <c r="L20" s="17">
        <v>5530.9741182199996</v>
      </c>
      <c r="M20" s="17">
        <v>2852.0158642800002</v>
      </c>
      <c r="N20" s="17">
        <v>2354.99053938</v>
      </c>
      <c r="O20" s="17">
        <v>929.93237382999996</v>
      </c>
      <c r="P20" s="17">
        <v>1184.0154827900001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36898.038201629999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4200.1006708800005</v>
      </c>
      <c r="G21" s="17">
        <v>3602.8872046399997</v>
      </c>
      <c r="H21" s="17">
        <v>1900.6042190000003</v>
      </c>
      <c r="I21" s="17">
        <v>3668.6907555999996</v>
      </c>
      <c r="J21" s="17">
        <v>1485.0024330199999</v>
      </c>
      <c r="K21" s="17">
        <v>4954.3193102099995</v>
      </c>
      <c r="L21" s="17">
        <v>5550.7491296600001</v>
      </c>
      <c r="M21" s="17">
        <v>2852.0158642800002</v>
      </c>
      <c r="N21" s="17">
        <v>2304.4184146500002</v>
      </c>
      <c r="O21" s="17">
        <v>917.42651855999998</v>
      </c>
      <c r="P21" s="17">
        <v>1184.0154827900001</v>
      </c>
      <c r="Q21" s="17">
        <v>3331.1393196500003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35951.369322940001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3694.2699671199998</v>
      </c>
      <c r="H22" s="17">
        <v>1900.6042190000003</v>
      </c>
      <c r="I22" s="17">
        <v>3695.51069074</v>
      </c>
      <c r="J22" s="17">
        <v>1485.0024330199999</v>
      </c>
      <c r="K22" s="17">
        <v>5029.2507069599997</v>
      </c>
      <c r="L22" s="17">
        <v>5577.0407641000002</v>
      </c>
      <c r="M22" s="17">
        <v>2943.3986267600003</v>
      </c>
      <c r="N22" s="17">
        <v>2303.7851427400001</v>
      </c>
      <c r="O22" s="17">
        <v>944.26125843</v>
      </c>
      <c r="P22" s="17">
        <v>1184.0154827900001</v>
      </c>
      <c r="Q22" s="17">
        <v>3406.0707164</v>
      </c>
      <c r="R22" s="17">
        <v>1408.7302660400001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33571.940274100001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1894.3042190000003</v>
      </c>
      <c r="I23" s="17">
        <v>3721.0024811899998</v>
      </c>
      <c r="J23" s="17">
        <v>1443.5331198800002</v>
      </c>
      <c r="K23" s="17">
        <v>5048.6717388700008</v>
      </c>
      <c r="L23" s="17">
        <v>5766.8754875399991</v>
      </c>
      <c r="M23" s="17">
        <v>3299.0734503100002</v>
      </c>
      <c r="N23" s="17">
        <v>2305.1946950699999</v>
      </c>
      <c r="O23" s="17">
        <v>971.08788806000007</v>
      </c>
      <c r="P23" s="17">
        <v>1184.0154827900001</v>
      </c>
      <c r="Q23" s="17">
        <v>3525.3968564000002</v>
      </c>
      <c r="R23" s="17">
        <v>1561.3570360900001</v>
      </c>
      <c r="S23" s="17">
        <v>2897.4932427899998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33618.005697989996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3721.0024811899998</v>
      </c>
      <c r="J24" s="17">
        <v>1443.5331198800002</v>
      </c>
      <c r="K24" s="17">
        <v>5255.7401372200002</v>
      </c>
      <c r="L24" s="17">
        <v>5826.3040685999995</v>
      </c>
      <c r="M24" s="17">
        <v>3420.4839851400006</v>
      </c>
      <c r="N24" s="17">
        <v>2396.1860786100001</v>
      </c>
      <c r="O24" s="17">
        <v>1031.6543687400001</v>
      </c>
      <c r="P24" s="17">
        <v>1184.0154827900001</v>
      </c>
      <c r="Q24" s="17">
        <v>3606.8662905499991</v>
      </c>
      <c r="R24" s="17">
        <v>1684.6522277000001</v>
      </c>
      <c r="S24" s="17">
        <v>3023.9841916699997</v>
      </c>
      <c r="T24" s="17">
        <v>2154.5190041599999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34748.941436249996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1443.5331198800002</v>
      </c>
      <c r="K25" s="17">
        <v>5044.2401372200002</v>
      </c>
      <c r="L25" s="17">
        <v>5806.00905057</v>
      </c>
      <c r="M25" s="17">
        <v>3420.4839851400006</v>
      </c>
      <c r="N25" s="17">
        <v>2183.1963420500001</v>
      </c>
      <c r="O25" s="17">
        <v>1031.6543687400001</v>
      </c>
      <c r="P25" s="17">
        <v>1184.0154827900001</v>
      </c>
      <c r="Q25" s="17">
        <v>3465.1059605299993</v>
      </c>
      <c r="R25" s="17">
        <v>1684.6522277000001</v>
      </c>
      <c r="S25" s="17">
        <v>3023.9841916699997</v>
      </c>
      <c r="T25" s="17">
        <v>2012.02926757</v>
      </c>
      <c r="U25" s="17">
        <v>4482.1328073200002</v>
      </c>
      <c r="V25" s="18"/>
      <c r="W25" s="18"/>
      <c r="X25" s="18"/>
      <c r="Y25" s="18"/>
      <c r="Z25" s="18"/>
      <c r="AA25" s="18"/>
      <c r="AB25" s="19"/>
      <c r="AC25" s="19">
        <f>+SUM(J25:U25)</f>
        <v>34781.036941180006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5042.4401372399998</v>
      </c>
      <c r="L26" s="24">
        <v>5849.7225158199999</v>
      </c>
      <c r="M26" s="17">
        <v>3733.6205607800002</v>
      </c>
      <c r="N26" s="17">
        <v>2159.8444816900001</v>
      </c>
      <c r="O26" s="17">
        <v>1197.4537952299997</v>
      </c>
      <c r="P26" s="17">
        <v>1441.2300950899998</v>
      </c>
      <c r="Q26" s="17">
        <v>3661.7025591099991</v>
      </c>
      <c r="R26" s="17">
        <v>1771.9136548899999</v>
      </c>
      <c r="S26" s="17">
        <v>3343.0340800600002</v>
      </c>
      <c r="T26" s="17">
        <v>2250.2656573700001</v>
      </c>
      <c r="U26" s="17">
        <v>4571.0697273699998</v>
      </c>
      <c r="V26" s="17">
        <v>1154.8384085400003</v>
      </c>
      <c r="W26" s="18"/>
      <c r="X26" s="18"/>
      <c r="Y26" s="18"/>
      <c r="Z26" s="18"/>
      <c r="AA26" s="18"/>
      <c r="AB26" s="19"/>
      <c r="AC26" s="19">
        <f>+SUM(K26:V26)</f>
        <v>36177.135673190001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5849.6023958200003</v>
      </c>
      <c r="M27" s="16">
        <v>3798.9809755400006</v>
      </c>
      <c r="N27" s="17">
        <v>2164.0076003899999</v>
      </c>
      <c r="O27" s="17">
        <v>1199.9585078100001</v>
      </c>
      <c r="P27" s="17">
        <v>1505.2813750299999</v>
      </c>
      <c r="Q27" s="17">
        <v>3604.0819261700008</v>
      </c>
      <c r="R27" s="17">
        <v>1831.2664959399999</v>
      </c>
      <c r="S27" s="17">
        <v>3485.3820212099999</v>
      </c>
      <c r="T27" s="17">
        <v>2250.8989292799997</v>
      </c>
      <c r="U27" s="17">
        <v>4638.0601252400002</v>
      </c>
      <c r="V27" s="17">
        <v>1218.8896884799999</v>
      </c>
      <c r="W27" s="17">
        <v>3316.4364273299998</v>
      </c>
      <c r="X27" s="18"/>
      <c r="Y27" s="18"/>
      <c r="Z27" s="18"/>
      <c r="AA27" s="18"/>
      <c r="AB27" s="19"/>
      <c r="AC27" s="19">
        <f>+SUM(L27:W27)</f>
        <v>34862.846468240001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3969.0648274700011</v>
      </c>
      <c r="N28" s="17">
        <v>2166.88760039</v>
      </c>
      <c r="O28" s="17">
        <v>1239.2692074300001</v>
      </c>
      <c r="P28" s="17">
        <v>1603.4691277100001</v>
      </c>
      <c r="Q28" s="17">
        <v>3643.9441495300007</v>
      </c>
      <c r="R28" s="17">
        <v>1919.1127245899997</v>
      </c>
      <c r="S28" s="17">
        <v>3596.1399216100003</v>
      </c>
      <c r="T28" s="17">
        <v>2358.6321687300001</v>
      </c>
      <c r="U28" s="17">
        <v>4673.5593026799997</v>
      </c>
      <c r="V28" s="17">
        <v>1317.07744116</v>
      </c>
      <c r="W28" s="17">
        <v>3461.2219685800005</v>
      </c>
      <c r="X28" s="17">
        <v>1490.2192744000004</v>
      </c>
      <c r="Y28" s="18"/>
      <c r="Z28" s="18"/>
      <c r="AA28" s="18"/>
      <c r="AB28" s="19"/>
      <c r="AC28" s="19">
        <f>+SUM(M28:X28)</f>
        <v>31438.597714280004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2167.9676003899999</v>
      </c>
      <c r="O29" s="17">
        <v>1240.1334981700002</v>
      </c>
      <c r="P29" s="17">
        <v>1727.1643060499998</v>
      </c>
      <c r="Q29" s="17">
        <v>3682.5869591700002</v>
      </c>
      <c r="R29" s="17">
        <v>1948.9802502000002</v>
      </c>
      <c r="S29" s="17">
        <v>3673.4308614699999</v>
      </c>
      <c r="T29" s="17">
        <v>2523.2981182799995</v>
      </c>
      <c r="U29" s="17">
        <v>4569.7562619</v>
      </c>
      <c r="V29" s="17">
        <v>1440.7726195</v>
      </c>
      <c r="W29" s="17">
        <v>3461.1910269699997</v>
      </c>
      <c r="X29" s="17">
        <v>1523.4393378200002</v>
      </c>
      <c r="Y29" s="17">
        <v>2933.1547477000004</v>
      </c>
      <c r="Z29" s="18"/>
      <c r="AA29" s="18"/>
      <c r="AB29" s="19"/>
      <c r="AC29" s="19">
        <f>+SUM(N29:Y29)</f>
        <v>30891.875587619994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1240.1334981700002</v>
      </c>
      <c r="P30" s="17">
        <v>1727.1643060499998</v>
      </c>
      <c r="Q30" s="17">
        <v>3684.8491724200003</v>
      </c>
      <c r="R30" s="17">
        <v>1952.3762797300001</v>
      </c>
      <c r="S30" s="17">
        <v>3674.4108322200004</v>
      </c>
      <c r="T30" s="17">
        <v>2491.9306893799999</v>
      </c>
      <c r="U30" s="17">
        <v>4744.686153659999</v>
      </c>
      <c r="V30" s="17">
        <v>1440.7726195</v>
      </c>
      <c r="W30" s="17">
        <v>3463.4532402100003</v>
      </c>
      <c r="X30" s="17">
        <v>1525.9876580100004</v>
      </c>
      <c r="Y30" s="17">
        <v>2934.1347184299998</v>
      </c>
      <c r="Z30" s="17">
        <v>4648.7542461099993</v>
      </c>
      <c r="AA30" s="18"/>
      <c r="AB30" s="19"/>
      <c r="AC30" s="19">
        <f>+SUM(O30:Z30)</f>
        <v>33528.653413890002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1727.1643060499998</v>
      </c>
      <c r="Q31" s="17">
        <v>3683.3379007899998</v>
      </c>
      <c r="R31" s="17">
        <v>1948.9828462999999</v>
      </c>
      <c r="S31" s="17">
        <v>3674.4108322200004</v>
      </c>
      <c r="T31" s="17">
        <v>2777.0197081799997</v>
      </c>
      <c r="U31" s="17">
        <v>5192.1639582400003</v>
      </c>
      <c r="V31" s="17">
        <v>1440.7726195</v>
      </c>
      <c r="W31" s="17">
        <v>3464.9645118400003</v>
      </c>
      <c r="X31" s="17">
        <v>1524.2922393500005</v>
      </c>
      <c r="Y31" s="17">
        <v>2934.1347184299998</v>
      </c>
      <c r="Z31" s="17">
        <v>4956.47161779</v>
      </c>
      <c r="AA31" s="17">
        <v>1206.0566961799998</v>
      </c>
      <c r="AB31" s="26"/>
      <c r="AC31" s="26">
        <f>+SUM(P31:AA31)</f>
        <v>34529.771954869997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2014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2014</v>
      </c>
      <c r="D7" s="3" t="s">
        <v>2</v>
      </c>
      <c r="E7" s="16">
        <v>8446.9182920000021</v>
      </c>
      <c r="F7" s="17">
        <v>13610.937785</v>
      </c>
      <c r="G7" s="17">
        <v>15545.549419000001</v>
      </c>
      <c r="H7" s="17">
        <v>13273.84906774</v>
      </c>
      <c r="I7" s="17">
        <v>8642.9074219999984</v>
      </c>
      <c r="J7" s="17">
        <v>15424.925978000001</v>
      </c>
      <c r="K7" s="17">
        <v>11301.573003</v>
      </c>
      <c r="L7" s="17">
        <v>9946.1393159699983</v>
      </c>
      <c r="M7" s="17">
        <v>10122.882632999999</v>
      </c>
      <c r="N7" s="17">
        <v>8557.2016410000015</v>
      </c>
      <c r="O7" s="17">
        <v>2910.6797825399999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117783.56433925001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13610.937785</v>
      </c>
      <c r="G8" s="17">
        <v>15545.549419000001</v>
      </c>
      <c r="H8" s="17">
        <v>13273.84906774</v>
      </c>
      <c r="I8" s="17">
        <v>8642.9074219999984</v>
      </c>
      <c r="J8" s="17">
        <v>15424.925978000001</v>
      </c>
      <c r="K8" s="17">
        <v>11301.573003</v>
      </c>
      <c r="L8" s="17">
        <v>9946.1393159699983</v>
      </c>
      <c r="M8" s="17">
        <v>10122.882632999999</v>
      </c>
      <c r="N8" s="17">
        <v>8557.2016410000015</v>
      </c>
      <c r="O8" s="17">
        <v>2910.6797825399999</v>
      </c>
      <c r="P8" s="17">
        <v>0</v>
      </c>
      <c r="Q8" s="17">
        <v>8490.4124869999996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117827.05853425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15545.549419000001</v>
      </c>
      <c r="H9" s="17">
        <v>13273.84906774</v>
      </c>
      <c r="I9" s="17">
        <v>8642.9074219999984</v>
      </c>
      <c r="J9" s="17">
        <v>15424.925978000001</v>
      </c>
      <c r="K9" s="17">
        <v>11301.573003</v>
      </c>
      <c r="L9" s="17">
        <v>9946.1393159699983</v>
      </c>
      <c r="M9" s="17">
        <v>10122.882632999999</v>
      </c>
      <c r="N9" s="17">
        <v>8557.2016410000015</v>
      </c>
      <c r="O9" s="17">
        <v>2910.6797825399999</v>
      </c>
      <c r="P9" s="17">
        <v>0</v>
      </c>
      <c r="Q9" s="17">
        <v>8490.4124869999996</v>
      </c>
      <c r="R9" s="17">
        <v>10018.381195000002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114234.50194424999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13273.84906774</v>
      </c>
      <c r="I10" s="17">
        <v>8642.9074219999984</v>
      </c>
      <c r="J10" s="17">
        <v>15424.925978000001</v>
      </c>
      <c r="K10" s="17">
        <v>11301.573003</v>
      </c>
      <c r="L10" s="17">
        <v>9946.1393159699983</v>
      </c>
      <c r="M10" s="17">
        <v>10122.882632999999</v>
      </c>
      <c r="N10" s="17">
        <v>8557.2016410000015</v>
      </c>
      <c r="O10" s="17">
        <v>2910.6797825399999</v>
      </c>
      <c r="P10" s="17">
        <v>0</v>
      </c>
      <c r="Q10" s="17">
        <v>8490.4124869999996</v>
      </c>
      <c r="R10" s="17">
        <v>10018.381195000002</v>
      </c>
      <c r="S10" s="17">
        <v>2560.2091016499999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101249.16162690001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8642.9074219999984</v>
      </c>
      <c r="J11" s="17">
        <v>15424.925978000001</v>
      </c>
      <c r="K11" s="17">
        <v>11301.573003</v>
      </c>
      <c r="L11" s="17">
        <v>9946.1393159699983</v>
      </c>
      <c r="M11" s="17">
        <v>10122.882632999999</v>
      </c>
      <c r="N11" s="17">
        <v>8557.2016410000015</v>
      </c>
      <c r="O11" s="17">
        <v>2910.6797825399999</v>
      </c>
      <c r="P11" s="17">
        <v>0</v>
      </c>
      <c r="Q11" s="17">
        <v>8490.4124869999996</v>
      </c>
      <c r="R11" s="17">
        <v>10018.381195000002</v>
      </c>
      <c r="S11" s="17">
        <v>2560.2091016499999</v>
      </c>
      <c r="T11" s="17">
        <v>7161.7019010000004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95137.014460160019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15424.925978000001</v>
      </c>
      <c r="K12" s="17">
        <v>11301.573003</v>
      </c>
      <c r="L12" s="17">
        <v>9946.1393159699983</v>
      </c>
      <c r="M12" s="17">
        <v>10122.882632999999</v>
      </c>
      <c r="N12" s="17">
        <v>8557.2016410000015</v>
      </c>
      <c r="O12" s="17">
        <v>2910.6797825399999</v>
      </c>
      <c r="P12" s="17">
        <v>0</v>
      </c>
      <c r="Q12" s="17">
        <v>8490.4124869999996</v>
      </c>
      <c r="R12" s="17">
        <v>10018.381195000002</v>
      </c>
      <c r="S12" s="17">
        <v>2560.2091016499999</v>
      </c>
      <c r="T12" s="17">
        <v>7161.7019010000004</v>
      </c>
      <c r="U12" s="17">
        <v>9249.9853249999996</v>
      </c>
      <c r="V12" s="18"/>
      <c r="W12" s="18"/>
      <c r="X12" s="18"/>
      <c r="Y12" s="18"/>
      <c r="Z12" s="18"/>
      <c r="AA12" s="18"/>
      <c r="AB12" s="19"/>
      <c r="AC12" s="19">
        <f>+SUM(J12:U12)</f>
        <v>95744.092363160002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11302.073003</v>
      </c>
      <c r="L13" s="17">
        <v>9946.1393159699983</v>
      </c>
      <c r="M13" s="17">
        <v>10122.882632999999</v>
      </c>
      <c r="N13" s="17">
        <v>8557.2016410000015</v>
      </c>
      <c r="O13" s="17">
        <v>2910.6797825399999</v>
      </c>
      <c r="P13" s="17">
        <v>0</v>
      </c>
      <c r="Q13" s="17">
        <v>8490.4124869999996</v>
      </c>
      <c r="R13" s="17">
        <v>10018.381195000002</v>
      </c>
      <c r="S13" s="17">
        <v>2560.2091016499999</v>
      </c>
      <c r="T13" s="17">
        <v>7161.7019010000004</v>
      </c>
      <c r="U13" s="17">
        <v>9249.9853249999996</v>
      </c>
      <c r="V13" s="17">
        <v>8514.4705580000009</v>
      </c>
      <c r="W13" s="18"/>
      <c r="X13" s="18"/>
      <c r="Y13" s="18"/>
      <c r="Z13" s="18"/>
      <c r="AA13" s="18"/>
      <c r="AB13" s="19"/>
      <c r="AC13" s="19">
        <f>+SUM(K13:V13)</f>
        <v>88834.136943160003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9946.1393159699983</v>
      </c>
      <c r="M14" s="16">
        <v>10122.882632999999</v>
      </c>
      <c r="N14" s="17">
        <v>8557.2016410000015</v>
      </c>
      <c r="O14" s="17">
        <v>2910.6797825399999</v>
      </c>
      <c r="P14" s="17">
        <v>0</v>
      </c>
      <c r="Q14" s="17">
        <v>8490.4124869999996</v>
      </c>
      <c r="R14" s="17">
        <v>10018.381195000002</v>
      </c>
      <c r="S14" s="17">
        <v>2560.2091016499999</v>
      </c>
      <c r="T14" s="17">
        <v>7161.7019010000004</v>
      </c>
      <c r="U14" s="17">
        <v>9249.9853249999996</v>
      </c>
      <c r="V14" s="17">
        <v>8514.4705580000009</v>
      </c>
      <c r="W14" s="17">
        <v>2795.7886442499998</v>
      </c>
      <c r="X14" s="18"/>
      <c r="Y14" s="18"/>
      <c r="Z14" s="18"/>
      <c r="AA14" s="18"/>
      <c r="AB14" s="19"/>
      <c r="AC14" s="19">
        <f>+SUM(L14:W14)</f>
        <v>80327.852584409993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10122.882632999999</v>
      </c>
      <c r="N15" s="17">
        <v>8557.2016410000015</v>
      </c>
      <c r="O15" s="17">
        <v>2910.6797825399999</v>
      </c>
      <c r="P15" s="17">
        <v>0</v>
      </c>
      <c r="Q15" s="17">
        <v>8490.4124869999996</v>
      </c>
      <c r="R15" s="17">
        <v>10018.381195000002</v>
      </c>
      <c r="S15" s="17">
        <v>2560.2091016499999</v>
      </c>
      <c r="T15" s="17">
        <v>7161.7019010000004</v>
      </c>
      <c r="U15" s="17">
        <v>9249.9853249999996</v>
      </c>
      <c r="V15" s="17">
        <v>8514.4705580000009</v>
      </c>
      <c r="W15" s="17">
        <v>2795.7886442499998</v>
      </c>
      <c r="X15" s="17">
        <v>4632.2550698099994</v>
      </c>
      <c r="Y15" s="18"/>
      <c r="Z15" s="18"/>
      <c r="AA15" s="18"/>
      <c r="AB15" s="19"/>
      <c r="AC15" s="19">
        <f>+SUM(M15:X15)</f>
        <v>75013.968338249993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8557.2016410000015</v>
      </c>
      <c r="O16" s="17">
        <v>2910.6797825399999</v>
      </c>
      <c r="P16" s="17">
        <v>0</v>
      </c>
      <c r="Q16" s="17">
        <v>8490.4124869999996</v>
      </c>
      <c r="R16" s="17">
        <v>10018.381195000002</v>
      </c>
      <c r="S16" s="17">
        <v>2560.2091016499999</v>
      </c>
      <c r="T16" s="17">
        <v>7161.7019010000004</v>
      </c>
      <c r="U16" s="17">
        <v>9249.9853249999996</v>
      </c>
      <c r="V16" s="17">
        <v>8514.4705580000009</v>
      </c>
      <c r="W16" s="17">
        <v>2795.7886442499998</v>
      </c>
      <c r="X16" s="17">
        <v>4632.2550698099994</v>
      </c>
      <c r="Y16" s="17">
        <v>0</v>
      </c>
      <c r="Z16" s="18"/>
      <c r="AA16" s="18"/>
      <c r="AB16" s="19"/>
      <c r="AC16" s="19">
        <f>+SUM(N16:Y16)</f>
        <v>64891.085705250007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2910.6797825399999</v>
      </c>
      <c r="P17" s="17">
        <v>0</v>
      </c>
      <c r="Q17" s="17">
        <v>8490.4124869999996</v>
      </c>
      <c r="R17" s="17">
        <v>10018.381195000002</v>
      </c>
      <c r="S17" s="17">
        <v>2560.2091016499999</v>
      </c>
      <c r="T17" s="17">
        <v>7161.7019010000004</v>
      </c>
      <c r="U17" s="17">
        <v>9249.9853249999996</v>
      </c>
      <c r="V17" s="17">
        <v>8514.4705580000009</v>
      </c>
      <c r="W17" s="17">
        <v>2795.7886442499998</v>
      </c>
      <c r="X17" s="17">
        <v>4632.2550698099994</v>
      </c>
      <c r="Y17" s="17">
        <v>0</v>
      </c>
      <c r="Z17" s="17">
        <v>7766.4716639999988</v>
      </c>
      <c r="AA17" s="18"/>
      <c r="AB17" s="19"/>
      <c r="AC17" s="19">
        <f>+SUM(O17:Z17)</f>
        <v>64100.355728250004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0</v>
      </c>
      <c r="Q18" s="17">
        <v>8490.4124869999996</v>
      </c>
      <c r="R18" s="17">
        <v>10018.381195000002</v>
      </c>
      <c r="S18" s="17">
        <v>2560.2091016499999</v>
      </c>
      <c r="T18" s="17">
        <v>7161.7019010000004</v>
      </c>
      <c r="U18" s="17">
        <v>9249.9853249999996</v>
      </c>
      <c r="V18" s="17">
        <v>8514.4705580000009</v>
      </c>
      <c r="W18" s="17">
        <v>2795.7886442499998</v>
      </c>
      <c r="X18" s="17">
        <v>4632.2550698099994</v>
      </c>
      <c r="Y18" s="17">
        <v>0</v>
      </c>
      <c r="Z18" s="17">
        <v>7766.4716639999988</v>
      </c>
      <c r="AA18" s="17">
        <v>2483.8533126299999</v>
      </c>
      <c r="AB18" s="19"/>
      <c r="AC18" s="19">
        <f>+SUM(P18:AA18)</f>
        <v>63673.529258340008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2014</v>
      </c>
      <c r="D20" s="3" t="s">
        <v>2</v>
      </c>
      <c r="E20" s="17">
        <v>3680.3379007899998</v>
      </c>
      <c r="F20" s="17">
        <v>1948.9828462999999</v>
      </c>
      <c r="G20" s="17">
        <v>3674.4108322200004</v>
      </c>
      <c r="H20" s="17">
        <v>2684.0628524399999</v>
      </c>
      <c r="I20" s="17">
        <v>5298.3149675699997</v>
      </c>
      <c r="J20" s="17">
        <v>1440.7726195</v>
      </c>
      <c r="K20" s="17">
        <v>3446.2025185700004</v>
      </c>
      <c r="L20" s="17">
        <v>1528.5385743200002</v>
      </c>
      <c r="M20" s="17">
        <v>2935.1146891900003</v>
      </c>
      <c r="N20" s="17">
        <v>5019.1497949699988</v>
      </c>
      <c r="O20" s="17">
        <v>1206.9718622999999</v>
      </c>
      <c r="P20" s="17">
        <v>1135.87016782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33998.729625989996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1948.9828462999999</v>
      </c>
      <c r="G21" s="17">
        <v>3674.4108322200004</v>
      </c>
      <c r="H21" s="17">
        <v>2860.0059066500003</v>
      </c>
      <c r="I21" s="17">
        <v>5542.8602522400006</v>
      </c>
      <c r="J21" s="17">
        <v>1440.7726195</v>
      </c>
      <c r="K21" s="17">
        <v>3513.1357492699999</v>
      </c>
      <c r="L21" s="17">
        <v>1600.8786452000002</v>
      </c>
      <c r="M21" s="17">
        <v>3009.0499855799999</v>
      </c>
      <c r="N21" s="17">
        <v>5302.8869767799988</v>
      </c>
      <c r="O21" s="17">
        <v>1422.4342797299998</v>
      </c>
      <c r="P21" s="17">
        <v>1151.8077187900001</v>
      </c>
      <c r="Q21" s="17">
        <v>3102.1826250100003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34569.408437270002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3674.4108322200013</v>
      </c>
      <c r="H22" s="17">
        <v>3108.1758079699975</v>
      </c>
      <c r="I22" s="17">
        <v>6092.1047738799989</v>
      </c>
      <c r="J22" s="17">
        <v>1440.7726195000023</v>
      </c>
      <c r="K22" s="17">
        <v>3513.8960792900029</v>
      </c>
      <c r="L22" s="17">
        <v>1969.9849258500012</v>
      </c>
      <c r="M22" s="17">
        <v>2926.9752442599993</v>
      </c>
      <c r="N22" s="17">
        <v>5566.7756615299986</v>
      </c>
      <c r="O22" s="17">
        <v>2035.2887377499992</v>
      </c>
      <c r="P22" s="17">
        <v>1151.8077187900001</v>
      </c>
      <c r="Q22" s="17">
        <v>3102.9335666199991</v>
      </c>
      <c r="R22" s="17">
        <v>5152.6481064599993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39735.774074120003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3107.0958079699999</v>
      </c>
      <c r="I23" s="17">
        <v>6283.0082845200004</v>
      </c>
      <c r="J23" s="17">
        <v>1440.7726195</v>
      </c>
      <c r="K23" s="17">
        <v>3494.4513419800005</v>
      </c>
      <c r="L23" s="17">
        <v>2121.5415634100004</v>
      </c>
      <c r="M23" s="17">
        <v>2928.9351857500001</v>
      </c>
      <c r="N23" s="17">
        <v>5925.4698840999999</v>
      </c>
      <c r="O23" s="17">
        <v>2235.4541109500001</v>
      </c>
      <c r="P23" s="17">
        <v>1151.8077187900001</v>
      </c>
      <c r="Q23" s="17">
        <v>3104.6651682799998</v>
      </c>
      <c r="R23" s="17">
        <v>5391.0830580000002</v>
      </c>
      <c r="S23" s="17">
        <v>2948.6572954400003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40132.942038690002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6283.0082845300012</v>
      </c>
      <c r="J24" s="17">
        <v>1440.7726195</v>
      </c>
      <c r="K24" s="17">
        <v>3494.4513419800005</v>
      </c>
      <c r="L24" s="17">
        <v>2121.5415634100004</v>
      </c>
      <c r="M24" s="17">
        <v>2928.9351857500001</v>
      </c>
      <c r="N24" s="17">
        <v>5883.0877329799996</v>
      </c>
      <c r="O24" s="17">
        <v>2200.3841634699997</v>
      </c>
      <c r="P24" s="17">
        <v>1151.8077187900001</v>
      </c>
      <c r="Q24" s="17">
        <v>3104.6651682799998</v>
      </c>
      <c r="R24" s="17">
        <v>5389.9096364999996</v>
      </c>
      <c r="S24" s="17">
        <v>2948.6572954400003</v>
      </c>
      <c r="T24" s="17">
        <v>5527.0624339800006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42474.283144610003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1440.7726195</v>
      </c>
      <c r="K25" s="17">
        <v>3488.8113419800006</v>
      </c>
      <c r="L25" s="17">
        <v>2281.8471919300005</v>
      </c>
      <c r="M25" s="17">
        <v>2928.9351857500001</v>
      </c>
      <c r="N25" s="17">
        <v>6363.62870836</v>
      </c>
      <c r="O25" s="17">
        <v>2466.1471320400001</v>
      </c>
      <c r="P25" s="17">
        <v>1151.8077187900001</v>
      </c>
      <c r="Q25" s="17">
        <v>3105.2051682799997</v>
      </c>
      <c r="R25" s="17">
        <v>5551.3546743099996</v>
      </c>
      <c r="S25" s="17">
        <v>2948.6572954400003</v>
      </c>
      <c r="T25" s="17">
        <v>6005.0598769800008</v>
      </c>
      <c r="U25" s="17">
        <v>2224.0504553700002</v>
      </c>
      <c r="V25" s="18"/>
      <c r="W25" s="18"/>
      <c r="X25" s="18"/>
      <c r="Y25" s="18"/>
      <c r="Z25" s="18"/>
      <c r="AA25" s="18"/>
      <c r="AB25" s="19"/>
      <c r="AC25" s="19">
        <f>+SUM(J25:U25)</f>
        <v>39956.277368730007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3488.8113419800006</v>
      </c>
      <c r="L26" s="24">
        <v>2305.4894723000007</v>
      </c>
      <c r="M26" s="17">
        <v>2929.9151564999997</v>
      </c>
      <c r="N26" s="17">
        <v>6420.5487932100004</v>
      </c>
      <c r="O26" s="17">
        <v>2594.80425904</v>
      </c>
      <c r="P26" s="17">
        <v>1135.87016782</v>
      </c>
      <c r="Q26" s="17">
        <v>3254.6861767600003</v>
      </c>
      <c r="R26" s="17">
        <v>5576.67205638</v>
      </c>
      <c r="S26" s="17">
        <v>2912.17963263</v>
      </c>
      <c r="T26" s="17">
        <v>6045.795181989999</v>
      </c>
      <c r="U26" s="17">
        <v>2272.4441610599997</v>
      </c>
      <c r="V26" s="17">
        <v>968.87235115999999</v>
      </c>
      <c r="W26" s="18"/>
      <c r="X26" s="18"/>
      <c r="Y26" s="18"/>
      <c r="Z26" s="18"/>
      <c r="AA26" s="18"/>
      <c r="AB26" s="19"/>
      <c r="AC26" s="19">
        <f>+SUM(K26:V26)</f>
        <v>39906.088750829993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2305.4894723000007</v>
      </c>
      <c r="M27" s="16">
        <v>2929.9151564999997</v>
      </c>
      <c r="N27" s="17">
        <v>6459.6738793000004</v>
      </c>
      <c r="O27" s="17">
        <v>2702.2641526500001</v>
      </c>
      <c r="P27" s="17">
        <v>1135.87016782</v>
      </c>
      <c r="Q27" s="17">
        <v>3391.9556095600001</v>
      </c>
      <c r="R27" s="17">
        <v>5711.9055934499993</v>
      </c>
      <c r="S27" s="17">
        <v>2913.1596033599999</v>
      </c>
      <c r="T27" s="17">
        <v>6089.4315342700002</v>
      </c>
      <c r="U27" s="17">
        <v>2375.56218334</v>
      </c>
      <c r="V27" s="17">
        <v>968.87235115999999</v>
      </c>
      <c r="W27" s="17">
        <v>3651.8286900800008</v>
      </c>
      <c r="X27" s="18"/>
      <c r="Y27" s="18"/>
      <c r="Z27" s="18"/>
      <c r="AA27" s="18"/>
      <c r="AB27" s="19"/>
      <c r="AC27" s="19">
        <f>+SUM(L27:W27)</f>
        <v>40635.928393789996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2929.9151564999997</v>
      </c>
      <c r="N28" s="17">
        <v>6459.6738793000004</v>
      </c>
      <c r="O28" s="17">
        <v>2698.2426742000002</v>
      </c>
      <c r="P28" s="17">
        <v>1135.87016782</v>
      </c>
      <c r="Q28" s="17">
        <v>3393.4668812</v>
      </c>
      <c r="R28" s="17">
        <v>5760.6749292700006</v>
      </c>
      <c r="S28" s="17">
        <v>2810.7861961600001</v>
      </c>
      <c r="T28" s="17">
        <v>6125.9061846300001</v>
      </c>
      <c r="U28" s="17">
        <v>2372.8225598799995</v>
      </c>
      <c r="V28" s="17">
        <v>968.87235115999999</v>
      </c>
      <c r="W28" s="17">
        <v>3653.3399617099999</v>
      </c>
      <c r="X28" s="17">
        <v>1773.1574948599998</v>
      </c>
      <c r="Y28" s="18"/>
      <c r="Z28" s="18"/>
      <c r="AA28" s="18"/>
      <c r="AB28" s="19"/>
      <c r="AC28" s="19">
        <f>+SUM(M28:X28)</f>
        <v>40082.728436689998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6457.2738793000008</v>
      </c>
      <c r="O29" s="17">
        <v>2820.8593725500004</v>
      </c>
      <c r="P29" s="17">
        <v>1122.0114278500002</v>
      </c>
      <c r="Q29" s="17">
        <v>3732.2804982000002</v>
      </c>
      <c r="R29" s="17">
        <v>5992.6323363399997</v>
      </c>
      <c r="S29" s="17">
        <v>2810.7861961600001</v>
      </c>
      <c r="T29" s="17">
        <v>6262.9094777299997</v>
      </c>
      <c r="U29" s="17">
        <v>2491.0258530599995</v>
      </c>
      <c r="V29" s="17">
        <v>968.87235115999999</v>
      </c>
      <c r="W29" s="17">
        <v>4007.6272335399999</v>
      </c>
      <c r="X29" s="17">
        <v>1979.2231013499998</v>
      </c>
      <c r="Y29" s="17">
        <v>3663.6234275500001</v>
      </c>
      <c r="Z29" s="18"/>
      <c r="AA29" s="18"/>
      <c r="AB29" s="19"/>
      <c r="AC29" s="19">
        <f>+SUM(N29:Y29)</f>
        <v>42309.125154790003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2820.8593731500005</v>
      </c>
      <c r="P30" s="17">
        <v>1122.0114278500002</v>
      </c>
      <c r="Q30" s="17">
        <v>3826.5348951400001</v>
      </c>
      <c r="R30" s="17">
        <v>6042.9919455700001</v>
      </c>
      <c r="S30" s="17">
        <v>2810.7861961600001</v>
      </c>
      <c r="T30" s="17">
        <v>6175.5942436799996</v>
      </c>
      <c r="U30" s="17">
        <v>2455.5453807700001</v>
      </c>
      <c r="V30" s="17">
        <v>968.87235115999999</v>
      </c>
      <c r="W30" s="17">
        <v>4101.8816305</v>
      </c>
      <c r="X30" s="17">
        <v>2064.3772090899997</v>
      </c>
      <c r="Y30" s="17">
        <v>3663.6234275500001</v>
      </c>
      <c r="Z30" s="17">
        <v>1845.30486002</v>
      </c>
      <c r="AA30" s="18"/>
      <c r="AB30" s="19"/>
      <c r="AC30" s="19">
        <f>+SUM(O30:Z30)</f>
        <v>37898.382940639996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1122.0114278500002</v>
      </c>
      <c r="Q31" s="17">
        <v>3826.5348951400001</v>
      </c>
      <c r="R31" s="17">
        <v>6027.3999399599998</v>
      </c>
      <c r="S31" s="17">
        <v>2810.7861961600001</v>
      </c>
      <c r="T31" s="17">
        <v>6102.4445178699998</v>
      </c>
      <c r="U31" s="17">
        <v>2386.5303341299996</v>
      </c>
      <c r="V31" s="17">
        <v>968.87235115999999</v>
      </c>
      <c r="W31" s="17">
        <v>4100.37035887</v>
      </c>
      <c r="X31" s="17">
        <v>2062.7232975399997</v>
      </c>
      <c r="Y31" s="17">
        <v>3661.3993854399996</v>
      </c>
      <c r="Z31" s="17">
        <v>1842.9841608500001</v>
      </c>
      <c r="AA31" s="17">
        <v>2553.5473174199997</v>
      </c>
      <c r="AB31" s="26"/>
      <c r="AC31" s="26">
        <f>+SUM(P31:AA31)</f>
        <v>37465.604182390001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2015</v>
      </c>
      <c r="D7" s="3" t="s">
        <v>2</v>
      </c>
      <c r="E7" s="16">
        <v>8490.4124869999996</v>
      </c>
      <c r="F7" s="17">
        <v>10018.381195000002</v>
      </c>
      <c r="G7" s="17">
        <v>2560.2091016499999</v>
      </c>
      <c r="H7" s="17">
        <v>7175.4688759999999</v>
      </c>
      <c r="I7" s="17">
        <v>9249.9853249999996</v>
      </c>
      <c r="J7" s="17">
        <v>8514.4705580000009</v>
      </c>
      <c r="K7" s="17">
        <v>2795.7886442499998</v>
      </c>
      <c r="L7" s="17">
        <v>4632.2550698099994</v>
      </c>
      <c r="M7" s="17">
        <v>0</v>
      </c>
      <c r="N7" s="17">
        <v>7766.4716639999988</v>
      </c>
      <c r="O7" s="17">
        <v>2483.8533126299999</v>
      </c>
      <c r="P7" s="17">
        <v>2065.9127251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65753.208958440009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10018.881195000002</v>
      </c>
      <c r="G8" s="17">
        <v>2560.2091016499999</v>
      </c>
      <c r="H8" s="17">
        <v>7174.9688759999999</v>
      </c>
      <c r="I8" s="17">
        <v>9249.9853249999996</v>
      </c>
      <c r="J8" s="17">
        <v>8514.4705580000009</v>
      </c>
      <c r="K8" s="17">
        <v>2795.7886442499998</v>
      </c>
      <c r="L8" s="17">
        <v>4632.2550698099994</v>
      </c>
      <c r="M8" s="17">
        <v>0</v>
      </c>
      <c r="N8" s="17">
        <v>7766.4716639999988</v>
      </c>
      <c r="O8" s="17">
        <v>2483.8533126299999</v>
      </c>
      <c r="P8" s="17">
        <v>2065.9127251</v>
      </c>
      <c r="Q8" s="17">
        <v>12051.930376000002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69314.726847440004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2560.2091016499999</v>
      </c>
      <c r="H9" s="17">
        <v>7174.9688759999999</v>
      </c>
      <c r="I9" s="17">
        <v>9249.9853249999996</v>
      </c>
      <c r="J9" s="17">
        <v>8514.4705580000009</v>
      </c>
      <c r="K9" s="17">
        <v>2795.7886442499998</v>
      </c>
      <c r="L9" s="17">
        <v>4632.2550698099994</v>
      </c>
      <c r="M9" s="17">
        <v>0</v>
      </c>
      <c r="N9" s="17">
        <v>7766.4716639999988</v>
      </c>
      <c r="O9" s="17">
        <v>2483.8533126299999</v>
      </c>
      <c r="P9" s="17">
        <v>2065.9127251</v>
      </c>
      <c r="Q9" s="17">
        <v>12051.930376000002</v>
      </c>
      <c r="R9" s="17">
        <v>11635.943036000001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70931.788688440007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7161.7019010000004</v>
      </c>
      <c r="I10" s="17">
        <v>9249.9853249999996</v>
      </c>
      <c r="J10" s="17">
        <v>8514.4705580000009</v>
      </c>
      <c r="K10" s="17">
        <v>2795.7886442499998</v>
      </c>
      <c r="L10" s="17">
        <v>4632.2550698099994</v>
      </c>
      <c r="M10" s="17">
        <v>0</v>
      </c>
      <c r="N10" s="17">
        <v>7766.4716639999988</v>
      </c>
      <c r="O10" s="17">
        <v>2483.8533126299999</v>
      </c>
      <c r="P10" s="17">
        <v>2065.9127251</v>
      </c>
      <c r="Q10" s="17">
        <v>12051.930376000002</v>
      </c>
      <c r="R10" s="17">
        <v>11635.943036000001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68358.31261179001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9250.085325</v>
      </c>
      <c r="J11" s="17">
        <v>8514.4705580000009</v>
      </c>
      <c r="K11" s="17">
        <v>2795.7886442499998</v>
      </c>
      <c r="L11" s="17">
        <v>4632.2550698099994</v>
      </c>
      <c r="M11" s="17">
        <v>0</v>
      </c>
      <c r="N11" s="17">
        <v>7766.4716639999997</v>
      </c>
      <c r="O11" s="17">
        <v>2483.8533126299999</v>
      </c>
      <c r="P11" s="17">
        <v>2065.9127251</v>
      </c>
      <c r="Q11" s="17">
        <v>12051.930376</v>
      </c>
      <c r="R11" s="17">
        <v>11635.943036000001</v>
      </c>
      <c r="S11" s="17">
        <v>0</v>
      </c>
      <c r="T11" s="17">
        <v>903.90210071000001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62100.612811499996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8514.4705580000009</v>
      </c>
      <c r="K12" s="17">
        <v>2795.7886442499998</v>
      </c>
      <c r="L12" s="17">
        <v>4632.2550698099994</v>
      </c>
      <c r="M12" s="17">
        <v>0</v>
      </c>
      <c r="N12" s="17">
        <v>7766.4716639999997</v>
      </c>
      <c r="O12" s="17">
        <v>2483.8533126299999</v>
      </c>
      <c r="P12" s="17">
        <v>3681.1453014799999</v>
      </c>
      <c r="Q12" s="17">
        <v>12051.930376</v>
      </c>
      <c r="R12" s="17">
        <v>11635.943036000001</v>
      </c>
      <c r="S12" s="17">
        <v>0</v>
      </c>
      <c r="T12" s="17">
        <v>903.90210071000001</v>
      </c>
      <c r="U12" s="17">
        <v>2463.6720219999997</v>
      </c>
      <c r="V12" s="18"/>
      <c r="W12" s="18"/>
      <c r="X12" s="18"/>
      <c r="Y12" s="18"/>
      <c r="Z12" s="18"/>
      <c r="AA12" s="18"/>
      <c r="AB12" s="19"/>
      <c r="AC12" s="19">
        <f>+SUM(J12:U12)</f>
        <v>56929.432084880005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2795.7886442499998</v>
      </c>
      <c r="L13" s="17">
        <v>4632.2550698099994</v>
      </c>
      <c r="M13" s="17">
        <v>0</v>
      </c>
      <c r="N13" s="17">
        <v>7766.4716639999988</v>
      </c>
      <c r="O13" s="17">
        <v>2483.8533126299999</v>
      </c>
      <c r="P13" s="17">
        <v>3681.1453014799999</v>
      </c>
      <c r="Q13" s="17">
        <v>12051.930376000002</v>
      </c>
      <c r="R13" s="17">
        <v>11635.943036000001</v>
      </c>
      <c r="S13" s="17">
        <v>0</v>
      </c>
      <c r="T13" s="17">
        <v>903.90210071000001</v>
      </c>
      <c r="U13" s="17">
        <v>2463.6720219999997</v>
      </c>
      <c r="V13" s="17">
        <v>753.53219264999996</v>
      </c>
      <c r="W13" s="18"/>
      <c r="X13" s="18"/>
      <c r="Y13" s="18"/>
      <c r="Z13" s="18"/>
      <c r="AA13" s="18"/>
      <c r="AB13" s="19"/>
      <c r="AC13" s="19">
        <f>+SUM(K13:V13)</f>
        <v>49168.493719530001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4632.2550698099994</v>
      </c>
      <c r="M14" s="16">
        <v>0</v>
      </c>
      <c r="N14" s="17">
        <v>7766.4716639999988</v>
      </c>
      <c r="O14" s="17">
        <v>2483.8533126299999</v>
      </c>
      <c r="P14" s="17">
        <v>3681.1453014799999</v>
      </c>
      <c r="Q14" s="17">
        <v>12051.930376000002</v>
      </c>
      <c r="R14" s="17">
        <v>11635.943036000001</v>
      </c>
      <c r="S14" s="17">
        <v>0</v>
      </c>
      <c r="T14" s="17">
        <v>903.90210071000001</v>
      </c>
      <c r="U14" s="17">
        <v>2463.6720219999997</v>
      </c>
      <c r="V14" s="17">
        <v>753.53219264999996</v>
      </c>
      <c r="W14" s="17">
        <v>7394.04907</v>
      </c>
      <c r="X14" s="18"/>
      <c r="Y14" s="18"/>
      <c r="Z14" s="18"/>
      <c r="AA14" s="18"/>
      <c r="AB14" s="19"/>
      <c r="AC14" s="19">
        <f>+SUM(L14:W14)</f>
        <v>53766.75414528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0</v>
      </c>
      <c r="N15" s="17">
        <v>7766.4716639999997</v>
      </c>
      <c r="O15" s="17">
        <v>2483.8533126299999</v>
      </c>
      <c r="P15" s="17">
        <v>3681.1453014799999</v>
      </c>
      <c r="Q15" s="17">
        <v>12051.930376</v>
      </c>
      <c r="R15" s="17">
        <v>11635.943036000001</v>
      </c>
      <c r="S15" s="17">
        <v>0</v>
      </c>
      <c r="T15" s="17">
        <v>903.90210071000001</v>
      </c>
      <c r="U15" s="17">
        <v>2463.6720219999997</v>
      </c>
      <c r="V15" s="17">
        <v>753.53219264999996</v>
      </c>
      <c r="W15" s="17">
        <v>7394.04907</v>
      </c>
      <c r="X15" s="17">
        <v>768.21870629</v>
      </c>
      <c r="Y15" s="18"/>
      <c r="Z15" s="18"/>
      <c r="AA15" s="18"/>
      <c r="AB15" s="19"/>
      <c r="AC15" s="19">
        <f>+SUM(M15:X15)</f>
        <v>49902.717781759995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7766.4716639999997</v>
      </c>
      <c r="O16" s="17">
        <v>2483.8533126299999</v>
      </c>
      <c r="P16" s="17">
        <v>3681.1453014799999</v>
      </c>
      <c r="Q16" s="17">
        <v>12051.930376</v>
      </c>
      <c r="R16" s="17">
        <v>11635.943036000001</v>
      </c>
      <c r="S16" s="17">
        <v>0</v>
      </c>
      <c r="T16" s="17">
        <v>903.90210071000001</v>
      </c>
      <c r="U16" s="17">
        <v>2463.6720219999997</v>
      </c>
      <c r="V16" s="17">
        <v>753.53219264999996</v>
      </c>
      <c r="W16" s="17">
        <v>7394.04907</v>
      </c>
      <c r="X16" s="17">
        <v>768.21870629</v>
      </c>
      <c r="Y16" s="17">
        <v>8769.3340559999997</v>
      </c>
      <c r="Z16" s="18"/>
      <c r="AA16" s="18"/>
      <c r="AB16" s="19"/>
      <c r="AC16" s="19">
        <f>+SUM(N16:Y16)</f>
        <v>58672.051837759995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2483.8533126299999</v>
      </c>
      <c r="P17" s="17">
        <v>3681.1453014799999</v>
      </c>
      <c r="Q17" s="17">
        <v>12051.930376000002</v>
      </c>
      <c r="R17" s="17">
        <v>11635.943036000001</v>
      </c>
      <c r="S17" s="17">
        <v>0</v>
      </c>
      <c r="T17" s="17">
        <v>903.90210071000001</v>
      </c>
      <c r="U17" s="17">
        <v>2463.6720219999997</v>
      </c>
      <c r="V17" s="17">
        <v>753.53219264999996</v>
      </c>
      <c r="W17" s="17">
        <v>7394.04907</v>
      </c>
      <c r="X17" s="17">
        <v>768.21870629</v>
      </c>
      <c r="Y17" s="17">
        <v>8769.3340559999997</v>
      </c>
      <c r="Z17" s="17">
        <v>0</v>
      </c>
      <c r="AA17" s="18"/>
      <c r="AB17" s="19"/>
      <c r="AC17" s="19">
        <f>+SUM(O17:Z17)</f>
        <v>50905.580173759998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3681.1453014799999</v>
      </c>
      <c r="Q18" s="17">
        <v>12051.930376000002</v>
      </c>
      <c r="R18" s="17">
        <v>11635.943036000001</v>
      </c>
      <c r="S18" s="17">
        <v>0</v>
      </c>
      <c r="T18" s="17">
        <v>903.90210071000001</v>
      </c>
      <c r="U18" s="17">
        <v>2463.6720219999997</v>
      </c>
      <c r="V18" s="17">
        <v>753.53219264999996</v>
      </c>
      <c r="W18" s="17">
        <v>7394.04907</v>
      </c>
      <c r="X18" s="17">
        <v>768.21870629</v>
      </c>
      <c r="Y18" s="17">
        <v>8769.3340559999997</v>
      </c>
      <c r="Z18" s="17">
        <v>0</v>
      </c>
      <c r="AA18" s="17">
        <v>7851.9257400000006</v>
      </c>
      <c r="AB18" s="19"/>
      <c r="AC18" s="19">
        <f>+SUM(P18:AA18)</f>
        <v>56273.652601129994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2015</v>
      </c>
      <c r="D20" s="3" t="s">
        <v>2</v>
      </c>
      <c r="E20" s="17">
        <v>3962.1613759299994</v>
      </c>
      <c r="F20" s="17">
        <v>6069.4062981900006</v>
      </c>
      <c r="G20" s="17">
        <v>2808.8262546700003</v>
      </c>
      <c r="H20" s="17">
        <v>6007.7029853599997</v>
      </c>
      <c r="I20" s="17">
        <v>2481.5840307799999</v>
      </c>
      <c r="J20" s="17">
        <v>968.87235115999988</v>
      </c>
      <c r="K20" s="17">
        <v>4196.9341061599998</v>
      </c>
      <c r="L20" s="17">
        <v>2143.3786340100005</v>
      </c>
      <c r="M20" s="17">
        <v>3685.2205226000001</v>
      </c>
      <c r="N20" s="17">
        <v>1842.2105944499999</v>
      </c>
      <c r="O20" s="17">
        <v>2655.8255636399999</v>
      </c>
      <c r="P20" s="17">
        <v>876.04094882000004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37698.163665770007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6069.4062981900006</v>
      </c>
      <c r="G21" s="17">
        <v>2808.8262546700003</v>
      </c>
      <c r="H21" s="17">
        <v>6085.4457919799997</v>
      </c>
      <c r="I21" s="17">
        <v>2610.4339269899997</v>
      </c>
      <c r="J21" s="17">
        <v>968.87235115999999</v>
      </c>
      <c r="K21" s="17">
        <v>4170.2209542700002</v>
      </c>
      <c r="L21" s="17">
        <v>2439.2196623900004</v>
      </c>
      <c r="M21" s="17">
        <v>3718.7739651099996</v>
      </c>
      <c r="N21" s="17">
        <v>1842.2105944499999</v>
      </c>
      <c r="O21" s="17">
        <v>2789.5183488699995</v>
      </c>
      <c r="P21" s="17">
        <v>876.04094882000004</v>
      </c>
      <c r="Q21" s="17">
        <v>3719.5842607700006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38098.553357670011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2808.8262546700003</v>
      </c>
      <c r="H22" s="17">
        <v>6141.3858455299996</v>
      </c>
      <c r="I22" s="17">
        <v>2612.8574359600007</v>
      </c>
      <c r="J22" s="17">
        <v>968.87235115999999</v>
      </c>
      <c r="K22" s="17">
        <v>4172.4831675099995</v>
      </c>
      <c r="L22" s="17">
        <v>2442.5274854700001</v>
      </c>
      <c r="M22" s="17">
        <v>3627.0398762299997</v>
      </c>
      <c r="N22" s="17">
        <v>1844.5312936399998</v>
      </c>
      <c r="O22" s="17">
        <v>2790.9063700500001</v>
      </c>
      <c r="P22" s="17">
        <v>876.04094882000004</v>
      </c>
      <c r="Q22" s="17">
        <v>3722.6068040299997</v>
      </c>
      <c r="R22" s="17">
        <v>2095.8201894599997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34103.898022529997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6139.5858455299995</v>
      </c>
      <c r="I23" s="17">
        <v>2613.1038031600001</v>
      </c>
      <c r="J23" s="17">
        <v>968.87235115999999</v>
      </c>
      <c r="K23" s="17">
        <v>4109.0174267900002</v>
      </c>
      <c r="L23" s="17">
        <v>2536.1283668200003</v>
      </c>
      <c r="M23" s="17">
        <v>3711.0403021200004</v>
      </c>
      <c r="N23" s="17">
        <v>1846.0784264199999</v>
      </c>
      <c r="O23" s="17">
        <v>2796.6685541000006</v>
      </c>
      <c r="P23" s="17">
        <v>876.04094882000004</v>
      </c>
      <c r="Q23" s="17">
        <v>3725.6293473000005</v>
      </c>
      <c r="R23" s="17">
        <v>2190.2272730300001</v>
      </c>
      <c r="S23" s="17">
        <v>3811.8756963599999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35324.268341610004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2759.1090031999997</v>
      </c>
      <c r="J24" s="17">
        <v>968.87235115999999</v>
      </c>
      <c r="K24" s="17">
        <v>4110.52869844</v>
      </c>
      <c r="L24" s="17">
        <v>2739.1318289400001</v>
      </c>
      <c r="M24" s="17">
        <v>3884.6197462599998</v>
      </c>
      <c r="N24" s="17">
        <v>1925.8312223799994</v>
      </c>
      <c r="O24" s="17">
        <v>2853.5376376200002</v>
      </c>
      <c r="P24" s="17">
        <v>876.04094881999993</v>
      </c>
      <c r="Q24" s="17">
        <v>3725.6293473000005</v>
      </c>
      <c r="R24" s="17">
        <v>2393.2307351499994</v>
      </c>
      <c r="S24" s="17">
        <v>3984.6497702800002</v>
      </c>
      <c r="T24" s="17">
        <v>1813.2571170899998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32034.438406639998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968.87235115999999</v>
      </c>
      <c r="K25" s="17">
        <v>4109.7683684099993</v>
      </c>
      <c r="L25" s="17">
        <v>2827.3902195299997</v>
      </c>
      <c r="M25" s="17">
        <v>3983.1747888100003</v>
      </c>
      <c r="N25" s="17">
        <v>1938.6684062999996</v>
      </c>
      <c r="O25" s="17">
        <v>2782.7602327</v>
      </c>
      <c r="P25" s="17">
        <v>1037.5980959799999</v>
      </c>
      <c r="Q25" s="17">
        <v>3725.6293473000005</v>
      </c>
      <c r="R25" s="17">
        <v>2482.3368350699993</v>
      </c>
      <c r="S25" s="17">
        <v>4089.5536790400006</v>
      </c>
      <c r="T25" s="17">
        <v>1834.0271297999998</v>
      </c>
      <c r="U25" s="17">
        <v>3848.3399785000001</v>
      </c>
      <c r="V25" s="18"/>
      <c r="W25" s="18"/>
      <c r="X25" s="18"/>
      <c r="Y25" s="18"/>
      <c r="Z25" s="18"/>
      <c r="AA25" s="18"/>
      <c r="AB25" s="19"/>
      <c r="AC25" s="19">
        <f>+SUM(J25:U25)</f>
        <v>33628.119432599997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4109.7683684099984</v>
      </c>
      <c r="L26" s="24">
        <v>2827.3902195299993</v>
      </c>
      <c r="M26" s="17">
        <v>4094.8335169699985</v>
      </c>
      <c r="N26" s="17">
        <v>1937.8948399000005</v>
      </c>
      <c r="O26" s="17">
        <v>2780.3367237400003</v>
      </c>
      <c r="P26" s="17">
        <v>1119.40340595</v>
      </c>
      <c r="Q26" s="17">
        <v>3800.0890027400001</v>
      </c>
      <c r="R26" s="17">
        <v>2482.3368350699998</v>
      </c>
      <c r="S26" s="17">
        <v>4201.2124071999997</v>
      </c>
      <c r="T26" s="17">
        <v>1834.0271298</v>
      </c>
      <c r="U26" s="17">
        <v>3848.87459532</v>
      </c>
      <c r="V26" s="17">
        <v>948.74464978000003</v>
      </c>
      <c r="W26" s="18"/>
      <c r="X26" s="18"/>
      <c r="Y26" s="18"/>
      <c r="Z26" s="18"/>
      <c r="AA26" s="18"/>
      <c r="AB26" s="19"/>
      <c r="AC26" s="19">
        <f>+SUM(K26:V26)</f>
        <v>33984.911694409995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2827.3902195299993</v>
      </c>
      <c r="M27" s="16">
        <v>4094.8335169699985</v>
      </c>
      <c r="N27" s="17">
        <v>1937.8948399000003</v>
      </c>
      <c r="O27" s="17">
        <v>2780.3367237400003</v>
      </c>
      <c r="P27" s="17">
        <v>1119.40340595</v>
      </c>
      <c r="Q27" s="17">
        <v>3935.1639963899997</v>
      </c>
      <c r="R27" s="17">
        <v>2561.4582742400003</v>
      </c>
      <c r="S27" s="17">
        <v>4201.2124071999997</v>
      </c>
      <c r="T27" s="17">
        <v>1834.0271298</v>
      </c>
      <c r="U27" s="17">
        <v>3848.9780695500003</v>
      </c>
      <c r="V27" s="17">
        <v>948.74464978000003</v>
      </c>
      <c r="W27" s="17">
        <v>3445.4498781799998</v>
      </c>
      <c r="X27" s="18"/>
      <c r="Y27" s="18"/>
      <c r="Z27" s="18"/>
      <c r="AA27" s="18"/>
      <c r="AB27" s="19"/>
      <c r="AC27" s="19">
        <f>+SUM(L27:W27)</f>
        <v>33534.893111230005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4094.8335169700003</v>
      </c>
      <c r="N28" s="17">
        <v>1975.6761429299995</v>
      </c>
      <c r="O28" s="17">
        <v>2782.7602327</v>
      </c>
      <c r="P28" s="17">
        <v>1119.40340595</v>
      </c>
      <c r="Q28" s="17">
        <v>4042.7158958700006</v>
      </c>
      <c r="R28" s="17">
        <v>2562.26447646</v>
      </c>
      <c r="S28" s="17">
        <v>4200.6724753300005</v>
      </c>
      <c r="T28" s="17">
        <v>1879.7771940199998</v>
      </c>
      <c r="U28" s="17">
        <v>3850.8332145900004</v>
      </c>
      <c r="V28" s="17">
        <v>948.74464978000003</v>
      </c>
      <c r="W28" s="17">
        <v>3552.24144763</v>
      </c>
      <c r="X28" s="17">
        <v>2239.5044028500001</v>
      </c>
      <c r="Y28" s="18"/>
      <c r="Z28" s="18"/>
      <c r="AA28" s="18"/>
      <c r="AB28" s="19"/>
      <c r="AC28" s="19">
        <f>+SUM(M28:X28)</f>
        <v>33249.427055079999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1997.1372730599996</v>
      </c>
      <c r="O29" s="17">
        <v>2782.7602327</v>
      </c>
      <c r="P29" s="17">
        <v>1193.41408583</v>
      </c>
      <c r="Q29" s="17">
        <v>4165.75023487</v>
      </c>
      <c r="R29" s="17">
        <v>2560.6105649099995</v>
      </c>
      <c r="S29" s="17">
        <v>4290.44404442</v>
      </c>
      <c r="T29" s="17">
        <v>1942.0970109599996</v>
      </c>
      <c r="U29" s="17">
        <v>3917.89650024</v>
      </c>
      <c r="V29" s="17">
        <v>1037.9999436400001</v>
      </c>
      <c r="W29" s="17">
        <v>3756.1006144200005</v>
      </c>
      <c r="X29" s="17">
        <v>2236.8705205400001</v>
      </c>
      <c r="Y29" s="17">
        <v>4233.9454728799992</v>
      </c>
      <c r="Z29" s="18"/>
      <c r="AA29" s="18"/>
      <c r="AB29" s="19"/>
      <c r="AC29" s="19">
        <f>+SUM(N29:Y29)</f>
        <v>34115.026498469997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2782.7602327</v>
      </c>
      <c r="P30" s="17">
        <v>1255.57574413</v>
      </c>
      <c r="Q30" s="17">
        <v>4254.3751669499998</v>
      </c>
      <c r="R30" s="17">
        <v>2562.26447646</v>
      </c>
      <c r="S30" s="17">
        <v>4292.229385399999</v>
      </c>
      <c r="T30" s="17">
        <v>1964.0285112400002</v>
      </c>
      <c r="U30" s="17">
        <v>3914.6379830999999</v>
      </c>
      <c r="V30" s="17">
        <v>1100.1616019400001</v>
      </c>
      <c r="W30" s="17">
        <v>3844.7255464900009</v>
      </c>
      <c r="X30" s="17">
        <v>2240.3106050600004</v>
      </c>
      <c r="Y30" s="17">
        <v>4233.9454728800001</v>
      </c>
      <c r="Z30" s="17">
        <v>1986.7386434599998</v>
      </c>
      <c r="AA30" s="18"/>
      <c r="AB30" s="19"/>
      <c r="AC30" s="19">
        <f>+SUM(O30:Z30)</f>
        <v>34431.753369810001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1255.57574413</v>
      </c>
      <c r="Q31" s="17">
        <v>4361.4342796600004</v>
      </c>
      <c r="R31" s="17">
        <v>2563.1121857899998</v>
      </c>
      <c r="S31" s="17">
        <v>4375.0246131199992</v>
      </c>
      <c r="T31" s="17">
        <v>1964.0285112400002</v>
      </c>
      <c r="U31" s="17">
        <v>3919.7580060499999</v>
      </c>
      <c r="V31" s="17">
        <v>1100.1616019400001</v>
      </c>
      <c r="W31" s="17">
        <v>3953.295930830001</v>
      </c>
      <c r="X31" s="17">
        <v>2242.1382851499998</v>
      </c>
      <c r="Y31" s="17">
        <v>4317.5460708100009</v>
      </c>
      <c r="Z31" s="17">
        <v>1989.1679964599998</v>
      </c>
      <c r="AA31" s="17">
        <v>2916.9257069500004</v>
      </c>
      <c r="AB31" s="26"/>
      <c r="AC31" s="26">
        <f>+SUM(P31:AA31)</f>
        <v>34958.16893213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2016</v>
      </c>
      <c r="D7" s="3" t="s">
        <v>2</v>
      </c>
      <c r="E7" s="16">
        <v>12051.930376</v>
      </c>
      <c r="F7" s="17">
        <v>11635.943036000001</v>
      </c>
      <c r="G7" s="17">
        <v>0</v>
      </c>
      <c r="H7" s="17">
        <v>903.90210071000001</v>
      </c>
      <c r="I7" s="17">
        <v>2463.6720219999997</v>
      </c>
      <c r="J7" s="17">
        <v>753.53219264999996</v>
      </c>
      <c r="K7" s="17">
        <v>7394.04907</v>
      </c>
      <c r="L7" s="17">
        <v>768.21870629</v>
      </c>
      <c r="M7" s="17">
        <v>8769.3340559999997</v>
      </c>
      <c r="N7" s="17">
        <v>0</v>
      </c>
      <c r="O7" s="17">
        <v>7851.9257399999997</v>
      </c>
      <c r="P7" s="17">
        <v>1288.7604595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53881.267759149996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11635.943036000001</v>
      </c>
      <c r="G8" s="17">
        <v>0</v>
      </c>
      <c r="H8" s="17">
        <v>903.90210071000001</v>
      </c>
      <c r="I8" s="17">
        <v>2463.6720219999997</v>
      </c>
      <c r="J8" s="17">
        <v>753.53219264999996</v>
      </c>
      <c r="K8" s="17">
        <v>7394.04907</v>
      </c>
      <c r="L8" s="17">
        <v>768.21870629</v>
      </c>
      <c r="M8" s="17">
        <v>8769.3340559999997</v>
      </c>
      <c r="N8" s="17">
        <v>0</v>
      </c>
      <c r="O8" s="17">
        <v>7851.9257399999997</v>
      </c>
      <c r="P8" s="17">
        <v>2887.1537391299998</v>
      </c>
      <c r="Q8" s="17">
        <v>7361.3566159999991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50789.087278780004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903.90210071000001</v>
      </c>
      <c r="I9" s="17">
        <v>2463.6720219999997</v>
      </c>
      <c r="J9" s="17">
        <v>753.53219264999996</v>
      </c>
      <c r="K9" s="17">
        <v>7394.04907</v>
      </c>
      <c r="L9" s="17">
        <v>768.21870629</v>
      </c>
      <c r="M9" s="17">
        <v>8769.3340559999997</v>
      </c>
      <c r="N9" s="17">
        <v>0</v>
      </c>
      <c r="O9" s="17">
        <v>7851.9257400000006</v>
      </c>
      <c r="P9" s="17">
        <v>3903.3019586200003</v>
      </c>
      <c r="Q9" s="17">
        <v>7361.3566159999991</v>
      </c>
      <c r="R9" s="17">
        <v>1801.515314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41970.807776269998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903.90210071000013</v>
      </c>
      <c r="I10" s="17">
        <v>2463.6720219999997</v>
      </c>
      <c r="J10" s="17">
        <v>753.53219264999996</v>
      </c>
      <c r="K10" s="17">
        <v>7394.04907</v>
      </c>
      <c r="L10" s="17">
        <v>768.21870629</v>
      </c>
      <c r="M10" s="17">
        <v>8769.3340559999997</v>
      </c>
      <c r="N10" s="17">
        <v>0</v>
      </c>
      <c r="O10" s="17">
        <v>7851.9257399999997</v>
      </c>
      <c r="P10" s="17">
        <v>3903.3019586200003</v>
      </c>
      <c r="Q10" s="17">
        <v>7361.3566159999991</v>
      </c>
      <c r="R10" s="17">
        <v>1801.515314</v>
      </c>
      <c r="S10" s="17">
        <v>12879.881370999999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54850.689147269994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2463.6720219999997</v>
      </c>
      <c r="J11" s="17">
        <v>753.53219264999996</v>
      </c>
      <c r="K11" s="17">
        <v>7394.04907</v>
      </c>
      <c r="L11" s="17">
        <v>768.21870629</v>
      </c>
      <c r="M11" s="17">
        <v>8769.3340559999997</v>
      </c>
      <c r="N11" s="17">
        <v>0</v>
      </c>
      <c r="O11" s="17">
        <v>7851.9257399999997</v>
      </c>
      <c r="P11" s="17">
        <v>3903.3019586200003</v>
      </c>
      <c r="Q11" s="17">
        <v>7361.3566159999991</v>
      </c>
      <c r="R11" s="17">
        <v>1801.515314</v>
      </c>
      <c r="S11" s="17">
        <v>12879.881370999999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53946.787046559999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753.53219264999996</v>
      </c>
      <c r="K12" s="17">
        <v>7394.04907</v>
      </c>
      <c r="L12" s="17">
        <v>768.21870629</v>
      </c>
      <c r="M12" s="17">
        <v>8769.3340559999997</v>
      </c>
      <c r="N12" s="17">
        <v>0</v>
      </c>
      <c r="O12" s="17">
        <v>7851.9257400000006</v>
      </c>
      <c r="P12" s="17">
        <v>3903.3019586200003</v>
      </c>
      <c r="Q12" s="17">
        <v>7361.3566159999991</v>
      </c>
      <c r="R12" s="17">
        <v>1801.515314</v>
      </c>
      <c r="S12" s="17">
        <v>12879.881370999999</v>
      </c>
      <c r="T12" s="17">
        <v>0</v>
      </c>
      <c r="U12" s="17">
        <v>983.52567335000003</v>
      </c>
      <c r="V12" s="18"/>
      <c r="W12" s="18"/>
      <c r="X12" s="18"/>
      <c r="Y12" s="18"/>
      <c r="Z12" s="18"/>
      <c r="AA12" s="18"/>
      <c r="AB12" s="19"/>
      <c r="AC12" s="19">
        <f>+SUM(J12:U12)</f>
        <v>52466.640697909999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7394.04907</v>
      </c>
      <c r="L13" s="17">
        <v>768.21870629</v>
      </c>
      <c r="M13" s="17">
        <v>8769.3340559999997</v>
      </c>
      <c r="N13" s="17">
        <v>0</v>
      </c>
      <c r="O13" s="17">
        <v>7851.9257400000006</v>
      </c>
      <c r="P13" s="17">
        <v>3903.3019586200003</v>
      </c>
      <c r="Q13" s="17">
        <v>7361.3566159999991</v>
      </c>
      <c r="R13" s="17">
        <v>1801.515314</v>
      </c>
      <c r="S13" s="17">
        <v>12879.881370999999</v>
      </c>
      <c r="T13" s="17">
        <v>0</v>
      </c>
      <c r="U13" s="17">
        <v>983.52567335000003</v>
      </c>
      <c r="V13" s="17">
        <v>9874.628616</v>
      </c>
      <c r="W13" s="18"/>
      <c r="X13" s="18"/>
      <c r="Y13" s="18"/>
      <c r="Z13" s="18"/>
      <c r="AA13" s="18"/>
      <c r="AB13" s="19"/>
      <c r="AC13" s="19">
        <f>+SUM(K13:V13)</f>
        <v>61587.737121259997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768.21870629</v>
      </c>
      <c r="M14" s="16">
        <v>8769.3340559999997</v>
      </c>
      <c r="N14" s="17">
        <v>0</v>
      </c>
      <c r="O14" s="17">
        <v>7851.9257400000006</v>
      </c>
      <c r="P14" s="17">
        <v>3903.3019586200003</v>
      </c>
      <c r="Q14" s="17">
        <v>7361.3566159999991</v>
      </c>
      <c r="R14" s="17">
        <v>1801.515314</v>
      </c>
      <c r="S14" s="17">
        <v>12879.881370999999</v>
      </c>
      <c r="T14" s="17">
        <v>0</v>
      </c>
      <c r="U14" s="17">
        <v>2008.2215425900001</v>
      </c>
      <c r="V14" s="17">
        <v>9874.628616</v>
      </c>
      <c r="W14" s="17">
        <v>6957.2357580000007</v>
      </c>
      <c r="X14" s="18"/>
      <c r="Y14" s="18"/>
      <c r="Z14" s="18"/>
      <c r="AA14" s="18"/>
      <c r="AB14" s="19"/>
      <c r="AC14" s="19">
        <f>+SUM(L14:W14)</f>
        <v>62175.619678499999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8769.3340559999997</v>
      </c>
      <c r="N15" s="17">
        <v>0</v>
      </c>
      <c r="O15" s="17">
        <v>7851.9257400000006</v>
      </c>
      <c r="P15" s="17">
        <v>3903.3019586200003</v>
      </c>
      <c r="Q15" s="17">
        <v>7361.3566159999991</v>
      </c>
      <c r="R15" s="17">
        <v>1801.515314</v>
      </c>
      <c r="S15" s="17">
        <v>12879.881370999999</v>
      </c>
      <c r="T15" s="17">
        <v>0</v>
      </c>
      <c r="U15" s="17">
        <v>2008.2215425900001</v>
      </c>
      <c r="V15" s="17">
        <v>9874.628616</v>
      </c>
      <c r="W15" s="17">
        <v>6957.2357580000007</v>
      </c>
      <c r="X15" s="17">
        <v>1623.0839189999999</v>
      </c>
      <c r="Y15" s="18"/>
      <c r="Z15" s="18"/>
      <c r="AA15" s="18"/>
      <c r="AB15" s="19"/>
      <c r="AC15" s="19">
        <f>+SUM(M15:X15)</f>
        <v>63030.484891209999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0</v>
      </c>
      <c r="O16" s="17">
        <v>7851.9257400000006</v>
      </c>
      <c r="P16" s="17">
        <v>3903.3019586200003</v>
      </c>
      <c r="Q16" s="17">
        <v>7361.3566159999991</v>
      </c>
      <c r="R16" s="17">
        <v>1801.515314</v>
      </c>
      <c r="S16" s="17">
        <v>12879.881370999999</v>
      </c>
      <c r="T16" s="17">
        <v>0</v>
      </c>
      <c r="U16" s="17">
        <v>2008.2215425900001</v>
      </c>
      <c r="V16" s="17">
        <v>9874.628616</v>
      </c>
      <c r="W16" s="17">
        <v>6957.2357580000007</v>
      </c>
      <c r="X16" s="17">
        <v>1623.0839189999999</v>
      </c>
      <c r="Y16" s="17">
        <v>1442.3880985500002</v>
      </c>
      <c r="Z16" s="18"/>
      <c r="AA16" s="18"/>
      <c r="AB16" s="19"/>
      <c r="AC16" s="19">
        <f>+SUM(N16:Y16)</f>
        <v>55703.538933759999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7851.9257400000006</v>
      </c>
      <c r="P17" s="17">
        <v>3903.3019586200003</v>
      </c>
      <c r="Q17" s="17">
        <v>7361.3566159999991</v>
      </c>
      <c r="R17" s="17">
        <v>1801.515314</v>
      </c>
      <c r="S17" s="17">
        <v>12879.881370999999</v>
      </c>
      <c r="T17" s="17">
        <v>0</v>
      </c>
      <c r="U17" s="17">
        <v>2008.2215425900001</v>
      </c>
      <c r="V17" s="17">
        <v>9874.628616</v>
      </c>
      <c r="W17" s="17">
        <v>6957.2357580000007</v>
      </c>
      <c r="X17" s="17">
        <v>1623.0839189999999</v>
      </c>
      <c r="Y17" s="17">
        <v>1442.3880985500002</v>
      </c>
      <c r="Z17" s="17">
        <v>11324.648603</v>
      </c>
      <c r="AA17" s="18"/>
      <c r="AB17" s="19"/>
      <c r="AC17" s="19">
        <f>+SUM(O17:Z17)</f>
        <v>67028.187536760001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3903.3019586200003</v>
      </c>
      <c r="Q18" s="17">
        <v>7361.3566159999991</v>
      </c>
      <c r="R18" s="17">
        <v>1801.515314</v>
      </c>
      <c r="S18" s="17">
        <v>12879.881370999999</v>
      </c>
      <c r="T18" s="17">
        <v>0</v>
      </c>
      <c r="U18" s="17">
        <v>2008.2215425900001</v>
      </c>
      <c r="V18" s="17">
        <v>9874.628616</v>
      </c>
      <c r="W18" s="17">
        <v>6957.2357580000007</v>
      </c>
      <c r="X18" s="17">
        <v>1622.3839190000001</v>
      </c>
      <c r="Y18" s="17">
        <v>1442.3880985500002</v>
      </c>
      <c r="Z18" s="17">
        <v>11324.648603</v>
      </c>
      <c r="AA18" s="17">
        <v>913.60490804999995</v>
      </c>
      <c r="AB18" s="19"/>
      <c r="AC18" s="19">
        <f>+SUM(P18:AA18)</f>
        <v>60089.166704810006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f>+C7</f>
        <v>2016</v>
      </c>
      <c r="D20" s="3" t="s">
        <v>2</v>
      </c>
      <c r="E20" s="17">
        <v>4361.4342796600004</v>
      </c>
      <c r="F20" s="17">
        <v>2563.918388</v>
      </c>
      <c r="G20" s="17">
        <v>4365.8353953499991</v>
      </c>
      <c r="H20" s="17">
        <v>1957.1464773599994</v>
      </c>
      <c r="I20" s="17">
        <v>3992.74245505</v>
      </c>
      <c r="J20" s="17">
        <v>1100.1616019400001</v>
      </c>
      <c r="K20" s="17">
        <v>3948.74236479</v>
      </c>
      <c r="L20" s="17">
        <v>2249.1922226999995</v>
      </c>
      <c r="M20" s="17">
        <v>4318.3514410299986</v>
      </c>
      <c r="N20" s="17">
        <v>1993.1444822399994</v>
      </c>
      <c r="O20" s="17">
        <v>2922.1951565999993</v>
      </c>
      <c r="P20" s="17">
        <v>980.07065849000003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34752.934923209999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2563.918388</v>
      </c>
      <c r="G21" s="17">
        <v>4498.9224683099992</v>
      </c>
      <c r="H21" s="17">
        <v>2039.4958391299992</v>
      </c>
      <c r="I21" s="17">
        <v>3992.74245505</v>
      </c>
      <c r="J21" s="17">
        <v>1216.37563458</v>
      </c>
      <c r="K21" s="17">
        <v>4138.9634296999993</v>
      </c>
      <c r="L21" s="17">
        <v>2249.1922226999995</v>
      </c>
      <c r="M21" s="17">
        <v>4451.4385139899987</v>
      </c>
      <c r="N21" s="17">
        <v>2088.0360313699998</v>
      </c>
      <c r="O21" s="17">
        <v>2922.1951565999993</v>
      </c>
      <c r="P21" s="17">
        <v>1257.1163115000002</v>
      </c>
      <c r="Q21" s="17">
        <v>3907.9373037000005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35326.333754630003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4494.6483121900001</v>
      </c>
      <c r="H22" s="17">
        <v>2084.2483894799998</v>
      </c>
      <c r="I22" s="17">
        <v>2759.3008741899994</v>
      </c>
      <c r="J22" s="17">
        <v>1296.4499557800002</v>
      </c>
      <c r="K22" s="17">
        <v>4160.3981409000007</v>
      </c>
      <c r="L22" s="17">
        <v>2707.8928878499996</v>
      </c>
      <c r="M22" s="17">
        <v>4392.4478636499998</v>
      </c>
      <c r="N22" s="17">
        <v>2139.7224191400001</v>
      </c>
      <c r="O22" s="17">
        <v>2921.1596688</v>
      </c>
      <c r="P22" s="17">
        <v>1429.8515852100002</v>
      </c>
      <c r="Q22" s="17">
        <v>3931.7432246399994</v>
      </c>
      <c r="R22" s="17">
        <v>2428.1635591099994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34746.02688094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2084.2483894800002</v>
      </c>
      <c r="I23" s="17">
        <v>3968.7223971299995</v>
      </c>
      <c r="J23" s="17">
        <v>1283.2841528000004</v>
      </c>
      <c r="K23" s="17">
        <v>4137.0996150600004</v>
      </c>
      <c r="L23" s="17">
        <v>2858.8032374999998</v>
      </c>
      <c r="M23" s="17">
        <v>4383.5275188499991</v>
      </c>
      <c r="N23" s="17">
        <v>2139.7224191399996</v>
      </c>
      <c r="O23" s="17">
        <v>2921.1596687999995</v>
      </c>
      <c r="P23" s="17">
        <v>1429.8515852100002</v>
      </c>
      <c r="Q23" s="17">
        <v>3922.4312763700009</v>
      </c>
      <c r="R23" s="17">
        <v>2579.07390876</v>
      </c>
      <c r="S23" s="17">
        <v>4386.2161394900004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36094.140308590002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3964.6046273599995</v>
      </c>
      <c r="J24" s="17">
        <v>1283.2841528000004</v>
      </c>
      <c r="K24" s="17">
        <v>4116.9076861600006</v>
      </c>
      <c r="L24" s="17">
        <v>3020.6028681600001</v>
      </c>
      <c r="M24" s="17">
        <v>4367.5576300900002</v>
      </c>
      <c r="N24" s="17">
        <v>2070.8542052199996</v>
      </c>
      <c r="O24" s="17">
        <v>2920.0180148099998</v>
      </c>
      <c r="P24" s="17">
        <v>1429.8515852100002</v>
      </c>
      <c r="Q24" s="17">
        <v>3903.4951988000007</v>
      </c>
      <c r="R24" s="17">
        <v>2743.5074217299998</v>
      </c>
      <c r="S24" s="17">
        <v>4369.2662799700001</v>
      </c>
      <c r="T24" s="17">
        <v>1957.7644302199997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36147.714100529993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1283.2841528000004</v>
      </c>
      <c r="K25" s="17">
        <v>4100.3842122500009</v>
      </c>
      <c r="L25" s="17">
        <v>3284.2598240299999</v>
      </c>
      <c r="M25" s="17">
        <v>4354.3907098499994</v>
      </c>
      <c r="N25" s="17">
        <v>2070.8542052199996</v>
      </c>
      <c r="O25" s="17">
        <v>2792.1950591499999</v>
      </c>
      <c r="P25" s="17">
        <v>1429.8515852100002</v>
      </c>
      <c r="Q25" s="17">
        <v>3889.7388478499997</v>
      </c>
      <c r="R25" s="17">
        <v>3008.0120869100001</v>
      </c>
      <c r="S25" s="17">
        <v>4356.0993597299994</v>
      </c>
      <c r="T25" s="17">
        <v>1957.7644302199997</v>
      </c>
      <c r="U25" s="17">
        <v>2720.9237709899999</v>
      </c>
      <c r="V25" s="18"/>
      <c r="W25" s="18"/>
      <c r="X25" s="18"/>
      <c r="Y25" s="18"/>
      <c r="Z25" s="18"/>
      <c r="AA25" s="18"/>
      <c r="AB25" s="19"/>
      <c r="AC25" s="19">
        <f>+SUM(J25:U25)</f>
        <v>35247.758244209996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4051.5144084500002</v>
      </c>
      <c r="L26" s="24">
        <v>3415.3939752600004</v>
      </c>
      <c r="M26" s="17">
        <v>4295.3879560400001</v>
      </c>
      <c r="N26" s="17">
        <v>2024.2941432799996</v>
      </c>
      <c r="O26" s="17">
        <v>2790.5850744099998</v>
      </c>
      <c r="P26" s="17">
        <v>1429.8515852100002</v>
      </c>
      <c r="Q26" s="17">
        <v>3871.2912205199996</v>
      </c>
      <c r="R26" s="17">
        <v>3140.9324110900006</v>
      </c>
      <c r="S26" s="17">
        <v>4340.1711330499993</v>
      </c>
      <c r="T26" s="17">
        <v>1956.1086436399999</v>
      </c>
      <c r="U26" s="17">
        <v>2720.3566139399995</v>
      </c>
      <c r="V26" s="17">
        <v>1017.1309968300002</v>
      </c>
      <c r="W26" s="18"/>
      <c r="X26" s="18"/>
      <c r="Y26" s="18"/>
      <c r="Z26" s="18"/>
      <c r="AA26" s="18"/>
      <c r="AB26" s="19"/>
      <c r="AC26" s="19">
        <f>+SUM(K26:V26)</f>
        <v>35053.01816172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3683.5944662200009</v>
      </c>
      <c r="M27" s="16">
        <v>4279.2584589399994</v>
      </c>
      <c r="N27" s="17">
        <v>2025.9499298699998</v>
      </c>
      <c r="O27" s="17">
        <v>2792.1950591499999</v>
      </c>
      <c r="P27" s="17">
        <v>1429.8515852100002</v>
      </c>
      <c r="Q27" s="17">
        <v>3913.2690857500002</v>
      </c>
      <c r="R27" s="17">
        <v>3410.7868136000006</v>
      </c>
      <c r="S27" s="17">
        <v>4323.23626573</v>
      </c>
      <c r="T27" s="17">
        <v>1957.7644302199997</v>
      </c>
      <c r="U27" s="17">
        <v>2799.5787207999988</v>
      </c>
      <c r="V27" s="17">
        <v>1017.1309968300002</v>
      </c>
      <c r="W27" s="17">
        <v>3807.3176928099997</v>
      </c>
      <c r="X27" s="18"/>
      <c r="Y27" s="18"/>
      <c r="Z27" s="18"/>
      <c r="AA27" s="18"/>
      <c r="AB27" s="19"/>
      <c r="AC27" s="19">
        <f>+SUM(L27:W27)</f>
        <v>35439.93350513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4263.2899594199989</v>
      </c>
      <c r="N28" s="17">
        <v>2027.4970626699999</v>
      </c>
      <c r="O28" s="17">
        <v>2793.7977039999992</v>
      </c>
      <c r="P28" s="17">
        <v>1429.8515852100002</v>
      </c>
      <c r="Q28" s="17">
        <v>3900.9497154300002</v>
      </c>
      <c r="R28" s="17">
        <v>3654.3854878600014</v>
      </c>
      <c r="S28" s="17">
        <v>4309.0531071899995</v>
      </c>
      <c r="T28" s="17">
        <v>1959.3115630100001</v>
      </c>
      <c r="U28" s="17">
        <v>2801.75586256</v>
      </c>
      <c r="V28" s="17">
        <v>1017.1309968300002</v>
      </c>
      <c r="W28" s="17">
        <v>3796.4336096799993</v>
      </c>
      <c r="X28" s="17">
        <v>3814.3695101399999</v>
      </c>
      <c r="Y28" s="18"/>
      <c r="Z28" s="18"/>
      <c r="AA28" s="18"/>
      <c r="AB28" s="19"/>
      <c r="AC28" s="19">
        <f>+SUM(M28:X28)</f>
        <v>35767.826163999998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2085.7406298999995</v>
      </c>
      <c r="O29" s="17">
        <v>2792.1950591499999</v>
      </c>
      <c r="P29" s="17">
        <v>1429.8515852100002</v>
      </c>
      <c r="Q29" s="17">
        <v>4010.77525582</v>
      </c>
      <c r="R29" s="17">
        <v>3765.7853596400018</v>
      </c>
      <c r="S29" s="17">
        <v>4275.7335565499998</v>
      </c>
      <c r="T29" s="17">
        <v>2020.46002213</v>
      </c>
      <c r="U29" s="17">
        <v>2799.5787207999988</v>
      </c>
      <c r="V29" s="17">
        <v>1017.1309968300002</v>
      </c>
      <c r="W29" s="17">
        <v>3907.2667224100001</v>
      </c>
      <c r="X29" s="17">
        <v>3927.4232934699999</v>
      </c>
      <c r="Y29" s="17">
        <v>3828.8965651500002</v>
      </c>
      <c r="Z29" s="18"/>
      <c r="AA29" s="18"/>
      <c r="AB29" s="19"/>
      <c r="AC29" s="19">
        <f>+SUM(N29:Y29)</f>
        <v>35860.837767060002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2791.6205622100001</v>
      </c>
      <c r="P30" s="17">
        <v>1429.8515852100002</v>
      </c>
      <c r="Q30" s="17">
        <v>3955.3857449200004</v>
      </c>
      <c r="R30" s="17">
        <v>3746.571471130002</v>
      </c>
      <c r="S30" s="17">
        <v>4383.9097092000002</v>
      </c>
      <c r="T30" s="17">
        <v>1751.1886289500001</v>
      </c>
      <c r="U30" s="17">
        <v>2799.5787207999988</v>
      </c>
      <c r="V30" s="17">
        <v>1017.1309968300002</v>
      </c>
      <c r="W30" s="17">
        <v>3905.6299207700004</v>
      </c>
      <c r="X30" s="17">
        <v>3905.5755226400011</v>
      </c>
      <c r="Y30" s="17">
        <v>3936.1606910799992</v>
      </c>
      <c r="Z30" s="17">
        <v>2028.4129937</v>
      </c>
      <c r="AA30" s="18"/>
      <c r="AB30" s="19"/>
      <c r="AC30" s="19">
        <f>+SUM(O30:Z30)</f>
        <v>35651.016547440006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1429.8515852100002</v>
      </c>
      <c r="Q31" s="17">
        <v>4027.9268631100008</v>
      </c>
      <c r="R31" s="17">
        <v>3863.8195077700016</v>
      </c>
      <c r="S31" s="17">
        <v>4524.6301219400002</v>
      </c>
      <c r="T31" s="17">
        <v>1832.3653231100002</v>
      </c>
      <c r="U31" s="17">
        <v>2472.1175774399994</v>
      </c>
      <c r="V31" s="17">
        <v>1017.1309968300002</v>
      </c>
      <c r="W31" s="17">
        <v>3982.9465254799993</v>
      </c>
      <c r="X31" s="17">
        <v>4028.0913238900007</v>
      </c>
      <c r="Y31" s="17">
        <v>4078.8797577999999</v>
      </c>
      <c r="Z31" s="17">
        <v>2140.4226262799998</v>
      </c>
      <c r="AA31" s="17">
        <v>2792.8987785799995</v>
      </c>
      <c r="AB31" s="26"/>
      <c r="AC31" s="26">
        <f>+SUM(P31:AA31)</f>
        <v>36191.08098744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35" orientation="landscape" r:id="rId2"/>
  <colBreaks count="1" manualBreakCount="1">
    <brk id="1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1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2017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2018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2017</v>
      </c>
      <c r="D7" s="3" t="s">
        <v>2</v>
      </c>
      <c r="E7" s="16">
        <v>7361.3566159999991</v>
      </c>
      <c r="F7" s="17">
        <v>1801.515314</v>
      </c>
      <c r="G7" s="17">
        <v>12879.881370999999</v>
      </c>
      <c r="H7" s="17">
        <v>0</v>
      </c>
      <c r="I7" s="17">
        <v>2008.2215425900001</v>
      </c>
      <c r="J7" s="17">
        <v>9874.628616</v>
      </c>
      <c r="K7" s="17">
        <v>6957.2357580000007</v>
      </c>
      <c r="L7" s="17">
        <v>1622.3839190000001</v>
      </c>
      <c r="M7" s="17">
        <v>1442.3880985500002</v>
      </c>
      <c r="N7" s="17">
        <v>11324.648603</v>
      </c>
      <c r="O7" s="17">
        <v>913.60490804999995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56185.864746190004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1801.515314</v>
      </c>
      <c r="G8" s="17">
        <v>12879.881370999999</v>
      </c>
      <c r="H8" s="17">
        <v>0</v>
      </c>
      <c r="I8" s="17">
        <v>2008.2215425900001</v>
      </c>
      <c r="J8" s="17">
        <v>9874.628616</v>
      </c>
      <c r="K8" s="17">
        <v>6957.2357580000007</v>
      </c>
      <c r="L8" s="17">
        <v>1622.3839190000001</v>
      </c>
      <c r="M8" s="17">
        <v>1442.3880985500002</v>
      </c>
      <c r="N8" s="17">
        <v>11324.648603</v>
      </c>
      <c r="O8" s="17">
        <v>913.60490804999995</v>
      </c>
      <c r="P8" s="17">
        <v>844.94173010999998</v>
      </c>
      <c r="Q8" s="17">
        <v>5325.3629330000003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54994.812793300007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12879.881370999999</v>
      </c>
      <c r="H9" s="17">
        <v>0</v>
      </c>
      <c r="I9" s="17">
        <v>2008.2215425900001</v>
      </c>
      <c r="J9" s="17">
        <v>9874.628616</v>
      </c>
      <c r="K9" s="17">
        <v>6957.2357579999998</v>
      </c>
      <c r="L9" s="17">
        <v>1622.1839190000001</v>
      </c>
      <c r="M9" s="17">
        <v>1442.3880985500002</v>
      </c>
      <c r="N9" s="17">
        <v>11324.648603</v>
      </c>
      <c r="O9" s="17">
        <v>913.60490804999995</v>
      </c>
      <c r="P9" s="17">
        <v>844.94173010999998</v>
      </c>
      <c r="Q9" s="17">
        <v>5325.3629330000003</v>
      </c>
      <c r="R9" s="17">
        <v>14718.460336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67911.557815299995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2008.2215425900001</v>
      </c>
      <c r="J10" s="17">
        <v>9874.628616</v>
      </c>
      <c r="K10" s="17">
        <v>6957.2357580000007</v>
      </c>
      <c r="L10" s="17">
        <v>1622.1839190000001</v>
      </c>
      <c r="M10" s="17">
        <v>1442.3880985500002</v>
      </c>
      <c r="N10" s="17">
        <v>11324.648603</v>
      </c>
      <c r="O10" s="17">
        <v>913.60490804999995</v>
      </c>
      <c r="P10" s="17">
        <v>844.94173010999998</v>
      </c>
      <c r="Q10" s="17">
        <v>5325.3629330000003</v>
      </c>
      <c r="R10" s="17">
        <v>14718.460336</v>
      </c>
      <c r="S10" s="17">
        <v>0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55031.676444299999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2008.2215425900001</v>
      </c>
      <c r="J11" s="17">
        <v>9874.628616</v>
      </c>
      <c r="K11" s="17">
        <v>6957.2357580000007</v>
      </c>
      <c r="L11" s="17">
        <v>1622.1839190000001</v>
      </c>
      <c r="M11" s="17">
        <v>1442.3880985500002</v>
      </c>
      <c r="N11" s="17">
        <v>11324.648603</v>
      </c>
      <c r="O11" s="17">
        <v>913.60490804999995</v>
      </c>
      <c r="P11" s="17">
        <v>844.94173010999998</v>
      </c>
      <c r="Q11" s="17">
        <v>5325.3629330000003</v>
      </c>
      <c r="R11" s="17">
        <v>14718.460336</v>
      </c>
      <c r="S11" s="17">
        <v>0</v>
      </c>
      <c r="T11" s="17">
        <v>1825.2097957199999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56856.886240020001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9874.628616</v>
      </c>
      <c r="K12" s="17">
        <v>6957.2357580000007</v>
      </c>
      <c r="L12" s="17">
        <v>1622.1839190000001</v>
      </c>
      <c r="M12" s="17">
        <v>1442.3880985500002</v>
      </c>
      <c r="N12" s="17">
        <v>11324.648603</v>
      </c>
      <c r="O12" s="17">
        <v>913.60490804999995</v>
      </c>
      <c r="P12" s="17">
        <v>1507.8594285499998</v>
      </c>
      <c r="Q12" s="17">
        <v>5325.3629330000003</v>
      </c>
      <c r="R12" s="17">
        <v>14718.460336</v>
      </c>
      <c r="S12" s="17">
        <v>0</v>
      </c>
      <c r="T12" s="17">
        <v>1825.2097957199999</v>
      </c>
      <c r="U12" s="17">
        <v>0</v>
      </c>
      <c r="V12" s="18"/>
      <c r="W12" s="18"/>
      <c r="X12" s="18"/>
      <c r="Y12" s="18"/>
      <c r="Z12" s="18"/>
      <c r="AA12" s="18"/>
      <c r="AB12" s="19"/>
      <c r="AC12" s="19">
        <f>+SUM(J12:U12)</f>
        <v>55511.582395870006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6957.2357580000007</v>
      </c>
      <c r="L13" s="17">
        <v>1622.1839190000001</v>
      </c>
      <c r="M13" s="17">
        <v>1442.3880985500002</v>
      </c>
      <c r="N13" s="17">
        <v>11324.648603</v>
      </c>
      <c r="O13" s="17">
        <v>913.60490804999995</v>
      </c>
      <c r="P13" s="17">
        <v>1507.8594285499998</v>
      </c>
      <c r="Q13" s="17">
        <v>5325.3629330000003</v>
      </c>
      <c r="R13" s="17">
        <v>14718.460336</v>
      </c>
      <c r="S13" s="17">
        <v>0</v>
      </c>
      <c r="T13" s="17">
        <v>1825.2097957199999</v>
      </c>
      <c r="U13" s="17">
        <v>0</v>
      </c>
      <c r="V13" s="17">
        <v>13087.923451999999</v>
      </c>
      <c r="W13" s="18"/>
      <c r="X13" s="18"/>
      <c r="Y13" s="18"/>
      <c r="Z13" s="18"/>
      <c r="AA13" s="18"/>
      <c r="AB13" s="19"/>
      <c r="AC13" s="19">
        <f>+SUM(K13:V13)</f>
        <v>58724.877231870007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1622.1839190000001</v>
      </c>
      <c r="M14" s="16">
        <v>1442.3880985500002</v>
      </c>
      <c r="N14" s="17">
        <v>11324.648603</v>
      </c>
      <c r="O14" s="17">
        <v>913.60490804999995</v>
      </c>
      <c r="P14" s="17">
        <v>1507.8594285499998</v>
      </c>
      <c r="Q14" s="17">
        <v>5325.3629330000003</v>
      </c>
      <c r="R14" s="17">
        <v>14718.460336</v>
      </c>
      <c r="S14" s="17">
        <v>0</v>
      </c>
      <c r="T14" s="17">
        <v>1825.2097957199999</v>
      </c>
      <c r="U14" s="17">
        <v>0</v>
      </c>
      <c r="V14" s="17">
        <v>13087.923451999999</v>
      </c>
      <c r="W14" s="17">
        <v>12611.895478</v>
      </c>
      <c r="X14" s="18"/>
      <c r="Y14" s="18"/>
      <c r="Z14" s="18"/>
      <c r="AA14" s="18"/>
      <c r="AB14" s="19"/>
      <c r="AC14" s="19">
        <f>+SUM(L14:W14)</f>
        <v>64379.536951869995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1442.3880985500002</v>
      </c>
      <c r="N15" s="17">
        <v>11324.648603</v>
      </c>
      <c r="O15" s="17">
        <v>913.60490804999995</v>
      </c>
      <c r="P15" s="17">
        <v>1507.8594285499998</v>
      </c>
      <c r="Q15" s="17">
        <v>5325.3629330000003</v>
      </c>
      <c r="R15" s="17">
        <v>14718.460336</v>
      </c>
      <c r="S15" s="17">
        <v>0</v>
      </c>
      <c r="T15" s="17">
        <v>1825.2097957199999</v>
      </c>
      <c r="U15" s="17">
        <v>0</v>
      </c>
      <c r="V15" s="17">
        <v>13087.923451999999</v>
      </c>
      <c r="W15" s="17">
        <v>12611.895478</v>
      </c>
      <c r="X15" s="17">
        <v>2568.4811191399999</v>
      </c>
      <c r="Y15" s="18"/>
      <c r="Z15" s="18"/>
      <c r="AA15" s="18"/>
      <c r="AB15" s="19"/>
      <c r="AC15" s="19">
        <f>+SUM(M15:X15)</f>
        <v>65325.834152010008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11324.648603</v>
      </c>
      <c r="O16" s="17">
        <v>913.60490804999995</v>
      </c>
      <c r="P16" s="17">
        <v>1507.8594285499998</v>
      </c>
      <c r="Q16" s="17">
        <v>5325.3629330000003</v>
      </c>
      <c r="R16" s="17">
        <v>14718.460336</v>
      </c>
      <c r="S16" s="17">
        <v>0</v>
      </c>
      <c r="T16" s="17">
        <v>1825.2097957199999</v>
      </c>
      <c r="U16" s="17">
        <v>0</v>
      </c>
      <c r="V16" s="17">
        <v>13087.923451999999</v>
      </c>
      <c r="W16" s="17">
        <v>12611.895478</v>
      </c>
      <c r="X16" s="17">
        <v>3542.7192187199998</v>
      </c>
      <c r="Y16" s="17">
        <v>1102.8391780000002</v>
      </c>
      <c r="Z16" s="18"/>
      <c r="AA16" s="18"/>
      <c r="AB16" s="19"/>
      <c r="AC16" s="19">
        <f>+SUM(N16:Y16)</f>
        <v>65960.523331040007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913.60490804999995</v>
      </c>
      <c r="P17" s="17">
        <v>1507.8594285499998</v>
      </c>
      <c r="Q17" s="17">
        <v>5325.3629330000003</v>
      </c>
      <c r="R17" s="17">
        <v>14718.460336</v>
      </c>
      <c r="S17" s="17">
        <v>0</v>
      </c>
      <c r="T17" s="17">
        <v>1825.2097957199999</v>
      </c>
      <c r="U17" s="17">
        <v>0</v>
      </c>
      <c r="V17" s="17">
        <v>13087.923451999999</v>
      </c>
      <c r="W17" s="17">
        <v>12611.895478</v>
      </c>
      <c r="X17" s="17">
        <v>3542.7192187199998</v>
      </c>
      <c r="Y17" s="17">
        <v>1102.8391780000002</v>
      </c>
      <c r="Z17" s="17">
        <v>1071.7922575500002</v>
      </c>
      <c r="AA17" s="18"/>
      <c r="AB17" s="19"/>
      <c r="AC17" s="19">
        <f>+SUM(O17:Z17)</f>
        <v>55707.666985589996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1507.8594285499998</v>
      </c>
      <c r="Q18" s="17">
        <v>5325.3629330000003</v>
      </c>
      <c r="R18" s="17">
        <v>14718.460336</v>
      </c>
      <c r="S18" s="17">
        <v>0</v>
      </c>
      <c r="T18" s="17">
        <v>1825.2097957199999</v>
      </c>
      <c r="U18" s="17">
        <v>0</v>
      </c>
      <c r="V18" s="17">
        <v>13087.923451999999</v>
      </c>
      <c r="W18" s="17">
        <v>12611.895478</v>
      </c>
      <c r="X18" s="17">
        <v>3542.7192187199998</v>
      </c>
      <c r="Y18" s="17">
        <v>1102.8391780000002</v>
      </c>
      <c r="Z18" s="17">
        <v>1071.7922575500002</v>
      </c>
      <c r="AA18" s="17">
        <v>15445.137465</v>
      </c>
      <c r="AB18" s="19"/>
      <c r="AC18" s="19">
        <f>+SUM(P18:AA18)</f>
        <v>70239.199542539995</v>
      </c>
    </row>
    <row r="19" spans="2:29" ht="9.9499999999999993" customHeight="1" x14ac:dyDescent="0.2">
      <c r="B19" s="11"/>
      <c r="C19" s="1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2017</v>
      </c>
      <c r="D20" s="3" t="s">
        <v>2</v>
      </c>
      <c r="E20" s="17">
        <v>4104.7878552500006</v>
      </c>
      <c r="F20" s="17">
        <v>3933.5592548500008</v>
      </c>
      <c r="G20" s="17">
        <v>4585.0790691100001</v>
      </c>
      <c r="H20" s="17">
        <v>1832.3653231100002</v>
      </c>
      <c r="I20" s="17">
        <v>2472.1175774399994</v>
      </c>
      <c r="J20" s="17">
        <v>1017.1309968300002</v>
      </c>
      <c r="K20" s="17">
        <v>4063.1256383300001</v>
      </c>
      <c r="L20" s="17">
        <v>4098.6787803100015</v>
      </c>
      <c r="M20" s="17">
        <v>4137.54336401</v>
      </c>
      <c r="N20" s="17">
        <v>2141.19619268</v>
      </c>
      <c r="O20" s="17">
        <v>2793.8139446999999</v>
      </c>
      <c r="P20" s="17">
        <v>543.14882325999997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35722.546819880001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4062.9950577400004</v>
      </c>
      <c r="G21" s="17">
        <v>4703.9404108600011</v>
      </c>
      <c r="H21" s="17">
        <v>1906.0984958399997</v>
      </c>
      <c r="I21" s="17">
        <v>2474.2947191999997</v>
      </c>
      <c r="J21" s="17">
        <v>1017.1309968300002</v>
      </c>
      <c r="K21" s="17">
        <v>4061.3918562399999</v>
      </c>
      <c r="L21" s="17">
        <v>4229.9422632600008</v>
      </c>
      <c r="M21" s="17">
        <v>4256.2301052100001</v>
      </c>
      <c r="N21" s="17">
        <v>2240.1495394599997</v>
      </c>
      <c r="O21" s="17">
        <v>2796.5582435299998</v>
      </c>
      <c r="P21" s="17">
        <v>626.54989015000001</v>
      </c>
      <c r="Q21" s="17">
        <v>4398.1935714500005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36773.475149769998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4790.8046038600023</v>
      </c>
      <c r="H22" s="17">
        <v>1911.73076823</v>
      </c>
      <c r="I22" s="17">
        <v>2480.1313259000003</v>
      </c>
      <c r="J22" s="17">
        <v>1017.1309968300002</v>
      </c>
      <c r="K22" s="17">
        <v>4070.8313063800006</v>
      </c>
      <c r="L22" s="17">
        <v>4466.4336846900005</v>
      </c>
      <c r="M22" s="17">
        <v>4343.8996684300018</v>
      </c>
      <c r="N22" s="17">
        <v>2246.5553782199995</v>
      </c>
      <c r="O22" s="17">
        <v>2804.0048349399999</v>
      </c>
      <c r="P22" s="17">
        <v>626.54989015000001</v>
      </c>
      <c r="Q22" s="17">
        <v>4405.0469779300001</v>
      </c>
      <c r="R22" s="17">
        <v>3836.2785808500003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36999.398016409999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1988.1580435799999</v>
      </c>
      <c r="I23" s="17">
        <v>2482.3084676799999</v>
      </c>
      <c r="J23" s="17">
        <v>1017.1309968300002</v>
      </c>
      <c r="K23" s="17">
        <v>4227.3768815700005</v>
      </c>
      <c r="L23" s="17">
        <v>4451.3539854300006</v>
      </c>
      <c r="M23" s="17">
        <v>4793.9159516800009</v>
      </c>
      <c r="N23" s="17">
        <v>2347.3100867099993</v>
      </c>
      <c r="O23" s="17">
        <v>2804.0048349399999</v>
      </c>
      <c r="P23" s="17">
        <v>626.54989015000001</v>
      </c>
      <c r="Q23" s="17">
        <v>4562.9488650400017</v>
      </c>
      <c r="R23" s="17">
        <v>3821.1988815899999</v>
      </c>
      <c r="S23" s="17">
        <v>4786.4250805200008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37908.681965719996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2482.3084676799999</v>
      </c>
      <c r="J24" s="17">
        <v>1017.1309968300002</v>
      </c>
      <c r="K24" s="17">
        <v>4229.4473588999999</v>
      </c>
      <c r="L24" s="17">
        <v>4443.6498969800014</v>
      </c>
      <c r="M24" s="17">
        <v>4999.8861874700015</v>
      </c>
      <c r="N24" s="17">
        <v>2232.2019007399995</v>
      </c>
      <c r="O24" s="17">
        <v>2806.0616550300001</v>
      </c>
      <c r="P24" s="17">
        <v>626.54989015000001</v>
      </c>
      <c r="Q24" s="17">
        <v>4563.699806640001</v>
      </c>
      <c r="R24" s="17">
        <v>3811.8408815899998</v>
      </c>
      <c r="S24" s="17">
        <v>4992.5019728200023</v>
      </c>
      <c r="T24" s="17">
        <v>1945.4288879299997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38150.707902760012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1017.1309968300002</v>
      </c>
      <c r="K25" s="17">
        <v>4230.1983005100001</v>
      </c>
      <c r="L25" s="17">
        <v>4436.6548677200017</v>
      </c>
      <c r="M25" s="17">
        <v>5131.7414287500005</v>
      </c>
      <c r="N25" s="17">
        <v>2232.9754671399992</v>
      </c>
      <c r="O25" s="17">
        <v>2816.02682968</v>
      </c>
      <c r="P25" s="17">
        <v>668.58625071000006</v>
      </c>
      <c r="Q25" s="17">
        <v>4563.699806640001</v>
      </c>
      <c r="R25" s="17">
        <v>3805.6520545399994</v>
      </c>
      <c r="S25" s="17">
        <v>5124.2505575900022</v>
      </c>
      <c r="T25" s="17">
        <v>1945.4288879299997</v>
      </c>
      <c r="U25" s="17">
        <v>2865.9297758499993</v>
      </c>
      <c r="V25" s="18"/>
      <c r="W25" s="18"/>
      <c r="X25" s="18"/>
      <c r="Y25" s="18"/>
      <c r="Z25" s="18"/>
      <c r="AA25" s="18"/>
      <c r="AB25" s="19"/>
      <c r="AC25" s="19">
        <f>+SUM(J25:U25)</f>
        <v>38838.275223889999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4230.1983005100001</v>
      </c>
      <c r="L26" s="24">
        <v>4427.1858677200016</v>
      </c>
      <c r="M26" s="17">
        <v>5566.1552357300016</v>
      </c>
      <c r="N26" s="17">
        <v>2232.9754671399992</v>
      </c>
      <c r="O26" s="17">
        <v>2980.0172055799994</v>
      </c>
      <c r="P26" s="17">
        <v>784.66560325000012</v>
      </c>
      <c r="Q26" s="17">
        <v>4563.699806640001</v>
      </c>
      <c r="R26" s="17">
        <v>3796.1830545399994</v>
      </c>
      <c r="S26" s="17">
        <v>5558.6643645700015</v>
      </c>
      <c r="T26" s="17">
        <v>1945.4288879299997</v>
      </c>
      <c r="U26" s="17">
        <v>3031.070743029999</v>
      </c>
      <c r="V26" s="17">
        <v>664.74735755999995</v>
      </c>
      <c r="W26" s="18"/>
      <c r="X26" s="18"/>
      <c r="Y26" s="18"/>
      <c r="Z26" s="18"/>
      <c r="AA26" s="18"/>
      <c r="AB26" s="19"/>
      <c r="AC26" s="19">
        <f>+SUM(K26:V26)</f>
        <v>39780.991894200008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4414.9753969800013</v>
      </c>
      <c r="M27" s="16">
        <v>6041.3807742500003</v>
      </c>
      <c r="N27" s="17">
        <v>2230.54611415</v>
      </c>
      <c r="O27" s="17">
        <v>3180.589782529999</v>
      </c>
      <c r="P27" s="17">
        <v>859.4267885500002</v>
      </c>
      <c r="Q27" s="17">
        <v>4574.7787193800013</v>
      </c>
      <c r="R27" s="17">
        <v>3784.9525545399993</v>
      </c>
      <c r="S27" s="17">
        <v>6034.8019298099998</v>
      </c>
      <c r="T27" s="17">
        <v>1946.2024543299997</v>
      </c>
      <c r="U27" s="17">
        <v>3233.8279835499989</v>
      </c>
      <c r="V27" s="17">
        <v>744.13856162000002</v>
      </c>
      <c r="W27" s="17">
        <v>3731.0520781200003</v>
      </c>
      <c r="X27" s="18"/>
      <c r="Y27" s="18"/>
      <c r="Z27" s="18"/>
      <c r="AA27" s="18"/>
      <c r="AB27" s="19"/>
      <c r="AC27" s="19">
        <f>+SUM(L27:W27)</f>
        <v>40776.673137810001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6041.3807742500003</v>
      </c>
      <c r="N28" s="17">
        <v>2230.54611415</v>
      </c>
      <c r="O28" s="17">
        <v>3281.8843513399993</v>
      </c>
      <c r="P28" s="17">
        <v>924.66736902000014</v>
      </c>
      <c r="Q28" s="17">
        <v>4574.7787193799995</v>
      </c>
      <c r="R28" s="17">
        <v>4167.8662277499989</v>
      </c>
      <c r="S28" s="17">
        <v>6034.8019298099998</v>
      </c>
      <c r="T28" s="17">
        <v>1946.2024543299997</v>
      </c>
      <c r="U28" s="17">
        <v>3335.1225523599992</v>
      </c>
      <c r="V28" s="17">
        <v>813.41954234000002</v>
      </c>
      <c r="W28" s="17">
        <v>3731.0520781200003</v>
      </c>
      <c r="X28" s="17">
        <v>4580.8099801200015</v>
      </c>
      <c r="Y28" s="18"/>
      <c r="Z28" s="18"/>
      <c r="AA28" s="18"/>
      <c r="AB28" s="19"/>
      <c r="AC28" s="19">
        <f>+SUM(M28:X28)</f>
        <v>41662.532092970003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2231.4283343399998</v>
      </c>
      <c r="O29" s="17">
        <v>3345.4673353499988</v>
      </c>
      <c r="P29" s="17">
        <v>924.66736902000014</v>
      </c>
      <c r="Q29" s="17">
        <v>4608.3947083000003</v>
      </c>
      <c r="R29" s="17">
        <v>4566.6691213600016</v>
      </c>
      <c r="S29" s="17">
        <v>5996.8043643799992</v>
      </c>
      <c r="T29" s="17">
        <v>1947.8582409299995</v>
      </c>
      <c r="U29" s="17">
        <v>3398.8258580199995</v>
      </c>
      <c r="V29" s="17">
        <v>813.41954234000002</v>
      </c>
      <c r="W29" s="17">
        <v>3767.995096860001</v>
      </c>
      <c r="X29" s="17">
        <v>5085.2777954000003</v>
      </c>
      <c r="Y29" s="17">
        <v>6038.4500367099999</v>
      </c>
      <c r="Z29" s="18"/>
      <c r="AA29" s="18"/>
      <c r="AB29" s="19"/>
      <c r="AC29" s="19">
        <f>+SUM(N29:Y29)</f>
        <v>42725.257803009998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3466.0194851899992</v>
      </c>
      <c r="P30" s="17">
        <v>1051.54565361</v>
      </c>
      <c r="Q30" s="17">
        <v>4651.2698753000004</v>
      </c>
      <c r="R30" s="17">
        <v>5053.2014721200003</v>
      </c>
      <c r="S30" s="17">
        <v>5996.8043643799992</v>
      </c>
      <c r="T30" s="17">
        <v>4774.7053658499999</v>
      </c>
      <c r="U30" s="17">
        <v>3519.3780078599998</v>
      </c>
      <c r="V30" s="17">
        <v>948.15549847000011</v>
      </c>
      <c r="W30" s="17">
        <v>3813.9893541700012</v>
      </c>
      <c r="X30" s="17">
        <v>5571.8101461599999</v>
      </c>
      <c r="Y30" s="17">
        <v>6038.4500367099999</v>
      </c>
      <c r="Z30" s="17">
        <v>4876.1221534000006</v>
      </c>
      <c r="AA30" s="18"/>
      <c r="AB30" s="19"/>
      <c r="AC30" s="19">
        <f>+SUM(O30:Z30)</f>
        <v>49761.451413219998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1051.54565361</v>
      </c>
      <c r="Q31" s="17">
        <v>4655.6798063000015</v>
      </c>
      <c r="R31" s="17">
        <v>5237.9231344199998</v>
      </c>
      <c r="S31" s="17">
        <v>5997.7163911199996</v>
      </c>
      <c r="T31" s="17">
        <v>1931.5918022899998</v>
      </c>
      <c r="U31" s="17">
        <v>3575.7306001599991</v>
      </c>
      <c r="V31" s="17">
        <v>948.15549847000011</v>
      </c>
      <c r="W31" s="17">
        <v>3815.6706732300008</v>
      </c>
      <c r="X31" s="17">
        <v>5754.7456354899996</v>
      </c>
      <c r="Y31" s="17">
        <v>6039.3620634399995</v>
      </c>
      <c r="Z31" s="17">
        <v>2035.9889090499994</v>
      </c>
      <c r="AA31" s="17">
        <v>3447.8670262999999</v>
      </c>
      <c r="AB31" s="26"/>
      <c r="AC31" s="26">
        <f>+SUM(P31:AA31)</f>
        <v>44491.977193880004</v>
      </c>
    </row>
    <row r="32" spans="2:29" ht="20.100000000000001" customHeight="1" x14ac:dyDescent="0.2">
      <c r="D32" s="6"/>
      <c r="T32" s="14"/>
    </row>
    <row r="33" spans="2:20" ht="20.100000000000001" customHeight="1" x14ac:dyDescent="0.2">
      <c r="B33" s="7" t="s">
        <v>20</v>
      </c>
    </row>
    <row r="34" spans="2:20" ht="20.100000000000001" customHeight="1" x14ac:dyDescent="0.2">
      <c r="B34" s="7" t="s">
        <v>19</v>
      </c>
    </row>
    <row r="36" spans="2:20" ht="20.100000000000001" customHeight="1" x14ac:dyDescent="0.2">
      <c r="B36" s="61" t="s">
        <v>17</v>
      </c>
    </row>
    <row r="37" spans="2:20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0" ht="20.100000000000001" customHeight="1" x14ac:dyDescent="0.2">
      <c r="B38" s="15" t="s">
        <v>21</v>
      </c>
    </row>
    <row r="40" spans="2:20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0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44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1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2018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2019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2018</v>
      </c>
      <c r="D7" s="3" t="s">
        <v>2</v>
      </c>
      <c r="E7" s="16">
        <v>5325.3629330000003</v>
      </c>
      <c r="F7" s="17">
        <v>14718.460336</v>
      </c>
      <c r="G7" s="17">
        <v>0</v>
      </c>
      <c r="H7" s="17">
        <v>1825.2097957199999</v>
      </c>
      <c r="I7" s="17">
        <v>0</v>
      </c>
      <c r="J7" s="17">
        <v>13087.923451999999</v>
      </c>
      <c r="K7" s="17">
        <v>12611.895478</v>
      </c>
      <c r="L7" s="17">
        <v>3542.7192187199998</v>
      </c>
      <c r="M7" s="17">
        <v>1102.8391780000002</v>
      </c>
      <c r="N7" s="17">
        <v>1071.7922575500002</v>
      </c>
      <c r="O7" s="17">
        <v>15445.137465</v>
      </c>
      <c r="P7" s="17">
        <v>0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68731.340113989994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14718.460336</v>
      </c>
      <c r="G8" s="17">
        <v>0</v>
      </c>
      <c r="H8" s="17">
        <v>1825.2097957199999</v>
      </c>
      <c r="I8" s="17">
        <v>0</v>
      </c>
      <c r="J8" s="17">
        <v>13087.923451999999</v>
      </c>
      <c r="K8" s="17">
        <v>12611.895478</v>
      </c>
      <c r="L8" s="17">
        <v>3542.7192187199998</v>
      </c>
      <c r="M8" s="17">
        <v>1102.8391780000002</v>
      </c>
      <c r="N8" s="17">
        <v>1071.7922575500002</v>
      </c>
      <c r="O8" s="17">
        <v>15445.137465</v>
      </c>
      <c r="P8" s="17">
        <v>0</v>
      </c>
      <c r="Q8" s="17">
        <v>900.18688175000011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64306.164062739997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0</v>
      </c>
      <c r="H9" s="17">
        <v>1825.2097957199999</v>
      </c>
      <c r="I9" s="17">
        <v>0</v>
      </c>
      <c r="J9" s="17">
        <v>13087.923451999999</v>
      </c>
      <c r="K9" s="17">
        <v>12611.895478</v>
      </c>
      <c r="L9" s="17">
        <v>3542.7192187199998</v>
      </c>
      <c r="M9" s="17">
        <v>1102.8391780000002</v>
      </c>
      <c r="N9" s="17">
        <v>1071.7922575500002</v>
      </c>
      <c r="O9" s="17">
        <v>15445.137465</v>
      </c>
      <c r="P9" s="17">
        <v>969.36819951999996</v>
      </c>
      <c r="Q9" s="17">
        <v>900.18688175000011</v>
      </c>
      <c r="R9" s="17">
        <v>10085.466938000001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60642.538864260001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1825.2097957199999</v>
      </c>
      <c r="I10" s="17">
        <v>0</v>
      </c>
      <c r="J10" s="17">
        <v>13087.923451999999</v>
      </c>
      <c r="K10" s="17">
        <v>12611.895478</v>
      </c>
      <c r="L10" s="17">
        <v>3542.7192187199998</v>
      </c>
      <c r="M10" s="17">
        <v>1102.8391780000002</v>
      </c>
      <c r="N10" s="17">
        <v>1071.7922575500002</v>
      </c>
      <c r="O10" s="17">
        <v>15445.137465</v>
      </c>
      <c r="P10" s="17">
        <v>969.36819951999996</v>
      </c>
      <c r="Q10" s="17">
        <v>900.18688175000011</v>
      </c>
      <c r="R10" s="17">
        <v>10085.466938000001</v>
      </c>
      <c r="S10" s="17">
        <v>7936.0594690000007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68578.598333260001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0</v>
      </c>
      <c r="J11" s="17">
        <v>13087.923451999999</v>
      </c>
      <c r="K11" s="17">
        <v>12611.895478</v>
      </c>
      <c r="L11" s="17">
        <v>3542.7192187199998</v>
      </c>
      <c r="M11" s="17">
        <v>1102.8391780000002</v>
      </c>
      <c r="N11" s="17">
        <v>1071.7922575500002</v>
      </c>
      <c r="O11" s="17">
        <v>15445.137465</v>
      </c>
      <c r="P11" s="17">
        <v>969.36819951999996</v>
      </c>
      <c r="Q11" s="17">
        <v>900.18688175000011</v>
      </c>
      <c r="R11" s="17">
        <v>10085.466938000001</v>
      </c>
      <c r="S11" s="17">
        <v>7936.0594690000007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66753.388537540013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13087.923451999999</v>
      </c>
      <c r="K12" s="17">
        <v>12611.895478</v>
      </c>
      <c r="L12" s="17">
        <v>3542.7192187199998</v>
      </c>
      <c r="M12" s="17">
        <v>1102.8391780000002</v>
      </c>
      <c r="N12" s="17">
        <v>1071.7922575500002</v>
      </c>
      <c r="O12" s="17">
        <v>15445.137465</v>
      </c>
      <c r="P12" s="17">
        <v>969.36819951999996</v>
      </c>
      <c r="Q12" s="17">
        <v>900.18688175000011</v>
      </c>
      <c r="R12" s="17">
        <v>10085.466938000001</v>
      </c>
      <c r="S12" s="17">
        <v>7936.0594690000007</v>
      </c>
      <c r="T12" s="17">
        <v>0</v>
      </c>
      <c r="U12" s="17">
        <v>13630.898744</v>
      </c>
      <c r="V12" s="18"/>
      <c r="W12" s="18"/>
      <c r="X12" s="18"/>
      <c r="Y12" s="18"/>
      <c r="Z12" s="18"/>
      <c r="AA12" s="18"/>
      <c r="AB12" s="19"/>
      <c r="AC12" s="19">
        <f>+SUM(J12:U12)</f>
        <v>80384.287281540019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12611.895478</v>
      </c>
      <c r="L13" s="17">
        <v>3542.7192187199998</v>
      </c>
      <c r="M13" s="17">
        <v>1102.8391780000002</v>
      </c>
      <c r="N13" s="17">
        <v>1071.7922575500002</v>
      </c>
      <c r="O13" s="17">
        <v>15445.137465</v>
      </c>
      <c r="P13" s="17">
        <v>969.36819951999996</v>
      </c>
      <c r="Q13" s="17">
        <v>900.18688175000011</v>
      </c>
      <c r="R13" s="17">
        <v>10085.466938000001</v>
      </c>
      <c r="S13" s="17">
        <v>7936.0594690000007</v>
      </c>
      <c r="T13" s="17">
        <v>0</v>
      </c>
      <c r="U13" s="17">
        <v>13630.898744</v>
      </c>
      <c r="V13" s="17">
        <v>2344.1670444400002</v>
      </c>
      <c r="W13" s="18"/>
      <c r="X13" s="18"/>
      <c r="Y13" s="18"/>
      <c r="Z13" s="18"/>
      <c r="AA13" s="18"/>
      <c r="AB13" s="19"/>
      <c r="AC13" s="19">
        <f>+SUM(K13:V13)</f>
        <v>69640.530873980009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3542.7192187199998</v>
      </c>
      <c r="M14" s="16">
        <v>1102.8391780000002</v>
      </c>
      <c r="N14" s="17">
        <v>1071.7922575500002</v>
      </c>
      <c r="O14" s="17">
        <v>15445.137465</v>
      </c>
      <c r="P14" s="17">
        <v>969.36819951999996</v>
      </c>
      <c r="Q14" s="17">
        <v>900.18688175000011</v>
      </c>
      <c r="R14" s="17">
        <v>10085.466938000001</v>
      </c>
      <c r="S14" s="17">
        <v>7936.0594690000007</v>
      </c>
      <c r="T14" s="17">
        <v>0</v>
      </c>
      <c r="U14" s="17">
        <v>13630.898744</v>
      </c>
      <c r="V14" s="17">
        <v>5886.5967797600006</v>
      </c>
      <c r="W14" s="17">
        <v>15670.921196000001</v>
      </c>
      <c r="X14" s="18"/>
      <c r="Y14" s="18"/>
      <c r="Z14" s="18"/>
      <c r="AA14" s="18"/>
      <c r="AB14" s="19"/>
      <c r="AC14" s="19">
        <f>+SUM(L14:W14)</f>
        <v>76241.986327299994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1102.8391780000002</v>
      </c>
      <c r="N15" s="17">
        <v>1071.7922575500002</v>
      </c>
      <c r="O15" s="17">
        <v>16940.063716469998</v>
      </c>
      <c r="P15" s="17">
        <v>969.36819951999996</v>
      </c>
      <c r="Q15" s="17">
        <v>900.18688175000011</v>
      </c>
      <c r="R15" s="17">
        <v>10085.466938000001</v>
      </c>
      <c r="S15" s="17">
        <v>7936.0594690000007</v>
      </c>
      <c r="T15" s="17">
        <v>0</v>
      </c>
      <c r="U15" s="17">
        <v>13630.898744</v>
      </c>
      <c r="V15" s="17">
        <v>7839.3405176100005</v>
      </c>
      <c r="W15" s="17">
        <v>15670.921196000001</v>
      </c>
      <c r="X15" s="17">
        <v>0</v>
      </c>
      <c r="Y15" s="18"/>
      <c r="Z15" s="18"/>
      <c r="AA15" s="18"/>
      <c r="AB15" s="19"/>
      <c r="AC15" s="19">
        <f>+SUM(M15:X15)</f>
        <v>76146.937097899994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1071.7922575500002</v>
      </c>
      <c r="O16" s="17">
        <v>16940.063716469998</v>
      </c>
      <c r="P16" s="17">
        <v>969.36819951999996</v>
      </c>
      <c r="Q16" s="17">
        <v>900.18688175000011</v>
      </c>
      <c r="R16" s="17">
        <v>10085.466938000001</v>
      </c>
      <c r="S16" s="17">
        <v>7936.0594690000007</v>
      </c>
      <c r="T16" s="17">
        <v>0</v>
      </c>
      <c r="U16" s="17">
        <v>13630.898744</v>
      </c>
      <c r="V16" s="17">
        <v>7839.3405176100005</v>
      </c>
      <c r="W16" s="17">
        <v>15670.921196000001</v>
      </c>
      <c r="X16" s="17">
        <v>0</v>
      </c>
      <c r="Y16" s="17">
        <v>2244.1574889799995</v>
      </c>
      <c r="Z16" s="18"/>
      <c r="AA16" s="18"/>
      <c r="AB16" s="19"/>
      <c r="AC16" s="19">
        <f>+SUM(N16:Y16)</f>
        <v>77288.255408879995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16940.063716469998</v>
      </c>
      <c r="P17" s="17">
        <v>969.36819951999996</v>
      </c>
      <c r="Q17" s="17">
        <v>900.18688175000011</v>
      </c>
      <c r="R17" s="17">
        <v>10085.466938000001</v>
      </c>
      <c r="S17" s="17">
        <v>7936.0594690000007</v>
      </c>
      <c r="T17" s="17">
        <v>0</v>
      </c>
      <c r="U17" s="17">
        <v>13630.898744</v>
      </c>
      <c r="V17" s="17">
        <v>7839.3405176100005</v>
      </c>
      <c r="W17" s="17">
        <v>15670.921196000001</v>
      </c>
      <c r="X17" s="17">
        <v>0</v>
      </c>
      <c r="Y17" s="17">
        <v>2238.6825994799992</v>
      </c>
      <c r="Z17" s="17">
        <v>590.86527406999994</v>
      </c>
      <c r="AA17" s="18"/>
      <c r="AB17" s="19"/>
      <c r="AC17" s="19">
        <f>+SUM(O17:Z17)</f>
        <v>76801.853535900009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969.36819951999996</v>
      </c>
      <c r="Q18" s="17">
        <v>900.18688175000011</v>
      </c>
      <c r="R18" s="17">
        <v>10085.466938000001</v>
      </c>
      <c r="S18" s="17">
        <v>7936.0594690000007</v>
      </c>
      <c r="T18" s="17">
        <v>0</v>
      </c>
      <c r="U18" s="17">
        <v>13630.898744</v>
      </c>
      <c r="V18" s="17">
        <v>7839.3405176100005</v>
      </c>
      <c r="W18" s="17">
        <v>15670.921196000001</v>
      </c>
      <c r="X18" s="17">
        <v>0</v>
      </c>
      <c r="Y18" s="17">
        <v>2234.7677504799994</v>
      </c>
      <c r="Z18" s="17">
        <v>544.67153456999995</v>
      </c>
      <c r="AA18" s="17">
        <v>16835.992699000002</v>
      </c>
      <c r="AB18" s="19"/>
      <c r="AC18" s="19">
        <f>+SUM(P18:AA18)</f>
        <v>76647.67392993001</v>
      </c>
    </row>
    <row r="19" spans="2:29" ht="9.9499999999999993" customHeight="1" x14ac:dyDescent="0.2">
      <c r="B19" s="9"/>
      <c r="C19" s="1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2018</v>
      </c>
      <c r="D20" s="3" t="s">
        <v>2</v>
      </c>
      <c r="E20" s="17">
        <v>4659.1593598000018</v>
      </c>
      <c r="F20" s="17">
        <v>5320.1871134499988</v>
      </c>
      <c r="G20" s="17">
        <v>5998.62841785</v>
      </c>
      <c r="H20" s="17">
        <v>1934.7161829900001</v>
      </c>
      <c r="I20" s="17">
        <v>3645.6931715399996</v>
      </c>
      <c r="J20" s="17">
        <v>944.26480335000008</v>
      </c>
      <c r="K20" s="17">
        <v>3823.5601577100006</v>
      </c>
      <c r="L20" s="17">
        <v>5838.795787510001</v>
      </c>
      <c r="M20" s="17">
        <v>6040.2740901699999</v>
      </c>
      <c r="N20" s="17">
        <v>2040.8415750999991</v>
      </c>
      <c r="O20" s="17">
        <v>3517.9105484299998</v>
      </c>
      <c r="P20" s="17">
        <v>405.00667521000003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44169.037883110002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5405.1660953999999</v>
      </c>
      <c r="G21" s="17">
        <v>5998.7350743499992</v>
      </c>
      <c r="H21" s="17">
        <v>1937.2110859999996</v>
      </c>
      <c r="I21" s="17">
        <v>3767.5807738399994</v>
      </c>
      <c r="J21" s="17">
        <v>1029.56223888</v>
      </c>
      <c r="K21" s="17">
        <v>3998.8978667800002</v>
      </c>
      <c r="L21" s="17">
        <v>5927.2563610700008</v>
      </c>
      <c r="M21" s="17">
        <v>6149.099202700002</v>
      </c>
      <c r="N21" s="17">
        <v>2135.7329272499996</v>
      </c>
      <c r="O21" s="17">
        <v>3836.0552425299998</v>
      </c>
      <c r="P21" s="17">
        <v>547.72684960999993</v>
      </c>
      <c r="Q21" s="17">
        <v>4170.69272138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44903.716439789998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5998.62841785</v>
      </c>
      <c r="H22" s="17">
        <v>1935.5838174299997</v>
      </c>
      <c r="I22" s="17">
        <v>3900.6356104699994</v>
      </c>
      <c r="J22" s="17">
        <v>1166.68442153</v>
      </c>
      <c r="K22" s="17">
        <v>4339.1173397800003</v>
      </c>
      <c r="L22" s="17">
        <v>6253.6738916199993</v>
      </c>
      <c r="M22" s="17">
        <v>6149.099202700002</v>
      </c>
      <c r="N22" s="17">
        <v>2135.6375756099997</v>
      </c>
      <c r="O22" s="17">
        <v>3969.6997919499991</v>
      </c>
      <c r="P22" s="17">
        <v>809.33705755000028</v>
      </c>
      <c r="Q22" s="17">
        <v>4513.3737716800015</v>
      </c>
      <c r="R22" s="17">
        <v>9737.7190258999981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50909.18992407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1935.6134113799999</v>
      </c>
      <c r="I23" s="17">
        <v>4024.8540116399995</v>
      </c>
      <c r="J23" s="17">
        <v>1166.68442153</v>
      </c>
      <c r="K23" s="17">
        <v>4516.807665459999</v>
      </c>
      <c r="L23" s="17">
        <v>6240.30607169</v>
      </c>
      <c r="M23" s="17">
        <v>6238.1588647100034</v>
      </c>
      <c r="N23" s="17">
        <v>2135.7865698599999</v>
      </c>
      <c r="O23" s="17">
        <v>4091.6691292499995</v>
      </c>
      <c r="P23" s="17">
        <v>809.33705755000028</v>
      </c>
      <c r="Q23" s="17">
        <v>4688.514921259999</v>
      </c>
      <c r="R23" s="17">
        <v>9737.2411823700004</v>
      </c>
      <c r="S23" s="17">
        <v>6234.0156933900016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51818.989000090005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4024.75776068</v>
      </c>
      <c r="J24" s="17">
        <v>1166.68442153</v>
      </c>
      <c r="K24" s="17">
        <v>4673.8421038199976</v>
      </c>
      <c r="L24" s="17">
        <v>6220.3810716899998</v>
      </c>
      <c r="M24" s="17">
        <v>6363.0073376500031</v>
      </c>
      <c r="N24" s="17">
        <v>2133.7972788299994</v>
      </c>
      <c r="O24" s="17">
        <v>4093.6336271999999</v>
      </c>
      <c r="P24" s="17">
        <v>809.33705755000028</v>
      </c>
      <c r="Q24" s="17">
        <v>4850.192970269999</v>
      </c>
      <c r="R24" s="17">
        <v>5251.3255645699983</v>
      </c>
      <c r="S24" s="17">
        <v>6358.7575098300013</v>
      </c>
      <c r="T24" s="17">
        <v>1855.7447085799995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47801.461412199998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1166.68442153</v>
      </c>
      <c r="K25" s="17">
        <v>4787.7006766199993</v>
      </c>
      <c r="L25" s="17">
        <v>6225.3150092500009</v>
      </c>
      <c r="M25" s="17">
        <v>6364.7247346000031</v>
      </c>
      <c r="N25" s="17">
        <v>2141.5261497099996</v>
      </c>
      <c r="O25" s="17">
        <v>4245.4959761999999</v>
      </c>
      <c r="P25" s="17">
        <v>929.27237228000013</v>
      </c>
      <c r="Q25" s="17">
        <v>4968.8745895800002</v>
      </c>
      <c r="R25" s="17">
        <v>9949.8571242500002</v>
      </c>
      <c r="S25" s="17">
        <v>6536.0848966499998</v>
      </c>
      <c r="T25" s="17">
        <v>2008.2841344199999</v>
      </c>
      <c r="U25" s="17">
        <v>4032.878602140001</v>
      </c>
      <c r="V25" s="18"/>
      <c r="W25" s="18"/>
      <c r="X25" s="18"/>
      <c r="Y25" s="18"/>
      <c r="Z25" s="18"/>
      <c r="AA25" s="18"/>
      <c r="AB25" s="19"/>
      <c r="AC25" s="19">
        <f>+SUM(J25:U25)</f>
        <v>53356.698687229997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4845.3136547699969</v>
      </c>
      <c r="L26" s="24">
        <v>6232.1039467899991</v>
      </c>
      <c r="M26" s="17">
        <v>6555.480449460003</v>
      </c>
      <c r="N26" s="17">
        <v>2150.7501355899994</v>
      </c>
      <c r="O26" s="17">
        <v>4471.3385415899993</v>
      </c>
      <c r="P26" s="17">
        <v>1282.8775153900003</v>
      </c>
      <c r="Q26" s="17">
        <v>5041.3158746600002</v>
      </c>
      <c r="R26" s="17">
        <v>10209.704543109998</v>
      </c>
      <c r="S26" s="17">
        <v>6799.081404720002</v>
      </c>
      <c r="T26" s="17">
        <v>2094.2490594599994</v>
      </c>
      <c r="U26" s="17">
        <v>4474.3126501699999</v>
      </c>
      <c r="V26" s="17">
        <v>1753.5997459799996</v>
      </c>
      <c r="W26" s="18"/>
      <c r="X26" s="18"/>
      <c r="Y26" s="18"/>
      <c r="Z26" s="18"/>
      <c r="AA26" s="18"/>
      <c r="AB26" s="19"/>
      <c r="AC26" s="19">
        <f>+SUM(K26:V26)</f>
        <v>55910.127521690003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6234.4951457799989</v>
      </c>
      <c r="M27" s="16">
        <v>6773.7874229400031</v>
      </c>
      <c r="N27" s="17">
        <v>2158.7721369299993</v>
      </c>
      <c r="O27" s="17">
        <v>4721.6112611999997</v>
      </c>
      <c r="P27" s="17">
        <v>1690.8893762200005</v>
      </c>
      <c r="Q27" s="17">
        <v>5348.6734240599999</v>
      </c>
      <c r="R27" s="17">
        <v>10394.078892899997</v>
      </c>
      <c r="S27" s="17">
        <v>7225.7216932600013</v>
      </c>
      <c r="T27" s="17">
        <v>2254.6634512399992</v>
      </c>
      <c r="U27" s="17">
        <v>5020.78417352</v>
      </c>
      <c r="V27" s="17">
        <v>2894.3553756499996</v>
      </c>
      <c r="W27" s="17">
        <v>5320.5467121800011</v>
      </c>
      <c r="X27" s="18"/>
      <c r="Y27" s="18"/>
      <c r="Z27" s="18"/>
      <c r="AA27" s="18"/>
      <c r="AB27" s="19"/>
      <c r="AC27" s="19">
        <f>+SUM(L27:W27)</f>
        <v>60038.379065879992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6773.7874229400031</v>
      </c>
      <c r="N28" s="17">
        <v>2160.9582913199993</v>
      </c>
      <c r="O28" s="17">
        <v>4805.0919017300002</v>
      </c>
      <c r="P28" s="17">
        <v>1876.6723151500003</v>
      </c>
      <c r="Q28" s="17">
        <v>5386.3057992599997</v>
      </c>
      <c r="R28" s="17">
        <v>10767.670315859999</v>
      </c>
      <c r="S28" s="17">
        <v>7225.7216932600013</v>
      </c>
      <c r="T28" s="17">
        <v>2256.6117576499996</v>
      </c>
      <c r="U28" s="17">
        <v>5021.0220214999999</v>
      </c>
      <c r="V28" s="17">
        <v>3399.7704977299995</v>
      </c>
      <c r="W28" s="17">
        <v>5359.6590122500002</v>
      </c>
      <c r="X28" s="17">
        <v>5335.2369610200003</v>
      </c>
      <c r="Y28" s="18"/>
      <c r="Z28" s="18"/>
      <c r="AA28" s="18"/>
      <c r="AB28" s="19"/>
      <c r="AC28" s="19">
        <f>+SUM(M28:X28)</f>
        <v>60368.507989670004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2164.9597978699994</v>
      </c>
      <c r="O29" s="17">
        <v>4850.0075120600004</v>
      </c>
      <c r="P29" s="17">
        <v>1876.9779351500003</v>
      </c>
      <c r="Q29" s="17">
        <v>5434.9245639000001</v>
      </c>
      <c r="R29" s="17">
        <v>11882.97305717</v>
      </c>
      <c r="S29" s="17">
        <v>7398.3441448200019</v>
      </c>
      <c r="T29" s="17">
        <v>2564.5986730299996</v>
      </c>
      <c r="U29" s="17">
        <v>5714.3516557900011</v>
      </c>
      <c r="V29" s="17">
        <v>3688.1499427799999</v>
      </c>
      <c r="W29" s="17">
        <v>5494.7231765900015</v>
      </c>
      <c r="X29" s="17">
        <v>5794.7088472699988</v>
      </c>
      <c r="Y29" s="17">
        <v>7936.9434948100006</v>
      </c>
      <c r="Z29" s="18"/>
      <c r="AA29" s="18"/>
      <c r="AB29" s="19"/>
      <c r="AC29" s="19">
        <f>+SUM(N29:Y29)</f>
        <v>64801.662801240003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4855.1297652600006</v>
      </c>
      <c r="P30" s="17">
        <v>1877.2835551500004</v>
      </c>
      <c r="Q30" s="17">
        <v>5501.6276594200008</v>
      </c>
      <c r="R30" s="17">
        <v>13053.418316810001</v>
      </c>
      <c r="S30" s="17">
        <v>7409.1433659800023</v>
      </c>
      <c r="T30" s="17">
        <v>2543.1294743200001</v>
      </c>
      <c r="U30" s="17">
        <v>5760.6371397899993</v>
      </c>
      <c r="V30" s="17">
        <v>3688.8048427800004</v>
      </c>
      <c r="W30" s="17">
        <v>5595.7306117600019</v>
      </c>
      <c r="X30" s="17">
        <v>6041.7990426799988</v>
      </c>
      <c r="Y30" s="17">
        <v>7947.6360594400021</v>
      </c>
      <c r="Z30" s="17">
        <v>3047.5728896500004</v>
      </c>
      <c r="AA30" s="18"/>
      <c r="AB30" s="19"/>
      <c r="AC30" s="19">
        <f>+SUM(O30:Z30)</f>
        <v>67321.912723040004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1877.2398951500002</v>
      </c>
      <c r="Q31" s="17">
        <v>5476.4384852600006</v>
      </c>
      <c r="R31" s="17">
        <v>12732.267198670001</v>
      </c>
      <c r="S31" s="17">
        <v>7405.3563642800009</v>
      </c>
      <c r="T31" s="17">
        <v>2616.6857102800004</v>
      </c>
      <c r="U31" s="17">
        <v>5579.4333795300008</v>
      </c>
      <c r="V31" s="17">
        <v>3688.5428827800006</v>
      </c>
      <c r="W31" s="17">
        <v>5556.2502016400003</v>
      </c>
      <c r="X31" s="17">
        <v>6131.9125961400005</v>
      </c>
      <c r="Y31" s="17">
        <v>7942.0250043000015</v>
      </c>
      <c r="Z31" s="17">
        <v>3106.0727322400003</v>
      </c>
      <c r="AA31" s="17">
        <v>5085.0744342300004</v>
      </c>
      <c r="AB31" s="26"/>
      <c r="AC31" s="26">
        <f>+SUM(P31:AA31)</f>
        <v>67197.298884499993</v>
      </c>
    </row>
    <row r="32" spans="2:29" ht="20.100000000000001" customHeight="1" x14ac:dyDescent="0.2">
      <c r="D32" s="6"/>
      <c r="T32" s="14"/>
    </row>
    <row r="33" spans="2:21" ht="20.100000000000001" customHeight="1" x14ac:dyDescent="0.2">
      <c r="B33" s="7" t="s">
        <v>20</v>
      </c>
    </row>
    <row r="34" spans="2:21" ht="20.100000000000001" customHeight="1" x14ac:dyDescent="0.2">
      <c r="B34" s="7" t="s">
        <v>19</v>
      </c>
    </row>
    <row r="36" spans="2:21" ht="20.100000000000001" customHeight="1" x14ac:dyDescent="0.2">
      <c r="B36" s="61" t="s">
        <v>17</v>
      </c>
    </row>
    <row r="37" spans="2:21" ht="20.100000000000001" customHeight="1" x14ac:dyDescent="0.2">
      <c r="B37" s="60" t="s">
        <v>23</v>
      </c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</row>
    <row r="38" spans="2:21" ht="20.100000000000001" customHeight="1" x14ac:dyDescent="0.2">
      <c r="B38" s="15" t="s">
        <v>21</v>
      </c>
    </row>
    <row r="40" spans="2:21" ht="20.100000000000001" customHeight="1" x14ac:dyDescent="0.2"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2:21" ht="20.100000000000001" customHeight="1" x14ac:dyDescent="0.2">
      <c r="B41" s="8"/>
      <c r="C41" s="8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4" spans="2:21" ht="20.100000000000001" customHeight="1" x14ac:dyDescent="0.2"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90" orientation="landscape" r:id="rId2"/>
  <colBreaks count="1" manualBreakCount="1">
    <brk id="1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f>+C7</f>
        <v>2019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2020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13" t="s">
        <v>22</v>
      </c>
    </row>
    <row r="7" spans="2:29" ht="20.100000000000001" customHeight="1" x14ac:dyDescent="0.2">
      <c r="B7" s="84" t="s">
        <v>14</v>
      </c>
      <c r="C7" s="85">
        <v>2019</v>
      </c>
      <c r="D7" s="3" t="s">
        <v>2</v>
      </c>
      <c r="E7" s="16">
        <v>900.18688175000011</v>
      </c>
      <c r="F7" s="17">
        <v>10085.466938000001</v>
      </c>
      <c r="G7" s="17">
        <v>7936.0594690000007</v>
      </c>
      <c r="H7" s="17">
        <v>0</v>
      </c>
      <c r="I7" s="17">
        <v>13630.898744</v>
      </c>
      <c r="J7" s="17">
        <v>7839.3405176100005</v>
      </c>
      <c r="K7" s="17">
        <v>15670.921196000001</v>
      </c>
      <c r="L7" s="17">
        <v>0</v>
      </c>
      <c r="M7" s="17">
        <v>2234.9153850799999</v>
      </c>
      <c r="N7" s="17">
        <v>564.77334669000004</v>
      </c>
      <c r="O7" s="17">
        <v>16835.992699000002</v>
      </c>
      <c r="P7" s="17">
        <v>2085.4254179199997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77783.980595050001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10085.466938000001</v>
      </c>
      <c r="G8" s="17">
        <v>7936.0594690000007</v>
      </c>
      <c r="H8" s="17">
        <v>0</v>
      </c>
      <c r="I8" s="17">
        <v>13630.898744</v>
      </c>
      <c r="J8" s="17">
        <v>7839.3405176100005</v>
      </c>
      <c r="K8" s="17">
        <v>15670.921196000001</v>
      </c>
      <c r="L8" s="17">
        <v>0</v>
      </c>
      <c r="M8" s="17">
        <v>2234.9430442799999</v>
      </c>
      <c r="N8" s="17">
        <v>551.19858613999997</v>
      </c>
      <c r="O8" s="17">
        <v>16835.992699000002</v>
      </c>
      <c r="P8" s="17">
        <v>2834.8360348200004</v>
      </c>
      <c r="Q8" s="17">
        <v>13469.74084174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91089.398070590003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7936.0594690000007</v>
      </c>
      <c r="H9" s="17">
        <v>0</v>
      </c>
      <c r="I9" s="17">
        <v>13630.898744</v>
      </c>
      <c r="J9" s="17">
        <v>7839.3405176100005</v>
      </c>
      <c r="K9" s="17">
        <v>15670.921196000001</v>
      </c>
      <c r="L9" s="17">
        <v>0</v>
      </c>
      <c r="M9" s="17">
        <v>2234.0056180799997</v>
      </c>
      <c r="N9" s="17">
        <v>550.47213800000009</v>
      </c>
      <c r="O9" s="17">
        <v>16835.992699000002</v>
      </c>
      <c r="P9" s="17">
        <v>3210.7114947199998</v>
      </c>
      <c r="Q9" s="17">
        <v>15980.004087849999</v>
      </c>
      <c r="R9" s="17">
        <v>15320.134684000002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99208.540648260008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0</v>
      </c>
      <c r="I10" s="17">
        <v>13630.898744</v>
      </c>
      <c r="J10" s="17">
        <v>7839.3405176100005</v>
      </c>
      <c r="K10" s="17">
        <v>15670.921196000001</v>
      </c>
      <c r="L10" s="17">
        <v>0</v>
      </c>
      <c r="M10" s="17">
        <v>2235.3382684799994</v>
      </c>
      <c r="N10" s="17">
        <v>559.39334311000005</v>
      </c>
      <c r="O10" s="17">
        <v>16835.992699000002</v>
      </c>
      <c r="P10" s="17">
        <v>6025.8940795199978</v>
      </c>
      <c r="Q10" s="17">
        <v>15980.004087849999</v>
      </c>
      <c r="R10" s="17">
        <v>15320.134684000002</v>
      </c>
      <c r="S10" s="17">
        <v>21000.021450999997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115097.93907056999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13630.898744</v>
      </c>
      <c r="J11" s="17">
        <v>7839.3405176100005</v>
      </c>
      <c r="K11" s="17">
        <v>15670.921196000001</v>
      </c>
      <c r="L11" s="17">
        <v>0</v>
      </c>
      <c r="M11" s="17">
        <v>2235.3335356799998</v>
      </c>
      <c r="N11" s="17">
        <v>579.85039488000007</v>
      </c>
      <c r="O11" s="17">
        <v>16835.992699000002</v>
      </c>
      <c r="P11" s="17">
        <v>6138.5741177200007</v>
      </c>
      <c r="Q11" s="17">
        <v>15980.004087849999</v>
      </c>
      <c r="R11" s="17">
        <v>15320.134684000002</v>
      </c>
      <c r="S11" s="17">
        <v>21272.008970999996</v>
      </c>
      <c r="T11" s="17">
        <v>8095.7928433400002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123598.85179108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7839.3405176100005</v>
      </c>
      <c r="K12" s="17">
        <v>15670.921196000001</v>
      </c>
      <c r="L12" s="17">
        <v>0</v>
      </c>
      <c r="M12" s="17">
        <v>2235.2529046799996</v>
      </c>
      <c r="N12" s="17">
        <v>567.55701967000005</v>
      </c>
      <c r="O12" s="17">
        <v>16835.992699000002</v>
      </c>
      <c r="P12" s="17">
        <v>6134.0269537199993</v>
      </c>
      <c r="Q12" s="17">
        <v>15980.004087849999</v>
      </c>
      <c r="R12" s="17">
        <v>15320.134684000002</v>
      </c>
      <c r="S12" s="17">
        <v>21254.963930999998</v>
      </c>
      <c r="T12" s="17">
        <v>8083.4891529200004</v>
      </c>
      <c r="U12" s="17">
        <v>13863.248475339999</v>
      </c>
      <c r="V12" s="18"/>
      <c r="W12" s="18"/>
      <c r="X12" s="18"/>
      <c r="Y12" s="18"/>
      <c r="Z12" s="18"/>
      <c r="AA12" s="18"/>
      <c r="AB12" s="19"/>
      <c r="AC12" s="19">
        <f>+SUM(J12:U12)</f>
        <v>123784.93162178999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15670.921196000001</v>
      </c>
      <c r="L13" s="17">
        <v>0</v>
      </c>
      <c r="M13" s="17">
        <v>2233.8792406799998</v>
      </c>
      <c r="N13" s="17">
        <v>585.36565318999999</v>
      </c>
      <c r="O13" s="17">
        <v>16835.992699000002</v>
      </c>
      <c r="P13" s="17">
        <v>8197.0112869200002</v>
      </c>
      <c r="Q13" s="17">
        <v>15980.004087849999</v>
      </c>
      <c r="R13" s="17">
        <v>15320.134684000002</v>
      </c>
      <c r="S13" s="17">
        <v>21212.901170999998</v>
      </c>
      <c r="T13" s="17">
        <v>8102.8543373799994</v>
      </c>
      <c r="U13" s="17">
        <v>13817.258970339999</v>
      </c>
      <c r="V13" s="17">
        <v>5701.7017561499997</v>
      </c>
      <c r="W13" s="18"/>
      <c r="X13" s="18"/>
      <c r="Y13" s="18"/>
      <c r="Z13" s="18"/>
      <c r="AA13" s="18"/>
      <c r="AB13" s="19"/>
      <c r="AC13" s="19">
        <f>+SUM(K13:V13)</f>
        <v>123658.02508251001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0</v>
      </c>
      <c r="M14" s="16">
        <v>2232.4553950799996</v>
      </c>
      <c r="N14" s="17">
        <v>2646.79675576</v>
      </c>
      <c r="O14" s="17">
        <v>16835.992699000002</v>
      </c>
      <c r="P14" s="17">
        <v>8097.3791029199992</v>
      </c>
      <c r="Q14" s="17">
        <v>15980.004087849999</v>
      </c>
      <c r="R14" s="17">
        <v>15320.134684000002</v>
      </c>
      <c r="S14" s="17">
        <v>20898.942531000001</v>
      </c>
      <c r="T14" s="17">
        <v>8086.1414812700004</v>
      </c>
      <c r="U14" s="17">
        <v>13473.990900339999</v>
      </c>
      <c r="V14" s="17">
        <v>5701.7017561499997</v>
      </c>
      <c r="W14" s="17">
        <v>14889.048755000002</v>
      </c>
      <c r="X14" s="18"/>
      <c r="Y14" s="18"/>
      <c r="Z14" s="18"/>
      <c r="AA14" s="18"/>
      <c r="AB14" s="19"/>
      <c r="AC14" s="19">
        <f>+SUM(L14:W14)</f>
        <v>124162.58814836998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2232.4921182799994</v>
      </c>
      <c r="N15" s="17">
        <v>2691.4437563399997</v>
      </c>
      <c r="O15" s="17">
        <v>16835.992699000002</v>
      </c>
      <c r="P15" s="17">
        <v>8185.8271199199989</v>
      </c>
      <c r="Q15" s="17">
        <v>15980.004087849999</v>
      </c>
      <c r="R15" s="17">
        <v>15320.134684000002</v>
      </c>
      <c r="S15" s="17">
        <v>21111.913891</v>
      </c>
      <c r="T15" s="17">
        <v>8126.0781589400003</v>
      </c>
      <c r="U15" s="17">
        <v>13706.844080339999</v>
      </c>
      <c r="V15" s="17">
        <v>5701.7017561499997</v>
      </c>
      <c r="W15" s="17">
        <v>14889.048755000002</v>
      </c>
      <c r="X15" s="17">
        <v>19577.419040000001</v>
      </c>
      <c r="Y15" s="18"/>
      <c r="Z15" s="18"/>
      <c r="AA15" s="18"/>
      <c r="AB15" s="19"/>
      <c r="AC15" s="19">
        <f>+SUM(M15:X15)</f>
        <v>144358.90014682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2661.9657006000002</v>
      </c>
      <c r="O16" s="17">
        <v>16835.992699000002</v>
      </c>
      <c r="P16" s="17">
        <v>8070.0755445200002</v>
      </c>
      <c r="Q16" s="17">
        <v>15980.004087849999</v>
      </c>
      <c r="R16" s="17">
        <v>15320.134684000002</v>
      </c>
      <c r="S16" s="17">
        <v>20875.849251</v>
      </c>
      <c r="T16" s="17">
        <v>8105.6595690000004</v>
      </c>
      <c r="U16" s="17">
        <v>13448.741760339999</v>
      </c>
      <c r="V16" s="17">
        <v>5701.7017561499997</v>
      </c>
      <c r="W16" s="17">
        <v>14889.048755000002</v>
      </c>
      <c r="X16" s="17">
        <v>19577.419040000001</v>
      </c>
      <c r="Y16" s="17">
        <v>15504.789873919997</v>
      </c>
      <c r="Z16" s="18"/>
      <c r="AA16" s="18"/>
      <c r="AB16" s="19"/>
      <c r="AC16" s="19">
        <f>+SUM(N16:Y16)</f>
        <v>156971.38272137998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16835.992699000002</v>
      </c>
      <c r="P17" s="17">
        <v>8120.7358421199988</v>
      </c>
      <c r="Q17" s="17">
        <v>17343.2384437</v>
      </c>
      <c r="R17" s="17">
        <v>15320.134684000002</v>
      </c>
      <c r="S17" s="17">
        <v>21053.630850999994</v>
      </c>
      <c r="T17" s="17">
        <v>8109.2003778999997</v>
      </c>
      <c r="U17" s="17">
        <v>13643.120060339999</v>
      </c>
      <c r="V17" s="17">
        <v>5701.7017561499997</v>
      </c>
      <c r="W17" s="17">
        <v>14889.048755000002</v>
      </c>
      <c r="X17" s="17">
        <v>19577.419040000001</v>
      </c>
      <c r="Y17" s="17">
        <v>15506.48423278</v>
      </c>
      <c r="Z17" s="17">
        <v>10262.448372300001</v>
      </c>
      <c r="AA17" s="18"/>
      <c r="AB17" s="19"/>
      <c r="AC17" s="19">
        <f>+SUM(O17:Z17)</f>
        <v>166363.15511429001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8098.2154783199985</v>
      </c>
      <c r="Q18" s="17">
        <v>17343.2384437</v>
      </c>
      <c r="R18" s="17">
        <v>15320.134684000002</v>
      </c>
      <c r="S18" s="17">
        <v>20998.830130999999</v>
      </c>
      <c r="T18" s="17">
        <v>8084.7463359699996</v>
      </c>
      <c r="U18" s="17">
        <v>13583.203450339999</v>
      </c>
      <c r="V18" s="17">
        <v>5701.7017561499997</v>
      </c>
      <c r="W18" s="17">
        <v>14889.048755000002</v>
      </c>
      <c r="X18" s="17">
        <v>19577.419040000001</v>
      </c>
      <c r="Y18" s="17">
        <v>15502.554506689998</v>
      </c>
      <c r="Z18" s="17">
        <v>18282.532169859998</v>
      </c>
      <c r="AA18" s="17">
        <v>17853.348116000001</v>
      </c>
      <c r="AB18" s="19"/>
      <c r="AC18" s="19">
        <f>+SUM(P18:AA18)</f>
        <v>175234.97286703001</v>
      </c>
    </row>
    <row r="19" spans="2:29" ht="9.9499999999999993" customHeight="1" x14ac:dyDescent="0.2">
      <c r="B19" s="32"/>
      <c r="C19" s="3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2019</v>
      </c>
      <c r="D20" s="3" t="s">
        <v>2</v>
      </c>
      <c r="E20" s="17">
        <v>5461.3655197800017</v>
      </c>
      <c r="F20" s="17">
        <v>12636.186175169998</v>
      </c>
      <c r="G20" s="17">
        <v>7399.853769270002</v>
      </c>
      <c r="H20" s="17">
        <v>2599.2445444700002</v>
      </c>
      <c r="I20" s="17">
        <v>5558.9485954400016</v>
      </c>
      <c r="J20" s="17">
        <v>3558.1921833299998</v>
      </c>
      <c r="K20" s="17">
        <v>5510.3263493300019</v>
      </c>
      <c r="L20" s="17">
        <v>6560.1425667100002</v>
      </c>
      <c r="M20" s="17">
        <v>7935.717039090001</v>
      </c>
      <c r="N20" s="17">
        <v>3080.8055742199999</v>
      </c>
      <c r="O20" s="17">
        <v>5070.6602419399997</v>
      </c>
      <c r="P20" s="17">
        <v>2655.7639781100002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68027.206536860002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12757.908461409999</v>
      </c>
      <c r="G21" s="17">
        <v>7398.0764845600015</v>
      </c>
      <c r="H21" s="17">
        <v>2593.1750904699998</v>
      </c>
      <c r="I21" s="17">
        <v>5550.52260097</v>
      </c>
      <c r="J21" s="17">
        <v>3570.0357708899996</v>
      </c>
      <c r="K21" s="17">
        <v>5616.8783912300005</v>
      </c>
      <c r="L21" s="17">
        <v>6696.2615573700004</v>
      </c>
      <c r="M21" s="17">
        <v>7934.8517810900012</v>
      </c>
      <c r="N21" s="17">
        <v>3076.10818311</v>
      </c>
      <c r="O21" s="17">
        <v>5069.2360543999994</v>
      </c>
      <c r="P21" s="17">
        <v>2667.6512256700003</v>
      </c>
      <c r="Q21" s="17">
        <v>5425.2776564100022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68355.98325758001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7398.192194860002</v>
      </c>
      <c r="H22" s="17">
        <v>2594.0137612300005</v>
      </c>
      <c r="I22" s="17">
        <v>5550.5523600700008</v>
      </c>
      <c r="J22" s="17">
        <v>3575.60552727</v>
      </c>
      <c r="K22" s="17">
        <v>5714.6993841700023</v>
      </c>
      <c r="L22" s="17">
        <v>7651.974402769999</v>
      </c>
      <c r="M22" s="17">
        <v>7934.8608348800017</v>
      </c>
      <c r="N22" s="17">
        <v>3078.0671007800006</v>
      </c>
      <c r="O22" s="17">
        <v>5070.6602419399997</v>
      </c>
      <c r="P22" s="17">
        <v>2673.2209820500002</v>
      </c>
      <c r="Q22" s="17">
        <v>5901.2554678400029</v>
      </c>
      <c r="R22" s="17">
        <v>7704.2288645499984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64847.331122410011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2594.11011315</v>
      </c>
      <c r="I23" s="17">
        <v>5549.1577227300004</v>
      </c>
      <c r="J23" s="17">
        <v>3579.0208871099999</v>
      </c>
      <c r="K23" s="17">
        <v>5760.2066074000013</v>
      </c>
      <c r="L23" s="17">
        <v>8139.9042063400002</v>
      </c>
      <c r="M23" s="17">
        <v>7719.687378730001</v>
      </c>
      <c r="N23" s="17">
        <v>3076.3289486500003</v>
      </c>
      <c r="O23" s="17">
        <v>5066.8967007599995</v>
      </c>
      <c r="P23" s="17">
        <v>3069.4166876900008</v>
      </c>
      <c r="Q23" s="17">
        <v>5959.836535090004</v>
      </c>
      <c r="R23" s="17">
        <v>8199.468835669999</v>
      </c>
      <c r="S23" s="17">
        <v>7045.5266512099997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65759.561274530017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5549.2684515200008</v>
      </c>
      <c r="J24" s="17">
        <v>3583.4118592899995</v>
      </c>
      <c r="K24" s="17">
        <v>5765.0061680200015</v>
      </c>
      <c r="L24" s="17">
        <v>8146.3145964899995</v>
      </c>
      <c r="M24" s="17">
        <v>7722.7528941900009</v>
      </c>
      <c r="N24" s="17">
        <v>3111.4674980999998</v>
      </c>
      <c r="O24" s="17">
        <v>5066.8967007599995</v>
      </c>
      <c r="P24" s="17">
        <v>3073.8076598700004</v>
      </c>
      <c r="Q24" s="17">
        <v>5964.6360957100042</v>
      </c>
      <c r="R24" s="17">
        <v>8205.879225820001</v>
      </c>
      <c r="S24" s="17">
        <v>7048.5922187300002</v>
      </c>
      <c r="T24" s="17">
        <v>15331.216589119998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78569.249957620006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3583.1860291199996</v>
      </c>
      <c r="K25" s="17">
        <v>5851.8712819800021</v>
      </c>
      <c r="L25" s="17">
        <v>8439.3918460200002</v>
      </c>
      <c r="M25" s="17">
        <v>7725.2918053700014</v>
      </c>
      <c r="N25" s="17">
        <v>3607.6415341799993</v>
      </c>
      <c r="O25" s="17">
        <v>4635.5915193000001</v>
      </c>
      <c r="P25" s="17">
        <v>3073.7128097000009</v>
      </c>
      <c r="Q25" s="17">
        <v>6063.0655467100023</v>
      </c>
      <c r="R25" s="17">
        <v>8500.9337503899987</v>
      </c>
      <c r="S25" s="17">
        <v>7049.3079633800007</v>
      </c>
      <c r="T25" s="17">
        <v>15974.663321599999</v>
      </c>
      <c r="U25" s="17">
        <v>5248.7854063900022</v>
      </c>
      <c r="V25" s="18"/>
      <c r="W25" s="18"/>
      <c r="X25" s="18"/>
      <c r="Y25" s="18"/>
      <c r="Z25" s="18"/>
      <c r="AA25" s="18"/>
      <c r="AB25" s="19"/>
      <c r="AC25" s="19">
        <f>+SUM(J25:U25)</f>
        <v>79753.442814139999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5844.2866471900024</v>
      </c>
      <c r="L26" s="24">
        <v>8626.9287985400006</v>
      </c>
      <c r="M26" s="17">
        <v>7722.7793862700019</v>
      </c>
      <c r="N26" s="17">
        <v>3975.8250939599993</v>
      </c>
      <c r="O26" s="17">
        <v>4630.2884449200001</v>
      </c>
      <c r="P26" s="17">
        <v>3367.1392095099995</v>
      </c>
      <c r="Q26" s="17">
        <v>6049.0789762200029</v>
      </c>
      <c r="R26" s="17">
        <v>8693.263903420002</v>
      </c>
      <c r="S26" s="17">
        <v>7046.9173111199998</v>
      </c>
      <c r="T26" s="17">
        <v>16169.121624790001</v>
      </c>
      <c r="U26" s="17">
        <v>5244.3320226300002</v>
      </c>
      <c r="V26" s="17">
        <v>3722.2200223100003</v>
      </c>
      <c r="W26" s="18"/>
      <c r="X26" s="18"/>
      <c r="Y26" s="18"/>
      <c r="Z26" s="18"/>
      <c r="AA26" s="18"/>
      <c r="AB26" s="19"/>
      <c r="AC26" s="19">
        <f>+SUM(K26:V26)</f>
        <v>81092.181440879998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8885.2806936499965</v>
      </c>
      <c r="M27" s="16">
        <v>7719.2787430700018</v>
      </c>
      <c r="N27" s="17">
        <v>4669.815312740001</v>
      </c>
      <c r="O27" s="17">
        <v>4623.3745671400002</v>
      </c>
      <c r="P27" s="17">
        <v>3418.2928807999983</v>
      </c>
      <c r="Q27" s="17">
        <v>6084.5510225700027</v>
      </c>
      <c r="R27" s="17">
        <v>8955.1408086299998</v>
      </c>
      <c r="S27" s="17">
        <v>7042.5203034900005</v>
      </c>
      <c r="T27" s="17">
        <v>16656.73553048</v>
      </c>
      <c r="U27" s="17">
        <v>5237.7588140500011</v>
      </c>
      <c r="V27" s="17">
        <v>3776.4732666900004</v>
      </c>
      <c r="W27" s="17">
        <v>4667.3061317000011</v>
      </c>
      <c r="X27" s="18"/>
      <c r="Y27" s="18"/>
      <c r="Z27" s="18"/>
      <c r="AA27" s="18"/>
      <c r="AB27" s="19"/>
      <c r="AC27" s="19">
        <f>+SUM(L27:W27)</f>
        <v>81736.528075009992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7720.8126648800007</v>
      </c>
      <c r="N28" s="17">
        <v>4669.652921320001</v>
      </c>
      <c r="O28" s="17">
        <v>4628.6322215700002</v>
      </c>
      <c r="P28" s="17">
        <v>3488.4111011199989</v>
      </c>
      <c r="Q28" s="17">
        <v>6094.960434450003</v>
      </c>
      <c r="R28" s="17">
        <v>9437.6246718300008</v>
      </c>
      <c r="S28" s="17">
        <v>7046.6832450000002</v>
      </c>
      <c r="T28" s="17">
        <v>16824.496054579999</v>
      </c>
      <c r="U28" s="17">
        <v>5245.8648435500018</v>
      </c>
      <c r="V28" s="17">
        <v>3849.54486438</v>
      </c>
      <c r="W28" s="17">
        <v>4691.4579376200018</v>
      </c>
      <c r="X28" s="17">
        <v>8542.7738023300008</v>
      </c>
      <c r="Y28" s="18"/>
      <c r="Z28" s="18"/>
      <c r="AA28" s="18"/>
      <c r="AB28" s="19"/>
      <c r="AC28" s="19">
        <f>+SUM(M28:X28)</f>
        <v>82240.914762630011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4960.8081199200014</v>
      </c>
      <c r="O29" s="17">
        <v>4620.9971455899986</v>
      </c>
      <c r="P29" s="17">
        <v>3500.4251328299997</v>
      </c>
      <c r="Q29" s="17">
        <v>6062.3507271000017</v>
      </c>
      <c r="R29" s="17">
        <v>9529.9762880599992</v>
      </c>
      <c r="S29" s="17">
        <v>7313.9396044900004</v>
      </c>
      <c r="T29" s="17">
        <v>17023.113918770003</v>
      </c>
      <c r="U29" s="17">
        <v>5403.6908476500012</v>
      </c>
      <c r="V29" s="17">
        <v>3774.2839083099993</v>
      </c>
      <c r="W29" s="17">
        <v>4648.4996659500021</v>
      </c>
      <c r="X29" s="17">
        <v>8211.8107516999989</v>
      </c>
      <c r="Y29" s="17">
        <v>9350.0090969099983</v>
      </c>
      <c r="Z29" s="18"/>
      <c r="AA29" s="18"/>
      <c r="AB29" s="19"/>
      <c r="AC29" s="19">
        <f>+SUM(N29:Y29)</f>
        <v>84399.905207280011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4624.4873170299998</v>
      </c>
      <c r="P30" s="17">
        <v>3517.2707341699993</v>
      </c>
      <c r="Q30" s="17">
        <v>6115.0969929400026</v>
      </c>
      <c r="R30" s="17">
        <v>9532.0287396299973</v>
      </c>
      <c r="S30" s="17">
        <v>7316.3453903700001</v>
      </c>
      <c r="T30" s="17">
        <v>17216.524806780002</v>
      </c>
      <c r="U30" s="17">
        <v>5401.9932903699992</v>
      </c>
      <c r="V30" s="17">
        <v>3789.25076631</v>
      </c>
      <c r="W30" s="17">
        <v>4627.3353485900016</v>
      </c>
      <c r="X30" s="17">
        <v>8208.5124244300005</v>
      </c>
      <c r="Y30" s="17">
        <v>9347.9439394599958</v>
      </c>
      <c r="Z30" s="17">
        <v>4760.0253820800017</v>
      </c>
      <c r="AA30" s="18"/>
      <c r="AB30" s="19"/>
      <c r="AC30" s="19">
        <f>+SUM(O30:Z30)</f>
        <v>84456.815132159973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3516.1060274599995</v>
      </c>
      <c r="Q31" s="17">
        <v>6229.9110215600022</v>
      </c>
      <c r="R31" s="17">
        <v>9617.8651386999991</v>
      </c>
      <c r="S31" s="17">
        <v>7314.4510924799997</v>
      </c>
      <c r="T31" s="17">
        <v>17576.413260020003</v>
      </c>
      <c r="U31" s="17">
        <v>5640.2761885199998</v>
      </c>
      <c r="V31" s="17">
        <v>3788.2151230099998</v>
      </c>
      <c r="W31" s="17">
        <v>4742.1493772100011</v>
      </c>
      <c r="X31" s="17">
        <v>8294.3488235000004</v>
      </c>
      <c r="Y31" s="17">
        <v>9346.6352369299984</v>
      </c>
      <c r="Z31" s="17">
        <v>5730.370659330003</v>
      </c>
      <c r="AA31" s="17">
        <v>2949.2906647700001</v>
      </c>
      <c r="AB31" s="26"/>
      <c r="AC31" s="26">
        <f>+SUM(P31:AA31)</f>
        <v>84746.03261349001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2020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2021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2020</v>
      </c>
      <c r="D7" s="3" t="s">
        <v>2</v>
      </c>
      <c r="E7" s="36">
        <v>17343.2384437</v>
      </c>
      <c r="F7" s="37">
        <v>18098.038218580001</v>
      </c>
      <c r="G7" s="37">
        <v>21304.541170999997</v>
      </c>
      <c r="H7" s="37">
        <v>8097.0386726600009</v>
      </c>
      <c r="I7" s="37">
        <v>13917.453970339999</v>
      </c>
      <c r="J7" s="37">
        <v>9491.4403950900014</v>
      </c>
      <c r="K7" s="37">
        <v>14889.048755000002</v>
      </c>
      <c r="L7" s="37">
        <v>19577.419040000001</v>
      </c>
      <c r="M7" s="37">
        <v>15497.293909519998</v>
      </c>
      <c r="N7" s="37">
        <v>18806.238291420002</v>
      </c>
      <c r="O7" s="37">
        <v>17853.348116000001</v>
      </c>
      <c r="P7" s="37">
        <v>3784.3289627499998</v>
      </c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9"/>
      <c r="AC7" s="39">
        <f>+SUM(E7:P7)</f>
        <v>178659.42794606002</v>
      </c>
    </row>
    <row r="8" spans="2:29" ht="20.100000000000001" customHeight="1" x14ac:dyDescent="0.2">
      <c r="B8" s="71"/>
      <c r="C8" s="73"/>
      <c r="D8" s="3" t="s">
        <v>3</v>
      </c>
      <c r="E8" s="40"/>
      <c r="F8" s="37">
        <v>15923.68037858</v>
      </c>
      <c r="G8" s="37">
        <v>19299.522211</v>
      </c>
      <c r="H8" s="37">
        <v>7884.375772110001</v>
      </c>
      <c r="I8" s="37">
        <v>13844.912790339999</v>
      </c>
      <c r="J8" s="37">
        <v>9491.4403950900014</v>
      </c>
      <c r="K8" s="37">
        <v>14889.048755000002</v>
      </c>
      <c r="L8" s="37">
        <v>19577.419040000001</v>
      </c>
      <c r="M8" s="37">
        <v>15505.961324809998</v>
      </c>
      <c r="N8" s="37">
        <v>19201.198184199995</v>
      </c>
      <c r="O8" s="37">
        <v>17853.348116000001</v>
      </c>
      <c r="P8" s="37">
        <v>3748.5429028899998</v>
      </c>
      <c r="Q8" s="37">
        <v>14501.236505339999</v>
      </c>
      <c r="R8" s="38"/>
      <c r="S8" s="38"/>
      <c r="T8" s="38"/>
      <c r="U8" s="38"/>
      <c r="V8" s="38"/>
      <c r="W8" s="38"/>
      <c r="X8" s="38"/>
      <c r="Y8" s="38"/>
      <c r="Z8" s="38"/>
      <c r="AA8" s="38"/>
      <c r="AB8" s="39"/>
      <c r="AC8" s="39">
        <f>+SUM(F8:Q8)</f>
        <v>171720.68637536003</v>
      </c>
    </row>
    <row r="9" spans="2:29" ht="20.100000000000001" customHeight="1" x14ac:dyDescent="0.2">
      <c r="B9" s="71"/>
      <c r="C9" s="73"/>
      <c r="D9" s="3" t="s">
        <v>4</v>
      </c>
      <c r="E9" s="40"/>
      <c r="F9" s="40"/>
      <c r="G9" s="37">
        <v>19088.218649999999</v>
      </c>
      <c r="H9" s="37">
        <v>6874.1771288100008</v>
      </c>
      <c r="I9" s="37">
        <v>12805.719021020001</v>
      </c>
      <c r="J9" s="37">
        <v>7875.5458135599993</v>
      </c>
      <c r="K9" s="37">
        <v>14889.048755000002</v>
      </c>
      <c r="L9" s="37">
        <v>19577.419040000001</v>
      </c>
      <c r="M9" s="37">
        <v>15518.951576009997</v>
      </c>
      <c r="N9" s="37">
        <v>19793.142616540001</v>
      </c>
      <c r="O9" s="37">
        <v>17853.348116000001</v>
      </c>
      <c r="P9" s="37">
        <v>3911.3949998900002</v>
      </c>
      <c r="Q9" s="37">
        <v>14803.62972055</v>
      </c>
      <c r="R9" s="37">
        <v>34215.795763140006</v>
      </c>
      <c r="S9" s="38"/>
      <c r="T9" s="38"/>
      <c r="U9" s="38"/>
      <c r="V9" s="38"/>
      <c r="W9" s="38"/>
      <c r="X9" s="38"/>
      <c r="Y9" s="38"/>
      <c r="Z9" s="38"/>
      <c r="AA9" s="38"/>
      <c r="AB9" s="39"/>
      <c r="AC9" s="39">
        <f>+SUM(G9:R9)</f>
        <v>187206.39120052004</v>
      </c>
    </row>
    <row r="10" spans="2:29" ht="20.100000000000001" customHeight="1" x14ac:dyDescent="0.2">
      <c r="B10" s="71"/>
      <c r="C10" s="73"/>
      <c r="D10" s="3" t="s">
        <v>5</v>
      </c>
      <c r="E10" s="40"/>
      <c r="F10" s="40"/>
      <c r="G10" s="40"/>
      <c r="H10" s="37">
        <v>6892.666724050001</v>
      </c>
      <c r="I10" s="37">
        <v>13162.814001019999</v>
      </c>
      <c r="J10" s="37">
        <v>7875.5458135599993</v>
      </c>
      <c r="K10" s="37">
        <v>14889.048755000002</v>
      </c>
      <c r="L10" s="37">
        <v>19577.419040000001</v>
      </c>
      <c r="M10" s="37">
        <v>15527.626815649999</v>
      </c>
      <c r="N10" s="37">
        <v>20188.459052619997</v>
      </c>
      <c r="O10" s="37">
        <v>17853.348116000001</v>
      </c>
      <c r="P10" s="37">
        <v>4113.6312176000001</v>
      </c>
      <c r="Q10" s="37">
        <v>15180.993507329998</v>
      </c>
      <c r="R10" s="37">
        <v>34900.503499140003</v>
      </c>
      <c r="S10" s="37">
        <v>17842.099145020002</v>
      </c>
      <c r="T10" s="38"/>
      <c r="U10" s="38"/>
      <c r="V10" s="38"/>
      <c r="W10" s="38"/>
      <c r="X10" s="38"/>
      <c r="Y10" s="38"/>
      <c r="Z10" s="38"/>
      <c r="AA10" s="38"/>
      <c r="AB10" s="39"/>
      <c r="AC10" s="39">
        <f>+SUM(H10:S10)</f>
        <v>188004.15568699001</v>
      </c>
    </row>
    <row r="11" spans="2:29" ht="20.100000000000001" customHeight="1" x14ac:dyDescent="0.2">
      <c r="B11" s="71"/>
      <c r="C11" s="73"/>
      <c r="D11" s="3" t="s">
        <v>6</v>
      </c>
      <c r="E11" s="40"/>
      <c r="F11" s="40"/>
      <c r="G11" s="40"/>
      <c r="H11" s="40"/>
      <c r="I11" s="37">
        <v>13525.620096020002</v>
      </c>
      <c r="J11" s="37">
        <v>7875.5458135599993</v>
      </c>
      <c r="K11" s="37">
        <v>14889.048755000002</v>
      </c>
      <c r="L11" s="37">
        <v>19577.419040000001</v>
      </c>
      <c r="M11" s="37">
        <v>15552.570361289998</v>
      </c>
      <c r="N11" s="37">
        <v>33591.19418400999</v>
      </c>
      <c r="O11" s="37">
        <v>17853.348116000001</v>
      </c>
      <c r="P11" s="37">
        <v>4327.2932228700001</v>
      </c>
      <c r="Q11" s="37">
        <v>15576.797855679999</v>
      </c>
      <c r="R11" s="37">
        <v>36315.908573019995</v>
      </c>
      <c r="S11" s="37">
        <v>19387.686999860001</v>
      </c>
      <c r="T11" s="37">
        <v>36764.725198489999</v>
      </c>
      <c r="U11" s="38"/>
      <c r="V11" s="38"/>
      <c r="W11" s="38"/>
      <c r="X11" s="38"/>
      <c r="Y11" s="38"/>
      <c r="Z11" s="38"/>
      <c r="AA11" s="38"/>
      <c r="AB11" s="39"/>
      <c r="AC11" s="39">
        <f>+SUM(I11:T11)</f>
        <v>235237.15821579998</v>
      </c>
    </row>
    <row r="12" spans="2:29" ht="20.100000000000001" customHeight="1" x14ac:dyDescent="0.2">
      <c r="B12" s="71"/>
      <c r="C12" s="73"/>
      <c r="D12" s="3" t="s">
        <v>7</v>
      </c>
      <c r="E12" s="40"/>
      <c r="F12" s="40"/>
      <c r="G12" s="40"/>
      <c r="H12" s="40"/>
      <c r="I12" s="40"/>
      <c r="J12" s="37">
        <v>7875.5458135599993</v>
      </c>
      <c r="K12" s="37">
        <v>14889.048755000002</v>
      </c>
      <c r="L12" s="37">
        <v>19577.419040000001</v>
      </c>
      <c r="M12" s="37">
        <v>15549.78293232</v>
      </c>
      <c r="N12" s="37">
        <v>33464.175619590002</v>
      </c>
      <c r="O12" s="37">
        <v>23206.948116</v>
      </c>
      <c r="P12" s="37">
        <v>6164.2237519300006</v>
      </c>
      <c r="Q12" s="37">
        <v>15575.278097639999</v>
      </c>
      <c r="R12" s="37">
        <v>36192.026606529995</v>
      </c>
      <c r="S12" s="37">
        <v>19266.759270860002</v>
      </c>
      <c r="T12" s="37">
        <v>36691.503550269998</v>
      </c>
      <c r="U12" s="37">
        <v>39689.23430673001</v>
      </c>
      <c r="V12" s="38"/>
      <c r="W12" s="38"/>
      <c r="X12" s="38"/>
      <c r="Y12" s="38"/>
      <c r="Z12" s="38"/>
      <c r="AA12" s="38"/>
      <c r="AB12" s="39"/>
      <c r="AC12" s="39">
        <f>+SUM(J12:U12)</f>
        <v>268141.94586043002</v>
      </c>
    </row>
    <row r="13" spans="2:29" ht="20.100000000000001" customHeight="1" x14ac:dyDescent="0.2">
      <c r="B13" s="71"/>
      <c r="C13" s="73"/>
      <c r="D13" s="3" t="s">
        <v>8</v>
      </c>
      <c r="E13" s="40"/>
      <c r="F13" s="40"/>
      <c r="G13" s="40"/>
      <c r="H13" s="40"/>
      <c r="I13" s="40"/>
      <c r="J13" s="40"/>
      <c r="K13" s="37">
        <v>14889.048755000002</v>
      </c>
      <c r="L13" s="37">
        <v>19577.419040000001</v>
      </c>
      <c r="M13" s="37">
        <v>15556.285435809998</v>
      </c>
      <c r="N13" s="37">
        <v>33760.484033759989</v>
      </c>
      <c r="O13" s="37">
        <v>23206.948116</v>
      </c>
      <c r="P13" s="37">
        <v>8720.5558339799991</v>
      </c>
      <c r="Q13" s="37">
        <v>15716.94832804</v>
      </c>
      <c r="R13" s="37">
        <v>36591.905708050006</v>
      </c>
      <c r="S13" s="37">
        <v>19716.347289239999</v>
      </c>
      <c r="T13" s="37">
        <v>36862.314727090001</v>
      </c>
      <c r="U13" s="37">
        <v>40093.984980670015</v>
      </c>
      <c r="V13" s="37">
        <v>29193.276975610002</v>
      </c>
      <c r="W13" s="38"/>
      <c r="X13" s="38"/>
      <c r="Y13" s="38"/>
      <c r="Z13" s="38"/>
      <c r="AA13" s="38"/>
      <c r="AB13" s="39"/>
      <c r="AC13" s="39">
        <f>+SUM(K13:V13)</f>
        <v>293885.51922325004</v>
      </c>
    </row>
    <row r="14" spans="2:29" ht="20.100000000000001" customHeight="1" x14ac:dyDescent="0.2">
      <c r="B14" s="71"/>
      <c r="C14" s="73"/>
      <c r="D14" s="3" t="s">
        <v>9</v>
      </c>
      <c r="E14" s="40"/>
      <c r="F14" s="40"/>
      <c r="G14" s="40"/>
      <c r="H14" s="40"/>
      <c r="I14" s="40"/>
      <c r="J14" s="40"/>
      <c r="K14" s="40"/>
      <c r="L14" s="37">
        <v>19577.419040000001</v>
      </c>
      <c r="M14" s="36">
        <v>15583.767586939997</v>
      </c>
      <c r="N14" s="37">
        <v>35012.800567699982</v>
      </c>
      <c r="O14" s="37">
        <v>23206.948116</v>
      </c>
      <c r="P14" s="37">
        <v>8979.1363537299985</v>
      </c>
      <c r="Q14" s="37">
        <v>16196.456983739998</v>
      </c>
      <c r="R14" s="37">
        <v>38186.221541359999</v>
      </c>
      <c r="S14" s="37">
        <v>21471.888384139998</v>
      </c>
      <c r="T14" s="37">
        <v>37584.230307860002</v>
      </c>
      <c r="U14" s="37">
        <v>41582.11550195</v>
      </c>
      <c r="V14" s="37">
        <v>29566.850449470003</v>
      </c>
      <c r="W14" s="37">
        <v>33251.530337319993</v>
      </c>
      <c r="X14" s="38"/>
      <c r="Y14" s="38"/>
      <c r="Z14" s="38"/>
      <c r="AA14" s="38"/>
      <c r="AB14" s="39"/>
      <c r="AC14" s="39">
        <f>+SUM(L14:W14)</f>
        <v>320199.36517021002</v>
      </c>
    </row>
    <row r="15" spans="2:29" ht="20.100000000000001" customHeight="1" x14ac:dyDescent="0.2">
      <c r="B15" s="71"/>
      <c r="C15" s="73"/>
      <c r="D15" s="3" t="s">
        <v>10</v>
      </c>
      <c r="E15" s="40"/>
      <c r="F15" s="40"/>
      <c r="G15" s="40"/>
      <c r="H15" s="40"/>
      <c r="I15" s="40"/>
      <c r="J15" s="40"/>
      <c r="K15" s="40"/>
      <c r="L15" s="40"/>
      <c r="M15" s="37">
        <v>15597.55017119</v>
      </c>
      <c r="N15" s="37">
        <v>35640.850317499993</v>
      </c>
      <c r="O15" s="37">
        <v>23206.948116</v>
      </c>
      <c r="P15" s="37">
        <v>9287.3222237299979</v>
      </c>
      <c r="Q15" s="37">
        <v>16771.415460999997</v>
      </c>
      <c r="R15" s="37">
        <v>39254.31044311</v>
      </c>
      <c r="S15" s="37">
        <v>22757.895904609999</v>
      </c>
      <c r="T15" s="37">
        <v>37946.278470260011</v>
      </c>
      <c r="U15" s="37">
        <v>43289.82152404001</v>
      </c>
      <c r="V15" s="37">
        <v>29754.201426979998</v>
      </c>
      <c r="W15" s="37">
        <v>34477.681758759994</v>
      </c>
      <c r="X15" s="37">
        <v>2392.2792067200003</v>
      </c>
      <c r="Y15" s="38"/>
      <c r="Z15" s="38"/>
      <c r="AA15" s="38"/>
      <c r="AB15" s="39"/>
      <c r="AC15" s="39">
        <f>+SUM(M15:X15)</f>
        <v>310376.5550239</v>
      </c>
    </row>
    <row r="16" spans="2:29" ht="20.100000000000001" customHeight="1" x14ac:dyDescent="0.2">
      <c r="B16" s="71"/>
      <c r="C16" s="73"/>
      <c r="D16" s="3" t="s">
        <v>11</v>
      </c>
      <c r="E16" s="40"/>
      <c r="F16" s="40"/>
      <c r="G16" s="40"/>
      <c r="H16" s="40"/>
      <c r="I16" s="40"/>
      <c r="J16" s="40"/>
      <c r="K16" s="40"/>
      <c r="L16" s="40"/>
      <c r="M16" s="38"/>
      <c r="N16" s="37">
        <v>35993.909013929988</v>
      </c>
      <c r="O16" s="37">
        <v>23206.948116</v>
      </c>
      <c r="P16" s="37">
        <v>9535.0481132000023</v>
      </c>
      <c r="Q16" s="37">
        <v>17234.186302090002</v>
      </c>
      <c r="R16" s="37">
        <v>39966.775275200001</v>
      </c>
      <c r="S16" s="37">
        <v>23650.051430870004</v>
      </c>
      <c r="T16" s="37">
        <v>38149.804150060001</v>
      </c>
      <c r="U16" s="37">
        <v>44870.793496340004</v>
      </c>
      <c r="V16" s="37">
        <v>29859.520936970002</v>
      </c>
      <c r="W16" s="37">
        <v>35914.72308286</v>
      </c>
      <c r="X16" s="37">
        <v>2392.2792067200003</v>
      </c>
      <c r="Y16" s="37">
        <v>28842.897124709998</v>
      </c>
      <c r="Z16" s="38"/>
      <c r="AA16" s="38"/>
      <c r="AB16" s="39"/>
      <c r="AC16" s="39">
        <f>+SUM(N16:Y16)</f>
        <v>329616.93624894996</v>
      </c>
    </row>
    <row r="17" spans="2:29" ht="19.5" customHeight="1" x14ac:dyDescent="0.2">
      <c r="B17" s="71"/>
      <c r="C17" s="73"/>
      <c r="D17" s="3" t="s">
        <v>12</v>
      </c>
      <c r="E17" s="40"/>
      <c r="F17" s="40"/>
      <c r="G17" s="40"/>
      <c r="H17" s="40"/>
      <c r="I17" s="40"/>
      <c r="J17" s="40"/>
      <c r="K17" s="40"/>
      <c r="L17" s="40"/>
      <c r="M17" s="38"/>
      <c r="N17" s="38"/>
      <c r="O17" s="37">
        <v>23206.948116</v>
      </c>
      <c r="P17" s="37">
        <v>9860.7250167700004</v>
      </c>
      <c r="Q17" s="37">
        <v>17841.378471690001</v>
      </c>
      <c r="R17" s="37">
        <v>41191.127427220003</v>
      </c>
      <c r="S17" s="37">
        <v>25101.72861527</v>
      </c>
      <c r="T17" s="37">
        <v>38589.68466217001</v>
      </c>
      <c r="U17" s="37">
        <v>46873.276394170003</v>
      </c>
      <c r="V17" s="37">
        <v>30087.148232150001</v>
      </c>
      <c r="W17" s="37">
        <v>37538.981227510005</v>
      </c>
      <c r="X17" s="37">
        <v>2392.2792067200003</v>
      </c>
      <c r="Y17" s="37">
        <v>29438.166656809997</v>
      </c>
      <c r="Z17" s="37">
        <v>36699.620824900005</v>
      </c>
      <c r="AA17" s="38"/>
      <c r="AB17" s="39"/>
      <c r="AC17" s="39">
        <f>+SUM(O17:Z17)</f>
        <v>338821.06485138001</v>
      </c>
    </row>
    <row r="18" spans="2:29" ht="19.5" customHeight="1" x14ac:dyDescent="0.2">
      <c r="B18" s="71"/>
      <c r="C18" s="73"/>
      <c r="D18" s="3" t="s">
        <v>13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7">
        <v>9624.217562339998</v>
      </c>
      <c r="Q18" s="37">
        <v>17403.336576289999</v>
      </c>
      <c r="R18" s="37">
        <v>39604.395749079995</v>
      </c>
      <c r="S18" s="37">
        <v>23371.513452709998</v>
      </c>
      <c r="T18" s="37">
        <v>37852.424369929999</v>
      </c>
      <c r="U18" s="37">
        <v>44875.944767830006</v>
      </c>
      <c r="V18" s="37">
        <v>29705.634249280003</v>
      </c>
      <c r="W18" s="37">
        <v>35643.83264642</v>
      </c>
      <c r="X18" s="37">
        <v>2392.2792067200003</v>
      </c>
      <c r="Y18" s="37">
        <v>28440.467106349995</v>
      </c>
      <c r="Z18" s="37">
        <v>35789.843500810013</v>
      </c>
      <c r="AA18" s="37">
        <v>0</v>
      </c>
      <c r="AB18" s="39"/>
      <c r="AC18" s="39">
        <f>+SUM(P18:AA18)</f>
        <v>304703.88918776001</v>
      </c>
    </row>
    <row r="19" spans="2:29" ht="9.9499999999999993" customHeight="1" x14ac:dyDescent="0.2">
      <c r="B19" s="29"/>
      <c r="C19" s="30"/>
      <c r="D19" s="4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43"/>
    </row>
    <row r="20" spans="2:29" ht="20.100000000000001" customHeight="1" x14ac:dyDescent="0.2">
      <c r="B20" s="71" t="s">
        <v>15</v>
      </c>
      <c r="C20" s="73">
        <v>2020</v>
      </c>
      <c r="D20" s="3" t="s">
        <v>2</v>
      </c>
      <c r="E20" s="37">
        <v>6231.7570779200014</v>
      </c>
      <c r="F20" s="37">
        <v>9679.1013003499975</v>
      </c>
      <c r="G20" s="37">
        <v>7321.9665557500011</v>
      </c>
      <c r="H20" s="37">
        <v>17895.718178339997</v>
      </c>
      <c r="I20" s="37">
        <v>5825.1349114799996</v>
      </c>
      <c r="J20" s="37">
        <v>4211.6995947300011</v>
      </c>
      <c r="K20" s="37">
        <v>4748.7183538000018</v>
      </c>
      <c r="L20" s="37">
        <v>8303.5886355399998</v>
      </c>
      <c r="M20" s="37">
        <v>9350.7250396299969</v>
      </c>
      <c r="N20" s="37">
        <v>6041.8051280900036</v>
      </c>
      <c r="O20" s="37">
        <v>3120.9433448899999</v>
      </c>
      <c r="P20" s="37">
        <v>2379.2675014399997</v>
      </c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C20" s="39">
        <f>+SUM(E20:P20)</f>
        <v>85110.425621960007</v>
      </c>
    </row>
    <row r="21" spans="2:29" ht="20.100000000000001" customHeight="1" x14ac:dyDescent="0.2">
      <c r="B21" s="71"/>
      <c r="C21" s="73"/>
      <c r="D21" s="3" t="s">
        <v>3</v>
      </c>
      <c r="E21" s="40"/>
      <c r="F21" s="37">
        <v>9604.2085836499955</v>
      </c>
      <c r="G21" s="37">
        <v>7120.6315178200011</v>
      </c>
      <c r="H21" s="37">
        <v>14744.279960220001</v>
      </c>
      <c r="I21" s="37">
        <v>6080.1936267600013</v>
      </c>
      <c r="J21" s="37">
        <v>4212.5680633500006</v>
      </c>
      <c r="K21" s="37">
        <v>5195.4816132500018</v>
      </c>
      <c r="L21" s="37">
        <v>8309.2585433799995</v>
      </c>
      <c r="M21" s="37">
        <v>9354.7155077299976</v>
      </c>
      <c r="N21" s="37">
        <v>6411.1402038000024</v>
      </c>
      <c r="O21" s="37">
        <v>3360.2146138600006</v>
      </c>
      <c r="P21" s="37">
        <v>2379.1968503099997</v>
      </c>
      <c r="Q21" s="37">
        <v>16706.637904900002</v>
      </c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C21" s="39">
        <f>+SUM(F21:Q21)</f>
        <v>93478.526989030011</v>
      </c>
    </row>
    <row r="22" spans="2:29" ht="20.100000000000001" customHeight="1" x14ac:dyDescent="0.2">
      <c r="B22" s="71"/>
      <c r="C22" s="73"/>
      <c r="D22" s="3" t="s">
        <v>4</v>
      </c>
      <c r="E22" s="40"/>
      <c r="F22" s="40"/>
      <c r="G22" s="37">
        <v>7078.975315220001</v>
      </c>
      <c r="H22" s="37">
        <v>13397.971098479999</v>
      </c>
      <c r="I22" s="37">
        <v>5843.3072924699991</v>
      </c>
      <c r="J22" s="37">
        <v>4129.4192640300007</v>
      </c>
      <c r="K22" s="37">
        <v>5360.2273778100016</v>
      </c>
      <c r="L22" s="37">
        <v>8386.9733267599986</v>
      </c>
      <c r="M22" s="37">
        <v>9358.5771326899958</v>
      </c>
      <c r="N22" s="37">
        <v>6680.0752009900025</v>
      </c>
      <c r="O22" s="37">
        <v>3457.5853936799999</v>
      </c>
      <c r="P22" s="37">
        <v>2385.1371225899998</v>
      </c>
      <c r="Q22" s="37">
        <v>16770.988088170005</v>
      </c>
      <c r="R22" s="37">
        <v>7102.9124506500002</v>
      </c>
      <c r="S22" s="38"/>
      <c r="T22" s="38"/>
      <c r="U22" s="38"/>
      <c r="V22" s="38"/>
      <c r="W22" s="38"/>
      <c r="X22" s="38"/>
      <c r="Y22" s="38"/>
      <c r="Z22" s="38"/>
      <c r="AA22" s="38"/>
      <c r="AB22" s="39"/>
      <c r="AC22" s="39">
        <f>+SUM(G22:R22)</f>
        <v>89952.149063539997</v>
      </c>
    </row>
    <row r="23" spans="2:29" ht="20.100000000000001" customHeight="1" x14ac:dyDescent="0.2">
      <c r="B23" s="71"/>
      <c r="C23" s="73"/>
      <c r="D23" s="3" t="s">
        <v>5</v>
      </c>
      <c r="E23" s="40"/>
      <c r="F23" s="40"/>
      <c r="G23" s="40"/>
      <c r="H23" s="37">
        <v>13704.260248839999</v>
      </c>
      <c r="I23" s="37">
        <v>6050.8398635299991</v>
      </c>
      <c r="J23" s="37">
        <v>4227.26891514</v>
      </c>
      <c r="K23" s="37">
        <v>5353.110674040001</v>
      </c>
      <c r="L23" s="37">
        <v>8438.9697356599991</v>
      </c>
      <c r="M23" s="37">
        <v>9592.6235515699973</v>
      </c>
      <c r="N23" s="37">
        <v>6972.2825402500011</v>
      </c>
      <c r="O23" s="37">
        <v>3646.3008888900004</v>
      </c>
      <c r="P23" s="37">
        <v>2479.0418156699998</v>
      </c>
      <c r="Q23" s="37">
        <v>16783.714090010002</v>
      </c>
      <c r="R23" s="37">
        <v>7154.0648498699993</v>
      </c>
      <c r="S23" s="37">
        <v>6269.7931344800008</v>
      </c>
      <c r="T23" s="38"/>
      <c r="U23" s="38"/>
      <c r="V23" s="38"/>
      <c r="W23" s="38"/>
      <c r="X23" s="38"/>
      <c r="Y23" s="38"/>
      <c r="Z23" s="38"/>
      <c r="AA23" s="38"/>
      <c r="AB23" s="39"/>
      <c r="AC23" s="39">
        <f>+SUM(H23:S23)</f>
        <v>90672.270307950006</v>
      </c>
    </row>
    <row r="24" spans="2:29" ht="20.100000000000001" customHeight="1" x14ac:dyDescent="0.2">
      <c r="B24" s="71"/>
      <c r="C24" s="73"/>
      <c r="D24" s="3" t="s">
        <v>6</v>
      </c>
      <c r="E24" s="40"/>
      <c r="F24" s="40"/>
      <c r="G24" s="40"/>
      <c r="H24" s="40"/>
      <c r="I24" s="37">
        <v>6464.1030513600008</v>
      </c>
      <c r="J24" s="37">
        <v>4393.2519402600001</v>
      </c>
      <c r="K24" s="37">
        <v>5604.3437682900021</v>
      </c>
      <c r="L24" s="37">
        <v>8465.1678322199987</v>
      </c>
      <c r="M24" s="37">
        <v>9759.2480576799953</v>
      </c>
      <c r="N24" s="37">
        <v>7791.5595449800012</v>
      </c>
      <c r="O24" s="37">
        <v>4030.7974723199991</v>
      </c>
      <c r="P24" s="37">
        <v>2633.3469195499997</v>
      </c>
      <c r="Q24" s="37">
        <v>16952.405011430001</v>
      </c>
      <c r="R24" s="37">
        <v>7169.0541056800012</v>
      </c>
      <c r="S24" s="37">
        <v>6428.7155929400005</v>
      </c>
      <c r="T24" s="37">
        <v>7559.0956344299984</v>
      </c>
      <c r="U24" s="38"/>
      <c r="V24" s="38"/>
      <c r="W24" s="38"/>
      <c r="X24" s="38"/>
      <c r="Y24" s="38"/>
      <c r="Z24" s="38"/>
      <c r="AA24" s="38"/>
      <c r="AB24" s="39"/>
      <c r="AC24" s="39">
        <f>+SUM(I24:T24)</f>
        <v>87251.088931139995</v>
      </c>
    </row>
    <row r="25" spans="2:29" ht="20.100000000000001" customHeight="1" x14ac:dyDescent="0.2">
      <c r="B25" s="71"/>
      <c r="C25" s="73"/>
      <c r="D25" s="3" t="s">
        <v>7</v>
      </c>
      <c r="E25" s="40"/>
      <c r="F25" s="40"/>
      <c r="G25" s="40"/>
      <c r="H25" s="40"/>
      <c r="I25" s="40"/>
      <c r="J25" s="37">
        <v>4517.9739442800001</v>
      </c>
      <c r="K25" s="37">
        <v>5664.1692415000025</v>
      </c>
      <c r="L25" s="37">
        <v>8517.1950496199988</v>
      </c>
      <c r="M25" s="37">
        <v>9960.3411237899982</v>
      </c>
      <c r="N25" s="37">
        <v>7759.1847192400037</v>
      </c>
      <c r="O25" s="37">
        <v>4554.6777849799992</v>
      </c>
      <c r="P25" s="37">
        <v>2799.9177818100002</v>
      </c>
      <c r="Q25" s="37">
        <v>17059.102927550004</v>
      </c>
      <c r="R25" s="37">
        <v>7230.721648839999</v>
      </c>
      <c r="S25" s="37">
        <v>6636.1212490800008</v>
      </c>
      <c r="T25" s="37">
        <v>7543.6970417299999</v>
      </c>
      <c r="U25" s="37">
        <v>4341.5614552099996</v>
      </c>
      <c r="V25" s="38"/>
      <c r="W25" s="38"/>
      <c r="X25" s="38"/>
      <c r="Y25" s="38"/>
      <c r="Z25" s="38"/>
      <c r="AA25" s="38"/>
      <c r="AB25" s="39"/>
      <c r="AC25" s="39">
        <f>+SUM(J25:U25)</f>
        <v>86584.663967629996</v>
      </c>
    </row>
    <row r="26" spans="2:29" ht="20.100000000000001" customHeight="1" x14ac:dyDescent="0.2">
      <c r="B26" s="71"/>
      <c r="C26" s="73"/>
      <c r="D26" s="3" t="s">
        <v>8</v>
      </c>
      <c r="E26" s="40"/>
      <c r="F26" s="40"/>
      <c r="G26" s="40"/>
      <c r="H26" s="40"/>
      <c r="I26" s="40"/>
      <c r="J26" s="40"/>
      <c r="K26" s="37">
        <v>5845.8798597900022</v>
      </c>
      <c r="L26" s="44">
        <v>8523.4267163799977</v>
      </c>
      <c r="M26" s="37">
        <v>10004.981087789998</v>
      </c>
      <c r="N26" s="37">
        <v>7740.5070529300019</v>
      </c>
      <c r="O26" s="37">
        <v>4924.7882501799995</v>
      </c>
      <c r="P26" s="37">
        <v>2722.9682790899997</v>
      </c>
      <c r="Q26" s="37">
        <v>17113.759438010002</v>
      </c>
      <c r="R26" s="37">
        <v>7237.0005399599977</v>
      </c>
      <c r="S26" s="37">
        <v>6677.9423613100007</v>
      </c>
      <c r="T26" s="37">
        <v>7521.1441270599989</v>
      </c>
      <c r="U26" s="37">
        <v>4847.9831345700004</v>
      </c>
      <c r="V26" s="37">
        <v>5636.9207480399973</v>
      </c>
      <c r="W26" s="38"/>
      <c r="X26" s="38"/>
      <c r="Y26" s="38"/>
      <c r="Z26" s="38"/>
      <c r="AA26" s="38"/>
      <c r="AB26" s="39"/>
      <c r="AC26" s="39">
        <f>+SUM(K26:V26)</f>
        <v>88797.30159511001</v>
      </c>
    </row>
    <row r="27" spans="2:29" ht="20.100000000000001" customHeight="1" x14ac:dyDescent="0.2">
      <c r="B27" s="71"/>
      <c r="C27" s="73"/>
      <c r="D27" s="3" t="s">
        <v>9</v>
      </c>
      <c r="E27" s="40"/>
      <c r="F27" s="40"/>
      <c r="G27" s="40"/>
      <c r="H27" s="40"/>
      <c r="I27" s="40"/>
      <c r="J27" s="40"/>
      <c r="K27" s="40"/>
      <c r="L27" s="37">
        <v>8557.5149928699975</v>
      </c>
      <c r="M27" s="36">
        <v>10019.002525489999</v>
      </c>
      <c r="N27" s="37">
        <v>7823.3824844399996</v>
      </c>
      <c r="O27" s="37">
        <v>5328.2140590200006</v>
      </c>
      <c r="P27" s="37">
        <v>2766.0045479400005</v>
      </c>
      <c r="Q27" s="37">
        <v>18124.973018910001</v>
      </c>
      <c r="R27" s="37">
        <v>7304.1602314300007</v>
      </c>
      <c r="S27" s="37">
        <v>6681.7409718600002</v>
      </c>
      <c r="T27" s="37">
        <v>7574.6031057999999</v>
      </c>
      <c r="U27" s="37">
        <v>5391.4558865800018</v>
      </c>
      <c r="V27" s="37">
        <v>5675.6526825699993</v>
      </c>
      <c r="W27" s="37">
        <v>20938.842721510002</v>
      </c>
      <c r="X27" s="38"/>
      <c r="Y27" s="38"/>
      <c r="Z27" s="38"/>
      <c r="AA27" s="38"/>
      <c r="AB27" s="39"/>
      <c r="AC27" s="39">
        <f>+SUM(L27:W27)</f>
        <v>106185.54722842001</v>
      </c>
    </row>
    <row r="28" spans="2:29" ht="20.100000000000001" customHeight="1" x14ac:dyDescent="0.2">
      <c r="B28" s="71"/>
      <c r="C28" s="73"/>
      <c r="D28" s="3" t="s">
        <v>10</v>
      </c>
      <c r="E28" s="40"/>
      <c r="F28" s="40"/>
      <c r="G28" s="40"/>
      <c r="H28" s="40"/>
      <c r="I28" s="40"/>
      <c r="J28" s="40"/>
      <c r="K28" s="40"/>
      <c r="L28" s="40"/>
      <c r="M28" s="37">
        <v>10086.200956589997</v>
      </c>
      <c r="N28" s="37">
        <v>7989.2729497200025</v>
      </c>
      <c r="O28" s="37">
        <v>5600.9978310299994</v>
      </c>
      <c r="P28" s="37">
        <v>2906.8184629399993</v>
      </c>
      <c r="Q28" s="37">
        <v>18941.064513269997</v>
      </c>
      <c r="R28" s="37">
        <v>7403.3515025299976</v>
      </c>
      <c r="S28" s="37">
        <v>6811.5623083300006</v>
      </c>
      <c r="T28" s="37">
        <v>7766.5919337200003</v>
      </c>
      <c r="U28" s="37">
        <v>5729.7952753500022</v>
      </c>
      <c r="V28" s="37">
        <v>5805.6089976899984</v>
      </c>
      <c r="W28" s="37">
        <v>21407.86581386</v>
      </c>
      <c r="X28" s="37">
        <v>6275.3093626399977</v>
      </c>
      <c r="Y28" s="38"/>
      <c r="Z28" s="38"/>
      <c r="AA28" s="38"/>
      <c r="AB28" s="39"/>
      <c r="AC28" s="39">
        <f>+SUM(M28:X28)</f>
        <v>106724.43990766999</v>
      </c>
    </row>
    <row r="29" spans="2:29" ht="20.100000000000001" customHeight="1" x14ac:dyDescent="0.2">
      <c r="B29" s="71"/>
      <c r="C29" s="73"/>
      <c r="D29" s="3" t="s">
        <v>11</v>
      </c>
      <c r="E29" s="40"/>
      <c r="F29" s="40"/>
      <c r="G29" s="40"/>
      <c r="H29" s="40"/>
      <c r="I29" s="40"/>
      <c r="J29" s="40"/>
      <c r="K29" s="40"/>
      <c r="L29" s="40"/>
      <c r="M29" s="45"/>
      <c r="N29" s="37">
        <v>8042.3116244400044</v>
      </c>
      <c r="O29" s="37">
        <v>5788.8293244799997</v>
      </c>
      <c r="P29" s="37">
        <v>2897.8531084299993</v>
      </c>
      <c r="Q29" s="37">
        <v>18956.929147930005</v>
      </c>
      <c r="R29" s="37">
        <v>7619.3492002999974</v>
      </c>
      <c r="S29" s="37">
        <v>6811.3537089700012</v>
      </c>
      <c r="T29" s="37">
        <v>7613.4031403500021</v>
      </c>
      <c r="U29" s="37">
        <v>5555.376887739998</v>
      </c>
      <c r="V29" s="37">
        <v>5745.6730227199969</v>
      </c>
      <c r="W29" s="37">
        <v>21856.162312559998</v>
      </c>
      <c r="X29" s="37">
        <v>6665.291108649998</v>
      </c>
      <c r="Y29" s="37">
        <v>7540.8053618000013</v>
      </c>
      <c r="Z29" s="38"/>
      <c r="AA29" s="38"/>
      <c r="AB29" s="39"/>
      <c r="AC29" s="39">
        <f>+SUM(N29:Y29)</f>
        <v>105093.33794837001</v>
      </c>
    </row>
    <row r="30" spans="2:29" ht="20.100000000000001" customHeight="1" x14ac:dyDescent="0.2">
      <c r="B30" s="71"/>
      <c r="C30" s="73"/>
      <c r="D30" s="3" t="s">
        <v>12</v>
      </c>
      <c r="E30" s="40"/>
      <c r="F30" s="40"/>
      <c r="G30" s="40"/>
      <c r="H30" s="40"/>
      <c r="I30" s="40"/>
      <c r="J30" s="40"/>
      <c r="K30" s="40"/>
      <c r="L30" s="40"/>
      <c r="M30" s="38"/>
      <c r="N30" s="38"/>
      <c r="O30" s="37">
        <v>6034.5204955099989</v>
      </c>
      <c r="P30" s="37">
        <v>3001.1451194500005</v>
      </c>
      <c r="Q30" s="37">
        <v>19100.45072615</v>
      </c>
      <c r="R30" s="37">
        <v>7672.7467617299981</v>
      </c>
      <c r="S30" s="37">
        <v>6898.1050951300022</v>
      </c>
      <c r="T30" s="37">
        <v>7813.1206013599985</v>
      </c>
      <c r="U30" s="37">
        <v>5845.5087042100004</v>
      </c>
      <c r="V30" s="37">
        <v>5820.3327993099965</v>
      </c>
      <c r="W30" s="37">
        <v>21839.772112860002</v>
      </c>
      <c r="X30" s="37">
        <v>6724.7508768999996</v>
      </c>
      <c r="Y30" s="37">
        <v>7595.6655092700021</v>
      </c>
      <c r="Z30" s="37">
        <v>4550.1605787799999</v>
      </c>
      <c r="AA30" s="38"/>
      <c r="AB30" s="39"/>
      <c r="AC30" s="39">
        <f>+SUM(O30:Z30)</f>
        <v>102896.27938065998</v>
      </c>
    </row>
    <row r="31" spans="2:29" ht="20.100000000000001" customHeight="1" x14ac:dyDescent="0.2">
      <c r="B31" s="72"/>
      <c r="C31" s="74"/>
      <c r="D31" s="5" t="s">
        <v>13</v>
      </c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7"/>
      <c r="P31" s="37">
        <v>3095.1057340999996</v>
      </c>
      <c r="Q31" s="37">
        <v>19454.831836790003</v>
      </c>
      <c r="R31" s="37">
        <v>7642.9079794300005</v>
      </c>
      <c r="S31" s="37">
        <v>7052.4768808399995</v>
      </c>
      <c r="T31" s="37">
        <v>8152.5087624300013</v>
      </c>
      <c r="U31" s="37">
        <v>6070.1372863899978</v>
      </c>
      <c r="V31" s="37">
        <v>5971.2283598099975</v>
      </c>
      <c r="W31" s="37">
        <v>22407.217499569997</v>
      </c>
      <c r="X31" s="37">
        <v>6670.7476327100003</v>
      </c>
      <c r="Y31" s="37">
        <v>7748.1227276</v>
      </c>
      <c r="Z31" s="37">
        <v>4824.4449928100021</v>
      </c>
      <c r="AA31" s="37">
        <v>5047.4388625399979</v>
      </c>
      <c r="AB31" s="48"/>
      <c r="AC31" s="48">
        <f>+SUM(P31:AA31)</f>
        <v>104137.16855502001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9" width="12.7109375" style="2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2021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2022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35" t="s">
        <v>22</v>
      </c>
    </row>
    <row r="7" spans="2:29" ht="20.100000000000001" customHeight="1" x14ac:dyDescent="0.2">
      <c r="B7" s="84" t="s">
        <v>14</v>
      </c>
      <c r="C7" s="85">
        <v>2021</v>
      </c>
      <c r="D7" s="3" t="s">
        <v>2</v>
      </c>
      <c r="E7" s="16">
        <v>17095.554144350001</v>
      </c>
      <c r="F7" s="17">
        <v>37184.087928189998</v>
      </c>
      <c r="G7" s="17">
        <v>22743.15317677</v>
      </c>
      <c r="H7" s="17">
        <v>32280.78711913</v>
      </c>
      <c r="I7" s="17">
        <v>43640.849438450008</v>
      </c>
      <c r="J7" s="17">
        <v>29624.451398130001</v>
      </c>
      <c r="K7" s="17">
        <v>34361.04288411</v>
      </c>
      <c r="L7" s="17">
        <v>2392.2792067200003</v>
      </c>
      <c r="M7" s="17">
        <v>28228.165335679998</v>
      </c>
      <c r="N7" s="17">
        <v>35596.250813770013</v>
      </c>
      <c r="O7" s="17">
        <v>0</v>
      </c>
      <c r="P7" s="17">
        <v>13228.305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296374.92644530005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36887.110433319998</v>
      </c>
      <c r="G8" s="17">
        <v>22392.057100780003</v>
      </c>
      <c r="H8" s="17">
        <v>28415.393275549999</v>
      </c>
      <c r="I8" s="17">
        <v>43116.776295480006</v>
      </c>
      <c r="J8" s="17">
        <v>28357.78656633</v>
      </c>
      <c r="K8" s="17">
        <v>34224.789396459993</v>
      </c>
      <c r="L8" s="17">
        <v>2392.2792067200003</v>
      </c>
      <c r="M8" s="17">
        <v>28082.248721779997</v>
      </c>
      <c r="N8" s="17">
        <v>35463.193094670016</v>
      </c>
      <c r="O8" s="17">
        <v>0</v>
      </c>
      <c r="P8" s="17">
        <v>13057.93</v>
      </c>
      <c r="Q8" s="17">
        <v>33537.37662594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305926.94071702997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22023.586216260002</v>
      </c>
      <c r="H9" s="17">
        <v>28140.320333030002</v>
      </c>
      <c r="I9" s="17">
        <v>42889.967182490007</v>
      </c>
      <c r="J9" s="17">
        <v>26094.38319144</v>
      </c>
      <c r="K9" s="17">
        <v>34122.921206790001</v>
      </c>
      <c r="L9" s="17">
        <v>2392.2792067200003</v>
      </c>
      <c r="M9" s="17">
        <v>27710.005493709996</v>
      </c>
      <c r="N9" s="17">
        <v>35123.753783710003</v>
      </c>
      <c r="O9" s="17">
        <v>0</v>
      </c>
      <c r="P9" s="17">
        <v>13145.805</v>
      </c>
      <c r="Q9" s="17">
        <v>33033.949958279998</v>
      </c>
      <c r="R9" s="17">
        <v>22904.80103558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287581.77260800998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28694.170935549999</v>
      </c>
      <c r="I10" s="17">
        <v>46038.788955560005</v>
      </c>
      <c r="J10" s="17">
        <v>25365.25312781</v>
      </c>
      <c r="K10" s="17">
        <v>36586.642358750003</v>
      </c>
      <c r="L10" s="17">
        <v>2392.2792067200003</v>
      </c>
      <c r="M10" s="17">
        <v>28459.505369099996</v>
      </c>
      <c r="N10" s="17">
        <v>35807.204017559998</v>
      </c>
      <c r="O10" s="17">
        <v>0</v>
      </c>
      <c r="P10" s="17">
        <v>14187.805</v>
      </c>
      <c r="Q10" s="17">
        <v>34047.583508180003</v>
      </c>
      <c r="R10" s="17">
        <v>23957.391035579996</v>
      </c>
      <c r="S10" s="17">
        <v>17436.204706999997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292972.82822181005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46223.786508800004</v>
      </c>
      <c r="J11" s="17">
        <v>25463.19017672</v>
      </c>
      <c r="K11" s="17">
        <v>34278.058821190003</v>
      </c>
      <c r="L11" s="17">
        <v>2392.2792067200003</v>
      </c>
      <c r="M11" s="17">
        <v>28715.621144839999</v>
      </c>
      <c r="N11" s="17">
        <v>36040.749602480006</v>
      </c>
      <c r="O11" s="17">
        <v>0</v>
      </c>
      <c r="P11" s="17">
        <v>14356.805</v>
      </c>
      <c r="Q11" s="17">
        <v>34393.957872569998</v>
      </c>
      <c r="R11" s="17">
        <v>23791.291035579998</v>
      </c>
      <c r="S11" s="17">
        <v>17436.204706999997</v>
      </c>
      <c r="T11" s="17">
        <v>14735.657274470001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277827.60135037004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25892.299346100001</v>
      </c>
      <c r="K12" s="17">
        <v>35071.495367910007</v>
      </c>
      <c r="L12" s="17">
        <v>2392.2792067200003</v>
      </c>
      <c r="M12" s="17">
        <v>29837.787158689996</v>
      </c>
      <c r="N12" s="17">
        <v>37064.024788700008</v>
      </c>
      <c r="O12" s="17">
        <v>0</v>
      </c>
      <c r="P12" s="17">
        <v>14989.93</v>
      </c>
      <c r="Q12" s="17">
        <v>35911.590039759998</v>
      </c>
      <c r="R12" s="17">
        <v>24203.901035579998</v>
      </c>
      <c r="S12" s="17">
        <v>17436.204706999997</v>
      </c>
      <c r="T12" s="17">
        <v>14735.657274469999</v>
      </c>
      <c r="U12" s="17">
        <v>34998.514137159997</v>
      </c>
      <c r="V12" s="18"/>
      <c r="W12" s="18"/>
      <c r="X12" s="18"/>
      <c r="Y12" s="18"/>
      <c r="Z12" s="18"/>
      <c r="AA12" s="18"/>
      <c r="AB12" s="19"/>
      <c r="AC12" s="19">
        <f>+SUM(J12:U12)</f>
        <v>272533.68306208996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35147.714462859993</v>
      </c>
      <c r="L13" s="17">
        <v>2392.2792067200003</v>
      </c>
      <c r="M13" s="17">
        <v>29317.328039740001</v>
      </c>
      <c r="N13" s="17">
        <v>36589.431105340009</v>
      </c>
      <c r="O13" s="17">
        <v>0</v>
      </c>
      <c r="P13" s="17">
        <v>14927.18</v>
      </c>
      <c r="Q13" s="17">
        <v>35207.714239859997</v>
      </c>
      <c r="R13" s="17">
        <v>24375.171035579999</v>
      </c>
      <c r="S13" s="17">
        <v>17436.204706999997</v>
      </c>
      <c r="T13" s="17">
        <v>14735.657274469999</v>
      </c>
      <c r="U13" s="17">
        <v>34618.38791094</v>
      </c>
      <c r="V13" s="17">
        <v>1680.9678248700002</v>
      </c>
      <c r="W13" s="18"/>
      <c r="X13" s="18"/>
      <c r="Y13" s="18"/>
      <c r="Z13" s="18"/>
      <c r="AA13" s="18"/>
      <c r="AB13" s="19"/>
      <c r="AC13" s="19">
        <f>+SUM(K13:V13)</f>
        <v>246428.03580737996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2392.2792067200003</v>
      </c>
      <c r="M14" s="16">
        <v>27382.006040969998</v>
      </c>
      <c r="N14" s="17">
        <v>36575.983031330004</v>
      </c>
      <c r="O14" s="17">
        <v>0</v>
      </c>
      <c r="P14" s="17">
        <v>14481.18</v>
      </c>
      <c r="Q14" s="17">
        <v>35187.769233889994</v>
      </c>
      <c r="R14" s="17">
        <v>24054.191035579999</v>
      </c>
      <c r="S14" s="17">
        <v>17436.204706999997</v>
      </c>
      <c r="T14" s="17">
        <v>14735.657274469999</v>
      </c>
      <c r="U14" s="17">
        <v>34607.616664289999</v>
      </c>
      <c r="V14" s="17">
        <v>3054.3613919300001</v>
      </c>
      <c r="W14" s="17">
        <v>1095.92</v>
      </c>
      <c r="X14" s="18"/>
      <c r="Y14" s="18"/>
      <c r="Z14" s="18"/>
      <c r="AA14" s="18"/>
      <c r="AB14" s="19"/>
      <c r="AC14" s="19">
        <f>+SUM(L14:W14)</f>
        <v>211003.16858617999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27150.464754639997</v>
      </c>
      <c r="N15" s="17">
        <v>36364.846310050001</v>
      </c>
      <c r="O15" s="17">
        <v>0</v>
      </c>
      <c r="P15" s="17">
        <v>14282.055</v>
      </c>
      <c r="Q15" s="17">
        <v>34874.62973416</v>
      </c>
      <c r="R15" s="17">
        <v>24011.621035579999</v>
      </c>
      <c r="S15" s="17">
        <v>17436.204706999997</v>
      </c>
      <c r="T15" s="17">
        <v>14735.657274469999</v>
      </c>
      <c r="U15" s="17">
        <v>34438.506522520001</v>
      </c>
      <c r="V15" s="17">
        <v>3054.3613919300001</v>
      </c>
      <c r="W15" s="17">
        <v>1095.92</v>
      </c>
      <c r="X15" s="17">
        <v>41671.298205999999</v>
      </c>
      <c r="Y15" s="18"/>
      <c r="Z15" s="18"/>
      <c r="AA15" s="18"/>
      <c r="AB15" s="19"/>
      <c r="AC15" s="19">
        <f>+SUM(M15:X15)</f>
        <v>249115.56493635001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36587.780074960014</v>
      </c>
      <c r="O16" s="17">
        <v>0</v>
      </c>
      <c r="P16" s="17">
        <v>14863.305</v>
      </c>
      <c r="Q16" s="17">
        <v>35205.265576140002</v>
      </c>
      <c r="R16" s="17">
        <v>24527.411035579997</v>
      </c>
      <c r="S16" s="17">
        <v>17436.204706999997</v>
      </c>
      <c r="T16" s="17">
        <v>14735.657274469999</v>
      </c>
      <c r="U16" s="17">
        <v>34617.065516709998</v>
      </c>
      <c r="V16" s="17">
        <v>8599.0053987800002</v>
      </c>
      <c r="W16" s="17">
        <v>1095.92</v>
      </c>
      <c r="X16" s="17">
        <v>43077.998206000004</v>
      </c>
      <c r="Y16" s="17">
        <v>10770.964391</v>
      </c>
      <c r="Z16" s="18"/>
      <c r="AA16" s="18"/>
      <c r="AB16" s="19"/>
      <c r="AC16" s="19">
        <f>+SUM(N16:Y16)</f>
        <v>241516.57718064002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15720.555</v>
      </c>
      <c r="Q17" s="17">
        <v>36577.40496159</v>
      </c>
      <c r="R17" s="17">
        <v>25230.531035579999</v>
      </c>
      <c r="S17" s="17">
        <v>17436.204706999997</v>
      </c>
      <c r="T17" s="17">
        <v>14735.657274469999</v>
      </c>
      <c r="U17" s="17">
        <v>35358.085688899992</v>
      </c>
      <c r="V17" s="17">
        <v>11600.47985489</v>
      </c>
      <c r="W17" s="17">
        <v>1095.92</v>
      </c>
      <c r="X17" s="17">
        <v>44995.598206000002</v>
      </c>
      <c r="Y17" s="17">
        <v>10770.964391</v>
      </c>
      <c r="Z17" s="17">
        <v>10904.877998</v>
      </c>
      <c r="AA17" s="18"/>
      <c r="AB17" s="19"/>
      <c r="AC17" s="19">
        <f>+SUM(O17:Z17)</f>
        <v>224426.27911742998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19829.43</v>
      </c>
      <c r="Q18" s="17">
        <v>41852.65725946</v>
      </c>
      <c r="R18" s="17">
        <v>28732.821035579997</v>
      </c>
      <c r="S18" s="17">
        <v>17436.204706999997</v>
      </c>
      <c r="T18" s="17">
        <v>14735.657274469999</v>
      </c>
      <c r="U18" s="17">
        <v>38206.971456309999</v>
      </c>
      <c r="V18" s="17">
        <v>11600.47985489</v>
      </c>
      <c r="W18" s="17">
        <v>1095.92</v>
      </c>
      <c r="X18" s="17">
        <v>54547.298205999999</v>
      </c>
      <c r="Y18" s="17">
        <v>10770.964391</v>
      </c>
      <c r="Z18" s="17">
        <v>10904.877998</v>
      </c>
      <c r="AA18" s="17">
        <v>14119.875502000003</v>
      </c>
      <c r="AB18" s="19"/>
      <c r="AC18" s="19">
        <f>+SUM(P18:AA18)</f>
        <v>263833.15768470999</v>
      </c>
    </row>
    <row r="19" spans="2:29" ht="9.9499999999999993" customHeight="1" x14ac:dyDescent="0.2">
      <c r="B19" s="49"/>
      <c r="C19" s="5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2021</v>
      </c>
      <c r="D20" s="3" t="s">
        <v>2</v>
      </c>
      <c r="E20" s="17">
        <v>19604.422653970003</v>
      </c>
      <c r="F20" s="17">
        <v>7529.2550858400009</v>
      </c>
      <c r="G20" s="17">
        <v>7115.7583998400005</v>
      </c>
      <c r="H20" s="17">
        <v>7776.8504028900006</v>
      </c>
      <c r="I20" s="17">
        <v>6454.3916300199971</v>
      </c>
      <c r="J20" s="17">
        <v>5891.523588699999</v>
      </c>
      <c r="K20" s="17">
        <v>22948.916938610004</v>
      </c>
      <c r="L20" s="17">
        <v>6625.5964698999996</v>
      </c>
      <c r="M20" s="17">
        <v>7853.4454429100015</v>
      </c>
      <c r="N20" s="17">
        <v>5053.6245238899992</v>
      </c>
      <c r="O20" s="17">
        <v>5454.6590493000003</v>
      </c>
      <c r="P20" s="17">
        <v>2942.1581384999995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105250.60232437002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7530.4396942899994</v>
      </c>
      <c r="G21" s="17">
        <v>7148.0380545000007</v>
      </c>
      <c r="H21" s="17">
        <v>7874.1234065300023</v>
      </c>
      <c r="I21" s="17">
        <v>7386.5329502499981</v>
      </c>
      <c r="J21" s="17">
        <v>5830.3864342299994</v>
      </c>
      <c r="K21" s="17">
        <v>23322.249488760001</v>
      </c>
      <c r="L21" s="17">
        <v>6623.2779238899993</v>
      </c>
      <c r="M21" s="17">
        <v>7891.001240900001</v>
      </c>
      <c r="N21" s="17">
        <v>5586.2865219200012</v>
      </c>
      <c r="O21" s="17">
        <v>6404.0468427100013</v>
      </c>
      <c r="P21" s="17">
        <v>2969.9266018499998</v>
      </c>
      <c r="Q21" s="17">
        <v>6235.8551996600008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94802.164359490009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7143.6885521800004</v>
      </c>
      <c r="H22" s="17">
        <v>8230.9496207400025</v>
      </c>
      <c r="I22" s="17">
        <v>8066.8129795100003</v>
      </c>
      <c r="J22" s="17">
        <v>5643.3454190000011</v>
      </c>
      <c r="K22" s="17">
        <v>23824.274056509999</v>
      </c>
      <c r="L22" s="17">
        <v>7239.114429289998</v>
      </c>
      <c r="M22" s="17">
        <v>7907.8497741600004</v>
      </c>
      <c r="N22" s="17">
        <v>5957.2330798000039</v>
      </c>
      <c r="O22" s="17">
        <v>7090.4381829100021</v>
      </c>
      <c r="P22" s="17">
        <v>2990.4354604299997</v>
      </c>
      <c r="Q22" s="17">
        <v>6522.2264349399984</v>
      </c>
      <c r="R22" s="17">
        <v>24854.746087179999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115471.11407665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8749.8254955800003</v>
      </c>
      <c r="I23" s="17">
        <v>8516.772111459999</v>
      </c>
      <c r="J23" s="17">
        <v>5652.3964089800011</v>
      </c>
      <c r="K23" s="17">
        <v>23849.235893060002</v>
      </c>
      <c r="L23" s="17">
        <v>7416.5677526999989</v>
      </c>
      <c r="M23" s="17">
        <v>8119.2078614700013</v>
      </c>
      <c r="N23" s="17">
        <v>6526.6434229900024</v>
      </c>
      <c r="O23" s="17">
        <v>7507.7542948700002</v>
      </c>
      <c r="P23" s="17">
        <v>3049.2976682600001</v>
      </c>
      <c r="Q23" s="17">
        <v>6865.06933897</v>
      </c>
      <c r="R23" s="17">
        <v>25921.06363158</v>
      </c>
      <c r="S23" s="17">
        <v>6074.7272675699987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118248.56114749001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8786.3553789699981</v>
      </c>
      <c r="J24" s="17">
        <v>6097.4252711099998</v>
      </c>
      <c r="K24" s="17">
        <v>20472.731925469998</v>
      </c>
      <c r="L24" s="17">
        <v>7413.1962764600003</v>
      </c>
      <c r="M24" s="17">
        <v>8240.9049921799997</v>
      </c>
      <c r="N24" s="17">
        <v>7719.6978993200046</v>
      </c>
      <c r="O24" s="17">
        <v>7783.1656410800015</v>
      </c>
      <c r="P24" s="17">
        <v>3599.5975722199996</v>
      </c>
      <c r="Q24" s="17">
        <v>7407.749135080001</v>
      </c>
      <c r="R24" s="17">
        <v>26165.141536839998</v>
      </c>
      <c r="S24" s="17">
        <v>6230.2378297899986</v>
      </c>
      <c r="T24" s="17">
        <v>5473.314842759999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115389.51830127998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6146.8464954700003</v>
      </c>
      <c r="K25" s="17">
        <v>18934.027475110001</v>
      </c>
      <c r="L25" s="17">
        <v>7790.1303005499985</v>
      </c>
      <c r="M25" s="17">
        <v>8225.1511784800005</v>
      </c>
      <c r="N25" s="17">
        <v>7892.6204108200036</v>
      </c>
      <c r="O25" s="17">
        <v>9131.4736591900037</v>
      </c>
      <c r="P25" s="17">
        <v>3597.3097887599997</v>
      </c>
      <c r="Q25" s="17">
        <v>7439.3348346500015</v>
      </c>
      <c r="R25" s="17">
        <v>26475.52697898</v>
      </c>
      <c r="S25" s="17">
        <v>6158.6854692099987</v>
      </c>
      <c r="T25" s="17">
        <v>5564.7444910100003</v>
      </c>
      <c r="U25" s="17">
        <v>7783.4383539199998</v>
      </c>
      <c r="V25" s="18"/>
      <c r="W25" s="18"/>
      <c r="X25" s="18"/>
      <c r="Y25" s="18"/>
      <c r="Z25" s="18"/>
      <c r="AA25" s="18"/>
      <c r="AB25" s="19"/>
      <c r="AC25" s="19">
        <f>+SUM(J25:U25)</f>
        <v>115139.28943615002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18950.374514430001</v>
      </c>
      <c r="L26" s="24">
        <v>8074.4240132899986</v>
      </c>
      <c r="M26" s="17">
        <v>8228.8734273099999</v>
      </c>
      <c r="N26" s="17">
        <v>8412.3637826200047</v>
      </c>
      <c r="O26" s="17">
        <v>9499.2008019000023</v>
      </c>
      <c r="P26" s="17">
        <v>4188.7410876399999</v>
      </c>
      <c r="Q26" s="17">
        <v>7499.5783575099995</v>
      </c>
      <c r="R26" s="17">
        <v>26670.999022370001</v>
      </c>
      <c r="S26" s="17">
        <v>6177.8636028799992</v>
      </c>
      <c r="T26" s="17">
        <v>6085.5274698600015</v>
      </c>
      <c r="U26" s="17">
        <v>8077.6030619600006</v>
      </c>
      <c r="V26" s="17">
        <v>3905.5878834900004</v>
      </c>
      <c r="W26" s="18"/>
      <c r="X26" s="18"/>
      <c r="Y26" s="18"/>
      <c r="Z26" s="18"/>
      <c r="AA26" s="18"/>
      <c r="AB26" s="19"/>
      <c r="AC26" s="19">
        <f>+SUM(K26:V26)</f>
        <v>115771.13702526002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8433.3009908299991</v>
      </c>
      <c r="M27" s="16">
        <v>8181.5840968400007</v>
      </c>
      <c r="N27" s="17">
        <v>8359.0600644300048</v>
      </c>
      <c r="O27" s="17">
        <v>10636.072432510004</v>
      </c>
      <c r="P27" s="17">
        <v>4691.2058263000008</v>
      </c>
      <c r="Q27" s="17">
        <v>8199.3253869500004</v>
      </c>
      <c r="R27" s="17">
        <v>27307.405061579997</v>
      </c>
      <c r="S27" s="17">
        <v>6222.4956843499995</v>
      </c>
      <c r="T27" s="17">
        <v>6173.7991227500006</v>
      </c>
      <c r="U27" s="17">
        <v>9055.2872795800013</v>
      </c>
      <c r="V27" s="17">
        <v>4660.33020794</v>
      </c>
      <c r="W27" s="17">
        <v>6972.9537002300003</v>
      </c>
      <c r="X27" s="18"/>
      <c r="Y27" s="18"/>
      <c r="Z27" s="18"/>
      <c r="AA27" s="18"/>
      <c r="AB27" s="19"/>
      <c r="AC27" s="19">
        <f>+SUM(L27:W27)</f>
        <v>108892.81985429002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8183.3558456100009</v>
      </c>
      <c r="N28" s="17">
        <v>8936.2767357800039</v>
      </c>
      <c r="O28" s="17">
        <v>11086.793680000006</v>
      </c>
      <c r="P28" s="17">
        <v>4850.7396210800007</v>
      </c>
      <c r="Q28" s="17">
        <v>8285.3731846200044</v>
      </c>
      <c r="R28" s="17">
        <v>28588.610907839997</v>
      </c>
      <c r="S28" s="17">
        <v>6251.0772897999996</v>
      </c>
      <c r="T28" s="17">
        <v>6795.8511635099994</v>
      </c>
      <c r="U28" s="17">
        <v>9491.980525879997</v>
      </c>
      <c r="V28" s="17">
        <v>4833.4308035200011</v>
      </c>
      <c r="W28" s="17">
        <v>7039.3341608799992</v>
      </c>
      <c r="X28" s="17">
        <v>8224.1129127899985</v>
      </c>
      <c r="Y28" s="18"/>
      <c r="Z28" s="18"/>
      <c r="AA28" s="18"/>
      <c r="AB28" s="19"/>
      <c r="AC28" s="19">
        <f>+SUM(M28:X28)</f>
        <v>112566.93683130998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18"/>
      <c r="N29" s="17">
        <v>8940.5648643000004</v>
      </c>
      <c r="O29" s="17">
        <v>11098.191681420007</v>
      </c>
      <c r="P29" s="17">
        <v>5148.7269798099996</v>
      </c>
      <c r="Q29" s="17">
        <v>8412.2264431100029</v>
      </c>
      <c r="R29" s="17">
        <v>28722.071969479999</v>
      </c>
      <c r="S29" s="17">
        <v>7816.4405556500005</v>
      </c>
      <c r="T29" s="17">
        <v>7270.7890376100013</v>
      </c>
      <c r="U29" s="17">
        <v>11482.97369259</v>
      </c>
      <c r="V29" s="17">
        <v>6315.1951194800022</v>
      </c>
      <c r="W29" s="17">
        <v>7274.0248181900015</v>
      </c>
      <c r="X29" s="17">
        <v>8966.8104020999963</v>
      </c>
      <c r="Y29" s="17">
        <v>5829.7413527999997</v>
      </c>
      <c r="Z29" s="18"/>
      <c r="AA29" s="18"/>
      <c r="AB29" s="19"/>
      <c r="AC29" s="19">
        <f>+SUM(N29:Y29)</f>
        <v>117277.75691653999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11090.061966130008</v>
      </c>
      <c r="P30" s="17">
        <v>5281.426167900001</v>
      </c>
      <c r="Q30" s="17">
        <v>8660.618108239998</v>
      </c>
      <c r="R30" s="17">
        <v>29072.292133450002</v>
      </c>
      <c r="S30" s="17">
        <v>9145.2632836000012</v>
      </c>
      <c r="T30" s="17">
        <v>7526.1395662100022</v>
      </c>
      <c r="U30" s="17">
        <v>11504.69919374</v>
      </c>
      <c r="V30" s="17">
        <v>6802.5954963000013</v>
      </c>
      <c r="W30" s="17">
        <v>7561.9754389900017</v>
      </c>
      <c r="X30" s="17">
        <v>9099.4005456399991</v>
      </c>
      <c r="Y30" s="17">
        <v>7179.7896163100004</v>
      </c>
      <c r="Z30" s="17">
        <v>27630.1222786</v>
      </c>
      <c r="AA30" s="18"/>
      <c r="AB30" s="19"/>
      <c r="AC30" s="19">
        <f>+SUM(O30:Z30)</f>
        <v>140554.38379510998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17">
        <v>5264.4927212299999</v>
      </c>
      <c r="Q31" s="17">
        <v>8743.6479778199973</v>
      </c>
      <c r="R31" s="17">
        <v>29929.164496379995</v>
      </c>
      <c r="S31" s="17">
        <v>9776.4415057300012</v>
      </c>
      <c r="T31" s="17">
        <v>7375.6560387100008</v>
      </c>
      <c r="U31" s="17">
        <v>11310.704529540002</v>
      </c>
      <c r="V31" s="17">
        <v>6688.4522921800026</v>
      </c>
      <c r="W31" s="17">
        <v>7724.6078254700014</v>
      </c>
      <c r="X31" s="17">
        <v>9474.4056165000002</v>
      </c>
      <c r="Y31" s="17">
        <v>7855.2158968600015</v>
      </c>
      <c r="Z31" s="17">
        <v>28166.702191900007</v>
      </c>
      <c r="AA31" s="17">
        <v>10060.95088602</v>
      </c>
      <c r="AB31" s="26"/>
      <c r="AC31" s="26">
        <f>+SUM(P31:AA31)</f>
        <v>142370.44197833998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5" spans="2:29" ht="20.100000000000001" customHeight="1" x14ac:dyDescent="0.2">
      <c r="P35" s="34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27"/>
      <c r="M38" s="27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27"/>
      <c r="M39" s="27"/>
      <c r="N39" s="27"/>
      <c r="O39" s="27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27"/>
      <c r="M40" s="27"/>
      <c r="N40" s="27"/>
      <c r="O40" s="27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27"/>
      <c r="M41" s="27"/>
      <c r="N41" s="27"/>
      <c r="O41" s="27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27"/>
      <c r="M42" s="20"/>
      <c r="N42" s="20"/>
      <c r="O42" s="27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27"/>
      <c r="M43" s="20"/>
      <c r="N43" s="20"/>
      <c r="O43" s="27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27"/>
      <c r="M44" s="20"/>
      <c r="N44" s="20"/>
      <c r="O44" s="27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27"/>
      <c r="M45" s="20"/>
      <c r="N45" s="20"/>
      <c r="O45" s="27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27"/>
      <c r="M46" s="20"/>
      <c r="N46" s="20"/>
      <c r="O46" s="27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27"/>
      <c r="M47" s="20"/>
      <c r="N47" s="20"/>
      <c r="O47" s="27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27"/>
      <c r="M48" s="20"/>
      <c r="N48" s="20"/>
      <c r="O48" s="27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27"/>
      <c r="M49" s="20"/>
      <c r="N49" s="20"/>
      <c r="O49" s="27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27"/>
      <c r="M50" s="20"/>
      <c r="N50" s="20"/>
      <c r="O50" s="27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27"/>
      <c r="M51" s="20"/>
      <c r="N51" s="20"/>
      <c r="O51" s="27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27"/>
      <c r="M52" s="20"/>
      <c r="N52" s="20"/>
      <c r="O52" s="27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27"/>
      <c r="M53" s="20"/>
      <c r="N53" s="20"/>
      <c r="O53" s="27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27"/>
      <c r="M54" s="20"/>
      <c r="N54" s="20"/>
      <c r="O54" s="27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27"/>
      <c r="M55" s="27"/>
      <c r="N55" s="27"/>
      <c r="O55" s="27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27"/>
      <c r="M56" s="27"/>
      <c r="N56" s="27"/>
      <c r="O56" s="27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27"/>
      <c r="M57" s="27"/>
      <c r="N57" s="27"/>
      <c r="O57" s="27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4" orientation="landscape" r:id="rId2"/>
  <colBreaks count="1" manualBreakCount="1">
    <brk id="1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68"/>
  <sheetViews>
    <sheetView zoomScale="70" zoomScaleNormal="70" workbookViewId="0"/>
  </sheetViews>
  <sheetFormatPr defaultColWidth="10.7109375" defaultRowHeight="15" x14ac:dyDescent="0.2"/>
  <cols>
    <col min="1" max="1" width="1.7109375" style="2" customWidth="1"/>
    <col min="2" max="3" width="10.7109375" style="2"/>
    <col min="4" max="4" width="15.7109375" style="2" customWidth="1"/>
    <col min="5" max="22" width="11.7109375" style="2" customWidth="1"/>
    <col min="23" max="23" width="12.7109375" style="2" bestFit="1" customWidth="1"/>
    <col min="24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2022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2023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11</v>
      </c>
      <c r="O6" s="13" t="s">
        <v>12</v>
      </c>
      <c r="P6" s="13" t="s">
        <v>13</v>
      </c>
      <c r="Q6" s="13" t="s">
        <v>2</v>
      </c>
      <c r="R6" s="13" t="s">
        <v>3</v>
      </c>
      <c r="S6" s="13" t="s">
        <v>4</v>
      </c>
      <c r="T6" s="13" t="s">
        <v>5</v>
      </c>
      <c r="U6" s="13" t="s">
        <v>6</v>
      </c>
      <c r="V6" s="13" t="s">
        <v>7</v>
      </c>
      <c r="W6" s="13" t="s">
        <v>8</v>
      </c>
      <c r="X6" s="13" t="s">
        <v>9</v>
      </c>
      <c r="Y6" s="13" t="s">
        <v>10</v>
      </c>
      <c r="Z6" s="13" t="s">
        <v>11</v>
      </c>
      <c r="AA6" s="13" t="s">
        <v>12</v>
      </c>
      <c r="AB6" s="13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2022</v>
      </c>
      <c r="D7" s="3" t="s">
        <v>2</v>
      </c>
      <c r="E7" s="16">
        <v>42420.999743939996</v>
      </c>
      <c r="F7" s="17">
        <v>29083.281035579999</v>
      </c>
      <c r="G7" s="17">
        <v>17436.204706999997</v>
      </c>
      <c r="H7" s="17">
        <v>14735.657274469999</v>
      </c>
      <c r="I7" s="17">
        <v>38513.903281299994</v>
      </c>
      <c r="J7" s="17">
        <v>11600.47985489</v>
      </c>
      <c r="K7" s="17">
        <v>1095.92</v>
      </c>
      <c r="L7" s="17">
        <v>55503.098206000002</v>
      </c>
      <c r="M7" s="17">
        <v>10770.964391</v>
      </c>
      <c r="N7" s="17">
        <v>10904.877998</v>
      </c>
      <c r="O7" s="17">
        <v>14119.875502000003</v>
      </c>
      <c r="P7" s="17">
        <v>4208.0405504999999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>+SUM(E7:P7)</f>
        <v>250393.30254468002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29776.501035579997</v>
      </c>
      <c r="G8" s="17">
        <v>17436.204706999997</v>
      </c>
      <c r="H8" s="17">
        <v>14735.657274469999</v>
      </c>
      <c r="I8" s="17">
        <v>39008.469346959995</v>
      </c>
      <c r="J8" s="17">
        <v>11600.47985489</v>
      </c>
      <c r="K8" s="17">
        <v>1095.92</v>
      </c>
      <c r="L8" s="17">
        <v>57393.698206000001</v>
      </c>
      <c r="M8" s="17">
        <v>10770.964391</v>
      </c>
      <c r="N8" s="17">
        <v>10904.877998</v>
      </c>
      <c r="O8" s="17">
        <v>14119.875502000003</v>
      </c>
      <c r="P8" s="17">
        <v>4208.0405504999999</v>
      </c>
      <c r="Q8" s="17">
        <v>24272.873530139997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+SUM(F8:Q8)</f>
        <v>235323.56239653999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17436.204706999997</v>
      </c>
      <c r="H9" s="17">
        <v>14735.657274469999</v>
      </c>
      <c r="I9" s="17">
        <v>40227.900533919994</v>
      </c>
      <c r="J9" s="17">
        <v>11600.47985489</v>
      </c>
      <c r="K9" s="17">
        <v>1095.92</v>
      </c>
      <c r="L9" s="17">
        <v>58694.798205999999</v>
      </c>
      <c r="M9" s="17">
        <v>10770.964391</v>
      </c>
      <c r="N9" s="17">
        <v>10904.877998</v>
      </c>
      <c r="O9" s="17">
        <v>14119.875502000003</v>
      </c>
      <c r="P9" s="17">
        <v>4208.0405504999999</v>
      </c>
      <c r="Q9" s="17">
        <v>28471.50031892</v>
      </c>
      <c r="R9" s="17">
        <v>4246.0335345799995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>+SUM(G9:R9)</f>
        <v>216512.25287128001</v>
      </c>
    </row>
    <row r="10" spans="2:29" ht="20.100000000000001" customHeight="1" x14ac:dyDescent="0.2">
      <c r="B10" s="71"/>
      <c r="C10" s="73"/>
      <c r="D10" s="3" t="s">
        <v>5</v>
      </c>
      <c r="E10" s="20"/>
      <c r="F10" s="20"/>
      <c r="G10" s="20"/>
      <c r="H10" s="17">
        <v>14735.657274469999</v>
      </c>
      <c r="I10" s="17">
        <v>40836.897549039997</v>
      </c>
      <c r="J10" s="17">
        <v>11600.47985489</v>
      </c>
      <c r="K10" s="17">
        <v>1095.92</v>
      </c>
      <c r="L10" s="17">
        <v>60516.998206000004</v>
      </c>
      <c r="M10" s="17">
        <v>10770.964391</v>
      </c>
      <c r="N10" s="17">
        <v>10904.877998</v>
      </c>
      <c r="O10" s="17">
        <v>14119.875502000003</v>
      </c>
      <c r="P10" s="17">
        <v>4208.0405504999999</v>
      </c>
      <c r="Q10" s="17">
        <v>32329.183095319993</v>
      </c>
      <c r="R10" s="17">
        <v>4246.0335345799995</v>
      </c>
      <c r="S10" s="17">
        <v>16985.313865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>+SUM(H10:S10)</f>
        <v>222350.2418208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40950.890592719996</v>
      </c>
      <c r="J11" s="17">
        <v>11600.47985489</v>
      </c>
      <c r="K11" s="17">
        <v>1095.92</v>
      </c>
      <c r="L11" s="17">
        <v>60935.798205999999</v>
      </c>
      <c r="M11" s="17">
        <v>10770.964391</v>
      </c>
      <c r="N11" s="17">
        <v>10904.877998</v>
      </c>
      <c r="O11" s="17">
        <v>14119.875502000003</v>
      </c>
      <c r="P11" s="17">
        <v>4208.0405504999999</v>
      </c>
      <c r="Q11" s="17">
        <v>32329.183095319993</v>
      </c>
      <c r="R11" s="17">
        <v>7633.8404033799989</v>
      </c>
      <c r="S11" s="17">
        <v>16985.313865</v>
      </c>
      <c r="T11" s="17">
        <v>0</v>
      </c>
      <c r="U11" s="18"/>
      <c r="V11" s="18"/>
      <c r="W11" s="18"/>
      <c r="X11" s="18"/>
      <c r="Y11" s="18"/>
      <c r="Z11" s="18"/>
      <c r="AA11" s="18"/>
      <c r="AB11" s="19"/>
      <c r="AC11" s="19">
        <f>+SUM(I11:T11)</f>
        <v>211535.18445880999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11600.47985489</v>
      </c>
      <c r="K12" s="17">
        <v>1095.92</v>
      </c>
      <c r="L12" s="17">
        <v>65657.498206000004</v>
      </c>
      <c r="M12" s="17">
        <v>10770.964391</v>
      </c>
      <c r="N12" s="17">
        <v>10904.877998</v>
      </c>
      <c r="O12" s="17">
        <v>14119.875502000003</v>
      </c>
      <c r="P12" s="17">
        <v>4208.0405504999999</v>
      </c>
      <c r="Q12" s="17">
        <v>32329.183095319993</v>
      </c>
      <c r="R12" s="17">
        <v>13351.249799089999</v>
      </c>
      <c r="S12" s="17">
        <v>16985.313865</v>
      </c>
      <c r="T12" s="17">
        <v>0</v>
      </c>
      <c r="U12" s="17">
        <v>15328.244397</v>
      </c>
      <c r="V12" s="18"/>
      <c r="W12" s="18"/>
      <c r="X12" s="18"/>
      <c r="Y12" s="18"/>
      <c r="Z12" s="18"/>
      <c r="AA12" s="18"/>
      <c r="AB12" s="19"/>
      <c r="AC12" s="19">
        <f>+SUM(J12:U12)</f>
        <v>196351.64765880001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1095.92</v>
      </c>
      <c r="L13" s="17">
        <v>66597.698206000001</v>
      </c>
      <c r="M13" s="17">
        <v>10770.964391</v>
      </c>
      <c r="N13" s="17">
        <v>10904.877998</v>
      </c>
      <c r="O13" s="17">
        <v>14119.875502000003</v>
      </c>
      <c r="P13" s="17">
        <v>10764.8162995</v>
      </c>
      <c r="Q13" s="17">
        <v>32329.183095319993</v>
      </c>
      <c r="R13" s="17">
        <v>15085.798225499999</v>
      </c>
      <c r="S13" s="17">
        <v>16985.313865</v>
      </c>
      <c r="T13" s="17">
        <v>0</v>
      </c>
      <c r="U13" s="17">
        <v>15328.244397</v>
      </c>
      <c r="V13" s="17">
        <v>41741.130962000003</v>
      </c>
      <c r="W13" s="18"/>
      <c r="X13" s="18"/>
      <c r="Y13" s="18"/>
      <c r="Z13" s="18"/>
      <c r="AA13" s="18"/>
      <c r="AB13" s="19"/>
      <c r="AC13" s="19">
        <f>+SUM(K13:V13)</f>
        <v>235723.82294131999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70278.698206000001</v>
      </c>
      <c r="M14" s="16">
        <v>10770.964391</v>
      </c>
      <c r="N14" s="17">
        <v>10904.877998</v>
      </c>
      <c r="O14" s="17">
        <v>14119.875502000003</v>
      </c>
      <c r="P14" s="17">
        <v>10764.8162995</v>
      </c>
      <c r="Q14" s="17">
        <v>32329.183095319993</v>
      </c>
      <c r="R14" s="17">
        <v>15085.798225499999</v>
      </c>
      <c r="S14" s="17">
        <v>16985.313865</v>
      </c>
      <c r="T14" s="17">
        <v>0</v>
      </c>
      <c r="U14" s="17">
        <v>15328.244397</v>
      </c>
      <c r="V14" s="17">
        <v>41741.130962000003</v>
      </c>
      <c r="W14" s="17">
        <v>99737.29</v>
      </c>
      <c r="X14" s="18"/>
      <c r="Y14" s="18"/>
      <c r="Z14" s="18"/>
      <c r="AA14" s="18"/>
      <c r="AB14" s="19"/>
      <c r="AC14" s="19">
        <f>+SUM(L14:W14)</f>
        <v>338046.19294132001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10770.964391</v>
      </c>
      <c r="N15" s="17">
        <v>10904.877998</v>
      </c>
      <c r="O15" s="17">
        <v>14119.875502000003</v>
      </c>
      <c r="P15" s="17">
        <v>10764.8162995</v>
      </c>
      <c r="Q15" s="17">
        <v>32329.183095319993</v>
      </c>
      <c r="R15" s="17">
        <v>15085.798225499999</v>
      </c>
      <c r="S15" s="17">
        <v>16985.313865000004</v>
      </c>
      <c r="T15" s="17">
        <v>0</v>
      </c>
      <c r="U15" s="17">
        <v>15328.244397</v>
      </c>
      <c r="V15" s="17">
        <v>41741.130962000003</v>
      </c>
      <c r="W15" s="17">
        <v>101229.99</v>
      </c>
      <c r="X15" s="17">
        <v>63991.293310999994</v>
      </c>
      <c r="Y15" s="18"/>
      <c r="Z15" s="18"/>
      <c r="AA15" s="18"/>
      <c r="AB15" s="19"/>
      <c r="AC15" s="19">
        <f>+SUM(M15:X15)</f>
        <v>333251.48804631998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10904.877998</v>
      </c>
      <c r="O16" s="17">
        <v>14119.875502000003</v>
      </c>
      <c r="P16" s="17">
        <v>10764.8162995</v>
      </c>
      <c r="Q16" s="17">
        <v>32329.183095319993</v>
      </c>
      <c r="R16" s="17">
        <v>15085.798225499999</v>
      </c>
      <c r="S16" s="17">
        <v>16985.313865</v>
      </c>
      <c r="T16" s="17">
        <v>0</v>
      </c>
      <c r="U16" s="17">
        <v>15328.244397</v>
      </c>
      <c r="V16" s="17">
        <v>41741.130962000003</v>
      </c>
      <c r="W16" s="17">
        <v>103097.79</v>
      </c>
      <c r="X16" s="17">
        <v>65010.093310999997</v>
      </c>
      <c r="Y16" s="17">
        <v>45644.191355999996</v>
      </c>
      <c r="Z16" s="18"/>
      <c r="AA16" s="18"/>
      <c r="AB16" s="19"/>
      <c r="AC16" s="19">
        <f>+SUM(N16:Y16)</f>
        <v>371011.31501131994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14119.875502000003</v>
      </c>
      <c r="P17" s="17">
        <v>10764.8162995</v>
      </c>
      <c r="Q17" s="17">
        <v>32329.183095319993</v>
      </c>
      <c r="R17" s="17">
        <v>15085.798225499999</v>
      </c>
      <c r="S17" s="17">
        <v>16985.313865</v>
      </c>
      <c r="T17" s="17">
        <v>0</v>
      </c>
      <c r="U17" s="17">
        <v>15328.244397</v>
      </c>
      <c r="V17" s="17">
        <v>41741.130962000003</v>
      </c>
      <c r="W17" s="17">
        <v>103561.99</v>
      </c>
      <c r="X17" s="17">
        <v>65263.293310999994</v>
      </c>
      <c r="Y17" s="17">
        <v>45644.191355999996</v>
      </c>
      <c r="Z17" s="17">
        <v>22529.777298689998</v>
      </c>
      <c r="AA17" s="18"/>
      <c r="AB17" s="19"/>
      <c r="AC17" s="19">
        <f>+SUM(O17:Z17)</f>
        <v>383353.61431200994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10764.8162995</v>
      </c>
      <c r="Q18" s="17">
        <v>32329.183095319993</v>
      </c>
      <c r="R18" s="17">
        <v>15085.798225499999</v>
      </c>
      <c r="S18" s="17">
        <v>16985.313865000004</v>
      </c>
      <c r="T18" s="17">
        <v>0</v>
      </c>
      <c r="U18" s="17">
        <v>15328.244397</v>
      </c>
      <c r="V18" s="17">
        <v>41741.130962000003</v>
      </c>
      <c r="W18" s="17">
        <v>103704.99</v>
      </c>
      <c r="X18" s="17">
        <v>65341.293310999994</v>
      </c>
      <c r="Y18" s="17">
        <v>45644.191355999996</v>
      </c>
      <c r="Z18" s="17">
        <v>22529.777298689998</v>
      </c>
      <c r="AA18" s="17">
        <v>8496.906085999999</v>
      </c>
      <c r="AB18" s="19"/>
      <c r="AC18" s="19">
        <f>+SUM(P18:AA18)</f>
        <v>377951.64489600994</v>
      </c>
    </row>
    <row r="19" spans="2:29" ht="9.9499999999999993" customHeight="1" x14ac:dyDescent="0.2">
      <c r="B19" s="53"/>
      <c r="C19" s="54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23"/>
    </row>
    <row r="20" spans="2:29" ht="20.100000000000001" customHeight="1" x14ac:dyDescent="0.2">
      <c r="B20" s="71" t="s">
        <v>15</v>
      </c>
      <c r="C20" s="73">
        <v>2022</v>
      </c>
      <c r="D20" s="3" t="s">
        <v>2</v>
      </c>
      <c r="E20" s="17">
        <v>8789.8758559400012</v>
      </c>
      <c r="F20" s="17">
        <v>32639.285722819997</v>
      </c>
      <c r="G20" s="17">
        <v>10297.090247840002</v>
      </c>
      <c r="H20" s="17">
        <v>7489.075039100002</v>
      </c>
      <c r="I20" s="17">
        <v>11475.964176120004</v>
      </c>
      <c r="J20" s="17">
        <v>7264.7511481000038</v>
      </c>
      <c r="K20" s="17">
        <v>8229.8497826500006</v>
      </c>
      <c r="L20" s="17">
        <v>9682.9227442999963</v>
      </c>
      <c r="M20" s="17">
        <v>8463.6356426000002</v>
      </c>
      <c r="N20" s="17">
        <v>34229.591158120005</v>
      </c>
      <c r="O20" s="17">
        <v>10357.472041460003</v>
      </c>
      <c r="P20" s="17">
        <v>6518.2554750900026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>+SUM(E20:P20)</f>
        <v>155437.76903414004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33745.824579120002</v>
      </c>
      <c r="G21" s="17">
        <v>11567.105486590001</v>
      </c>
      <c r="H21" s="17">
        <v>7632.6847308100014</v>
      </c>
      <c r="I21" s="17">
        <v>11545.274583710005</v>
      </c>
      <c r="J21" s="17">
        <v>7340.8853796200028</v>
      </c>
      <c r="K21" s="17">
        <v>8795.5334093499987</v>
      </c>
      <c r="L21" s="17">
        <v>10040.345349189995</v>
      </c>
      <c r="M21" s="17">
        <v>9750.8564654799975</v>
      </c>
      <c r="N21" s="17">
        <v>37096.609369279999</v>
      </c>
      <c r="O21" s="17">
        <v>10446.762588229998</v>
      </c>
      <c r="P21" s="17">
        <v>6617.3118160100021</v>
      </c>
      <c r="Q21" s="17">
        <v>10008.223577229997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+SUM(F21:Q21)</f>
        <v>164587.41733462003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13627.16854943</v>
      </c>
      <c r="H22" s="17">
        <v>7782.8428109200031</v>
      </c>
      <c r="I22" s="17">
        <v>11610.291781720001</v>
      </c>
      <c r="J22" s="17">
        <v>7492.1722619300017</v>
      </c>
      <c r="K22" s="17">
        <v>9095.4169301499969</v>
      </c>
      <c r="L22" s="17">
        <v>10968.784944449999</v>
      </c>
      <c r="M22" s="17">
        <v>11839.123489769998</v>
      </c>
      <c r="N22" s="17">
        <v>39690.199661840001</v>
      </c>
      <c r="O22" s="17">
        <v>10545.768837040001</v>
      </c>
      <c r="P22" s="17">
        <v>6820.8088425000014</v>
      </c>
      <c r="Q22" s="17">
        <v>11181.684177349993</v>
      </c>
      <c r="R22" s="17">
        <v>10611.598903249998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>+SUM(G22:R22)</f>
        <v>151265.86119035003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7884.3976193199996</v>
      </c>
      <c r="I23" s="17">
        <v>11658.679586480001</v>
      </c>
      <c r="J23" s="17">
        <v>7568.8271499200009</v>
      </c>
      <c r="K23" s="17">
        <v>9435.0865889899997</v>
      </c>
      <c r="L23" s="17">
        <v>11128.596756630001</v>
      </c>
      <c r="M23" s="17">
        <v>14457.565873629999</v>
      </c>
      <c r="N23" s="17">
        <v>42923.885347529991</v>
      </c>
      <c r="O23" s="17">
        <v>10646.266929160003</v>
      </c>
      <c r="P23" s="17">
        <v>6940.0385508600002</v>
      </c>
      <c r="Q23" s="17">
        <v>12354.277835109999</v>
      </c>
      <c r="R23" s="17">
        <v>11158.984581999999</v>
      </c>
      <c r="S23" s="17">
        <v>13663.035300820002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>+SUM(H23:S23)</f>
        <v>159819.64212044998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11646.446719330002</v>
      </c>
      <c r="J24" s="17">
        <v>7602.5464393800003</v>
      </c>
      <c r="K24" s="17">
        <v>9624.0151370599997</v>
      </c>
      <c r="L24" s="17">
        <v>11158.936250749999</v>
      </c>
      <c r="M24" s="17">
        <v>15620.754060130001</v>
      </c>
      <c r="N24" s="17">
        <v>45623.639026499994</v>
      </c>
      <c r="O24" s="17">
        <v>10659.505017069998</v>
      </c>
      <c r="P24" s="17">
        <v>6975.1978723300017</v>
      </c>
      <c r="Q24" s="17">
        <v>12498.663638239992</v>
      </c>
      <c r="R24" s="17">
        <v>12093.021260150001</v>
      </c>
      <c r="S24" s="17">
        <v>14470.605307720001</v>
      </c>
      <c r="T24" s="17">
        <v>6397.7511778799999</v>
      </c>
      <c r="U24" s="18"/>
      <c r="V24" s="18"/>
      <c r="W24" s="18"/>
      <c r="X24" s="18"/>
      <c r="Y24" s="18"/>
      <c r="Z24" s="18"/>
      <c r="AA24" s="18"/>
      <c r="AB24" s="19"/>
      <c r="AC24" s="19">
        <f>+SUM(I24:T24)</f>
        <v>164371.08190654</v>
      </c>
    </row>
    <row r="25" spans="2:29" ht="20.100000000000001" customHeight="1" x14ac:dyDescent="0.2">
      <c r="B25" s="71"/>
      <c r="C25" s="73"/>
      <c r="D25" s="3" t="s">
        <v>7</v>
      </c>
      <c r="E25" s="20"/>
      <c r="F25" s="20"/>
      <c r="G25" s="20"/>
      <c r="H25" s="20"/>
      <c r="I25" s="20"/>
      <c r="J25" s="17">
        <v>7626.7015218000024</v>
      </c>
      <c r="K25" s="17">
        <v>9849.3358729199954</v>
      </c>
      <c r="L25" s="17">
        <v>11446.919688189997</v>
      </c>
      <c r="M25" s="17">
        <v>17290.50600219001</v>
      </c>
      <c r="N25" s="17">
        <v>47274.983546579999</v>
      </c>
      <c r="O25" s="17">
        <v>12491.13385093</v>
      </c>
      <c r="P25" s="17">
        <v>7028.686329840004</v>
      </c>
      <c r="Q25" s="17">
        <v>12796.010766909998</v>
      </c>
      <c r="R25" s="17">
        <v>13483.710178379995</v>
      </c>
      <c r="S25" s="17">
        <v>15788.955613290005</v>
      </c>
      <c r="T25" s="17">
        <v>7087.036136589998</v>
      </c>
      <c r="U25" s="17">
        <v>68904.095102600011</v>
      </c>
      <c r="V25" s="18"/>
      <c r="W25" s="18"/>
      <c r="X25" s="18"/>
      <c r="Y25" s="18"/>
      <c r="Z25" s="18"/>
      <c r="AA25" s="18"/>
      <c r="AB25" s="19"/>
      <c r="AC25" s="19">
        <f>+SUM(J25:U25)</f>
        <v>231068.07461022004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9882.4520586099952</v>
      </c>
      <c r="L26" s="24">
        <v>11480.511763949999</v>
      </c>
      <c r="M26" s="17">
        <v>18617.181935276807</v>
      </c>
      <c r="N26" s="17">
        <v>49736.992535720005</v>
      </c>
      <c r="O26" s="17">
        <v>12896.067933459995</v>
      </c>
      <c r="P26" s="17">
        <v>10525.851504636796</v>
      </c>
      <c r="Q26" s="17">
        <v>13042.28301682</v>
      </c>
      <c r="R26" s="17">
        <v>14161.279424319997</v>
      </c>
      <c r="S26" s="17">
        <v>16387.303322230007</v>
      </c>
      <c r="T26" s="17">
        <v>7696.2129267800001</v>
      </c>
      <c r="U26" s="17">
        <v>75186.691658640004</v>
      </c>
      <c r="V26" s="17">
        <v>10110.383852590001</v>
      </c>
      <c r="W26" s="18"/>
      <c r="X26" s="18"/>
      <c r="Y26" s="18"/>
      <c r="Z26" s="18"/>
      <c r="AA26" s="18"/>
      <c r="AB26" s="19"/>
      <c r="AC26" s="19">
        <f>+SUM(K26:V26)</f>
        <v>249723.2119330336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11675.164589559996</v>
      </c>
      <c r="M27" s="16">
        <v>19053.236802396805</v>
      </c>
      <c r="N27" s="17">
        <v>50854.923242410005</v>
      </c>
      <c r="O27" s="17">
        <v>14452.600122160005</v>
      </c>
      <c r="P27" s="17">
        <v>11867.1309214668</v>
      </c>
      <c r="Q27" s="17">
        <v>14237.435701510005</v>
      </c>
      <c r="R27" s="17">
        <v>14631.633523989996</v>
      </c>
      <c r="S27" s="17">
        <v>16689.087509630001</v>
      </c>
      <c r="T27" s="17">
        <v>7792.9661044700006</v>
      </c>
      <c r="U27" s="17">
        <v>80267.771247540019</v>
      </c>
      <c r="V27" s="17">
        <v>11605.699279770002</v>
      </c>
      <c r="W27" s="17">
        <v>11246.303324469996</v>
      </c>
      <c r="X27" s="18"/>
      <c r="Y27" s="18"/>
      <c r="Z27" s="18"/>
      <c r="AA27" s="18"/>
      <c r="AB27" s="19"/>
      <c r="AC27" s="19">
        <f>+SUM(L27:W27)</f>
        <v>264373.95236937364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19466.779684036504</v>
      </c>
      <c r="N28" s="17">
        <v>50788.848041110003</v>
      </c>
      <c r="O28" s="17">
        <v>15971.350741569993</v>
      </c>
      <c r="P28" s="17">
        <v>13424.414974176801</v>
      </c>
      <c r="Q28" s="17">
        <v>14153.92383213</v>
      </c>
      <c r="R28" s="17">
        <v>17093.005937679998</v>
      </c>
      <c r="S28" s="17">
        <v>16906.513689240004</v>
      </c>
      <c r="T28" s="17">
        <v>8392.1691322800016</v>
      </c>
      <c r="U28" s="17">
        <v>79143.101078249994</v>
      </c>
      <c r="V28" s="17">
        <v>13081.19718556</v>
      </c>
      <c r="W28" s="17">
        <v>11143.529496879999</v>
      </c>
      <c r="X28" s="17">
        <v>49877.420413859996</v>
      </c>
      <c r="Y28" s="18"/>
      <c r="Z28" s="18"/>
      <c r="AA28" s="18"/>
      <c r="AB28" s="19"/>
      <c r="AC28" s="19">
        <f>+SUM(M28:X28)</f>
        <v>309442.25420677324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50691.525888379998</v>
      </c>
      <c r="O29" s="17">
        <v>16988.886037729993</v>
      </c>
      <c r="P29" s="17">
        <v>13406.284045786797</v>
      </c>
      <c r="Q29" s="17">
        <v>14146.723228459994</v>
      </c>
      <c r="R29" s="17">
        <v>17064.424220430003</v>
      </c>
      <c r="S29" s="17">
        <v>21447.521140700006</v>
      </c>
      <c r="T29" s="17">
        <v>8505.4469147600012</v>
      </c>
      <c r="U29" s="17">
        <v>79847.960534579994</v>
      </c>
      <c r="V29" s="17">
        <v>13058.069002190001</v>
      </c>
      <c r="W29" s="17">
        <v>11130.824749879997</v>
      </c>
      <c r="X29" s="17">
        <v>49681.344552529998</v>
      </c>
      <c r="Y29" s="17">
        <v>17364.637473410006</v>
      </c>
      <c r="Z29" s="18"/>
      <c r="AA29" s="18"/>
      <c r="AB29" s="19"/>
      <c r="AC29" s="19">
        <f>+SUM(N29:Y29)</f>
        <v>313333.64778883674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16935.870104639995</v>
      </c>
      <c r="P30" s="17">
        <v>13317.564487996799</v>
      </c>
      <c r="Q30" s="17">
        <v>14034.37026111</v>
      </c>
      <c r="R30" s="17">
        <v>17070.996902049999</v>
      </c>
      <c r="S30" s="17">
        <v>22539.810387370002</v>
      </c>
      <c r="T30" s="17">
        <v>10714.422218310001</v>
      </c>
      <c r="U30" s="17">
        <v>81383.411144119993</v>
      </c>
      <c r="V30" s="17">
        <v>13063.733344830003</v>
      </c>
      <c r="W30" s="17">
        <v>11110.899287869999</v>
      </c>
      <c r="X30" s="17">
        <v>49740.23198117</v>
      </c>
      <c r="Y30" s="17">
        <v>18532.150293750008</v>
      </c>
      <c r="Z30" s="17">
        <v>29267.39662041</v>
      </c>
      <c r="AA30" s="18"/>
      <c r="AB30" s="19"/>
      <c r="AC30" s="19">
        <f>+SUM(O30:Z30)</f>
        <v>297710.85703362676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13284.920184216497</v>
      </c>
      <c r="Q31" s="17">
        <v>13824.091282880003</v>
      </c>
      <c r="R31" s="17">
        <v>17037.368027749999</v>
      </c>
      <c r="S31" s="17">
        <v>23370.591873919999</v>
      </c>
      <c r="T31" s="17">
        <v>11494.064418349999</v>
      </c>
      <c r="U31" s="17">
        <v>83498.639627459997</v>
      </c>
      <c r="V31" s="17">
        <v>13009.303520430001</v>
      </c>
      <c r="W31" s="17">
        <v>11088.540353469998</v>
      </c>
      <c r="X31" s="17">
        <v>50637.324205269993</v>
      </c>
      <c r="Y31" s="17">
        <v>19563.173837899998</v>
      </c>
      <c r="Z31" s="17">
        <v>30523.4964139</v>
      </c>
      <c r="AA31" s="17">
        <v>56504.692923029987</v>
      </c>
      <c r="AB31" s="26"/>
      <c r="AC31" s="26">
        <f>+SUM(P31:AA31)</f>
        <v>343836.20666857646</v>
      </c>
    </row>
    <row r="32" spans="2:29" ht="20.100000000000001" customHeight="1" x14ac:dyDescent="0.2">
      <c r="D32" s="6"/>
      <c r="T32" s="14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10" width="11.7109375" style="2" customWidth="1"/>
    <col min="11" max="11" width="12.7109375" style="2" bestFit="1" customWidth="1"/>
    <col min="12" max="17" width="11.7109375" style="2" customWidth="1"/>
    <col min="18" max="18" width="12.7109375" style="2" bestFit="1" customWidth="1"/>
    <col min="19" max="19" width="11.7109375" style="2" customWidth="1"/>
    <col min="20" max="20" width="12.7109375" style="2" bestFit="1" customWidth="1"/>
    <col min="21" max="22" width="11.7109375" style="2" customWidth="1"/>
    <col min="23" max="23" width="12.7109375" style="2" bestFit="1" customWidth="1"/>
    <col min="24" max="24" width="11.7109375" style="2" customWidth="1"/>
    <col min="25" max="25" width="12.7109375" style="2" bestFit="1" customWidth="1"/>
    <col min="26" max="28" width="11.7109375" style="2" customWidth="1"/>
    <col min="29" max="29" width="12.710937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2023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2024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2023</v>
      </c>
      <c r="D7" s="3" t="s">
        <v>2</v>
      </c>
      <c r="E7" s="16">
        <v>32329.183095319993</v>
      </c>
      <c r="F7" s="17">
        <v>15085.798225499999</v>
      </c>
      <c r="G7" s="17">
        <v>16985.313865</v>
      </c>
      <c r="H7" s="17">
        <v>0</v>
      </c>
      <c r="I7" s="17">
        <v>15328.244397</v>
      </c>
      <c r="J7" s="17">
        <v>41741.130962000003</v>
      </c>
      <c r="K7" s="17">
        <v>104169.74</v>
      </c>
      <c r="L7" s="17">
        <v>65594.793311000001</v>
      </c>
      <c r="M7" s="17">
        <v>45644.191355999996</v>
      </c>
      <c r="N7" s="17">
        <v>22529.777298689998</v>
      </c>
      <c r="O7" s="17">
        <v>8496.906085999999</v>
      </c>
      <c r="P7" s="17">
        <v>13411.824242959998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381316.90283947001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15085.798225499999</v>
      </c>
      <c r="G8" s="17">
        <v>16985.313865</v>
      </c>
      <c r="H8" s="17">
        <v>0</v>
      </c>
      <c r="I8" s="17">
        <v>15328.244397</v>
      </c>
      <c r="J8" s="17">
        <v>41741.130962000003</v>
      </c>
      <c r="K8" s="17">
        <v>104661.99</v>
      </c>
      <c r="L8" s="17">
        <v>65863.293311000001</v>
      </c>
      <c r="M8" s="17">
        <v>45644.191355999996</v>
      </c>
      <c r="N8" s="17">
        <v>22529.777298689998</v>
      </c>
      <c r="O8" s="17">
        <v>8496.906085999999</v>
      </c>
      <c r="P8" s="17">
        <v>14350.24316059</v>
      </c>
      <c r="Q8" s="17">
        <v>13041.298623000002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363728.18728477997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16985.313865</v>
      </c>
      <c r="H9" s="17">
        <v>0</v>
      </c>
      <c r="I9" s="17">
        <v>15328.244397</v>
      </c>
      <c r="J9" s="17">
        <v>41741.130962000003</v>
      </c>
      <c r="K9" s="17">
        <v>105078.34</v>
      </c>
      <c r="L9" s="17">
        <v>66090.393310999993</v>
      </c>
      <c r="M9" s="17">
        <v>45644.191355999996</v>
      </c>
      <c r="N9" s="17">
        <v>22529.777298689998</v>
      </c>
      <c r="O9" s="17">
        <v>8496.906085999999</v>
      </c>
      <c r="P9" s="17">
        <v>14350.24316059</v>
      </c>
      <c r="Q9" s="17">
        <v>13041.298623000002</v>
      </c>
      <c r="R9" s="17">
        <v>92081.807590400014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441367.64664967998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0</v>
      </c>
      <c r="I10" s="17">
        <v>15328.244397</v>
      </c>
      <c r="J10" s="17">
        <v>41741.130962000003</v>
      </c>
      <c r="K10" s="17">
        <v>106635.94</v>
      </c>
      <c r="L10" s="17">
        <v>66939.993310999998</v>
      </c>
      <c r="M10" s="17">
        <v>45644.191355999996</v>
      </c>
      <c r="N10" s="17">
        <v>22529.777298689998</v>
      </c>
      <c r="O10" s="17">
        <v>8496.906085999999</v>
      </c>
      <c r="P10" s="17">
        <v>16420.59414872</v>
      </c>
      <c r="Q10" s="17">
        <v>13041.298623000002</v>
      </c>
      <c r="R10" s="17">
        <v>99038.639725660018</v>
      </c>
      <c r="S10" s="17">
        <v>36910.095567950004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472726.81147601991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15328.244397</v>
      </c>
      <c r="J11" s="17">
        <v>41741.130962000003</v>
      </c>
      <c r="K11" s="17">
        <v>108183.64</v>
      </c>
      <c r="L11" s="17">
        <v>67784.19331100001</v>
      </c>
      <c r="M11" s="17">
        <v>45644.191355999996</v>
      </c>
      <c r="N11" s="17">
        <v>22529.777298689998</v>
      </c>
      <c r="O11" s="17">
        <v>8496.906085999999</v>
      </c>
      <c r="P11" s="17">
        <v>16420.59414872</v>
      </c>
      <c r="Q11" s="17">
        <v>13041.298623000002</v>
      </c>
      <c r="R11" s="17">
        <v>101197.05902231</v>
      </c>
      <c r="S11" s="17">
        <v>37470.056441900007</v>
      </c>
      <c r="T11" s="17">
        <v>126683.18365043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604520.2752970499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41741.130962000003</v>
      </c>
      <c r="K12" s="17">
        <v>113052.24</v>
      </c>
      <c r="L12" s="17">
        <v>70439.793311000001</v>
      </c>
      <c r="M12" s="17">
        <v>45644.191355999996</v>
      </c>
      <c r="N12" s="17">
        <v>22529.777298689998</v>
      </c>
      <c r="O12" s="17">
        <v>8496.906085999999</v>
      </c>
      <c r="P12" s="17">
        <v>16420.59414872</v>
      </c>
      <c r="Q12" s="17">
        <v>13041.298623000002</v>
      </c>
      <c r="R12" s="17">
        <v>103498.45412778</v>
      </c>
      <c r="S12" s="17">
        <v>38191.46371625</v>
      </c>
      <c r="T12" s="17">
        <v>128806.47686796001</v>
      </c>
      <c r="U12" s="17">
        <v>37659.077650200001</v>
      </c>
      <c r="V12" s="18"/>
      <c r="W12" s="18"/>
      <c r="X12" s="18"/>
      <c r="Y12" s="18"/>
      <c r="Z12" s="18"/>
      <c r="AA12" s="18"/>
      <c r="AB12" s="19"/>
      <c r="AC12" s="19">
        <f t="shared" si="0"/>
        <v>639521.40414759994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143426.54</v>
      </c>
      <c r="L13" s="17">
        <v>87007.593311000004</v>
      </c>
      <c r="M13" s="17">
        <v>45644.191355999996</v>
      </c>
      <c r="N13" s="17">
        <v>22529.777298689998</v>
      </c>
      <c r="O13" s="17">
        <v>8496.906085999999</v>
      </c>
      <c r="P13" s="17">
        <v>16420.59414872</v>
      </c>
      <c r="Q13" s="17">
        <v>13041.298623000002</v>
      </c>
      <c r="R13" s="17">
        <v>129286.62469425001</v>
      </c>
      <c r="S13" s="17">
        <v>45058.33545679001</v>
      </c>
      <c r="T13" s="17">
        <v>158592.71374884999</v>
      </c>
      <c r="U13" s="17">
        <v>46368.191664399994</v>
      </c>
      <c r="V13" s="17">
        <v>46638.502898660001</v>
      </c>
      <c r="W13" s="18"/>
      <c r="X13" s="18"/>
      <c r="Y13" s="18"/>
      <c r="Z13" s="18"/>
      <c r="AA13" s="18"/>
      <c r="AB13" s="19"/>
      <c r="AC13" s="19">
        <f t="shared" si="0"/>
        <v>762511.26928635989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90362.493310999998</v>
      </c>
      <c r="M14" s="16">
        <v>45644.191355999996</v>
      </c>
      <c r="N14" s="17">
        <v>22529.777298689998</v>
      </c>
      <c r="O14" s="17">
        <v>8496.906085999999</v>
      </c>
      <c r="P14" s="17">
        <v>16420.59414872</v>
      </c>
      <c r="Q14" s="17">
        <v>13041.298623000002</v>
      </c>
      <c r="R14" s="17">
        <v>135646.76473241003</v>
      </c>
      <c r="S14" s="17">
        <v>46854.49155584001</v>
      </c>
      <c r="T14" s="17">
        <v>165433.61963253998</v>
      </c>
      <c r="U14" s="17">
        <v>48297.008387399997</v>
      </c>
      <c r="V14" s="17">
        <v>47966.724606830008</v>
      </c>
      <c r="W14" s="17">
        <v>50224.420690560015</v>
      </c>
      <c r="X14" s="18"/>
      <c r="Y14" s="18"/>
      <c r="Z14" s="18"/>
      <c r="AA14" s="18"/>
      <c r="AB14" s="19"/>
      <c r="AC14" s="19">
        <f t="shared" si="0"/>
        <v>690918.29042899003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45644.191355999996</v>
      </c>
      <c r="N15" s="17">
        <v>22529.777298689998</v>
      </c>
      <c r="O15" s="17">
        <v>8496.906085999999</v>
      </c>
      <c r="P15" s="17">
        <v>16420.59414872</v>
      </c>
      <c r="Q15" s="17">
        <v>13041.298623000002</v>
      </c>
      <c r="R15" s="17">
        <v>132151.50066326003</v>
      </c>
      <c r="S15" s="17">
        <v>45906.39183741001</v>
      </c>
      <c r="T15" s="17">
        <v>161482.08292779999</v>
      </c>
      <c r="U15" s="17">
        <v>47153.723860999991</v>
      </c>
      <c r="V15" s="17">
        <v>47265.623723570003</v>
      </c>
      <c r="W15" s="17">
        <v>49709.635540170013</v>
      </c>
      <c r="X15" s="17">
        <v>42564.454605800005</v>
      </c>
      <c r="Y15" s="18"/>
      <c r="Z15" s="18"/>
      <c r="AA15" s="18"/>
      <c r="AB15" s="19"/>
      <c r="AC15" s="19">
        <f t="shared" si="0"/>
        <v>632366.18067141995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22529.777298689998</v>
      </c>
      <c r="O16" s="17">
        <v>8496.906085999999</v>
      </c>
      <c r="P16" s="17">
        <v>16420.59414872</v>
      </c>
      <c r="Q16" s="17">
        <v>13041.298623000002</v>
      </c>
      <c r="R16" s="17">
        <v>132789.09762797999</v>
      </c>
      <c r="S16" s="17">
        <v>45985.813903680006</v>
      </c>
      <c r="T16" s="17">
        <v>162663.60781925</v>
      </c>
      <c r="U16" s="17">
        <v>47562.059188399995</v>
      </c>
      <c r="V16" s="17">
        <v>47324.354761800008</v>
      </c>
      <c r="W16" s="17">
        <v>49752.758958030012</v>
      </c>
      <c r="X16" s="17">
        <v>43829.814473999999</v>
      </c>
      <c r="Y16" s="37">
        <v>8053.7021640000012</v>
      </c>
      <c r="Z16" s="18"/>
      <c r="AA16" s="18"/>
      <c r="AB16" s="19"/>
      <c r="AC16" s="19">
        <f t="shared" si="0"/>
        <v>598449.78505355003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8496.906085999999</v>
      </c>
      <c r="P17" s="17">
        <v>16420.59414872</v>
      </c>
      <c r="Q17" s="17">
        <v>13041.298623000002</v>
      </c>
      <c r="R17" s="17">
        <v>141952.07869262001</v>
      </c>
      <c r="S17" s="17">
        <v>49374.528582270003</v>
      </c>
      <c r="T17" s="17">
        <v>168573.62185233997</v>
      </c>
      <c r="U17" s="17">
        <v>48629.877145799997</v>
      </c>
      <c r="V17" s="17">
        <v>49830.241862199997</v>
      </c>
      <c r="W17" s="17">
        <v>51592.713091050013</v>
      </c>
      <c r="X17" s="17">
        <v>45138.415624800007</v>
      </c>
      <c r="Y17" s="17">
        <v>8053.7021640000012</v>
      </c>
      <c r="Z17" s="17">
        <v>26288.2982176</v>
      </c>
      <c r="AA17" s="18"/>
      <c r="AB17" s="19"/>
      <c r="AC17" s="19">
        <f t="shared" si="0"/>
        <v>627392.27609040006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16420.59414872</v>
      </c>
      <c r="Q18" s="17">
        <v>13041.298623000002</v>
      </c>
      <c r="R18" s="17">
        <v>148741.28835702001</v>
      </c>
      <c r="S18" s="17">
        <v>51050.910794070012</v>
      </c>
      <c r="T18" s="17">
        <v>177062.87728213001</v>
      </c>
      <c r="U18" s="17">
        <v>51203.491112399992</v>
      </c>
      <c r="V18" s="17">
        <v>51069.893163150002</v>
      </c>
      <c r="W18" s="17">
        <v>52502.93028891</v>
      </c>
      <c r="X18" s="17">
        <v>46174.312628399995</v>
      </c>
      <c r="Y18" s="17">
        <v>8053.7021640000012</v>
      </c>
      <c r="Z18" s="17">
        <v>28470.403933110007</v>
      </c>
      <c r="AA18" s="17">
        <v>7136.7600950000005</v>
      </c>
      <c r="AB18" s="19"/>
      <c r="AC18" s="19">
        <f t="shared" si="0"/>
        <v>650928.46258991002</v>
      </c>
    </row>
    <row r="19" spans="2:29" ht="9.9499999999999993" customHeight="1" x14ac:dyDescent="0.2">
      <c r="B19" s="51"/>
      <c r="C19" s="52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2023</v>
      </c>
      <c r="D20" s="3" t="s">
        <v>2</v>
      </c>
      <c r="E20" s="17">
        <v>13859.077696980001</v>
      </c>
      <c r="F20" s="17">
        <v>17118.30266035</v>
      </c>
      <c r="G20" s="17">
        <v>24866.25298479</v>
      </c>
      <c r="H20" s="17">
        <v>12374.382193920001</v>
      </c>
      <c r="I20" s="17">
        <v>83499.73164880999</v>
      </c>
      <c r="J20" s="17">
        <v>13485.978144299997</v>
      </c>
      <c r="K20" s="17">
        <v>11083.334062159996</v>
      </c>
      <c r="L20" s="17">
        <v>50894.480281959994</v>
      </c>
      <c r="M20" s="56">
        <v>21107.739475999999</v>
      </c>
      <c r="N20" s="56">
        <v>31506.824543719998</v>
      </c>
      <c r="O20" s="17">
        <v>57012.261525789989</v>
      </c>
      <c r="P20" s="17">
        <v>10398.151696200004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347206.51691497996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19706.622934909999</v>
      </c>
      <c r="G21" s="17">
        <v>24899.62893588001</v>
      </c>
      <c r="H21" s="17">
        <v>13816.882801979997</v>
      </c>
      <c r="I21" s="17">
        <v>86741.326898820014</v>
      </c>
      <c r="J21" s="17">
        <v>13645.710137420003</v>
      </c>
      <c r="K21" s="17">
        <v>11826.805007339999</v>
      </c>
      <c r="L21" s="17">
        <v>56645.527860809998</v>
      </c>
      <c r="M21" s="17">
        <v>21125.603542089993</v>
      </c>
      <c r="N21" s="17">
        <v>34869.465998300002</v>
      </c>
      <c r="O21" s="17">
        <v>61258.962672629998</v>
      </c>
      <c r="P21" s="17">
        <v>10699.743244900003</v>
      </c>
      <c r="Q21" s="17">
        <v>48897.001062810006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404133.28109789005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24895.391953430011</v>
      </c>
      <c r="H22" s="17">
        <v>14711.624224109995</v>
      </c>
      <c r="I22" s="17">
        <v>87703.995426499998</v>
      </c>
      <c r="J22" s="17">
        <v>13684.602070949999</v>
      </c>
      <c r="K22" s="17">
        <v>11700.53966231</v>
      </c>
      <c r="L22" s="17">
        <v>58271.388685509999</v>
      </c>
      <c r="M22" s="17">
        <v>21086.762547190003</v>
      </c>
      <c r="N22" s="17">
        <v>35410.964557879997</v>
      </c>
      <c r="O22" s="17">
        <v>61113.261555029989</v>
      </c>
      <c r="P22" s="17">
        <v>10743.77095803</v>
      </c>
      <c r="Q22" s="17">
        <v>48802.098011309994</v>
      </c>
      <c r="R22" s="17">
        <v>20751.484089469999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408875.88374172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16270.647823869997</v>
      </c>
      <c r="I23" s="17">
        <v>87779.188563639997</v>
      </c>
      <c r="J23" s="17">
        <v>14144.654083290001</v>
      </c>
      <c r="K23" s="17">
        <v>11780.739992800003</v>
      </c>
      <c r="L23" s="17">
        <v>60418.169854</v>
      </c>
      <c r="M23" s="17">
        <v>20954.11163168</v>
      </c>
      <c r="N23" s="17">
        <v>37198.630176990002</v>
      </c>
      <c r="O23" s="17">
        <v>61957.363641299991</v>
      </c>
      <c r="P23" s="17">
        <v>11439.431069349999</v>
      </c>
      <c r="Q23" s="17">
        <v>50037.966808109988</v>
      </c>
      <c r="R23" s="17">
        <v>22799.286214729997</v>
      </c>
      <c r="S23" s="17">
        <v>18479.400812220007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413259.59067198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87792.608377500001</v>
      </c>
      <c r="J24" s="17">
        <v>14564.140248280006</v>
      </c>
      <c r="K24" s="17">
        <v>11684.32918486</v>
      </c>
      <c r="L24" s="17">
        <v>60157.993462060003</v>
      </c>
      <c r="M24" s="17">
        <v>21275.109422940004</v>
      </c>
      <c r="N24" s="17">
        <v>37302.621650319998</v>
      </c>
      <c r="O24" s="17">
        <v>60765.243911459998</v>
      </c>
      <c r="P24" s="17">
        <v>11770.441517230005</v>
      </c>
      <c r="Q24" s="17">
        <v>49475.77703651</v>
      </c>
      <c r="R24" s="17">
        <v>23182.376374900003</v>
      </c>
      <c r="S24" s="17">
        <v>18930.86538168</v>
      </c>
      <c r="T24" s="17">
        <v>33613.531054809995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430515.03762254998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15233.887307250003</v>
      </c>
      <c r="K25" s="17">
        <v>11866.60584642</v>
      </c>
      <c r="L25" s="17">
        <v>60576.731475870001</v>
      </c>
      <c r="M25" s="17">
        <v>22636.326895769995</v>
      </c>
      <c r="N25" s="17">
        <v>38072.862994039991</v>
      </c>
      <c r="O25" s="17">
        <v>60787.675667570002</v>
      </c>
      <c r="P25" s="17">
        <v>12507.516503810006</v>
      </c>
      <c r="Q25" s="17">
        <v>49257.166321519995</v>
      </c>
      <c r="R25" s="17">
        <v>23279.149427109998</v>
      </c>
      <c r="S25" s="17">
        <v>20473.294959219995</v>
      </c>
      <c r="T25" s="17">
        <v>34777.020340089992</v>
      </c>
      <c r="U25" s="17">
        <v>50128.222595449981</v>
      </c>
      <c r="V25" s="18"/>
      <c r="W25" s="18"/>
      <c r="X25" s="18"/>
      <c r="Y25" s="18"/>
      <c r="Z25" s="18"/>
      <c r="AA25" s="18"/>
      <c r="AB25" s="19"/>
      <c r="AC25" s="19">
        <f t="shared" si="1"/>
        <v>399596.46033411991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12453.451641130003</v>
      </c>
      <c r="L26" s="24">
        <v>60231.661428950014</v>
      </c>
      <c r="M26" s="17">
        <v>26491.208639170007</v>
      </c>
      <c r="N26" s="17">
        <v>39901.914050669999</v>
      </c>
      <c r="O26" s="17">
        <v>61798.643519929989</v>
      </c>
      <c r="P26" s="17">
        <v>14055.85112766</v>
      </c>
      <c r="Q26" s="17">
        <v>50497.446001080003</v>
      </c>
      <c r="R26" s="17">
        <v>23920.606169250001</v>
      </c>
      <c r="S26" s="17">
        <v>24076.581345160004</v>
      </c>
      <c r="T26" s="17">
        <v>41359.201539189999</v>
      </c>
      <c r="U26" s="17">
        <v>53782.53336080999</v>
      </c>
      <c r="V26" s="17">
        <v>47666.57398275</v>
      </c>
      <c r="W26" s="18"/>
      <c r="X26" s="18"/>
      <c r="Y26" s="18"/>
      <c r="Z26" s="18"/>
      <c r="AA26" s="18"/>
      <c r="AB26" s="19"/>
      <c r="AC26" s="19">
        <f t="shared" si="1"/>
        <v>456235.67280574999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61042.153874740005</v>
      </c>
      <c r="M27" s="16">
        <v>28129.81439155</v>
      </c>
      <c r="N27" s="17">
        <v>43419.943957559997</v>
      </c>
      <c r="O27" s="17">
        <v>68422.141073639999</v>
      </c>
      <c r="P27" s="17">
        <v>18300.582855100009</v>
      </c>
      <c r="Q27" s="17">
        <v>63171.577410270009</v>
      </c>
      <c r="R27" s="17">
        <v>26555.980774340002</v>
      </c>
      <c r="S27" s="17">
        <v>27324.948552440004</v>
      </c>
      <c r="T27" s="17">
        <v>43797.08051765</v>
      </c>
      <c r="U27" s="17">
        <v>59201.478896219996</v>
      </c>
      <c r="V27" s="17">
        <v>54982.452937030001</v>
      </c>
      <c r="W27" s="17">
        <v>20201.51054358</v>
      </c>
      <c r="X27" s="18"/>
      <c r="Y27" s="18"/>
      <c r="Z27" s="18"/>
      <c r="AA27" s="18"/>
      <c r="AB27" s="19"/>
      <c r="AC27" s="19">
        <f t="shared" si="1"/>
        <v>514549.66578411998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28508.611393270003</v>
      </c>
      <c r="N28" s="17">
        <v>43555.170914800001</v>
      </c>
      <c r="O28" s="17">
        <v>69047.482166589994</v>
      </c>
      <c r="P28" s="17">
        <v>19844.286549330001</v>
      </c>
      <c r="Q28" s="17">
        <v>69853.318336559998</v>
      </c>
      <c r="R28" s="17">
        <v>31641.917044040005</v>
      </c>
      <c r="S28" s="17">
        <v>28632.234691999998</v>
      </c>
      <c r="T28" s="17">
        <v>43140.743532339999</v>
      </c>
      <c r="U28" s="17">
        <v>59820.098285769993</v>
      </c>
      <c r="V28" s="17">
        <v>57071.729609680013</v>
      </c>
      <c r="W28" s="17">
        <v>26546.002083080002</v>
      </c>
      <c r="X28" s="17">
        <v>20332.762455450003</v>
      </c>
      <c r="Y28" s="18"/>
      <c r="Z28" s="18"/>
      <c r="AA28" s="18"/>
      <c r="AB28" s="19"/>
      <c r="AC28" s="19">
        <f t="shared" si="1"/>
        <v>497994.35706290998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43899.131702059996</v>
      </c>
      <c r="O29" s="17">
        <v>69603.520277849995</v>
      </c>
      <c r="P29" s="17">
        <v>22186.451841340015</v>
      </c>
      <c r="Q29" s="17">
        <v>76744.757622440011</v>
      </c>
      <c r="R29" s="17">
        <v>31856.871735840006</v>
      </c>
      <c r="S29" s="17">
        <v>32722.039631310003</v>
      </c>
      <c r="T29" s="17">
        <v>47149.40834935</v>
      </c>
      <c r="U29" s="17">
        <v>64398.227721330004</v>
      </c>
      <c r="V29" s="17">
        <v>62217.032281799999</v>
      </c>
      <c r="W29" s="17">
        <v>33306.291663140008</v>
      </c>
      <c r="X29" s="17">
        <v>22140.207082080004</v>
      </c>
      <c r="Y29" s="17">
        <v>101644.71192765</v>
      </c>
      <c r="Z29" s="18"/>
      <c r="AA29" s="18"/>
      <c r="AB29" s="19"/>
      <c r="AC29" s="19">
        <f t="shared" si="1"/>
        <v>607868.65183619002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70411.998727609986</v>
      </c>
      <c r="P30" s="17">
        <v>24826.072240320009</v>
      </c>
      <c r="Q30" s="17">
        <v>81800.582929879994</v>
      </c>
      <c r="R30" s="17">
        <v>33674.116732559996</v>
      </c>
      <c r="S30" s="17">
        <v>36953.383979120015</v>
      </c>
      <c r="T30" s="17">
        <v>53764.220391279996</v>
      </c>
      <c r="U30" s="17">
        <v>67681.589313469987</v>
      </c>
      <c r="V30" s="17">
        <v>69929.854791179998</v>
      </c>
      <c r="W30" s="17">
        <v>38225.785224560008</v>
      </c>
      <c r="X30" s="17">
        <v>24326.179826589996</v>
      </c>
      <c r="Y30" s="17">
        <v>110082.20196531001</v>
      </c>
      <c r="Z30" s="17">
        <v>36869.792098579994</v>
      </c>
      <c r="AA30" s="18"/>
      <c r="AB30" s="19"/>
      <c r="AC30" s="19">
        <f t="shared" si="1"/>
        <v>648545.77822046005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26525.971634510006</v>
      </c>
      <c r="Q31" s="17">
        <v>83219.117311460024</v>
      </c>
      <c r="R31" s="17">
        <v>34117.177539540011</v>
      </c>
      <c r="S31" s="17">
        <v>37603.124704009999</v>
      </c>
      <c r="T31" s="17">
        <v>60531.320684359998</v>
      </c>
      <c r="U31" s="17">
        <v>69498.888147899997</v>
      </c>
      <c r="V31" s="17">
        <v>72414.974540439987</v>
      </c>
      <c r="W31" s="17">
        <v>40146.212462620017</v>
      </c>
      <c r="X31" s="17">
        <v>24201.564874769996</v>
      </c>
      <c r="Y31" s="17">
        <v>109882.30253903002</v>
      </c>
      <c r="Z31" s="17">
        <v>42394.322330490002</v>
      </c>
      <c r="AA31" s="17">
        <v>56427.699302579982</v>
      </c>
      <c r="AB31" s="26"/>
      <c r="AC31" s="64">
        <f t="shared" si="1"/>
        <v>656962.67607170995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</row>
    <row r="34" spans="2:29" ht="20.100000000000001" customHeight="1" x14ac:dyDescent="0.2">
      <c r="B34" s="7" t="s">
        <v>19</v>
      </c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zoomScale="70" zoomScaleNormal="70" workbookViewId="0"/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5" width="16" style="2" bestFit="1" customWidth="1"/>
    <col min="6" max="6" width="12.7109375" style="2" bestFit="1" customWidth="1"/>
    <col min="7" max="7" width="11.7109375" style="2" customWidth="1"/>
    <col min="8" max="8" width="12.7109375" style="2" bestFit="1" customWidth="1"/>
    <col min="9" max="10" width="11.7109375" style="2" customWidth="1"/>
    <col min="11" max="11" width="12.7109375" style="2" bestFit="1" customWidth="1"/>
    <col min="12" max="12" width="11.7109375" style="2" customWidth="1"/>
    <col min="13" max="15" width="12.7109375" style="2" bestFit="1" customWidth="1"/>
    <col min="16" max="16" width="11.7109375" style="2" customWidth="1"/>
    <col min="17" max="17" width="13.5703125" style="2" bestFit="1" customWidth="1"/>
    <col min="18" max="18" width="12.7109375" style="2" bestFit="1" customWidth="1"/>
    <col min="19" max="19" width="13" style="2" customWidth="1"/>
    <col min="20" max="20" width="13.7109375" style="2" customWidth="1"/>
    <col min="21" max="21" width="12.7109375" style="2" customWidth="1"/>
    <col min="22" max="22" width="12.5703125" style="2" customWidth="1"/>
    <col min="23" max="23" width="12.7109375" style="2" bestFit="1" customWidth="1"/>
    <col min="24" max="24" width="13.7109375" style="2" customWidth="1"/>
    <col min="25" max="25" width="12.7109375" style="2" bestFit="1" customWidth="1"/>
    <col min="26" max="26" width="13.140625" style="2" customWidth="1"/>
    <col min="27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2024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2024</v>
      </c>
      <c r="D7" s="3" t="s">
        <v>2</v>
      </c>
      <c r="E7" s="16">
        <v>13041.298623000002</v>
      </c>
      <c r="F7" s="17">
        <v>153060.55795238001</v>
      </c>
      <c r="G7" s="17">
        <v>52328.970955739998</v>
      </c>
      <c r="H7" s="17">
        <v>181421.65395569001</v>
      </c>
      <c r="I7" s="17">
        <v>52388.928136799994</v>
      </c>
      <c r="J7" s="17">
        <v>52014.993231</v>
      </c>
      <c r="K7" s="17">
        <v>53196.872476360011</v>
      </c>
      <c r="L7" s="17">
        <v>47089.165603699999</v>
      </c>
      <c r="M7" s="17">
        <v>8053.7021640000012</v>
      </c>
      <c r="N7" s="17">
        <v>29180.131439230001</v>
      </c>
      <c r="O7" s="17">
        <v>7136.7600950000005</v>
      </c>
      <c r="P7" s="17">
        <v>8208.9751910000014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657122.00982390018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155018.85754916997</v>
      </c>
      <c r="G8" s="17">
        <v>53006.689864510008</v>
      </c>
      <c r="H8" s="17">
        <v>182913.84346022998</v>
      </c>
      <c r="I8" s="17">
        <v>52716.493838999995</v>
      </c>
      <c r="J8" s="17">
        <v>52516.152883629999</v>
      </c>
      <c r="K8" s="17">
        <v>53564.850257170008</v>
      </c>
      <c r="L8" s="17">
        <v>48459.945825099996</v>
      </c>
      <c r="M8" s="17">
        <v>8053.7021640000012</v>
      </c>
      <c r="N8" s="17">
        <v>29556.479725019999</v>
      </c>
      <c r="O8" s="17">
        <v>7136.7600950000005</v>
      </c>
      <c r="P8" s="17">
        <v>8208.9751910000014</v>
      </c>
      <c r="Q8" s="17">
        <v>68520.824776779991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 t="shared" si="0"/>
        <v>719673.57563060999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53876.971689400008</v>
      </c>
      <c r="H9" s="17">
        <v>186798.60751868002</v>
      </c>
      <c r="I9" s="17">
        <v>53860.594220199993</v>
      </c>
      <c r="J9" s="17">
        <v>53159.7089825</v>
      </c>
      <c r="K9" s="17">
        <v>54037.382999670001</v>
      </c>
      <c r="L9" s="17">
        <v>49748.031038900001</v>
      </c>
      <c r="M9" s="17">
        <v>8053.7021640000012</v>
      </c>
      <c r="N9" s="17">
        <v>30039.761316700002</v>
      </c>
      <c r="O9" s="17">
        <v>7136.7600950000005</v>
      </c>
      <c r="P9" s="17">
        <v>8208.9751910000014</v>
      </c>
      <c r="Q9" s="17">
        <v>69710.780709689992</v>
      </c>
      <c r="R9" s="17">
        <v>0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574631.27592574002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195937.53543937998</v>
      </c>
      <c r="I10" s="17">
        <v>55424.451895999999</v>
      </c>
      <c r="J10" s="17">
        <v>57232.944360510002</v>
      </c>
      <c r="K10" s="17">
        <v>57028.166689539998</v>
      </c>
      <c r="L10" s="17">
        <v>51590.519996399998</v>
      </c>
      <c r="M10" s="17">
        <v>8053.7021640000012</v>
      </c>
      <c r="N10" s="17">
        <v>33098.577292950002</v>
      </c>
      <c r="O10" s="17">
        <v>7136.7600950000005</v>
      </c>
      <c r="P10" s="17">
        <v>8208.9751910000014</v>
      </c>
      <c r="Q10" s="17">
        <v>77242.323978100001</v>
      </c>
      <c r="R10" s="17">
        <v>0</v>
      </c>
      <c r="S10" s="17">
        <v>14765.808695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565719.7657978799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55215.1851398</v>
      </c>
      <c r="J11" s="17">
        <v>59382.065663059999</v>
      </c>
      <c r="K11" s="17">
        <v>58606.164605870006</v>
      </c>
      <c r="L11" s="17">
        <v>51674.950967900004</v>
      </c>
      <c r="M11" s="17">
        <v>8053.7021640000012</v>
      </c>
      <c r="N11" s="17">
        <v>34712.470418439996</v>
      </c>
      <c r="O11" s="17">
        <v>7136.7600950000005</v>
      </c>
      <c r="P11" s="17">
        <v>8208.9751910000014</v>
      </c>
      <c r="Q11" s="17">
        <v>81216.118413480013</v>
      </c>
      <c r="R11" s="17">
        <v>0</v>
      </c>
      <c r="S11" s="17">
        <v>14765.808695</v>
      </c>
      <c r="T11" s="17">
        <v>26448.086103400001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405420.28745694994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59277.190886179997</v>
      </c>
      <c r="K12" s="17">
        <v>58529.160027669997</v>
      </c>
      <c r="L12" s="17">
        <v>51532.759743000002</v>
      </c>
      <c r="M12" s="17">
        <v>8053.7021640000012</v>
      </c>
      <c r="N12" s="17">
        <v>34633.714193169995</v>
      </c>
      <c r="O12" s="17">
        <v>7136.7600950000005</v>
      </c>
      <c r="P12" s="17">
        <v>8208.9751910000014</v>
      </c>
      <c r="Q12" s="17">
        <v>81022.201576730018</v>
      </c>
      <c r="R12" s="17">
        <v>0</v>
      </c>
      <c r="S12" s="17">
        <v>14765.808695</v>
      </c>
      <c r="T12" s="17">
        <v>32022.219459400003</v>
      </c>
      <c r="U12" s="17">
        <v>50443.10995102</v>
      </c>
      <c r="V12" s="18"/>
      <c r="W12" s="18"/>
      <c r="X12" s="18"/>
      <c r="Y12" s="18"/>
      <c r="Z12" s="18"/>
      <c r="AA12" s="18"/>
      <c r="AB12" s="19"/>
      <c r="AC12" s="19">
        <f t="shared" si="0"/>
        <v>405625.60198216996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58900.914577490003</v>
      </c>
      <c r="L13" s="17">
        <v>52445.403309699999</v>
      </c>
      <c r="M13" s="17">
        <v>8053.7021640000003</v>
      </c>
      <c r="N13" s="17">
        <v>35013.925159300001</v>
      </c>
      <c r="O13" s="17">
        <v>7136.7600950000005</v>
      </c>
      <c r="P13" s="17">
        <v>8208.9751910000014</v>
      </c>
      <c r="Q13" s="17">
        <v>81958.372750400013</v>
      </c>
      <c r="R13" s="17">
        <v>0</v>
      </c>
      <c r="S13" s="17">
        <v>14765.808695</v>
      </c>
      <c r="T13" s="17">
        <v>44112.449349189999</v>
      </c>
      <c r="U13" s="17">
        <v>51127.489690049995</v>
      </c>
      <c r="V13" s="17">
        <v>24986.503536</v>
      </c>
      <c r="W13" s="18"/>
      <c r="X13" s="18"/>
      <c r="Y13" s="18"/>
      <c r="Z13" s="18"/>
      <c r="AA13" s="18"/>
      <c r="AB13" s="19"/>
      <c r="AC13" s="19">
        <f t="shared" si="0"/>
        <v>386710.30451713002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52768.2925951</v>
      </c>
      <c r="M14" s="16">
        <v>8053.7021640000012</v>
      </c>
      <c r="N14" s="17">
        <v>35946.42506134</v>
      </c>
      <c r="O14" s="17">
        <v>7136.7600950000005</v>
      </c>
      <c r="P14" s="17">
        <v>8208.9751910000014</v>
      </c>
      <c r="Q14" s="17">
        <v>84254.412595419999</v>
      </c>
      <c r="R14" s="17">
        <v>0</v>
      </c>
      <c r="S14" s="17">
        <v>14765.808695</v>
      </c>
      <c r="T14" s="17">
        <v>56974.098094749999</v>
      </c>
      <c r="U14" s="17">
        <v>52805.989513730005</v>
      </c>
      <c r="V14" s="17">
        <v>24986.503536</v>
      </c>
      <c r="W14" s="17">
        <v>135282.89095060001</v>
      </c>
      <c r="X14" s="18"/>
      <c r="Y14" s="18"/>
      <c r="Z14" s="18"/>
      <c r="AA14" s="18"/>
      <c r="AB14" s="19"/>
      <c r="AC14" s="19">
        <f t="shared" si="0"/>
        <v>481183.85849193996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8053.7021640000012</v>
      </c>
      <c r="N15" s="17">
        <v>38352.419850469996</v>
      </c>
      <c r="O15" s="17">
        <v>7136.7600950000005</v>
      </c>
      <c r="P15" s="17">
        <v>8208.9751910000014</v>
      </c>
      <c r="Q15" s="17">
        <v>90178.55252360001</v>
      </c>
      <c r="R15" s="17">
        <v>0</v>
      </c>
      <c r="S15" s="17">
        <v>14765.808695</v>
      </c>
      <c r="T15" s="17">
        <v>56974.098094749999</v>
      </c>
      <c r="U15" s="17">
        <v>57136.780134159999</v>
      </c>
      <c r="V15" s="17">
        <v>24986.503536</v>
      </c>
      <c r="W15" s="17">
        <v>138863.33651359999</v>
      </c>
      <c r="X15" s="17">
        <v>157960.34877339998</v>
      </c>
      <c r="Y15" s="18"/>
      <c r="Z15" s="18"/>
      <c r="AA15" s="18"/>
      <c r="AB15" s="19"/>
      <c r="AC15" s="19">
        <f t="shared" si="0"/>
        <v>602617.28557097993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40326.983082170002</v>
      </c>
      <c r="O16" s="17">
        <v>7136.7600950000005</v>
      </c>
      <c r="P16" s="17">
        <v>8208.9751910000014</v>
      </c>
      <c r="Q16" s="17">
        <v>95040.403818760009</v>
      </c>
      <c r="R16" s="17">
        <v>0</v>
      </c>
      <c r="S16" s="17">
        <v>14765.808695</v>
      </c>
      <c r="T16" s="17">
        <v>56974.098094749999</v>
      </c>
      <c r="U16" s="17">
        <v>60690.99395122</v>
      </c>
      <c r="V16" s="17">
        <v>24986.503536</v>
      </c>
      <c r="W16" s="17">
        <v>139531.7930916</v>
      </c>
      <c r="X16" s="17">
        <v>158647.7009004</v>
      </c>
      <c r="Y16" s="37">
        <v>21536.252086199998</v>
      </c>
      <c r="Z16" s="18"/>
      <c r="AA16" s="18"/>
      <c r="AB16" s="19"/>
      <c r="AC16" s="19">
        <f t="shared" si="0"/>
        <v>627846.27254209993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7136.7600950000005</v>
      </c>
      <c r="P17" s="17">
        <v>8208.9751910000014</v>
      </c>
      <c r="Q17" s="17">
        <v>99195.462895920005</v>
      </c>
      <c r="R17" s="17">
        <v>0</v>
      </c>
      <c r="S17" s="17">
        <v>14765.808695</v>
      </c>
      <c r="T17" s="17">
        <v>56974.098094749999</v>
      </c>
      <c r="U17" s="17">
        <v>63728.513506260002</v>
      </c>
      <c r="V17" s="17">
        <v>24986.503536</v>
      </c>
      <c r="W17" s="17">
        <v>140010.92035140001</v>
      </c>
      <c r="X17" s="17">
        <v>159140.37185609998</v>
      </c>
      <c r="Y17" s="17">
        <v>35413.444108170006</v>
      </c>
      <c r="Z17" s="17">
        <v>126408.47160999999</v>
      </c>
      <c r="AA17" s="18"/>
      <c r="AB17" s="19"/>
      <c r="AC17" s="19">
        <f t="shared" si="0"/>
        <v>735969.32993959996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8208.9751910000014</v>
      </c>
      <c r="Q18" s="17">
        <v>96350.987788700018</v>
      </c>
      <c r="R18" s="17">
        <v>0</v>
      </c>
      <c r="S18" s="17">
        <v>14765.808695</v>
      </c>
      <c r="T18" s="17">
        <v>56974.098094750007</v>
      </c>
      <c r="U18" s="17">
        <v>61649.084886459998</v>
      </c>
      <c r="V18" s="17">
        <v>24986.503536</v>
      </c>
      <c r="W18" s="17">
        <v>141494.3335718</v>
      </c>
      <c r="X18" s="17">
        <v>160665.7173547</v>
      </c>
      <c r="Y18" s="17">
        <v>43492.224673969991</v>
      </c>
      <c r="Z18" s="17">
        <v>126408.47160999999</v>
      </c>
      <c r="AA18" s="17">
        <v>0</v>
      </c>
      <c r="AB18" s="19"/>
      <c r="AC18" s="19">
        <f t="shared" si="0"/>
        <v>734996.20540237997</v>
      </c>
    </row>
    <row r="19" spans="2:29" ht="9.9499999999999993" customHeight="1" x14ac:dyDescent="0.2">
      <c r="B19" s="67"/>
      <c r="C19" s="68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2024</v>
      </c>
      <c r="D20" s="3" t="s">
        <v>2</v>
      </c>
      <c r="E20" s="17">
        <v>84479.991945339978</v>
      </c>
      <c r="F20" s="17">
        <v>34369.247508970009</v>
      </c>
      <c r="G20" s="17">
        <v>38233.396611120013</v>
      </c>
      <c r="H20" s="17">
        <v>68192.407323770036</v>
      </c>
      <c r="I20" s="17">
        <v>72100.193786689997</v>
      </c>
      <c r="J20" s="17">
        <v>76923.529674139994</v>
      </c>
      <c r="K20" s="17">
        <v>41892.756809370003</v>
      </c>
      <c r="L20" s="17">
        <v>24289.152059350003</v>
      </c>
      <c r="M20" s="56">
        <v>108157.55412479999</v>
      </c>
      <c r="N20" s="56">
        <v>48768.478738500016</v>
      </c>
      <c r="O20" s="17">
        <v>58803.295940609984</v>
      </c>
      <c r="P20" s="17">
        <v>33387.729926710002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689597.73444937007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34603.658455320001</v>
      </c>
      <c r="G21" s="17">
        <v>38824.497263130012</v>
      </c>
      <c r="H21" s="17">
        <v>76637.902648690026</v>
      </c>
      <c r="I21" s="17">
        <v>78692.48095148</v>
      </c>
      <c r="J21" s="17">
        <v>81764.335806250005</v>
      </c>
      <c r="K21" s="17">
        <v>45772.123264480033</v>
      </c>
      <c r="L21" s="17">
        <v>24690.583445060001</v>
      </c>
      <c r="M21" s="17">
        <v>109829.81760375002</v>
      </c>
      <c r="N21" s="17">
        <v>56770.968504920012</v>
      </c>
      <c r="O21" s="17">
        <v>65166.483875220001</v>
      </c>
      <c r="P21" s="17">
        <v>36406.67590314</v>
      </c>
      <c r="Q21" s="17">
        <v>101780.50073675999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 t="shared" si="1"/>
        <v>750940.02845820005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39030.222849600003</v>
      </c>
      <c r="H22" s="17">
        <v>82096.178598140003</v>
      </c>
      <c r="I22" s="17">
        <v>81528.632695719993</v>
      </c>
      <c r="J22" s="17">
        <v>84734.852767589982</v>
      </c>
      <c r="K22" s="17">
        <v>48204.780244889989</v>
      </c>
      <c r="L22" s="17">
        <v>30034.329163369999</v>
      </c>
      <c r="M22" s="17">
        <v>110580.32804603</v>
      </c>
      <c r="N22" s="17">
        <v>61691.373725389989</v>
      </c>
      <c r="O22" s="17">
        <v>68054.304030980013</v>
      </c>
      <c r="P22" s="17">
        <v>38860.901976620014</v>
      </c>
      <c r="Q22" s="17">
        <v>103658.81724979998</v>
      </c>
      <c r="R22" s="17">
        <v>26721.117952970002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775195.83930109988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87066.290794170025</v>
      </c>
      <c r="I23" s="17">
        <v>85299.398143169979</v>
      </c>
      <c r="J23" s="17">
        <v>87908.529667349998</v>
      </c>
      <c r="K23" s="17">
        <v>50380.315195769988</v>
      </c>
      <c r="L23" s="17">
        <v>31491.859376959997</v>
      </c>
      <c r="M23" s="17">
        <v>115694.44187784001</v>
      </c>
      <c r="N23" s="17">
        <v>65934.433989199999</v>
      </c>
      <c r="O23" s="17">
        <v>71827.761969570012</v>
      </c>
      <c r="P23" s="17">
        <v>40791.289759740001</v>
      </c>
      <c r="Q23" s="17">
        <v>106450.55728370001</v>
      </c>
      <c r="R23" s="17">
        <v>28136.653343869999</v>
      </c>
      <c r="S23" s="17">
        <v>38547.746110960004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809529.27751230006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87778.484528610003</v>
      </c>
      <c r="J24" s="17">
        <v>89779.084694389996</v>
      </c>
      <c r="K24" s="17">
        <v>55931.882848649984</v>
      </c>
      <c r="L24" s="17">
        <v>35674.269298570005</v>
      </c>
      <c r="M24" s="17">
        <v>118139.25060981003</v>
      </c>
      <c r="N24" s="17">
        <v>81158.016638389978</v>
      </c>
      <c r="O24" s="17">
        <v>74633.872614050022</v>
      </c>
      <c r="P24" s="17">
        <v>42664.63790396</v>
      </c>
      <c r="Q24" s="17">
        <v>111370.39639417999</v>
      </c>
      <c r="R24" s="17">
        <v>32117.430838389995</v>
      </c>
      <c r="S24" s="17">
        <v>40057.057951800001</v>
      </c>
      <c r="T24" s="17">
        <v>169738.48747308002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939042.87179388001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90024.603004379984</v>
      </c>
      <c r="K25" s="17">
        <v>56415.490895159994</v>
      </c>
      <c r="L25" s="17">
        <v>46200.740709569996</v>
      </c>
      <c r="M25" s="17">
        <v>118693.46382871002</v>
      </c>
      <c r="N25" s="17">
        <v>90319.17974111998</v>
      </c>
      <c r="O25" s="17">
        <v>89012.768507930043</v>
      </c>
      <c r="P25" s="17">
        <v>42948.607973909988</v>
      </c>
      <c r="Q25" s="17">
        <v>111763.23441580001</v>
      </c>
      <c r="R25" s="17">
        <v>42325.723435340013</v>
      </c>
      <c r="S25" s="17">
        <v>40309.940960740008</v>
      </c>
      <c r="T25" s="17">
        <v>179589.75380498005</v>
      </c>
      <c r="U25" s="17">
        <v>48294.622172110001</v>
      </c>
      <c r="V25" s="18"/>
      <c r="W25" s="18"/>
      <c r="X25" s="18"/>
      <c r="Y25" s="18"/>
      <c r="Z25" s="18"/>
      <c r="AA25" s="18"/>
      <c r="AB25" s="19"/>
      <c r="AC25" s="19">
        <f>+SUM(E25:AB25)</f>
        <v>955898.12944974995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56446.273411359987</v>
      </c>
      <c r="L26" s="24">
        <v>58303.310011570007</v>
      </c>
      <c r="M26" s="17">
        <v>118738.76035191002</v>
      </c>
      <c r="N26" s="17">
        <v>98068.322759919989</v>
      </c>
      <c r="O26" s="17">
        <v>98012.354735140019</v>
      </c>
      <c r="P26" s="17">
        <v>48153.738374299988</v>
      </c>
      <c r="Q26" s="17">
        <v>112054.80362077999</v>
      </c>
      <c r="R26" s="17">
        <v>54200.222658280029</v>
      </c>
      <c r="S26" s="17">
        <v>40324.318575610007</v>
      </c>
      <c r="T26" s="17">
        <v>188086.29174200998</v>
      </c>
      <c r="U26" s="17">
        <v>55470.728338940025</v>
      </c>
      <c r="V26" s="17">
        <v>167781.66548478999</v>
      </c>
      <c r="W26" s="18"/>
      <c r="X26" s="18"/>
      <c r="Y26" s="18"/>
      <c r="Z26" s="18"/>
      <c r="AA26" s="18"/>
      <c r="AB26" s="19"/>
      <c r="AC26" s="19">
        <f t="shared" si="1"/>
        <v>1095640.7900646101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68068.779588139936</v>
      </c>
      <c r="M27" s="16">
        <v>118742.50630167002</v>
      </c>
      <c r="N27" s="17">
        <v>100996.80403947999</v>
      </c>
      <c r="O27" s="17">
        <v>106049.42245835006</v>
      </c>
      <c r="P27" s="17">
        <v>48070.485096889985</v>
      </c>
      <c r="Q27" s="17">
        <v>114856.29935402998</v>
      </c>
      <c r="R27" s="17">
        <v>65184.007859679994</v>
      </c>
      <c r="S27" s="17">
        <v>40452.917001220005</v>
      </c>
      <c r="T27" s="17">
        <v>197417.83250431996</v>
      </c>
      <c r="U27" s="17">
        <v>63371.311226600032</v>
      </c>
      <c r="V27" s="17">
        <v>171547.34158475997</v>
      </c>
      <c r="W27" s="17">
        <v>51839.766823059996</v>
      </c>
      <c r="X27" s="18"/>
      <c r="Y27" s="18"/>
      <c r="Z27" s="18"/>
      <c r="AA27" s="18"/>
      <c r="AB27" s="19"/>
      <c r="AC27" s="19">
        <f t="shared" si="1"/>
        <v>1146597.4738381999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118734.46863342002</v>
      </c>
      <c r="N28" s="17">
        <v>104125.72243237002</v>
      </c>
      <c r="O28" s="17">
        <v>112631.94613076004</v>
      </c>
      <c r="P28" s="17">
        <v>48650.795889809982</v>
      </c>
      <c r="Q28" s="17">
        <v>116014.34285503</v>
      </c>
      <c r="R28" s="17">
        <v>79036.779273139939</v>
      </c>
      <c r="S28" s="17">
        <v>44136.756960059996</v>
      </c>
      <c r="T28" s="17">
        <v>206540.93386407994</v>
      </c>
      <c r="U28" s="17">
        <v>71522.396100120022</v>
      </c>
      <c r="V28" s="17">
        <v>179477.35955879997</v>
      </c>
      <c r="W28" s="17">
        <v>52611.586921319991</v>
      </c>
      <c r="X28" s="17">
        <v>73470.451933569959</v>
      </c>
      <c r="Y28" s="18"/>
      <c r="Z28" s="18"/>
      <c r="AA28" s="18"/>
      <c r="AB28" s="19"/>
      <c r="AC28" s="19">
        <f t="shared" si="1"/>
        <v>1206953.5405524799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108212.07501384993</v>
      </c>
      <c r="O29" s="17">
        <v>112750.36202349004</v>
      </c>
      <c r="P29" s="17">
        <v>54088.105314870001</v>
      </c>
      <c r="Q29" s="17">
        <v>116937.49092921001</v>
      </c>
      <c r="R29" s="17">
        <v>86334.012767309963</v>
      </c>
      <c r="S29" s="17">
        <v>55796.176390540022</v>
      </c>
      <c r="T29" s="17">
        <v>212551.83169453996</v>
      </c>
      <c r="U29" s="17">
        <v>70976.032729940009</v>
      </c>
      <c r="V29" s="17">
        <v>185543.40568731999</v>
      </c>
      <c r="W29" s="17">
        <v>52631.763275490004</v>
      </c>
      <c r="X29" s="17">
        <v>81427.033007459977</v>
      </c>
      <c r="Y29" s="17">
        <v>62626.740553829986</v>
      </c>
      <c r="Z29" s="18"/>
      <c r="AA29" s="18"/>
      <c r="AB29" s="19"/>
      <c r="AC29" s="19">
        <f t="shared" si="1"/>
        <v>1199875.0293878498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112894.99301223006</v>
      </c>
      <c r="P30" s="17">
        <v>59607.63565959999</v>
      </c>
      <c r="Q30" s="17">
        <v>117660.04713955999</v>
      </c>
      <c r="R30" s="17">
        <v>92492.980626119956</v>
      </c>
      <c r="S30" s="17">
        <v>65071.75585609</v>
      </c>
      <c r="T30" s="17">
        <v>221465.97374453998</v>
      </c>
      <c r="U30" s="17">
        <v>72912.353706580034</v>
      </c>
      <c r="V30" s="17">
        <v>188406.76538349997</v>
      </c>
      <c r="W30" s="17">
        <v>53110.303741049967</v>
      </c>
      <c r="X30" s="17">
        <v>87690.221988209945</v>
      </c>
      <c r="Y30" s="17">
        <v>76940.534569279989</v>
      </c>
      <c r="Z30" s="17">
        <v>94802.982955319982</v>
      </c>
      <c r="AA30" s="18"/>
      <c r="AB30" s="19"/>
      <c r="AC30" s="19">
        <f t="shared" si="1"/>
        <v>1243056.5483820799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63216.733277909996</v>
      </c>
      <c r="Q31" s="17">
        <v>117939.59050407997</v>
      </c>
      <c r="R31" s="17">
        <v>102693.80444820994</v>
      </c>
      <c r="S31" s="17">
        <v>74589.230020179995</v>
      </c>
      <c r="T31" s="17">
        <v>227616.90290424999</v>
      </c>
      <c r="U31" s="17">
        <v>76640.109675870044</v>
      </c>
      <c r="V31" s="17">
        <v>189965.75054531003</v>
      </c>
      <c r="W31" s="17">
        <v>53406.593628169983</v>
      </c>
      <c r="X31" s="17">
        <v>97771.005946549994</v>
      </c>
      <c r="Y31" s="17">
        <v>87674.76117983002</v>
      </c>
      <c r="Z31" s="17">
        <v>95952.54115574999</v>
      </c>
      <c r="AA31" s="17">
        <v>68092.879539510017</v>
      </c>
      <c r="AB31" s="26"/>
      <c r="AC31" s="64">
        <f t="shared" si="1"/>
        <v>1255559.9028256198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65"/>
    </row>
    <row r="35" spans="2:29" ht="20.100000000000001" customHeight="1" x14ac:dyDescent="0.2"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opLeftCell="B1" zoomScale="70" zoomScaleNormal="70" workbookViewId="0">
      <selection activeCell="B1" sqref="B1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2025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2026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2025</v>
      </c>
      <c r="D7" s="3" t="s">
        <v>2</v>
      </c>
      <c r="E7" s="16">
        <v>96180.357266799983</v>
      </c>
      <c r="F7" s="17">
        <v>0</v>
      </c>
      <c r="G7" s="17">
        <v>14765.808695</v>
      </c>
      <c r="H7" s="17">
        <v>56974.098094749999</v>
      </c>
      <c r="I7" s="17">
        <v>61524.346937529997</v>
      </c>
      <c r="J7" s="17">
        <v>24986.503536</v>
      </c>
      <c r="K7" s="17">
        <v>144076.4972752</v>
      </c>
      <c r="L7" s="17">
        <v>163320.87218779995</v>
      </c>
      <c r="M7" s="17">
        <v>54295.160385110001</v>
      </c>
      <c r="N7" s="17">
        <v>126408.47160999999</v>
      </c>
      <c r="O7" s="17">
        <v>0</v>
      </c>
      <c r="P7" s="17">
        <v>519.65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743051.76598818996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0</v>
      </c>
      <c r="G8" s="17">
        <v>14765.808695</v>
      </c>
      <c r="H8" s="17">
        <v>56974.098094749999</v>
      </c>
      <c r="I8" s="17">
        <v>66405.779648990007</v>
      </c>
      <c r="J8" s="17">
        <v>24986.503536</v>
      </c>
      <c r="K8" s="17">
        <v>182766.96334356</v>
      </c>
      <c r="L8" s="17">
        <v>165373.05045439999</v>
      </c>
      <c r="M8" s="17">
        <v>54295.160385110001</v>
      </c>
      <c r="N8" s="17">
        <v>126408.47160999999</v>
      </c>
      <c r="O8" s="17">
        <v>0</v>
      </c>
      <c r="P8" s="17">
        <v>519.65</v>
      </c>
      <c r="Q8" s="17">
        <v>123155.03638838997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815650.52215620002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14765.808695</v>
      </c>
      <c r="H9" s="17">
        <v>56974.098094749999</v>
      </c>
      <c r="I9" s="17">
        <v>70365.139812840003</v>
      </c>
      <c r="J9" s="17">
        <v>24986.503536</v>
      </c>
      <c r="K9" s="17">
        <v>211612.51377972998</v>
      </c>
      <c r="L9" s="17">
        <v>168029.02846369997</v>
      </c>
      <c r="M9" s="17">
        <v>54295.160385110001</v>
      </c>
      <c r="N9" s="17">
        <v>126408.47160999999</v>
      </c>
      <c r="O9" s="17">
        <v>0</v>
      </c>
      <c r="P9" s="17">
        <v>519.65</v>
      </c>
      <c r="Q9" s="17">
        <v>128386.01864317997</v>
      </c>
      <c r="R9" s="17">
        <v>346057.98843748996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1202400.3814578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56974.098094749999</v>
      </c>
      <c r="I10" s="17">
        <v>77592.203685279994</v>
      </c>
      <c r="J10" s="17">
        <v>24986.503536</v>
      </c>
      <c r="K10" s="17">
        <v>217228.34958173</v>
      </c>
      <c r="L10" s="17">
        <v>173803.60950669996</v>
      </c>
      <c r="M10" s="17">
        <v>54295.160385110001</v>
      </c>
      <c r="N10" s="17">
        <v>126408.47160999999</v>
      </c>
      <c r="O10" s="17">
        <v>0</v>
      </c>
      <c r="P10" s="17">
        <v>519.65</v>
      </c>
      <c r="Q10" s="17">
        <v>137934.18837425997</v>
      </c>
      <c r="R10" s="17">
        <v>362732.57104111987</v>
      </c>
      <c r="S10" s="17">
        <v>78383.733349310016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1310858.5391642598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85106.527312160004</v>
      </c>
      <c r="J11" s="17">
        <v>24986.503536</v>
      </c>
      <c r="K11" s="17">
        <v>228585.91726167002</v>
      </c>
      <c r="L11" s="17">
        <v>176283.83939729998</v>
      </c>
      <c r="M11" s="17">
        <v>54295.160385110001</v>
      </c>
      <c r="N11" s="17">
        <v>126408.47160999999</v>
      </c>
      <c r="O11" s="17">
        <v>0</v>
      </c>
      <c r="P11" s="17">
        <v>519.65</v>
      </c>
      <c r="Q11" s="17">
        <v>147861.87666791002</v>
      </c>
      <c r="R11" s="17">
        <v>380324.53715416993</v>
      </c>
      <c r="S11" s="17">
        <v>85974.711714339996</v>
      </c>
      <c r="T11" s="17">
        <v>226693.20929054002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1537040.4043292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>
        <v>24986.503536</v>
      </c>
      <c r="K12" s="17">
        <v>231374.22176607</v>
      </c>
      <c r="L12" s="17">
        <v>179150.96210189996</v>
      </c>
      <c r="M12" s="17">
        <v>54295.160385110001</v>
      </c>
      <c r="N12" s="17">
        <v>126408.47160999999</v>
      </c>
      <c r="O12" s="17">
        <v>0</v>
      </c>
      <c r="P12" s="17">
        <v>519.65</v>
      </c>
      <c r="Q12" s="17">
        <v>149160.65975055</v>
      </c>
      <c r="R12" s="17">
        <v>382801.10102292988</v>
      </c>
      <c r="S12" s="17">
        <v>86967.796306600008</v>
      </c>
      <c r="T12" s="17">
        <v>228740.23028106001</v>
      </c>
      <c r="U12" s="17">
        <v>168102.55722715997</v>
      </c>
      <c r="V12" s="18"/>
      <c r="W12" s="18"/>
      <c r="X12" s="18"/>
      <c r="Y12" s="18"/>
      <c r="Z12" s="18"/>
      <c r="AA12" s="18"/>
      <c r="AB12" s="19"/>
      <c r="AC12" s="19">
        <f t="shared" si="0"/>
        <v>1632507.3139873799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>
        <v>234100.48389347002</v>
      </c>
      <c r="L13" s="17">
        <v>181954.28865099998</v>
      </c>
      <c r="M13" s="17">
        <v>54295.160385110001</v>
      </c>
      <c r="N13" s="17">
        <v>126408.47160999999</v>
      </c>
      <c r="O13" s="17">
        <v>0</v>
      </c>
      <c r="P13" s="17">
        <v>519.65</v>
      </c>
      <c r="Q13" s="17">
        <v>150883.77632624999</v>
      </c>
      <c r="R13" s="17">
        <v>387443.58436332992</v>
      </c>
      <c r="S13" s="17">
        <v>104889.63581082001</v>
      </c>
      <c r="T13" s="17">
        <v>231045.98315173</v>
      </c>
      <c r="U13" s="17">
        <v>170848.88263803997</v>
      </c>
      <c r="V13" s="17">
        <v>62494.115477579995</v>
      </c>
      <c r="W13" s="18"/>
      <c r="X13" s="18"/>
      <c r="Y13" s="18"/>
      <c r="Z13" s="18"/>
      <c r="AA13" s="18"/>
      <c r="AB13" s="19"/>
      <c r="AC13" s="19">
        <f t="shared" si="0"/>
        <v>1704884.0323073296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>
        <v>185075.77280139999</v>
      </c>
      <c r="M14" s="16">
        <v>54295.160385110001</v>
      </c>
      <c r="N14" s="17">
        <v>126408.47160999999</v>
      </c>
      <c r="O14" s="17">
        <v>0</v>
      </c>
      <c r="P14" s="17">
        <v>519.65</v>
      </c>
      <c r="Q14" s="17">
        <v>154710.46058838998</v>
      </c>
      <c r="R14" s="17">
        <v>393382.86926319991</v>
      </c>
      <c r="S14" s="17">
        <v>133216.65433172</v>
      </c>
      <c r="T14" s="17">
        <v>234894.37214068996</v>
      </c>
      <c r="U14" s="17">
        <v>174934.29245841</v>
      </c>
      <c r="V14" s="17">
        <v>64565.31908513001</v>
      </c>
      <c r="W14" s="17">
        <v>302561.13511397003</v>
      </c>
      <c r="X14" s="18"/>
      <c r="Y14" s="18"/>
      <c r="Z14" s="18"/>
      <c r="AA14" s="18"/>
      <c r="AB14" s="19"/>
      <c r="AC14" s="19">
        <f t="shared" si="0"/>
        <v>1824564.15777802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>
        <v>54295.160385110001</v>
      </c>
      <c r="N15" s="17">
        <v>126408.47160999999</v>
      </c>
      <c r="O15" s="17">
        <v>0</v>
      </c>
      <c r="P15" s="17">
        <v>519.65</v>
      </c>
      <c r="Q15" s="17">
        <v>158763.74760753999</v>
      </c>
      <c r="R15" s="17">
        <v>400382.95105920994</v>
      </c>
      <c r="S15" s="17">
        <v>136315.90696332001</v>
      </c>
      <c r="T15" s="17">
        <v>238366.90046956</v>
      </c>
      <c r="U15" s="17">
        <v>179218.32620899999</v>
      </c>
      <c r="V15" s="17">
        <v>117021.32138962</v>
      </c>
      <c r="W15" s="17">
        <v>306817.25860331999</v>
      </c>
      <c r="X15" s="17">
        <v>439416.39528419997</v>
      </c>
      <c r="Y15" s="18"/>
      <c r="Z15" s="18"/>
      <c r="AA15" s="18"/>
      <c r="AB15" s="19"/>
      <c r="AC15" s="19">
        <f t="shared" si="0"/>
        <v>2157526.08958088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>
        <v>126408.47160999999</v>
      </c>
      <c r="O16" s="17">
        <v>0</v>
      </c>
      <c r="P16" s="17">
        <v>519.65</v>
      </c>
      <c r="Q16" s="17">
        <v>175305.06033504001</v>
      </c>
      <c r="R16" s="17">
        <v>425993.97014828993</v>
      </c>
      <c r="S16" s="17">
        <v>148963.84103716002</v>
      </c>
      <c r="T16" s="17">
        <v>250408.88387696998</v>
      </c>
      <c r="U16" s="17">
        <v>194759.97870698996</v>
      </c>
      <c r="V16" s="17">
        <v>203922.80120282</v>
      </c>
      <c r="W16" s="17">
        <v>316847.39512103004</v>
      </c>
      <c r="X16" s="17">
        <v>441700.45223579992</v>
      </c>
      <c r="Y16" s="37">
        <v>56569.837118999996</v>
      </c>
      <c r="Z16" s="18"/>
      <c r="AA16" s="18"/>
      <c r="AB16" s="19"/>
      <c r="AC16" s="19">
        <f t="shared" si="0"/>
        <v>2341400.3413930996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>
        <v>0</v>
      </c>
      <c r="P17" s="17">
        <v>519.65</v>
      </c>
      <c r="Q17" s="17">
        <v>183087.39594928999</v>
      </c>
      <c r="R17" s="17">
        <v>437686.6090669299</v>
      </c>
      <c r="S17" s="17">
        <v>154914.42485183</v>
      </c>
      <c r="T17" s="17">
        <v>256312.22348712999</v>
      </c>
      <c r="U17" s="17">
        <v>202063.66423135001</v>
      </c>
      <c r="V17" s="17">
        <v>258809.15580037999</v>
      </c>
      <c r="W17" s="17">
        <v>322386.13024291996</v>
      </c>
      <c r="X17" s="17">
        <v>443354.89247999992</v>
      </c>
      <c r="Y17" s="17">
        <v>56569.837118999996</v>
      </c>
      <c r="Z17" s="17">
        <v>147025.05871447999</v>
      </c>
      <c r="AA17" s="18"/>
      <c r="AB17" s="19"/>
      <c r="AC17" s="19">
        <f t="shared" si="0"/>
        <v>2462729.0419433098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>
        <v>519.65</v>
      </c>
      <c r="Q18" s="17">
        <v>191167.66458074999</v>
      </c>
      <c r="R18" s="17">
        <v>450135.48479553999</v>
      </c>
      <c r="S18" s="17">
        <v>161092.81629109001</v>
      </c>
      <c r="T18" s="17">
        <v>262505.32362531999</v>
      </c>
      <c r="U18" s="17">
        <v>209777.23045595997</v>
      </c>
      <c r="V18" s="17">
        <v>307862.54243628</v>
      </c>
      <c r="W18" s="17">
        <v>328356.67225513008</v>
      </c>
      <c r="X18" s="17">
        <v>445228.11527699995</v>
      </c>
      <c r="Y18" s="17">
        <v>56569.837118999996</v>
      </c>
      <c r="Z18" s="17">
        <v>154384.47107457</v>
      </c>
      <c r="AA18" s="17">
        <v>29578.698033000001</v>
      </c>
      <c r="AB18" s="19"/>
      <c r="AC18" s="19">
        <f t="shared" si="0"/>
        <v>2597178.5059436397</v>
      </c>
    </row>
    <row r="19" spans="2:29" ht="9.9499999999999993" customHeight="1" x14ac:dyDescent="0.2">
      <c r="B19" s="62"/>
      <c r="C19" s="63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2025</v>
      </c>
      <c r="D20" s="3" t="s">
        <v>2</v>
      </c>
      <c r="E20" s="17">
        <v>118480.07004493999</v>
      </c>
      <c r="F20" s="17">
        <v>108119.62541636993</v>
      </c>
      <c r="G20" s="17">
        <v>84933.293556369987</v>
      </c>
      <c r="H20" s="17">
        <v>232764.07179881996</v>
      </c>
      <c r="I20" s="17">
        <v>76662.930370340036</v>
      </c>
      <c r="J20" s="17">
        <v>210963.13929413998</v>
      </c>
      <c r="K20" s="17">
        <v>53922.282120899989</v>
      </c>
      <c r="L20" s="17">
        <v>103087.59138451</v>
      </c>
      <c r="M20" s="56">
        <v>100219.93304713001</v>
      </c>
      <c r="N20" s="56">
        <v>98674.808332750006</v>
      </c>
      <c r="O20" s="17">
        <v>68121.592831640024</v>
      </c>
      <c r="P20" s="17">
        <v>57511.314635949995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1313460.6528338599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117662.64189409</v>
      </c>
      <c r="G21" s="17">
        <v>96488.410567710016</v>
      </c>
      <c r="H21" s="17">
        <v>236042.87916180998</v>
      </c>
      <c r="I21" s="17">
        <v>75572.435633020039</v>
      </c>
      <c r="J21" s="17">
        <v>213799.20132843006</v>
      </c>
      <c r="K21" s="17">
        <v>60905.968861719979</v>
      </c>
      <c r="L21" s="17">
        <v>112206.53305248002</v>
      </c>
      <c r="M21" s="17">
        <v>109957.98162547001</v>
      </c>
      <c r="N21" s="17">
        <v>101911.91163821</v>
      </c>
      <c r="O21" s="17">
        <v>67954.771147740001</v>
      </c>
      <c r="P21" s="17">
        <v>62356.355380110013</v>
      </c>
      <c r="Q21" s="17">
        <v>274860.08910657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1529719.17939736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109973.45937148998</v>
      </c>
      <c r="H22" s="17">
        <v>236725.87461342997</v>
      </c>
      <c r="I22" s="17">
        <v>75656.56143101005</v>
      </c>
      <c r="J22" s="17">
        <v>218926.94729212002</v>
      </c>
      <c r="K22" s="17">
        <v>65568.341522239964</v>
      </c>
      <c r="L22" s="17">
        <v>124280.25369858996</v>
      </c>
      <c r="M22" s="17">
        <v>122364.43941504002</v>
      </c>
      <c r="N22" s="17">
        <v>101978.44740382003</v>
      </c>
      <c r="O22" s="17">
        <v>67975.485014850012</v>
      </c>
      <c r="P22" s="17">
        <v>66544.334528960011</v>
      </c>
      <c r="Q22" s="17">
        <v>273645.30770796002</v>
      </c>
      <c r="R22" s="17">
        <v>112530.71192852996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1576170.1639280401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236426.89238265998</v>
      </c>
      <c r="I23" s="17">
        <v>76023.018512130031</v>
      </c>
      <c r="J23" s="17">
        <v>224859.99440803</v>
      </c>
      <c r="K23" s="17">
        <v>65751.984955619992</v>
      </c>
      <c r="L23" s="17">
        <v>135477.54355050001</v>
      </c>
      <c r="M23" s="17">
        <v>142703.83403928002</v>
      </c>
      <c r="N23" s="17">
        <v>108225.81855698998</v>
      </c>
      <c r="O23" s="17">
        <v>69771.886699840019</v>
      </c>
      <c r="P23" s="17">
        <v>72573.761267970011</v>
      </c>
      <c r="Q23" s="17">
        <v>275187.19398369995</v>
      </c>
      <c r="R23" s="17">
        <v>123864.58555028995</v>
      </c>
      <c r="S23" s="17">
        <v>101260.06382616998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1632126.5777331798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77748.355577170034</v>
      </c>
      <c r="J24" s="17">
        <v>230492.23396360001</v>
      </c>
      <c r="K24" s="17">
        <v>78731.650807709972</v>
      </c>
      <c r="L24" s="17">
        <v>150467.01838106004</v>
      </c>
      <c r="M24" s="17">
        <v>155406.63396583995</v>
      </c>
      <c r="N24" s="17">
        <v>131307.43698563997</v>
      </c>
      <c r="O24" s="17">
        <v>72089.30496075</v>
      </c>
      <c r="P24" s="17">
        <v>78210.138469890007</v>
      </c>
      <c r="Q24" s="17">
        <v>287736.55058305996</v>
      </c>
      <c r="R24" s="17">
        <v>136254.43585406002</v>
      </c>
      <c r="S24" s="17">
        <v>106475.33654928002</v>
      </c>
      <c r="T24" s="17">
        <v>112160.58630506998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1617079.68240313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>
        <v>240650.09465491999</v>
      </c>
      <c r="K25" s="17">
        <v>80151.619871089977</v>
      </c>
      <c r="L25" s="17">
        <v>151116.24594696998</v>
      </c>
      <c r="M25" s="17">
        <v>169303.78408634994</v>
      </c>
      <c r="N25" s="17">
        <v>132861.69269755</v>
      </c>
      <c r="O25" s="17">
        <v>80989.699983870043</v>
      </c>
      <c r="P25" s="17">
        <v>90274.838985479975</v>
      </c>
      <c r="Q25" s="17">
        <v>290741.84883407003</v>
      </c>
      <c r="R25" s="17">
        <v>138932.13028186007</v>
      </c>
      <c r="S25" s="17">
        <v>122820.01112589</v>
      </c>
      <c r="T25" s="17">
        <v>116903.58917220001</v>
      </c>
      <c r="U25" s="17">
        <v>73852.353416270038</v>
      </c>
      <c r="V25" s="18"/>
      <c r="W25" s="18"/>
      <c r="X25" s="18"/>
      <c r="Y25" s="18"/>
      <c r="Z25" s="18"/>
      <c r="AA25" s="18"/>
      <c r="AB25" s="19"/>
      <c r="AC25" s="19">
        <f>+SUM(E25:AB25)</f>
        <v>1688597.9090565203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>
        <v>80581.863577439988</v>
      </c>
      <c r="L26" s="24">
        <v>151968.82423339997</v>
      </c>
      <c r="M26" s="17">
        <v>196498.61349056</v>
      </c>
      <c r="N26" s="17">
        <v>135615.00267238999</v>
      </c>
      <c r="O26" s="17">
        <v>94790.666116870081</v>
      </c>
      <c r="P26" s="17">
        <v>107122.02010366003</v>
      </c>
      <c r="Q26" s="17">
        <v>291661.36372723005</v>
      </c>
      <c r="R26" s="17">
        <v>138639.33902999002</v>
      </c>
      <c r="S26" s="17">
        <v>151806.97474607007</v>
      </c>
      <c r="T26" s="17">
        <v>119249.38211942</v>
      </c>
      <c r="U26" s="17">
        <v>87957.482628330021</v>
      </c>
      <c r="V26" s="17">
        <v>83644.681668489982</v>
      </c>
      <c r="W26" s="18"/>
      <c r="X26" s="18"/>
      <c r="Y26" s="18"/>
      <c r="Z26" s="18"/>
      <c r="AA26" s="18"/>
      <c r="AB26" s="19"/>
      <c r="AC26" s="19">
        <f t="shared" si="1"/>
        <v>1639536.2141138501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>
        <v>151733.18524036999</v>
      </c>
      <c r="M27" s="16">
        <v>201847.30348158992</v>
      </c>
      <c r="N27" s="17">
        <v>137096.08589926994</v>
      </c>
      <c r="O27" s="17">
        <v>94752.359192260075</v>
      </c>
      <c r="P27" s="17">
        <v>107256.38249769002</v>
      </c>
      <c r="Q27" s="17">
        <v>335812.20733934996</v>
      </c>
      <c r="R27" s="17">
        <v>138694.65289892</v>
      </c>
      <c r="S27" s="17">
        <v>163983.85836389012</v>
      </c>
      <c r="T27" s="17">
        <v>121150.96067475999</v>
      </c>
      <c r="U27" s="17">
        <v>87980.807946200017</v>
      </c>
      <c r="V27" s="17">
        <v>83851.474517029972</v>
      </c>
      <c r="W27" s="17">
        <v>83815.156723050022</v>
      </c>
      <c r="X27" s="18"/>
      <c r="Y27" s="18"/>
      <c r="Z27" s="18"/>
      <c r="AA27" s="18"/>
      <c r="AB27" s="19"/>
      <c r="AC27" s="19">
        <f t="shared" si="1"/>
        <v>1707974.4347743797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>
        <v>201464.47681145006</v>
      </c>
      <c r="N28" s="17">
        <v>137021.23721429991</v>
      </c>
      <c r="O28" s="17">
        <v>94861.560858850076</v>
      </c>
      <c r="P28" s="17">
        <v>107537.07230296</v>
      </c>
      <c r="Q28" s="17">
        <v>385605.50129974989</v>
      </c>
      <c r="R28" s="17">
        <v>152004.31074776006</v>
      </c>
      <c r="S28" s="17">
        <v>162800.75794442004</v>
      </c>
      <c r="T28" s="17">
        <v>120809.57902777003</v>
      </c>
      <c r="U28" s="17">
        <v>87505.812625250022</v>
      </c>
      <c r="V28" s="17">
        <v>98545.992897469972</v>
      </c>
      <c r="W28" s="17">
        <v>126967.06522748001</v>
      </c>
      <c r="X28" s="17">
        <v>112677.88351097003</v>
      </c>
      <c r="Y28" s="18"/>
      <c r="Z28" s="18"/>
      <c r="AA28" s="18"/>
      <c r="AB28" s="19"/>
      <c r="AC28" s="19">
        <f t="shared" si="1"/>
        <v>1787801.2504684301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>
        <v>137275.59348121998</v>
      </c>
      <c r="O29" s="17">
        <v>94948.06658947008</v>
      </c>
      <c r="P29" s="17">
        <v>107488.48858861001</v>
      </c>
      <c r="Q29" s="17">
        <v>403066.86469765997</v>
      </c>
      <c r="R29" s="17">
        <v>152653.97660786004</v>
      </c>
      <c r="S29" s="17">
        <v>192503.28350837002</v>
      </c>
      <c r="T29" s="17">
        <v>127151.55009565002</v>
      </c>
      <c r="U29" s="17">
        <v>90041.802048890007</v>
      </c>
      <c r="V29" s="17">
        <v>128250.02603455</v>
      </c>
      <c r="W29" s="17">
        <v>146005.60740368997</v>
      </c>
      <c r="X29" s="17">
        <v>114962.72040022</v>
      </c>
      <c r="Y29" s="17">
        <v>155739.76320108009</v>
      </c>
      <c r="Z29" s="18"/>
      <c r="AA29" s="18"/>
      <c r="AB29" s="19"/>
      <c r="AC29" s="19">
        <f t="shared" si="1"/>
        <v>1850087.74265727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>
        <v>95206.284686430081</v>
      </c>
      <c r="P30" s="17">
        <v>108959.56167503001</v>
      </c>
      <c r="Q30" s="17">
        <v>409303.93845049007</v>
      </c>
      <c r="R30" s="17">
        <v>153578.43090408004</v>
      </c>
      <c r="S30" s="17">
        <v>198073.67230484006</v>
      </c>
      <c r="T30" s="17">
        <v>157022.14418516995</v>
      </c>
      <c r="U30" s="17">
        <v>91658.569414750076</v>
      </c>
      <c r="V30" s="17">
        <v>145352.10459703003</v>
      </c>
      <c r="W30" s="17">
        <v>148960.87416401008</v>
      </c>
      <c r="X30" s="17">
        <v>116694.85470516003</v>
      </c>
      <c r="Y30" s="17">
        <v>164386.93894928996</v>
      </c>
      <c r="Z30" s="17">
        <v>126553.02593381001</v>
      </c>
      <c r="AA30" s="18"/>
      <c r="AB30" s="19"/>
      <c r="AC30" s="19">
        <f t="shared" si="1"/>
        <v>1915750.3999700905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>
        <v>109128.06968654004</v>
      </c>
      <c r="Q31" s="17">
        <v>409260.92622684996</v>
      </c>
      <c r="R31" s="17">
        <v>154082.01688901</v>
      </c>
      <c r="S31" s="17">
        <v>199487.62602220001</v>
      </c>
      <c r="T31" s="17">
        <v>166777.37952146999</v>
      </c>
      <c r="U31" s="17">
        <v>96511.49597956003</v>
      </c>
      <c r="V31" s="17">
        <v>159286.49931556001</v>
      </c>
      <c r="W31" s="17">
        <v>150844.69513523998</v>
      </c>
      <c r="X31" s="17">
        <v>117880.66906513998</v>
      </c>
      <c r="Y31" s="17">
        <v>170005.47235626</v>
      </c>
      <c r="Z31" s="17">
        <v>138630.80591319999</v>
      </c>
      <c r="AA31" s="17">
        <v>86062.069289060077</v>
      </c>
      <c r="AB31" s="26"/>
      <c r="AC31" s="64">
        <f t="shared" si="1"/>
        <v>1957957.7254000902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AC68"/>
  <sheetViews>
    <sheetView tabSelected="1" zoomScale="70" zoomScaleNormal="70" workbookViewId="0">
      <selection activeCell="Y34" sqref="Y34"/>
    </sheetView>
  </sheetViews>
  <sheetFormatPr defaultColWidth="10.7109375" defaultRowHeight="20.100000000000001" customHeight="1" x14ac:dyDescent="0.2"/>
  <cols>
    <col min="1" max="1" width="1.7109375" style="2" customWidth="1"/>
    <col min="2" max="3" width="10.7109375" style="2"/>
    <col min="4" max="4" width="15.7109375" style="2" customWidth="1"/>
    <col min="5" max="27" width="13.7109375" style="2" customWidth="1"/>
    <col min="28" max="28" width="11.7109375" style="2" customWidth="1"/>
    <col min="29" max="29" width="21.42578125" style="2" bestFit="1" customWidth="1"/>
    <col min="30" max="257" width="10.7109375" style="2"/>
    <col min="258" max="258" width="1.7109375" style="2" customWidth="1"/>
    <col min="259" max="260" width="10.7109375" style="2"/>
    <col min="261" max="261" width="15.7109375" style="2" customWidth="1"/>
    <col min="262" max="513" width="10.7109375" style="2"/>
    <col min="514" max="514" width="1.7109375" style="2" customWidth="1"/>
    <col min="515" max="516" width="10.7109375" style="2"/>
    <col min="517" max="517" width="15.7109375" style="2" customWidth="1"/>
    <col min="518" max="769" width="10.7109375" style="2"/>
    <col min="770" max="770" width="1.7109375" style="2" customWidth="1"/>
    <col min="771" max="772" width="10.7109375" style="2"/>
    <col min="773" max="773" width="15.7109375" style="2" customWidth="1"/>
    <col min="774" max="1025" width="10.7109375" style="2"/>
    <col min="1026" max="1026" width="1.7109375" style="2" customWidth="1"/>
    <col min="1027" max="1028" width="10.7109375" style="2"/>
    <col min="1029" max="1029" width="15.7109375" style="2" customWidth="1"/>
    <col min="1030" max="1281" width="10.7109375" style="2"/>
    <col min="1282" max="1282" width="1.7109375" style="2" customWidth="1"/>
    <col min="1283" max="1284" width="10.7109375" style="2"/>
    <col min="1285" max="1285" width="15.7109375" style="2" customWidth="1"/>
    <col min="1286" max="1537" width="10.7109375" style="2"/>
    <col min="1538" max="1538" width="1.7109375" style="2" customWidth="1"/>
    <col min="1539" max="1540" width="10.7109375" style="2"/>
    <col min="1541" max="1541" width="15.7109375" style="2" customWidth="1"/>
    <col min="1542" max="1793" width="10.7109375" style="2"/>
    <col min="1794" max="1794" width="1.7109375" style="2" customWidth="1"/>
    <col min="1795" max="1796" width="10.7109375" style="2"/>
    <col min="1797" max="1797" width="15.7109375" style="2" customWidth="1"/>
    <col min="1798" max="2049" width="10.7109375" style="2"/>
    <col min="2050" max="2050" width="1.7109375" style="2" customWidth="1"/>
    <col min="2051" max="2052" width="10.7109375" style="2"/>
    <col min="2053" max="2053" width="15.7109375" style="2" customWidth="1"/>
    <col min="2054" max="2305" width="10.7109375" style="2"/>
    <col min="2306" max="2306" width="1.7109375" style="2" customWidth="1"/>
    <col min="2307" max="2308" width="10.7109375" style="2"/>
    <col min="2309" max="2309" width="15.7109375" style="2" customWidth="1"/>
    <col min="2310" max="2561" width="10.7109375" style="2"/>
    <col min="2562" max="2562" width="1.7109375" style="2" customWidth="1"/>
    <col min="2563" max="2564" width="10.7109375" style="2"/>
    <col min="2565" max="2565" width="15.7109375" style="2" customWidth="1"/>
    <col min="2566" max="2817" width="10.7109375" style="2"/>
    <col min="2818" max="2818" width="1.7109375" style="2" customWidth="1"/>
    <col min="2819" max="2820" width="10.7109375" style="2"/>
    <col min="2821" max="2821" width="15.7109375" style="2" customWidth="1"/>
    <col min="2822" max="3073" width="10.7109375" style="2"/>
    <col min="3074" max="3074" width="1.7109375" style="2" customWidth="1"/>
    <col min="3075" max="3076" width="10.7109375" style="2"/>
    <col min="3077" max="3077" width="15.7109375" style="2" customWidth="1"/>
    <col min="3078" max="3329" width="10.7109375" style="2"/>
    <col min="3330" max="3330" width="1.7109375" style="2" customWidth="1"/>
    <col min="3331" max="3332" width="10.7109375" style="2"/>
    <col min="3333" max="3333" width="15.7109375" style="2" customWidth="1"/>
    <col min="3334" max="3585" width="10.7109375" style="2"/>
    <col min="3586" max="3586" width="1.7109375" style="2" customWidth="1"/>
    <col min="3587" max="3588" width="10.7109375" style="2"/>
    <col min="3589" max="3589" width="15.7109375" style="2" customWidth="1"/>
    <col min="3590" max="3841" width="10.7109375" style="2"/>
    <col min="3842" max="3842" width="1.7109375" style="2" customWidth="1"/>
    <col min="3843" max="3844" width="10.7109375" style="2"/>
    <col min="3845" max="3845" width="15.7109375" style="2" customWidth="1"/>
    <col min="3846" max="4097" width="10.7109375" style="2"/>
    <col min="4098" max="4098" width="1.7109375" style="2" customWidth="1"/>
    <col min="4099" max="4100" width="10.7109375" style="2"/>
    <col min="4101" max="4101" width="15.7109375" style="2" customWidth="1"/>
    <col min="4102" max="4353" width="10.7109375" style="2"/>
    <col min="4354" max="4354" width="1.7109375" style="2" customWidth="1"/>
    <col min="4355" max="4356" width="10.7109375" style="2"/>
    <col min="4357" max="4357" width="15.7109375" style="2" customWidth="1"/>
    <col min="4358" max="4609" width="10.7109375" style="2"/>
    <col min="4610" max="4610" width="1.7109375" style="2" customWidth="1"/>
    <col min="4611" max="4612" width="10.7109375" style="2"/>
    <col min="4613" max="4613" width="15.7109375" style="2" customWidth="1"/>
    <col min="4614" max="4865" width="10.7109375" style="2"/>
    <col min="4866" max="4866" width="1.7109375" style="2" customWidth="1"/>
    <col min="4867" max="4868" width="10.7109375" style="2"/>
    <col min="4869" max="4869" width="15.7109375" style="2" customWidth="1"/>
    <col min="4870" max="5121" width="10.7109375" style="2"/>
    <col min="5122" max="5122" width="1.7109375" style="2" customWidth="1"/>
    <col min="5123" max="5124" width="10.7109375" style="2"/>
    <col min="5125" max="5125" width="15.7109375" style="2" customWidth="1"/>
    <col min="5126" max="5377" width="10.7109375" style="2"/>
    <col min="5378" max="5378" width="1.7109375" style="2" customWidth="1"/>
    <col min="5379" max="5380" width="10.7109375" style="2"/>
    <col min="5381" max="5381" width="15.7109375" style="2" customWidth="1"/>
    <col min="5382" max="5633" width="10.7109375" style="2"/>
    <col min="5634" max="5634" width="1.7109375" style="2" customWidth="1"/>
    <col min="5635" max="5636" width="10.7109375" style="2"/>
    <col min="5637" max="5637" width="15.7109375" style="2" customWidth="1"/>
    <col min="5638" max="5889" width="10.7109375" style="2"/>
    <col min="5890" max="5890" width="1.7109375" style="2" customWidth="1"/>
    <col min="5891" max="5892" width="10.7109375" style="2"/>
    <col min="5893" max="5893" width="15.7109375" style="2" customWidth="1"/>
    <col min="5894" max="6145" width="10.7109375" style="2"/>
    <col min="6146" max="6146" width="1.7109375" style="2" customWidth="1"/>
    <col min="6147" max="6148" width="10.7109375" style="2"/>
    <col min="6149" max="6149" width="15.7109375" style="2" customWidth="1"/>
    <col min="6150" max="6401" width="10.7109375" style="2"/>
    <col min="6402" max="6402" width="1.7109375" style="2" customWidth="1"/>
    <col min="6403" max="6404" width="10.7109375" style="2"/>
    <col min="6405" max="6405" width="15.7109375" style="2" customWidth="1"/>
    <col min="6406" max="6657" width="10.7109375" style="2"/>
    <col min="6658" max="6658" width="1.7109375" style="2" customWidth="1"/>
    <col min="6659" max="6660" width="10.7109375" style="2"/>
    <col min="6661" max="6661" width="15.7109375" style="2" customWidth="1"/>
    <col min="6662" max="6913" width="10.7109375" style="2"/>
    <col min="6914" max="6914" width="1.7109375" style="2" customWidth="1"/>
    <col min="6915" max="6916" width="10.7109375" style="2"/>
    <col min="6917" max="6917" width="15.7109375" style="2" customWidth="1"/>
    <col min="6918" max="7169" width="10.7109375" style="2"/>
    <col min="7170" max="7170" width="1.7109375" style="2" customWidth="1"/>
    <col min="7171" max="7172" width="10.7109375" style="2"/>
    <col min="7173" max="7173" width="15.7109375" style="2" customWidth="1"/>
    <col min="7174" max="7425" width="10.7109375" style="2"/>
    <col min="7426" max="7426" width="1.7109375" style="2" customWidth="1"/>
    <col min="7427" max="7428" width="10.7109375" style="2"/>
    <col min="7429" max="7429" width="15.7109375" style="2" customWidth="1"/>
    <col min="7430" max="7681" width="10.7109375" style="2"/>
    <col min="7682" max="7682" width="1.7109375" style="2" customWidth="1"/>
    <col min="7683" max="7684" width="10.7109375" style="2"/>
    <col min="7685" max="7685" width="15.7109375" style="2" customWidth="1"/>
    <col min="7686" max="7937" width="10.7109375" style="2"/>
    <col min="7938" max="7938" width="1.7109375" style="2" customWidth="1"/>
    <col min="7939" max="7940" width="10.7109375" style="2"/>
    <col min="7941" max="7941" width="15.7109375" style="2" customWidth="1"/>
    <col min="7942" max="8193" width="10.7109375" style="2"/>
    <col min="8194" max="8194" width="1.7109375" style="2" customWidth="1"/>
    <col min="8195" max="8196" width="10.7109375" style="2"/>
    <col min="8197" max="8197" width="15.7109375" style="2" customWidth="1"/>
    <col min="8198" max="8449" width="10.7109375" style="2"/>
    <col min="8450" max="8450" width="1.7109375" style="2" customWidth="1"/>
    <col min="8451" max="8452" width="10.7109375" style="2"/>
    <col min="8453" max="8453" width="15.7109375" style="2" customWidth="1"/>
    <col min="8454" max="8705" width="10.7109375" style="2"/>
    <col min="8706" max="8706" width="1.7109375" style="2" customWidth="1"/>
    <col min="8707" max="8708" width="10.7109375" style="2"/>
    <col min="8709" max="8709" width="15.7109375" style="2" customWidth="1"/>
    <col min="8710" max="8961" width="10.7109375" style="2"/>
    <col min="8962" max="8962" width="1.7109375" style="2" customWidth="1"/>
    <col min="8963" max="8964" width="10.7109375" style="2"/>
    <col min="8965" max="8965" width="15.7109375" style="2" customWidth="1"/>
    <col min="8966" max="9217" width="10.7109375" style="2"/>
    <col min="9218" max="9218" width="1.7109375" style="2" customWidth="1"/>
    <col min="9219" max="9220" width="10.7109375" style="2"/>
    <col min="9221" max="9221" width="15.7109375" style="2" customWidth="1"/>
    <col min="9222" max="9473" width="10.7109375" style="2"/>
    <col min="9474" max="9474" width="1.7109375" style="2" customWidth="1"/>
    <col min="9475" max="9476" width="10.7109375" style="2"/>
    <col min="9477" max="9477" width="15.7109375" style="2" customWidth="1"/>
    <col min="9478" max="9729" width="10.7109375" style="2"/>
    <col min="9730" max="9730" width="1.7109375" style="2" customWidth="1"/>
    <col min="9731" max="9732" width="10.7109375" style="2"/>
    <col min="9733" max="9733" width="15.7109375" style="2" customWidth="1"/>
    <col min="9734" max="9985" width="10.7109375" style="2"/>
    <col min="9986" max="9986" width="1.7109375" style="2" customWidth="1"/>
    <col min="9987" max="9988" width="10.7109375" style="2"/>
    <col min="9989" max="9989" width="15.7109375" style="2" customWidth="1"/>
    <col min="9990" max="10241" width="10.7109375" style="2"/>
    <col min="10242" max="10242" width="1.7109375" style="2" customWidth="1"/>
    <col min="10243" max="10244" width="10.7109375" style="2"/>
    <col min="10245" max="10245" width="15.7109375" style="2" customWidth="1"/>
    <col min="10246" max="10497" width="10.7109375" style="2"/>
    <col min="10498" max="10498" width="1.7109375" style="2" customWidth="1"/>
    <col min="10499" max="10500" width="10.7109375" style="2"/>
    <col min="10501" max="10501" width="15.7109375" style="2" customWidth="1"/>
    <col min="10502" max="10753" width="10.7109375" style="2"/>
    <col min="10754" max="10754" width="1.7109375" style="2" customWidth="1"/>
    <col min="10755" max="10756" width="10.7109375" style="2"/>
    <col min="10757" max="10757" width="15.7109375" style="2" customWidth="1"/>
    <col min="10758" max="11009" width="10.7109375" style="2"/>
    <col min="11010" max="11010" width="1.7109375" style="2" customWidth="1"/>
    <col min="11011" max="11012" width="10.7109375" style="2"/>
    <col min="11013" max="11013" width="15.7109375" style="2" customWidth="1"/>
    <col min="11014" max="11265" width="10.7109375" style="2"/>
    <col min="11266" max="11266" width="1.7109375" style="2" customWidth="1"/>
    <col min="11267" max="11268" width="10.7109375" style="2"/>
    <col min="11269" max="11269" width="15.7109375" style="2" customWidth="1"/>
    <col min="11270" max="11521" width="10.7109375" style="2"/>
    <col min="11522" max="11522" width="1.7109375" style="2" customWidth="1"/>
    <col min="11523" max="11524" width="10.7109375" style="2"/>
    <col min="11525" max="11525" width="15.7109375" style="2" customWidth="1"/>
    <col min="11526" max="11777" width="10.7109375" style="2"/>
    <col min="11778" max="11778" width="1.7109375" style="2" customWidth="1"/>
    <col min="11779" max="11780" width="10.7109375" style="2"/>
    <col min="11781" max="11781" width="15.7109375" style="2" customWidth="1"/>
    <col min="11782" max="12033" width="10.7109375" style="2"/>
    <col min="12034" max="12034" width="1.7109375" style="2" customWidth="1"/>
    <col min="12035" max="12036" width="10.7109375" style="2"/>
    <col min="12037" max="12037" width="15.7109375" style="2" customWidth="1"/>
    <col min="12038" max="12289" width="10.7109375" style="2"/>
    <col min="12290" max="12290" width="1.7109375" style="2" customWidth="1"/>
    <col min="12291" max="12292" width="10.7109375" style="2"/>
    <col min="12293" max="12293" width="15.7109375" style="2" customWidth="1"/>
    <col min="12294" max="12545" width="10.7109375" style="2"/>
    <col min="12546" max="12546" width="1.7109375" style="2" customWidth="1"/>
    <col min="12547" max="12548" width="10.7109375" style="2"/>
    <col min="12549" max="12549" width="15.7109375" style="2" customWidth="1"/>
    <col min="12550" max="12801" width="10.7109375" style="2"/>
    <col min="12802" max="12802" width="1.7109375" style="2" customWidth="1"/>
    <col min="12803" max="12804" width="10.7109375" style="2"/>
    <col min="12805" max="12805" width="15.7109375" style="2" customWidth="1"/>
    <col min="12806" max="13057" width="10.7109375" style="2"/>
    <col min="13058" max="13058" width="1.7109375" style="2" customWidth="1"/>
    <col min="13059" max="13060" width="10.7109375" style="2"/>
    <col min="13061" max="13061" width="15.7109375" style="2" customWidth="1"/>
    <col min="13062" max="13313" width="10.7109375" style="2"/>
    <col min="13314" max="13314" width="1.7109375" style="2" customWidth="1"/>
    <col min="13315" max="13316" width="10.7109375" style="2"/>
    <col min="13317" max="13317" width="15.7109375" style="2" customWidth="1"/>
    <col min="13318" max="13569" width="10.7109375" style="2"/>
    <col min="13570" max="13570" width="1.7109375" style="2" customWidth="1"/>
    <col min="13571" max="13572" width="10.7109375" style="2"/>
    <col min="13573" max="13573" width="15.7109375" style="2" customWidth="1"/>
    <col min="13574" max="13825" width="10.7109375" style="2"/>
    <col min="13826" max="13826" width="1.7109375" style="2" customWidth="1"/>
    <col min="13827" max="13828" width="10.7109375" style="2"/>
    <col min="13829" max="13829" width="15.7109375" style="2" customWidth="1"/>
    <col min="13830" max="14081" width="10.7109375" style="2"/>
    <col min="14082" max="14082" width="1.7109375" style="2" customWidth="1"/>
    <col min="14083" max="14084" width="10.7109375" style="2"/>
    <col min="14085" max="14085" width="15.7109375" style="2" customWidth="1"/>
    <col min="14086" max="14337" width="10.7109375" style="2"/>
    <col min="14338" max="14338" width="1.7109375" style="2" customWidth="1"/>
    <col min="14339" max="14340" width="10.7109375" style="2"/>
    <col min="14341" max="14341" width="15.7109375" style="2" customWidth="1"/>
    <col min="14342" max="14593" width="10.7109375" style="2"/>
    <col min="14594" max="14594" width="1.7109375" style="2" customWidth="1"/>
    <col min="14595" max="14596" width="10.7109375" style="2"/>
    <col min="14597" max="14597" width="15.7109375" style="2" customWidth="1"/>
    <col min="14598" max="14849" width="10.7109375" style="2"/>
    <col min="14850" max="14850" width="1.7109375" style="2" customWidth="1"/>
    <col min="14851" max="14852" width="10.7109375" style="2"/>
    <col min="14853" max="14853" width="15.7109375" style="2" customWidth="1"/>
    <col min="14854" max="15105" width="10.7109375" style="2"/>
    <col min="15106" max="15106" width="1.7109375" style="2" customWidth="1"/>
    <col min="15107" max="15108" width="10.7109375" style="2"/>
    <col min="15109" max="15109" width="15.7109375" style="2" customWidth="1"/>
    <col min="15110" max="15361" width="10.7109375" style="2"/>
    <col min="15362" max="15362" width="1.7109375" style="2" customWidth="1"/>
    <col min="15363" max="15364" width="10.7109375" style="2"/>
    <col min="15365" max="15365" width="15.7109375" style="2" customWidth="1"/>
    <col min="15366" max="15617" width="10.7109375" style="2"/>
    <col min="15618" max="15618" width="1.7109375" style="2" customWidth="1"/>
    <col min="15619" max="15620" width="10.7109375" style="2"/>
    <col min="15621" max="15621" width="15.7109375" style="2" customWidth="1"/>
    <col min="15622" max="15873" width="10.7109375" style="2"/>
    <col min="15874" max="15874" width="1.7109375" style="2" customWidth="1"/>
    <col min="15875" max="15876" width="10.7109375" style="2"/>
    <col min="15877" max="15877" width="15.7109375" style="2" customWidth="1"/>
    <col min="15878" max="16129" width="10.7109375" style="2"/>
    <col min="16130" max="16130" width="1.7109375" style="2" customWidth="1"/>
    <col min="16131" max="16132" width="10.7109375" style="2"/>
    <col min="16133" max="16133" width="15.7109375" style="2" customWidth="1"/>
    <col min="16134" max="16384" width="10.7109375" style="2"/>
  </cols>
  <sheetData>
    <row r="2" spans="2:29" ht="20.100000000000001" customHeight="1" x14ac:dyDescent="0.25">
      <c r="B2" s="1" t="s">
        <v>18</v>
      </c>
      <c r="M2" s="31"/>
    </row>
    <row r="4" spans="2:29" ht="20.100000000000001" customHeight="1" x14ac:dyDescent="0.2">
      <c r="B4" s="75" t="s">
        <v>16</v>
      </c>
      <c r="C4" s="76"/>
      <c r="D4" s="77"/>
      <c r="E4" s="81" t="s">
        <v>0</v>
      </c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3"/>
    </row>
    <row r="5" spans="2:29" ht="20.100000000000001" customHeight="1" x14ac:dyDescent="0.2">
      <c r="B5" s="78"/>
      <c r="C5" s="79"/>
      <c r="D5" s="80"/>
      <c r="E5" s="81">
        <v>2026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3"/>
      <c r="Q5" s="81">
        <f>+E5+1</f>
        <v>2027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</row>
    <row r="6" spans="2:29" ht="20.100000000000001" customHeight="1" x14ac:dyDescent="0.2">
      <c r="B6" s="81" t="s">
        <v>1</v>
      </c>
      <c r="C6" s="82"/>
      <c r="D6" s="83"/>
      <c r="E6" s="35" t="s">
        <v>2</v>
      </c>
      <c r="F6" s="35" t="s">
        <v>3</v>
      </c>
      <c r="G6" s="35" t="s">
        <v>4</v>
      </c>
      <c r="H6" s="35" t="s">
        <v>5</v>
      </c>
      <c r="I6" s="35" t="s">
        <v>6</v>
      </c>
      <c r="J6" s="35" t="s">
        <v>7</v>
      </c>
      <c r="K6" s="35" t="s">
        <v>8</v>
      </c>
      <c r="L6" s="35" t="s">
        <v>9</v>
      </c>
      <c r="M6" s="35" t="s">
        <v>10</v>
      </c>
      <c r="N6" s="35" t="s">
        <v>11</v>
      </c>
      <c r="O6" s="35" t="s">
        <v>12</v>
      </c>
      <c r="P6" s="35" t="s">
        <v>13</v>
      </c>
      <c r="Q6" s="35" t="s">
        <v>2</v>
      </c>
      <c r="R6" s="35" t="s">
        <v>3</v>
      </c>
      <c r="S6" s="35" t="s">
        <v>4</v>
      </c>
      <c r="T6" s="35" t="s">
        <v>5</v>
      </c>
      <c r="U6" s="35" t="s">
        <v>6</v>
      </c>
      <c r="V6" s="35" t="s">
        <v>7</v>
      </c>
      <c r="W6" s="35" t="s">
        <v>8</v>
      </c>
      <c r="X6" s="35" t="s">
        <v>9</v>
      </c>
      <c r="Y6" s="35" t="s">
        <v>10</v>
      </c>
      <c r="Z6" s="35" t="s">
        <v>11</v>
      </c>
      <c r="AA6" s="35" t="s">
        <v>12</v>
      </c>
      <c r="AB6" s="35" t="s">
        <v>13</v>
      </c>
      <c r="AC6" s="57" t="s">
        <v>22</v>
      </c>
    </row>
    <row r="7" spans="2:29" ht="20.100000000000001" customHeight="1" x14ac:dyDescent="0.2">
      <c r="B7" s="84" t="s">
        <v>14</v>
      </c>
      <c r="C7" s="85">
        <v>2026</v>
      </c>
      <c r="D7" s="3" t="s">
        <v>2</v>
      </c>
      <c r="E7" s="16">
        <v>201751.44381711999</v>
      </c>
      <c r="F7" s="17">
        <v>467323.36184590991</v>
      </c>
      <c r="G7" s="17">
        <v>169185.45949534999</v>
      </c>
      <c r="H7" s="17">
        <v>270468.57253572001</v>
      </c>
      <c r="I7" s="17">
        <v>220101.88721061999</v>
      </c>
      <c r="J7" s="17">
        <v>364057.06875103002</v>
      </c>
      <c r="K7" s="17">
        <v>335664.68284467002</v>
      </c>
      <c r="L7" s="17">
        <v>447319.29813599994</v>
      </c>
      <c r="M7" s="17">
        <v>56569.837118999996</v>
      </c>
      <c r="N7" s="17">
        <v>164024.05105404003</v>
      </c>
      <c r="O7" s="17">
        <v>29578.698033000001</v>
      </c>
      <c r="P7" s="17">
        <v>1469.011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9"/>
      <c r="AC7" s="19">
        <f t="shared" ref="AC7:AC18" si="0">+SUM(E7:AB7)</f>
        <v>2727513.3718424598</v>
      </c>
    </row>
    <row r="8" spans="2:29" ht="20.100000000000001" customHeight="1" x14ac:dyDescent="0.2">
      <c r="B8" s="71"/>
      <c r="C8" s="73"/>
      <c r="D8" s="3" t="s">
        <v>3</v>
      </c>
      <c r="E8" s="20"/>
      <c r="F8" s="17">
        <v>510007.85443849995</v>
      </c>
      <c r="G8" s="17">
        <v>190353.95214926999</v>
      </c>
      <c r="H8" s="17">
        <v>289864.55584420002</v>
      </c>
      <c r="I8" s="17">
        <v>245708.20589158003</v>
      </c>
      <c r="J8" s="17">
        <v>379041.50737121998</v>
      </c>
      <c r="K8" s="17">
        <v>349838.05725655996</v>
      </c>
      <c r="L8" s="17">
        <v>449293.27605599997</v>
      </c>
      <c r="M8" s="17">
        <v>56569.837118999996</v>
      </c>
      <c r="N8" s="17">
        <v>189238.97439019001</v>
      </c>
      <c r="O8" s="17">
        <v>29578.698033000001</v>
      </c>
      <c r="P8" s="17">
        <v>1469.011</v>
      </c>
      <c r="Q8" s="17">
        <v>210757.12636192999</v>
      </c>
      <c r="R8" s="18"/>
      <c r="S8" s="18"/>
      <c r="T8" s="18"/>
      <c r="U8" s="18"/>
      <c r="V8" s="18"/>
      <c r="W8" s="18"/>
      <c r="X8" s="18"/>
      <c r="Y8" s="18"/>
      <c r="Z8" s="18"/>
      <c r="AA8" s="18"/>
      <c r="AB8" s="19"/>
      <c r="AC8" s="19">
        <f>+SUM(E8:AB8)</f>
        <v>2901721.0559114497</v>
      </c>
    </row>
    <row r="9" spans="2:29" ht="20.100000000000001" customHeight="1" x14ac:dyDescent="0.2">
      <c r="B9" s="71"/>
      <c r="C9" s="73"/>
      <c r="D9" s="3" t="s">
        <v>4</v>
      </c>
      <c r="E9" s="20"/>
      <c r="F9" s="20"/>
      <c r="G9" s="17">
        <v>195199.67104669</v>
      </c>
      <c r="H9" s="17">
        <v>294894.12643870997</v>
      </c>
      <c r="I9" s="17">
        <v>251755.35251443999</v>
      </c>
      <c r="J9" s="17">
        <v>382471.62299522996</v>
      </c>
      <c r="K9" s="17">
        <v>355114.67776948999</v>
      </c>
      <c r="L9" s="17">
        <v>451182.53742359998</v>
      </c>
      <c r="M9" s="17">
        <v>56569.837118999996</v>
      </c>
      <c r="N9" s="17">
        <v>195010.96923672</v>
      </c>
      <c r="O9" s="17">
        <v>29578.698033000001</v>
      </c>
      <c r="P9" s="17">
        <v>1469.011</v>
      </c>
      <c r="Q9" s="17">
        <v>236338.92188626001</v>
      </c>
      <c r="R9" s="17">
        <v>299287.64249039994</v>
      </c>
      <c r="S9" s="18"/>
      <c r="T9" s="18"/>
      <c r="U9" s="18"/>
      <c r="V9" s="18"/>
      <c r="W9" s="18"/>
      <c r="X9" s="18"/>
      <c r="Y9" s="18"/>
      <c r="Z9" s="18"/>
      <c r="AA9" s="18"/>
      <c r="AB9" s="19"/>
      <c r="AC9" s="19">
        <f t="shared" si="0"/>
        <v>2748873.06795354</v>
      </c>
    </row>
    <row r="10" spans="2:29" ht="20.100000000000001" customHeight="1" x14ac:dyDescent="0.2">
      <c r="B10" s="71"/>
      <c r="C10" s="73"/>
      <c r="D10" s="3" t="s">
        <v>5</v>
      </c>
      <c r="E10" s="55"/>
      <c r="F10" s="55"/>
      <c r="G10" s="55"/>
      <c r="H10" s="17">
        <v>280656.30844752997</v>
      </c>
      <c r="I10" s="17">
        <v>231635.04161381998</v>
      </c>
      <c r="J10" s="17">
        <v>370197.10212858004</v>
      </c>
      <c r="K10" s="17">
        <v>349193.03981255007</v>
      </c>
      <c r="L10" s="17">
        <v>453589.1455043999</v>
      </c>
      <c r="M10" s="17">
        <v>56569.837118999996</v>
      </c>
      <c r="N10" s="17">
        <v>174356.13454549</v>
      </c>
      <c r="O10" s="17">
        <v>29578.698033000001</v>
      </c>
      <c r="P10" s="17">
        <v>1469.011</v>
      </c>
      <c r="Q10" s="17">
        <v>255528.06309643001</v>
      </c>
      <c r="R10" s="17">
        <v>300337.42457759992</v>
      </c>
      <c r="S10" s="17">
        <v>46997.471685999997</v>
      </c>
      <c r="T10" s="18"/>
      <c r="U10" s="18"/>
      <c r="V10" s="18"/>
      <c r="W10" s="18"/>
      <c r="X10" s="18"/>
      <c r="Y10" s="18"/>
      <c r="Z10" s="18"/>
      <c r="AA10" s="18"/>
      <c r="AB10" s="19"/>
      <c r="AC10" s="19">
        <f t="shared" si="0"/>
        <v>2550107.2775643999</v>
      </c>
    </row>
    <row r="11" spans="2:29" ht="20.100000000000001" customHeight="1" x14ac:dyDescent="0.2">
      <c r="B11" s="71"/>
      <c r="C11" s="73"/>
      <c r="D11" s="3" t="s">
        <v>6</v>
      </c>
      <c r="E11" s="20"/>
      <c r="F11" s="20"/>
      <c r="G11" s="20"/>
      <c r="H11" s="20"/>
      <c r="I11" s="17">
        <v>236068.60869739996</v>
      </c>
      <c r="J11" s="17">
        <v>372300.92428264004</v>
      </c>
      <c r="K11" s="17">
        <v>354291.26568317006</v>
      </c>
      <c r="L11" s="17">
        <v>456064.84281239996</v>
      </c>
      <c r="M11" s="17">
        <v>56569.837118999996</v>
      </c>
      <c r="N11" s="17">
        <v>177896.32151361002</v>
      </c>
      <c r="O11" s="17">
        <v>29578.698033000001</v>
      </c>
      <c r="P11" s="17">
        <v>1469.011</v>
      </c>
      <c r="Q11" s="17">
        <v>258380.07998883</v>
      </c>
      <c r="R11" s="17">
        <v>301417.34394960001</v>
      </c>
      <c r="S11" s="17">
        <v>71107.44281239</v>
      </c>
      <c r="T11" s="17">
        <v>149628.49334170003</v>
      </c>
      <c r="U11" s="18"/>
      <c r="V11" s="18"/>
      <c r="W11" s="18"/>
      <c r="X11" s="18"/>
      <c r="Y11" s="18"/>
      <c r="Z11" s="18"/>
      <c r="AA11" s="18"/>
      <c r="AB11" s="19"/>
      <c r="AC11" s="19">
        <f t="shared" si="0"/>
        <v>2464772.8692337405</v>
      </c>
    </row>
    <row r="12" spans="2:29" ht="20.100000000000001" customHeight="1" x14ac:dyDescent="0.2">
      <c r="B12" s="71"/>
      <c r="C12" s="73"/>
      <c r="D12" s="3" t="s">
        <v>7</v>
      </c>
      <c r="E12" s="20"/>
      <c r="F12" s="20"/>
      <c r="G12" s="20"/>
      <c r="H12" s="20"/>
      <c r="I12" s="20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8"/>
      <c r="W12" s="18"/>
      <c r="X12" s="18"/>
      <c r="Y12" s="18"/>
      <c r="Z12" s="18"/>
      <c r="AA12" s="18"/>
      <c r="AB12" s="19"/>
      <c r="AC12" s="19">
        <f t="shared" si="0"/>
        <v>0</v>
      </c>
    </row>
    <row r="13" spans="2:29" ht="20.100000000000001" customHeight="1" x14ac:dyDescent="0.2">
      <c r="B13" s="71"/>
      <c r="C13" s="73"/>
      <c r="D13" s="3" t="s">
        <v>8</v>
      </c>
      <c r="E13" s="20"/>
      <c r="F13" s="20"/>
      <c r="G13" s="20"/>
      <c r="H13" s="20"/>
      <c r="I13" s="20"/>
      <c r="J13" s="20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18"/>
      <c r="Y13" s="18"/>
      <c r="Z13" s="18"/>
      <c r="AA13" s="18"/>
      <c r="AB13" s="19"/>
      <c r="AC13" s="19">
        <f t="shared" si="0"/>
        <v>0</v>
      </c>
    </row>
    <row r="14" spans="2:29" ht="20.100000000000001" customHeight="1" x14ac:dyDescent="0.2">
      <c r="B14" s="71"/>
      <c r="C14" s="73"/>
      <c r="D14" s="3" t="s">
        <v>9</v>
      </c>
      <c r="E14" s="20"/>
      <c r="F14" s="20"/>
      <c r="G14" s="20"/>
      <c r="H14" s="20"/>
      <c r="I14" s="20"/>
      <c r="J14" s="20"/>
      <c r="K14" s="20"/>
      <c r="L14" s="17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8"/>
      <c r="Y14" s="18"/>
      <c r="Z14" s="18"/>
      <c r="AA14" s="18"/>
      <c r="AB14" s="19"/>
      <c r="AC14" s="19">
        <f t="shared" si="0"/>
        <v>0</v>
      </c>
    </row>
    <row r="15" spans="2:29" ht="20.100000000000001" customHeight="1" x14ac:dyDescent="0.2">
      <c r="B15" s="71"/>
      <c r="C15" s="73"/>
      <c r="D15" s="3" t="s">
        <v>10</v>
      </c>
      <c r="E15" s="20"/>
      <c r="F15" s="20"/>
      <c r="G15" s="20"/>
      <c r="H15" s="20"/>
      <c r="I15" s="20"/>
      <c r="J15" s="20"/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  <c r="Z15" s="18"/>
      <c r="AA15" s="18"/>
      <c r="AB15" s="19"/>
      <c r="AC15" s="19">
        <f t="shared" si="0"/>
        <v>0</v>
      </c>
    </row>
    <row r="16" spans="2:29" ht="20.100000000000001" customHeight="1" x14ac:dyDescent="0.2">
      <c r="B16" s="71"/>
      <c r="C16" s="73"/>
      <c r="D16" s="3" t="s">
        <v>11</v>
      </c>
      <c r="E16" s="20"/>
      <c r="F16" s="20"/>
      <c r="G16" s="20"/>
      <c r="H16" s="20"/>
      <c r="I16" s="20"/>
      <c r="J16" s="20"/>
      <c r="K16" s="20"/>
      <c r="L16" s="20"/>
      <c r="M16" s="18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37"/>
      <c r="Z16" s="18"/>
      <c r="AA16" s="18"/>
      <c r="AB16" s="19"/>
      <c r="AC16" s="19">
        <f t="shared" si="0"/>
        <v>0</v>
      </c>
    </row>
    <row r="17" spans="2:29" ht="19.5" customHeight="1" x14ac:dyDescent="0.2">
      <c r="B17" s="71"/>
      <c r="C17" s="73"/>
      <c r="D17" s="3" t="s">
        <v>12</v>
      </c>
      <c r="E17" s="20"/>
      <c r="F17" s="20"/>
      <c r="G17" s="20"/>
      <c r="H17" s="20"/>
      <c r="I17" s="20"/>
      <c r="J17" s="20"/>
      <c r="K17" s="20"/>
      <c r="L17" s="20"/>
      <c r="M17" s="18"/>
      <c r="N17" s="18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  <c r="AB17" s="19"/>
      <c r="AC17" s="19">
        <f t="shared" si="0"/>
        <v>0</v>
      </c>
    </row>
    <row r="18" spans="2:29" ht="19.5" customHeight="1" x14ac:dyDescent="0.2">
      <c r="B18" s="71"/>
      <c r="C18" s="73"/>
      <c r="D18" s="3" t="s">
        <v>13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9"/>
      <c r="AC18" s="19">
        <f t="shared" si="0"/>
        <v>0</v>
      </c>
    </row>
    <row r="19" spans="2:29" ht="9.9499999999999993" customHeight="1" x14ac:dyDescent="0.2">
      <c r="B19" s="69"/>
      <c r="C19" s="70"/>
      <c r="D19" s="4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3"/>
      <c r="AC19" s="58"/>
    </row>
    <row r="20" spans="2:29" ht="20.100000000000001" customHeight="1" x14ac:dyDescent="0.2">
      <c r="B20" s="71" t="s">
        <v>15</v>
      </c>
      <c r="C20" s="73">
        <v>2026</v>
      </c>
      <c r="D20" s="3" t="s">
        <v>2</v>
      </c>
      <c r="E20" s="17">
        <v>408687.95832792984</v>
      </c>
      <c r="F20" s="17">
        <v>154252.76934549</v>
      </c>
      <c r="G20" s="17">
        <v>199460.57587010995</v>
      </c>
      <c r="H20" s="17">
        <v>177613.18547180993</v>
      </c>
      <c r="I20" s="17">
        <v>96506.075082810028</v>
      </c>
      <c r="J20" s="17">
        <v>172138.72985558992</v>
      </c>
      <c r="K20" s="17">
        <v>150658.83146441993</v>
      </c>
      <c r="L20" s="17">
        <v>117697.48426780998</v>
      </c>
      <c r="M20" s="56">
        <v>169184.48755883003</v>
      </c>
      <c r="N20" s="56">
        <v>148884.74431511</v>
      </c>
      <c r="O20" s="17">
        <v>85790.472815060071</v>
      </c>
      <c r="P20" s="17">
        <v>89190.727307259978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9"/>
      <c r="AC20" s="19">
        <f t="shared" ref="AC20:AC31" si="1">+SUM(E20:AB20)</f>
        <v>1970066.0416822294</v>
      </c>
    </row>
    <row r="21" spans="2:29" ht="20.100000000000001" customHeight="1" x14ac:dyDescent="0.2">
      <c r="B21" s="71"/>
      <c r="C21" s="73"/>
      <c r="D21" s="3" t="s">
        <v>3</v>
      </c>
      <c r="E21" s="20"/>
      <c r="F21" s="17">
        <v>154703.37479485001</v>
      </c>
      <c r="G21" s="17">
        <v>201438.28284901002</v>
      </c>
      <c r="H21" s="17">
        <v>198208.12639485992</v>
      </c>
      <c r="I21" s="17">
        <v>96681.912318310016</v>
      </c>
      <c r="J21" s="17">
        <v>172295.77237171988</v>
      </c>
      <c r="K21" s="17">
        <v>176409.42552931997</v>
      </c>
      <c r="L21" s="17">
        <v>117661.54633802999</v>
      </c>
      <c r="M21" s="17">
        <v>171276.08910003997</v>
      </c>
      <c r="N21" s="17">
        <v>169458.02362211994</v>
      </c>
      <c r="O21" s="17">
        <v>86111.41236880004</v>
      </c>
      <c r="P21" s="17">
        <v>90688.666442129994</v>
      </c>
      <c r="Q21" s="17">
        <v>241965.31342922003</v>
      </c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9"/>
      <c r="AC21" s="19">
        <f>+SUM(E21:AB21)</f>
        <v>1876897.9455584099</v>
      </c>
    </row>
    <row r="22" spans="2:29" ht="20.100000000000001" customHeight="1" x14ac:dyDescent="0.2">
      <c r="B22" s="71"/>
      <c r="C22" s="73"/>
      <c r="D22" s="3" t="s">
        <v>4</v>
      </c>
      <c r="E22" s="20"/>
      <c r="F22" s="20"/>
      <c r="G22" s="17">
        <v>201607.36894732001</v>
      </c>
      <c r="H22" s="17">
        <v>217344.34494657986</v>
      </c>
      <c r="I22" s="17">
        <v>96926.651126190016</v>
      </c>
      <c r="J22" s="17">
        <v>173264.09595171991</v>
      </c>
      <c r="K22" s="17">
        <v>190415.81448924</v>
      </c>
      <c r="L22" s="17">
        <v>125280.08997921001</v>
      </c>
      <c r="M22" s="17">
        <v>172037.7914247</v>
      </c>
      <c r="N22" s="17">
        <v>188384.23505870995</v>
      </c>
      <c r="O22" s="17">
        <v>86172.01958353004</v>
      </c>
      <c r="P22" s="17">
        <v>90972.961805019979</v>
      </c>
      <c r="Q22" s="17">
        <v>261128.99391321003</v>
      </c>
      <c r="R22" s="17">
        <v>71357.458803879985</v>
      </c>
      <c r="S22" s="18"/>
      <c r="T22" s="18"/>
      <c r="U22" s="18"/>
      <c r="V22" s="18"/>
      <c r="W22" s="18"/>
      <c r="X22" s="18"/>
      <c r="Y22" s="18"/>
      <c r="Z22" s="18"/>
      <c r="AA22" s="18"/>
      <c r="AB22" s="19"/>
      <c r="AC22" s="19">
        <f t="shared" si="1"/>
        <v>1874891.8260293098</v>
      </c>
    </row>
    <row r="23" spans="2:29" ht="20.100000000000001" customHeight="1" x14ac:dyDescent="0.2">
      <c r="B23" s="71"/>
      <c r="C23" s="73"/>
      <c r="D23" s="3" t="s">
        <v>5</v>
      </c>
      <c r="E23" s="20"/>
      <c r="F23" s="20"/>
      <c r="G23" s="20"/>
      <c r="H23" s="17">
        <v>223047.50431445989</v>
      </c>
      <c r="I23" s="17">
        <v>98509.287976160049</v>
      </c>
      <c r="J23" s="17">
        <v>181286.35563778988</v>
      </c>
      <c r="K23" s="17">
        <v>205353.0511978601</v>
      </c>
      <c r="L23" s="17">
        <v>127755.84741207998</v>
      </c>
      <c r="M23" s="17">
        <v>191285.07968072998</v>
      </c>
      <c r="N23" s="17">
        <v>199657.93916031995</v>
      </c>
      <c r="O23" s="17">
        <v>89690.001748160037</v>
      </c>
      <c r="P23" s="17">
        <v>102555.35785121995</v>
      </c>
      <c r="Q23" s="17">
        <v>295492.31905707991</v>
      </c>
      <c r="R23" s="17">
        <v>73614.960190640006</v>
      </c>
      <c r="S23" s="17">
        <v>169871.89614101007</v>
      </c>
      <c r="T23" s="18"/>
      <c r="U23" s="18"/>
      <c r="V23" s="18"/>
      <c r="W23" s="18"/>
      <c r="X23" s="18"/>
      <c r="Y23" s="18"/>
      <c r="Z23" s="18"/>
      <c r="AA23" s="18"/>
      <c r="AB23" s="19"/>
      <c r="AC23" s="19">
        <f t="shared" si="1"/>
        <v>1958119.6003675098</v>
      </c>
    </row>
    <row r="24" spans="2:29" ht="20.100000000000001" customHeight="1" x14ac:dyDescent="0.2">
      <c r="B24" s="71"/>
      <c r="C24" s="73"/>
      <c r="D24" s="3" t="s">
        <v>6</v>
      </c>
      <c r="E24" s="20"/>
      <c r="F24" s="20"/>
      <c r="G24" s="20"/>
      <c r="H24" s="20"/>
      <c r="I24" s="17">
        <v>98558.906810200031</v>
      </c>
      <c r="J24" s="17">
        <v>181062.52456566991</v>
      </c>
      <c r="K24" s="17">
        <v>227549.74686437004</v>
      </c>
      <c r="L24" s="17">
        <v>127323.53018282</v>
      </c>
      <c r="M24" s="17">
        <v>194405.72737987994</v>
      </c>
      <c r="N24" s="17">
        <v>210184.26678793007</v>
      </c>
      <c r="O24" s="17">
        <v>90557.099526300022</v>
      </c>
      <c r="P24" s="17">
        <v>103922.23699087997</v>
      </c>
      <c r="Q24" s="17">
        <v>318527.65369443008</v>
      </c>
      <c r="R24" s="17">
        <v>74416.122109249991</v>
      </c>
      <c r="S24" s="17">
        <v>188148.81285842002</v>
      </c>
      <c r="T24" s="17">
        <v>412923.15863999003</v>
      </c>
      <c r="U24" s="18"/>
      <c r="V24" s="18"/>
      <c r="W24" s="18"/>
      <c r="X24" s="18"/>
      <c r="Y24" s="18"/>
      <c r="Z24" s="18"/>
      <c r="AA24" s="18"/>
      <c r="AB24" s="19"/>
      <c r="AC24" s="19">
        <f t="shared" si="1"/>
        <v>2227579.7864101399</v>
      </c>
    </row>
    <row r="25" spans="2:29" ht="20.100000000000001" customHeight="1" x14ac:dyDescent="0.2">
      <c r="B25" s="71"/>
      <c r="C25" s="73"/>
      <c r="D25" s="3" t="s">
        <v>7</v>
      </c>
      <c r="E25" s="55"/>
      <c r="F25" s="55"/>
      <c r="G25" s="55"/>
      <c r="H25" s="55"/>
      <c r="I25" s="55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8"/>
      <c r="W25" s="18"/>
      <c r="X25" s="18"/>
      <c r="Y25" s="18"/>
      <c r="Z25" s="18"/>
      <c r="AA25" s="18"/>
      <c r="AB25" s="19"/>
      <c r="AC25" s="19">
        <f>+SUM(E25:AB25)</f>
        <v>0</v>
      </c>
    </row>
    <row r="26" spans="2:29" ht="20.100000000000001" customHeight="1" x14ac:dyDescent="0.2">
      <c r="B26" s="71"/>
      <c r="C26" s="73"/>
      <c r="D26" s="3" t="s">
        <v>8</v>
      </c>
      <c r="E26" s="20"/>
      <c r="F26" s="20"/>
      <c r="G26" s="20"/>
      <c r="H26" s="20"/>
      <c r="I26" s="20"/>
      <c r="J26" s="20"/>
      <c r="K26" s="17"/>
      <c r="L26" s="2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9"/>
      <c r="AC26" s="19">
        <f t="shared" si="1"/>
        <v>0</v>
      </c>
    </row>
    <row r="27" spans="2:29" ht="20.100000000000001" customHeight="1" x14ac:dyDescent="0.2">
      <c r="B27" s="71"/>
      <c r="C27" s="73"/>
      <c r="D27" s="3" t="s">
        <v>9</v>
      </c>
      <c r="E27" s="20"/>
      <c r="F27" s="20"/>
      <c r="G27" s="20"/>
      <c r="H27" s="20"/>
      <c r="I27" s="20"/>
      <c r="J27" s="20"/>
      <c r="K27" s="20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8"/>
      <c r="Y27" s="18"/>
      <c r="Z27" s="18"/>
      <c r="AA27" s="18"/>
      <c r="AB27" s="19"/>
      <c r="AC27" s="19">
        <f t="shared" si="1"/>
        <v>0</v>
      </c>
    </row>
    <row r="28" spans="2:29" ht="20.100000000000001" customHeight="1" x14ac:dyDescent="0.2">
      <c r="B28" s="71"/>
      <c r="C28" s="73"/>
      <c r="D28" s="3" t="s">
        <v>10</v>
      </c>
      <c r="E28" s="20"/>
      <c r="F28" s="20"/>
      <c r="G28" s="20"/>
      <c r="H28" s="20"/>
      <c r="I28" s="20"/>
      <c r="J28" s="20"/>
      <c r="K28" s="20"/>
      <c r="L28" s="20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8"/>
      <c r="Z28" s="18"/>
      <c r="AA28" s="18"/>
      <c r="AB28" s="19"/>
      <c r="AC28" s="19">
        <f t="shared" si="1"/>
        <v>0</v>
      </c>
    </row>
    <row r="29" spans="2:29" ht="20.100000000000001" customHeight="1" x14ac:dyDescent="0.2">
      <c r="B29" s="71"/>
      <c r="C29" s="73"/>
      <c r="D29" s="3" t="s">
        <v>11</v>
      </c>
      <c r="E29" s="20"/>
      <c r="F29" s="20"/>
      <c r="G29" s="20"/>
      <c r="H29" s="20"/>
      <c r="I29" s="20"/>
      <c r="J29" s="20"/>
      <c r="K29" s="20"/>
      <c r="L29" s="20"/>
      <c r="M29" s="2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  <c r="AA29" s="18"/>
      <c r="AB29" s="19"/>
      <c r="AC29" s="19">
        <f t="shared" si="1"/>
        <v>0</v>
      </c>
    </row>
    <row r="30" spans="2:29" ht="20.100000000000001" customHeight="1" x14ac:dyDescent="0.2">
      <c r="B30" s="71"/>
      <c r="C30" s="73"/>
      <c r="D30" s="3" t="s">
        <v>12</v>
      </c>
      <c r="E30" s="20"/>
      <c r="F30" s="20"/>
      <c r="G30" s="20"/>
      <c r="H30" s="20"/>
      <c r="I30" s="20"/>
      <c r="J30" s="20"/>
      <c r="K30" s="20"/>
      <c r="L30" s="20"/>
      <c r="M30" s="18"/>
      <c r="N30" s="18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8"/>
      <c r="AB30" s="19"/>
      <c r="AC30" s="19">
        <f t="shared" si="1"/>
        <v>0</v>
      </c>
    </row>
    <row r="31" spans="2:29" ht="20.100000000000001" customHeight="1" x14ac:dyDescent="0.2">
      <c r="B31" s="72"/>
      <c r="C31" s="74"/>
      <c r="D31" s="5" t="s">
        <v>13</v>
      </c>
      <c r="E31" s="25"/>
      <c r="F31" s="25"/>
      <c r="G31" s="25"/>
      <c r="H31" s="25"/>
      <c r="I31" s="25"/>
      <c r="J31" s="25"/>
      <c r="K31" s="25"/>
      <c r="L31" s="25"/>
      <c r="M31" s="25"/>
      <c r="N31" s="28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26"/>
      <c r="AC31" s="64">
        <f t="shared" si="1"/>
        <v>0</v>
      </c>
    </row>
    <row r="32" spans="2:29" ht="20.100000000000001" customHeight="1" x14ac:dyDescent="0.2">
      <c r="D32" s="6"/>
      <c r="T32" s="14"/>
      <c r="AC32" s="59"/>
    </row>
    <row r="33" spans="2:29" ht="20.100000000000001" customHeight="1" x14ac:dyDescent="0.2">
      <c r="B33" s="7" t="s">
        <v>20</v>
      </c>
      <c r="AC33" s="34"/>
    </row>
    <row r="34" spans="2:29" ht="20.100000000000001" customHeight="1" x14ac:dyDescent="0.2">
      <c r="B34" s="7" t="s">
        <v>19</v>
      </c>
      <c r="V34" s="31"/>
      <c r="AC34" s="31"/>
    </row>
    <row r="35" spans="2:29" ht="20.100000000000001" customHeight="1" x14ac:dyDescent="0.2">
      <c r="R35" s="31"/>
      <c r="T35" s="31"/>
      <c r="U35" s="31"/>
      <c r="V35" s="31"/>
      <c r="W35" s="31"/>
      <c r="AC35" s="65"/>
    </row>
    <row r="36" spans="2:29" ht="20.100000000000001" customHeight="1" x14ac:dyDescent="0.2">
      <c r="B36" s="61" t="s">
        <v>17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66"/>
    </row>
    <row r="37" spans="2:29" ht="20.100000000000001" customHeight="1" x14ac:dyDescent="0.2">
      <c r="B37" s="60" t="s">
        <v>23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</row>
    <row r="38" spans="2:29" ht="20.100000000000001" customHeight="1" x14ac:dyDescent="0.2">
      <c r="B38" s="15" t="s">
        <v>21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</row>
    <row r="39" spans="2:29" ht="20.100000000000001" customHeight="1" x14ac:dyDescent="0.2"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</row>
    <row r="40" spans="2:29" ht="20.100000000000001" customHeight="1" x14ac:dyDescent="0.2"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</row>
    <row r="41" spans="2:29" ht="20.100000000000001" customHeight="1" x14ac:dyDescent="0.2">
      <c r="B41" s="8"/>
      <c r="C41" s="8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42" spans="2:29" ht="20.100000000000001" customHeight="1" x14ac:dyDescent="0.2"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</row>
    <row r="43" spans="2:29" ht="20.100000000000001" customHeight="1" x14ac:dyDescent="0.2"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</row>
    <row r="44" spans="2:29" ht="20.100000000000001" customHeight="1" x14ac:dyDescent="0.2"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</row>
    <row r="45" spans="2:29" ht="20.100000000000001" customHeight="1" x14ac:dyDescent="0.2"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</row>
    <row r="46" spans="2:29" ht="20.100000000000001" customHeight="1" x14ac:dyDescent="0.2"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</row>
    <row r="47" spans="2:29" ht="20.100000000000001" customHeight="1" x14ac:dyDescent="0.2"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</row>
    <row r="48" spans="2:29" ht="20.100000000000001" customHeight="1" x14ac:dyDescent="0.2"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5:29" ht="20.100000000000001" customHeight="1" x14ac:dyDescent="0.2"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</row>
    <row r="50" spans="5:29" ht="20.100000000000001" customHeight="1" x14ac:dyDescent="0.2"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</row>
    <row r="51" spans="5:29" ht="20.100000000000001" customHeight="1" x14ac:dyDescent="0.2"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</row>
    <row r="52" spans="5:29" ht="20.100000000000001" customHeight="1" x14ac:dyDescent="0.2"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</row>
    <row r="53" spans="5:29" ht="20.100000000000001" customHeight="1" x14ac:dyDescent="0.2"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</row>
    <row r="54" spans="5:29" ht="20.100000000000001" customHeight="1" x14ac:dyDescent="0.2"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</row>
    <row r="55" spans="5:29" ht="20.100000000000001" customHeight="1" x14ac:dyDescent="0.2"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</row>
    <row r="56" spans="5:29" ht="20.100000000000001" customHeight="1" x14ac:dyDescent="0.2"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</row>
    <row r="57" spans="5:29" ht="20.100000000000001" customHeight="1" x14ac:dyDescent="0.2"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</row>
    <row r="58" spans="5:29" ht="20.100000000000001" customHeight="1" x14ac:dyDescent="0.2"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</row>
    <row r="59" spans="5:29" ht="20.100000000000001" customHeight="1" x14ac:dyDescent="0.2"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</row>
    <row r="60" spans="5:29" ht="20.100000000000001" customHeight="1" x14ac:dyDescent="0.2"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</row>
    <row r="61" spans="5:29" ht="20.100000000000001" customHeight="1" x14ac:dyDescent="0.2"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</row>
    <row r="62" spans="5:29" ht="20.100000000000001" customHeight="1" x14ac:dyDescent="0.2"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</row>
    <row r="63" spans="5:29" ht="20.100000000000001" customHeight="1" x14ac:dyDescent="0.2"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</row>
    <row r="64" spans="5:29" ht="20.100000000000001" customHeight="1" x14ac:dyDescent="0.2"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</row>
    <row r="65" spans="5:29" ht="20.100000000000001" customHeight="1" x14ac:dyDescent="0.2"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</row>
    <row r="66" spans="5:29" ht="20.100000000000001" customHeight="1" x14ac:dyDescent="0.2"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</row>
    <row r="67" spans="5:29" ht="20.100000000000001" customHeight="1" x14ac:dyDescent="0.2"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</row>
    <row r="68" spans="5:29" ht="20.100000000000001" customHeight="1" x14ac:dyDescent="0.2"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</row>
  </sheetData>
  <mergeCells count="9">
    <mergeCell ref="B20:B31"/>
    <mergeCell ref="C20:C31"/>
    <mergeCell ref="B4:D5"/>
    <mergeCell ref="E4:AC4"/>
    <mergeCell ref="E5:P5"/>
    <mergeCell ref="Q5:AC5"/>
    <mergeCell ref="B6:D6"/>
    <mergeCell ref="B7:B18"/>
    <mergeCell ref="C7:C18"/>
  </mergeCells>
  <hyperlinks>
    <hyperlink ref="B37" r:id="rId1"/>
  </hyperlinks>
  <printOptions horizontalCentered="1" verticalCentered="1"/>
  <pageMargins left="0" right="0" top="0" bottom="0" header="0" footer="0"/>
  <pageSetup paperSize="9" scale="42" orientation="landscape" r:id="rId2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'2019'!Print_Area</vt:lpstr>
      <vt:lpstr>'2020'!Print_Area</vt:lpstr>
      <vt:lpstr>'2021'!Print_Area</vt:lpstr>
      <vt:lpstr>'2023'!Print_Area</vt:lpstr>
      <vt:lpstr>'2024'!Print_Area</vt:lpstr>
      <vt:lpstr>'2025'!Print_Area</vt:lpstr>
      <vt:lpstr>'2026'!Print_Area</vt:lpstr>
    </vt:vector>
  </TitlesOfParts>
  <Company>Hazine Müsteşarlığı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KANTARCI</dc:creator>
  <cp:lastModifiedBy>ETHEM ERDEM ORMAN</cp:lastModifiedBy>
  <cp:lastPrinted>2023-02-17T08:15:25Z</cp:lastPrinted>
  <dcterms:created xsi:type="dcterms:W3CDTF">2016-01-07T12:33:51Z</dcterms:created>
  <dcterms:modified xsi:type="dcterms:W3CDTF">2026-05-12T08:17:56Z</dcterms:modified>
</cp:coreProperties>
</file>