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mbds01\BGM\TL Bono ve Tahvil\Temel Faaliyetler\Istatistikler\İç ve Dış Borç Borçlanma Verileri\türkce\"/>
    </mc:Choice>
  </mc:AlternateContent>
  <bookViews>
    <workbookView xWindow="3165" yWindow="495" windowWidth="23250" windowHeight="12570"/>
  </bookViews>
  <sheets>
    <sheet name="2026" sheetId="19" r:id="rId1"/>
    <sheet name="2025" sheetId="18" r:id="rId2"/>
    <sheet name="2024" sheetId="17" r:id="rId3"/>
    <sheet name="2022" sheetId="16" r:id="rId4"/>
    <sheet name="2021" sheetId="15" r:id="rId5"/>
    <sheet name="2020" sheetId="14" r:id="rId6"/>
    <sheet name="2019" sheetId="13" r:id="rId7"/>
    <sheet name="2018" sheetId="12" r:id="rId8"/>
    <sheet name="2017" sheetId="11" r:id="rId9"/>
  </sheets>
  <definedNames>
    <definedName name="_xlnm._FilterDatabase" localSheetId="8" hidden="1">'2017'!$A$2:$N$10</definedName>
    <definedName name="_xlnm._FilterDatabase" localSheetId="7" hidden="1">'2018'!$A$2:$N$25</definedName>
    <definedName name="_xlnm._FilterDatabase" localSheetId="6" hidden="1">'2019'!$A$2:$N$27</definedName>
    <definedName name="_xlnm._FilterDatabase" localSheetId="5" hidden="1">'2020'!$A$1:$J$10</definedName>
    <definedName name="_xlnm._FilterDatabase" localSheetId="4" hidden="1">'2021'!$A$2:$J$11</definedName>
    <definedName name="_xlnm._FilterDatabase" localSheetId="3" hidden="1">'2022'!$A$3:$J$5</definedName>
    <definedName name="_xlnm._FilterDatabase" localSheetId="2" hidden="1">'2024'!$A$4:$J$5</definedName>
    <definedName name="_xlnm._FilterDatabase" localSheetId="1" hidden="1">'2025'!#REF!</definedName>
    <definedName name="_xlnm._FilterDatabase" localSheetId="0" hidden="1">'2026'!#REF!</definedName>
    <definedName name="_xlnm.Print_Area" localSheetId="8">'2017'!$A$1:$N$10</definedName>
    <definedName name="_xlnm.Print_Area" localSheetId="7">'2018'!$A$1:$N$25</definedName>
    <definedName name="_xlnm.Print_Area" localSheetId="6">'2019'!$A$1:$N$28</definedName>
    <definedName name="_xlnm.Print_Area" localSheetId="5">'2020'!$A$1:$J$11</definedName>
    <definedName name="_xlnm.Print_Area" localSheetId="4">'2021'!$A$1:$J$12</definedName>
    <definedName name="_xlnm.Print_Area" localSheetId="3">'2022'!$A$1:$J$7</definedName>
    <definedName name="_xlnm.Print_Area" localSheetId="2">'2024'!$A$1:$J$11</definedName>
    <definedName name="_xlnm.Print_Area" localSheetId="1">'2025'!$A$1:$J$7</definedName>
    <definedName name="_xlnm.Print_Area" localSheetId="0">'2026'!$A$1:$J$8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19" l="1"/>
  <c r="J4" i="19" l="1"/>
  <c r="J3" i="19" l="1"/>
  <c r="J4" i="18" l="1"/>
  <c r="J3" i="18" l="1"/>
  <c r="J3" i="16"/>
  <c r="J4" i="16" l="1"/>
  <c r="J3" i="15" l="1"/>
  <c r="I9" i="14" l="1"/>
  <c r="J8" i="14"/>
  <c r="J5" i="14" l="1"/>
  <c r="J6" i="14"/>
  <c r="J7" i="14"/>
  <c r="J4" i="14" l="1"/>
  <c r="J3" i="14" l="1"/>
  <c r="J9" i="14" s="1"/>
  <c r="M24" i="13" l="1"/>
  <c r="N24" i="13" s="1"/>
  <c r="N21" i="13"/>
  <c r="N22" i="13"/>
  <c r="N23" i="13"/>
  <c r="M16" i="13"/>
  <c r="N16" i="13" s="1"/>
  <c r="N15" i="13"/>
  <c r="N14" i="13"/>
  <c r="N13" i="13"/>
  <c r="N12" i="13"/>
  <c r="N20" i="13" l="1"/>
  <c r="N19" i="13" l="1"/>
  <c r="M9" i="13" l="1"/>
  <c r="M26" i="13" s="1"/>
  <c r="N8" i="13"/>
  <c r="N7" i="13"/>
  <c r="N6" i="13"/>
  <c r="N5" i="13"/>
  <c r="N4" i="13"/>
  <c r="N3" i="13"/>
  <c r="N9" i="13" l="1"/>
  <c r="N26" i="13" s="1"/>
  <c r="M21" i="12" l="1"/>
  <c r="N21" i="12" s="1"/>
  <c r="N20" i="12"/>
  <c r="M17" i="12" l="1"/>
  <c r="N17" i="12" s="1"/>
  <c r="N16" i="12"/>
  <c r="N15" i="12"/>
  <c r="N14" i="12"/>
  <c r="N13" i="12"/>
  <c r="N12" i="12"/>
  <c r="N11" i="12"/>
  <c r="N10" i="12"/>
  <c r="M7" i="12"/>
  <c r="N7" i="12" s="1"/>
  <c r="N6" i="12"/>
  <c r="N5" i="12"/>
  <c r="N4" i="12"/>
  <c r="N3" i="12"/>
  <c r="M24" i="12" l="1"/>
  <c r="N24" i="12" s="1"/>
  <c r="N6" i="11" l="1"/>
  <c r="N5" i="11"/>
  <c r="N4" i="11"/>
  <c r="N3" i="11"/>
  <c r="M7" i="11"/>
  <c r="M9" i="11" s="1"/>
  <c r="N9" i="11" l="1"/>
  <c r="N7" i="11"/>
</calcChain>
</file>

<file path=xl/sharedStrings.xml><?xml version="1.0" encoding="utf-8"?>
<sst xmlns="http://schemas.openxmlformats.org/spreadsheetml/2006/main" count="400" uniqueCount="115">
  <si>
    <t>Valör Tarihi</t>
  </si>
  <si>
    <t>İtfa Tarihi</t>
  </si>
  <si>
    <t>Vadesi</t>
  </si>
  <si>
    <t>Senet Türü</t>
  </si>
  <si>
    <t>Talep Toplama Başlangıç Tarihi</t>
  </si>
  <si>
    <t>Talep Toplama Bitiş Tarihi</t>
  </si>
  <si>
    <t>6 ay</t>
  </si>
  <si>
    <t>İhraçta Kabul Edilen Altın Miktarı (1000/1000 saflık) (Gram)</t>
  </si>
  <si>
    <t>30.09.2019 - 04.10.2019</t>
  </si>
  <si>
    <t>07.10.2019 - 11.10.2019</t>
  </si>
  <si>
    <t>14.10.2019 - 18.10.2019</t>
  </si>
  <si>
    <t>21.10.2019 - 25.10.2019</t>
  </si>
  <si>
    <t>Etap</t>
  </si>
  <si>
    <t>2017 Yılı 1. İhraç Dönemi</t>
  </si>
  <si>
    <t>Fiziki Altın Talep Etme Dönemi*</t>
  </si>
  <si>
    <t>Altına Dayalı Kira Sertifikası</t>
  </si>
  <si>
    <t>TRD091019T14</t>
  </si>
  <si>
    <t>TRD161019T15</t>
  </si>
  <si>
    <t>TRD231019T16</t>
  </si>
  <si>
    <t>TRD301019T17</t>
  </si>
  <si>
    <t>Altına Dayalı Kira Sertifikaları</t>
  </si>
  <si>
    <t>Kira Dönemi</t>
  </si>
  <si>
    <t>Kira Oranı (Dönem)(%)</t>
  </si>
  <si>
    <t>Toplam İhraç Edilen Altına Dayalı Kira Sertifikası Adedi</t>
  </si>
  <si>
    <t>* Bilgi amaçlıdır. Değişiklik olması durumunda ayrıca bilgilendirme yapılacaktır.</t>
  </si>
  <si>
    <t>TOPLAM</t>
  </si>
  <si>
    <t>TRD010420T17</t>
  </si>
  <si>
    <t>TRD080420T10</t>
  </si>
  <si>
    <t>TRD150420T11</t>
  </si>
  <si>
    <t>TRD220420T12</t>
  </si>
  <si>
    <t>23.03.2020 - 27.03.2020</t>
  </si>
  <si>
    <t>30.03.2020 - 03.04.2020</t>
  </si>
  <si>
    <t>06.04.2020 - 10.04.2020</t>
  </si>
  <si>
    <t>13.04.2020 - 17.04.2020</t>
  </si>
  <si>
    <t>GENEL TOPLAM</t>
  </si>
  <si>
    <t>2018 Yılı 1. İhraç Dönemi</t>
  </si>
  <si>
    <t>2018 Yılı 2. İhraç Dönemi</t>
  </si>
  <si>
    <t>TRD160920T15</t>
  </si>
  <si>
    <t>TRD230920T16</t>
  </si>
  <si>
    <t>TRD300920T17</t>
  </si>
  <si>
    <t>TRD071020T13</t>
  </si>
  <si>
    <t>TRD141020T14</t>
  </si>
  <si>
    <t>TRD211020T15</t>
  </si>
  <si>
    <t>TRD281020T18</t>
  </si>
  <si>
    <t>07.09.2020-11.09.2020</t>
  </si>
  <si>
    <t>14.09.2020-18.09.2020</t>
  </si>
  <si>
    <t>21.09.2020-25.09.2020</t>
  </si>
  <si>
    <t>28.09.2020-02.10.2020</t>
  </si>
  <si>
    <t>05.10.2020-09.10.2020</t>
  </si>
  <si>
    <t>12.10.2020-16.10.2020</t>
  </si>
  <si>
    <t>19.10.2020-23.10.2020</t>
  </si>
  <si>
    <t>2018 Yılı 3. İhraç Dönemi</t>
  </si>
  <si>
    <t>TRD231220T11</t>
  </si>
  <si>
    <t>14.12.2020-18.12.2020</t>
  </si>
  <si>
    <t>2019 Yılı 1. İhraç Dönemi</t>
  </si>
  <si>
    <t>21.12.2020-25.12.2020</t>
  </si>
  <si>
    <t>28.12.2020-01.01.2021</t>
  </si>
  <si>
    <t>04.01.2021-08.01.2021</t>
  </si>
  <si>
    <t>11.01.2021-15.01.2021</t>
  </si>
  <si>
    <t>18.01.2021-22.01.2021</t>
  </si>
  <si>
    <t>25.01.2021-29.01.2021</t>
  </si>
  <si>
    <t>TRD301220T12</t>
  </si>
  <si>
    <t>TRD060121T14</t>
  </si>
  <si>
    <t>TRD130121T15</t>
  </si>
  <si>
    <t>TRD200121T16</t>
  </si>
  <si>
    <t>TRD270121T19</t>
  </si>
  <si>
    <t>TRD030221T16</t>
  </si>
  <si>
    <t>-</t>
  </si>
  <si>
    <t>TRD240221T11</t>
  </si>
  <si>
    <t>NOT: Bireysel yatırımcılara gerçekleştirilen ihraçlarda 1 gram = 1000 Kira Sertifikası, kurumsal yatırımcılara gerçekleştirilen ihraçlarda 1 gram = 1 Kira Sertifikası olarak yer almaktadır.</t>
  </si>
  <si>
    <t>TRD180621T15</t>
  </si>
  <si>
    <t>TRD170921T13</t>
  </si>
  <si>
    <t>TRD091020T11</t>
  </si>
  <si>
    <t>2019 Yılı 2. İhraç Dönemi</t>
  </si>
  <si>
    <t>TRD061021T13</t>
  </si>
  <si>
    <t>TRD131021T14</t>
  </si>
  <si>
    <t>TRD201021T15</t>
  </si>
  <si>
    <t>TRD271021T18</t>
  </si>
  <si>
    <t>27.09.2021-01.10.2021</t>
  </si>
  <si>
    <t>04.10.2021-08.10.2021</t>
  </si>
  <si>
    <t>11.10.2021-15.10.2021</t>
  </si>
  <si>
    <t>18.10.2021-22.10.2021</t>
  </si>
  <si>
    <t>TRD301020T14</t>
  </si>
  <si>
    <t>TRD310122T12</t>
  </si>
  <si>
    <t>TRD050321T13</t>
  </si>
  <si>
    <t>TRD160421T19</t>
  </si>
  <si>
    <t>TRD140521T10</t>
  </si>
  <si>
    <t>TRD090721T15</t>
  </si>
  <si>
    <t>TRD081021T11</t>
  </si>
  <si>
    <t>TRD210224T11</t>
  </si>
  <si>
    <t>TRD200324T11</t>
  </si>
  <si>
    <t>TRD120424T10</t>
  </si>
  <si>
    <t>TRD200522T11</t>
  </si>
  <si>
    <t>TRD140624T16</t>
  </si>
  <si>
    <t>TRD050724T16</t>
  </si>
  <si>
    <t>TRD091024T17</t>
  </si>
  <si>
    <t>TRD270125T15</t>
  </si>
  <si>
    <t>Talep Toplama Tarihi</t>
  </si>
  <si>
    <t>Vadesi (gün)</t>
  </si>
  <si>
    <t>İhraçta Kabul Edilen Altın Miktarı (1000/1000 saflık)
(Gram)</t>
  </si>
  <si>
    <t>İhraçta Kabul
Edilen Altın Miktarı (1000/1000 saflık) (Gram)</t>
  </si>
  <si>
    <t>Talep Toplama
Başlangıç Tarihi</t>
  </si>
  <si>
    <t>ISIN Kodu</t>
  </si>
  <si>
    <t>TRD210525T17</t>
  </si>
  <si>
    <t>TRD180226T14</t>
  </si>
  <si>
    <t>TRD180326T13</t>
  </si>
  <si>
    <t>TRD150426T31</t>
  </si>
  <si>
    <t>TRD120626T16</t>
  </si>
  <si>
    <t>TRD030726T16</t>
  </si>
  <si>
    <t>TRD071026T17</t>
  </si>
  <si>
    <t>TRD260126T15</t>
  </si>
  <si>
    <t>TRD200526T17</t>
  </si>
  <si>
    <t xml:space="preserve">TRD270127T13 </t>
  </si>
  <si>
    <t>TRD180827T17</t>
  </si>
  <si>
    <t xml:space="preserve">TRD150328T14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</si>
</sst>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.00\ _₺_-;\-* #,##0.00\ _₺_-;_-* &quot;-&quot;??\ _₺_-;_-@_-"/>
    <numFmt numFmtId="165" formatCode="_-* #,##0.00\ _T_L_-;\-* #,##0.00\ _T_L_-;_-* &quot;-&quot;??\ _T_L_-;_-@_-"/>
    <numFmt numFmtId="166" formatCode="dd\.mm\.yyyy"/>
    <numFmt numFmtId="167" formatCode="#,##0.000;[Red]\-#,##0.000"/>
    <numFmt numFmtId="168" formatCode="_-* #,##0\ _T_L_-;\-* #,##0\ _T_L_-;_-* &quot;-&quot;??\ _T_L_-;_-@_-"/>
    <numFmt numFmtId="169" formatCode="_-* #,##0.00\ [$€-1]_-;\-* #,##0.00\ [$€-1]_-;_-* &quot;-&quot;??\ [$€-1]_-"/>
    <numFmt numFmtId="170" formatCode="#,##0\ _₺"/>
    <numFmt numFmtId="171" formatCode="#,##0.00\ _₺"/>
    <numFmt numFmtId="172" formatCode="dd/mm/yyyy"/>
    <numFmt numFmtId="173" formatCode="#,##0.000"/>
  </numFmts>
  <fonts count="14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b/>
      <sz val="16"/>
      <name val="Trebuchet MS"/>
      <family val="2"/>
    </font>
    <font>
      <b/>
      <sz val="14"/>
      <name val="Trebuchet MS"/>
      <family val="2"/>
    </font>
    <font>
      <b/>
      <sz val="12"/>
      <color theme="0"/>
      <name val="Trebuchet MS"/>
      <family val="2"/>
    </font>
    <font>
      <sz val="9"/>
      <name val="Trebuchet MS"/>
      <family val="2"/>
    </font>
    <font>
      <sz val="11"/>
      <name val="Trebuchet MS"/>
      <family val="2"/>
    </font>
    <font>
      <sz val="11"/>
      <color theme="1"/>
      <name val="Trebuchet MS"/>
      <family val="2"/>
    </font>
    <font>
      <b/>
      <sz val="9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1DEB8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>
      <alignment vertical="center"/>
    </xf>
    <xf numFmtId="0" fontId="2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</cellStyleXfs>
  <cellXfs count="145">
    <xf numFmtId="0" fontId="0" fillId="0" borderId="0" xfId="0"/>
    <xf numFmtId="166" fontId="6" fillId="0" borderId="0" xfId="4" applyNumberFormat="1" applyFont="1" applyBorder="1" applyAlignment="1">
      <alignment vertical="center"/>
    </xf>
    <xf numFmtId="2" fontId="7" fillId="3" borderId="11" xfId="2" applyNumberFormat="1" applyFont="1" applyFill="1" applyBorder="1" applyAlignment="1" applyProtection="1">
      <alignment horizontal="center" vertical="center" wrapText="1"/>
    </xf>
    <xf numFmtId="166" fontId="8" fillId="0" borderId="0" xfId="4" applyNumberFormat="1" applyFont="1" applyBorder="1" applyAlignment="1">
      <alignment vertical="center" wrapText="1"/>
    </xf>
    <xf numFmtId="0" fontId="9" fillId="4" borderId="11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left" vertical="center"/>
    </xf>
    <xf numFmtId="166" fontId="9" fillId="4" borderId="11" xfId="1" applyNumberFormat="1" applyFont="1" applyFill="1" applyBorder="1" applyAlignment="1">
      <alignment horizontal="center" vertical="center"/>
    </xf>
    <xf numFmtId="166" fontId="9" fillId="4" borderId="11" xfId="1" applyNumberFormat="1" applyFont="1" applyFill="1" applyBorder="1" applyAlignment="1" applyProtection="1">
      <alignment horizontal="center" vertical="center"/>
    </xf>
    <xf numFmtId="2" fontId="9" fillId="4" borderId="11" xfId="1" applyNumberFormat="1" applyFont="1" applyFill="1" applyBorder="1" applyAlignment="1" applyProtection="1">
      <alignment horizontal="center" vertical="center"/>
    </xf>
    <xf numFmtId="168" fontId="9" fillId="4" borderId="11" xfId="2" applyNumberFormat="1" applyFont="1" applyFill="1" applyBorder="1" applyAlignment="1" applyProtection="1">
      <alignment horizontal="center" vertical="center"/>
    </xf>
    <xf numFmtId="2" fontId="9" fillId="5" borderId="11" xfId="2" applyNumberFormat="1" applyFont="1" applyFill="1" applyBorder="1" applyAlignment="1" applyProtection="1">
      <alignment horizontal="center" vertical="center"/>
    </xf>
    <xf numFmtId="2" fontId="9" fillId="5" borderId="11" xfId="2" applyNumberFormat="1" applyFont="1" applyFill="1" applyBorder="1" applyAlignment="1" applyProtection="1">
      <alignment horizontal="left" vertical="center"/>
    </xf>
    <xf numFmtId="172" fontId="9" fillId="5" borderId="11" xfId="2" applyNumberFormat="1" applyFont="1" applyFill="1" applyBorder="1" applyAlignment="1" applyProtection="1">
      <alignment horizontal="center" vertical="center"/>
    </xf>
    <xf numFmtId="1" fontId="9" fillId="5" borderId="11" xfId="2" applyNumberFormat="1" applyFont="1" applyFill="1" applyBorder="1" applyAlignment="1" applyProtection="1">
      <alignment horizontal="center" vertical="center"/>
    </xf>
    <xf numFmtId="168" fontId="9" fillId="5" borderId="11" xfId="2" applyNumberFormat="1" applyFont="1" applyFill="1" applyBorder="1" applyAlignment="1" applyProtection="1">
      <alignment horizontal="center" vertical="center"/>
    </xf>
    <xf numFmtId="166" fontId="8" fillId="0" borderId="0" xfId="4" applyNumberFormat="1" applyFont="1" applyAlignment="1">
      <alignment vertical="center" wrapText="1"/>
    </xf>
    <xf numFmtId="166" fontId="8" fillId="0" borderId="1" xfId="4" applyNumberFormat="1" applyFont="1" applyBorder="1" applyAlignment="1">
      <alignment vertical="center" wrapText="1"/>
    </xf>
    <xf numFmtId="166" fontId="8" fillId="0" borderId="2" xfId="4" applyNumberFormat="1" applyFont="1" applyBorder="1" applyAlignment="1">
      <alignment vertical="center" wrapText="1"/>
    </xf>
    <xf numFmtId="166" fontId="8" fillId="2" borderId="9" xfId="4" applyNumberFormat="1" applyFont="1" applyFill="1" applyBorder="1" applyAlignment="1">
      <alignment horizontal="left" vertical="center" wrapText="1"/>
    </xf>
    <xf numFmtId="165" fontId="10" fillId="0" borderId="0" xfId="5" applyFont="1" applyBorder="1" applyAlignment="1">
      <alignment vertical="center"/>
    </xf>
    <xf numFmtId="15" fontId="8" fillId="0" borderId="0" xfId="4" applyNumberFormat="1" applyFont="1" applyAlignment="1" applyProtection="1">
      <alignment horizontal="center" vertical="center" wrapText="1"/>
    </xf>
    <xf numFmtId="166" fontId="8" fillId="0" borderId="0" xfId="4" applyNumberFormat="1" applyFont="1" applyAlignment="1">
      <alignment horizontal="center" vertical="center" wrapText="1"/>
    </xf>
    <xf numFmtId="166" fontId="8" fillId="0" borderId="0" xfId="4" applyNumberFormat="1" applyFont="1" applyAlignment="1" applyProtection="1">
      <alignment horizontal="left" vertical="center" wrapText="1"/>
    </xf>
    <xf numFmtId="15" fontId="8" fillId="0" borderId="0" xfId="4" applyNumberFormat="1" applyFont="1" applyAlignment="1">
      <alignment horizontal="center" vertical="center" wrapText="1"/>
    </xf>
    <xf numFmtId="168" fontId="8" fillId="0" borderId="0" xfId="5" applyNumberFormat="1" applyFont="1" applyAlignment="1">
      <alignment vertical="center" wrapText="1"/>
    </xf>
    <xf numFmtId="0" fontId="8" fillId="0" borderId="0" xfId="4" applyFont="1" applyAlignment="1">
      <alignment vertical="center" wrapText="1"/>
    </xf>
    <xf numFmtId="15" fontId="8" fillId="0" borderId="0" xfId="4" applyNumberFormat="1" applyFont="1" applyAlignment="1">
      <alignment vertical="center" wrapText="1"/>
    </xf>
    <xf numFmtId="1" fontId="9" fillId="4" borderId="11" xfId="1" applyNumberFormat="1" applyFont="1" applyFill="1" applyBorder="1" applyAlignment="1">
      <alignment horizontal="center" vertical="center"/>
    </xf>
    <xf numFmtId="0" fontId="9" fillId="4" borderId="11" xfId="2" applyNumberFormat="1" applyFont="1" applyFill="1" applyBorder="1" applyAlignment="1" applyProtection="1">
      <alignment horizontal="center" vertical="center"/>
    </xf>
    <xf numFmtId="2" fontId="9" fillId="4" borderId="11" xfId="2" applyNumberFormat="1" applyFont="1" applyFill="1" applyBorder="1" applyAlignment="1" applyProtection="1">
      <alignment horizontal="center" vertical="center"/>
    </xf>
    <xf numFmtId="173" fontId="9" fillId="4" borderId="11" xfId="1" applyNumberFormat="1" applyFont="1" applyFill="1" applyBorder="1" applyAlignment="1">
      <alignment horizontal="center" vertical="center"/>
    </xf>
    <xf numFmtId="3" fontId="9" fillId="4" borderId="11" xfId="1" applyNumberFormat="1" applyFont="1" applyFill="1" applyBorder="1" applyAlignment="1">
      <alignment horizontal="center" vertical="center"/>
    </xf>
    <xf numFmtId="166" fontId="8" fillId="2" borderId="0" xfId="4" applyNumberFormat="1" applyFont="1" applyFill="1" applyBorder="1" applyAlignment="1">
      <alignment vertical="center" wrapText="1"/>
    </xf>
    <xf numFmtId="0" fontId="9" fillId="5" borderId="11" xfId="2" applyNumberFormat="1" applyFont="1" applyFill="1" applyBorder="1" applyAlignment="1" applyProtection="1">
      <alignment horizontal="center" vertical="center"/>
    </xf>
    <xf numFmtId="173" fontId="9" fillId="5" borderId="11" xfId="2" applyNumberFormat="1" applyFont="1" applyFill="1" applyBorder="1" applyAlignment="1" applyProtection="1">
      <alignment horizontal="center" vertical="center"/>
    </xf>
    <xf numFmtId="3" fontId="9" fillId="5" borderId="11" xfId="2" applyNumberFormat="1" applyFont="1" applyFill="1" applyBorder="1" applyAlignment="1" applyProtection="1">
      <alignment horizontal="center" vertical="center"/>
    </xf>
    <xf numFmtId="166" fontId="8" fillId="0" borderId="6" xfId="4" applyNumberFormat="1" applyFont="1" applyBorder="1" applyAlignment="1">
      <alignment vertical="center" wrapText="1"/>
    </xf>
    <xf numFmtId="166" fontId="8" fillId="0" borderId="2" xfId="4" applyNumberFormat="1" applyFont="1" applyBorder="1" applyAlignment="1">
      <alignment horizontal="center" vertical="center" wrapText="1"/>
    </xf>
    <xf numFmtId="165" fontId="13" fillId="0" borderId="1" xfId="5" applyFont="1" applyBorder="1" applyAlignment="1">
      <alignment horizontal="center" vertical="center" wrapText="1"/>
    </xf>
    <xf numFmtId="166" fontId="13" fillId="0" borderId="1" xfId="4" applyNumberFormat="1" applyFont="1" applyBorder="1" applyAlignment="1">
      <alignment horizontal="center" vertical="center" wrapText="1"/>
    </xf>
    <xf numFmtId="15" fontId="13" fillId="0" borderId="1" xfId="4" applyNumberFormat="1" applyFont="1" applyBorder="1" applyAlignment="1" applyProtection="1">
      <alignment horizontal="center" vertical="center" wrapText="1"/>
    </xf>
    <xf numFmtId="14" fontId="13" fillId="0" borderId="1" xfId="4" applyNumberFormat="1" applyFont="1" applyBorder="1" applyAlignment="1" applyProtection="1">
      <alignment horizontal="center" vertical="center" wrapText="1"/>
    </xf>
    <xf numFmtId="165" fontId="13" fillId="0" borderId="1" xfId="5" applyFont="1" applyBorder="1" applyAlignment="1" applyProtection="1">
      <alignment horizontal="center" vertical="center" wrapText="1"/>
    </xf>
    <xf numFmtId="165" fontId="13" fillId="0" borderId="2" xfId="5" applyFont="1" applyBorder="1" applyAlignment="1" applyProtection="1">
      <alignment horizontal="center" vertical="center" wrapText="1"/>
    </xf>
    <xf numFmtId="166" fontId="8" fillId="0" borderId="0" xfId="4" applyNumberFormat="1" applyFont="1" applyBorder="1" applyAlignment="1">
      <alignment horizontal="center" vertical="center" wrapText="1"/>
    </xf>
    <xf numFmtId="165" fontId="13" fillId="2" borderId="1" xfId="5" applyFont="1" applyFill="1" applyBorder="1" applyAlignment="1">
      <alignment vertical="center" wrapText="1"/>
    </xf>
    <xf numFmtId="166" fontId="13" fillId="2" borderId="1" xfId="4" applyNumberFormat="1" applyFont="1" applyFill="1" applyBorder="1" applyAlignment="1">
      <alignment vertical="center" wrapText="1"/>
    </xf>
    <xf numFmtId="15" fontId="13" fillId="2" borderId="1" xfId="4" applyNumberFormat="1" applyFont="1" applyFill="1" applyBorder="1" applyAlignment="1" applyProtection="1">
      <alignment horizontal="center" vertical="center" wrapText="1"/>
    </xf>
    <xf numFmtId="14" fontId="13" fillId="2" borderId="1" xfId="4" applyNumberFormat="1" applyFont="1" applyFill="1" applyBorder="1" applyAlignment="1" applyProtection="1">
      <alignment horizontal="center" vertical="center" wrapText="1"/>
    </xf>
    <xf numFmtId="165" fontId="13" fillId="2" borderId="1" xfId="5" applyFont="1" applyFill="1" applyBorder="1" applyAlignment="1" applyProtection="1">
      <alignment horizontal="center" vertical="center" wrapText="1"/>
    </xf>
    <xf numFmtId="166" fontId="8" fillId="0" borderId="2" xfId="4" applyNumberFormat="1" applyFont="1" applyBorder="1" applyAlignment="1">
      <alignment vertical="center"/>
    </xf>
    <xf numFmtId="2" fontId="13" fillId="2" borderId="1" xfId="4" applyNumberFormat="1" applyFont="1" applyFill="1" applyBorder="1" applyAlignment="1" applyProtection="1">
      <alignment horizontal="center" vertical="center" wrapText="1"/>
    </xf>
    <xf numFmtId="40" fontId="8" fillId="0" borderId="0" xfId="5" applyNumberFormat="1" applyFont="1" applyAlignment="1">
      <alignment vertical="center" wrapText="1"/>
    </xf>
    <xf numFmtId="9" fontId="8" fillId="0" borderId="0" xfId="3" applyNumberFormat="1" applyFont="1" applyAlignment="1">
      <alignment vertical="center" wrapText="1"/>
    </xf>
    <xf numFmtId="40" fontId="8" fillId="0" borderId="0" xfId="5" applyNumberFormat="1" applyFont="1" applyAlignment="1" applyProtection="1">
      <alignment horizontal="right" vertical="center" wrapText="1"/>
    </xf>
    <xf numFmtId="40" fontId="8" fillId="0" borderId="0" xfId="5" applyNumberFormat="1" applyFont="1" applyAlignment="1">
      <alignment horizontal="right" vertical="center" wrapText="1"/>
    </xf>
    <xf numFmtId="166" fontId="8" fillId="0" borderId="8" xfId="4" applyNumberFormat="1" applyFont="1" applyBorder="1" applyAlignment="1">
      <alignment vertical="center" wrapText="1"/>
    </xf>
    <xf numFmtId="166" fontId="8" fillId="0" borderId="5" xfId="4" applyNumberFormat="1" applyFont="1" applyBorder="1" applyAlignment="1">
      <alignment vertical="center" wrapText="1"/>
    </xf>
    <xf numFmtId="38" fontId="8" fillId="0" borderId="0" xfId="5" applyNumberFormat="1" applyFont="1" applyAlignment="1">
      <alignment vertical="center" wrapText="1"/>
    </xf>
    <xf numFmtId="38" fontId="8" fillId="0" borderId="0" xfId="5" applyNumberFormat="1" applyFont="1" applyAlignment="1" applyProtection="1">
      <alignment horizontal="right" vertical="center" wrapText="1"/>
    </xf>
    <xf numFmtId="38" fontId="8" fillId="0" borderId="0" xfId="4" applyNumberFormat="1" applyFont="1" applyBorder="1" applyAlignment="1" applyProtection="1">
      <alignment horizontal="right" vertical="center" wrapText="1"/>
    </xf>
    <xf numFmtId="38" fontId="8" fillId="0" borderId="0" xfId="5" applyNumberFormat="1" applyFont="1" applyAlignment="1" applyProtection="1">
      <alignment horizontal="left" vertical="center" wrapText="1"/>
    </xf>
    <xf numFmtId="38" fontId="8" fillId="0" borderId="0" xfId="5" applyNumberFormat="1" applyFont="1" applyAlignment="1">
      <alignment horizontal="right" vertical="center" wrapText="1"/>
    </xf>
    <xf numFmtId="171" fontId="12" fillId="2" borderId="0" xfId="16" applyNumberFormat="1" applyFont="1" applyFill="1" applyBorder="1" applyAlignment="1" applyProtection="1">
      <alignment horizontal="center" vertical="center" wrapText="1"/>
    </xf>
    <xf numFmtId="167" fontId="12" fillId="2" borderId="0" xfId="5" applyNumberFormat="1" applyFont="1" applyFill="1" applyBorder="1" applyAlignment="1">
      <alignment horizontal="center" vertical="center" wrapText="1"/>
    </xf>
    <xf numFmtId="170" fontId="12" fillId="2" borderId="0" xfId="16" applyNumberFormat="1" applyFont="1" applyFill="1" applyBorder="1" applyAlignment="1" applyProtection="1">
      <alignment horizontal="center" vertical="center" wrapText="1"/>
    </xf>
    <xf numFmtId="166" fontId="11" fillId="2" borderId="0" xfId="4" applyNumberFormat="1" applyFont="1" applyFill="1" applyBorder="1" applyAlignment="1">
      <alignment vertical="center" wrapText="1"/>
    </xf>
    <xf numFmtId="166" fontId="8" fillId="0" borderId="10" xfId="4" applyNumberFormat="1" applyFont="1" applyBorder="1" applyAlignment="1">
      <alignment vertical="center" wrapText="1"/>
    </xf>
    <xf numFmtId="0" fontId="9" fillId="4" borderId="11" xfId="1" applyNumberFormat="1" applyFont="1" applyFill="1" applyBorder="1" applyAlignment="1" applyProtection="1">
      <alignment horizontal="center" vertical="center"/>
    </xf>
    <xf numFmtId="166" fontId="13" fillId="2" borderId="0" xfId="4" applyNumberFormat="1" applyFont="1" applyFill="1" applyBorder="1" applyAlignment="1">
      <alignment horizontal="left" vertical="center" wrapText="1"/>
    </xf>
    <xf numFmtId="166" fontId="13" fillId="2" borderId="0" xfId="4" applyNumberFormat="1" applyFont="1" applyFill="1" applyBorder="1" applyAlignment="1">
      <alignment vertical="center" wrapText="1"/>
    </xf>
    <xf numFmtId="166" fontId="13" fillId="2" borderId="0" xfId="4" applyNumberFormat="1" applyFont="1" applyFill="1" applyBorder="1" applyAlignment="1">
      <alignment horizontal="center" vertical="center" wrapText="1"/>
    </xf>
    <xf numFmtId="14" fontId="13" fillId="2" borderId="0" xfId="5" applyNumberFormat="1" applyFont="1" applyFill="1" applyBorder="1" applyAlignment="1">
      <alignment horizontal="center" vertical="center" wrapText="1"/>
    </xf>
    <xf numFmtId="0" fontId="13" fillId="2" borderId="0" xfId="5" applyNumberFormat="1" applyFont="1" applyFill="1" applyBorder="1" applyAlignment="1">
      <alignment horizontal="center" vertical="center" wrapText="1"/>
    </xf>
    <xf numFmtId="171" fontId="13" fillId="2" borderId="0" xfId="16" applyNumberFormat="1" applyFont="1" applyFill="1" applyBorder="1" applyAlignment="1" applyProtection="1">
      <alignment horizontal="center" vertical="center" wrapText="1"/>
    </xf>
    <xf numFmtId="167" fontId="13" fillId="2" borderId="0" xfId="5" applyNumberFormat="1" applyFont="1" applyFill="1" applyBorder="1" applyAlignment="1">
      <alignment horizontal="center" vertical="center" wrapText="1"/>
    </xf>
    <xf numFmtId="2" fontId="9" fillId="5" borderId="15" xfId="2" applyNumberFormat="1" applyFont="1" applyFill="1" applyBorder="1" applyAlignment="1" applyProtection="1">
      <alignment horizontal="center" vertical="center"/>
    </xf>
    <xf numFmtId="0" fontId="9" fillId="4" borderId="16" xfId="1" applyFont="1" applyFill="1" applyBorder="1" applyAlignment="1">
      <alignment horizontal="left" vertical="center"/>
    </xf>
    <xf numFmtId="166" fontId="9" fillId="4" borderId="16" xfId="1" applyNumberFormat="1" applyFont="1" applyFill="1" applyBorder="1" applyAlignment="1">
      <alignment horizontal="center" vertical="center"/>
    </xf>
    <xf numFmtId="166" fontId="9" fillId="4" borderId="16" xfId="1" applyNumberFormat="1" applyFont="1" applyFill="1" applyBorder="1" applyAlignment="1" applyProtection="1">
      <alignment horizontal="center" vertical="center"/>
    </xf>
    <xf numFmtId="1" fontId="9" fillId="4" borderId="16" xfId="2" applyNumberFormat="1" applyFont="1" applyFill="1" applyBorder="1" applyAlignment="1" applyProtection="1">
      <alignment horizontal="center" vertical="center"/>
    </xf>
    <xf numFmtId="4" fontId="9" fillId="4" borderId="16" xfId="1" applyNumberFormat="1" applyFont="1" applyFill="1" applyBorder="1" applyAlignment="1" applyProtection="1">
      <alignment horizontal="center" vertical="center"/>
    </xf>
    <xf numFmtId="2" fontId="9" fillId="4" borderId="16" xfId="1" applyNumberFormat="1" applyFont="1" applyFill="1" applyBorder="1" applyAlignment="1" applyProtection="1">
      <alignment horizontal="center" vertical="center"/>
    </xf>
    <xf numFmtId="168" fontId="9" fillId="4" borderId="16" xfId="2" applyNumberFormat="1" applyFont="1" applyFill="1" applyBorder="1" applyAlignment="1" applyProtection="1">
      <alignment horizontal="center" vertical="center"/>
    </xf>
    <xf numFmtId="171" fontId="12" fillId="2" borderId="11" xfId="16" applyNumberFormat="1" applyFont="1" applyFill="1" applyBorder="1" applyAlignment="1" applyProtection="1">
      <alignment horizontal="center" vertical="center" wrapText="1"/>
    </xf>
    <xf numFmtId="170" fontId="12" fillId="2" borderId="11" xfId="16" applyNumberFormat="1" applyFont="1" applyFill="1" applyBorder="1" applyAlignment="1" applyProtection="1">
      <alignment horizontal="center" vertical="center" wrapText="1"/>
    </xf>
    <xf numFmtId="167" fontId="12" fillId="2" borderId="11" xfId="5" applyNumberFormat="1" applyFont="1" applyFill="1" applyBorder="1" applyAlignment="1">
      <alignment horizontal="center" vertical="center" wrapText="1"/>
    </xf>
    <xf numFmtId="166" fontId="8" fillId="0" borderId="17" xfId="4" applyNumberFormat="1" applyFont="1" applyBorder="1" applyAlignment="1">
      <alignment vertical="center" wrapText="1"/>
    </xf>
    <xf numFmtId="165" fontId="13" fillId="2" borderId="2" xfId="5" applyFont="1" applyFill="1" applyBorder="1" applyAlignment="1" applyProtection="1">
      <alignment horizontal="center" vertical="center" wrapText="1"/>
    </xf>
    <xf numFmtId="165" fontId="13" fillId="2" borderId="6" xfId="5" applyFont="1" applyFill="1" applyBorder="1" applyAlignment="1" applyProtection="1">
      <alignment horizontal="center" vertical="center" wrapText="1"/>
    </xf>
    <xf numFmtId="166" fontId="13" fillId="2" borderId="6" xfId="4" applyNumberFormat="1" applyFont="1" applyFill="1" applyBorder="1" applyAlignment="1">
      <alignment horizontal="center" vertical="center" wrapText="1"/>
    </xf>
    <xf numFmtId="14" fontId="13" fillId="2" borderId="6" xfId="4" applyNumberFormat="1" applyFont="1" applyFill="1" applyBorder="1" applyAlignment="1" applyProtection="1">
      <alignment horizontal="center" vertical="center" wrapText="1"/>
    </xf>
    <xf numFmtId="166" fontId="9" fillId="4" borderId="18" xfId="1" applyNumberFormat="1" applyFont="1" applyFill="1" applyBorder="1" applyAlignment="1">
      <alignment horizontal="center" vertical="center"/>
    </xf>
    <xf numFmtId="172" fontId="9" fillId="5" borderId="18" xfId="2" applyNumberFormat="1" applyFont="1" applyFill="1" applyBorder="1" applyAlignment="1" applyProtection="1">
      <alignment horizontal="center" vertical="center"/>
    </xf>
    <xf numFmtId="1" fontId="9" fillId="4" borderId="16" xfId="1" applyNumberFormat="1" applyFont="1" applyFill="1" applyBorder="1" applyAlignment="1">
      <alignment horizontal="center" vertical="center"/>
    </xf>
    <xf numFmtId="0" fontId="9" fillId="4" borderId="16" xfId="2" applyNumberFormat="1" applyFont="1" applyFill="1" applyBorder="1" applyAlignment="1" applyProtection="1">
      <alignment horizontal="center" vertical="center"/>
    </xf>
    <xf numFmtId="2" fontId="9" fillId="4" borderId="16" xfId="2" applyNumberFormat="1" applyFont="1" applyFill="1" applyBorder="1" applyAlignment="1" applyProtection="1">
      <alignment horizontal="center" vertical="center"/>
    </xf>
    <xf numFmtId="173" fontId="9" fillId="4" borderId="16" xfId="1" applyNumberFormat="1" applyFont="1" applyFill="1" applyBorder="1" applyAlignment="1">
      <alignment horizontal="center" vertical="center"/>
    </xf>
    <xf numFmtId="3" fontId="9" fillId="4" borderId="16" xfId="1" applyNumberFormat="1" applyFont="1" applyFill="1" applyBorder="1" applyAlignment="1">
      <alignment horizontal="center" vertical="center"/>
    </xf>
    <xf numFmtId="172" fontId="9" fillId="5" borderId="16" xfId="2" applyNumberFormat="1" applyFont="1" applyFill="1" applyBorder="1" applyAlignment="1" applyProtection="1">
      <alignment horizontal="center" vertical="center"/>
    </xf>
    <xf numFmtId="1" fontId="9" fillId="5" borderId="16" xfId="2" applyNumberFormat="1" applyFont="1" applyFill="1" applyBorder="1" applyAlignment="1" applyProtection="1">
      <alignment horizontal="center" vertical="center"/>
    </xf>
    <xf numFmtId="2" fontId="9" fillId="5" borderId="16" xfId="2" applyNumberFormat="1" applyFont="1" applyFill="1" applyBorder="1" applyAlignment="1" applyProtection="1">
      <alignment horizontal="left" vertical="center"/>
    </xf>
    <xf numFmtId="2" fontId="9" fillId="5" borderId="16" xfId="2" applyNumberFormat="1" applyFont="1" applyFill="1" applyBorder="1" applyAlignment="1" applyProtection="1">
      <alignment horizontal="center" vertical="center"/>
    </xf>
    <xf numFmtId="0" fontId="9" fillId="5" borderId="16" xfId="2" applyNumberFormat="1" applyFont="1" applyFill="1" applyBorder="1" applyAlignment="1" applyProtection="1">
      <alignment horizontal="center" vertical="center"/>
    </xf>
    <xf numFmtId="168" fontId="9" fillId="5" borderId="16" xfId="2" applyNumberFormat="1" applyFont="1" applyFill="1" applyBorder="1" applyAlignment="1" applyProtection="1">
      <alignment horizontal="center" vertical="center"/>
    </xf>
    <xf numFmtId="173" fontId="9" fillId="5" borderId="16" xfId="2" applyNumberFormat="1" applyFont="1" applyFill="1" applyBorder="1" applyAlignment="1" applyProtection="1">
      <alignment horizontal="center" vertical="center"/>
    </xf>
    <xf numFmtId="3" fontId="9" fillId="5" borderId="16" xfId="2" applyNumberFormat="1" applyFont="1" applyFill="1" applyBorder="1" applyAlignment="1" applyProtection="1">
      <alignment horizontal="center" vertical="center"/>
    </xf>
    <xf numFmtId="2" fontId="7" fillId="3" borderId="16" xfId="2" applyNumberFormat="1" applyFont="1" applyFill="1" applyBorder="1" applyAlignment="1" applyProtection="1">
      <alignment horizontal="center" vertical="center" wrapText="1"/>
    </xf>
    <xf numFmtId="166" fontId="11" fillId="0" borderId="11" xfId="4" applyNumberFormat="1" applyFont="1" applyBorder="1" applyAlignment="1">
      <alignment vertical="center" wrapText="1"/>
    </xf>
    <xf numFmtId="166" fontId="13" fillId="0" borderId="24" xfId="4" applyNumberFormat="1" applyFont="1" applyFill="1" applyBorder="1" applyAlignment="1">
      <alignment horizontal="center" vertical="center" wrapText="1"/>
    </xf>
    <xf numFmtId="14" fontId="13" fillId="0" borderId="25" xfId="4" applyNumberFormat="1" applyFont="1" applyBorder="1" applyAlignment="1" applyProtection="1">
      <alignment horizontal="center" vertical="center" wrapText="1"/>
    </xf>
    <xf numFmtId="166" fontId="8" fillId="2" borderId="9" xfId="4" applyNumberFormat="1" applyFont="1" applyFill="1" applyBorder="1" applyAlignment="1">
      <alignment horizontal="left" vertical="center" wrapText="1"/>
    </xf>
    <xf numFmtId="1" fontId="9" fillId="4" borderId="11" xfId="2" applyNumberFormat="1" applyFont="1" applyFill="1" applyBorder="1" applyAlignment="1" applyProtection="1">
      <alignment horizontal="center" vertical="center"/>
    </xf>
    <xf numFmtId="4" fontId="9" fillId="4" borderId="11" xfId="1" applyNumberFormat="1" applyFont="1" applyFill="1" applyBorder="1" applyAlignment="1" applyProtection="1">
      <alignment horizontal="center" vertical="center"/>
    </xf>
    <xf numFmtId="0" fontId="9" fillId="4" borderId="0" xfId="1" applyFont="1" applyFill="1" applyBorder="1" applyAlignment="1">
      <alignment horizontal="center" vertical="center"/>
    </xf>
    <xf numFmtId="0" fontId="9" fillId="4" borderId="0" xfId="1" applyFont="1" applyFill="1" applyBorder="1" applyAlignment="1">
      <alignment horizontal="left" vertical="center"/>
    </xf>
    <xf numFmtId="166" fontId="9" fillId="4" borderId="0" xfId="1" applyNumberFormat="1" applyFont="1" applyFill="1" applyBorder="1" applyAlignment="1">
      <alignment horizontal="center" vertical="center"/>
    </xf>
    <xf numFmtId="166" fontId="9" fillId="4" borderId="0" xfId="1" applyNumberFormat="1" applyFont="1" applyFill="1" applyBorder="1" applyAlignment="1" applyProtection="1">
      <alignment horizontal="center" vertical="center"/>
    </xf>
    <xf numFmtId="1" fontId="9" fillId="4" borderId="0" xfId="2" applyNumberFormat="1" applyFont="1" applyFill="1" applyBorder="1" applyAlignment="1" applyProtection="1">
      <alignment horizontal="center" vertical="center"/>
    </xf>
    <xf numFmtId="4" fontId="9" fillId="4" borderId="0" xfId="1" applyNumberFormat="1" applyFont="1" applyFill="1" applyBorder="1" applyAlignment="1" applyProtection="1">
      <alignment horizontal="center" vertical="center"/>
    </xf>
    <xf numFmtId="2" fontId="9" fillId="4" borderId="0" xfId="1" applyNumberFormat="1" applyFont="1" applyFill="1" applyBorder="1" applyAlignment="1" applyProtection="1">
      <alignment horizontal="center" vertical="center"/>
    </xf>
    <xf numFmtId="168" fontId="9" fillId="4" borderId="0" xfId="2" applyNumberFormat="1" applyFont="1" applyFill="1" applyBorder="1" applyAlignment="1" applyProtection="1">
      <alignment horizontal="center" vertical="center"/>
    </xf>
    <xf numFmtId="166" fontId="8" fillId="2" borderId="9" xfId="4" applyNumberFormat="1" applyFont="1" applyFill="1" applyBorder="1" applyAlignment="1">
      <alignment horizontal="left" vertical="center" wrapText="1"/>
    </xf>
    <xf numFmtId="166" fontId="8" fillId="2" borderId="9" xfId="4" applyNumberFormat="1" applyFont="1" applyFill="1" applyBorder="1" applyAlignment="1">
      <alignment horizontal="left" vertical="center" wrapText="1"/>
    </xf>
    <xf numFmtId="166" fontId="5" fillId="0" borderId="2" xfId="4" applyNumberFormat="1" applyFont="1" applyBorder="1" applyAlignment="1">
      <alignment horizontal="left" vertical="center"/>
    </xf>
    <xf numFmtId="166" fontId="5" fillId="0" borderId="3" xfId="4" applyNumberFormat="1" applyFont="1" applyBorder="1" applyAlignment="1">
      <alignment horizontal="left" vertical="center"/>
    </xf>
    <xf numFmtId="166" fontId="8" fillId="0" borderId="2" xfId="4" applyNumberFormat="1" applyFont="1" applyBorder="1" applyAlignment="1">
      <alignment horizontal="left" vertical="center"/>
    </xf>
    <xf numFmtId="166" fontId="8" fillId="0" borderId="3" xfId="4" applyNumberFormat="1" applyFont="1" applyBorder="1" applyAlignment="1">
      <alignment horizontal="left" vertical="center"/>
    </xf>
    <xf numFmtId="166" fontId="8" fillId="0" borderId="10" xfId="4" applyNumberFormat="1" applyFont="1" applyBorder="1" applyAlignment="1">
      <alignment horizontal="left" vertical="center"/>
    </xf>
    <xf numFmtId="166" fontId="8" fillId="2" borderId="3" xfId="4" applyNumberFormat="1" applyFont="1" applyFill="1" applyBorder="1" applyAlignment="1">
      <alignment horizontal="left" vertical="center" wrapText="1"/>
    </xf>
    <xf numFmtId="166" fontId="8" fillId="2" borderId="10" xfId="4" applyNumberFormat="1" applyFont="1" applyFill="1" applyBorder="1" applyAlignment="1">
      <alignment horizontal="left" vertical="center" wrapText="1"/>
    </xf>
    <xf numFmtId="166" fontId="8" fillId="0" borderId="8" xfId="4" applyNumberFormat="1" applyFont="1" applyBorder="1" applyAlignment="1">
      <alignment horizontal="left" vertical="center"/>
    </xf>
    <xf numFmtId="166" fontId="8" fillId="0" borderId="12" xfId="4" applyNumberFormat="1" applyFont="1" applyBorder="1" applyAlignment="1">
      <alignment horizontal="left" vertical="center"/>
    </xf>
    <xf numFmtId="166" fontId="5" fillId="0" borderId="13" xfId="4" applyNumberFormat="1" applyFont="1" applyBorder="1" applyAlignment="1">
      <alignment horizontal="left" vertical="center"/>
    </xf>
    <xf numFmtId="166" fontId="5" fillId="0" borderId="14" xfId="4" applyNumberFormat="1" applyFont="1" applyBorder="1" applyAlignment="1">
      <alignment horizontal="left" vertical="center"/>
    </xf>
    <xf numFmtId="166" fontId="11" fillId="2" borderId="19" xfId="4" applyNumberFormat="1" applyFont="1" applyFill="1" applyBorder="1" applyAlignment="1">
      <alignment horizontal="center" vertical="center" wrapText="1"/>
    </xf>
    <xf numFmtId="166" fontId="11" fillId="2" borderId="20" xfId="4" applyNumberFormat="1" applyFont="1" applyFill="1" applyBorder="1" applyAlignment="1">
      <alignment horizontal="center" vertical="center" wrapText="1"/>
    </xf>
    <xf numFmtId="166" fontId="11" fillId="2" borderId="21" xfId="4" applyNumberFormat="1" applyFont="1" applyFill="1" applyBorder="1" applyAlignment="1">
      <alignment horizontal="center" vertical="center" wrapText="1"/>
    </xf>
    <xf numFmtId="166" fontId="8" fillId="2" borderId="9" xfId="4" applyNumberFormat="1" applyFont="1" applyFill="1" applyBorder="1" applyAlignment="1">
      <alignment horizontal="left" vertical="center" wrapText="1"/>
    </xf>
    <xf numFmtId="166" fontId="11" fillId="2" borderId="16" xfId="4" applyNumberFormat="1" applyFont="1" applyFill="1" applyBorder="1" applyAlignment="1">
      <alignment horizontal="center" vertical="center" wrapText="1"/>
    </xf>
    <xf numFmtId="166" fontId="11" fillId="2" borderId="22" xfId="4" applyNumberFormat="1" applyFont="1" applyFill="1" applyBorder="1" applyAlignment="1">
      <alignment horizontal="center" vertical="center" wrapText="1"/>
    </xf>
    <xf numFmtId="166" fontId="11" fillId="2" borderId="23" xfId="4" applyNumberFormat="1" applyFont="1" applyFill="1" applyBorder="1" applyAlignment="1">
      <alignment horizontal="center" vertical="center" wrapText="1"/>
    </xf>
    <xf numFmtId="166" fontId="11" fillId="2" borderId="4" xfId="4" applyNumberFormat="1" applyFont="1" applyFill="1" applyBorder="1" applyAlignment="1">
      <alignment horizontal="center" vertical="center" wrapText="1"/>
    </xf>
    <xf numFmtId="166" fontId="11" fillId="2" borderId="7" xfId="4" applyNumberFormat="1" applyFont="1" applyFill="1" applyBorder="1" applyAlignment="1">
      <alignment horizontal="center" vertical="center" wrapText="1"/>
    </xf>
    <xf numFmtId="166" fontId="11" fillId="2" borderId="26" xfId="4" applyNumberFormat="1" applyFont="1" applyFill="1" applyBorder="1" applyAlignment="1">
      <alignment horizontal="center" vertical="center" wrapText="1"/>
    </xf>
  </cellXfs>
  <cellStyles count="20">
    <cellStyle name="Comma 2" xfId="5"/>
    <cellStyle name="Comma 2 2" xfId="6"/>
    <cellStyle name="Comma 2 3" xfId="9"/>
    <cellStyle name="Comma 3" xfId="2"/>
    <cellStyle name="Comma 3 2" xfId="17"/>
    <cellStyle name="Comma 4" xfId="8"/>
    <cellStyle name="Comma 4 2" xfId="19"/>
    <cellStyle name="Euro" xfId="10"/>
    <cellStyle name="Euro 2" xfId="11"/>
    <cellStyle name="f‰H_x0010_‹Ëf‰h,ÿt$_x0018_è¸Wÿÿé&gt;Ëÿÿ÷Ç_x0001_" xfId="12"/>
    <cellStyle name="Normal" xfId="0" builtinId="0"/>
    <cellStyle name="Normal 2" xfId="4"/>
    <cellStyle name="Normal 2 2" xfId="13"/>
    <cellStyle name="Normal 3" xfId="1"/>
    <cellStyle name="Normal 3 2" xfId="18"/>
    <cellStyle name="Percent 2" xfId="7"/>
    <cellStyle name="Percent 3" xfId="14"/>
    <cellStyle name="Percent 4" xfId="15"/>
    <cellStyle name="Virgül" xfId="16" builtinId="3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3"/>
  <sheetViews>
    <sheetView tabSelected="1" zoomScale="70" zoomScaleNormal="70" zoomScaleSheetLayoutView="90" workbookViewId="0">
      <selection activeCell="A6" sqref="A6"/>
    </sheetView>
  </sheetViews>
  <sheetFormatPr defaultColWidth="54.28515625" defaultRowHeight="15" x14ac:dyDescent="0.25"/>
  <cols>
    <col min="1" max="1" width="15.42578125" style="15" bestFit="1" customWidth="1"/>
    <col min="2" max="2" width="28.140625" style="15" bestFit="1" customWidth="1"/>
    <col min="3" max="3" width="23.140625" style="15" bestFit="1" customWidth="1"/>
    <col min="4" max="4" width="14.28515625" style="15" bestFit="1" customWidth="1"/>
    <col min="5" max="5" width="12" style="15" bestFit="1" customWidth="1"/>
    <col min="6" max="6" width="14.7109375" style="26" bestFit="1" customWidth="1"/>
    <col min="7" max="7" width="9.42578125" style="26" bestFit="1" customWidth="1"/>
    <col min="8" max="8" width="13.85546875" style="26" bestFit="1" customWidth="1"/>
    <col min="9" max="9" width="27.85546875" style="26" bestFit="1" customWidth="1"/>
    <col min="10" max="10" width="23" style="15" bestFit="1" customWidth="1"/>
    <col min="11" max="16384" width="54.28515625" style="3"/>
  </cols>
  <sheetData>
    <row r="1" spans="1:10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72" x14ac:dyDescent="0.25">
      <c r="A2" s="2" t="s">
        <v>102</v>
      </c>
      <c r="B2" s="2" t="s">
        <v>3</v>
      </c>
      <c r="C2" s="2" t="s">
        <v>97</v>
      </c>
      <c r="D2" s="2" t="s">
        <v>0</v>
      </c>
      <c r="E2" s="2" t="s">
        <v>1</v>
      </c>
      <c r="F2" s="2" t="s">
        <v>98</v>
      </c>
      <c r="G2" s="2" t="s">
        <v>21</v>
      </c>
      <c r="H2" s="2" t="s">
        <v>22</v>
      </c>
      <c r="I2" s="2" t="s">
        <v>99</v>
      </c>
      <c r="J2" s="2" t="s">
        <v>23</v>
      </c>
    </row>
    <row r="3" spans="1:10" ht="16.5" x14ac:dyDescent="0.25">
      <c r="A3" s="5" t="s">
        <v>112</v>
      </c>
      <c r="B3" s="5" t="s">
        <v>15</v>
      </c>
      <c r="C3" s="6">
        <v>46048</v>
      </c>
      <c r="D3" s="6">
        <v>46050</v>
      </c>
      <c r="E3" s="7">
        <v>46414</v>
      </c>
      <c r="F3" s="112">
        <v>364</v>
      </c>
      <c r="G3" s="113" t="s">
        <v>6</v>
      </c>
      <c r="H3" s="8">
        <v>0.4</v>
      </c>
      <c r="I3" s="9">
        <v>13492200</v>
      </c>
      <c r="J3" s="9">
        <f>+I3*1</f>
        <v>13492200</v>
      </c>
    </row>
    <row r="4" spans="1:10" ht="16.5" x14ac:dyDescent="0.25">
      <c r="A4" s="5" t="s">
        <v>113</v>
      </c>
      <c r="B4" s="5" t="s">
        <v>15</v>
      </c>
      <c r="C4" s="6">
        <v>46070</v>
      </c>
      <c r="D4" s="6">
        <v>46071</v>
      </c>
      <c r="E4" s="7">
        <v>46617</v>
      </c>
      <c r="F4" s="112">
        <v>546</v>
      </c>
      <c r="G4" s="113" t="s">
        <v>6</v>
      </c>
      <c r="H4" s="8">
        <v>0.3</v>
      </c>
      <c r="I4" s="9">
        <v>14120045</v>
      </c>
      <c r="J4" s="9">
        <f>+I4*1</f>
        <v>14120045</v>
      </c>
    </row>
    <row r="5" spans="1:10" ht="16.5" x14ac:dyDescent="0.25">
      <c r="A5" s="5" t="s">
        <v>114</v>
      </c>
      <c r="B5" s="5" t="s">
        <v>15</v>
      </c>
      <c r="C5" s="6">
        <v>46098</v>
      </c>
      <c r="D5" s="6">
        <v>46099</v>
      </c>
      <c r="E5" s="7">
        <v>46827</v>
      </c>
      <c r="F5" s="112">
        <v>728</v>
      </c>
      <c r="G5" s="113" t="s">
        <v>6</v>
      </c>
      <c r="H5" s="8">
        <v>0.4</v>
      </c>
      <c r="I5" s="9">
        <v>8343075</v>
      </c>
      <c r="J5" s="9">
        <f>+I5*1</f>
        <v>8343075</v>
      </c>
    </row>
    <row r="6" spans="1:10" ht="16.5" x14ac:dyDescent="0.25">
      <c r="A6" s="114"/>
      <c r="B6" s="115"/>
      <c r="C6" s="116"/>
      <c r="D6" s="116"/>
      <c r="E6" s="117"/>
      <c r="F6" s="118"/>
      <c r="G6" s="119"/>
      <c r="H6" s="120"/>
      <c r="I6" s="121"/>
      <c r="J6" s="121"/>
    </row>
    <row r="7" spans="1:10" ht="15" customHeight="1" x14ac:dyDescent="0.25">
      <c r="A7" s="126" t="s">
        <v>24</v>
      </c>
      <c r="B7" s="127"/>
      <c r="C7" s="127"/>
      <c r="D7" s="127"/>
      <c r="E7" s="127"/>
      <c r="F7" s="127"/>
      <c r="G7" s="127"/>
      <c r="H7" s="127"/>
      <c r="I7" s="127"/>
      <c r="J7" s="128"/>
    </row>
    <row r="8" spans="1:10" s="19" customFormat="1" ht="13.5" customHeight="1" x14ac:dyDescent="0.25">
      <c r="A8" s="129" t="s">
        <v>69</v>
      </c>
      <c r="B8" s="129"/>
      <c r="C8" s="129"/>
      <c r="D8" s="129"/>
      <c r="E8" s="129"/>
      <c r="F8" s="129"/>
      <c r="G8" s="129"/>
      <c r="H8" s="129"/>
      <c r="I8" s="130"/>
      <c r="J8" s="123"/>
    </row>
    <row r="9" spans="1:10" s="19" customFormat="1" ht="16.5" x14ac:dyDescent="0.25">
      <c r="A9" s="15"/>
      <c r="B9" s="15"/>
      <c r="C9" s="123"/>
      <c r="D9" s="123"/>
      <c r="E9" s="123"/>
      <c r="F9" s="123"/>
      <c r="G9" s="123"/>
      <c r="H9" s="123"/>
      <c r="I9" s="123"/>
      <c r="J9" s="123"/>
    </row>
    <row r="10" spans="1:10" s="19" customFormat="1" ht="16.5" x14ac:dyDescent="0.25">
      <c r="A10" s="15"/>
      <c r="B10" s="15"/>
      <c r="C10" s="15"/>
      <c r="D10" s="15"/>
      <c r="E10" s="15"/>
      <c r="F10" s="20"/>
      <c r="G10" s="20"/>
      <c r="H10" s="20"/>
      <c r="I10" s="20"/>
      <c r="J10" s="21"/>
    </row>
    <row r="11" spans="1:10" s="19" customFormat="1" ht="16.5" x14ac:dyDescent="0.25">
      <c r="A11" s="15"/>
      <c r="B11" s="15"/>
      <c r="C11" s="15"/>
      <c r="D11" s="15"/>
      <c r="E11" s="15"/>
      <c r="F11" s="22"/>
      <c r="G11" s="22"/>
      <c r="H11" s="22"/>
      <c r="I11" s="22"/>
      <c r="J11" s="22"/>
    </row>
    <row r="12" spans="1:10" s="19" customFormat="1" ht="16.5" x14ac:dyDescent="0.25">
      <c r="A12" s="15"/>
      <c r="B12" s="15"/>
      <c r="C12" s="15"/>
      <c r="D12" s="15"/>
      <c r="E12" s="15"/>
      <c r="F12" s="22"/>
      <c r="G12" s="22"/>
      <c r="H12" s="22"/>
      <c r="I12" s="22"/>
      <c r="J12" s="22"/>
    </row>
    <row r="13" spans="1:10" s="19" customFormat="1" ht="16.5" x14ac:dyDescent="0.25">
      <c r="A13" s="15"/>
      <c r="B13" s="15"/>
      <c r="C13" s="15"/>
      <c r="D13" s="15"/>
      <c r="E13" s="15"/>
      <c r="F13" s="23"/>
      <c r="G13" s="23"/>
      <c r="H13" s="23"/>
      <c r="I13" s="23"/>
      <c r="J13" s="21"/>
    </row>
    <row r="14" spans="1:10" s="19" customFormat="1" ht="16.5" x14ac:dyDescent="0.25">
      <c r="A14" s="15"/>
      <c r="B14" s="15"/>
      <c r="C14" s="15"/>
      <c r="D14" s="15"/>
      <c r="E14" s="15"/>
      <c r="F14" s="20"/>
      <c r="G14" s="23"/>
      <c r="H14" s="23"/>
      <c r="I14" s="23"/>
      <c r="J14" s="22"/>
    </row>
    <row r="15" spans="1:10" s="19" customFormat="1" ht="16.5" x14ac:dyDescent="0.25">
      <c r="A15" s="15"/>
      <c r="B15" s="15"/>
      <c r="C15" s="15"/>
      <c r="D15" s="15"/>
      <c r="E15" s="15"/>
      <c r="F15" s="23"/>
      <c r="G15" s="23"/>
      <c r="H15" s="23"/>
      <c r="I15" s="23"/>
      <c r="J15" s="21"/>
    </row>
    <row r="16" spans="1:10" s="19" customFormat="1" ht="16.5" x14ac:dyDescent="0.25">
      <c r="A16" s="15"/>
      <c r="B16" s="15"/>
      <c r="C16" s="15"/>
      <c r="D16" s="15"/>
      <c r="E16" s="15"/>
      <c r="F16" s="22"/>
      <c r="G16" s="22"/>
      <c r="H16" s="22"/>
      <c r="I16" s="22"/>
      <c r="J16" s="22"/>
    </row>
    <row r="17" spans="1:10" s="19" customFormat="1" ht="16.5" x14ac:dyDescent="0.25">
      <c r="A17" s="15"/>
      <c r="B17" s="15"/>
      <c r="C17" s="15"/>
      <c r="D17" s="15"/>
      <c r="E17" s="15"/>
      <c r="F17" s="20"/>
      <c r="G17" s="20"/>
      <c r="H17" s="20"/>
      <c r="I17" s="20"/>
      <c r="J17" s="21"/>
    </row>
    <row r="18" spans="1:10" s="19" customFormat="1" ht="16.5" x14ac:dyDescent="0.25">
      <c r="A18" s="15"/>
      <c r="B18" s="15"/>
      <c r="C18" s="15"/>
      <c r="D18" s="15"/>
      <c r="E18" s="15"/>
      <c r="F18" s="20"/>
      <c r="G18" s="20"/>
      <c r="H18" s="20"/>
      <c r="I18" s="20"/>
      <c r="J18" s="21"/>
    </row>
    <row r="19" spans="1:10" s="19" customFormat="1" ht="16.5" x14ac:dyDescent="0.25">
      <c r="A19" s="15"/>
      <c r="B19" s="15"/>
      <c r="C19" s="15"/>
      <c r="D19" s="15"/>
      <c r="E19" s="15"/>
      <c r="F19" s="20"/>
      <c r="G19" s="20"/>
      <c r="H19" s="20"/>
      <c r="I19" s="20"/>
      <c r="J19" s="21"/>
    </row>
    <row r="20" spans="1:10" s="19" customFormat="1" ht="16.5" x14ac:dyDescent="0.25">
      <c r="A20" s="15"/>
      <c r="B20" s="15"/>
      <c r="C20" s="15"/>
      <c r="D20" s="15"/>
      <c r="E20" s="15"/>
      <c r="F20" s="20"/>
      <c r="G20" s="20"/>
      <c r="H20" s="20"/>
      <c r="I20" s="20"/>
      <c r="J20" s="21"/>
    </row>
    <row r="21" spans="1:10" s="19" customFormat="1" ht="16.5" x14ac:dyDescent="0.25">
      <c r="A21" s="15"/>
      <c r="B21" s="15"/>
      <c r="C21" s="15"/>
      <c r="D21" s="15"/>
      <c r="E21" s="15"/>
      <c r="F21" s="22"/>
      <c r="G21" s="22"/>
      <c r="H21" s="22"/>
      <c r="I21" s="22"/>
      <c r="J21" s="22"/>
    </row>
    <row r="22" spans="1:10" s="19" customFormat="1" ht="16.5" x14ac:dyDescent="0.25">
      <c r="A22" s="15"/>
      <c r="B22" s="15"/>
      <c r="C22" s="15"/>
      <c r="D22" s="15"/>
      <c r="E22" s="15"/>
      <c r="F22" s="23"/>
      <c r="G22" s="23"/>
      <c r="H22" s="23"/>
      <c r="I22" s="23"/>
      <c r="J22" s="21"/>
    </row>
    <row r="23" spans="1:10" s="19" customFormat="1" ht="16.5" x14ac:dyDescent="0.25">
      <c r="A23" s="15"/>
      <c r="B23" s="15"/>
      <c r="C23" s="15"/>
      <c r="D23" s="15"/>
      <c r="E23" s="15"/>
      <c r="F23" s="20"/>
      <c r="G23" s="23"/>
      <c r="H23" s="23"/>
      <c r="I23" s="23"/>
      <c r="J23" s="22"/>
    </row>
    <row r="24" spans="1:10" s="19" customFormat="1" ht="16.5" x14ac:dyDescent="0.25">
      <c r="A24" s="15"/>
      <c r="B24" s="15"/>
      <c r="C24" s="15"/>
      <c r="D24" s="15"/>
      <c r="E24" s="15"/>
      <c r="F24" s="23"/>
      <c r="G24" s="23"/>
      <c r="H24" s="23"/>
      <c r="I24" s="23"/>
      <c r="J24" s="21"/>
    </row>
    <row r="25" spans="1:10" s="19" customFormat="1" ht="16.5" x14ac:dyDescent="0.25">
      <c r="A25" s="15"/>
      <c r="B25" s="15"/>
      <c r="C25" s="15"/>
      <c r="D25" s="15"/>
      <c r="E25" s="15"/>
      <c r="F25" s="22"/>
      <c r="G25" s="22"/>
      <c r="H25" s="22"/>
      <c r="I25" s="22"/>
      <c r="J25" s="22"/>
    </row>
    <row r="26" spans="1:10" s="19" customFormat="1" ht="16.5" x14ac:dyDescent="0.25">
      <c r="A26" s="15"/>
      <c r="B26" s="15"/>
      <c r="C26" s="15"/>
      <c r="D26" s="15"/>
      <c r="E26" s="15"/>
      <c r="F26" s="20"/>
      <c r="G26" s="20"/>
      <c r="H26" s="20"/>
      <c r="I26" s="20"/>
      <c r="J26" s="21"/>
    </row>
    <row r="27" spans="1:10" s="19" customFormat="1" ht="16.5" x14ac:dyDescent="0.25">
      <c r="A27" s="15"/>
      <c r="B27" s="15"/>
      <c r="C27" s="15"/>
      <c r="D27" s="15"/>
      <c r="E27" s="15"/>
      <c r="F27" s="22"/>
      <c r="G27" s="22"/>
      <c r="H27" s="22"/>
      <c r="I27" s="22"/>
      <c r="J27" s="22"/>
    </row>
    <row r="28" spans="1:10" s="19" customFormat="1" ht="16.5" x14ac:dyDescent="0.25">
      <c r="A28" s="15"/>
      <c r="B28" s="15"/>
      <c r="C28" s="15"/>
      <c r="D28" s="15"/>
      <c r="E28" s="15"/>
      <c r="F28" s="22"/>
      <c r="G28" s="22"/>
      <c r="H28" s="22"/>
      <c r="I28" s="22"/>
      <c r="J28" s="22"/>
    </row>
    <row r="29" spans="1:10" s="19" customFormat="1" ht="16.5" x14ac:dyDescent="0.25">
      <c r="A29" s="15"/>
      <c r="B29" s="15"/>
      <c r="C29" s="15"/>
      <c r="D29" s="15"/>
      <c r="E29" s="15"/>
      <c r="F29" s="23"/>
      <c r="G29" s="23"/>
      <c r="H29" s="23"/>
      <c r="I29" s="23"/>
      <c r="J29" s="21"/>
    </row>
    <row r="30" spans="1:10" s="19" customFormat="1" ht="16.5" x14ac:dyDescent="0.25">
      <c r="A30" s="15"/>
      <c r="B30" s="15"/>
      <c r="C30" s="15"/>
      <c r="D30" s="15"/>
      <c r="E30" s="15"/>
      <c r="F30" s="20"/>
      <c r="G30" s="23"/>
      <c r="H30" s="23"/>
      <c r="I30" s="23"/>
      <c r="J30" s="22"/>
    </row>
    <row r="31" spans="1:10" s="19" customFormat="1" ht="16.5" x14ac:dyDescent="0.25">
      <c r="A31" s="15"/>
      <c r="B31" s="15"/>
      <c r="C31" s="15"/>
      <c r="D31" s="15"/>
      <c r="E31" s="15"/>
      <c r="F31" s="23"/>
      <c r="G31" s="23"/>
      <c r="H31" s="23"/>
      <c r="I31" s="23"/>
      <c r="J31" s="21"/>
    </row>
    <row r="32" spans="1:10" s="19" customFormat="1" ht="16.5" x14ac:dyDescent="0.25">
      <c r="A32" s="15"/>
      <c r="B32" s="15"/>
      <c r="C32" s="15"/>
      <c r="D32" s="15"/>
      <c r="E32" s="15"/>
      <c r="F32" s="22"/>
      <c r="G32" s="22"/>
      <c r="H32" s="22"/>
      <c r="I32" s="22"/>
      <c r="J32" s="22"/>
    </row>
    <row r="33" spans="1:10" s="19" customFormat="1" ht="16.5" x14ac:dyDescent="0.25">
      <c r="A33" s="15"/>
      <c r="B33" s="15"/>
      <c r="C33" s="15"/>
      <c r="D33" s="15"/>
      <c r="E33" s="15"/>
      <c r="F33" s="20"/>
      <c r="G33" s="20"/>
      <c r="H33" s="20"/>
      <c r="I33" s="20"/>
      <c r="J33" s="21"/>
    </row>
    <row r="34" spans="1:10" s="19" customFormat="1" ht="16.5" x14ac:dyDescent="0.25">
      <c r="A34" s="15"/>
      <c r="B34" s="15"/>
      <c r="C34" s="15"/>
      <c r="D34" s="24"/>
      <c r="E34" s="24"/>
      <c r="F34" s="22"/>
      <c r="G34" s="22"/>
      <c r="H34" s="22"/>
      <c r="I34" s="22"/>
      <c r="J34" s="22"/>
    </row>
    <row r="35" spans="1:10" s="19" customFormat="1" ht="16.5" x14ac:dyDescent="0.25">
      <c r="A35" s="15"/>
      <c r="B35" s="15"/>
      <c r="C35" s="15"/>
      <c r="D35" s="24"/>
      <c r="E35" s="24"/>
      <c r="F35" s="22"/>
      <c r="G35" s="22"/>
      <c r="H35" s="22"/>
      <c r="I35" s="22"/>
      <c r="J35" s="22"/>
    </row>
    <row r="36" spans="1:10" s="19" customFormat="1" ht="16.5" x14ac:dyDescent="0.25">
      <c r="A36" s="15"/>
      <c r="B36" s="15"/>
      <c r="C36" s="15"/>
      <c r="D36" s="24"/>
      <c r="E36" s="24"/>
      <c r="F36" s="22"/>
      <c r="G36" s="22"/>
      <c r="H36" s="22"/>
      <c r="I36" s="22"/>
      <c r="J36" s="22"/>
    </row>
    <row r="37" spans="1:10" s="19" customFormat="1" ht="16.5" x14ac:dyDescent="0.25">
      <c r="A37" s="15"/>
      <c r="B37" s="15"/>
      <c r="C37" s="15"/>
      <c r="D37" s="15"/>
      <c r="E37" s="15"/>
      <c r="F37" s="22"/>
      <c r="G37" s="22"/>
      <c r="H37" s="22"/>
      <c r="I37" s="22"/>
      <c r="J37" s="22"/>
    </row>
    <row r="38" spans="1:10" s="19" customFormat="1" ht="16.5" x14ac:dyDescent="0.25">
      <c r="A38" s="15"/>
      <c r="B38" s="15"/>
      <c r="C38" s="15"/>
      <c r="D38" s="15"/>
      <c r="E38" s="15"/>
      <c r="F38" s="22"/>
      <c r="G38" s="22"/>
      <c r="H38" s="22"/>
      <c r="I38" s="22"/>
      <c r="J38" s="22"/>
    </row>
    <row r="39" spans="1:10" s="19" customFormat="1" ht="16.5" x14ac:dyDescent="0.25">
      <c r="A39" s="15"/>
      <c r="B39" s="15"/>
      <c r="C39" s="15"/>
      <c r="D39" s="15"/>
      <c r="E39" s="15"/>
      <c r="F39" s="22"/>
      <c r="G39" s="22"/>
      <c r="H39" s="22"/>
      <c r="I39" s="22"/>
      <c r="J39" s="22"/>
    </row>
    <row r="40" spans="1:10" s="19" customFormat="1" ht="16.5" x14ac:dyDescent="0.25">
      <c r="A40" s="15"/>
      <c r="B40" s="15"/>
      <c r="C40" s="15"/>
      <c r="D40" s="15"/>
      <c r="E40" s="15"/>
      <c r="F40" s="22"/>
      <c r="G40" s="22"/>
      <c r="H40" s="22"/>
      <c r="I40" s="22"/>
      <c r="J40" s="22"/>
    </row>
    <row r="41" spans="1:10" s="19" customFormat="1" ht="16.5" x14ac:dyDescent="0.25">
      <c r="A41" s="15"/>
      <c r="B41" s="15"/>
      <c r="C41" s="15"/>
      <c r="D41" s="15"/>
      <c r="E41" s="15"/>
      <c r="F41" s="22"/>
      <c r="G41" s="22"/>
      <c r="H41" s="22"/>
      <c r="I41" s="22"/>
      <c r="J41" s="22"/>
    </row>
    <row r="42" spans="1:10" s="19" customFormat="1" ht="16.5" x14ac:dyDescent="0.25">
      <c r="A42" s="15"/>
      <c r="B42" s="15"/>
      <c r="C42" s="15"/>
      <c r="D42" s="15"/>
      <c r="E42" s="15"/>
      <c r="F42" s="22"/>
      <c r="G42" s="22"/>
      <c r="H42" s="22"/>
      <c r="I42" s="22"/>
      <c r="J42" s="22"/>
    </row>
    <row r="43" spans="1:10" s="19" customFormat="1" ht="16.5" x14ac:dyDescent="0.25">
      <c r="A43" s="15"/>
      <c r="B43" s="15"/>
      <c r="C43" s="15"/>
      <c r="D43" s="15"/>
      <c r="E43" s="15"/>
      <c r="F43" s="22"/>
      <c r="G43" s="22"/>
      <c r="H43" s="22"/>
      <c r="I43" s="22"/>
      <c r="J43" s="22"/>
    </row>
    <row r="44" spans="1:10" s="19" customFormat="1" ht="16.5" x14ac:dyDescent="0.25">
      <c r="A44" s="15"/>
      <c r="B44" s="15"/>
      <c r="C44" s="15"/>
      <c r="D44" s="15"/>
      <c r="E44" s="15"/>
      <c r="F44" s="23"/>
      <c r="G44" s="23"/>
      <c r="H44" s="23"/>
      <c r="I44" s="23"/>
      <c r="J44" s="21"/>
    </row>
    <row r="45" spans="1:10" s="19" customFormat="1" ht="16.5" x14ac:dyDescent="0.25">
      <c r="A45" s="15"/>
      <c r="B45" s="15"/>
      <c r="C45" s="15"/>
      <c r="D45" s="15"/>
      <c r="E45" s="15"/>
      <c r="F45" s="23"/>
      <c r="G45" s="23"/>
      <c r="H45" s="23"/>
      <c r="I45" s="23"/>
      <c r="J45" s="21"/>
    </row>
    <row r="46" spans="1:10" s="19" customFormat="1" ht="16.5" x14ac:dyDescent="0.25">
      <c r="A46" s="15"/>
      <c r="B46" s="15"/>
      <c r="C46" s="15"/>
      <c r="D46" s="15"/>
      <c r="E46" s="15"/>
      <c r="F46" s="23"/>
      <c r="G46" s="23"/>
      <c r="H46" s="23"/>
      <c r="I46" s="23"/>
      <c r="J46" s="21"/>
    </row>
    <row r="47" spans="1:10" s="19" customFormat="1" ht="16.5" x14ac:dyDescent="0.25">
      <c r="A47" s="15"/>
      <c r="B47" s="15"/>
      <c r="C47" s="15"/>
      <c r="D47" s="15"/>
      <c r="E47" s="15"/>
      <c r="F47" s="22"/>
      <c r="G47" s="22"/>
      <c r="H47" s="22"/>
      <c r="I47" s="22"/>
      <c r="J47" s="22"/>
    </row>
    <row r="48" spans="1:10" s="19" customFormat="1" ht="16.5" x14ac:dyDescent="0.25">
      <c r="A48" s="15"/>
      <c r="B48" s="15"/>
      <c r="C48" s="15"/>
      <c r="D48" s="15"/>
      <c r="E48" s="15"/>
      <c r="F48" s="20"/>
      <c r="G48" s="20"/>
      <c r="H48" s="20"/>
      <c r="I48" s="20"/>
      <c r="J48" s="21"/>
    </row>
    <row r="49" spans="1:10" s="19" customFormat="1" ht="16.5" x14ac:dyDescent="0.25">
      <c r="A49" s="15"/>
      <c r="B49" s="15"/>
      <c r="C49" s="15"/>
      <c r="D49" s="15"/>
      <c r="E49" s="15"/>
      <c r="F49" s="22"/>
      <c r="G49" s="22"/>
      <c r="H49" s="22"/>
      <c r="I49" s="22"/>
      <c r="J49" s="22"/>
    </row>
    <row r="50" spans="1:10" s="19" customFormat="1" ht="16.5" x14ac:dyDescent="0.25">
      <c r="A50" s="15"/>
      <c r="B50" s="15"/>
      <c r="C50" s="15"/>
      <c r="D50" s="15"/>
      <c r="E50" s="15"/>
      <c r="F50" s="22"/>
      <c r="G50" s="22"/>
      <c r="H50" s="22"/>
      <c r="I50" s="22"/>
      <c r="J50" s="22"/>
    </row>
    <row r="51" spans="1:10" s="19" customFormat="1" ht="16.5" x14ac:dyDescent="0.25">
      <c r="A51" s="15"/>
      <c r="B51" s="15"/>
      <c r="C51" s="15"/>
      <c r="D51" s="15"/>
      <c r="E51" s="15"/>
      <c r="F51" s="23"/>
      <c r="G51" s="23"/>
      <c r="H51" s="23"/>
      <c r="I51" s="23"/>
      <c r="J51" s="21"/>
    </row>
    <row r="52" spans="1:10" s="19" customFormat="1" ht="16.5" x14ac:dyDescent="0.25">
      <c r="A52" s="15"/>
      <c r="B52" s="15"/>
      <c r="C52" s="15"/>
      <c r="D52" s="15"/>
      <c r="E52" s="15"/>
      <c r="F52" s="20"/>
      <c r="G52" s="23"/>
      <c r="H52" s="23"/>
      <c r="I52" s="23"/>
      <c r="J52" s="22"/>
    </row>
    <row r="53" spans="1:10" s="19" customFormat="1" ht="16.5" x14ac:dyDescent="0.25">
      <c r="A53" s="15"/>
      <c r="B53" s="15"/>
      <c r="C53" s="15"/>
      <c r="D53" s="15"/>
      <c r="E53" s="15"/>
      <c r="F53" s="22"/>
      <c r="G53" s="22"/>
      <c r="H53" s="22"/>
      <c r="I53" s="22"/>
      <c r="J53" s="22"/>
    </row>
    <row r="54" spans="1:10" s="15" customFormat="1" x14ac:dyDescent="0.25">
      <c r="F54" s="20"/>
      <c r="G54" s="20"/>
      <c r="H54" s="20"/>
      <c r="I54" s="20"/>
      <c r="J54" s="21"/>
    </row>
    <row r="55" spans="1:10" s="15" customFormat="1" x14ac:dyDescent="0.25">
      <c r="F55" s="22"/>
      <c r="G55" s="22"/>
      <c r="H55" s="22"/>
      <c r="I55" s="22"/>
      <c r="J55" s="22"/>
    </row>
    <row r="56" spans="1:10" s="15" customFormat="1" x14ac:dyDescent="0.25">
      <c r="F56" s="22"/>
      <c r="G56" s="22"/>
      <c r="H56" s="22"/>
      <c r="I56" s="22"/>
      <c r="J56" s="22"/>
    </row>
    <row r="57" spans="1:10" s="15" customFormat="1" x14ac:dyDescent="0.25">
      <c r="F57" s="23"/>
      <c r="G57" s="23"/>
      <c r="H57" s="23"/>
      <c r="I57" s="23"/>
      <c r="J57" s="21"/>
    </row>
    <row r="58" spans="1:10" s="15" customFormat="1" x14ac:dyDescent="0.25">
      <c r="F58" s="23"/>
      <c r="G58" s="23"/>
      <c r="H58" s="23"/>
      <c r="I58" s="23"/>
      <c r="J58" s="21"/>
    </row>
    <row r="59" spans="1:10" s="15" customFormat="1" x14ac:dyDescent="0.25">
      <c r="F59" s="20"/>
      <c r="G59" s="23"/>
      <c r="H59" s="23"/>
      <c r="I59" s="23"/>
      <c r="J59" s="22"/>
    </row>
    <row r="60" spans="1:10" s="15" customFormat="1" x14ac:dyDescent="0.25">
      <c r="F60" s="22"/>
      <c r="G60" s="22"/>
      <c r="H60" s="22"/>
      <c r="I60" s="22"/>
      <c r="J60" s="22"/>
    </row>
    <row r="61" spans="1:10" s="15" customFormat="1" x14ac:dyDescent="0.25">
      <c r="F61" s="20"/>
      <c r="G61" s="20"/>
      <c r="H61" s="20"/>
      <c r="I61" s="20"/>
      <c r="J61" s="21"/>
    </row>
    <row r="62" spans="1:10" s="15" customFormat="1" x14ac:dyDescent="0.25">
      <c r="F62" s="22"/>
      <c r="G62" s="22"/>
      <c r="H62" s="22"/>
      <c r="I62" s="22"/>
      <c r="J62" s="22"/>
    </row>
    <row r="63" spans="1:10" s="15" customFormat="1" x14ac:dyDescent="0.25">
      <c r="F63" s="22"/>
      <c r="G63" s="22"/>
      <c r="H63" s="22"/>
      <c r="I63" s="22"/>
      <c r="J63" s="22"/>
    </row>
    <row r="64" spans="1:10" s="15" customFormat="1" x14ac:dyDescent="0.25">
      <c r="F64" s="23"/>
      <c r="G64" s="23"/>
      <c r="H64" s="23"/>
      <c r="I64" s="23"/>
      <c r="J64" s="21"/>
    </row>
    <row r="65" spans="6:10" s="15" customFormat="1" x14ac:dyDescent="0.25">
      <c r="F65" s="23"/>
      <c r="G65" s="23"/>
      <c r="H65" s="23"/>
      <c r="I65" s="23"/>
      <c r="J65" s="21"/>
    </row>
    <row r="66" spans="6:10" s="15" customFormat="1" x14ac:dyDescent="0.25">
      <c r="F66" s="23"/>
      <c r="G66" s="23"/>
      <c r="H66" s="23"/>
      <c r="I66" s="23"/>
      <c r="J66" s="21"/>
    </row>
    <row r="67" spans="6:10" s="15" customFormat="1" x14ac:dyDescent="0.25">
      <c r="F67" s="20"/>
      <c r="G67" s="23"/>
      <c r="H67" s="23"/>
      <c r="I67" s="23"/>
      <c r="J67" s="22"/>
    </row>
    <row r="68" spans="6:10" s="15" customFormat="1" x14ac:dyDescent="0.25">
      <c r="F68" s="22"/>
      <c r="G68" s="22"/>
      <c r="H68" s="22"/>
      <c r="I68" s="22"/>
      <c r="J68" s="22"/>
    </row>
    <row r="69" spans="6:10" s="15" customFormat="1" x14ac:dyDescent="0.25">
      <c r="F69" s="20"/>
      <c r="G69" s="20"/>
      <c r="H69" s="20"/>
      <c r="I69" s="20"/>
      <c r="J69" s="21"/>
    </row>
    <row r="70" spans="6:10" s="15" customFormat="1" x14ac:dyDescent="0.25">
      <c r="F70" s="22"/>
      <c r="G70" s="22"/>
      <c r="H70" s="22"/>
      <c r="I70" s="22"/>
      <c r="J70" s="22"/>
    </row>
    <row r="71" spans="6:10" s="15" customFormat="1" x14ac:dyDescent="0.25">
      <c r="F71" s="22"/>
      <c r="G71" s="22"/>
      <c r="H71" s="22"/>
      <c r="I71" s="22"/>
      <c r="J71" s="22"/>
    </row>
    <row r="72" spans="6:10" s="15" customFormat="1" x14ac:dyDescent="0.25">
      <c r="F72" s="22"/>
      <c r="G72" s="22"/>
      <c r="H72" s="22"/>
      <c r="I72" s="22"/>
      <c r="J72" s="22"/>
    </row>
    <row r="73" spans="6:10" s="15" customFormat="1" x14ac:dyDescent="0.25">
      <c r="F73" s="22"/>
      <c r="G73" s="22"/>
      <c r="H73" s="22"/>
      <c r="I73" s="22"/>
      <c r="J73" s="22"/>
    </row>
    <row r="74" spans="6:10" s="15" customFormat="1" x14ac:dyDescent="0.25">
      <c r="F74" s="22"/>
      <c r="G74" s="25"/>
      <c r="H74" s="25"/>
      <c r="I74" s="25"/>
      <c r="J74" s="22"/>
    </row>
    <row r="75" spans="6:10" s="15" customFormat="1" x14ac:dyDescent="0.25">
      <c r="F75" s="22"/>
      <c r="G75" s="22"/>
      <c r="H75" s="22"/>
      <c r="I75" s="22"/>
      <c r="J75" s="22"/>
    </row>
    <row r="76" spans="6:10" s="15" customFormat="1" x14ac:dyDescent="0.25">
      <c r="F76" s="22"/>
      <c r="G76" s="22"/>
      <c r="H76" s="22"/>
      <c r="I76" s="22"/>
      <c r="J76" s="22"/>
    </row>
    <row r="77" spans="6:10" s="15" customFormat="1" x14ac:dyDescent="0.25">
      <c r="F77" s="22"/>
      <c r="G77" s="22"/>
      <c r="H77" s="22"/>
      <c r="I77" s="22"/>
      <c r="J77" s="22"/>
    </row>
    <row r="78" spans="6:10" s="15" customFormat="1" x14ac:dyDescent="0.25">
      <c r="F78" s="22"/>
      <c r="G78" s="22"/>
      <c r="H78" s="22"/>
      <c r="I78" s="22"/>
      <c r="J78" s="22"/>
    </row>
    <row r="79" spans="6:10" s="15" customFormat="1" x14ac:dyDescent="0.25">
      <c r="F79" s="22"/>
      <c r="G79" s="22"/>
      <c r="H79" s="22"/>
      <c r="I79" s="22"/>
      <c r="J79" s="22"/>
    </row>
    <row r="80" spans="6:10" s="15" customFormat="1" x14ac:dyDescent="0.25">
      <c r="F80" s="22"/>
      <c r="G80" s="22"/>
      <c r="H80" s="22"/>
      <c r="I80" s="22"/>
      <c r="J80" s="22"/>
    </row>
    <row r="81" spans="6:9" s="15" customFormat="1" x14ac:dyDescent="0.25">
      <c r="F81" s="26"/>
      <c r="G81" s="26"/>
      <c r="H81" s="26"/>
      <c r="I81" s="26"/>
    </row>
    <row r="82" spans="6:9" s="15" customFormat="1" x14ac:dyDescent="0.25">
      <c r="F82" s="26"/>
      <c r="G82" s="26"/>
      <c r="H82" s="26"/>
      <c r="I82" s="26"/>
    </row>
    <row r="83" spans="6:9" s="15" customFormat="1" x14ac:dyDescent="0.25">
      <c r="F83" s="26"/>
      <c r="G83" s="26"/>
      <c r="H83" s="26"/>
      <c r="I83" s="26"/>
    </row>
  </sheetData>
  <dataConsolidate/>
  <mergeCells count="3">
    <mergeCell ref="A1:J1"/>
    <mergeCell ref="A7:J7"/>
    <mergeCell ref="A8:I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2"/>
  <sheetViews>
    <sheetView view="pageBreakPreview" zoomScale="90" zoomScaleNormal="70" zoomScaleSheetLayoutView="90" workbookViewId="0">
      <selection activeCell="B4" sqref="B4"/>
    </sheetView>
  </sheetViews>
  <sheetFormatPr defaultColWidth="54.28515625" defaultRowHeight="15" x14ac:dyDescent="0.25"/>
  <cols>
    <col min="1" max="1" width="15.42578125" style="15" bestFit="1" customWidth="1"/>
    <col min="2" max="2" width="28.140625" style="15" bestFit="1" customWidth="1"/>
    <col min="3" max="3" width="23.140625" style="15" bestFit="1" customWidth="1"/>
    <col min="4" max="4" width="14.28515625" style="15" bestFit="1" customWidth="1"/>
    <col min="5" max="5" width="12" style="15" bestFit="1" customWidth="1"/>
    <col min="6" max="6" width="14.7109375" style="26" bestFit="1" customWidth="1"/>
    <col min="7" max="7" width="9.42578125" style="26" bestFit="1" customWidth="1"/>
    <col min="8" max="8" width="13.85546875" style="26" bestFit="1" customWidth="1"/>
    <col min="9" max="9" width="27.85546875" style="26" bestFit="1" customWidth="1"/>
    <col min="10" max="10" width="23" style="15" bestFit="1" customWidth="1"/>
    <col min="11" max="16384" width="54.28515625" style="3"/>
  </cols>
  <sheetData>
    <row r="1" spans="1:10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72" x14ac:dyDescent="0.25">
      <c r="A2" s="2" t="s">
        <v>102</v>
      </c>
      <c r="B2" s="2" t="s">
        <v>3</v>
      </c>
      <c r="C2" s="2" t="s">
        <v>97</v>
      </c>
      <c r="D2" s="2" t="s">
        <v>0</v>
      </c>
      <c r="E2" s="2" t="s">
        <v>1</v>
      </c>
      <c r="F2" s="2" t="s">
        <v>98</v>
      </c>
      <c r="G2" s="2" t="s">
        <v>21</v>
      </c>
      <c r="H2" s="2" t="s">
        <v>22</v>
      </c>
      <c r="I2" s="2" t="s">
        <v>99</v>
      </c>
      <c r="J2" s="2" t="s">
        <v>23</v>
      </c>
    </row>
    <row r="3" spans="1:10" ht="16.5" x14ac:dyDescent="0.25">
      <c r="A3" s="4" t="s">
        <v>110</v>
      </c>
      <c r="B3" s="5" t="s">
        <v>15</v>
      </c>
      <c r="C3" s="6">
        <v>45681</v>
      </c>
      <c r="D3" s="6">
        <v>45684</v>
      </c>
      <c r="E3" s="7">
        <v>46048</v>
      </c>
      <c r="F3" s="112">
        <v>364</v>
      </c>
      <c r="G3" s="113" t="s">
        <v>6</v>
      </c>
      <c r="H3" s="8">
        <v>0.5</v>
      </c>
      <c r="I3" s="9">
        <v>20887040</v>
      </c>
      <c r="J3" s="9">
        <f>+I3*1</f>
        <v>20887040</v>
      </c>
    </row>
    <row r="4" spans="1:10" ht="16.5" x14ac:dyDescent="0.25">
      <c r="A4" s="4" t="s">
        <v>111</v>
      </c>
      <c r="B4" s="5" t="s">
        <v>15</v>
      </c>
      <c r="C4" s="6">
        <v>45797</v>
      </c>
      <c r="D4" s="6">
        <v>45798</v>
      </c>
      <c r="E4" s="7">
        <v>46162</v>
      </c>
      <c r="F4" s="112">
        <v>364</v>
      </c>
      <c r="G4" s="113" t="s">
        <v>6</v>
      </c>
      <c r="H4" s="8">
        <v>0.6</v>
      </c>
      <c r="I4" s="9">
        <v>15173750</v>
      </c>
      <c r="J4" s="9">
        <f>+I4*1</f>
        <v>15173750</v>
      </c>
    </row>
    <row r="5" spans="1:10" ht="16.5" x14ac:dyDescent="0.25">
      <c r="A5" s="114"/>
      <c r="B5" s="115"/>
      <c r="C5" s="116"/>
      <c r="D5" s="116"/>
      <c r="E5" s="117"/>
      <c r="F5" s="118"/>
      <c r="G5" s="119"/>
      <c r="H5" s="120"/>
      <c r="I5" s="121"/>
      <c r="J5" s="121"/>
    </row>
    <row r="6" spans="1:10" ht="15" customHeight="1" x14ac:dyDescent="0.25">
      <c r="A6" s="126" t="s">
        <v>24</v>
      </c>
      <c r="B6" s="127"/>
      <c r="C6" s="127"/>
      <c r="D6" s="127"/>
      <c r="E6" s="127"/>
      <c r="F6" s="127"/>
      <c r="G6" s="127"/>
      <c r="H6" s="127"/>
      <c r="I6" s="127"/>
      <c r="J6" s="128"/>
    </row>
    <row r="7" spans="1:10" s="19" customFormat="1" ht="13.5" customHeight="1" x14ac:dyDescent="0.25">
      <c r="A7" s="129" t="s">
        <v>69</v>
      </c>
      <c r="B7" s="129"/>
      <c r="C7" s="129"/>
      <c r="D7" s="129"/>
      <c r="E7" s="129"/>
      <c r="F7" s="129"/>
      <c r="G7" s="129"/>
      <c r="H7" s="129"/>
      <c r="I7" s="130"/>
      <c r="J7" s="122"/>
    </row>
    <row r="8" spans="1:10" s="19" customFormat="1" ht="16.5" x14ac:dyDescent="0.25">
      <c r="A8" s="15"/>
      <c r="B8" s="15"/>
      <c r="C8" s="122"/>
      <c r="D8" s="122"/>
      <c r="E8" s="122"/>
      <c r="F8" s="122"/>
      <c r="G8" s="122"/>
      <c r="H8" s="122"/>
      <c r="I8" s="122"/>
      <c r="J8" s="122"/>
    </row>
    <row r="9" spans="1:10" s="19" customFormat="1" ht="16.5" x14ac:dyDescent="0.25">
      <c r="A9" s="15"/>
      <c r="B9" s="15"/>
      <c r="C9" s="15"/>
      <c r="D9" s="15"/>
      <c r="E9" s="15"/>
      <c r="F9" s="20"/>
      <c r="G9" s="20"/>
      <c r="H9" s="20"/>
      <c r="I9" s="20"/>
      <c r="J9" s="21"/>
    </row>
    <row r="10" spans="1:10" s="19" customFormat="1" ht="16.5" x14ac:dyDescent="0.25">
      <c r="A10" s="15"/>
      <c r="B10" s="15"/>
      <c r="C10" s="15"/>
      <c r="D10" s="15"/>
      <c r="E10" s="15"/>
      <c r="F10" s="22"/>
      <c r="G10" s="22"/>
      <c r="H10" s="22"/>
      <c r="I10" s="22"/>
      <c r="J10" s="22"/>
    </row>
    <row r="11" spans="1:10" s="19" customFormat="1" ht="16.5" x14ac:dyDescent="0.25">
      <c r="A11" s="15"/>
      <c r="B11" s="15"/>
      <c r="C11" s="15"/>
      <c r="D11" s="15"/>
      <c r="E11" s="15"/>
      <c r="F11" s="22"/>
      <c r="G11" s="22"/>
      <c r="H11" s="22"/>
      <c r="I11" s="22"/>
      <c r="J11" s="22"/>
    </row>
    <row r="12" spans="1:10" s="19" customFormat="1" ht="16.5" x14ac:dyDescent="0.25">
      <c r="A12" s="15"/>
      <c r="B12" s="15"/>
      <c r="C12" s="15"/>
      <c r="D12" s="15"/>
      <c r="E12" s="15"/>
      <c r="F12" s="23"/>
      <c r="G12" s="23"/>
      <c r="H12" s="23"/>
      <c r="I12" s="23"/>
      <c r="J12" s="21"/>
    </row>
    <row r="13" spans="1:10" s="19" customFormat="1" ht="16.5" x14ac:dyDescent="0.25">
      <c r="A13" s="15"/>
      <c r="B13" s="15"/>
      <c r="C13" s="15"/>
      <c r="D13" s="15"/>
      <c r="E13" s="15"/>
      <c r="F13" s="20"/>
      <c r="G13" s="23"/>
      <c r="H13" s="23"/>
      <c r="I13" s="23"/>
      <c r="J13" s="22"/>
    </row>
    <row r="14" spans="1:10" s="19" customFormat="1" ht="16.5" x14ac:dyDescent="0.25">
      <c r="A14" s="15"/>
      <c r="B14" s="15"/>
      <c r="C14" s="15"/>
      <c r="D14" s="15"/>
      <c r="E14" s="15"/>
      <c r="F14" s="23"/>
      <c r="G14" s="23"/>
      <c r="H14" s="23"/>
      <c r="I14" s="23"/>
      <c r="J14" s="21"/>
    </row>
    <row r="15" spans="1:10" s="19" customFormat="1" ht="16.5" x14ac:dyDescent="0.25">
      <c r="A15" s="15"/>
      <c r="B15" s="15"/>
      <c r="C15" s="15"/>
      <c r="D15" s="15"/>
      <c r="E15" s="15"/>
      <c r="F15" s="22"/>
      <c r="G15" s="22"/>
      <c r="H15" s="22"/>
      <c r="I15" s="22"/>
      <c r="J15" s="22"/>
    </row>
    <row r="16" spans="1:10" s="19" customFormat="1" ht="16.5" x14ac:dyDescent="0.25">
      <c r="A16" s="15"/>
      <c r="B16" s="15"/>
      <c r="C16" s="15"/>
      <c r="D16" s="15"/>
      <c r="E16" s="15"/>
      <c r="F16" s="20"/>
      <c r="G16" s="20"/>
      <c r="H16" s="20"/>
      <c r="I16" s="20"/>
      <c r="J16" s="21"/>
    </row>
    <row r="17" spans="1:10" s="19" customFormat="1" ht="16.5" x14ac:dyDescent="0.25">
      <c r="A17" s="15"/>
      <c r="B17" s="15"/>
      <c r="C17" s="15"/>
      <c r="D17" s="15"/>
      <c r="E17" s="15"/>
      <c r="F17" s="20"/>
      <c r="G17" s="20"/>
      <c r="H17" s="20"/>
      <c r="I17" s="20"/>
      <c r="J17" s="21"/>
    </row>
    <row r="18" spans="1:10" s="19" customFormat="1" ht="16.5" x14ac:dyDescent="0.25">
      <c r="A18" s="15"/>
      <c r="B18" s="15"/>
      <c r="C18" s="15"/>
      <c r="D18" s="15"/>
      <c r="E18" s="15"/>
      <c r="F18" s="20"/>
      <c r="G18" s="20"/>
      <c r="H18" s="20"/>
      <c r="I18" s="20"/>
      <c r="J18" s="21"/>
    </row>
    <row r="19" spans="1:10" s="19" customFormat="1" ht="16.5" x14ac:dyDescent="0.25">
      <c r="A19" s="15"/>
      <c r="B19" s="15"/>
      <c r="C19" s="15"/>
      <c r="D19" s="15"/>
      <c r="E19" s="15"/>
      <c r="F19" s="20"/>
      <c r="G19" s="20"/>
      <c r="H19" s="20"/>
      <c r="I19" s="20"/>
      <c r="J19" s="21"/>
    </row>
    <row r="20" spans="1:10" s="19" customFormat="1" ht="16.5" x14ac:dyDescent="0.25">
      <c r="A20" s="15"/>
      <c r="B20" s="15"/>
      <c r="C20" s="15"/>
      <c r="D20" s="15"/>
      <c r="E20" s="15"/>
      <c r="F20" s="22"/>
      <c r="G20" s="22"/>
      <c r="H20" s="22"/>
      <c r="I20" s="22"/>
      <c r="J20" s="22"/>
    </row>
    <row r="21" spans="1:10" s="19" customFormat="1" ht="16.5" x14ac:dyDescent="0.25">
      <c r="A21" s="15"/>
      <c r="B21" s="15"/>
      <c r="C21" s="15"/>
      <c r="D21" s="15"/>
      <c r="E21" s="15"/>
      <c r="F21" s="23"/>
      <c r="G21" s="23"/>
      <c r="H21" s="23"/>
      <c r="I21" s="23"/>
      <c r="J21" s="21"/>
    </row>
    <row r="22" spans="1:10" s="19" customFormat="1" ht="16.5" x14ac:dyDescent="0.25">
      <c r="A22" s="15"/>
      <c r="B22" s="15"/>
      <c r="C22" s="15"/>
      <c r="D22" s="15"/>
      <c r="E22" s="15"/>
      <c r="F22" s="20"/>
      <c r="G22" s="23"/>
      <c r="H22" s="23"/>
      <c r="I22" s="23"/>
      <c r="J22" s="22"/>
    </row>
    <row r="23" spans="1:10" s="19" customFormat="1" ht="16.5" x14ac:dyDescent="0.25">
      <c r="A23" s="15"/>
      <c r="B23" s="15"/>
      <c r="C23" s="15"/>
      <c r="D23" s="15"/>
      <c r="E23" s="15"/>
      <c r="F23" s="23"/>
      <c r="G23" s="23"/>
      <c r="H23" s="23"/>
      <c r="I23" s="23"/>
      <c r="J23" s="21"/>
    </row>
    <row r="24" spans="1:10" s="19" customFormat="1" ht="16.5" x14ac:dyDescent="0.25">
      <c r="A24" s="15"/>
      <c r="B24" s="15"/>
      <c r="C24" s="15"/>
      <c r="D24" s="15"/>
      <c r="E24" s="15"/>
      <c r="F24" s="22"/>
      <c r="G24" s="22"/>
      <c r="H24" s="22"/>
      <c r="I24" s="22"/>
      <c r="J24" s="22"/>
    </row>
    <row r="25" spans="1:10" s="19" customFormat="1" ht="16.5" x14ac:dyDescent="0.25">
      <c r="A25" s="15"/>
      <c r="B25" s="15"/>
      <c r="C25" s="15"/>
      <c r="D25" s="15"/>
      <c r="E25" s="15"/>
      <c r="F25" s="20"/>
      <c r="G25" s="20"/>
      <c r="H25" s="20"/>
      <c r="I25" s="20"/>
      <c r="J25" s="21"/>
    </row>
    <row r="26" spans="1:10" s="19" customFormat="1" ht="16.5" x14ac:dyDescent="0.25">
      <c r="A26" s="15"/>
      <c r="B26" s="15"/>
      <c r="C26" s="15"/>
      <c r="D26" s="15"/>
      <c r="E26" s="15"/>
      <c r="F26" s="22"/>
      <c r="G26" s="22"/>
      <c r="H26" s="22"/>
      <c r="I26" s="22"/>
      <c r="J26" s="22"/>
    </row>
    <row r="27" spans="1:10" s="19" customFormat="1" ht="16.5" x14ac:dyDescent="0.25">
      <c r="A27" s="15"/>
      <c r="B27" s="15"/>
      <c r="C27" s="15"/>
      <c r="D27" s="15"/>
      <c r="E27" s="15"/>
      <c r="F27" s="22"/>
      <c r="G27" s="22"/>
      <c r="H27" s="22"/>
      <c r="I27" s="22"/>
      <c r="J27" s="22"/>
    </row>
    <row r="28" spans="1:10" s="19" customFormat="1" ht="16.5" x14ac:dyDescent="0.25">
      <c r="A28" s="15"/>
      <c r="B28" s="15"/>
      <c r="C28" s="15"/>
      <c r="D28" s="15"/>
      <c r="E28" s="15"/>
      <c r="F28" s="23"/>
      <c r="G28" s="23"/>
      <c r="H28" s="23"/>
      <c r="I28" s="23"/>
      <c r="J28" s="21"/>
    </row>
    <row r="29" spans="1:10" s="19" customFormat="1" ht="16.5" x14ac:dyDescent="0.25">
      <c r="A29" s="15"/>
      <c r="B29" s="15"/>
      <c r="C29" s="15"/>
      <c r="D29" s="15"/>
      <c r="E29" s="15"/>
      <c r="F29" s="20"/>
      <c r="G29" s="23"/>
      <c r="H29" s="23"/>
      <c r="I29" s="23"/>
      <c r="J29" s="22"/>
    </row>
    <row r="30" spans="1:10" s="19" customFormat="1" ht="16.5" x14ac:dyDescent="0.25">
      <c r="A30" s="15"/>
      <c r="B30" s="15"/>
      <c r="C30" s="15"/>
      <c r="D30" s="15"/>
      <c r="E30" s="15"/>
      <c r="F30" s="23"/>
      <c r="G30" s="23"/>
      <c r="H30" s="23"/>
      <c r="I30" s="23"/>
      <c r="J30" s="21"/>
    </row>
    <row r="31" spans="1:10" s="19" customFormat="1" ht="16.5" x14ac:dyDescent="0.25">
      <c r="A31" s="15"/>
      <c r="B31" s="15"/>
      <c r="C31" s="15"/>
      <c r="D31" s="15"/>
      <c r="E31" s="15"/>
      <c r="F31" s="22"/>
      <c r="G31" s="22"/>
      <c r="H31" s="22"/>
      <c r="I31" s="22"/>
      <c r="J31" s="22"/>
    </row>
    <row r="32" spans="1:10" s="19" customFormat="1" ht="16.5" x14ac:dyDescent="0.25">
      <c r="A32" s="15"/>
      <c r="B32" s="15"/>
      <c r="C32" s="15"/>
      <c r="D32" s="15"/>
      <c r="E32" s="15"/>
      <c r="F32" s="20"/>
      <c r="G32" s="20"/>
      <c r="H32" s="20"/>
      <c r="I32" s="20"/>
      <c r="J32" s="21"/>
    </row>
    <row r="33" spans="1:10" s="19" customFormat="1" ht="16.5" x14ac:dyDescent="0.25">
      <c r="A33" s="15"/>
      <c r="B33" s="15"/>
      <c r="C33" s="15"/>
      <c r="D33" s="24"/>
      <c r="E33" s="24"/>
      <c r="F33" s="22"/>
      <c r="G33" s="22"/>
      <c r="H33" s="22"/>
      <c r="I33" s="22"/>
      <c r="J33" s="22"/>
    </row>
    <row r="34" spans="1:10" s="19" customFormat="1" ht="16.5" x14ac:dyDescent="0.25">
      <c r="A34" s="15"/>
      <c r="B34" s="15"/>
      <c r="C34" s="15"/>
      <c r="D34" s="24"/>
      <c r="E34" s="24"/>
      <c r="F34" s="22"/>
      <c r="G34" s="22"/>
      <c r="H34" s="22"/>
      <c r="I34" s="22"/>
      <c r="J34" s="22"/>
    </row>
    <row r="35" spans="1:10" s="19" customFormat="1" ht="16.5" x14ac:dyDescent="0.25">
      <c r="A35" s="15"/>
      <c r="B35" s="15"/>
      <c r="C35" s="15"/>
      <c r="D35" s="24"/>
      <c r="E35" s="24"/>
      <c r="F35" s="22"/>
      <c r="G35" s="22"/>
      <c r="H35" s="22"/>
      <c r="I35" s="22"/>
      <c r="J35" s="22"/>
    </row>
    <row r="36" spans="1:10" s="19" customFormat="1" ht="16.5" x14ac:dyDescent="0.25">
      <c r="A36" s="15"/>
      <c r="B36" s="15"/>
      <c r="C36" s="15"/>
      <c r="D36" s="15"/>
      <c r="E36" s="15"/>
      <c r="F36" s="22"/>
      <c r="G36" s="22"/>
      <c r="H36" s="22"/>
      <c r="I36" s="22"/>
      <c r="J36" s="22"/>
    </row>
    <row r="37" spans="1:10" s="19" customFormat="1" ht="16.5" x14ac:dyDescent="0.25">
      <c r="A37" s="15"/>
      <c r="B37" s="15"/>
      <c r="C37" s="15"/>
      <c r="D37" s="15"/>
      <c r="E37" s="15"/>
      <c r="F37" s="22"/>
      <c r="G37" s="22"/>
      <c r="H37" s="22"/>
      <c r="I37" s="22"/>
      <c r="J37" s="22"/>
    </row>
    <row r="38" spans="1:10" s="19" customFormat="1" ht="16.5" x14ac:dyDescent="0.25">
      <c r="A38" s="15"/>
      <c r="B38" s="15"/>
      <c r="C38" s="15"/>
      <c r="D38" s="15"/>
      <c r="E38" s="15"/>
      <c r="F38" s="22"/>
      <c r="G38" s="22"/>
      <c r="H38" s="22"/>
      <c r="I38" s="22"/>
      <c r="J38" s="22"/>
    </row>
    <row r="39" spans="1:10" s="19" customFormat="1" ht="16.5" x14ac:dyDescent="0.25">
      <c r="A39" s="15"/>
      <c r="B39" s="15"/>
      <c r="C39" s="15"/>
      <c r="D39" s="15"/>
      <c r="E39" s="15"/>
      <c r="F39" s="22"/>
      <c r="G39" s="22"/>
      <c r="H39" s="22"/>
      <c r="I39" s="22"/>
      <c r="J39" s="22"/>
    </row>
    <row r="40" spans="1:10" s="19" customFormat="1" ht="16.5" x14ac:dyDescent="0.25">
      <c r="A40" s="15"/>
      <c r="B40" s="15"/>
      <c r="C40" s="15"/>
      <c r="D40" s="15"/>
      <c r="E40" s="15"/>
      <c r="F40" s="22"/>
      <c r="G40" s="22"/>
      <c r="H40" s="22"/>
      <c r="I40" s="22"/>
      <c r="J40" s="22"/>
    </row>
    <row r="41" spans="1:10" s="19" customFormat="1" ht="16.5" x14ac:dyDescent="0.25">
      <c r="A41" s="15"/>
      <c r="B41" s="15"/>
      <c r="C41" s="15"/>
      <c r="D41" s="15"/>
      <c r="E41" s="15"/>
      <c r="F41" s="22"/>
      <c r="G41" s="22"/>
      <c r="H41" s="22"/>
      <c r="I41" s="22"/>
      <c r="J41" s="22"/>
    </row>
    <row r="42" spans="1:10" s="19" customFormat="1" ht="16.5" x14ac:dyDescent="0.25">
      <c r="A42" s="15"/>
      <c r="B42" s="15"/>
      <c r="C42" s="15"/>
      <c r="D42" s="15"/>
      <c r="E42" s="15"/>
      <c r="F42" s="22"/>
      <c r="G42" s="22"/>
      <c r="H42" s="22"/>
      <c r="I42" s="22"/>
      <c r="J42" s="22"/>
    </row>
    <row r="43" spans="1:10" s="19" customFormat="1" ht="16.5" x14ac:dyDescent="0.25">
      <c r="A43" s="15"/>
      <c r="B43" s="15"/>
      <c r="C43" s="15"/>
      <c r="D43" s="15"/>
      <c r="E43" s="15"/>
      <c r="F43" s="23"/>
      <c r="G43" s="23"/>
      <c r="H43" s="23"/>
      <c r="I43" s="23"/>
      <c r="J43" s="21"/>
    </row>
    <row r="44" spans="1:10" s="19" customFormat="1" ht="16.5" x14ac:dyDescent="0.25">
      <c r="A44" s="15"/>
      <c r="B44" s="15"/>
      <c r="C44" s="15"/>
      <c r="D44" s="15"/>
      <c r="E44" s="15"/>
      <c r="F44" s="23"/>
      <c r="G44" s="23"/>
      <c r="H44" s="23"/>
      <c r="I44" s="23"/>
      <c r="J44" s="21"/>
    </row>
    <row r="45" spans="1:10" s="19" customFormat="1" ht="16.5" x14ac:dyDescent="0.25">
      <c r="A45" s="15"/>
      <c r="B45" s="15"/>
      <c r="C45" s="15"/>
      <c r="D45" s="15"/>
      <c r="E45" s="15"/>
      <c r="F45" s="23"/>
      <c r="G45" s="23"/>
      <c r="H45" s="23"/>
      <c r="I45" s="23"/>
      <c r="J45" s="21"/>
    </row>
    <row r="46" spans="1:10" s="19" customFormat="1" ht="16.5" x14ac:dyDescent="0.25">
      <c r="A46" s="15"/>
      <c r="B46" s="15"/>
      <c r="C46" s="15"/>
      <c r="D46" s="15"/>
      <c r="E46" s="15"/>
      <c r="F46" s="22"/>
      <c r="G46" s="22"/>
      <c r="H46" s="22"/>
      <c r="I46" s="22"/>
      <c r="J46" s="22"/>
    </row>
    <row r="47" spans="1:10" s="19" customFormat="1" ht="16.5" x14ac:dyDescent="0.25">
      <c r="A47" s="15"/>
      <c r="B47" s="15"/>
      <c r="C47" s="15"/>
      <c r="D47" s="15"/>
      <c r="E47" s="15"/>
      <c r="F47" s="20"/>
      <c r="G47" s="20"/>
      <c r="H47" s="20"/>
      <c r="I47" s="20"/>
      <c r="J47" s="21"/>
    </row>
    <row r="48" spans="1:10" s="19" customFormat="1" ht="16.5" x14ac:dyDescent="0.25">
      <c r="A48" s="15"/>
      <c r="B48" s="15"/>
      <c r="C48" s="15"/>
      <c r="D48" s="15"/>
      <c r="E48" s="15"/>
      <c r="F48" s="22"/>
      <c r="G48" s="22"/>
      <c r="H48" s="22"/>
      <c r="I48" s="22"/>
      <c r="J48" s="22"/>
    </row>
    <row r="49" spans="1:10" s="19" customFormat="1" ht="16.5" x14ac:dyDescent="0.25">
      <c r="A49" s="15"/>
      <c r="B49" s="15"/>
      <c r="C49" s="15"/>
      <c r="D49" s="15"/>
      <c r="E49" s="15"/>
      <c r="F49" s="22"/>
      <c r="G49" s="22"/>
      <c r="H49" s="22"/>
      <c r="I49" s="22"/>
      <c r="J49" s="22"/>
    </row>
    <row r="50" spans="1:10" s="19" customFormat="1" ht="16.5" x14ac:dyDescent="0.25">
      <c r="A50" s="15"/>
      <c r="B50" s="15"/>
      <c r="C50" s="15"/>
      <c r="D50" s="15"/>
      <c r="E50" s="15"/>
      <c r="F50" s="23"/>
      <c r="G50" s="23"/>
      <c r="H50" s="23"/>
      <c r="I50" s="23"/>
      <c r="J50" s="21"/>
    </row>
    <row r="51" spans="1:10" s="19" customFormat="1" ht="16.5" x14ac:dyDescent="0.25">
      <c r="A51" s="15"/>
      <c r="B51" s="15"/>
      <c r="C51" s="15"/>
      <c r="D51" s="15"/>
      <c r="E51" s="15"/>
      <c r="F51" s="20"/>
      <c r="G51" s="23"/>
      <c r="H51" s="23"/>
      <c r="I51" s="23"/>
      <c r="J51" s="22"/>
    </row>
    <row r="52" spans="1:10" s="19" customFormat="1" ht="16.5" x14ac:dyDescent="0.25">
      <c r="A52" s="15"/>
      <c r="B52" s="15"/>
      <c r="C52" s="15"/>
      <c r="D52" s="15"/>
      <c r="E52" s="15"/>
      <c r="F52" s="22"/>
      <c r="G52" s="22"/>
      <c r="H52" s="22"/>
      <c r="I52" s="22"/>
      <c r="J52" s="22"/>
    </row>
    <row r="53" spans="1:10" s="15" customFormat="1" x14ac:dyDescent="0.25">
      <c r="F53" s="20"/>
      <c r="G53" s="20"/>
      <c r="H53" s="20"/>
      <c r="I53" s="20"/>
      <c r="J53" s="21"/>
    </row>
    <row r="54" spans="1:10" s="15" customFormat="1" x14ac:dyDescent="0.25">
      <c r="F54" s="22"/>
      <c r="G54" s="22"/>
      <c r="H54" s="22"/>
      <c r="I54" s="22"/>
      <c r="J54" s="22"/>
    </row>
    <row r="55" spans="1:10" s="15" customFormat="1" x14ac:dyDescent="0.25">
      <c r="F55" s="22"/>
      <c r="G55" s="22"/>
      <c r="H55" s="22"/>
      <c r="I55" s="22"/>
      <c r="J55" s="22"/>
    </row>
    <row r="56" spans="1:10" s="15" customFormat="1" x14ac:dyDescent="0.25">
      <c r="F56" s="23"/>
      <c r="G56" s="23"/>
      <c r="H56" s="23"/>
      <c r="I56" s="23"/>
      <c r="J56" s="21"/>
    </row>
    <row r="57" spans="1:10" s="15" customFormat="1" x14ac:dyDescent="0.25">
      <c r="F57" s="23"/>
      <c r="G57" s="23"/>
      <c r="H57" s="23"/>
      <c r="I57" s="23"/>
      <c r="J57" s="21"/>
    </row>
    <row r="58" spans="1:10" s="15" customFormat="1" x14ac:dyDescent="0.25">
      <c r="F58" s="20"/>
      <c r="G58" s="23"/>
      <c r="H58" s="23"/>
      <c r="I58" s="23"/>
      <c r="J58" s="22"/>
    </row>
    <row r="59" spans="1:10" s="15" customFormat="1" x14ac:dyDescent="0.25">
      <c r="F59" s="22"/>
      <c r="G59" s="22"/>
      <c r="H59" s="22"/>
      <c r="I59" s="22"/>
      <c r="J59" s="22"/>
    </row>
    <row r="60" spans="1:10" s="15" customFormat="1" x14ac:dyDescent="0.25">
      <c r="F60" s="20"/>
      <c r="G60" s="20"/>
      <c r="H60" s="20"/>
      <c r="I60" s="20"/>
      <c r="J60" s="21"/>
    </row>
    <row r="61" spans="1:10" s="15" customFormat="1" x14ac:dyDescent="0.25">
      <c r="F61" s="22"/>
      <c r="G61" s="22"/>
      <c r="H61" s="22"/>
      <c r="I61" s="22"/>
      <c r="J61" s="22"/>
    </row>
    <row r="62" spans="1:10" s="15" customFormat="1" x14ac:dyDescent="0.25">
      <c r="F62" s="22"/>
      <c r="G62" s="22"/>
      <c r="H62" s="22"/>
      <c r="I62" s="22"/>
      <c r="J62" s="22"/>
    </row>
    <row r="63" spans="1:10" s="15" customFormat="1" x14ac:dyDescent="0.25">
      <c r="F63" s="23"/>
      <c r="G63" s="23"/>
      <c r="H63" s="23"/>
      <c r="I63" s="23"/>
      <c r="J63" s="21"/>
    </row>
    <row r="64" spans="1:10" s="15" customFormat="1" x14ac:dyDescent="0.25">
      <c r="F64" s="23"/>
      <c r="G64" s="23"/>
      <c r="H64" s="23"/>
      <c r="I64" s="23"/>
      <c r="J64" s="21"/>
    </row>
    <row r="65" spans="6:10" s="15" customFormat="1" x14ac:dyDescent="0.25">
      <c r="F65" s="23"/>
      <c r="G65" s="23"/>
      <c r="H65" s="23"/>
      <c r="I65" s="23"/>
      <c r="J65" s="21"/>
    </row>
    <row r="66" spans="6:10" s="15" customFormat="1" x14ac:dyDescent="0.25">
      <c r="F66" s="20"/>
      <c r="G66" s="23"/>
      <c r="H66" s="23"/>
      <c r="I66" s="23"/>
      <c r="J66" s="22"/>
    </row>
    <row r="67" spans="6:10" s="15" customFormat="1" x14ac:dyDescent="0.25">
      <c r="F67" s="22"/>
      <c r="G67" s="22"/>
      <c r="H67" s="22"/>
      <c r="I67" s="22"/>
      <c r="J67" s="22"/>
    </row>
    <row r="68" spans="6:10" s="15" customFormat="1" x14ac:dyDescent="0.25">
      <c r="F68" s="20"/>
      <c r="G68" s="20"/>
      <c r="H68" s="20"/>
      <c r="I68" s="20"/>
      <c r="J68" s="21"/>
    </row>
    <row r="69" spans="6:10" s="15" customFormat="1" x14ac:dyDescent="0.25">
      <c r="F69" s="22"/>
      <c r="G69" s="22"/>
      <c r="H69" s="22"/>
      <c r="I69" s="22"/>
      <c r="J69" s="22"/>
    </row>
    <row r="70" spans="6:10" s="15" customFormat="1" x14ac:dyDescent="0.25">
      <c r="F70" s="22"/>
      <c r="G70" s="22"/>
      <c r="H70" s="22"/>
      <c r="I70" s="22"/>
      <c r="J70" s="22"/>
    </row>
    <row r="71" spans="6:10" s="15" customFormat="1" x14ac:dyDescent="0.25">
      <c r="F71" s="22"/>
      <c r="G71" s="22"/>
      <c r="H71" s="22"/>
      <c r="I71" s="22"/>
      <c r="J71" s="22"/>
    </row>
    <row r="72" spans="6:10" s="15" customFormat="1" x14ac:dyDescent="0.25">
      <c r="F72" s="22"/>
      <c r="G72" s="22"/>
      <c r="H72" s="22"/>
      <c r="I72" s="22"/>
      <c r="J72" s="22"/>
    </row>
    <row r="73" spans="6:10" s="15" customFormat="1" x14ac:dyDescent="0.25">
      <c r="F73" s="22"/>
      <c r="G73" s="25"/>
      <c r="H73" s="25"/>
      <c r="I73" s="25"/>
      <c r="J73" s="22"/>
    </row>
    <row r="74" spans="6:10" s="15" customFormat="1" x14ac:dyDescent="0.25">
      <c r="F74" s="22"/>
      <c r="G74" s="22"/>
      <c r="H74" s="22"/>
      <c r="I74" s="22"/>
      <c r="J74" s="22"/>
    </row>
    <row r="75" spans="6:10" s="15" customFormat="1" x14ac:dyDescent="0.25">
      <c r="F75" s="22"/>
      <c r="G75" s="22"/>
      <c r="H75" s="22"/>
      <c r="I75" s="22"/>
      <c r="J75" s="22"/>
    </row>
    <row r="76" spans="6:10" s="15" customFormat="1" x14ac:dyDescent="0.25">
      <c r="F76" s="22"/>
      <c r="G76" s="22"/>
      <c r="H76" s="22"/>
      <c r="I76" s="22"/>
      <c r="J76" s="22"/>
    </row>
    <row r="77" spans="6:10" s="15" customFormat="1" x14ac:dyDescent="0.25">
      <c r="F77" s="22"/>
      <c r="G77" s="22"/>
      <c r="H77" s="22"/>
      <c r="I77" s="22"/>
      <c r="J77" s="22"/>
    </row>
    <row r="78" spans="6:10" s="15" customFormat="1" x14ac:dyDescent="0.25">
      <c r="F78" s="22"/>
      <c r="G78" s="22"/>
      <c r="H78" s="22"/>
      <c r="I78" s="22"/>
      <c r="J78" s="22"/>
    </row>
    <row r="79" spans="6:10" s="15" customFormat="1" x14ac:dyDescent="0.25">
      <c r="F79" s="22"/>
      <c r="G79" s="22"/>
      <c r="H79" s="22"/>
      <c r="I79" s="22"/>
      <c r="J79" s="22"/>
    </row>
    <row r="80" spans="6:10" s="15" customFormat="1" x14ac:dyDescent="0.25">
      <c r="F80" s="26"/>
      <c r="G80" s="26"/>
      <c r="H80" s="26"/>
      <c r="I80" s="26"/>
    </row>
    <row r="81" spans="6:9" s="15" customFormat="1" x14ac:dyDescent="0.25">
      <c r="F81" s="26"/>
      <c r="G81" s="26"/>
      <c r="H81" s="26"/>
      <c r="I81" s="26"/>
    </row>
    <row r="82" spans="6:9" s="15" customFormat="1" x14ac:dyDescent="0.25">
      <c r="F82" s="26"/>
      <c r="G82" s="26"/>
      <c r="H82" s="26"/>
      <c r="I82" s="26"/>
    </row>
  </sheetData>
  <dataConsolidate/>
  <mergeCells count="3">
    <mergeCell ref="A1:J1"/>
    <mergeCell ref="A6:J6"/>
    <mergeCell ref="A7:I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6"/>
  <sheetViews>
    <sheetView view="pageBreakPreview" zoomScale="90" zoomScaleNormal="70" zoomScaleSheetLayoutView="90" workbookViewId="0">
      <selection activeCell="J6" sqref="J6"/>
    </sheetView>
  </sheetViews>
  <sheetFormatPr defaultColWidth="54.28515625" defaultRowHeight="15" x14ac:dyDescent="0.25"/>
  <cols>
    <col min="1" max="1" width="15.42578125" style="15" bestFit="1" customWidth="1"/>
    <col min="2" max="2" width="28.140625" style="15" bestFit="1" customWidth="1"/>
    <col min="3" max="3" width="23.140625" style="15" bestFit="1" customWidth="1"/>
    <col min="4" max="4" width="14.28515625" style="15" bestFit="1" customWidth="1"/>
    <col min="5" max="5" width="12" style="15" bestFit="1" customWidth="1"/>
    <col min="6" max="6" width="14.7109375" style="26" bestFit="1" customWidth="1"/>
    <col min="7" max="7" width="9.42578125" style="26" bestFit="1" customWidth="1"/>
    <col min="8" max="8" width="13.85546875" style="26" bestFit="1" customWidth="1"/>
    <col min="9" max="9" width="27.85546875" style="26" bestFit="1" customWidth="1"/>
    <col min="10" max="10" width="23" style="15" bestFit="1" customWidth="1"/>
    <col min="11" max="16384" width="54.28515625" style="3"/>
  </cols>
  <sheetData>
    <row r="1" spans="1:10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72" x14ac:dyDescent="0.25">
      <c r="A2" s="2" t="s">
        <v>102</v>
      </c>
      <c r="B2" s="2" t="s">
        <v>3</v>
      </c>
      <c r="C2" s="2" t="s">
        <v>97</v>
      </c>
      <c r="D2" s="2" t="s">
        <v>0</v>
      </c>
      <c r="E2" s="2" t="s">
        <v>1</v>
      </c>
      <c r="F2" s="2" t="s">
        <v>98</v>
      </c>
      <c r="G2" s="2" t="s">
        <v>21</v>
      </c>
      <c r="H2" s="2" t="s">
        <v>22</v>
      </c>
      <c r="I2" s="2" t="s">
        <v>99</v>
      </c>
      <c r="J2" s="2" t="s">
        <v>23</v>
      </c>
    </row>
    <row r="3" spans="1:10" ht="16.5" x14ac:dyDescent="0.25">
      <c r="A3" s="4" t="s">
        <v>104</v>
      </c>
      <c r="B3" s="5" t="s">
        <v>15</v>
      </c>
      <c r="C3" s="6">
        <v>45342</v>
      </c>
      <c r="D3" s="6">
        <v>45343</v>
      </c>
      <c r="E3" s="7">
        <v>46071</v>
      </c>
      <c r="F3" s="112">
        <v>728</v>
      </c>
      <c r="G3" s="113" t="s">
        <v>6</v>
      </c>
      <c r="H3" s="8">
        <v>1</v>
      </c>
      <c r="I3" s="9">
        <v>24316805</v>
      </c>
      <c r="J3" s="9">
        <v>24316805</v>
      </c>
    </row>
    <row r="4" spans="1:10" ht="16.5" x14ac:dyDescent="0.25">
      <c r="A4" s="76" t="s">
        <v>105</v>
      </c>
      <c r="B4" s="11" t="s">
        <v>15</v>
      </c>
      <c r="C4" s="12">
        <v>45369</v>
      </c>
      <c r="D4" s="12">
        <v>45371</v>
      </c>
      <c r="E4" s="12">
        <v>46099</v>
      </c>
      <c r="F4" s="13">
        <v>728</v>
      </c>
      <c r="G4" s="10" t="s">
        <v>6</v>
      </c>
      <c r="H4" s="10">
        <v>1</v>
      </c>
      <c r="I4" s="14">
        <v>9677370</v>
      </c>
      <c r="J4" s="14">
        <v>9677370</v>
      </c>
    </row>
    <row r="5" spans="1:10" ht="16.5" x14ac:dyDescent="0.25">
      <c r="A5" s="4" t="s">
        <v>106</v>
      </c>
      <c r="B5" s="5" t="s">
        <v>15</v>
      </c>
      <c r="C5" s="6">
        <v>45397</v>
      </c>
      <c r="D5" s="6">
        <v>45399</v>
      </c>
      <c r="E5" s="7">
        <v>46127</v>
      </c>
      <c r="F5" s="112">
        <v>728</v>
      </c>
      <c r="G5" s="113" t="s">
        <v>6</v>
      </c>
      <c r="H5" s="8">
        <v>0.85</v>
      </c>
      <c r="I5" s="9">
        <v>10740030</v>
      </c>
      <c r="J5" s="9">
        <v>10740030</v>
      </c>
    </row>
    <row r="6" spans="1:10" ht="16.5" x14ac:dyDescent="0.25">
      <c r="A6" s="76" t="s">
        <v>107</v>
      </c>
      <c r="B6" s="11" t="s">
        <v>15</v>
      </c>
      <c r="C6" s="12">
        <v>45456</v>
      </c>
      <c r="D6" s="12">
        <v>45457</v>
      </c>
      <c r="E6" s="12">
        <v>46185</v>
      </c>
      <c r="F6" s="13">
        <v>728</v>
      </c>
      <c r="G6" s="10" t="s">
        <v>6</v>
      </c>
      <c r="H6" s="10">
        <v>0.85</v>
      </c>
      <c r="I6" s="14">
        <v>12829530</v>
      </c>
      <c r="J6" s="14">
        <v>12829530</v>
      </c>
    </row>
    <row r="7" spans="1:10" ht="16.5" x14ac:dyDescent="0.25">
      <c r="A7" s="4" t="s">
        <v>108</v>
      </c>
      <c r="B7" s="5" t="s">
        <v>15</v>
      </c>
      <c r="C7" s="6">
        <v>45476</v>
      </c>
      <c r="D7" s="6">
        <v>45478</v>
      </c>
      <c r="E7" s="7">
        <v>46206</v>
      </c>
      <c r="F7" s="112">
        <v>728</v>
      </c>
      <c r="G7" s="113" t="s">
        <v>6</v>
      </c>
      <c r="H7" s="8">
        <v>0.85</v>
      </c>
      <c r="I7" s="9">
        <v>6106315</v>
      </c>
      <c r="J7" s="9">
        <v>6106315</v>
      </c>
    </row>
    <row r="8" spans="1:10" ht="16.5" x14ac:dyDescent="0.25">
      <c r="A8" s="76" t="s">
        <v>109</v>
      </c>
      <c r="B8" s="11" t="s">
        <v>15</v>
      </c>
      <c r="C8" s="12">
        <v>45572</v>
      </c>
      <c r="D8" s="12">
        <v>45574</v>
      </c>
      <c r="E8" s="12">
        <v>46302</v>
      </c>
      <c r="F8" s="13">
        <v>728</v>
      </c>
      <c r="G8" s="10" t="s">
        <v>6</v>
      </c>
      <c r="H8" s="10">
        <v>0.75</v>
      </c>
      <c r="I8" s="14">
        <v>19641300</v>
      </c>
      <c r="J8" s="14">
        <v>19641300</v>
      </c>
    </row>
    <row r="9" spans="1:10" ht="16.5" x14ac:dyDescent="0.25">
      <c r="A9" s="114"/>
      <c r="B9" s="115"/>
      <c r="C9" s="116"/>
      <c r="D9" s="116"/>
      <c r="E9" s="117"/>
      <c r="F9" s="118"/>
      <c r="G9" s="119"/>
      <c r="H9" s="120"/>
      <c r="I9" s="121"/>
      <c r="J9" s="121"/>
    </row>
    <row r="10" spans="1:10" ht="15" customHeight="1" x14ac:dyDescent="0.25">
      <c r="A10" s="126" t="s">
        <v>24</v>
      </c>
      <c r="B10" s="127"/>
      <c r="C10" s="127"/>
      <c r="D10" s="127"/>
      <c r="E10" s="127"/>
      <c r="F10" s="127"/>
      <c r="G10" s="127"/>
      <c r="H10" s="127"/>
      <c r="I10" s="127"/>
      <c r="J10" s="128"/>
    </row>
    <row r="11" spans="1:10" s="19" customFormat="1" ht="13.5" customHeight="1" x14ac:dyDescent="0.25">
      <c r="A11" s="129" t="s">
        <v>69</v>
      </c>
      <c r="B11" s="129"/>
      <c r="C11" s="129"/>
      <c r="D11" s="129"/>
      <c r="E11" s="129"/>
      <c r="F11" s="129"/>
      <c r="G11" s="129"/>
      <c r="H11" s="129"/>
      <c r="I11" s="130"/>
      <c r="J11" s="111"/>
    </row>
    <row r="12" spans="1:10" s="19" customFormat="1" ht="16.5" x14ac:dyDescent="0.25">
      <c r="A12" s="15"/>
      <c r="B12" s="15"/>
      <c r="C12" s="111"/>
      <c r="D12" s="111"/>
      <c r="E12" s="111"/>
      <c r="F12" s="111"/>
      <c r="G12" s="111"/>
      <c r="H12" s="111"/>
      <c r="I12" s="111"/>
      <c r="J12" s="111"/>
    </row>
    <row r="13" spans="1:10" s="19" customFormat="1" ht="16.5" x14ac:dyDescent="0.25">
      <c r="A13" s="15"/>
      <c r="B13" s="15"/>
      <c r="C13" s="15"/>
      <c r="D13" s="15"/>
      <c r="E13" s="15"/>
      <c r="F13" s="20"/>
      <c r="G13" s="20"/>
      <c r="H13" s="20"/>
      <c r="I13" s="20"/>
      <c r="J13" s="21"/>
    </row>
    <row r="14" spans="1:10" s="19" customFormat="1" ht="16.5" x14ac:dyDescent="0.25">
      <c r="A14" s="15"/>
      <c r="B14" s="15"/>
      <c r="C14" s="15"/>
      <c r="D14" s="15"/>
      <c r="E14" s="15"/>
      <c r="F14" s="22"/>
      <c r="G14" s="22"/>
      <c r="H14" s="22"/>
      <c r="I14" s="22"/>
      <c r="J14" s="22"/>
    </row>
    <row r="15" spans="1:10" s="19" customFormat="1" ht="16.5" x14ac:dyDescent="0.25">
      <c r="A15" s="15"/>
      <c r="B15" s="15"/>
      <c r="C15" s="15"/>
      <c r="D15" s="15"/>
      <c r="E15" s="15"/>
      <c r="F15" s="22"/>
      <c r="G15" s="22"/>
      <c r="H15" s="22"/>
      <c r="I15" s="22"/>
      <c r="J15" s="22"/>
    </row>
    <row r="16" spans="1:10" s="19" customFormat="1" ht="16.5" x14ac:dyDescent="0.25">
      <c r="A16" s="15"/>
      <c r="B16" s="15"/>
      <c r="C16" s="15"/>
      <c r="D16" s="15"/>
      <c r="E16" s="15"/>
      <c r="F16" s="23"/>
      <c r="G16" s="23"/>
      <c r="H16" s="23"/>
      <c r="I16" s="23"/>
      <c r="J16" s="21"/>
    </row>
    <row r="17" spans="1:10" s="19" customFormat="1" ht="16.5" x14ac:dyDescent="0.25">
      <c r="A17" s="15"/>
      <c r="B17" s="15"/>
      <c r="C17" s="15"/>
      <c r="D17" s="15"/>
      <c r="E17" s="15"/>
      <c r="F17" s="20"/>
      <c r="G17" s="23"/>
      <c r="H17" s="23"/>
      <c r="I17" s="23"/>
      <c r="J17" s="22"/>
    </row>
    <row r="18" spans="1:10" s="19" customFormat="1" ht="16.5" x14ac:dyDescent="0.25">
      <c r="A18" s="15"/>
      <c r="B18" s="15"/>
      <c r="C18" s="15"/>
      <c r="D18" s="15"/>
      <c r="E18" s="15"/>
      <c r="F18" s="23"/>
      <c r="G18" s="23"/>
      <c r="H18" s="23"/>
      <c r="I18" s="23"/>
      <c r="J18" s="21"/>
    </row>
    <row r="19" spans="1:10" s="19" customFormat="1" ht="16.5" x14ac:dyDescent="0.25">
      <c r="A19" s="15"/>
      <c r="B19" s="15"/>
      <c r="C19" s="15"/>
      <c r="D19" s="15"/>
      <c r="E19" s="15"/>
      <c r="F19" s="22"/>
      <c r="G19" s="22"/>
      <c r="H19" s="22"/>
      <c r="I19" s="22"/>
      <c r="J19" s="22"/>
    </row>
    <row r="20" spans="1:10" s="19" customFormat="1" ht="16.5" x14ac:dyDescent="0.25">
      <c r="A20" s="15"/>
      <c r="B20" s="15"/>
      <c r="C20" s="15"/>
      <c r="D20" s="15"/>
      <c r="E20" s="15"/>
      <c r="F20" s="20"/>
      <c r="G20" s="20"/>
      <c r="H20" s="20"/>
      <c r="I20" s="20"/>
      <c r="J20" s="21"/>
    </row>
    <row r="21" spans="1:10" s="19" customFormat="1" ht="16.5" x14ac:dyDescent="0.25">
      <c r="A21" s="15"/>
      <c r="B21" s="15"/>
      <c r="C21" s="15"/>
      <c r="D21" s="15"/>
      <c r="E21" s="15"/>
      <c r="F21" s="20"/>
      <c r="G21" s="20"/>
      <c r="H21" s="20"/>
      <c r="I21" s="20"/>
      <c r="J21" s="21"/>
    </row>
    <row r="22" spans="1:10" s="19" customFormat="1" ht="16.5" x14ac:dyDescent="0.25">
      <c r="A22" s="15"/>
      <c r="B22" s="15"/>
      <c r="C22" s="15"/>
      <c r="D22" s="15"/>
      <c r="E22" s="15"/>
      <c r="F22" s="20"/>
      <c r="G22" s="20"/>
      <c r="H22" s="20"/>
      <c r="I22" s="20"/>
      <c r="J22" s="21"/>
    </row>
    <row r="23" spans="1:10" s="19" customFormat="1" ht="16.5" x14ac:dyDescent="0.25">
      <c r="A23" s="15"/>
      <c r="B23" s="15"/>
      <c r="C23" s="15"/>
      <c r="D23" s="15"/>
      <c r="E23" s="15"/>
      <c r="F23" s="20"/>
      <c r="G23" s="20"/>
      <c r="H23" s="20"/>
      <c r="I23" s="20"/>
      <c r="J23" s="21"/>
    </row>
    <row r="24" spans="1:10" s="19" customFormat="1" ht="16.5" x14ac:dyDescent="0.25">
      <c r="A24" s="15"/>
      <c r="B24" s="15"/>
      <c r="C24" s="15"/>
      <c r="D24" s="15"/>
      <c r="E24" s="15"/>
      <c r="F24" s="22"/>
      <c r="G24" s="22"/>
      <c r="H24" s="22"/>
      <c r="I24" s="22"/>
      <c r="J24" s="22"/>
    </row>
    <row r="25" spans="1:10" s="19" customFormat="1" ht="16.5" x14ac:dyDescent="0.25">
      <c r="A25" s="15"/>
      <c r="B25" s="15"/>
      <c r="C25" s="15"/>
      <c r="D25" s="15"/>
      <c r="E25" s="15"/>
      <c r="F25" s="23"/>
      <c r="G25" s="23"/>
      <c r="H25" s="23"/>
      <c r="I25" s="23"/>
      <c r="J25" s="21"/>
    </row>
    <row r="26" spans="1:10" s="19" customFormat="1" ht="16.5" x14ac:dyDescent="0.25">
      <c r="A26" s="15"/>
      <c r="B26" s="15"/>
      <c r="C26" s="15"/>
      <c r="D26" s="15"/>
      <c r="E26" s="15"/>
      <c r="F26" s="20"/>
      <c r="G26" s="23"/>
      <c r="H26" s="23"/>
      <c r="I26" s="23"/>
      <c r="J26" s="22"/>
    </row>
    <row r="27" spans="1:10" s="19" customFormat="1" ht="16.5" x14ac:dyDescent="0.25">
      <c r="A27" s="15"/>
      <c r="B27" s="15"/>
      <c r="C27" s="15"/>
      <c r="D27" s="15"/>
      <c r="E27" s="15"/>
      <c r="F27" s="23"/>
      <c r="G27" s="23"/>
      <c r="H27" s="23"/>
      <c r="I27" s="23"/>
      <c r="J27" s="21"/>
    </row>
    <row r="28" spans="1:10" s="19" customFormat="1" ht="16.5" x14ac:dyDescent="0.25">
      <c r="A28" s="15"/>
      <c r="B28" s="15"/>
      <c r="C28" s="15"/>
      <c r="D28" s="15"/>
      <c r="E28" s="15"/>
      <c r="F28" s="22"/>
      <c r="G28" s="22"/>
      <c r="H28" s="22"/>
      <c r="I28" s="22"/>
      <c r="J28" s="22"/>
    </row>
    <row r="29" spans="1:10" s="19" customFormat="1" ht="16.5" x14ac:dyDescent="0.25">
      <c r="A29" s="15"/>
      <c r="B29" s="15"/>
      <c r="C29" s="15"/>
      <c r="D29" s="15"/>
      <c r="E29" s="15"/>
      <c r="F29" s="20"/>
      <c r="G29" s="20"/>
      <c r="H29" s="20"/>
      <c r="I29" s="20"/>
      <c r="J29" s="21"/>
    </row>
    <row r="30" spans="1:10" s="19" customFormat="1" ht="16.5" x14ac:dyDescent="0.25">
      <c r="A30" s="15"/>
      <c r="B30" s="15"/>
      <c r="C30" s="15"/>
      <c r="D30" s="15"/>
      <c r="E30" s="15"/>
      <c r="F30" s="22"/>
      <c r="G30" s="22"/>
      <c r="H30" s="22"/>
      <c r="I30" s="22"/>
      <c r="J30" s="22"/>
    </row>
    <row r="31" spans="1:10" s="19" customFormat="1" ht="16.5" x14ac:dyDescent="0.25">
      <c r="A31" s="15"/>
      <c r="B31" s="15"/>
      <c r="C31" s="15"/>
      <c r="D31" s="15"/>
      <c r="E31" s="15"/>
      <c r="F31" s="22"/>
      <c r="G31" s="22"/>
      <c r="H31" s="22"/>
      <c r="I31" s="22"/>
      <c r="J31" s="22"/>
    </row>
    <row r="32" spans="1:10" s="19" customFormat="1" ht="16.5" x14ac:dyDescent="0.25">
      <c r="A32" s="15"/>
      <c r="B32" s="15"/>
      <c r="C32" s="15"/>
      <c r="D32" s="15"/>
      <c r="E32" s="15"/>
      <c r="F32" s="23"/>
      <c r="G32" s="23"/>
      <c r="H32" s="23"/>
      <c r="I32" s="23"/>
      <c r="J32" s="21"/>
    </row>
    <row r="33" spans="1:10" s="19" customFormat="1" ht="16.5" x14ac:dyDescent="0.25">
      <c r="A33" s="15"/>
      <c r="B33" s="15"/>
      <c r="C33" s="15"/>
      <c r="D33" s="15"/>
      <c r="E33" s="15"/>
      <c r="F33" s="20"/>
      <c r="G33" s="23"/>
      <c r="H33" s="23"/>
      <c r="I33" s="23"/>
      <c r="J33" s="22"/>
    </row>
    <row r="34" spans="1:10" s="19" customFormat="1" ht="16.5" x14ac:dyDescent="0.25">
      <c r="A34" s="15"/>
      <c r="B34" s="15"/>
      <c r="C34" s="15"/>
      <c r="D34" s="15"/>
      <c r="E34" s="15"/>
      <c r="F34" s="23"/>
      <c r="G34" s="23"/>
      <c r="H34" s="23"/>
      <c r="I34" s="23"/>
      <c r="J34" s="21"/>
    </row>
    <row r="35" spans="1:10" s="19" customFormat="1" ht="16.5" x14ac:dyDescent="0.25">
      <c r="A35" s="15"/>
      <c r="B35" s="15"/>
      <c r="C35" s="15"/>
      <c r="D35" s="15"/>
      <c r="E35" s="15"/>
      <c r="F35" s="22"/>
      <c r="G35" s="22"/>
      <c r="H35" s="22"/>
      <c r="I35" s="22"/>
      <c r="J35" s="22"/>
    </row>
    <row r="36" spans="1:10" s="19" customFormat="1" ht="16.5" x14ac:dyDescent="0.25">
      <c r="A36" s="15"/>
      <c r="B36" s="15"/>
      <c r="C36" s="15"/>
      <c r="D36" s="15"/>
      <c r="E36" s="15"/>
      <c r="F36" s="20"/>
      <c r="G36" s="20"/>
      <c r="H36" s="20"/>
      <c r="I36" s="20"/>
      <c r="J36" s="21"/>
    </row>
    <row r="37" spans="1:10" s="19" customFormat="1" ht="16.5" x14ac:dyDescent="0.25">
      <c r="A37" s="15"/>
      <c r="B37" s="15"/>
      <c r="C37" s="15"/>
      <c r="D37" s="24"/>
      <c r="E37" s="24"/>
      <c r="F37" s="22"/>
      <c r="G37" s="22"/>
      <c r="H37" s="22"/>
      <c r="I37" s="22"/>
      <c r="J37" s="22"/>
    </row>
    <row r="38" spans="1:10" s="19" customFormat="1" ht="16.5" x14ac:dyDescent="0.25">
      <c r="A38" s="15"/>
      <c r="B38" s="15"/>
      <c r="C38" s="15"/>
      <c r="D38" s="24"/>
      <c r="E38" s="24"/>
      <c r="F38" s="22"/>
      <c r="G38" s="22"/>
      <c r="H38" s="22"/>
      <c r="I38" s="22"/>
      <c r="J38" s="22"/>
    </row>
    <row r="39" spans="1:10" s="19" customFormat="1" ht="16.5" x14ac:dyDescent="0.25">
      <c r="A39" s="15"/>
      <c r="B39" s="15"/>
      <c r="C39" s="15"/>
      <c r="D39" s="24"/>
      <c r="E39" s="24"/>
      <c r="F39" s="22"/>
      <c r="G39" s="22"/>
      <c r="H39" s="22"/>
      <c r="I39" s="22"/>
      <c r="J39" s="22"/>
    </row>
    <row r="40" spans="1:10" s="19" customFormat="1" ht="16.5" x14ac:dyDescent="0.25">
      <c r="A40" s="15"/>
      <c r="B40" s="15"/>
      <c r="C40" s="15"/>
      <c r="D40" s="15"/>
      <c r="E40" s="15"/>
      <c r="F40" s="22"/>
      <c r="G40" s="22"/>
      <c r="H40" s="22"/>
      <c r="I40" s="22"/>
      <c r="J40" s="22"/>
    </row>
    <row r="41" spans="1:10" s="19" customFormat="1" ht="16.5" x14ac:dyDescent="0.25">
      <c r="A41" s="15"/>
      <c r="B41" s="15"/>
      <c r="C41" s="15"/>
      <c r="D41" s="15"/>
      <c r="E41" s="15"/>
      <c r="F41" s="22"/>
      <c r="G41" s="22"/>
      <c r="H41" s="22"/>
      <c r="I41" s="22"/>
      <c r="J41" s="22"/>
    </row>
    <row r="42" spans="1:10" s="19" customFormat="1" ht="16.5" x14ac:dyDescent="0.25">
      <c r="A42" s="15"/>
      <c r="B42" s="15"/>
      <c r="C42" s="15"/>
      <c r="D42" s="15"/>
      <c r="E42" s="15"/>
      <c r="F42" s="22"/>
      <c r="G42" s="22"/>
      <c r="H42" s="22"/>
      <c r="I42" s="22"/>
      <c r="J42" s="22"/>
    </row>
    <row r="43" spans="1:10" s="19" customFormat="1" ht="16.5" x14ac:dyDescent="0.25">
      <c r="A43" s="15"/>
      <c r="B43" s="15"/>
      <c r="C43" s="15"/>
      <c r="D43" s="15"/>
      <c r="E43" s="15"/>
      <c r="F43" s="22"/>
      <c r="G43" s="22"/>
      <c r="H43" s="22"/>
      <c r="I43" s="22"/>
      <c r="J43" s="22"/>
    </row>
    <row r="44" spans="1:10" s="19" customFormat="1" ht="16.5" x14ac:dyDescent="0.25">
      <c r="A44" s="15"/>
      <c r="B44" s="15"/>
      <c r="C44" s="15"/>
      <c r="D44" s="15"/>
      <c r="E44" s="15"/>
      <c r="F44" s="22"/>
      <c r="G44" s="22"/>
      <c r="H44" s="22"/>
      <c r="I44" s="22"/>
      <c r="J44" s="22"/>
    </row>
    <row r="45" spans="1:10" s="19" customFormat="1" ht="16.5" x14ac:dyDescent="0.25">
      <c r="A45" s="15"/>
      <c r="B45" s="15"/>
      <c r="C45" s="15"/>
      <c r="D45" s="15"/>
      <c r="E45" s="15"/>
      <c r="F45" s="22"/>
      <c r="G45" s="22"/>
      <c r="H45" s="22"/>
      <c r="I45" s="22"/>
      <c r="J45" s="22"/>
    </row>
    <row r="46" spans="1:10" s="19" customFormat="1" ht="16.5" x14ac:dyDescent="0.25">
      <c r="A46" s="15"/>
      <c r="B46" s="15"/>
      <c r="C46" s="15"/>
      <c r="D46" s="15"/>
      <c r="E46" s="15"/>
      <c r="F46" s="22"/>
      <c r="G46" s="22"/>
      <c r="H46" s="22"/>
      <c r="I46" s="22"/>
      <c r="J46" s="22"/>
    </row>
    <row r="47" spans="1:10" s="19" customFormat="1" ht="16.5" x14ac:dyDescent="0.25">
      <c r="A47" s="15"/>
      <c r="B47" s="15"/>
      <c r="C47" s="15"/>
      <c r="D47" s="15"/>
      <c r="E47" s="15"/>
      <c r="F47" s="23"/>
      <c r="G47" s="23"/>
      <c r="H47" s="23"/>
      <c r="I47" s="23"/>
      <c r="J47" s="21"/>
    </row>
    <row r="48" spans="1:10" s="19" customFormat="1" ht="16.5" x14ac:dyDescent="0.25">
      <c r="A48" s="15"/>
      <c r="B48" s="15"/>
      <c r="C48" s="15"/>
      <c r="D48" s="15"/>
      <c r="E48" s="15"/>
      <c r="F48" s="23"/>
      <c r="G48" s="23"/>
      <c r="H48" s="23"/>
      <c r="I48" s="23"/>
      <c r="J48" s="21"/>
    </row>
    <row r="49" spans="1:10" s="19" customFormat="1" ht="16.5" x14ac:dyDescent="0.25">
      <c r="A49" s="15"/>
      <c r="B49" s="15"/>
      <c r="C49" s="15"/>
      <c r="D49" s="15"/>
      <c r="E49" s="15"/>
      <c r="F49" s="23"/>
      <c r="G49" s="23"/>
      <c r="H49" s="23"/>
      <c r="I49" s="23"/>
      <c r="J49" s="21"/>
    </row>
    <row r="50" spans="1:10" s="19" customFormat="1" ht="16.5" x14ac:dyDescent="0.25">
      <c r="A50" s="15"/>
      <c r="B50" s="15"/>
      <c r="C50" s="15"/>
      <c r="D50" s="15"/>
      <c r="E50" s="15"/>
      <c r="F50" s="22"/>
      <c r="G50" s="22"/>
      <c r="H50" s="22"/>
      <c r="I50" s="22"/>
      <c r="J50" s="22"/>
    </row>
    <row r="51" spans="1:10" s="19" customFormat="1" ht="16.5" x14ac:dyDescent="0.25">
      <c r="A51" s="15"/>
      <c r="B51" s="15"/>
      <c r="C51" s="15"/>
      <c r="D51" s="15"/>
      <c r="E51" s="15"/>
      <c r="F51" s="20"/>
      <c r="G51" s="20"/>
      <c r="H51" s="20"/>
      <c r="I51" s="20"/>
      <c r="J51" s="21"/>
    </row>
    <row r="52" spans="1:10" s="19" customFormat="1" ht="16.5" x14ac:dyDescent="0.25">
      <c r="A52" s="15"/>
      <c r="B52" s="15"/>
      <c r="C52" s="15"/>
      <c r="D52" s="15"/>
      <c r="E52" s="15"/>
      <c r="F52" s="22"/>
      <c r="G52" s="22"/>
      <c r="H52" s="22"/>
      <c r="I52" s="22"/>
      <c r="J52" s="22"/>
    </row>
    <row r="53" spans="1:10" s="19" customFormat="1" ht="16.5" x14ac:dyDescent="0.25">
      <c r="A53" s="15"/>
      <c r="B53" s="15"/>
      <c r="C53" s="15"/>
      <c r="D53" s="15"/>
      <c r="E53" s="15"/>
      <c r="F53" s="22"/>
      <c r="G53" s="22"/>
      <c r="H53" s="22"/>
      <c r="I53" s="22"/>
      <c r="J53" s="22"/>
    </row>
    <row r="54" spans="1:10" s="19" customFormat="1" ht="16.5" x14ac:dyDescent="0.25">
      <c r="A54" s="15"/>
      <c r="B54" s="15"/>
      <c r="C54" s="15"/>
      <c r="D54" s="15"/>
      <c r="E54" s="15"/>
      <c r="F54" s="23"/>
      <c r="G54" s="23"/>
      <c r="H54" s="23"/>
      <c r="I54" s="23"/>
      <c r="J54" s="21"/>
    </row>
    <row r="55" spans="1:10" s="19" customFormat="1" ht="16.5" x14ac:dyDescent="0.25">
      <c r="A55" s="15"/>
      <c r="B55" s="15"/>
      <c r="C55" s="15"/>
      <c r="D55" s="15"/>
      <c r="E55" s="15"/>
      <c r="F55" s="20"/>
      <c r="G55" s="23"/>
      <c r="H55" s="23"/>
      <c r="I55" s="23"/>
      <c r="J55" s="22"/>
    </row>
    <row r="56" spans="1:10" s="19" customFormat="1" ht="16.5" x14ac:dyDescent="0.25">
      <c r="A56" s="15"/>
      <c r="B56" s="15"/>
      <c r="C56" s="15"/>
      <c r="D56" s="15"/>
      <c r="E56" s="15"/>
      <c r="F56" s="22"/>
      <c r="G56" s="22"/>
      <c r="H56" s="22"/>
      <c r="I56" s="22"/>
      <c r="J56" s="22"/>
    </row>
    <row r="57" spans="1:10" s="15" customFormat="1" x14ac:dyDescent="0.25">
      <c r="F57" s="20"/>
      <c r="G57" s="20"/>
      <c r="H57" s="20"/>
      <c r="I57" s="20"/>
      <c r="J57" s="21"/>
    </row>
    <row r="58" spans="1:10" s="15" customFormat="1" x14ac:dyDescent="0.25">
      <c r="F58" s="22"/>
      <c r="G58" s="22"/>
      <c r="H58" s="22"/>
      <c r="I58" s="22"/>
      <c r="J58" s="22"/>
    </row>
    <row r="59" spans="1:10" s="15" customFormat="1" x14ac:dyDescent="0.25">
      <c r="F59" s="22"/>
      <c r="G59" s="22"/>
      <c r="H59" s="22"/>
      <c r="I59" s="22"/>
      <c r="J59" s="22"/>
    </row>
    <row r="60" spans="1:10" s="15" customFormat="1" x14ac:dyDescent="0.25">
      <c r="F60" s="23"/>
      <c r="G60" s="23"/>
      <c r="H60" s="23"/>
      <c r="I60" s="23"/>
      <c r="J60" s="21"/>
    </row>
    <row r="61" spans="1:10" s="15" customFormat="1" x14ac:dyDescent="0.25">
      <c r="F61" s="23"/>
      <c r="G61" s="23"/>
      <c r="H61" s="23"/>
      <c r="I61" s="23"/>
      <c r="J61" s="21"/>
    </row>
    <row r="62" spans="1:10" s="15" customFormat="1" x14ac:dyDescent="0.25">
      <c r="F62" s="20"/>
      <c r="G62" s="23"/>
      <c r="H62" s="23"/>
      <c r="I62" s="23"/>
      <c r="J62" s="22"/>
    </row>
    <row r="63" spans="1:10" s="15" customFormat="1" x14ac:dyDescent="0.25">
      <c r="F63" s="22"/>
      <c r="G63" s="22"/>
      <c r="H63" s="22"/>
      <c r="I63" s="22"/>
      <c r="J63" s="22"/>
    </row>
    <row r="64" spans="1:10" s="15" customFormat="1" x14ac:dyDescent="0.25">
      <c r="F64" s="20"/>
      <c r="G64" s="20"/>
      <c r="H64" s="20"/>
      <c r="I64" s="20"/>
      <c r="J64" s="21"/>
    </row>
    <row r="65" spans="6:10" s="15" customFormat="1" x14ac:dyDescent="0.25">
      <c r="F65" s="22"/>
      <c r="G65" s="22"/>
      <c r="H65" s="22"/>
      <c r="I65" s="22"/>
      <c r="J65" s="22"/>
    </row>
    <row r="66" spans="6:10" s="15" customFormat="1" x14ac:dyDescent="0.25">
      <c r="F66" s="22"/>
      <c r="G66" s="22"/>
      <c r="H66" s="22"/>
      <c r="I66" s="22"/>
      <c r="J66" s="22"/>
    </row>
    <row r="67" spans="6:10" s="15" customFormat="1" x14ac:dyDescent="0.25">
      <c r="F67" s="23"/>
      <c r="G67" s="23"/>
      <c r="H67" s="23"/>
      <c r="I67" s="23"/>
      <c r="J67" s="21"/>
    </row>
    <row r="68" spans="6:10" s="15" customFormat="1" x14ac:dyDescent="0.25">
      <c r="F68" s="23"/>
      <c r="G68" s="23"/>
      <c r="H68" s="23"/>
      <c r="I68" s="23"/>
      <c r="J68" s="21"/>
    </row>
    <row r="69" spans="6:10" s="15" customFormat="1" x14ac:dyDescent="0.25">
      <c r="F69" s="23"/>
      <c r="G69" s="23"/>
      <c r="H69" s="23"/>
      <c r="I69" s="23"/>
      <c r="J69" s="21"/>
    </row>
    <row r="70" spans="6:10" s="15" customFormat="1" x14ac:dyDescent="0.25">
      <c r="F70" s="20"/>
      <c r="G70" s="23"/>
      <c r="H70" s="23"/>
      <c r="I70" s="23"/>
      <c r="J70" s="22"/>
    </row>
    <row r="71" spans="6:10" s="15" customFormat="1" x14ac:dyDescent="0.25">
      <c r="F71" s="22"/>
      <c r="G71" s="22"/>
      <c r="H71" s="22"/>
      <c r="I71" s="22"/>
      <c r="J71" s="22"/>
    </row>
    <row r="72" spans="6:10" s="15" customFormat="1" x14ac:dyDescent="0.25">
      <c r="F72" s="20"/>
      <c r="G72" s="20"/>
      <c r="H72" s="20"/>
      <c r="I72" s="20"/>
      <c r="J72" s="21"/>
    </row>
    <row r="73" spans="6:10" s="15" customFormat="1" x14ac:dyDescent="0.25">
      <c r="F73" s="22"/>
      <c r="G73" s="22"/>
      <c r="H73" s="22"/>
      <c r="I73" s="22"/>
      <c r="J73" s="22"/>
    </row>
    <row r="74" spans="6:10" s="15" customFormat="1" x14ac:dyDescent="0.25">
      <c r="F74" s="22"/>
      <c r="G74" s="22"/>
      <c r="H74" s="22"/>
      <c r="I74" s="22"/>
      <c r="J74" s="22"/>
    </row>
    <row r="75" spans="6:10" s="15" customFormat="1" x14ac:dyDescent="0.25">
      <c r="F75" s="22"/>
      <c r="G75" s="22"/>
      <c r="H75" s="22"/>
      <c r="I75" s="22"/>
      <c r="J75" s="22"/>
    </row>
    <row r="76" spans="6:10" s="15" customFormat="1" x14ac:dyDescent="0.25">
      <c r="F76" s="22"/>
      <c r="G76" s="22"/>
      <c r="H76" s="22"/>
      <c r="I76" s="22"/>
      <c r="J76" s="22"/>
    </row>
    <row r="77" spans="6:10" s="15" customFormat="1" x14ac:dyDescent="0.25">
      <c r="F77" s="22"/>
      <c r="G77" s="25"/>
      <c r="H77" s="25"/>
      <c r="I77" s="25"/>
      <c r="J77" s="22"/>
    </row>
    <row r="78" spans="6:10" s="15" customFormat="1" x14ac:dyDescent="0.25">
      <c r="F78" s="22"/>
      <c r="G78" s="22"/>
      <c r="H78" s="22"/>
      <c r="I78" s="22"/>
      <c r="J78" s="22"/>
    </row>
    <row r="79" spans="6:10" s="15" customFormat="1" x14ac:dyDescent="0.25">
      <c r="F79" s="22"/>
      <c r="G79" s="22"/>
      <c r="H79" s="22"/>
      <c r="I79" s="22"/>
      <c r="J79" s="22"/>
    </row>
    <row r="80" spans="6:10" s="15" customFormat="1" x14ac:dyDescent="0.25">
      <c r="F80" s="22"/>
      <c r="G80" s="22"/>
      <c r="H80" s="22"/>
      <c r="I80" s="22"/>
      <c r="J80" s="22"/>
    </row>
    <row r="81" spans="6:10" s="15" customFormat="1" x14ac:dyDescent="0.25">
      <c r="F81" s="22"/>
      <c r="G81" s="22"/>
      <c r="H81" s="22"/>
      <c r="I81" s="22"/>
      <c r="J81" s="22"/>
    </row>
    <row r="82" spans="6:10" s="15" customFormat="1" x14ac:dyDescent="0.25">
      <c r="F82" s="22"/>
      <c r="G82" s="22"/>
      <c r="H82" s="22"/>
      <c r="I82" s="22"/>
      <c r="J82" s="22"/>
    </row>
    <row r="83" spans="6:10" s="15" customFormat="1" x14ac:dyDescent="0.25">
      <c r="F83" s="22"/>
      <c r="G83" s="22"/>
      <c r="H83" s="22"/>
      <c r="I83" s="22"/>
      <c r="J83" s="22"/>
    </row>
    <row r="84" spans="6:10" s="15" customFormat="1" x14ac:dyDescent="0.25">
      <c r="F84" s="26"/>
      <c r="G84" s="26"/>
      <c r="H84" s="26"/>
      <c r="I84" s="26"/>
    </row>
    <row r="85" spans="6:10" s="15" customFormat="1" x14ac:dyDescent="0.25">
      <c r="F85" s="26"/>
      <c r="G85" s="26"/>
      <c r="H85" s="26"/>
      <c r="I85" s="26"/>
    </row>
    <row r="86" spans="6:10" s="15" customFormat="1" x14ac:dyDescent="0.25">
      <c r="F86" s="26"/>
      <c r="G86" s="26"/>
      <c r="H86" s="26"/>
      <c r="I86" s="26"/>
    </row>
  </sheetData>
  <dataConsolidate/>
  <mergeCells count="3">
    <mergeCell ref="A1:J1"/>
    <mergeCell ref="A10:J10"/>
    <mergeCell ref="A11:I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2"/>
  <sheetViews>
    <sheetView view="pageBreakPreview" zoomScale="90" zoomScaleNormal="70" zoomScaleSheetLayoutView="90" workbookViewId="0">
      <selection activeCell="J3" sqref="J3"/>
    </sheetView>
  </sheetViews>
  <sheetFormatPr defaultColWidth="54.28515625" defaultRowHeight="15" x14ac:dyDescent="0.25"/>
  <cols>
    <col min="1" max="1" width="15.42578125" style="15" bestFit="1" customWidth="1"/>
    <col min="2" max="2" width="28.140625" style="15" bestFit="1" customWidth="1"/>
    <col min="3" max="3" width="23.140625" style="15" bestFit="1" customWidth="1"/>
    <col min="4" max="4" width="14.28515625" style="15" bestFit="1" customWidth="1"/>
    <col min="5" max="5" width="12" style="15" bestFit="1" customWidth="1"/>
    <col min="6" max="6" width="14.7109375" style="26" bestFit="1" customWidth="1"/>
    <col min="7" max="7" width="9.42578125" style="26" bestFit="1" customWidth="1"/>
    <col min="8" max="8" width="13.85546875" style="26" bestFit="1" customWidth="1"/>
    <col min="9" max="9" width="27.85546875" style="26" bestFit="1" customWidth="1"/>
    <col min="10" max="10" width="23" style="15" bestFit="1" customWidth="1"/>
    <col min="11" max="16384" width="54.28515625" style="3"/>
  </cols>
  <sheetData>
    <row r="1" spans="1:10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72" x14ac:dyDescent="0.25">
      <c r="A2" s="2" t="s">
        <v>102</v>
      </c>
      <c r="B2" s="2" t="s">
        <v>3</v>
      </c>
      <c r="C2" s="2" t="s">
        <v>97</v>
      </c>
      <c r="D2" s="2" t="s">
        <v>0</v>
      </c>
      <c r="E2" s="2" t="s">
        <v>1</v>
      </c>
      <c r="F2" s="2" t="s">
        <v>98</v>
      </c>
      <c r="G2" s="2" t="s">
        <v>21</v>
      </c>
      <c r="H2" s="2" t="s">
        <v>22</v>
      </c>
      <c r="I2" s="2" t="s">
        <v>99</v>
      </c>
      <c r="J2" s="2" t="s">
        <v>23</v>
      </c>
    </row>
    <row r="3" spans="1:10" ht="16.5" x14ac:dyDescent="0.25">
      <c r="A3" s="4" t="s">
        <v>96</v>
      </c>
      <c r="B3" s="77" t="s">
        <v>15</v>
      </c>
      <c r="C3" s="78">
        <v>44588</v>
      </c>
      <c r="D3" s="78">
        <v>44592</v>
      </c>
      <c r="E3" s="79">
        <v>45684</v>
      </c>
      <c r="F3" s="80">
        <v>1092</v>
      </c>
      <c r="G3" s="81" t="s">
        <v>6</v>
      </c>
      <c r="H3" s="82">
        <v>1</v>
      </c>
      <c r="I3" s="83">
        <v>22272080</v>
      </c>
      <c r="J3" s="83">
        <f>+I3*1</f>
        <v>22272080</v>
      </c>
    </row>
    <row r="4" spans="1:10" ht="16.5" x14ac:dyDescent="0.25">
      <c r="A4" s="76" t="s">
        <v>103</v>
      </c>
      <c r="B4" s="11" t="s">
        <v>15</v>
      </c>
      <c r="C4" s="12">
        <v>44704</v>
      </c>
      <c r="D4" s="12">
        <v>44706</v>
      </c>
      <c r="E4" s="12">
        <v>45798</v>
      </c>
      <c r="F4" s="13">
        <v>1092</v>
      </c>
      <c r="G4" s="10" t="s">
        <v>6</v>
      </c>
      <c r="H4" s="10">
        <v>1.5</v>
      </c>
      <c r="I4" s="14">
        <v>12561875</v>
      </c>
      <c r="J4" s="14">
        <f>I4*1</f>
        <v>12561875</v>
      </c>
    </row>
    <row r="5" spans="1:10" x14ac:dyDescent="0.25">
      <c r="B5" s="36"/>
      <c r="C5" s="36"/>
      <c r="D5" s="36"/>
      <c r="E5" s="36"/>
      <c r="F5" s="36"/>
      <c r="G5" s="36"/>
      <c r="H5" s="56"/>
      <c r="I5" s="56"/>
      <c r="J5" s="56"/>
    </row>
    <row r="6" spans="1:10" ht="15" customHeight="1" x14ac:dyDescent="0.25">
      <c r="A6" s="126" t="s">
        <v>24</v>
      </c>
      <c r="B6" s="127"/>
      <c r="C6" s="127"/>
      <c r="D6" s="127"/>
      <c r="E6" s="127"/>
      <c r="F6" s="127"/>
      <c r="G6" s="127"/>
      <c r="H6" s="127"/>
      <c r="I6" s="127"/>
      <c r="J6" s="128"/>
    </row>
    <row r="7" spans="1:10" s="19" customFormat="1" ht="13.5" customHeight="1" x14ac:dyDescent="0.25">
      <c r="A7" s="129" t="s">
        <v>69</v>
      </c>
      <c r="B7" s="129"/>
      <c r="C7" s="129"/>
      <c r="D7" s="129"/>
      <c r="E7" s="129"/>
      <c r="F7" s="129"/>
      <c r="G7" s="129"/>
      <c r="H7" s="129"/>
      <c r="I7" s="130"/>
      <c r="J7" s="18"/>
    </row>
    <row r="8" spans="1:10" s="19" customFormat="1" ht="16.5" x14ac:dyDescent="0.25">
      <c r="A8" s="15"/>
      <c r="B8" s="15"/>
      <c r="C8" s="18"/>
      <c r="D8" s="18"/>
      <c r="E8" s="18"/>
      <c r="F8" s="18"/>
      <c r="G8" s="18"/>
      <c r="H8" s="18"/>
      <c r="I8" s="18"/>
      <c r="J8" s="18"/>
    </row>
    <row r="9" spans="1:10" s="19" customFormat="1" ht="16.5" x14ac:dyDescent="0.25">
      <c r="A9" s="15"/>
      <c r="B9" s="15"/>
      <c r="C9" s="15"/>
      <c r="D9" s="15"/>
      <c r="E9" s="15"/>
      <c r="F9" s="20"/>
      <c r="G9" s="20"/>
      <c r="H9" s="20"/>
      <c r="I9" s="20"/>
      <c r="J9" s="21"/>
    </row>
    <row r="10" spans="1:10" s="19" customFormat="1" ht="16.5" x14ac:dyDescent="0.25">
      <c r="A10" s="15"/>
      <c r="B10" s="15"/>
      <c r="C10" s="15"/>
      <c r="D10" s="15"/>
      <c r="E10" s="15"/>
      <c r="F10" s="22"/>
      <c r="G10" s="22"/>
      <c r="H10" s="22"/>
      <c r="I10" s="22"/>
      <c r="J10" s="22"/>
    </row>
    <row r="11" spans="1:10" s="19" customFormat="1" ht="16.5" x14ac:dyDescent="0.25">
      <c r="A11" s="15"/>
      <c r="B11" s="15"/>
      <c r="C11" s="15"/>
      <c r="D11" s="15"/>
      <c r="E11" s="15"/>
      <c r="F11" s="22"/>
      <c r="G11" s="22"/>
      <c r="H11" s="22"/>
      <c r="I11" s="22"/>
      <c r="J11" s="22"/>
    </row>
    <row r="12" spans="1:10" s="19" customFormat="1" ht="16.5" x14ac:dyDescent="0.25">
      <c r="A12" s="15"/>
      <c r="B12" s="15"/>
      <c r="C12" s="15"/>
      <c r="D12" s="15"/>
      <c r="E12" s="15"/>
      <c r="F12" s="23"/>
      <c r="G12" s="23"/>
      <c r="H12" s="23"/>
      <c r="I12" s="23"/>
      <c r="J12" s="21"/>
    </row>
    <row r="13" spans="1:10" s="19" customFormat="1" ht="16.5" x14ac:dyDescent="0.25">
      <c r="A13" s="15"/>
      <c r="B13" s="15"/>
      <c r="C13" s="15"/>
      <c r="D13" s="15"/>
      <c r="E13" s="15"/>
      <c r="F13" s="20"/>
      <c r="G13" s="23"/>
      <c r="H13" s="23"/>
      <c r="I13" s="23"/>
      <c r="J13" s="22"/>
    </row>
    <row r="14" spans="1:10" s="19" customFormat="1" ht="16.5" x14ac:dyDescent="0.25">
      <c r="A14" s="15"/>
      <c r="B14" s="15"/>
      <c r="C14" s="15"/>
      <c r="D14" s="15"/>
      <c r="E14" s="15"/>
      <c r="F14" s="23"/>
      <c r="G14" s="23"/>
      <c r="H14" s="23"/>
      <c r="I14" s="23"/>
      <c r="J14" s="21"/>
    </row>
    <row r="15" spans="1:10" s="19" customFormat="1" ht="16.5" x14ac:dyDescent="0.25">
      <c r="A15" s="15"/>
      <c r="B15" s="15"/>
      <c r="C15" s="15"/>
      <c r="D15" s="15"/>
      <c r="E15" s="15"/>
      <c r="F15" s="22"/>
      <c r="G15" s="22"/>
      <c r="H15" s="22"/>
      <c r="I15" s="22"/>
      <c r="J15" s="22"/>
    </row>
    <row r="16" spans="1:10" s="19" customFormat="1" ht="16.5" x14ac:dyDescent="0.25">
      <c r="A16" s="15"/>
      <c r="B16" s="15"/>
      <c r="C16" s="15"/>
      <c r="D16" s="15"/>
      <c r="E16" s="15"/>
      <c r="F16" s="20"/>
      <c r="G16" s="20"/>
      <c r="H16" s="20"/>
      <c r="I16" s="20"/>
      <c r="J16" s="21"/>
    </row>
    <row r="17" spans="1:10" s="19" customFormat="1" ht="16.5" x14ac:dyDescent="0.25">
      <c r="A17" s="15"/>
      <c r="B17" s="15"/>
      <c r="C17" s="15"/>
      <c r="D17" s="15"/>
      <c r="E17" s="15"/>
      <c r="F17" s="20"/>
      <c r="G17" s="20"/>
      <c r="H17" s="20"/>
      <c r="I17" s="20"/>
      <c r="J17" s="21"/>
    </row>
    <row r="18" spans="1:10" s="19" customFormat="1" ht="16.5" x14ac:dyDescent="0.25">
      <c r="A18" s="15"/>
      <c r="B18" s="15"/>
      <c r="C18" s="15"/>
      <c r="D18" s="15"/>
      <c r="E18" s="15"/>
      <c r="F18" s="20"/>
      <c r="G18" s="20"/>
      <c r="H18" s="20"/>
      <c r="I18" s="20"/>
      <c r="J18" s="21"/>
    </row>
    <row r="19" spans="1:10" s="19" customFormat="1" ht="16.5" x14ac:dyDescent="0.25">
      <c r="A19" s="15"/>
      <c r="B19" s="15"/>
      <c r="C19" s="15"/>
      <c r="D19" s="15"/>
      <c r="E19" s="15"/>
      <c r="F19" s="20"/>
      <c r="G19" s="20"/>
      <c r="H19" s="20"/>
      <c r="I19" s="20"/>
      <c r="J19" s="21"/>
    </row>
    <row r="20" spans="1:10" s="19" customFormat="1" ht="16.5" x14ac:dyDescent="0.25">
      <c r="A20" s="15"/>
      <c r="B20" s="15"/>
      <c r="C20" s="15"/>
      <c r="D20" s="15"/>
      <c r="E20" s="15"/>
      <c r="F20" s="22"/>
      <c r="G20" s="22"/>
      <c r="H20" s="22"/>
      <c r="I20" s="22"/>
      <c r="J20" s="22"/>
    </row>
    <row r="21" spans="1:10" s="19" customFormat="1" ht="16.5" x14ac:dyDescent="0.25">
      <c r="A21" s="15"/>
      <c r="B21" s="15"/>
      <c r="C21" s="15"/>
      <c r="D21" s="15"/>
      <c r="E21" s="15"/>
      <c r="F21" s="23"/>
      <c r="G21" s="23"/>
      <c r="H21" s="23"/>
      <c r="I21" s="23"/>
      <c r="J21" s="21"/>
    </row>
    <row r="22" spans="1:10" s="19" customFormat="1" ht="16.5" x14ac:dyDescent="0.25">
      <c r="A22" s="15"/>
      <c r="B22" s="15"/>
      <c r="C22" s="15"/>
      <c r="D22" s="15"/>
      <c r="E22" s="15"/>
      <c r="F22" s="20"/>
      <c r="G22" s="23"/>
      <c r="H22" s="23"/>
      <c r="I22" s="23"/>
      <c r="J22" s="22"/>
    </row>
    <row r="23" spans="1:10" s="19" customFormat="1" ht="16.5" x14ac:dyDescent="0.25">
      <c r="A23" s="15"/>
      <c r="B23" s="15"/>
      <c r="C23" s="15"/>
      <c r="D23" s="15"/>
      <c r="E23" s="15"/>
      <c r="F23" s="23"/>
      <c r="G23" s="23"/>
      <c r="H23" s="23"/>
      <c r="I23" s="23"/>
      <c r="J23" s="21"/>
    </row>
    <row r="24" spans="1:10" s="19" customFormat="1" ht="16.5" x14ac:dyDescent="0.25">
      <c r="A24" s="15"/>
      <c r="B24" s="15"/>
      <c r="C24" s="15"/>
      <c r="D24" s="15"/>
      <c r="E24" s="15"/>
      <c r="F24" s="22"/>
      <c r="G24" s="22"/>
      <c r="H24" s="22"/>
      <c r="I24" s="22"/>
      <c r="J24" s="22"/>
    </row>
    <row r="25" spans="1:10" s="19" customFormat="1" ht="16.5" x14ac:dyDescent="0.25">
      <c r="A25" s="15"/>
      <c r="B25" s="15"/>
      <c r="C25" s="15"/>
      <c r="D25" s="15"/>
      <c r="E25" s="15"/>
      <c r="F25" s="20"/>
      <c r="G25" s="20"/>
      <c r="H25" s="20"/>
      <c r="I25" s="20"/>
      <c r="J25" s="21"/>
    </row>
    <row r="26" spans="1:10" s="19" customFormat="1" ht="16.5" x14ac:dyDescent="0.25">
      <c r="A26" s="15"/>
      <c r="B26" s="15"/>
      <c r="C26" s="15"/>
      <c r="D26" s="15"/>
      <c r="E26" s="15"/>
      <c r="F26" s="22"/>
      <c r="G26" s="22"/>
      <c r="H26" s="22"/>
      <c r="I26" s="22"/>
      <c r="J26" s="22"/>
    </row>
    <row r="27" spans="1:10" s="19" customFormat="1" ht="16.5" x14ac:dyDescent="0.25">
      <c r="A27" s="15"/>
      <c r="B27" s="15"/>
      <c r="C27" s="15"/>
      <c r="D27" s="15"/>
      <c r="E27" s="15"/>
      <c r="F27" s="22"/>
      <c r="G27" s="22"/>
      <c r="H27" s="22"/>
      <c r="I27" s="22"/>
      <c r="J27" s="22"/>
    </row>
    <row r="28" spans="1:10" s="19" customFormat="1" ht="16.5" x14ac:dyDescent="0.25">
      <c r="A28" s="15"/>
      <c r="B28" s="15"/>
      <c r="C28" s="15"/>
      <c r="D28" s="15"/>
      <c r="E28" s="15"/>
      <c r="F28" s="23"/>
      <c r="G28" s="23"/>
      <c r="H28" s="23"/>
      <c r="I28" s="23"/>
      <c r="J28" s="21"/>
    </row>
    <row r="29" spans="1:10" s="19" customFormat="1" ht="16.5" x14ac:dyDescent="0.25">
      <c r="A29" s="15"/>
      <c r="B29" s="15"/>
      <c r="C29" s="15"/>
      <c r="D29" s="15"/>
      <c r="E29" s="15"/>
      <c r="F29" s="20"/>
      <c r="G29" s="23"/>
      <c r="H29" s="23"/>
      <c r="I29" s="23"/>
      <c r="J29" s="22"/>
    </row>
    <row r="30" spans="1:10" s="19" customFormat="1" ht="16.5" x14ac:dyDescent="0.25">
      <c r="A30" s="15"/>
      <c r="B30" s="15"/>
      <c r="C30" s="15"/>
      <c r="D30" s="15"/>
      <c r="E30" s="15"/>
      <c r="F30" s="23"/>
      <c r="G30" s="23"/>
      <c r="H30" s="23"/>
      <c r="I30" s="23"/>
      <c r="J30" s="21"/>
    </row>
    <row r="31" spans="1:10" s="19" customFormat="1" ht="16.5" x14ac:dyDescent="0.25">
      <c r="A31" s="15"/>
      <c r="B31" s="15"/>
      <c r="C31" s="15"/>
      <c r="D31" s="15"/>
      <c r="E31" s="15"/>
      <c r="F31" s="22"/>
      <c r="G31" s="22"/>
      <c r="H31" s="22"/>
      <c r="I31" s="22"/>
      <c r="J31" s="22"/>
    </row>
    <row r="32" spans="1:10" s="19" customFormat="1" ht="16.5" x14ac:dyDescent="0.25">
      <c r="A32" s="15"/>
      <c r="B32" s="15"/>
      <c r="C32" s="15"/>
      <c r="D32" s="15"/>
      <c r="E32" s="15"/>
      <c r="F32" s="20"/>
      <c r="G32" s="20"/>
      <c r="H32" s="20"/>
      <c r="I32" s="20"/>
      <c r="J32" s="21"/>
    </row>
    <row r="33" spans="1:10" s="19" customFormat="1" ht="16.5" x14ac:dyDescent="0.25">
      <c r="A33" s="15"/>
      <c r="B33" s="15"/>
      <c r="C33" s="15"/>
      <c r="D33" s="24"/>
      <c r="E33" s="24"/>
      <c r="F33" s="22"/>
      <c r="G33" s="22"/>
      <c r="H33" s="22"/>
      <c r="I33" s="22"/>
      <c r="J33" s="22"/>
    </row>
    <row r="34" spans="1:10" s="19" customFormat="1" ht="16.5" x14ac:dyDescent="0.25">
      <c r="A34" s="15"/>
      <c r="B34" s="15"/>
      <c r="C34" s="15"/>
      <c r="D34" s="24"/>
      <c r="E34" s="24"/>
      <c r="F34" s="22"/>
      <c r="G34" s="22"/>
      <c r="H34" s="22"/>
      <c r="I34" s="22"/>
      <c r="J34" s="22"/>
    </row>
    <row r="35" spans="1:10" s="19" customFormat="1" ht="16.5" x14ac:dyDescent="0.25">
      <c r="A35" s="15"/>
      <c r="B35" s="15"/>
      <c r="C35" s="15"/>
      <c r="D35" s="24"/>
      <c r="E35" s="24"/>
      <c r="F35" s="22"/>
      <c r="G35" s="22"/>
      <c r="H35" s="22"/>
      <c r="I35" s="22"/>
      <c r="J35" s="22"/>
    </row>
    <row r="36" spans="1:10" s="19" customFormat="1" ht="16.5" x14ac:dyDescent="0.25">
      <c r="A36" s="15"/>
      <c r="B36" s="15"/>
      <c r="C36" s="15"/>
      <c r="D36" s="15"/>
      <c r="E36" s="15"/>
      <c r="F36" s="22"/>
      <c r="G36" s="22"/>
      <c r="H36" s="22"/>
      <c r="I36" s="22"/>
      <c r="J36" s="22"/>
    </row>
    <row r="37" spans="1:10" s="19" customFormat="1" ht="16.5" x14ac:dyDescent="0.25">
      <c r="A37" s="15"/>
      <c r="B37" s="15"/>
      <c r="C37" s="15"/>
      <c r="D37" s="15"/>
      <c r="E37" s="15"/>
      <c r="F37" s="22"/>
      <c r="G37" s="22"/>
      <c r="H37" s="22"/>
      <c r="I37" s="22"/>
      <c r="J37" s="22"/>
    </row>
    <row r="38" spans="1:10" s="19" customFormat="1" ht="16.5" x14ac:dyDescent="0.25">
      <c r="A38" s="15"/>
      <c r="B38" s="15"/>
      <c r="C38" s="15"/>
      <c r="D38" s="15"/>
      <c r="E38" s="15"/>
      <c r="F38" s="22"/>
      <c r="G38" s="22"/>
      <c r="H38" s="22"/>
      <c r="I38" s="22"/>
      <c r="J38" s="22"/>
    </row>
    <row r="39" spans="1:10" s="19" customFormat="1" ht="16.5" x14ac:dyDescent="0.25">
      <c r="A39" s="15"/>
      <c r="B39" s="15"/>
      <c r="C39" s="15"/>
      <c r="D39" s="15"/>
      <c r="E39" s="15"/>
      <c r="F39" s="22"/>
      <c r="G39" s="22"/>
      <c r="H39" s="22"/>
      <c r="I39" s="22"/>
      <c r="J39" s="22"/>
    </row>
    <row r="40" spans="1:10" s="19" customFormat="1" ht="16.5" x14ac:dyDescent="0.25">
      <c r="A40" s="15"/>
      <c r="B40" s="15"/>
      <c r="C40" s="15"/>
      <c r="D40" s="15"/>
      <c r="E40" s="15"/>
      <c r="F40" s="22"/>
      <c r="G40" s="22"/>
      <c r="H40" s="22"/>
      <c r="I40" s="22"/>
      <c r="J40" s="22"/>
    </row>
    <row r="41" spans="1:10" s="19" customFormat="1" ht="16.5" x14ac:dyDescent="0.25">
      <c r="A41" s="15"/>
      <c r="B41" s="15"/>
      <c r="C41" s="15"/>
      <c r="D41" s="15"/>
      <c r="E41" s="15"/>
      <c r="F41" s="22"/>
      <c r="G41" s="22"/>
      <c r="H41" s="22"/>
      <c r="I41" s="22"/>
      <c r="J41" s="22"/>
    </row>
    <row r="42" spans="1:10" s="19" customFormat="1" ht="16.5" x14ac:dyDescent="0.25">
      <c r="A42" s="15"/>
      <c r="B42" s="15"/>
      <c r="C42" s="15"/>
      <c r="D42" s="15"/>
      <c r="E42" s="15"/>
      <c r="F42" s="22"/>
      <c r="G42" s="22"/>
      <c r="H42" s="22"/>
      <c r="I42" s="22"/>
      <c r="J42" s="22"/>
    </row>
    <row r="43" spans="1:10" s="19" customFormat="1" ht="16.5" x14ac:dyDescent="0.25">
      <c r="A43" s="15"/>
      <c r="B43" s="15"/>
      <c r="C43" s="15"/>
      <c r="D43" s="15"/>
      <c r="E43" s="15"/>
      <c r="F43" s="23"/>
      <c r="G43" s="23"/>
      <c r="H43" s="23"/>
      <c r="I43" s="23"/>
      <c r="J43" s="21"/>
    </row>
    <row r="44" spans="1:10" s="19" customFormat="1" ht="16.5" x14ac:dyDescent="0.25">
      <c r="A44" s="15"/>
      <c r="B44" s="15"/>
      <c r="C44" s="15"/>
      <c r="D44" s="15"/>
      <c r="E44" s="15"/>
      <c r="F44" s="23"/>
      <c r="G44" s="23"/>
      <c r="H44" s="23"/>
      <c r="I44" s="23"/>
      <c r="J44" s="21"/>
    </row>
    <row r="45" spans="1:10" s="19" customFormat="1" ht="16.5" x14ac:dyDescent="0.25">
      <c r="A45" s="15"/>
      <c r="B45" s="15"/>
      <c r="C45" s="15"/>
      <c r="D45" s="15"/>
      <c r="E45" s="15"/>
      <c r="F45" s="23"/>
      <c r="G45" s="23"/>
      <c r="H45" s="23"/>
      <c r="I45" s="23"/>
      <c r="J45" s="21"/>
    </row>
    <row r="46" spans="1:10" s="19" customFormat="1" ht="16.5" x14ac:dyDescent="0.25">
      <c r="A46" s="15"/>
      <c r="B46" s="15"/>
      <c r="C46" s="15"/>
      <c r="D46" s="15"/>
      <c r="E46" s="15"/>
      <c r="F46" s="22"/>
      <c r="G46" s="22"/>
      <c r="H46" s="22"/>
      <c r="I46" s="22"/>
      <c r="J46" s="22"/>
    </row>
    <row r="47" spans="1:10" s="19" customFormat="1" ht="16.5" x14ac:dyDescent="0.25">
      <c r="A47" s="15"/>
      <c r="B47" s="15"/>
      <c r="C47" s="15"/>
      <c r="D47" s="15"/>
      <c r="E47" s="15"/>
      <c r="F47" s="20"/>
      <c r="G47" s="20"/>
      <c r="H47" s="20"/>
      <c r="I47" s="20"/>
      <c r="J47" s="21"/>
    </row>
    <row r="48" spans="1:10" s="19" customFormat="1" ht="16.5" x14ac:dyDescent="0.25">
      <c r="A48" s="15"/>
      <c r="B48" s="15"/>
      <c r="C48" s="15"/>
      <c r="D48" s="15"/>
      <c r="E48" s="15"/>
      <c r="F48" s="22"/>
      <c r="G48" s="22"/>
      <c r="H48" s="22"/>
      <c r="I48" s="22"/>
      <c r="J48" s="22"/>
    </row>
    <row r="49" spans="1:10" s="19" customFormat="1" ht="16.5" x14ac:dyDescent="0.25">
      <c r="A49" s="15"/>
      <c r="B49" s="15"/>
      <c r="C49" s="15"/>
      <c r="D49" s="15"/>
      <c r="E49" s="15"/>
      <c r="F49" s="22"/>
      <c r="G49" s="22"/>
      <c r="H49" s="22"/>
      <c r="I49" s="22"/>
      <c r="J49" s="22"/>
    </row>
    <row r="50" spans="1:10" s="19" customFormat="1" ht="16.5" x14ac:dyDescent="0.25">
      <c r="A50" s="15"/>
      <c r="B50" s="15"/>
      <c r="C50" s="15"/>
      <c r="D50" s="15"/>
      <c r="E50" s="15"/>
      <c r="F50" s="23"/>
      <c r="G50" s="23"/>
      <c r="H50" s="23"/>
      <c r="I50" s="23"/>
      <c r="J50" s="21"/>
    </row>
    <row r="51" spans="1:10" s="19" customFormat="1" ht="16.5" x14ac:dyDescent="0.25">
      <c r="A51" s="15"/>
      <c r="B51" s="15"/>
      <c r="C51" s="15"/>
      <c r="D51" s="15"/>
      <c r="E51" s="15"/>
      <c r="F51" s="20"/>
      <c r="G51" s="23"/>
      <c r="H51" s="23"/>
      <c r="I51" s="23"/>
      <c r="J51" s="22"/>
    </row>
    <row r="52" spans="1:10" s="19" customFormat="1" ht="16.5" x14ac:dyDescent="0.25">
      <c r="A52" s="15"/>
      <c r="B52" s="15"/>
      <c r="C52" s="15"/>
      <c r="D52" s="15"/>
      <c r="E52" s="15"/>
      <c r="F52" s="22"/>
      <c r="G52" s="22"/>
      <c r="H52" s="22"/>
      <c r="I52" s="22"/>
      <c r="J52" s="22"/>
    </row>
    <row r="53" spans="1:10" s="15" customFormat="1" x14ac:dyDescent="0.25">
      <c r="F53" s="20"/>
      <c r="G53" s="20"/>
      <c r="H53" s="20"/>
      <c r="I53" s="20"/>
      <c r="J53" s="21"/>
    </row>
    <row r="54" spans="1:10" s="15" customFormat="1" x14ac:dyDescent="0.25">
      <c r="F54" s="22"/>
      <c r="G54" s="22"/>
      <c r="H54" s="22"/>
      <c r="I54" s="22"/>
      <c r="J54" s="22"/>
    </row>
    <row r="55" spans="1:10" s="15" customFormat="1" x14ac:dyDescent="0.25">
      <c r="F55" s="22"/>
      <c r="G55" s="22"/>
      <c r="H55" s="22"/>
      <c r="I55" s="22"/>
      <c r="J55" s="22"/>
    </row>
    <row r="56" spans="1:10" s="15" customFormat="1" x14ac:dyDescent="0.25">
      <c r="F56" s="23"/>
      <c r="G56" s="23"/>
      <c r="H56" s="23"/>
      <c r="I56" s="23"/>
      <c r="J56" s="21"/>
    </row>
    <row r="57" spans="1:10" s="15" customFormat="1" x14ac:dyDescent="0.25">
      <c r="F57" s="23"/>
      <c r="G57" s="23"/>
      <c r="H57" s="23"/>
      <c r="I57" s="23"/>
      <c r="J57" s="21"/>
    </row>
    <row r="58" spans="1:10" s="15" customFormat="1" x14ac:dyDescent="0.25">
      <c r="F58" s="20"/>
      <c r="G58" s="23"/>
      <c r="H58" s="23"/>
      <c r="I58" s="23"/>
      <c r="J58" s="22"/>
    </row>
    <row r="59" spans="1:10" s="15" customFormat="1" x14ac:dyDescent="0.25">
      <c r="F59" s="22"/>
      <c r="G59" s="22"/>
      <c r="H59" s="22"/>
      <c r="I59" s="22"/>
      <c r="J59" s="22"/>
    </row>
    <row r="60" spans="1:10" s="15" customFormat="1" x14ac:dyDescent="0.25">
      <c r="F60" s="20"/>
      <c r="G60" s="20"/>
      <c r="H60" s="20"/>
      <c r="I60" s="20"/>
      <c r="J60" s="21"/>
    </row>
    <row r="61" spans="1:10" s="15" customFormat="1" x14ac:dyDescent="0.25">
      <c r="F61" s="22"/>
      <c r="G61" s="22"/>
      <c r="H61" s="22"/>
      <c r="I61" s="22"/>
      <c r="J61" s="22"/>
    </row>
    <row r="62" spans="1:10" s="15" customFormat="1" x14ac:dyDescent="0.25">
      <c r="F62" s="22"/>
      <c r="G62" s="22"/>
      <c r="H62" s="22"/>
      <c r="I62" s="22"/>
      <c r="J62" s="22"/>
    </row>
    <row r="63" spans="1:10" s="15" customFormat="1" x14ac:dyDescent="0.25">
      <c r="F63" s="23"/>
      <c r="G63" s="23"/>
      <c r="H63" s="23"/>
      <c r="I63" s="23"/>
      <c r="J63" s="21"/>
    </row>
    <row r="64" spans="1:10" s="15" customFormat="1" x14ac:dyDescent="0.25">
      <c r="F64" s="23"/>
      <c r="G64" s="23"/>
      <c r="H64" s="23"/>
      <c r="I64" s="23"/>
      <c r="J64" s="21"/>
    </row>
    <row r="65" spans="6:10" s="15" customFormat="1" x14ac:dyDescent="0.25">
      <c r="F65" s="23"/>
      <c r="G65" s="23"/>
      <c r="H65" s="23"/>
      <c r="I65" s="23"/>
      <c r="J65" s="21"/>
    </row>
    <row r="66" spans="6:10" s="15" customFormat="1" x14ac:dyDescent="0.25">
      <c r="F66" s="20"/>
      <c r="G66" s="23"/>
      <c r="H66" s="23"/>
      <c r="I66" s="23"/>
      <c r="J66" s="22"/>
    </row>
    <row r="67" spans="6:10" s="15" customFormat="1" x14ac:dyDescent="0.25">
      <c r="F67" s="22"/>
      <c r="G67" s="22"/>
      <c r="H67" s="22"/>
      <c r="I67" s="22"/>
      <c r="J67" s="22"/>
    </row>
    <row r="68" spans="6:10" s="15" customFormat="1" x14ac:dyDescent="0.25">
      <c r="F68" s="20"/>
      <c r="G68" s="20"/>
      <c r="H68" s="20"/>
      <c r="I68" s="20"/>
      <c r="J68" s="21"/>
    </row>
    <row r="69" spans="6:10" s="15" customFormat="1" x14ac:dyDescent="0.25">
      <c r="F69" s="22"/>
      <c r="G69" s="22"/>
      <c r="H69" s="22"/>
      <c r="I69" s="22"/>
      <c r="J69" s="22"/>
    </row>
    <row r="70" spans="6:10" s="15" customFormat="1" x14ac:dyDescent="0.25">
      <c r="F70" s="22"/>
      <c r="G70" s="22"/>
      <c r="H70" s="22"/>
      <c r="I70" s="22"/>
      <c r="J70" s="22"/>
    </row>
    <row r="71" spans="6:10" s="15" customFormat="1" x14ac:dyDescent="0.25">
      <c r="F71" s="22"/>
      <c r="G71" s="22"/>
      <c r="H71" s="22"/>
      <c r="I71" s="22"/>
      <c r="J71" s="22"/>
    </row>
    <row r="72" spans="6:10" s="15" customFormat="1" x14ac:dyDescent="0.25">
      <c r="F72" s="22"/>
      <c r="G72" s="22"/>
      <c r="H72" s="22"/>
      <c r="I72" s="22"/>
      <c r="J72" s="22"/>
    </row>
    <row r="73" spans="6:10" s="15" customFormat="1" x14ac:dyDescent="0.25">
      <c r="F73" s="22"/>
      <c r="G73" s="25"/>
      <c r="H73" s="25"/>
      <c r="I73" s="25"/>
      <c r="J73" s="22"/>
    </row>
    <row r="74" spans="6:10" s="15" customFormat="1" x14ac:dyDescent="0.25">
      <c r="F74" s="22"/>
      <c r="G74" s="22"/>
      <c r="H74" s="22"/>
      <c r="I74" s="22"/>
      <c r="J74" s="22"/>
    </row>
    <row r="75" spans="6:10" s="15" customFormat="1" x14ac:dyDescent="0.25">
      <c r="F75" s="22"/>
      <c r="G75" s="22"/>
      <c r="H75" s="22"/>
      <c r="I75" s="22"/>
      <c r="J75" s="22"/>
    </row>
    <row r="76" spans="6:10" s="15" customFormat="1" x14ac:dyDescent="0.25">
      <c r="F76" s="22"/>
      <c r="G76" s="22"/>
      <c r="H76" s="22"/>
      <c r="I76" s="22"/>
      <c r="J76" s="22"/>
    </row>
    <row r="77" spans="6:10" s="15" customFormat="1" x14ac:dyDescent="0.25">
      <c r="F77" s="22"/>
      <c r="G77" s="22"/>
      <c r="H77" s="22"/>
      <c r="I77" s="22"/>
      <c r="J77" s="22"/>
    </row>
    <row r="78" spans="6:10" s="15" customFormat="1" x14ac:dyDescent="0.25">
      <c r="F78" s="22"/>
      <c r="G78" s="22"/>
      <c r="H78" s="22"/>
      <c r="I78" s="22"/>
      <c r="J78" s="22"/>
    </row>
    <row r="79" spans="6:10" s="15" customFormat="1" x14ac:dyDescent="0.25">
      <c r="F79" s="22"/>
      <c r="G79" s="22"/>
      <c r="H79" s="22"/>
      <c r="I79" s="22"/>
      <c r="J79" s="22"/>
    </row>
    <row r="80" spans="6:10" s="15" customFormat="1" x14ac:dyDescent="0.25">
      <c r="F80" s="26"/>
      <c r="G80" s="26"/>
      <c r="H80" s="26"/>
      <c r="I80" s="26"/>
    </row>
    <row r="81" spans="6:9" s="15" customFormat="1" x14ac:dyDescent="0.25">
      <c r="F81" s="26"/>
      <c r="G81" s="26"/>
      <c r="H81" s="26"/>
      <c r="I81" s="26"/>
    </row>
    <row r="82" spans="6:9" s="15" customFormat="1" x14ac:dyDescent="0.25">
      <c r="F82" s="26"/>
      <c r="G82" s="26"/>
      <c r="H82" s="26"/>
      <c r="I82" s="26"/>
    </row>
  </sheetData>
  <dataConsolidate/>
  <mergeCells count="3">
    <mergeCell ref="A6:J6"/>
    <mergeCell ref="A7:I7"/>
    <mergeCell ref="A1:J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8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8"/>
  <sheetViews>
    <sheetView view="pageBreakPreview" zoomScale="90" zoomScaleNormal="70" zoomScaleSheetLayoutView="90" workbookViewId="0">
      <selection sqref="A1:J1"/>
    </sheetView>
  </sheetViews>
  <sheetFormatPr defaultColWidth="54.28515625" defaultRowHeight="15" x14ac:dyDescent="0.25"/>
  <cols>
    <col min="1" max="1" width="15.42578125" style="15" bestFit="1" customWidth="1"/>
    <col min="2" max="2" width="28.140625" style="15" customWidth="1"/>
    <col min="3" max="3" width="16.28515625" style="15" bestFit="1" customWidth="1"/>
    <col min="4" max="4" width="13.140625" style="26" bestFit="1" customWidth="1"/>
    <col min="5" max="5" width="11.85546875" style="26" bestFit="1" customWidth="1"/>
    <col min="6" max="6" width="8.28515625" style="26" bestFit="1" customWidth="1"/>
    <col min="7" max="7" width="9.42578125" style="26" bestFit="1" customWidth="1"/>
    <col min="8" max="8" width="13" style="26" customWidth="1"/>
    <col min="9" max="9" width="26.7109375" style="15" bestFit="1" customWidth="1"/>
    <col min="10" max="10" width="30" style="55" bestFit="1" customWidth="1" collapsed="1"/>
    <col min="11" max="16384" width="54.28515625" style="3"/>
  </cols>
  <sheetData>
    <row r="1" spans="1:10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72" x14ac:dyDescent="0.25">
      <c r="A2" s="2" t="s">
        <v>102</v>
      </c>
      <c r="B2" s="2" t="s">
        <v>3</v>
      </c>
      <c r="C2" s="2" t="s">
        <v>97</v>
      </c>
      <c r="D2" s="2" t="s">
        <v>0</v>
      </c>
      <c r="E2" s="2" t="s">
        <v>1</v>
      </c>
      <c r="F2" s="2" t="s">
        <v>2</v>
      </c>
      <c r="G2" s="2" t="s">
        <v>21</v>
      </c>
      <c r="H2" s="2" t="s">
        <v>22</v>
      </c>
      <c r="I2" s="2" t="s">
        <v>7</v>
      </c>
      <c r="J2" s="2" t="s">
        <v>23</v>
      </c>
    </row>
    <row r="3" spans="1:10" ht="16.5" x14ac:dyDescent="0.25">
      <c r="A3" s="6" t="s">
        <v>89</v>
      </c>
      <c r="B3" s="5" t="s">
        <v>15</v>
      </c>
      <c r="C3" s="6">
        <v>44249</v>
      </c>
      <c r="D3" s="7">
        <v>44251</v>
      </c>
      <c r="E3" s="7">
        <v>45343</v>
      </c>
      <c r="F3" s="28">
        <v>1092</v>
      </c>
      <c r="G3" s="9" t="s">
        <v>6</v>
      </c>
      <c r="H3" s="29">
        <v>1.1499999999999999</v>
      </c>
      <c r="I3" s="9">
        <v>27954525</v>
      </c>
      <c r="J3" s="9">
        <f>+I3*1</f>
        <v>27954525</v>
      </c>
    </row>
    <row r="4" spans="1:10" ht="16.5" x14ac:dyDescent="0.25">
      <c r="A4" s="12" t="s">
        <v>90</v>
      </c>
      <c r="B4" s="11" t="s">
        <v>15</v>
      </c>
      <c r="C4" s="12">
        <v>44277</v>
      </c>
      <c r="D4" s="12">
        <v>44279</v>
      </c>
      <c r="E4" s="12">
        <v>45371</v>
      </c>
      <c r="F4" s="33">
        <v>1092</v>
      </c>
      <c r="G4" s="14" t="s">
        <v>6</v>
      </c>
      <c r="H4" s="10">
        <v>1.1499999999999999</v>
      </c>
      <c r="I4" s="14">
        <v>10472375</v>
      </c>
      <c r="J4" s="14">
        <v>10472375</v>
      </c>
    </row>
    <row r="5" spans="1:10" ht="16.5" x14ac:dyDescent="0.25">
      <c r="A5" s="6" t="s">
        <v>91</v>
      </c>
      <c r="B5" s="5" t="s">
        <v>15</v>
      </c>
      <c r="C5" s="6">
        <v>44300</v>
      </c>
      <c r="D5" s="7">
        <v>44302</v>
      </c>
      <c r="E5" s="7">
        <v>45394</v>
      </c>
      <c r="F5" s="28">
        <v>1092</v>
      </c>
      <c r="G5" s="9" t="s">
        <v>6</v>
      </c>
      <c r="H5" s="29">
        <v>1.1499999999999999</v>
      </c>
      <c r="I5" s="9">
        <v>9777865</v>
      </c>
      <c r="J5" s="9">
        <v>9777865</v>
      </c>
    </row>
    <row r="6" spans="1:10" ht="16.5" x14ac:dyDescent="0.25">
      <c r="A6" s="12" t="s">
        <v>92</v>
      </c>
      <c r="B6" s="11" t="s">
        <v>15</v>
      </c>
      <c r="C6" s="12">
        <v>44334</v>
      </c>
      <c r="D6" s="12">
        <v>44337</v>
      </c>
      <c r="E6" s="12">
        <v>44701</v>
      </c>
      <c r="F6" s="33">
        <v>364</v>
      </c>
      <c r="G6" s="14" t="s">
        <v>6</v>
      </c>
      <c r="H6" s="10">
        <v>0.75</v>
      </c>
      <c r="I6" s="14">
        <v>4462575</v>
      </c>
      <c r="J6" s="14">
        <v>4462575</v>
      </c>
    </row>
    <row r="7" spans="1:10" ht="16.5" x14ac:dyDescent="0.25">
      <c r="A7" s="6" t="s">
        <v>93</v>
      </c>
      <c r="B7" s="5" t="s">
        <v>15</v>
      </c>
      <c r="C7" s="6">
        <v>44363</v>
      </c>
      <c r="D7" s="7">
        <v>44365</v>
      </c>
      <c r="E7" s="7">
        <v>45457</v>
      </c>
      <c r="F7" s="28">
        <v>1092</v>
      </c>
      <c r="G7" s="9" t="s">
        <v>6</v>
      </c>
      <c r="H7" s="29">
        <v>1.1499999999999999</v>
      </c>
      <c r="I7" s="9">
        <v>10091290</v>
      </c>
      <c r="J7" s="9">
        <v>10091290</v>
      </c>
    </row>
    <row r="8" spans="1:10" ht="16.5" x14ac:dyDescent="0.25">
      <c r="A8" s="12" t="s">
        <v>94</v>
      </c>
      <c r="B8" s="11" t="s">
        <v>15</v>
      </c>
      <c r="C8" s="12">
        <v>44384</v>
      </c>
      <c r="D8" s="12">
        <v>44386</v>
      </c>
      <c r="E8" s="12">
        <v>45478</v>
      </c>
      <c r="F8" s="33">
        <v>1092</v>
      </c>
      <c r="G8" s="14" t="s">
        <v>6</v>
      </c>
      <c r="H8" s="10">
        <v>1.1499999999999999</v>
      </c>
      <c r="I8" s="14">
        <v>4638690</v>
      </c>
      <c r="J8" s="14">
        <v>4638690</v>
      </c>
    </row>
    <row r="9" spans="1:10" ht="16.5" x14ac:dyDescent="0.25">
      <c r="A9" s="6" t="s">
        <v>95</v>
      </c>
      <c r="B9" s="5" t="s">
        <v>15</v>
      </c>
      <c r="C9" s="6">
        <v>44480</v>
      </c>
      <c r="D9" s="7">
        <v>44482</v>
      </c>
      <c r="E9" s="7">
        <v>45574</v>
      </c>
      <c r="F9" s="28">
        <v>1092</v>
      </c>
      <c r="G9" s="9" t="s">
        <v>6</v>
      </c>
      <c r="H9" s="29">
        <v>0.75</v>
      </c>
      <c r="I9" s="9">
        <v>10152980</v>
      </c>
      <c r="J9" s="9">
        <v>10152980</v>
      </c>
    </row>
    <row r="10" spans="1:10" ht="14.25" customHeight="1" x14ac:dyDescent="0.25">
      <c r="A10" s="69"/>
      <c r="B10" s="69"/>
      <c r="C10" s="70"/>
      <c r="D10" s="71"/>
      <c r="E10" s="71"/>
      <c r="F10" s="72"/>
      <c r="G10" s="73"/>
      <c r="H10" s="72"/>
      <c r="I10" s="74"/>
      <c r="J10" s="75"/>
    </row>
    <row r="11" spans="1:10" ht="14.25" customHeight="1" x14ac:dyDescent="0.25">
      <c r="A11" s="131" t="s">
        <v>24</v>
      </c>
      <c r="B11" s="132"/>
      <c r="C11" s="132"/>
      <c r="D11" s="132"/>
      <c r="E11" s="132"/>
      <c r="F11" s="132"/>
      <c r="G11" s="132"/>
      <c r="H11" s="132"/>
      <c r="I11" s="132"/>
      <c r="J11" s="132"/>
    </row>
    <row r="12" spans="1:10" s="19" customFormat="1" ht="14.65" customHeight="1" x14ac:dyDescent="0.25">
      <c r="A12" s="129" t="s">
        <v>69</v>
      </c>
      <c r="B12" s="129"/>
      <c r="C12" s="129"/>
      <c r="D12" s="129"/>
      <c r="E12" s="129"/>
      <c r="F12" s="129"/>
      <c r="G12" s="129"/>
      <c r="H12" s="129"/>
      <c r="I12" s="129"/>
      <c r="J12" s="129"/>
    </row>
    <row r="13" spans="1:10" s="19" customFormat="1" ht="16.5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10" s="19" customFormat="1" ht="16.5" x14ac:dyDescent="0.25">
      <c r="A14" s="15"/>
      <c r="B14" s="15"/>
      <c r="C14" s="15"/>
      <c r="D14" s="20"/>
      <c r="E14" s="20"/>
      <c r="F14" s="20"/>
      <c r="G14" s="20"/>
      <c r="H14" s="20"/>
      <c r="I14" s="21"/>
      <c r="J14" s="52"/>
    </row>
    <row r="15" spans="1:10" s="19" customFormat="1" ht="16.5" x14ac:dyDescent="0.25">
      <c r="A15" s="15"/>
      <c r="B15" s="15"/>
      <c r="C15" s="15"/>
      <c r="D15" s="22"/>
      <c r="E15" s="22"/>
      <c r="F15" s="22"/>
      <c r="G15" s="22"/>
      <c r="H15" s="22"/>
      <c r="I15" s="22"/>
      <c r="J15" s="52"/>
    </row>
    <row r="16" spans="1:10" s="19" customFormat="1" ht="16.5" x14ac:dyDescent="0.25">
      <c r="A16" s="15"/>
      <c r="B16" s="15"/>
      <c r="C16" s="15"/>
      <c r="D16" s="22"/>
      <c r="E16" s="22"/>
      <c r="F16" s="22"/>
      <c r="G16" s="22"/>
      <c r="H16" s="22"/>
      <c r="I16" s="22"/>
      <c r="J16" s="52"/>
    </row>
    <row r="17" spans="1:10" s="19" customFormat="1" ht="16.5" x14ac:dyDescent="0.25">
      <c r="A17" s="15"/>
      <c r="B17" s="15"/>
      <c r="C17" s="15"/>
      <c r="D17" s="20"/>
      <c r="E17" s="23"/>
      <c r="F17" s="23"/>
      <c r="G17" s="23"/>
      <c r="H17" s="23"/>
      <c r="I17" s="21"/>
      <c r="J17" s="53"/>
    </row>
    <row r="18" spans="1:10" s="19" customFormat="1" ht="16.5" x14ac:dyDescent="0.25">
      <c r="A18" s="15"/>
      <c r="B18" s="15"/>
      <c r="C18" s="15"/>
      <c r="D18" s="20"/>
      <c r="E18" s="20"/>
      <c r="F18" s="23"/>
      <c r="G18" s="23"/>
      <c r="H18" s="23"/>
      <c r="I18" s="22"/>
      <c r="J18" s="52"/>
    </row>
    <row r="19" spans="1:10" s="19" customFormat="1" ht="16.5" x14ac:dyDescent="0.25">
      <c r="A19" s="15"/>
      <c r="B19" s="15"/>
      <c r="C19" s="15"/>
      <c r="D19" s="20"/>
      <c r="E19" s="23"/>
      <c r="F19" s="23"/>
      <c r="G19" s="23"/>
      <c r="H19" s="23"/>
      <c r="I19" s="21"/>
      <c r="J19" s="52"/>
    </row>
    <row r="20" spans="1:10" s="19" customFormat="1" ht="16.5" x14ac:dyDescent="0.25">
      <c r="A20" s="15"/>
      <c r="B20" s="15"/>
      <c r="C20" s="15"/>
      <c r="D20" s="22"/>
      <c r="E20" s="22"/>
      <c r="F20" s="22"/>
      <c r="G20" s="22"/>
      <c r="H20" s="22"/>
      <c r="I20" s="22"/>
      <c r="J20" s="52"/>
    </row>
    <row r="21" spans="1:10" s="19" customFormat="1" ht="16.5" x14ac:dyDescent="0.25">
      <c r="A21" s="15"/>
      <c r="B21" s="15"/>
      <c r="C21" s="15"/>
      <c r="D21" s="20"/>
      <c r="E21" s="20"/>
      <c r="F21" s="20"/>
      <c r="G21" s="20"/>
      <c r="H21" s="20"/>
      <c r="I21" s="21"/>
      <c r="J21" s="52"/>
    </row>
    <row r="22" spans="1:10" s="19" customFormat="1" ht="16.5" x14ac:dyDescent="0.25">
      <c r="A22" s="15"/>
      <c r="B22" s="15"/>
      <c r="C22" s="15"/>
      <c r="D22" s="20"/>
      <c r="E22" s="20"/>
      <c r="F22" s="20"/>
      <c r="G22" s="20"/>
      <c r="H22" s="20"/>
      <c r="I22" s="21"/>
      <c r="J22" s="52"/>
    </row>
    <row r="23" spans="1:10" s="19" customFormat="1" ht="16.5" x14ac:dyDescent="0.25">
      <c r="A23" s="15"/>
      <c r="B23" s="15"/>
      <c r="C23" s="15"/>
      <c r="D23" s="20"/>
      <c r="E23" s="20"/>
      <c r="F23" s="20"/>
      <c r="G23" s="20"/>
      <c r="H23" s="20"/>
      <c r="I23" s="21"/>
      <c r="J23" s="52"/>
    </row>
    <row r="24" spans="1:10" s="19" customFormat="1" ht="16.5" x14ac:dyDescent="0.25">
      <c r="A24" s="15"/>
      <c r="B24" s="15"/>
      <c r="C24" s="15"/>
      <c r="D24" s="20"/>
      <c r="E24" s="20"/>
      <c r="F24" s="20"/>
      <c r="G24" s="20"/>
      <c r="H24" s="20"/>
      <c r="I24" s="21"/>
      <c r="J24" s="52"/>
    </row>
    <row r="25" spans="1:10" s="19" customFormat="1" ht="16.5" x14ac:dyDescent="0.25">
      <c r="A25" s="15"/>
      <c r="B25" s="15"/>
      <c r="C25" s="15"/>
      <c r="D25" s="22"/>
      <c r="E25" s="22"/>
      <c r="F25" s="22"/>
      <c r="G25" s="22"/>
      <c r="H25" s="22"/>
      <c r="I25" s="22"/>
      <c r="J25" s="52"/>
    </row>
    <row r="26" spans="1:10" s="19" customFormat="1" ht="16.5" x14ac:dyDescent="0.25">
      <c r="A26" s="15"/>
      <c r="B26" s="15"/>
      <c r="C26" s="15"/>
      <c r="D26" s="20"/>
      <c r="E26" s="23"/>
      <c r="F26" s="23"/>
      <c r="G26" s="23"/>
      <c r="H26" s="23"/>
      <c r="I26" s="21"/>
      <c r="J26" s="52"/>
    </row>
    <row r="27" spans="1:10" s="19" customFormat="1" ht="16.5" x14ac:dyDescent="0.25">
      <c r="A27" s="15"/>
      <c r="B27" s="15"/>
      <c r="C27" s="15"/>
      <c r="D27" s="20"/>
      <c r="E27" s="20"/>
      <c r="F27" s="23"/>
      <c r="G27" s="23"/>
      <c r="H27" s="23"/>
      <c r="I27" s="22"/>
      <c r="J27" s="52"/>
    </row>
    <row r="28" spans="1:10" s="19" customFormat="1" ht="16.5" x14ac:dyDescent="0.25">
      <c r="A28" s="15"/>
      <c r="B28" s="15"/>
      <c r="C28" s="15"/>
      <c r="D28" s="20"/>
      <c r="E28" s="23"/>
      <c r="F28" s="23"/>
      <c r="G28" s="23"/>
      <c r="H28" s="23"/>
      <c r="I28" s="21"/>
      <c r="J28" s="52"/>
    </row>
    <row r="29" spans="1:10" s="19" customFormat="1" ht="16.5" x14ac:dyDescent="0.25">
      <c r="A29" s="15"/>
      <c r="B29" s="15"/>
      <c r="C29" s="15"/>
      <c r="D29" s="22"/>
      <c r="E29" s="22"/>
      <c r="F29" s="22"/>
      <c r="G29" s="22"/>
      <c r="H29" s="22"/>
      <c r="I29" s="22"/>
      <c r="J29" s="52"/>
    </row>
    <row r="30" spans="1:10" s="19" customFormat="1" ht="16.5" x14ac:dyDescent="0.25">
      <c r="A30" s="15"/>
      <c r="B30" s="15"/>
      <c r="C30" s="15"/>
      <c r="D30" s="20"/>
      <c r="E30" s="20"/>
      <c r="F30" s="20"/>
      <c r="G30" s="20"/>
      <c r="H30" s="20"/>
      <c r="I30" s="21"/>
      <c r="J30" s="52"/>
    </row>
    <row r="31" spans="1:10" s="19" customFormat="1" ht="16.5" x14ac:dyDescent="0.25">
      <c r="A31" s="15"/>
      <c r="B31" s="15"/>
      <c r="C31" s="15"/>
      <c r="D31" s="22"/>
      <c r="E31" s="22"/>
      <c r="F31" s="22"/>
      <c r="G31" s="22"/>
      <c r="H31" s="22"/>
      <c r="I31" s="22"/>
      <c r="J31" s="52"/>
    </row>
    <row r="32" spans="1:10" s="19" customFormat="1" ht="16.5" x14ac:dyDescent="0.25">
      <c r="A32" s="15"/>
      <c r="B32" s="15"/>
      <c r="C32" s="15"/>
      <c r="D32" s="22"/>
      <c r="E32" s="22"/>
      <c r="F32" s="22"/>
      <c r="G32" s="22"/>
      <c r="H32" s="22"/>
      <c r="I32" s="22"/>
      <c r="J32" s="52"/>
    </row>
    <row r="33" spans="1:10" s="19" customFormat="1" ht="16.5" x14ac:dyDescent="0.25">
      <c r="A33" s="15"/>
      <c r="B33" s="15"/>
      <c r="C33" s="15"/>
      <c r="D33" s="20"/>
      <c r="E33" s="23"/>
      <c r="F33" s="23"/>
      <c r="G33" s="23"/>
      <c r="H33" s="23"/>
      <c r="I33" s="21"/>
      <c r="J33" s="52"/>
    </row>
    <row r="34" spans="1:10" s="19" customFormat="1" ht="16.5" x14ac:dyDescent="0.25">
      <c r="A34" s="15"/>
      <c r="B34" s="15"/>
      <c r="C34" s="15"/>
      <c r="D34" s="20"/>
      <c r="E34" s="20"/>
      <c r="F34" s="23"/>
      <c r="G34" s="23"/>
      <c r="H34" s="23"/>
      <c r="I34" s="22"/>
      <c r="J34" s="52"/>
    </row>
    <row r="35" spans="1:10" s="19" customFormat="1" ht="16.5" x14ac:dyDescent="0.25">
      <c r="A35" s="15"/>
      <c r="B35" s="15"/>
      <c r="C35" s="15"/>
      <c r="D35" s="20"/>
      <c r="E35" s="23"/>
      <c r="F35" s="23"/>
      <c r="G35" s="23"/>
      <c r="H35" s="23"/>
      <c r="I35" s="21"/>
      <c r="J35" s="52"/>
    </row>
    <row r="36" spans="1:10" s="19" customFormat="1" ht="16.5" x14ac:dyDescent="0.25">
      <c r="A36" s="15"/>
      <c r="B36" s="15"/>
      <c r="C36" s="15"/>
      <c r="D36" s="22"/>
      <c r="E36" s="22"/>
      <c r="F36" s="22"/>
      <c r="G36" s="22"/>
      <c r="H36" s="22"/>
      <c r="I36" s="22"/>
      <c r="J36" s="52"/>
    </row>
    <row r="37" spans="1:10" s="19" customFormat="1" ht="16.5" x14ac:dyDescent="0.25">
      <c r="A37" s="15"/>
      <c r="B37" s="15"/>
      <c r="C37" s="15"/>
      <c r="D37" s="20"/>
      <c r="E37" s="20"/>
      <c r="F37" s="20"/>
      <c r="G37" s="20"/>
      <c r="H37" s="20"/>
      <c r="I37" s="21"/>
      <c r="J37" s="52"/>
    </row>
    <row r="38" spans="1:10" s="19" customFormat="1" ht="16.5" x14ac:dyDescent="0.25">
      <c r="A38" s="15"/>
      <c r="B38" s="15"/>
      <c r="C38" s="24"/>
      <c r="D38" s="22"/>
      <c r="E38" s="22"/>
      <c r="F38" s="22"/>
      <c r="G38" s="22"/>
      <c r="H38" s="22"/>
      <c r="I38" s="22"/>
      <c r="J38" s="52"/>
    </row>
    <row r="39" spans="1:10" s="19" customFormat="1" ht="16.5" x14ac:dyDescent="0.25">
      <c r="A39" s="15"/>
      <c r="B39" s="15"/>
      <c r="C39" s="24"/>
      <c r="D39" s="22"/>
      <c r="E39" s="22"/>
      <c r="F39" s="22"/>
      <c r="G39" s="22"/>
      <c r="H39" s="22"/>
      <c r="I39" s="22"/>
      <c r="J39" s="52"/>
    </row>
    <row r="40" spans="1:10" s="19" customFormat="1" ht="16.5" x14ac:dyDescent="0.25">
      <c r="A40" s="15"/>
      <c r="B40" s="15"/>
      <c r="C40" s="24"/>
      <c r="D40" s="22"/>
      <c r="E40" s="22"/>
      <c r="F40" s="22"/>
      <c r="G40" s="22"/>
      <c r="H40" s="22"/>
      <c r="I40" s="22"/>
      <c r="J40" s="52"/>
    </row>
    <row r="41" spans="1:10" s="19" customFormat="1" ht="16.5" x14ac:dyDescent="0.25">
      <c r="A41" s="15"/>
      <c r="B41" s="15"/>
      <c r="C41" s="15"/>
      <c r="D41" s="22"/>
      <c r="E41" s="22"/>
      <c r="F41" s="22"/>
      <c r="G41" s="22"/>
      <c r="H41" s="22"/>
      <c r="I41" s="22"/>
      <c r="J41" s="52"/>
    </row>
    <row r="42" spans="1:10" s="19" customFormat="1" ht="16.5" x14ac:dyDescent="0.25">
      <c r="A42" s="15"/>
      <c r="B42" s="15"/>
      <c r="C42" s="15"/>
      <c r="D42" s="22"/>
      <c r="E42" s="22"/>
      <c r="F42" s="22"/>
      <c r="G42" s="22"/>
      <c r="H42" s="22"/>
      <c r="I42" s="22"/>
      <c r="J42" s="52"/>
    </row>
    <row r="43" spans="1:10" s="19" customFormat="1" ht="16.5" x14ac:dyDescent="0.25">
      <c r="A43" s="15"/>
      <c r="B43" s="15"/>
      <c r="C43" s="15"/>
      <c r="D43" s="22"/>
      <c r="E43" s="22"/>
      <c r="F43" s="22"/>
      <c r="G43" s="22"/>
      <c r="H43" s="22"/>
      <c r="I43" s="22"/>
      <c r="J43" s="52"/>
    </row>
    <row r="44" spans="1:10" s="19" customFormat="1" ht="16.5" x14ac:dyDescent="0.25">
      <c r="A44" s="15"/>
      <c r="B44" s="15"/>
      <c r="C44" s="15"/>
      <c r="D44" s="22"/>
      <c r="E44" s="22"/>
      <c r="F44" s="22"/>
      <c r="G44" s="22"/>
      <c r="H44" s="22"/>
      <c r="I44" s="22"/>
      <c r="J44" s="52"/>
    </row>
    <row r="45" spans="1:10" s="19" customFormat="1" ht="16.5" x14ac:dyDescent="0.25">
      <c r="A45" s="15"/>
      <c r="B45" s="15"/>
      <c r="C45" s="15"/>
      <c r="D45" s="22"/>
      <c r="E45" s="22"/>
      <c r="F45" s="22"/>
      <c r="G45" s="22"/>
      <c r="H45" s="22"/>
      <c r="I45" s="22"/>
      <c r="J45" s="52"/>
    </row>
    <row r="46" spans="1:10" s="19" customFormat="1" ht="16.5" x14ac:dyDescent="0.25">
      <c r="A46" s="15"/>
      <c r="B46" s="15"/>
      <c r="C46" s="15"/>
      <c r="D46" s="22"/>
      <c r="E46" s="22"/>
      <c r="F46" s="22"/>
      <c r="G46" s="22"/>
      <c r="H46" s="22"/>
      <c r="I46" s="22"/>
      <c r="J46" s="52"/>
    </row>
    <row r="47" spans="1:10" s="19" customFormat="1" ht="16.5" x14ac:dyDescent="0.25">
      <c r="A47" s="15"/>
      <c r="B47" s="15"/>
      <c r="C47" s="15"/>
      <c r="D47" s="22"/>
      <c r="E47" s="22"/>
      <c r="F47" s="22"/>
      <c r="G47" s="22"/>
      <c r="H47" s="22"/>
      <c r="I47" s="22"/>
      <c r="J47" s="52"/>
    </row>
    <row r="48" spans="1:10" s="19" customFormat="1" ht="16.5" x14ac:dyDescent="0.25">
      <c r="A48" s="15"/>
      <c r="B48" s="15"/>
      <c r="C48" s="15"/>
      <c r="D48" s="20"/>
      <c r="E48" s="23"/>
      <c r="F48" s="23"/>
      <c r="G48" s="23"/>
      <c r="H48" s="23"/>
      <c r="I48" s="21"/>
      <c r="J48" s="52"/>
    </row>
    <row r="49" spans="1:10" s="19" customFormat="1" ht="16.5" x14ac:dyDescent="0.25">
      <c r="A49" s="15"/>
      <c r="B49" s="15"/>
      <c r="C49" s="15"/>
      <c r="D49" s="20"/>
      <c r="E49" s="23"/>
      <c r="F49" s="23"/>
      <c r="G49" s="23"/>
      <c r="H49" s="23"/>
      <c r="I49" s="21"/>
      <c r="J49" s="52"/>
    </row>
    <row r="50" spans="1:10" s="19" customFormat="1" ht="16.5" x14ac:dyDescent="0.25">
      <c r="A50" s="15"/>
      <c r="B50" s="15"/>
      <c r="C50" s="15"/>
      <c r="D50" s="20"/>
      <c r="E50" s="23"/>
      <c r="F50" s="23"/>
      <c r="G50" s="23"/>
      <c r="H50" s="23"/>
      <c r="I50" s="21"/>
      <c r="J50" s="52"/>
    </row>
    <row r="51" spans="1:10" s="19" customFormat="1" ht="16.5" x14ac:dyDescent="0.25">
      <c r="A51" s="15"/>
      <c r="B51" s="15"/>
      <c r="C51" s="15"/>
      <c r="D51" s="22"/>
      <c r="E51" s="22"/>
      <c r="F51" s="22"/>
      <c r="G51" s="22"/>
      <c r="H51" s="22"/>
      <c r="I51" s="22"/>
      <c r="J51" s="52"/>
    </row>
    <row r="52" spans="1:10" s="19" customFormat="1" ht="16.5" x14ac:dyDescent="0.25">
      <c r="A52" s="15"/>
      <c r="B52" s="15"/>
      <c r="C52" s="15"/>
      <c r="D52" s="20"/>
      <c r="E52" s="20"/>
      <c r="F52" s="20"/>
      <c r="G52" s="20"/>
      <c r="H52" s="20"/>
      <c r="I52" s="21"/>
      <c r="J52" s="52"/>
    </row>
    <row r="53" spans="1:10" s="19" customFormat="1" ht="16.5" x14ac:dyDescent="0.25">
      <c r="A53" s="15"/>
      <c r="B53" s="15"/>
      <c r="C53" s="15"/>
      <c r="D53" s="22"/>
      <c r="E53" s="22"/>
      <c r="F53" s="22"/>
      <c r="G53" s="22"/>
      <c r="H53" s="22"/>
      <c r="I53" s="22"/>
      <c r="J53" s="52"/>
    </row>
    <row r="54" spans="1:10" s="19" customFormat="1" ht="16.5" x14ac:dyDescent="0.25">
      <c r="A54" s="15"/>
      <c r="B54" s="15"/>
      <c r="C54" s="15"/>
      <c r="D54" s="22"/>
      <c r="E54" s="22"/>
      <c r="F54" s="22"/>
      <c r="G54" s="22"/>
      <c r="H54" s="22"/>
      <c r="I54" s="22"/>
      <c r="J54" s="52"/>
    </row>
    <row r="55" spans="1:10" s="19" customFormat="1" ht="16.5" x14ac:dyDescent="0.25">
      <c r="A55" s="15"/>
      <c r="B55" s="15"/>
      <c r="C55" s="15"/>
      <c r="D55" s="20"/>
      <c r="E55" s="23"/>
      <c r="F55" s="23"/>
      <c r="G55" s="23"/>
      <c r="H55" s="23"/>
      <c r="I55" s="21"/>
      <c r="J55" s="52"/>
    </row>
    <row r="56" spans="1:10" s="19" customFormat="1" ht="16.5" x14ac:dyDescent="0.25">
      <c r="A56" s="15"/>
      <c r="B56" s="15"/>
      <c r="C56" s="15"/>
      <c r="D56" s="20"/>
      <c r="E56" s="20"/>
      <c r="F56" s="23"/>
      <c r="G56" s="23"/>
      <c r="H56" s="23"/>
      <c r="I56" s="22"/>
      <c r="J56" s="52"/>
    </row>
    <row r="57" spans="1:10" s="19" customFormat="1" ht="16.5" x14ac:dyDescent="0.25">
      <c r="A57" s="15"/>
      <c r="B57" s="15"/>
      <c r="C57" s="15"/>
      <c r="D57" s="22"/>
      <c r="E57" s="22"/>
      <c r="F57" s="22"/>
      <c r="G57" s="22"/>
      <c r="H57" s="22"/>
      <c r="I57" s="22"/>
      <c r="J57" s="52"/>
    </row>
    <row r="58" spans="1:10" s="15" customFormat="1" x14ac:dyDescent="0.25">
      <c r="D58" s="20"/>
      <c r="E58" s="20"/>
      <c r="F58" s="20"/>
      <c r="G58" s="20"/>
      <c r="H58" s="20"/>
      <c r="I58" s="21"/>
      <c r="J58" s="52"/>
    </row>
    <row r="59" spans="1:10" s="15" customFormat="1" x14ac:dyDescent="0.25">
      <c r="D59" s="22"/>
      <c r="E59" s="22"/>
      <c r="F59" s="22"/>
      <c r="G59" s="22"/>
      <c r="H59" s="22"/>
      <c r="I59" s="22"/>
      <c r="J59" s="52"/>
    </row>
    <row r="60" spans="1:10" s="15" customFormat="1" x14ac:dyDescent="0.25">
      <c r="D60" s="22"/>
      <c r="E60" s="22"/>
      <c r="F60" s="22"/>
      <c r="G60" s="22"/>
      <c r="H60" s="22"/>
      <c r="I60" s="22"/>
      <c r="J60" s="52"/>
    </row>
    <row r="61" spans="1:10" s="15" customFormat="1" x14ac:dyDescent="0.25">
      <c r="D61" s="20"/>
      <c r="E61" s="23"/>
      <c r="F61" s="23"/>
      <c r="G61" s="23"/>
      <c r="H61" s="23"/>
      <c r="I61" s="21"/>
      <c r="J61" s="52"/>
    </row>
    <row r="62" spans="1:10" s="15" customFormat="1" x14ac:dyDescent="0.25">
      <c r="D62" s="20"/>
      <c r="E62" s="23"/>
      <c r="F62" s="23"/>
      <c r="G62" s="23"/>
      <c r="H62" s="23"/>
      <c r="I62" s="21"/>
      <c r="J62" s="52"/>
    </row>
    <row r="63" spans="1:10" s="15" customFormat="1" x14ac:dyDescent="0.25">
      <c r="D63" s="20"/>
      <c r="E63" s="20"/>
      <c r="F63" s="23"/>
      <c r="G63" s="23"/>
      <c r="H63" s="23"/>
      <c r="I63" s="22"/>
      <c r="J63" s="52"/>
    </row>
    <row r="64" spans="1:10" s="15" customFormat="1" x14ac:dyDescent="0.25">
      <c r="D64" s="22"/>
      <c r="E64" s="22"/>
      <c r="F64" s="22"/>
      <c r="G64" s="22"/>
      <c r="H64" s="22"/>
      <c r="I64" s="22"/>
      <c r="J64" s="52"/>
    </row>
    <row r="65" spans="4:10" s="15" customFormat="1" x14ac:dyDescent="0.25">
      <c r="D65" s="20"/>
      <c r="E65" s="20"/>
      <c r="F65" s="20"/>
      <c r="G65" s="20"/>
      <c r="H65" s="20"/>
      <c r="I65" s="21"/>
      <c r="J65" s="52"/>
    </row>
    <row r="66" spans="4:10" s="15" customFormat="1" x14ac:dyDescent="0.25">
      <c r="D66" s="22"/>
      <c r="E66" s="22"/>
      <c r="F66" s="22"/>
      <c r="G66" s="22"/>
      <c r="H66" s="22"/>
      <c r="I66" s="22"/>
      <c r="J66" s="52"/>
    </row>
    <row r="67" spans="4:10" s="15" customFormat="1" x14ac:dyDescent="0.25">
      <c r="D67" s="22"/>
      <c r="E67" s="22"/>
      <c r="F67" s="22"/>
      <c r="G67" s="22"/>
      <c r="H67" s="22"/>
      <c r="I67" s="22"/>
      <c r="J67" s="52"/>
    </row>
    <row r="68" spans="4:10" s="15" customFormat="1" x14ac:dyDescent="0.25">
      <c r="D68" s="20"/>
      <c r="E68" s="23"/>
      <c r="F68" s="23"/>
      <c r="G68" s="23"/>
      <c r="H68" s="23"/>
      <c r="I68" s="21"/>
      <c r="J68" s="52"/>
    </row>
    <row r="69" spans="4:10" s="15" customFormat="1" x14ac:dyDescent="0.25">
      <c r="D69" s="20"/>
      <c r="E69" s="23"/>
      <c r="F69" s="23"/>
      <c r="G69" s="23"/>
      <c r="H69" s="23"/>
      <c r="I69" s="21"/>
      <c r="J69" s="52"/>
    </row>
    <row r="70" spans="4:10" s="15" customFormat="1" x14ac:dyDescent="0.25">
      <c r="D70" s="20"/>
      <c r="E70" s="23"/>
      <c r="F70" s="23"/>
      <c r="G70" s="23"/>
      <c r="H70" s="23"/>
      <c r="I70" s="21"/>
      <c r="J70" s="52"/>
    </row>
    <row r="71" spans="4:10" s="15" customFormat="1" x14ac:dyDescent="0.25">
      <c r="D71" s="20"/>
      <c r="E71" s="20"/>
      <c r="F71" s="23"/>
      <c r="G71" s="23"/>
      <c r="H71" s="23"/>
      <c r="I71" s="22"/>
      <c r="J71" s="52"/>
    </row>
    <row r="72" spans="4:10" s="15" customFormat="1" x14ac:dyDescent="0.25">
      <c r="D72" s="22"/>
      <c r="E72" s="22"/>
      <c r="F72" s="22"/>
      <c r="G72" s="22"/>
      <c r="H72" s="22"/>
      <c r="I72" s="22"/>
      <c r="J72" s="52"/>
    </row>
    <row r="73" spans="4:10" s="15" customFormat="1" x14ac:dyDescent="0.25">
      <c r="D73" s="20"/>
      <c r="E73" s="20"/>
      <c r="F73" s="20"/>
      <c r="G73" s="20"/>
      <c r="H73" s="20"/>
      <c r="I73" s="21"/>
      <c r="J73" s="52"/>
    </row>
    <row r="74" spans="4:10" s="15" customFormat="1" x14ac:dyDescent="0.25">
      <c r="D74" s="22"/>
      <c r="E74" s="22"/>
      <c r="F74" s="22"/>
      <c r="G74" s="22"/>
      <c r="H74" s="22"/>
      <c r="I74" s="22"/>
      <c r="J74" s="52"/>
    </row>
    <row r="75" spans="4:10" s="15" customFormat="1" x14ac:dyDescent="0.25">
      <c r="D75" s="22"/>
      <c r="E75" s="22"/>
      <c r="F75" s="22"/>
      <c r="G75" s="22"/>
      <c r="H75" s="22"/>
      <c r="I75" s="22"/>
      <c r="J75" s="52"/>
    </row>
    <row r="76" spans="4:10" s="15" customFormat="1" x14ac:dyDescent="0.25">
      <c r="D76" s="22"/>
      <c r="E76" s="22"/>
      <c r="F76" s="22"/>
      <c r="G76" s="22"/>
      <c r="H76" s="22"/>
      <c r="I76" s="22"/>
      <c r="J76" s="52"/>
    </row>
    <row r="77" spans="4:10" s="15" customFormat="1" x14ac:dyDescent="0.25">
      <c r="D77" s="22"/>
      <c r="E77" s="22"/>
      <c r="F77" s="22"/>
      <c r="G77" s="22"/>
      <c r="H77" s="22"/>
      <c r="I77" s="22"/>
      <c r="J77" s="52"/>
    </row>
    <row r="78" spans="4:10" s="15" customFormat="1" x14ac:dyDescent="0.25">
      <c r="D78" s="22"/>
      <c r="E78" s="22"/>
      <c r="F78" s="25"/>
      <c r="G78" s="25"/>
      <c r="H78" s="25"/>
      <c r="I78" s="22"/>
      <c r="J78" s="52"/>
    </row>
    <row r="79" spans="4:10" s="15" customFormat="1" x14ac:dyDescent="0.25">
      <c r="D79" s="22"/>
      <c r="E79" s="22"/>
      <c r="F79" s="22"/>
      <c r="G79" s="22"/>
      <c r="H79" s="22"/>
      <c r="I79" s="22"/>
      <c r="J79" s="52"/>
    </row>
    <row r="80" spans="4:10" s="15" customFormat="1" x14ac:dyDescent="0.25">
      <c r="D80" s="22"/>
      <c r="E80" s="22"/>
      <c r="F80" s="22"/>
      <c r="G80" s="22"/>
      <c r="H80" s="22"/>
      <c r="I80" s="22"/>
      <c r="J80" s="52"/>
    </row>
    <row r="81" spans="4:10" s="15" customFormat="1" x14ac:dyDescent="0.25">
      <c r="D81" s="22"/>
      <c r="E81" s="22"/>
      <c r="F81" s="22"/>
      <c r="G81" s="22"/>
      <c r="H81" s="22"/>
      <c r="I81" s="22"/>
      <c r="J81" s="52"/>
    </row>
    <row r="82" spans="4:10" s="15" customFormat="1" x14ac:dyDescent="0.25">
      <c r="D82" s="22"/>
      <c r="E82" s="22"/>
      <c r="F82" s="22"/>
      <c r="G82" s="22"/>
      <c r="H82" s="22"/>
      <c r="I82" s="22"/>
      <c r="J82" s="54"/>
    </row>
    <row r="83" spans="4:10" s="15" customFormat="1" x14ac:dyDescent="0.25">
      <c r="D83" s="22"/>
      <c r="E83" s="22"/>
      <c r="F83" s="22"/>
      <c r="G83" s="22"/>
      <c r="H83" s="22"/>
      <c r="I83" s="22"/>
      <c r="J83" s="54"/>
    </row>
    <row r="84" spans="4:10" s="15" customFormat="1" x14ac:dyDescent="0.25">
      <c r="D84" s="22"/>
      <c r="E84" s="22"/>
      <c r="F84" s="22"/>
      <c r="G84" s="22"/>
      <c r="H84" s="22"/>
      <c r="I84" s="22"/>
      <c r="J84" s="54"/>
    </row>
    <row r="85" spans="4:10" s="15" customFormat="1" x14ac:dyDescent="0.25">
      <c r="D85" s="26"/>
      <c r="E85" s="26"/>
      <c r="F85" s="26"/>
      <c r="G85" s="26"/>
      <c r="H85" s="26"/>
      <c r="J85" s="54"/>
    </row>
    <row r="86" spans="4:10" s="15" customFormat="1" x14ac:dyDescent="0.25">
      <c r="D86" s="26"/>
      <c r="E86" s="26"/>
      <c r="F86" s="26"/>
      <c r="G86" s="26"/>
      <c r="H86" s="26"/>
      <c r="J86" s="54"/>
    </row>
    <row r="87" spans="4:10" s="15" customFormat="1" x14ac:dyDescent="0.25">
      <c r="D87" s="26"/>
      <c r="E87" s="26"/>
      <c r="F87" s="26"/>
      <c r="G87" s="26"/>
      <c r="H87" s="26"/>
      <c r="J87" s="54"/>
    </row>
    <row r="88" spans="4:10" x14ac:dyDescent="0.25">
      <c r="J88" s="54"/>
    </row>
  </sheetData>
  <dataConsolidate/>
  <mergeCells count="3">
    <mergeCell ref="A12:J12"/>
    <mergeCell ref="A11:J11"/>
    <mergeCell ref="A1:J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3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J87"/>
  <sheetViews>
    <sheetView view="pageBreakPreview" zoomScale="90" zoomScaleNormal="70" zoomScaleSheetLayoutView="90" workbookViewId="0">
      <selection sqref="A1:J1"/>
    </sheetView>
  </sheetViews>
  <sheetFormatPr defaultColWidth="54.28515625" defaultRowHeight="15" x14ac:dyDescent="0.25"/>
  <cols>
    <col min="1" max="1" width="16.28515625" style="15" customWidth="1"/>
    <col min="2" max="2" width="28.140625" style="15" bestFit="1" customWidth="1"/>
    <col min="3" max="3" width="11.85546875" style="15" bestFit="1" customWidth="1"/>
    <col min="4" max="4" width="13.140625" style="26" bestFit="1" customWidth="1"/>
    <col min="5" max="5" width="11.85546875" style="26" bestFit="1" customWidth="1"/>
    <col min="6" max="6" width="8.28515625" style="26" bestFit="1" customWidth="1"/>
    <col min="7" max="7" width="9.42578125" style="26" bestFit="1" customWidth="1"/>
    <col min="8" max="8" width="13.85546875" style="15" bestFit="1" customWidth="1"/>
    <col min="9" max="9" width="27.7109375" style="55" bestFit="1" customWidth="1" collapsed="1"/>
    <col min="10" max="10" width="23" style="62" bestFit="1" customWidth="1" collapsed="1"/>
    <col min="11" max="16384" width="54.28515625" style="3"/>
  </cols>
  <sheetData>
    <row r="1" spans="1:10" ht="23.25" customHeight="1" x14ac:dyDescent="0.25">
      <c r="A1" s="133" t="s">
        <v>20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72" x14ac:dyDescent="0.25">
      <c r="A2" s="2" t="s">
        <v>102</v>
      </c>
      <c r="B2" s="2" t="s">
        <v>3</v>
      </c>
      <c r="C2" s="2" t="s">
        <v>97</v>
      </c>
      <c r="D2" s="2" t="s">
        <v>0</v>
      </c>
      <c r="E2" s="2" t="s">
        <v>1</v>
      </c>
      <c r="F2" s="2" t="s">
        <v>98</v>
      </c>
      <c r="G2" s="2" t="s">
        <v>21</v>
      </c>
      <c r="H2" s="2" t="s">
        <v>22</v>
      </c>
      <c r="I2" s="2" t="s">
        <v>100</v>
      </c>
      <c r="J2" s="2" t="s">
        <v>23</v>
      </c>
    </row>
    <row r="3" spans="1:10" ht="16.5" x14ac:dyDescent="0.25">
      <c r="A3" s="4" t="s">
        <v>83</v>
      </c>
      <c r="B3" s="5" t="s">
        <v>15</v>
      </c>
      <c r="C3" s="6">
        <v>43860</v>
      </c>
      <c r="D3" s="7">
        <v>43864</v>
      </c>
      <c r="E3" s="7">
        <v>44592</v>
      </c>
      <c r="F3" s="68">
        <v>728</v>
      </c>
      <c r="G3" s="8" t="s">
        <v>6</v>
      </c>
      <c r="H3" s="29">
        <v>0.38</v>
      </c>
      <c r="I3" s="9">
        <v>14578740</v>
      </c>
      <c r="J3" s="9">
        <f>+I3*1</f>
        <v>14578740</v>
      </c>
    </row>
    <row r="4" spans="1:10" ht="16.5" x14ac:dyDescent="0.25">
      <c r="A4" s="10" t="s">
        <v>84</v>
      </c>
      <c r="B4" s="11" t="s">
        <v>15</v>
      </c>
      <c r="C4" s="12">
        <v>43894</v>
      </c>
      <c r="D4" s="12">
        <v>43896</v>
      </c>
      <c r="E4" s="12">
        <v>44260</v>
      </c>
      <c r="F4" s="33">
        <v>364</v>
      </c>
      <c r="G4" s="10" t="s">
        <v>6</v>
      </c>
      <c r="H4" s="10">
        <v>0.5</v>
      </c>
      <c r="I4" s="14">
        <v>7514240</v>
      </c>
      <c r="J4" s="14">
        <f t="shared" ref="J4:J7" si="0">+I4*1</f>
        <v>7514240</v>
      </c>
    </row>
    <row r="5" spans="1:10" ht="16.5" x14ac:dyDescent="0.25">
      <c r="A5" s="4" t="s">
        <v>85</v>
      </c>
      <c r="B5" s="5" t="s">
        <v>15</v>
      </c>
      <c r="C5" s="6">
        <v>43936</v>
      </c>
      <c r="D5" s="7">
        <v>43938</v>
      </c>
      <c r="E5" s="7">
        <v>44302</v>
      </c>
      <c r="F5" s="68">
        <v>364</v>
      </c>
      <c r="G5" s="8" t="s">
        <v>6</v>
      </c>
      <c r="H5" s="29">
        <v>0.75</v>
      </c>
      <c r="I5" s="9">
        <v>6738140</v>
      </c>
      <c r="J5" s="9">
        <f t="shared" si="0"/>
        <v>6738140</v>
      </c>
    </row>
    <row r="6" spans="1:10" ht="16.5" x14ac:dyDescent="0.25">
      <c r="A6" s="10" t="s">
        <v>86</v>
      </c>
      <c r="B6" s="11" t="s">
        <v>15</v>
      </c>
      <c r="C6" s="12">
        <v>43964</v>
      </c>
      <c r="D6" s="12">
        <v>43966</v>
      </c>
      <c r="E6" s="12">
        <v>44330</v>
      </c>
      <c r="F6" s="33">
        <v>364</v>
      </c>
      <c r="G6" s="10" t="s">
        <v>6</v>
      </c>
      <c r="H6" s="10">
        <v>0.75</v>
      </c>
      <c r="I6" s="14">
        <v>2465610</v>
      </c>
      <c r="J6" s="14">
        <f t="shared" si="0"/>
        <v>2465610</v>
      </c>
    </row>
    <row r="7" spans="1:10" ht="16.5" x14ac:dyDescent="0.25">
      <c r="A7" s="4" t="s">
        <v>87</v>
      </c>
      <c r="B7" s="5" t="s">
        <v>15</v>
      </c>
      <c r="C7" s="6">
        <v>44020</v>
      </c>
      <c r="D7" s="7">
        <v>44022</v>
      </c>
      <c r="E7" s="7">
        <v>44386</v>
      </c>
      <c r="F7" s="68">
        <v>364</v>
      </c>
      <c r="G7" s="8" t="s">
        <v>6</v>
      </c>
      <c r="H7" s="29">
        <v>0.75</v>
      </c>
      <c r="I7" s="9">
        <v>5597870</v>
      </c>
      <c r="J7" s="9">
        <f t="shared" si="0"/>
        <v>5597870</v>
      </c>
    </row>
    <row r="8" spans="1:10" ht="16.5" x14ac:dyDescent="0.25">
      <c r="A8" s="10" t="s">
        <v>88</v>
      </c>
      <c r="B8" s="11" t="s">
        <v>15</v>
      </c>
      <c r="C8" s="12">
        <v>44111</v>
      </c>
      <c r="D8" s="12">
        <v>44113</v>
      </c>
      <c r="E8" s="12">
        <v>44477</v>
      </c>
      <c r="F8" s="33">
        <v>364</v>
      </c>
      <c r="G8" s="10" t="s">
        <v>6</v>
      </c>
      <c r="H8" s="10">
        <v>0.75</v>
      </c>
      <c r="I8" s="14">
        <v>14210590</v>
      </c>
      <c r="J8" s="14">
        <f t="shared" ref="J8" si="1">+I8*1</f>
        <v>14210590</v>
      </c>
    </row>
    <row r="9" spans="1:10" ht="14.25" customHeight="1" x14ac:dyDescent="0.25">
      <c r="A9" s="36"/>
      <c r="B9" s="36"/>
      <c r="C9" s="36"/>
      <c r="D9" s="36"/>
      <c r="E9" s="36"/>
      <c r="F9" s="36"/>
      <c r="G9" s="56"/>
      <c r="H9" s="84" t="s">
        <v>25</v>
      </c>
      <c r="I9" s="85">
        <f>SUM(I3:I8)</f>
        <v>51105190</v>
      </c>
      <c r="J9" s="85">
        <f>SUM(J3:J8)</f>
        <v>51105190</v>
      </c>
    </row>
    <row r="10" spans="1:10" ht="14.25" customHeight="1" x14ac:dyDescent="0.25">
      <c r="A10" s="50" t="s">
        <v>24</v>
      </c>
      <c r="B10" s="16"/>
      <c r="C10" s="16"/>
      <c r="D10" s="16"/>
      <c r="E10" s="16"/>
      <c r="F10" s="16"/>
      <c r="G10" s="16"/>
      <c r="H10" s="63"/>
      <c r="I10" s="64"/>
      <c r="J10" s="65"/>
    </row>
    <row r="11" spans="1:10" s="19" customFormat="1" ht="14.65" customHeight="1" x14ac:dyDescent="0.25">
      <c r="A11" s="129" t="s">
        <v>69</v>
      </c>
      <c r="B11" s="129"/>
      <c r="C11" s="129"/>
      <c r="D11" s="129"/>
      <c r="E11" s="129"/>
      <c r="F11" s="129"/>
      <c r="G11" s="129"/>
      <c r="H11" s="129"/>
      <c r="I11" s="129"/>
      <c r="J11" s="130"/>
    </row>
    <row r="12" spans="1:10" s="19" customFormat="1" ht="16.5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0" s="19" customFormat="1" ht="16.5" x14ac:dyDescent="0.25">
      <c r="A13" s="15"/>
      <c r="B13" s="15"/>
      <c r="C13" s="15"/>
      <c r="D13" s="20"/>
      <c r="E13" s="20"/>
      <c r="F13" s="20"/>
      <c r="G13" s="20"/>
      <c r="H13" s="21"/>
      <c r="I13" s="52"/>
      <c r="J13" s="58"/>
    </row>
    <row r="14" spans="1:10" s="19" customFormat="1" ht="16.5" x14ac:dyDescent="0.25">
      <c r="A14" s="15"/>
      <c r="B14" s="15"/>
      <c r="C14" s="15"/>
      <c r="D14" s="22"/>
      <c r="E14" s="22"/>
      <c r="F14" s="22"/>
      <c r="G14" s="22"/>
      <c r="H14" s="22"/>
      <c r="I14" s="52"/>
      <c r="J14" s="59"/>
    </row>
    <row r="15" spans="1:10" s="19" customFormat="1" ht="16.5" x14ac:dyDescent="0.25">
      <c r="A15" s="15"/>
      <c r="B15" s="15"/>
      <c r="C15" s="15"/>
      <c r="D15" s="22"/>
      <c r="E15" s="22"/>
      <c r="F15" s="22"/>
      <c r="G15" s="22"/>
      <c r="H15" s="22"/>
      <c r="I15" s="52"/>
      <c r="J15" s="59"/>
    </row>
    <row r="16" spans="1:10" s="19" customFormat="1" ht="16.5" x14ac:dyDescent="0.25">
      <c r="A16" s="15"/>
      <c r="B16" s="15"/>
      <c r="C16" s="15"/>
      <c r="D16" s="23"/>
      <c r="E16" s="23"/>
      <c r="F16" s="23"/>
      <c r="G16" s="23"/>
      <c r="H16" s="21"/>
      <c r="I16" s="53"/>
      <c r="J16" s="60"/>
    </row>
    <row r="17" spans="1:10" s="19" customFormat="1" ht="16.5" x14ac:dyDescent="0.25">
      <c r="A17" s="15"/>
      <c r="B17" s="15"/>
      <c r="C17" s="15"/>
      <c r="D17" s="20"/>
      <c r="E17" s="23"/>
      <c r="F17" s="23"/>
      <c r="G17" s="23"/>
      <c r="H17" s="22"/>
      <c r="I17" s="52"/>
      <c r="J17" s="60"/>
    </row>
    <row r="18" spans="1:10" s="19" customFormat="1" ht="16.5" x14ac:dyDescent="0.25">
      <c r="A18" s="15"/>
      <c r="B18" s="15"/>
      <c r="C18" s="15"/>
      <c r="D18" s="23"/>
      <c r="E18" s="23"/>
      <c r="F18" s="23"/>
      <c r="G18" s="23"/>
      <c r="H18" s="21"/>
      <c r="I18" s="52"/>
      <c r="J18" s="60"/>
    </row>
    <row r="19" spans="1:10" s="19" customFormat="1" ht="16.5" x14ac:dyDescent="0.25">
      <c r="A19" s="15"/>
      <c r="B19" s="15"/>
      <c r="C19" s="15"/>
      <c r="D19" s="22"/>
      <c r="E19" s="22"/>
      <c r="F19" s="22"/>
      <c r="G19" s="22"/>
      <c r="H19" s="22"/>
      <c r="I19" s="52"/>
      <c r="J19" s="59"/>
    </row>
    <row r="20" spans="1:10" s="19" customFormat="1" ht="16.5" x14ac:dyDescent="0.25">
      <c r="A20" s="15"/>
      <c r="B20" s="15"/>
      <c r="C20" s="15"/>
      <c r="D20" s="20"/>
      <c r="E20" s="20"/>
      <c r="F20" s="20"/>
      <c r="G20" s="20"/>
      <c r="H20" s="21"/>
      <c r="I20" s="52"/>
      <c r="J20" s="58"/>
    </row>
    <row r="21" spans="1:10" s="19" customFormat="1" ht="16.5" x14ac:dyDescent="0.25">
      <c r="A21" s="15"/>
      <c r="B21" s="15"/>
      <c r="C21" s="15"/>
      <c r="D21" s="20"/>
      <c r="E21" s="20"/>
      <c r="F21" s="20"/>
      <c r="G21" s="20"/>
      <c r="H21" s="21"/>
      <c r="I21" s="52"/>
      <c r="J21" s="58"/>
    </row>
    <row r="22" spans="1:10" s="19" customFormat="1" ht="16.5" x14ac:dyDescent="0.25">
      <c r="A22" s="15"/>
      <c r="B22" s="15"/>
      <c r="C22" s="15"/>
      <c r="D22" s="20"/>
      <c r="E22" s="20"/>
      <c r="F22" s="20"/>
      <c r="G22" s="20"/>
      <c r="H22" s="21"/>
      <c r="I22" s="52"/>
      <c r="J22" s="58"/>
    </row>
    <row r="23" spans="1:10" s="19" customFormat="1" ht="16.5" x14ac:dyDescent="0.25">
      <c r="A23" s="15"/>
      <c r="B23" s="15"/>
      <c r="C23" s="15"/>
      <c r="D23" s="20"/>
      <c r="E23" s="20"/>
      <c r="F23" s="20"/>
      <c r="G23" s="20"/>
      <c r="H23" s="21"/>
      <c r="I23" s="52"/>
      <c r="J23" s="58"/>
    </row>
    <row r="24" spans="1:10" s="19" customFormat="1" ht="16.5" x14ac:dyDescent="0.25">
      <c r="A24" s="15"/>
      <c r="B24" s="15"/>
      <c r="C24" s="15"/>
      <c r="D24" s="22"/>
      <c r="E24" s="22"/>
      <c r="F24" s="22"/>
      <c r="G24" s="22"/>
      <c r="H24" s="22"/>
      <c r="I24" s="52"/>
      <c r="J24" s="59"/>
    </row>
    <row r="25" spans="1:10" s="19" customFormat="1" ht="16.5" x14ac:dyDescent="0.25">
      <c r="A25" s="15"/>
      <c r="B25" s="15"/>
      <c r="C25" s="15"/>
      <c r="D25" s="23"/>
      <c r="E25" s="23"/>
      <c r="F25" s="23"/>
      <c r="G25" s="23"/>
      <c r="H25" s="21"/>
      <c r="I25" s="52"/>
      <c r="J25" s="60"/>
    </row>
    <row r="26" spans="1:10" s="19" customFormat="1" ht="16.5" x14ac:dyDescent="0.25">
      <c r="A26" s="15"/>
      <c r="B26" s="15"/>
      <c r="C26" s="15"/>
      <c r="D26" s="20"/>
      <c r="E26" s="23"/>
      <c r="F26" s="23"/>
      <c r="G26" s="23"/>
      <c r="H26" s="22"/>
      <c r="I26" s="52"/>
      <c r="J26" s="60"/>
    </row>
    <row r="27" spans="1:10" s="19" customFormat="1" ht="16.5" x14ac:dyDescent="0.25">
      <c r="A27" s="15"/>
      <c r="B27" s="15"/>
      <c r="C27" s="15"/>
      <c r="D27" s="23"/>
      <c r="E27" s="23"/>
      <c r="F27" s="23"/>
      <c r="G27" s="23"/>
      <c r="H27" s="21"/>
      <c r="I27" s="52"/>
      <c r="J27" s="60"/>
    </row>
    <row r="28" spans="1:10" s="19" customFormat="1" ht="16.5" x14ac:dyDescent="0.25">
      <c r="A28" s="15"/>
      <c r="B28" s="15"/>
      <c r="C28" s="15"/>
      <c r="D28" s="22"/>
      <c r="E28" s="22"/>
      <c r="F28" s="22"/>
      <c r="G28" s="22"/>
      <c r="H28" s="22"/>
      <c r="I28" s="52"/>
      <c r="J28" s="59"/>
    </row>
    <row r="29" spans="1:10" s="19" customFormat="1" ht="16.5" x14ac:dyDescent="0.25">
      <c r="A29" s="15"/>
      <c r="B29" s="15"/>
      <c r="C29" s="15"/>
      <c r="D29" s="20"/>
      <c r="E29" s="20"/>
      <c r="F29" s="20"/>
      <c r="G29" s="20"/>
      <c r="H29" s="21"/>
      <c r="I29" s="52"/>
      <c r="J29" s="58"/>
    </row>
    <row r="30" spans="1:10" s="19" customFormat="1" ht="16.5" x14ac:dyDescent="0.25">
      <c r="A30" s="15"/>
      <c r="B30" s="15"/>
      <c r="C30" s="15"/>
      <c r="D30" s="22"/>
      <c r="E30" s="22"/>
      <c r="F30" s="22"/>
      <c r="G30" s="22"/>
      <c r="H30" s="22"/>
      <c r="I30" s="52"/>
      <c r="J30" s="59"/>
    </row>
    <row r="31" spans="1:10" s="19" customFormat="1" ht="16.5" x14ac:dyDescent="0.25">
      <c r="A31" s="15"/>
      <c r="B31" s="15"/>
      <c r="C31" s="15"/>
      <c r="D31" s="22"/>
      <c r="E31" s="22"/>
      <c r="F31" s="22"/>
      <c r="G31" s="22"/>
      <c r="H31" s="22"/>
      <c r="I31" s="52"/>
      <c r="J31" s="59"/>
    </row>
    <row r="32" spans="1:10" s="19" customFormat="1" ht="16.5" x14ac:dyDescent="0.25">
      <c r="A32" s="15"/>
      <c r="B32" s="15"/>
      <c r="C32" s="15"/>
      <c r="D32" s="23"/>
      <c r="E32" s="23"/>
      <c r="F32" s="23"/>
      <c r="G32" s="23"/>
      <c r="H32" s="21"/>
      <c r="I32" s="52"/>
      <c r="J32" s="60"/>
    </row>
    <row r="33" spans="1:10" s="19" customFormat="1" ht="16.5" x14ac:dyDescent="0.25">
      <c r="A33" s="15"/>
      <c r="B33" s="15"/>
      <c r="C33" s="15"/>
      <c r="D33" s="20"/>
      <c r="E33" s="23"/>
      <c r="F33" s="23"/>
      <c r="G33" s="23"/>
      <c r="H33" s="22"/>
      <c r="I33" s="52"/>
      <c r="J33" s="60"/>
    </row>
    <row r="34" spans="1:10" s="19" customFormat="1" ht="16.5" x14ac:dyDescent="0.25">
      <c r="A34" s="15"/>
      <c r="B34" s="15"/>
      <c r="C34" s="15"/>
      <c r="D34" s="23"/>
      <c r="E34" s="23"/>
      <c r="F34" s="23"/>
      <c r="G34" s="23"/>
      <c r="H34" s="21"/>
      <c r="I34" s="52"/>
      <c r="J34" s="60"/>
    </row>
    <row r="35" spans="1:10" s="19" customFormat="1" ht="16.5" x14ac:dyDescent="0.25">
      <c r="A35" s="15"/>
      <c r="B35" s="15"/>
      <c r="C35" s="15"/>
      <c r="D35" s="22"/>
      <c r="E35" s="22"/>
      <c r="F35" s="22"/>
      <c r="G35" s="22"/>
      <c r="H35" s="22"/>
      <c r="I35" s="52"/>
      <c r="J35" s="59"/>
    </row>
    <row r="36" spans="1:10" s="19" customFormat="1" ht="16.5" x14ac:dyDescent="0.25">
      <c r="A36" s="15"/>
      <c r="B36" s="15"/>
      <c r="C36" s="15"/>
      <c r="D36" s="20"/>
      <c r="E36" s="20"/>
      <c r="F36" s="20"/>
      <c r="G36" s="20"/>
      <c r="H36" s="21"/>
      <c r="I36" s="52"/>
      <c r="J36" s="58"/>
    </row>
    <row r="37" spans="1:10" s="19" customFormat="1" ht="16.5" x14ac:dyDescent="0.25">
      <c r="A37" s="15"/>
      <c r="B37" s="24"/>
      <c r="C37" s="24"/>
      <c r="D37" s="22"/>
      <c r="E37" s="22"/>
      <c r="F37" s="22"/>
      <c r="G37" s="22"/>
      <c r="H37" s="22"/>
      <c r="I37" s="52"/>
      <c r="J37" s="59"/>
    </row>
    <row r="38" spans="1:10" s="19" customFormat="1" ht="16.5" x14ac:dyDescent="0.25">
      <c r="A38" s="15"/>
      <c r="B38" s="24"/>
      <c r="C38" s="24"/>
      <c r="D38" s="22"/>
      <c r="E38" s="22"/>
      <c r="F38" s="22"/>
      <c r="G38" s="22"/>
      <c r="H38" s="22"/>
      <c r="I38" s="52"/>
      <c r="J38" s="59"/>
    </row>
    <row r="39" spans="1:10" s="19" customFormat="1" ht="16.5" x14ac:dyDescent="0.25">
      <c r="A39" s="15"/>
      <c r="B39" s="24"/>
      <c r="C39" s="24"/>
      <c r="D39" s="22"/>
      <c r="E39" s="22"/>
      <c r="F39" s="22"/>
      <c r="G39" s="22"/>
      <c r="H39" s="22"/>
      <c r="I39" s="52"/>
      <c r="J39" s="59"/>
    </row>
    <row r="40" spans="1:10" s="19" customFormat="1" ht="16.5" x14ac:dyDescent="0.25">
      <c r="A40" s="15"/>
      <c r="B40" s="15"/>
      <c r="C40" s="15"/>
      <c r="D40" s="22"/>
      <c r="E40" s="22"/>
      <c r="F40" s="22"/>
      <c r="G40" s="22"/>
      <c r="H40" s="22"/>
      <c r="I40" s="52"/>
      <c r="J40" s="59"/>
    </row>
    <row r="41" spans="1:10" s="19" customFormat="1" ht="16.5" x14ac:dyDescent="0.25">
      <c r="A41" s="15"/>
      <c r="B41" s="15"/>
      <c r="C41" s="15"/>
      <c r="D41" s="22"/>
      <c r="E41" s="22"/>
      <c r="F41" s="22"/>
      <c r="G41" s="22"/>
      <c r="H41" s="22"/>
      <c r="I41" s="52"/>
      <c r="J41" s="59"/>
    </row>
    <row r="42" spans="1:10" s="19" customFormat="1" ht="16.5" x14ac:dyDescent="0.25">
      <c r="A42" s="15"/>
      <c r="B42" s="15"/>
      <c r="C42" s="15"/>
      <c r="D42" s="22"/>
      <c r="E42" s="22"/>
      <c r="F42" s="22"/>
      <c r="G42" s="22"/>
      <c r="H42" s="22"/>
      <c r="I42" s="52"/>
      <c r="J42" s="59"/>
    </row>
    <row r="43" spans="1:10" s="19" customFormat="1" ht="16.5" x14ac:dyDescent="0.25">
      <c r="A43" s="15"/>
      <c r="B43" s="15"/>
      <c r="C43" s="15"/>
      <c r="D43" s="22"/>
      <c r="E43" s="22"/>
      <c r="F43" s="22"/>
      <c r="G43" s="22"/>
      <c r="H43" s="22"/>
      <c r="I43" s="52"/>
      <c r="J43" s="59"/>
    </row>
    <row r="44" spans="1:10" s="19" customFormat="1" ht="16.5" x14ac:dyDescent="0.25">
      <c r="A44" s="15"/>
      <c r="B44" s="15"/>
      <c r="C44" s="15"/>
      <c r="D44" s="22"/>
      <c r="E44" s="22"/>
      <c r="F44" s="22"/>
      <c r="G44" s="22"/>
      <c r="H44" s="22"/>
      <c r="I44" s="52"/>
      <c r="J44" s="59"/>
    </row>
    <row r="45" spans="1:10" s="19" customFormat="1" ht="16.5" x14ac:dyDescent="0.25">
      <c r="A45" s="15"/>
      <c r="B45" s="15"/>
      <c r="C45" s="15"/>
      <c r="D45" s="22"/>
      <c r="E45" s="22"/>
      <c r="F45" s="22"/>
      <c r="G45" s="22"/>
      <c r="H45" s="22"/>
      <c r="I45" s="52"/>
      <c r="J45" s="59"/>
    </row>
    <row r="46" spans="1:10" s="19" customFormat="1" ht="16.5" x14ac:dyDescent="0.25">
      <c r="A46" s="15"/>
      <c r="B46" s="15"/>
      <c r="C46" s="15"/>
      <c r="D46" s="22"/>
      <c r="E46" s="22"/>
      <c r="F46" s="22"/>
      <c r="G46" s="22"/>
      <c r="H46" s="22"/>
      <c r="I46" s="52"/>
      <c r="J46" s="59"/>
    </row>
    <row r="47" spans="1:10" s="19" customFormat="1" ht="16.5" x14ac:dyDescent="0.25">
      <c r="A47" s="15"/>
      <c r="B47" s="15"/>
      <c r="C47" s="15"/>
      <c r="D47" s="23"/>
      <c r="E47" s="23"/>
      <c r="F47" s="23"/>
      <c r="G47" s="23"/>
      <c r="H47" s="21"/>
      <c r="I47" s="52"/>
      <c r="J47" s="60"/>
    </row>
    <row r="48" spans="1:10" s="19" customFormat="1" ht="16.5" x14ac:dyDescent="0.25">
      <c r="A48" s="15"/>
      <c r="B48" s="15"/>
      <c r="C48" s="15"/>
      <c r="D48" s="23"/>
      <c r="E48" s="23"/>
      <c r="F48" s="23"/>
      <c r="G48" s="23"/>
      <c r="H48" s="21"/>
      <c r="I48" s="52"/>
      <c r="J48" s="60"/>
    </row>
    <row r="49" spans="1:10" s="19" customFormat="1" ht="16.5" x14ac:dyDescent="0.25">
      <c r="A49" s="15"/>
      <c r="B49" s="15"/>
      <c r="C49" s="15"/>
      <c r="D49" s="23"/>
      <c r="E49" s="23"/>
      <c r="F49" s="23"/>
      <c r="G49" s="23"/>
      <c r="H49" s="21"/>
      <c r="I49" s="52"/>
      <c r="J49" s="60"/>
    </row>
    <row r="50" spans="1:10" s="19" customFormat="1" ht="16.5" x14ac:dyDescent="0.25">
      <c r="A50" s="15"/>
      <c r="B50" s="15"/>
      <c r="C50" s="15"/>
      <c r="D50" s="22"/>
      <c r="E50" s="22"/>
      <c r="F50" s="22"/>
      <c r="G50" s="22"/>
      <c r="H50" s="22"/>
      <c r="I50" s="52"/>
      <c r="J50" s="59"/>
    </row>
    <row r="51" spans="1:10" s="19" customFormat="1" ht="16.5" x14ac:dyDescent="0.25">
      <c r="A51" s="15"/>
      <c r="B51" s="15"/>
      <c r="C51" s="15"/>
      <c r="D51" s="20"/>
      <c r="E51" s="20"/>
      <c r="F51" s="20"/>
      <c r="G51" s="20"/>
      <c r="H51" s="21"/>
      <c r="I51" s="52"/>
      <c r="J51" s="58"/>
    </row>
    <row r="52" spans="1:10" s="19" customFormat="1" ht="16.5" x14ac:dyDescent="0.25">
      <c r="A52" s="15"/>
      <c r="B52" s="15"/>
      <c r="C52" s="15"/>
      <c r="D52" s="22"/>
      <c r="E52" s="22"/>
      <c r="F52" s="22"/>
      <c r="G52" s="22"/>
      <c r="H52" s="22"/>
      <c r="I52" s="52"/>
      <c r="J52" s="59"/>
    </row>
    <row r="53" spans="1:10" s="19" customFormat="1" ht="16.5" x14ac:dyDescent="0.25">
      <c r="A53" s="15"/>
      <c r="B53" s="15"/>
      <c r="C53" s="15"/>
      <c r="D53" s="22"/>
      <c r="E53" s="22"/>
      <c r="F53" s="22"/>
      <c r="G53" s="22"/>
      <c r="H53" s="22"/>
      <c r="I53" s="52"/>
      <c r="J53" s="59"/>
    </row>
    <row r="54" spans="1:10" s="19" customFormat="1" ht="16.5" x14ac:dyDescent="0.25">
      <c r="A54" s="15"/>
      <c r="B54" s="15"/>
      <c r="C54" s="15"/>
      <c r="D54" s="23"/>
      <c r="E54" s="23"/>
      <c r="F54" s="23"/>
      <c r="G54" s="23"/>
      <c r="H54" s="21"/>
      <c r="I54" s="52"/>
      <c r="J54" s="60"/>
    </row>
    <row r="55" spans="1:10" s="19" customFormat="1" ht="16.5" x14ac:dyDescent="0.25">
      <c r="A55" s="15"/>
      <c r="B55" s="15"/>
      <c r="C55" s="15"/>
      <c r="D55" s="20"/>
      <c r="E55" s="23"/>
      <c r="F55" s="23"/>
      <c r="G55" s="23"/>
      <c r="H55" s="22"/>
      <c r="I55" s="52"/>
      <c r="J55" s="60"/>
    </row>
    <row r="56" spans="1:10" s="19" customFormat="1" ht="16.5" x14ac:dyDescent="0.25">
      <c r="A56" s="15"/>
      <c r="B56" s="15"/>
      <c r="C56" s="15"/>
      <c r="D56" s="22"/>
      <c r="E56" s="22"/>
      <c r="F56" s="22"/>
      <c r="G56" s="22"/>
      <c r="H56" s="22"/>
      <c r="I56" s="52"/>
      <c r="J56" s="59"/>
    </row>
    <row r="57" spans="1:10" s="15" customFormat="1" x14ac:dyDescent="0.25">
      <c r="D57" s="20"/>
      <c r="E57" s="20"/>
      <c r="F57" s="20"/>
      <c r="G57" s="20"/>
      <c r="H57" s="21"/>
      <c r="I57" s="52"/>
      <c r="J57" s="58"/>
    </row>
    <row r="58" spans="1:10" s="15" customFormat="1" x14ac:dyDescent="0.25">
      <c r="D58" s="22"/>
      <c r="E58" s="22"/>
      <c r="F58" s="22"/>
      <c r="G58" s="22"/>
      <c r="H58" s="22"/>
      <c r="I58" s="52"/>
      <c r="J58" s="59"/>
    </row>
    <row r="59" spans="1:10" s="15" customFormat="1" x14ac:dyDescent="0.25">
      <c r="D59" s="22"/>
      <c r="E59" s="22"/>
      <c r="F59" s="22"/>
      <c r="G59" s="22"/>
      <c r="H59" s="22"/>
      <c r="I59" s="52"/>
      <c r="J59" s="59"/>
    </row>
    <row r="60" spans="1:10" s="15" customFormat="1" x14ac:dyDescent="0.25">
      <c r="D60" s="23"/>
      <c r="E60" s="23"/>
      <c r="F60" s="23"/>
      <c r="G60" s="23"/>
      <c r="H60" s="21"/>
      <c r="I60" s="52"/>
      <c r="J60" s="60"/>
    </row>
    <row r="61" spans="1:10" s="15" customFormat="1" x14ac:dyDescent="0.25">
      <c r="D61" s="23"/>
      <c r="E61" s="23"/>
      <c r="F61" s="23"/>
      <c r="G61" s="23"/>
      <c r="H61" s="21"/>
      <c r="I61" s="52"/>
      <c r="J61" s="60"/>
    </row>
    <row r="62" spans="1:10" s="15" customFormat="1" x14ac:dyDescent="0.25">
      <c r="D62" s="20"/>
      <c r="E62" s="23"/>
      <c r="F62" s="23"/>
      <c r="G62" s="23"/>
      <c r="H62" s="22"/>
      <c r="I62" s="52"/>
      <c r="J62" s="60"/>
    </row>
    <row r="63" spans="1:10" s="15" customFormat="1" x14ac:dyDescent="0.25">
      <c r="D63" s="22"/>
      <c r="E63" s="22"/>
      <c r="F63" s="22"/>
      <c r="G63" s="22"/>
      <c r="H63" s="22"/>
      <c r="I63" s="52"/>
      <c r="J63" s="59"/>
    </row>
    <row r="64" spans="1:10" s="15" customFormat="1" x14ac:dyDescent="0.25">
      <c r="D64" s="20"/>
      <c r="E64" s="20"/>
      <c r="F64" s="20"/>
      <c r="G64" s="20"/>
      <c r="H64" s="21"/>
      <c r="I64" s="52"/>
      <c r="J64" s="58"/>
    </row>
    <row r="65" spans="4:10" s="15" customFormat="1" x14ac:dyDescent="0.25">
      <c r="D65" s="22"/>
      <c r="E65" s="22"/>
      <c r="F65" s="22"/>
      <c r="G65" s="22"/>
      <c r="H65" s="22"/>
      <c r="I65" s="52"/>
      <c r="J65" s="59"/>
    </row>
    <row r="66" spans="4:10" s="15" customFormat="1" x14ac:dyDescent="0.25">
      <c r="D66" s="22"/>
      <c r="E66" s="22"/>
      <c r="F66" s="22"/>
      <c r="G66" s="22"/>
      <c r="H66" s="22"/>
      <c r="I66" s="52"/>
      <c r="J66" s="59"/>
    </row>
    <row r="67" spans="4:10" s="15" customFormat="1" x14ac:dyDescent="0.25">
      <c r="D67" s="23"/>
      <c r="E67" s="23"/>
      <c r="F67" s="23"/>
      <c r="G67" s="23"/>
      <c r="H67" s="21"/>
      <c r="I67" s="52"/>
      <c r="J67" s="60"/>
    </row>
    <row r="68" spans="4:10" s="15" customFormat="1" x14ac:dyDescent="0.25">
      <c r="D68" s="23"/>
      <c r="E68" s="23"/>
      <c r="F68" s="23"/>
      <c r="G68" s="23"/>
      <c r="H68" s="21"/>
      <c r="I68" s="52"/>
      <c r="J68" s="60"/>
    </row>
    <row r="69" spans="4:10" s="15" customFormat="1" x14ac:dyDescent="0.25">
      <c r="D69" s="23"/>
      <c r="E69" s="23"/>
      <c r="F69" s="23"/>
      <c r="G69" s="23"/>
      <c r="H69" s="21"/>
      <c r="I69" s="52"/>
      <c r="J69" s="60"/>
    </row>
    <row r="70" spans="4:10" s="15" customFormat="1" x14ac:dyDescent="0.25">
      <c r="D70" s="20"/>
      <c r="E70" s="23"/>
      <c r="F70" s="23"/>
      <c r="G70" s="23"/>
      <c r="H70" s="22"/>
      <c r="I70" s="52"/>
      <c r="J70" s="60"/>
    </row>
    <row r="71" spans="4:10" s="15" customFormat="1" x14ac:dyDescent="0.25">
      <c r="D71" s="22"/>
      <c r="E71" s="22"/>
      <c r="F71" s="22"/>
      <c r="G71" s="22"/>
      <c r="H71" s="22"/>
      <c r="I71" s="52"/>
      <c r="J71" s="59"/>
    </row>
    <row r="72" spans="4:10" s="15" customFormat="1" x14ac:dyDescent="0.25">
      <c r="D72" s="20"/>
      <c r="E72" s="20"/>
      <c r="F72" s="20"/>
      <c r="G72" s="20"/>
      <c r="H72" s="21"/>
      <c r="I72" s="52"/>
      <c r="J72" s="58"/>
    </row>
    <row r="73" spans="4:10" s="15" customFormat="1" x14ac:dyDescent="0.25">
      <c r="D73" s="22"/>
      <c r="E73" s="22"/>
      <c r="F73" s="22"/>
      <c r="G73" s="22"/>
      <c r="H73" s="22"/>
      <c r="I73" s="52"/>
      <c r="J73" s="59"/>
    </row>
    <row r="74" spans="4:10" s="15" customFormat="1" x14ac:dyDescent="0.25">
      <c r="D74" s="22"/>
      <c r="E74" s="22"/>
      <c r="F74" s="22"/>
      <c r="G74" s="22"/>
      <c r="H74" s="22"/>
      <c r="I74" s="52"/>
      <c r="J74" s="59"/>
    </row>
    <row r="75" spans="4:10" s="15" customFormat="1" x14ac:dyDescent="0.25">
      <c r="D75" s="22"/>
      <c r="E75" s="22"/>
      <c r="F75" s="22"/>
      <c r="G75" s="22"/>
      <c r="H75" s="22"/>
      <c r="I75" s="52"/>
      <c r="J75" s="58"/>
    </row>
    <row r="76" spans="4:10" s="15" customFormat="1" x14ac:dyDescent="0.25">
      <c r="D76" s="22"/>
      <c r="E76" s="22"/>
      <c r="F76" s="22"/>
      <c r="G76" s="22"/>
      <c r="H76" s="22"/>
      <c r="I76" s="52"/>
      <c r="J76" s="59"/>
    </row>
    <row r="77" spans="4:10" s="15" customFormat="1" x14ac:dyDescent="0.25">
      <c r="D77" s="22"/>
      <c r="E77" s="25"/>
      <c r="F77" s="25"/>
      <c r="G77" s="25"/>
      <c r="H77" s="22"/>
      <c r="I77" s="52"/>
      <c r="J77" s="61"/>
    </row>
    <row r="78" spans="4:10" s="15" customFormat="1" x14ac:dyDescent="0.25">
      <c r="D78" s="22"/>
      <c r="E78" s="22"/>
      <c r="F78" s="22"/>
      <c r="G78" s="22"/>
      <c r="H78" s="22"/>
      <c r="I78" s="52"/>
      <c r="J78" s="58"/>
    </row>
    <row r="79" spans="4:10" s="15" customFormat="1" x14ac:dyDescent="0.25">
      <c r="D79" s="22"/>
      <c r="E79" s="22"/>
      <c r="F79" s="22"/>
      <c r="G79" s="22"/>
      <c r="H79" s="22"/>
      <c r="I79" s="52"/>
      <c r="J79" s="58"/>
    </row>
    <row r="80" spans="4:10" s="15" customFormat="1" x14ac:dyDescent="0.25">
      <c r="D80" s="22"/>
      <c r="E80" s="22"/>
      <c r="F80" s="22"/>
      <c r="G80" s="22"/>
      <c r="H80" s="22"/>
      <c r="I80" s="52"/>
      <c r="J80" s="58"/>
    </row>
    <row r="81" spans="4:10" s="15" customFormat="1" x14ac:dyDescent="0.25">
      <c r="D81" s="22"/>
      <c r="E81" s="22"/>
      <c r="F81" s="22"/>
      <c r="G81" s="22"/>
      <c r="H81" s="22"/>
      <c r="I81" s="54"/>
      <c r="J81" s="59"/>
    </row>
    <row r="82" spans="4:10" s="15" customFormat="1" x14ac:dyDescent="0.25">
      <c r="D82" s="22"/>
      <c r="E82" s="22"/>
      <c r="F82" s="22"/>
      <c r="G82" s="22"/>
      <c r="H82" s="22"/>
      <c r="I82" s="54"/>
      <c r="J82" s="59"/>
    </row>
    <row r="83" spans="4:10" s="15" customFormat="1" x14ac:dyDescent="0.25">
      <c r="D83" s="22"/>
      <c r="E83" s="22"/>
      <c r="F83" s="22"/>
      <c r="G83" s="22"/>
      <c r="H83" s="22"/>
      <c r="I83" s="54"/>
      <c r="J83" s="59"/>
    </row>
    <row r="84" spans="4:10" s="15" customFormat="1" x14ac:dyDescent="0.25">
      <c r="D84" s="26"/>
      <c r="E84" s="26"/>
      <c r="F84" s="26"/>
      <c r="G84" s="26"/>
      <c r="I84" s="54"/>
      <c r="J84" s="59"/>
    </row>
    <row r="85" spans="4:10" s="15" customFormat="1" x14ac:dyDescent="0.25">
      <c r="D85" s="26"/>
      <c r="E85" s="26"/>
      <c r="F85" s="26"/>
      <c r="G85" s="26"/>
      <c r="I85" s="54"/>
      <c r="J85" s="62"/>
    </row>
    <row r="86" spans="4:10" s="15" customFormat="1" x14ac:dyDescent="0.25">
      <c r="D86" s="26"/>
      <c r="E86" s="26"/>
      <c r="F86" s="26"/>
      <c r="G86" s="26"/>
      <c r="I86" s="54"/>
      <c r="J86" s="62"/>
    </row>
    <row r="87" spans="4:10" x14ac:dyDescent="0.25">
      <c r="I87" s="54"/>
    </row>
  </sheetData>
  <dataConsolidate/>
  <mergeCells count="2">
    <mergeCell ref="A11:J11"/>
    <mergeCell ref="A1:J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7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N103"/>
  <sheetViews>
    <sheetView view="pageBreakPreview" zoomScale="90" zoomScaleNormal="70" zoomScaleSheetLayoutView="90" workbookViewId="0">
      <selection sqref="A1:N1"/>
    </sheetView>
  </sheetViews>
  <sheetFormatPr defaultColWidth="54.28515625" defaultRowHeight="15" x14ac:dyDescent="0.25"/>
  <cols>
    <col min="1" max="1" width="8.7109375" style="15" customWidth="1"/>
    <col min="2" max="2" width="15.42578125" style="15" bestFit="1" customWidth="1"/>
    <col min="3" max="3" width="6" style="15" bestFit="1" customWidth="1"/>
    <col min="4" max="4" width="28.140625" style="15" bestFit="1" customWidth="1"/>
    <col min="5" max="5" width="16.28515625" style="15" bestFit="1" customWidth="1"/>
    <col min="6" max="6" width="15" style="15" bestFit="1" customWidth="1"/>
    <col min="7" max="7" width="13.140625" style="26" bestFit="1" customWidth="1"/>
    <col min="8" max="8" width="11.85546875" style="26" bestFit="1" customWidth="1"/>
    <col min="9" max="9" width="25" style="26" bestFit="1" customWidth="1"/>
    <col min="10" max="10" width="13.5703125" style="26" bestFit="1" customWidth="1"/>
    <col min="11" max="11" width="9.42578125" style="26" bestFit="1" customWidth="1"/>
    <col min="12" max="12" width="13" style="26" bestFit="1" customWidth="1"/>
    <col min="13" max="13" width="28.85546875" style="15" customWidth="1"/>
    <col min="14" max="14" width="30" style="55" bestFit="1" customWidth="1" collapsed="1"/>
    <col min="15" max="16384" width="54.28515625" style="3"/>
  </cols>
  <sheetData>
    <row r="1" spans="1:14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72" x14ac:dyDescent="0.25">
      <c r="A2" s="57"/>
      <c r="B2" s="2" t="s">
        <v>102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1</v>
      </c>
      <c r="I2" s="2" t="s">
        <v>14</v>
      </c>
      <c r="J2" s="2" t="s">
        <v>98</v>
      </c>
      <c r="K2" s="2" t="s">
        <v>21</v>
      </c>
      <c r="L2" s="2" t="s">
        <v>22</v>
      </c>
      <c r="M2" s="2" t="s">
        <v>7</v>
      </c>
      <c r="N2" s="2" t="s">
        <v>23</v>
      </c>
    </row>
    <row r="3" spans="1:14" s="32" customFormat="1" ht="16.5" x14ac:dyDescent="0.25">
      <c r="A3" s="135" t="s">
        <v>54</v>
      </c>
      <c r="B3" s="92" t="s">
        <v>61</v>
      </c>
      <c r="C3" s="27">
        <v>2</v>
      </c>
      <c r="D3" s="4" t="s">
        <v>15</v>
      </c>
      <c r="E3" s="6">
        <v>43458</v>
      </c>
      <c r="F3" s="7">
        <v>43462</v>
      </c>
      <c r="G3" s="7">
        <v>43467</v>
      </c>
      <c r="H3" s="7">
        <v>44195</v>
      </c>
      <c r="I3" s="8" t="s">
        <v>55</v>
      </c>
      <c r="J3" s="28">
        <v>728</v>
      </c>
      <c r="K3" s="9" t="s">
        <v>6</v>
      </c>
      <c r="L3" s="29">
        <v>1.2</v>
      </c>
      <c r="M3" s="30">
        <v>90186.847000000009</v>
      </c>
      <c r="N3" s="31">
        <f t="shared" ref="N3:N9" si="0">+M3*1000</f>
        <v>90186847.000000015</v>
      </c>
    </row>
    <row r="4" spans="1:14" s="32" customFormat="1" ht="16.5" x14ac:dyDescent="0.25">
      <c r="A4" s="136"/>
      <c r="B4" s="93" t="s">
        <v>62</v>
      </c>
      <c r="C4" s="13">
        <v>3</v>
      </c>
      <c r="D4" s="10" t="s">
        <v>15</v>
      </c>
      <c r="E4" s="12">
        <v>43465</v>
      </c>
      <c r="F4" s="12">
        <v>43469</v>
      </c>
      <c r="G4" s="12">
        <v>43474</v>
      </c>
      <c r="H4" s="12">
        <v>44202</v>
      </c>
      <c r="I4" s="10" t="s">
        <v>56</v>
      </c>
      <c r="J4" s="33">
        <v>728</v>
      </c>
      <c r="K4" s="14" t="s">
        <v>6</v>
      </c>
      <c r="L4" s="10">
        <v>1.2</v>
      </c>
      <c r="M4" s="34">
        <v>93694.296000000002</v>
      </c>
      <c r="N4" s="35">
        <f t="shared" si="0"/>
        <v>93694296</v>
      </c>
    </row>
    <row r="5" spans="1:14" s="32" customFormat="1" ht="16.5" x14ac:dyDescent="0.25">
      <c r="A5" s="136"/>
      <c r="B5" s="92" t="s">
        <v>63</v>
      </c>
      <c r="C5" s="27">
        <v>4</v>
      </c>
      <c r="D5" s="4" t="s">
        <v>15</v>
      </c>
      <c r="E5" s="6">
        <v>43472</v>
      </c>
      <c r="F5" s="7">
        <v>43476</v>
      </c>
      <c r="G5" s="7">
        <v>43481</v>
      </c>
      <c r="H5" s="7">
        <v>44209</v>
      </c>
      <c r="I5" s="8" t="s">
        <v>57</v>
      </c>
      <c r="J5" s="28">
        <v>728</v>
      </c>
      <c r="K5" s="9" t="s">
        <v>6</v>
      </c>
      <c r="L5" s="29">
        <v>1.2</v>
      </c>
      <c r="M5" s="30">
        <v>97949.448000000004</v>
      </c>
      <c r="N5" s="31">
        <f t="shared" si="0"/>
        <v>97949448</v>
      </c>
    </row>
    <row r="6" spans="1:14" s="32" customFormat="1" ht="16.5" x14ac:dyDescent="0.25">
      <c r="A6" s="136"/>
      <c r="B6" s="93" t="s">
        <v>64</v>
      </c>
      <c r="C6" s="13">
        <v>5</v>
      </c>
      <c r="D6" s="10" t="s">
        <v>15</v>
      </c>
      <c r="E6" s="12">
        <v>43479</v>
      </c>
      <c r="F6" s="12">
        <v>43483</v>
      </c>
      <c r="G6" s="12">
        <v>43488</v>
      </c>
      <c r="H6" s="12">
        <v>44216</v>
      </c>
      <c r="I6" s="10" t="s">
        <v>58</v>
      </c>
      <c r="J6" s="33">
        <v>728</v>
      </c>
      <c r="K6" s="14" t="s">
        <v>6</v>
      </c>
      <c r="L6" s="10">
        <v>1.2</v>
      </c>
      <c r="M6" s="34">
        <v>64562.800999999992</v>
      </c>
      <c r="N6" s="35">
        <f t="shared" si="0"/>
        <v>64562800.999999993</v>
      </c>
    </row>
    <row r="7" spans="1:14" s="32" customFormat="1" ht="16.5" x14ac:dyDescent="0.25">
      <c r="A7" s="136"/>
      <c r="B7" s="92" t="s">
        <v>65</v>
      </c>
      <c r="C7" s="27">
        <v>6</v>
      </c>
      <c r="D7" s="4" t="s">
        <v>15</v>
      </c>
      <c r="E7" s="6">
        <v>43486</v>
      </c>
      <c r="F7" s="7">
        <v>43490</v>
      </c>
      <c r="G7" s="7">
        <v>43495</v>
      </c>
      <c r="H7" s="7">
        <v>44223</v>
      </c>
      <c r="I7" s="8" t="s">
        <v>59</v>
      </c>
      <c r="J7" s="28">
        <v>728</v>
      </c>
      <c r="K7" s="9" t="s">
        <v>6</v>
      </c>
      <c r="L7" s="29">
        <v>1.2</v>
      </c>
      <c r="M7" s="30">
        <v>86378.971999999994</v>
      </c>
      <c r="N7" s="31">
        <f t="shared" si="0"/>
        <v>86378972</v>
      </c>
    </row>
    <row r="8" spans="1:14" s="32" customFormat="1" ht="16.5" x14ac:dyDescent="0.25">
      <c r="A8" s="137"/>
      <c r="B8" s="93" t="s">
        <v>66</v>
      </c>
      <c r="C8" s="13">
        <v>7</v>
      </c>
      <c r="D8" s="10" t="s">
        <v>15</v>
      </c>
      <c r="E8" s="12">
        <v>43493</v>
      </c>
      <c r="F8" s="12">
        <v>43497</v>
      </c>
      <c r="G8" s="12">
        <v>43502</v>
      </c>
      <c r="H8" s="12">
        <v>44230</v>
      </c>
      <c r="I8" s="10" t="s">
        <v>60</v>
      </c>
      <c r="J8" s="33">
        <v>728</v>
      </c>
      <c r="K8" s="14" t="s">
        <v>6</v>
      </c>
      <c r="L8" s="10">
        <v>1.2</v>
      </c>
      <c r="M8" s="34">
        <v>77337.883000000002</v>
      </c>
      <c r="N8" s="35">
        <f t="shared" si="0"/>
        <v>77337883</v>
      </c>
    </row>
    <row r="9" spans="1:14" ht="14.25" customHeight="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56"/>
      <c r="L9" s="84" t="s">
        <v>25</v>
      </c>
      <c r="M9" s="86">
        <f>+M3+M4+M5+M6+M7+M8</f>
        <v>510110.24699999997</v>
      </c>
      <c r="N9" s="85">
        <f t="shared" si="0"/>
        <v>510110247</v>
      </c>
    </row>
    <row r="10" spans="1:14" ht="14.25" customHeight="1" x14ac:dyDescent="0.25">
      <c r="A10" s="5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63"/>
      <c r="M10" s="64"/>
      <c r="N10" s="65"/>
    </row>
    <row r="11" spans="1:14" ht="72" x14ac:dyDescent="0.25">
      <c r="A11" s="57"/>
      <c r="B11" s="2" t="s">
        <v>102</v>
      </c>
      <c r="C11" s="2" t="s">
        <v>12</v>
      </c>
      <c r="D11" s="2" t="s">
        <v>3</v>
      </c>
      <c r="E11" s="2" t="s">
        <v>4</v>
      </c>
      <c r="F11" s="2" t="s">
        <v>5</v>
      </c>
      <c r="G11" s="2" t="s">
        <v>0</v>
      </c>
      <c r="H11" s="2" t="s">
        <v>1</v>
      </c>
      <c r="I11" s="2" t="s">
        <v>14</v>
      </c>
      <c r="J11" s="2" t="s">
        <v>98</v>
      </c>
      <c r="K11" s="2" t="s">
        <v>21</v>
      </c>
      <c r="L11" s="2" t="s">
        <v>22</v>
      </c>
      <c r="M11" s="2" t="s">
        <v>7</v>
      </c>
      <c r="N11" s="2" t="s">
        <v>23</v>
      </c>
    </row>
    <row r="12" spans="1:14" s="32" customFormat="1" ht="16.5" x14ac:dyDescent="0.25">
      <c r="A12" s="139" t="s">
        <v>73</v>
      </c>
      <c r="B12" s="92" t="s">
        <v>74</v>
      </c>
      <c r="C12" s="27">
        <v>1</v>
      </c>
      <c r="D12" s="4" t="s">
        <v>15</v>
      </c>
      <c r="E12" s="6">
        <v>43738</v>
      </c>
      <c r="F12" s="7">
        <v>43742</v>
      </c>
      <c r="G12" s="7">
        <v>43747</v>
      </c>
      <c r="H12" s="7">
        <v>44475</v>
      </c>
      <c r="I12" s="8" t="s">
        <v>78</v>
      </c>
      <c r="J12" s="28">
        <v>728</v>
      </c>
      <c r="K12" s="9" t="s">
        <v>6</v>
      </c>
      <c r="L12" s="29">
        <v>1</v>
      </c>
      <c r="M12" s="30">
        <v>46783.063999999998</v>
      </c>
      <c r="N12" s="31">
        <f t="shared" ref="N12:N16" si="1">+M12*1000</f>
        <v>46783064</v>
      </c>
    </row>
    <row r="13" spans="1:14" s="32" customFormat="1" ht="16.5" x14ac:dyDescent="0.25">
      <c r="A13" s="140"/>
      <c r="B13" s="93" t="s">
        <v>75</v>
      </c>
      <c r="C13" s="13">
        <v>2</v>
      </c>
      <c r="D13" s="10" t="s">
        <v>15</v>
      </c>
      <c r="E13" s="12">
        <v>43745</v>
      </c>
      <c r="F13" s="12">
        <v>43749</v>
      </c>
      <c r="G13" s="12">
        <v>43754</v>
      </c>
      <c r="H13" s="12">
        <v>44482</v>
      </c>
      <c r="I13" s="10" t="s">
        <v>79</v>
      </c>
      <c r="J13" s="33">
        <v>728</v>
      </c>
      <c r="K13" s="14" t="s">
        <v>6</v>
      </c>
      <c r="L13" s="10">
        <v>1</v>
      </c>
      <c r="M13" s="34">
        <v>75773.676000000007</v>
      </c>
      <c r="N13" s="35">
        <f t="shared" si="1"/>
        <v>75773676</v>
      </c>
    </row>
    <row r="14" spans="1:14" s="32" customFormat="1" ht="16.5" x14ac:dyDescent="0.25">
      <c r="A14" s="140"/>
      <c r="B14" s="92" t="s">
        <v>76</v>
      </c>
      <c r="C14" s="27">
        <v>3</v>
      </c>
      <c r="D14" s="4" t="s">
        <v>15</v>
      </c>
      <c r="E14" s="6">
        <v>43752</v>
      </c>
      <c r="F14" s="7">
        <v>43756</v>
      </c>
      <c r="G14" s="7">
        <v>43761</v>
      </c>
      <c r="H14" s="7">
        <v>44489</v>
      </c>
      <c r="I14" s="8" t="s">
        <v>80</v>
      </c>
      <c r="J14" s="28">
        <v>728</v>
      </c>
      <c r="K14" s="9" t="s">
        <v>6</v>
      </c>
      <c r="L14" s="29">
        <v>1</v>
      </c>
      <c r="M14" s="30">
        <v>85166.81</v>
      </c>
      <c r="N14" s="31">
        <f t="shared" si="1"/>
        <v>85166810</v>
      </c>
    </row>
    <row r="15" spans="1:14" s="32" customFormat="1" ht="16.5" x14ac:dyDescent="0.25">
      <c r="A15" s="141"/>
      <c r="B15" s="93" t="s">
        <v>77</v>
      </c>
      <c r="C15" s="13">
        <v>4</v>
      </c>
      <c r="D15" s="10" t="s">
        <v>15</v>
      </c>
      <c r="E15" s="12">
        <v>43759</v>
      </c>
      <c r="F15" s="12">
        <v>43763</v>
      </c>
      <c r="G15" s="12">
        <v>43768</v>
      </c>
      <c r="H15" s="12">
        <v>44496</v>
      </c>
      <c r="I15" s="10" t="s">
        <v>81</v>
      </c>
      <c r="J15" s="33">
        <v>728</v>
      </c>
      <c r="K15" s="14" t="s">
        <v>6</v>
      </c>
      <c r="L15" s="10">
        <v>1</v>
      </c>
      <c r="M15" s="34">
        <v>131977.40900000001</v>
      </c>
      <c r="N15" s="35">
        <f t="shared" si="1"/>
        <v>131977409.00000001</v>
      </c>
    </row>
    <row r="16" spans="1:14" ht="14.25" customHeight="1" x14ac:dyDescent="0.25">
      <c r="A16" s="66"/>
      <c r="B16" s="36"/>
      <c r="C16" s="36"/>
      <c r="D16" s="87"/>
      <c r="E16" s="36"/>
      <c r="F16" s="36"/>
      <c r="G16" s="36"/>
      <c r="H16" s="36"/>
      <c r="I16" s="36"/>
      <c r="J16" s="36"/>
      <c r="K16" s="56"/>
      <c r="L16" s="84" t="s">
        <v>25</v>
      </c>
      <c r="M16" s="86">
        <f>+M12+M13+M14+M15</f>
        <v>339700.95900000003</v>
      </c>
      <c r="N16" s="85">
        <f t="shared" si="1"/>
        <v>339700959.00000006</v>
      </c>
    </row>
    <row r="17" spans="1:14" ht="14.25" customHeight="1" x14ac:dyDescent="0.25">
      <c r="A17" s="66"/>
      <c r="B17" s="16"/>
      <c r="C17" s="16"/>
      <c r="D17" s="67"/>
      <c r="E17" s="16"/>
      <c r="F17" s="16"/>
      <c r="G17" s="16"/>
      <c r="H17" s="16"/>
      <c r="I17" s="16"/>
      <c r="J17" s="16"/>
      <c r="K17" s="16"/>
      <c r="L17" s="63"/>
      <c r="M17" s="64"/>
      <c r="N17" s="65"/>
    </row>
    <row r="18" spans="1:14" ht="72" x14ac:dyDescent="0.25">
      <c r="A18" s="36"/>
      <c r="B18" s="2" t="s">
        <v>102</v>
      </c>
      <c r="C18" s="2" t="s">
        <v>12</v>
      </c>
      <c r="D18" s="2" t="s">
        <v>3</v>
      </c>
      <c r="E18" s="2" t="s">
        <v>4</v>
      </c>
      <c r="F18" s="2" t="s">
        <v>5</v>
      </c>
      <c r="G18" s="2" t="s">
        <v>0</v>
      </c>
      <c r="H18" s="2" t="s">
        <v>1</v>
      </c>
      <c r="I18" s="2" t="s">
        <v>14</v>
      </c>
      <c r="J18" s="2" t="s">
        <v>98</v>
      </c>
      <c r="K18" s="2" t="s">
        <v>21</v>
      </c>
      <c r="L18" s="2" t="s">
        <v>22</v>
      </c>
      <c r="M18" s="2" t="s">
        <v>7</v>
      </c>
      <c r="N18" s="2" t="s">
        <v>23</v>
      </c>
    </row>
    <row r="19" spans="1:14" ht="16.5" x14ac:dyDescent="0.25">
      <c r="A19" s="56"/>
      <c r="B19" s="6" t="s">
        <v>68</v>
      </c>
      <c r="C19" s="27" t="s">
        <v>67</v>
      </c>
      <c r="D19" s="4" t="s">
        <v>15</v>
      </c>
      <c r="E19" s="6">
        <v>43521</v>
      </c>
      <c r="F19" s="7">
        <v>43521</v>
      </c>
      <c r="G19" s="7">
        <v>43523</v>
      </c>
      <c r="H19" s="7">
        <v>44251</v>
      </c>
      <c r="I19" s="8" t="s">
        <v>67</v>
      </c>
      <c r="J19" s="28">
        <v>728</v>
      </c>
      <c r="K19" s="9" t="s">
        <v>6</v>
      </c>
      <c r="L19" s="29">
        <v>1</v>
      </c>
      <c r="M19" s="30">
        <v>24172530</v>
      </c>
      <c r="N19" s="31">
        <f>+M19*1</f>
        <v>24172530</v>
      </c>
    </row>
    <row r="20" spans="1:14" ht="16.5" x14ac:dyDescent="0.25">
      <c r="A20" s="56"/>
      <c r="B20" s="12" t="s">
        <v>70</v>
      </c>
      <c r="C20" s="13" t="s">
        <v>67</v>
      </c>
      <c r="D20" s="10" t="s">
        <v>15</v>
      </c>
      <c r="E20" s="12">
        <v>43635</v>
      </c>
      <c r="F20" s="12">
        <v>43635</v>
      </c>
      <c r="G20" s="12">
        <v>43637</v>
      </c>
      <c r="H20" s="12">
        <v>44365</v>
      </c>
      <c r="I20" s="10" t="s">
        <v>67</v>
      </c>
      <c r="J20" s="33">
        <v>728</v>
      </c>
      <c r="K20" s="14" t="s">
        <v>6</v>
      </c>
      <c r="L20" s="10">
        <v>1</v>
      </c>
      <c r="M20" s="34">
        <v>7969950</v>
      </c>
      <c r="N20" s="35">
        <f>+M20*1</f>
        <v>7969950</v>
      </c>
    </row>
    <row r="21" spans="1:14" ht="16.5" x14ac:dyDescent="0.25">
      <c r="A21" s="56"/>
      <c r="B21" s="6" t="s">
        <v>71</v>
      </c>
      <c r="C21" s="27" t="s">
        <v>67</v>
      </c>
      <c r="D21" s="4" t="s">
        <v>15</v>
      </c>
      <c r="E21" s="6">
        <v>43726</v>
      </c>
      <c r="F21" s="7">
        <v>43726</v>
      </c>
      <c r="G21" s="7">
        <v>43728</v>
      </c>
      <c r="H21" s="7">
        <v>44456</v>
      </c>
      <c r="I21" s="8" t="s">
        <v>67</v>
      </c>
      <c r="J21" s="28">
        <v>728</v>
      </c>
      <c r="K21" s="9" t="s">
        <v>6</v>
      </c>
      <c r="L21" s="29">
        <v>1</v>
      </c>
      <c r="M21" s="30">
        <v>16877190</v>
      </c>
      <c r="N21" s="31">
        <f t="shared" ref="N21:N23" si="2">+M21*1</f>
        <v>16877190</v>
      </c>
    </row>
    <row r="22" spans="1:14" ht="16.5" x14ac:dyDescent="0.25">
      <c r="A22" s="56"/>
      <c r="B22" s="12" t="s">
        <v>72</v>
      </c>
      <c r="C22" s="13" t="s">
        <v>67</v>
      </c>
      <c r="D22" s="10" t="s">
        <v>15</v>
      </c>
      <c r="E22" s="12">
        <v>43747</v>
      </c>
      <c r="F22" s="12">
        <v>43747</v>
      </c>
      <c r="G22" s="12">
        <v>43749</v>
      </c>
      <c r="H22" s="12">
        <v>44113</v>
      </c>
      <c r="I22" s="10" t="s">
        <v>67</v>
      </c>
      <c r="J22" s="33">
        <v>364</v>
      </c>
      <c r="K22" s="14" t="s">
        <v>6</v>
      </c>
      <c r="L22" s="10">
        <v>0.87</v>
      </c>
      <c r="M22" s="34">
        <v>12598690</v>
      </c>
      <c r="N22" s="35">
        <f t="shared" si="2"/>
        <v>12598690</v>
      </c>
    </row>
    <row r="23" spans="1:14" ht="16.5" x14ac:dyDescent="0.25">
      <c r="A23" s="56"/>
      <c r="B23" s="6" t="s">
        <v>82</v>
      </c>
      <c r="C23" s="27" t="s">
        <v>67</v>
      </c>
      <c r="D23" s="4" t="s">
        <v>15</v>
      </c>
      <c r="E23" s="6">
        <v>43768</v>
      </c>
      <c r="F23" s="7">
        <v>43768</v>
      </c>
      <c r="G23" s="7">
        <v>43770</v>
      </c>
      <c r="H23" s="7">
        <v>44134</v>
      </c>
      <c r="I23" s="8" t="s">
        <v>67</v>
      </c>
      <c r="J23" s="28">
        <v>364</v>
      </c>
      <c r="K23" s="9" t="s">
        <v>6</v>
      </c>
      <c r="L23" s="29">
        <v>0.75</v>
      </c>
      <c r="M23" s="30">
        <v>3004900</v>
      </c>
      <c r="N23" s="31">
        <f t="shared" si="2"/>
        <v>3004900</v>
      </c>
    </row>
    <row r="24" spans="1:14" ht="14.2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56"/>
      <c r="L24" s="84" t="s">
        <v>25</v>
      </c>
      <c r="M24" s="86">
        <f>SUM(M19:M23)</f>
        <v>64623260</v>
      </c>
      <c r="N24" s="85">
        <f>+M24*1</f>
        <v>64623260</v>
      </c>
    </row>
    <row r="25" spans="1:14" ht="14.25" customHeight="1" x14ac:dyDescent="0.25">
      <c r="A25" s="5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63"/>
      <c r="M25" s="64"/>
      <c r="N25" s="65"/>
    </row>
    <row r="26" spans="1:14" ht="30" x14ac:dyDescent="0.25">
      <c r="A26" s="17"/>
      <c r="B26" s="45"/>
      <c r="C26" s="46"/>
      <c r="D26" s="46"/>
      <c r="E26" s="46"/>
      <c r="F26" s="47"/>
      <c r="G26" s="48"/>
      <c r="H26" s="49"/>
      <c r="I26" s="49"/>
      <c r="J26" s="49"/>
      <c r="K26" s="88"/>
      <c r="L26" s="84" t="s">
        <v>34</v>
      </c>
      <c r="M26" s="86">
        <f>+M9+M16+M24</f>
        <v>65473071.206</v>
      </c>
      <c r="N26" s="85">
        <f>+N9+N16+N24</f>
        <v>914434466</v>
      </c>
    </row>
    <row r="27" spans="1:14" ht="14.25" customHeight="1" x14ac:dyDescent="0.25">
      <c r="A27" s="50" t="s">
        <v>24</v>
      </c>
      <c r="B27" s="45"/>
      <c r="C27" s="45"/>
      <c r="D27" s="46"/>
      <c r="E27" s="46"/>
      <c r="F27" s="46"/>
      <c r="G27" s="47"/>
      <c r="H27" s="51"/>
      <c r="I27" s="49"/>
      <c r="J27" s="49"/>
      <c r="K27" s="49"/>
      <c r="L27" s="89"/>
      <c r="M27" s="90"/>
      <c r="N27" s="91"/>
    </row>
    <row r="28" spans="1:14" s="19" customFormat="1" ht="16.5" x14ac:dyDescent="0.25">
      <c r="A28" s="138" t="s">
        <v>69</v>
      </c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</row>
    <row r="29" spans="1:14" s="19" customFormat="1" ht="16.5" x14ac:dyDescent="0.25">
      <c r="A29" s="15"/>
      <c r="B29" s="15"/>
      <c r="C29" s="15"/>
      <c r="D29" s="15"/>
      <c r="E29" s="15"/>
      <c r="F29" s="15"/>
      <c r="G29" s="20"/>
      <c r="H29" s="20"/>
      <c r="I29" s="20"/>
      <c r="J29" s="20"/>
      <c r="K29" s="20"/>
      <c r="L29" s="20"/>
      <c r="M29" s="21"/>
      <c r="N29" s="52"/>
    </row>
    <row r="30" spans="1:14" s="19" customFormat="1" ht="16.5" x14ac:dyDescent="0.25">
      <c r="A30" s="15"/>
      <c r="B30" s="15"/>
      <c r="C30" s="15"/>
      <c r="D30" s="15"/>
      <c r="E30" s="15"/>
      <c r="F30" s="15"/>
      <c r="G30" s="22"/>
      <c r="H30" s="22"/>
      <c r="I30" s="22"/>
      <c r="J30" s="22"/>
      <c r="K30" s="22"/>
      <c r="L30" s="22"/>
      <c r="M30" s="22"/>
      <c r="N30" s="52"/>
    </row>
    <row r="31" spans="1:14" s="19" customFormat="1" ht="16.5" x14ac:dyDescent="0.25">
      <c r="A31" s="15"/>
      <c r="B31" s="15"/>
      <c r="C31" s="15"/>
      <c r="D31" s="15"/>
      <c r="E31" s="15"/>
      <c r="F31" s="15"/>
      <c r="G31" s="22"/>
      <c r="H31" s="22"/>
      <c r="I31" s="22"/>
      <c r="J31" s="22"/>
      <c r="K31" s="22"/>
      <c r="L31" s="22"/>
      <c r="M31" s="22"/>
      <c r="N31" s="52"/>
    </row>
    <row r="32" spans="1:14" s="19" customFormat="1" ht="16.5" x14ac:dyDescent="0.25">
      <c r="A32" s="15"/>
      <c r="B32" s="15"/>
      <c r="C32" s="15"/>
      <c r="D32" s="15"/>
      <c r="E32" s="15"/>
      <c r="F32" s="15"/>
      <c r="G32" s="20"/>
      <c r="H32" s="23"/>
      <c r="I32" s="23"/>
      <c r="J32" s="23"/>
      <c r="K32" s="23"/>
      <c r="L32" s="23"/>
      <c r="M32" s="21"/>
      <c r="N32" s="53"/>
    </row>
    <row r="33" spans="1:14" s="19" customFormat="1" ht="16.5" x14ac:dyDescent="0.25">
      <c r="A33" s="15"/>
      <c r="B33" s="15"/>
      <c r="C33" s="15"/>
      <c r="D33" s="15"/>
      <c r="E33" s="15"/>
      <c r="F33" s="15"/>
      <c r="G33" s="20"/>
      <c r="H33" s="20"/>
      <c r="I33" s="23"/>
      <c r="J33" s="23"/>
      <c r="K33" s="23"/>
      <c r="L33" s="23"/>
      <c r="M33" s="22"/>
      <c r="N33" s="52"/>
    </row>
    <row r="34" spans="1:14" s="19" customFormat="1" ht="16.5" x14ac:dyDescent="0.25">
      <c r="A34" s="15"/>
      <c r="B34" s="15"/>
      <c r="C34" s="15"/>
      <c r="D34" s="15"/>
      <c r="E34" s="15"/>
      <c r="F34" s="15"/>
      <c r="G34" s="20"/>
      <c r="H34" s="23"/>
      <c r="I34" s="23"/>
      <c r="J34" s="23"/>
      <c r="K34" s="23"/>
      <c r="L34" s="23"/>
      <c r="M34" s="21"/>
      <c r="N34" s="52"/>
    </row>
    <row r="35" spans="1:14" s="19" customFormat="1" ht="16.5" x14ac:dyDescent="0.25">
      <c r="A35" s="15"/>
      <c r="B35" s="15"/>
      <c r="C35" s="15"/>
      <c r="D35" s="15"/>
      <c r="E35" s="15"/>
      <c r="F35" s="15"/>
      <c r="G35" s="22"/>
      <c r="H35" s="22"/>
      <c r="I35" s="22"/>
      <c r="J35" s="22"/>
      <c r="K35" s="22"/>
      <c r="L35" s="22"/>
      <c r="M35" s="22"/>
      <c r="N35" s="52"/>
    </row>
    <row r="36" spans="1:14" s="19" customFormat="1" ht="16.5" x14ac:dyDescent="0.25">
      <c r="A36" s="15"/>
      <c r="B36" s="15"/>
      <c r="C36" s="15"/>
      <c r="D36" s="15"/>
      <c r="E36" s="15"/>
      <c r="F36" s="15"/>
      <c r="G36" s="20"/>
      <c r="H36" s="20"/>
      <c r="I36" s="20"/>
      <c r="J36" s="20"/>
      <c r="K36" s="20"/>
      <c r="L36" s="20"/>
      <c r="M36" s="21"/>
      <c r="N36" s="52"/>
    </row>
    <row r="37" spans="1:14" s="19" customFormat="1" ht="16.5" x14ac:dyDescent="0.25">
      <c r="A37" s="15"/>
      <c r="B37" s="15"/>
      <c r="C37" s="15"/>
      <c r="D37" s="15"/>
      <c r="E37" s="15"/>
      <c r="F37" s="15"/>
      <c r="G37" s="20"/>
      <c r="H37" s="20"/>
      <c r="I37" s="20"/>
      <c r="J37" s="20"/>
      <c r="K37" s="20"/>
      <c r="L37" s="20"/>
      <c r="M37" s="21"/>
      <c r="N37" s="52"/>
    </row>
    <row r="38" spans="1:14" s="19" customFormat="1" ht="16.5" x14ac:dyDescent="0.25">
      <c r="A38" s="15"/>
      <c r="B38" s="15"/>
      <c r="C38" s="15"/>
      <c r="D38" s="15"/>
      <c r="E38" s="15"/>
      <c r="F38" s="15"/>
      <c r="G38" s="20"/>
      <c r="H38" s="20"/>
      <c r="I38" s="20"/>
      <c r="J38" s="20"/>
      <c r="K38" s="20"/>
      <c r="L38" s="20"/>
      <c r="M38" s="21"/>
      <c r="N38" s="52"/>
    </row>
    <row r="39" spans="1:14" s="19" customFormat="1" ht="16.5" x14ac:dyDescent="0.25">
      <c r="A39" s="15"/>
      <c r="B39" s="15"/>
      <c r="C39" s="15"/>
      <c r="D39" s="15"/>
      <c r="E39" s="15"/>
      <c r="F39" s="15"/>
      <c r="G39" s="20"/>
      <c r="H39" s="20"/>
      <c r="I39" s="20"/>
      <c r="J39" s="20"/>
      <c r="K39" s="20"/>
      <c r="L39" s="20"/>
      <c r="M39" s="21"/>
      <c r="N39" s="52"/>
    </row>
    <row r="40" spans="1:14" s="19" customFormat="1" ht="16.5" x14ac:dyDescent="0.25">
      <c r="A40" s="15"/>
      <c r="B40" s="15"/>
      <c r="C40" s="15"/>
      <c r="D40" s="15"/>
      <c r="E40" s="15"/>
      <c r="F40" s="15"/>
      <c r="G40" s="22"/>
      <c r="H40" s="22"/>
      <c r="I40" s="22"/>
      <c r="J40" s="22"/>
      <c r="K40" s="22"/>
      <c r="L40" s="22"/>
      <c r="M40" s="22"/>
      <c r="N40" s="52"/>
    </row>
    <row r="41" spans="1:14" s="19" customFormat="1" ht="16.5" x14ac:dyDescent="0.25">
      <c r="A41" s="15"/>
      <c r="B41" s="15"/>
      <c r="C41" s="15"/>
      <c r="D41" s="15"/>
      <c r="E41" s="15"/>
      <c r="F41" s="15"/>
      <c r="G41" s="20"/>
      <c r="H41" s="23"/>
      <c r="I41" s="23"/>
      <c r="J41" s="23"/>
      <c r="K41" s="23"/>
      <c r="L41" s="23"/>
      <c r="M41" s="21"/>
      <c r="N41" s="52"/>
    </row>
    <row r="42" spans="1:14" s="19" customFormat="1" ht="16.5" x14ac:dyDescent="0.25">
      <c r="A42" s="15"/>
      <c r="B42" s="15"/>
      <c r="C42" s="15"/>
      <c r="D42" s="15"/>
      <c r="E42" s="15"/>
      <c r="F42" s="15"/>
      <c r="G42" s="20"/>
      <c r="H42" s="20"/>
      <c r="I42" s="23"/>
      <c r="J42" s="23"/>
      <c r="K42" s="23"/>
      <c r="L42" s="23"/>
      <c r="M42" s="22"/>
      <c r="N42" s="52"/>
    </row>
    <row r="43" spans="1:14" s="19" customFormat="1" ht="16.5" x14ac:dyDescent="0.25">
      <c r="A43" s="15"/>
      <c r="B43" s="15"/>
      <c r="C43" s="15"/>
      <c r="D43" s="15"/>
      <c r="E43" s="15"/>
      <c r="F43" s="15"/>
      <c r="G43" s="20"/>
      <c r="H43" s="23"/>
      <c r="I43" s="23"/>
      <c r="J43" s="23"/>
      <c r="K43" s="23"/>
      <c r="L43" s="23"/>
      <c r="M43" s="21"/>
      <c r="N43" s="52"/>
    </row>
    <row r="44" spans="1:14" s="19" customFormat="1" ht="16.5" x14ac:dyDescent="0.25">
      <c r="A44" s="15"/>
      <c r="B44" s="15"/>
      <c r="C44" s="15"/>
      <c r="D44" s="15"/>
      <c r="E44" s="15"/>
      <c r="F44" s="15"/>
      <c r="G44" s="22"/>
      <c r="H44" s="22"/>
      <c r="I44" s="22"/>
      <c r="J44" s="22"/>
      <c r="K44" s="22"/>
      <c r="L44" s="22"/>
      <c r="M44" s="22"/>
      <c r="N44" s="52"/>
    </row>
    <row r="45" spans="1:14" s="19" customFormat="1" ht="16.5" x14ac:dyDescent="0.25">
      <c r="A45" s="15"/>
      <c r="B45" s="15"/>
      <c r="C45" s="15"/>
      <c r="D45" s="15"/>
      <c r="E45" s="15"/>
      <c r="F45" s="15"/>
      <c r="G45" s="20"/>
      <c r="H45" s="20"/>
      <c r="I45" s="20"/>
      <c r="J45" s="20"/>
      <c r="K45" s="20"/>
      <c r="L45" s="20"/>
      <c r="M45" s="21"/>
      <c r="N45" s="52"/>
    </row>
    <row r="46" spans="1:14" s="19" customFormat="1" ht="16.5" x14ac:dyDescent="0.25">
      <c r="A46" s="15"/>
      <c r="B46" s="15"/>
      <c r="C46" s="15"/>
      <c r="D46" s="15"/>
      <c r="E46" s="15"/>
      <c r="F46" s="15"/>
      <c r="G46" s="22"/>
      <c r="H46" s="22"/>
      <c r="I46" s="22"/>
      <c r="J46" s="22"/>
      <c r="K46" s="22"/>
      <c r="L46" s="22"/>
      <c r="M46" s="22"/>
      <c r="N46" s="52"/>
    </row>
    <row r="47" spans="1:14" s="19" customFormat="1" ht="16.5" x14ac:dyDescent="0.25">
      <c r="A47" s="15"/>
      <c r="B47" s="15"/>
      <c r="C47" s="15"/>
      <c r="D47" s="15"/>
      <c r="E47" s="15"/>
      <c r="F47" s="15"/>
      <c r="G47" s="22"/>
      <c r="H47" s="22"/>
      <c r="I47" s="22"/>
      <c r="J47" s="22"/>
      <c r="K47" s="22"/>
      <c r="L47" s="22"/>
      <c r="M47" s="22"/>
      <c r="N47" s="52"/>
    </row>
    <row r="48" spans="1:14" s="19" customFormat="1" ht="16.5" x14ac:dyDescent="0.25">
      <c r="A48" s="15"/>
      <c r="B48" s="15"/>
      <c r="C48" s="15"/>
      <c r="D48" s="15"/>
      <c r="E48" s="15"/>
      <c r="F48" s="15"/>
      <c r="G48" s="20"/>
      <c r="H48" s="23"/>
      <c r="I48" s="23"/>
      <c r="J48" s="23"/>
      <c r="K48" s="23"/>
      <c r="L48" s="23"/>
      <c r="M48" s="21"/>
      <c r="N48" s="52"/>
    </row>
    <row r="49" spans="1:14" s="19" customFormat="1" ht="16.5" x14ac:dyDescent="0.25">
      <c r="A49" s="15"/>
      <c r="B49" s="15"/>
      <c r="C49" s="15"/>
      <c r="D49" s="15"/>
      <c r="E49" s="15"/>
      <c r="F49" s="15"/>
      <c r="G49" s="20"/>
      <c r="H49" s="20"/>
      <c r="I49" s="23"/>
      <c r="J49" s="23"/>
      <c r="K49" s="23"/>
      <c r="L49" s="23"/>
      <c r="M49" s="22"/>
      <c r="N49" s="52"/>
    </row>
    <row r="50" spans="1:14" s="19" customFormat="1" ht="16.5" x14ac:dyDescent="0.25">
      <c r="A50" s="15"/>
      <c r="B50" s="15"/>
      <c r="C50" s="15"/>
      <c r="D50" s="15"/>
      <c r="E50" s="15"/>
      <c r="F50" s="15"/>
      <c r="G50" s="20"/>
      <c r="H50" s="23"/>
      <c r="I50" s="23"/>
      <c r="J50" s="23"/>
      <c r="K50" s="23"/>
      <c r="L50" s="23"/>
      <c r="M50" s="21"/>
      <c r="N50" s="52"/>
    </row>
    <row r="51" spans="1:14" s="19" customFormat="1" ht="16.5" x14ac:dyDescent="0.25">
      <c r="A51" s="15"/>
      <c r="B51" s="15"/>
      <c r="C51" s="15"/>
      <c r="D51" s="15"/>
      <c r="E51" s="15"/>
      <c r="F51" s="15"/>
      <c r="G51" s="22"/>
      <c r="H51" s="22"/>
      <c r="I51" s="22"/>
      <c r="J51" s="22"/>
      <c r="K51" s="22"/>
      <c r="L51" s="22"/>
      <c r="M51" s="22"/>
      <c r="N51" s="52"/>
    </row>
    <row r="52" spans="1:14" s="19" customFormat="1" ht="16.5" x14ac:dyDescent="0.25">
      <c r="A52" s="15"/>
      <c r="B52" s="15"/>
      <c r="C52" s="15"/>
      <c r="D52" s="15"/>
      <c r="E52" s="15"/>
      <c r="F52" s="15"/>
      <c r="G52" s="20"/>
      <c r="H52" s="20"/>
      <c r="I52" s="20"/>
      <c r="J52" s="20"/>
      <c r="K52" s="20"/>
      <c r="L52" s="20"/>
      <c r="M52" s="21"/>
      <c r="N52" s="52"/>
    </row>
    <row r="53" spans="1:14" s="19" customFormat="1" ht="16.5" x14ac:dyDescent="0.25">
      <c r="A53" s="15"/>
      <c r="B53" s="15"/>
      <c r="C53" s="15"/>
      <c r="D53" s="15"/>
      <c r="E53" s="24"/>
      <c r="F53" s="24"/>
      <c r="G53" s="22"/>
      <c r="H53" s="22"/>
      <c r="I53" s="22"/>
      <c r="J53" s="22"/>
      <c r="K53" s="22"/>
      <c r="L53" s="22"/>
      <c r="M53" s="22"/>
      <c r="N53" s="52"/>
    </row>
    <row r="54" spans="1:14" s="19" customFormat="1" ht="16.5" x14ac:dyDescent="0.25">
      <c r="A54" s="15"/>
      <c r="B54" s="15"/>
      <c r="C54" s="15"/>
      <c r="D54" s="15"/>
      <c r="E54" s="24"/>
      <c r="F54" s="24"/>
      <c r="G54" s="22"/>
      <c r="H54" s="22"/>
      <c r="I54" s="22"/>
      <c r="J54" s="22"/>
      <c r="K54" s="22"/>
      <c r="L54" s="22"/>
      <c r="M54" s="22"/>
      <c r="N54" s="52"/>
    </row>
    <row r="55" spans="1:14" s="19" customFormat="1" ht="16.5" x14ac:dyDescent="0.25">
      <c r="A55" s="15"/>
      <c r="B55" s="15"/>
      <c r="C55" s="15"/>
      <c r="D55" s="15"/>
      <c r="E55" s="24"/>
      <c r="F55" s="24"/>
      <c r="G55" s="22"/>
      <c r="H55" s="22"/>
      <c r="I55" s="22"/>
      <c r="J55" s="22"/>
      <c r="K55" s="22"/>
      <c r="L55" s="22"/>
      <c r="M55" s="22"/>
      <c r="N55" s="52"/>
    </row>
    <row r="56" spans="1:14" s="19" customFormat="1" ht="16.5" x14ac:dyDescent="0.25">
      <c r="A56" s="15"/>
      <c r="B56" s="15"/>
      <c r="C56" s="15"/>
      <c r="D56" s="15"/>
      <c r="E56" s="15"/>
      <c r="F56" s="15"/>
      <c r="G56" s="22"/>
      <c r="H56" s="22"/>
      <c r="I56" s="22"/>
      <c r="J56" s="22"/>
      <c r="K56" s="22"/>
      <c r="L56" s="22"/>
      <c r="M56" s="22"/>
      <c r="N56" s="52"/>
    </row>
    <row r="57" spans="1:14" s="19" customFormat="1" ht="16.5" x14ac:dyDescent="0.25">
      <c r="A57" s="15"/>
      <c r="B57" s="15"/>
      <c r="C57" s="15"/>
      <c r="D57" s="15"/>
      <c r="E57" s="15"/>
      <c r="F57" s="15"/>
      <c r="G57" s="22"/>
      <c r="H57" s="22"/>
      <c r="I57" s="22"/>
      <c r="J57" s="22"/>
      <c r="K57" s="22"/>
      <c r="L57" s="22"/>
      <c r="M57" s="22"/>
      <c r="N57" s="52"/>
    </row>
    <row r="58" spans="1:14" s="19" customFormat="1" ht="16.5" x14ac:dyDescent="0.25">
      <c r="A58" s="15"/>
      <c r="B58" s="15"/>
      <c r="C58" s="15"/>
      <c r="D58" s="15"/>
      <c r="E58" s="15"/>
      <c r="F58" s="15"/>
      <c r="G58" s="22"/>
      <c r="H58" s="22"/>
      <c r="I58" s="22"/>
      <c r="J58" s="22"/>
      <c r="K58" s="22"/>
      <c r="L58" s="22"/>
      <c r="M58" s="22"/>
      <c r="N58" s="52"/>
    </row>
    <row r="59" spans="1:14" s="19" customFormat="1" ht="16.5" x14ac:dyDescent="0.25">
      <c r="A59" s="15"/>
      <c r="B59" s="15"/>
      <c r="C59" s="15"/>
      <c r="D59" s="15"/>
      <c r="E59" s="15"/>
      <c r="F59" s="15"/>
      <c r="G59" s="22"/>
      <c r="H59" s="22"/>
      <c r="I59" s="22"/>
      <c r="J59" s="22"/>
      <c r="K59" s="22"/>
      <c r="L59" s="22"/>
      <c r="M59" s="22"/>
      <c r="N59" s="52"/>
    </row>
    <row r="60" spans="1:14" s="19" customFormat="1" ht="16.5" x14ac:dyDescent="0.25">
      <c r="A60" s="15"/>
      <c r="B60" s="15"/>
      <c r="C60" s="15"/>
      <c r="D60" s="15"/>
      <c r="E60" s="15"/>
      <c r="F60" s="15"/>
      <c r="G60" s="22"/>
      <c r="H60" s="22"/>
      <c r="I60" s="22"/>
      <c r="J60" s="22"/>
      <c r="K60" s="22"/>
      <c r="L60" s="22"/>
      <c r="M60" s="22"/>
      <c r="N60" s="52"/>
    </row>
    <row r="61" spans="1:14" s="19" customFormat="1" ht="16.5" x14ac:dyDescent="0.25">
      <c r="A61" s="15"/>
      <c r="B61" s="15"/>
      <c r="C61" s="15"/>
      <c r="D61" s="15"/>
      <c r="E61" s="15"/>
      <c r="F61" s="15"/>
      <c r="G61" s="22"/>
      <c r="H61" s="22"/>
      <c r="I61" s="22"/>
      <c r="J61" s="22"/>
      <c r="K61" s="22"/>
      <c r="L61" s="22"/>
      <c r="M61" s="22"/>
      <c r="N61" s="52"/>
    </row>
    <row r="62" spans="1:14" s="19" customFormat="1" ht="16.5" x14ac:dyDescent="0.25">
      <c r="A62" s="15"/>
      <c r="B62" s="15"/>
      <c r="C62" s="15"/>
      <c r="D62" s="15"/>
      <c r="E62" s="15"/>
      <c r="F62" s="15"/>
      <c r="G62" s="22"/>
      <c r="H62" s="22"/>
      <c r="I62" s="22"/>
      <c r="J62" s="22"/>
      <c r="K62" s="22"/>
      <c r="L62" s="22"/>
      <c r="M62" s="22"/>
      <c r="N62" s="52"/>
    </row>
    <row r="63" spans="1:14" s="19" customFormat="1" ht="16.5" x14ac:dyDescent="0.25">
      <c r="A63" s="15"/>
      <c r="B63" s="15"/>
      <c r="C63" s="15"/>
      <c r="D63" s="15"/>
      <c r="E63" s="15"/>
      <c r="F63" s="15"/>
      <c r="G63" s="20"/>
      <c r="H63" s="23"/>
      <c r="I63" s="23"/>
      <c r="J63" s="23"/>
      <c r="K63" s="23"/>
      <c r="L63" s="23"/>
      <c r="M63" s="21"/>
      <c r="N63" s="52"/>
    </row>
    <row r="64" spans="1:14" s="19" customFormat="1" ht="16.5" x14ac:dyDescent="0.25">
      <c r="A64" s="15"/>
      <c r="B64" s="15"/>
      <c r="C64" s="15"/>
      <c r="D64" s="15"/>
      <c r="E64" s="15"/>
      <c r="F64" s="15"/>
      <c r="G64" s="20"/>
      <c r="H64" s="23"/>
      <c r="I64" s="23"/>
      <c r="J64" s="23"/>
      <c r="K64" s="23"/>
      <c r="L64" s="23"/>
      <c r="M64" s="21"/>
      <c r="N64" s="52"/>
    </row>
    <row r="65" spans="1:14" s="19" customFormat="1" ht="16.5" x14ac:dyDescent="0.25">
      <c r="A65" s="15"/>
      <c r="B65" s="15"/>
      <c r="C65" s="15"/>
      <c r="D65" s="15"/>
      <c r="E65" s="15"/>
      <c r="F65" s="15"/>
      <c r="G65" s="20"/>
      <c r="H65" s="23"/>
      <c r="I65" s="23"/>
      <c r="J65" s="23"/>
      <c r="K65" s="23"/>
      <c r="L65" s="23"/>
      <c r="M65" s="21"/>
      <c r="N65" s="52"/>
    </row>
    <row r="66" spans="1:14" s="19" customFormat="1" ht="16.5" x14ac:dyDescent="0.25">
      <c r="A66" s="15"/>
      <c r="B66" s="15"/>
      <c r="C66" s="15"/>
      <c r="D66" s="15"/>
      <c r="E66" s="15"/>
      <c r="F66" s="15"/>
      <c r="G66" s="22"/>
      <c r="H66" s="22"/>
      <c r="I66" s="22"/>
      <c r="J66" s="22"/>
      <c r="K66" s="22"/>
      <c r="L66" s="22"/>
      <c r="M66" s="22"/>
      <c r="N66" s="52"/>
    </row>
    <row r="67" spans="1:14" s="19" customFormat="1" ht="16.5" x14ac:dyDescent="0.25">
      <c r="A67" s="15"/>
      <c r="B67" s="15"/>
      <c r="C67" s="15"/>
      <c r="D67" s="15"/>
      <c r="E67" s="15"/>
      <c r="F67" s="15"/>
      <c r="G67" s="20"/>
      <c r="H67" s="20"/>
      <c r="I67" s="20"/>
      <c r="J67" s="20"/>
      <c r="K67" s="20"/>
      <c r="L67" s="20"/>
      <c r="M67" s="21"/>
      <c r="N67" s="52"/>
    </row>
    <row r="68" spans="1:14" s="19" customFormat="1" ht="16.5" x14ac:dyDescent="0.25">
      <c r="A68" s="15"/>
      <c r="B68" s="15"/>
      <c r="C68" s="15"/>
      <c r="D68" s="15"/>
      <c r="E68" s="15"/>
      <c r="F68" s="15"/>
      <c r="G68" s="22"/>
      <c r="H68" s="22"/>
      <c r="I68" s="22"/>
      <c r="J68" s="22"/>
      <c r="K68" s="22"/>
      <c r="L68" s="22"/>
      <c r="M68" s="22"/>
      <c r="N68" s="52"/>
    </row>
    <row r="69" spans="1:14" s="19" customFormat="1" ht="16.5" x14ac:dyDescent="0.25">
      <c r="A69" s="15"/>
      <c r="B69" s="15"/>
      <c r="C69" s="15"/>
      <c r="D69" s="15"/>
      <c r="E69" s="15"/>
      <c r="F69" s="15"/>
      <c r="G69" s="22"/>
      <c r="H69" s="22"/>
      <c r="I69" s="22"/>
      <c r="J69" s="22"/>
      <c r="K69" s="22"/>
      <c r="L69" s="22"/>
      <c r="M69" s="22"/>
      <c r="N69" s="52"/>
    </row>
    <row r="70" spans="1:14" s="19" customFormat="1" ht="16.5" x14ac:dyDescent="0.25">
      <c r="A70" s="15"/>
      <c r="B70" s="15"/>
      <c r="C70" s="15"/>
      <c r="D70" s="15"/>
      <c r="E70" s="15"/>
      <c r="F70" s="15"/>
      <c r="G70" s="20"/>
      <c r="H70" s="23"/>
      <c r="I70" s="23"/>
      <c r="J70" s="23"/>
      <c r="K70" s="23"/>
      <c r="L70" s="23"/>
      <c r="M70" s="21"/>
      <c r="N70" s="52"/>
    </row>
    <row r="71" spans="1:14" s="19" customFormat="1" ht="16.5" x14ac:dyDescent="0.25">
      <c r="A71" s="15"/>
      <c r="B71" s="15"/>
      <c r="C71" s="15"/>
      <c r="D71" s="15"/>
      <c r="E71" s="15"/>
      <c r="F71" s="15"/>
      <c r="G71" s="20"/>
      <c r="H71" s="20"/>
      <c r="I71" s="23"/>
      <c r="J71" s="23"/>
      <c r="K71" s="23"/>
      <c r="L71" s="23"/>
      <c r="M71" s="22"/>
      <c r="N71" s="52"/>
    </row>
    <row r="72" spans="1:14" s="19" customFormat="1" ht="16.5" x14ac:dyDescent="0.25">
      <c r="A72" s="15"/>
      <c r="B72" s="15"/>
      <c r="C72" s="15"/>
      <c r="D72" s="15"/>
      <c r="E72" s="15"/>
      <c r="F72" s="15"/>
      <c r="G72" s="22"/>
      <c r="H72" s="22"/>
      <c r="I72" s="22"/>
      <c r="J72" s="22"/>
      <c r="K72" s="22"/>
      <c r="L72" s="22"/>
      <c r="M72" s="22"/>
      <c r="N72" s="52"/>
    </row>
    <row r="73" spans="1:14" s="19" customFormat="1" ht="16.5" x14ac:dyDescent="0.25">
      <c r="A73" s="15"/>
      <c r="B73" s="15"/>
      <c r="C73" s="15"/>
      <c r="D73" s="15"/>
      <c r="E73" s="15"/>
      <c r="F73" s="15"/>
      <c r="G73" s="20"/>
      <c r="H73" s="20"/>
      <c r="I73" s="20"/>
      <c r="J73" s="20"/>
      <c r="K73" s="20"/>
      <c r="L73" s="20"/>
      <c r="M73" s="21"/>
      <c r="N73" s="52"/>
    </row>
    <row r="74" spans="1:14" s="15" customFormat="1" x14ac:dyDescent="0.25">
      <c r="G74" s="22"/>
      <c r="H74" s="22"/>
      <c r="I74" s="22"/>
      <c r="J74" s="22"/>
      <c r="K74" s="22"/>
      <c r="L74" s="22"/>
      <c r="M74" s="22"/>
      <c r="N74" s="52"/>
    </row>
    <row r="75" spans="1:14" s="15" customFormat="1" x14ac:dyDescent="0.25">
      <c r="G75" s="22"/>
      <c r="H75" s="22"/>
      <c r="I75" s="22"/>
      <c r="J75" s="22"/>
      <c r="K75" s="22"/>
      <c r="L75" s="22"/>
      <c r="M75" s="22"/>
      <c r="N75" s="52"/>
    </row>
    <row r="76" spans="1:14" s="15" customFormat="1" x14ac:dyDescent="0.25">
      <c r="G76" s="20"/>
      <c r="H76" s="23"/>
      <c r="I76" s="23"/>
      <c r="J76" s="23"/>
      <c r="K76" s="23"/>
      <c r="L76" s="23"/>
      <c r="M76" s="21"/>
      <c r="N76" s="52"/>
    </row>
    <row r="77" spans="1:14" s="15" customFormat="1" x14ac:dyDescent="0.25">
      <c r="G77" s="20"/>
      <c r="H77" s="23"/>
      <c r="I77" s="23"/>
      <c r="J77" s="23"/>
      <c r="K77" s="23"/>
      <c r="L77" s="23"/>
      <c r="M77" s="21"/>
      <c r="N77" s="52"/>
    </row>
    <row r="78" spans="1:14" s="15" customFormat="1" x14ac:dyDescent="0.25">
      <c r="G78" s="20"/>
      <c r="H78" s="20"/>
      <c r="I78" s="23"/>
      <c r="J78" s="23"/>
      <c r="K78" s="23"/>
      <c r="L78" s="23"/>
      <c r="M78" s="22"/>
      <c r="N78" s="52"/>
    </row>
    <row r="79" spans="1:14" s="15" customFormat="1" x14ac:dyDescent="0.25">
      <c r="G79" s="22"/>
      <c r="H79" s="22"/>
      <c r="I79" s="22"/>
      <c r="J79" s="22"/>
      <c r="K79" s="22"/>
      <c r="L79" s="22"/>
      <c r="M79" s="22"/>
      <c r="N79" s="52"/>
    </row>
    <row r="80" spans="1:14" s="15" customFormat="1" x14ac:dyDescent="0.25">
      <c r="G80" s="20"/>
      <c r="H80" s="20"/>
      <c r="I80" s="20"/>
      <c r="J80" s="20"/>
      <c r="K80" s="20"/>
      <c r="L80" s="20"/>
      <c r="M80" s="21"/>
      <c r="N80" s="52"/>
    </row>
    <row r="81" spans="7:14" s="15" customFormat="1" x14ac:dyDescent="0.25">
      <c r="G81" s="22"/>
      <c r="H81" s="22"/>
      <c r="I81" s="22"/>
      <c r="J81" s="22"/>
      <c r="K81" s="22"/>
      <c r="L81" s="22"/>
      <c r="M81" s="22"/>
      <c r="N81" s="52"/>
    </row>
    <row r="82" spans="7:14" s="15" customFormat="1" x14ac:dyDescent="0.25">
      <c r="G82" s="22"/>
      <c r="H82" s="22"/>
      <c r="I82" s="22"/>
      <c r="J82" s="22"/>
      <c r="K82" s="22"/>
      <c r="L82" s="22"/>
      <c r="M82" s="22"/>
      <c r="N82" s="52"/>
    </row>
    <row r="83" spans="7:14" s="15" customFormat="1" x14ac:dyDescent="0.25">
      <c r="G83" s="20"/>
      <c r="H83" s="23"/>
      <c r="I83" s="23"/>
      <c r="J83" s="23"/>
      <c r="K83" s="23"/>
      <c r="L83" s="23"/>
      <c r="M83" s="21"/>
      <c r="N83" s="52"/>
    </row>
    <row r="84" spans="7:14" s="15" customFormat="1" x14ac:dyDescent="0.25">
      <c r="G84" s="20"/>
      <c r="H84" s="23"/>
      <c r="I84" s="23"/>
      <c r="J84" s="23"/>
      <c r="K84" s="23"/>
      <c r="L84" s="23"/>
      <c r="M84" s="21"/>
      <c r="N84" s="52"/>
    </row>
    <row r="85" spans="7:14" s="15" customFormat="1" x14ac:dyDescent="0.25">
      <c r="G85" s="20"/>
      <c r="H85" s="23"/>
      <c r="I85" s="23"/>
      <c r="J85" s="23"/>
      <c r="K85" s="23"/>
      <c r="L85" s="23"/>
      <c r="M85" s="21"/>
      <c r="N85" s="52"/>
    </row>
    <row r="86" spans="7:14" s="15" customFormat="1" x14ac:dyDescent="0.25">
      <c r="G86" s="20"/>
      <c r="H86" s="20"/>
      <c r="I86" s="23"/>
      <c r="J86" s="23"/>
      <c r="K86" s="23"/>
      <c r="L86" s="23"/>
      <c r="M86" s="22"/>
      <c r="N86" s="52"/>
    </row>
    <row r="87" spans="7:14" s="15" customFormat="1" x14ac:dyDescent="0.25">
      <c r="G87" s="22"/>
      <c r="H87" s="22"/>
      <c r="I87" s="22"/>
      <c r="J87" s="22"/>
      <c r="K87" s="22"/>
      <c r="L87" s="22"/>
      <c r="M87" s="22"/>
      <c r="N87" s="52"/>
    </row>
    <row r="88" spans="7:14" s="15" customFormat="1" x14ac:dyDescent="0.25">
      <c r="G88" s="20"/>
      <c r="H88" s="20"/>
      <c r="I88" s="20"/>
      <c r="J88" s="20"/>
      <c r="K88" s="20"/>
      <c r="L88" s="20"/>
      <c r="M88" s="21"/>
      <c r="N88" s="52"/>
    </row>
    <row r="89" spans="7:14" s="15" customFormat="1" x14ac:dyDescent="0.25">
      <c r="G89" s="22"/>
      <c r="H89" s="22"/>
      <c r="I89" s="22"/>
      <c r="J89" s="22"/>
      <c r="K89" s="22"/>
      <c r="L89" s="22"/>
      <c r="M89" s="22"/>
      <c r="N89" s="52"/>
    </row>
    <row r="90" spans="7:14" s="15" customFormat="1" x14ac:dyDescent="0.25">
      <c r="G90" s="22"/>
      <c r="H90" s="22"/>
      <c r="I90" s="22"/>
      <c r="J90" s="22"/>
      <c r="K90" s="22"/>
      <c r="L90" s="22"/>
      <c r="M90" s="22"/>
      <c r="N90" s="52"/>
    </row>
    <row r="91" spans="7:14" s="15" customFormat="1" x14ac:dyDescent="0.25">
      <c r="G91" s="22"/>
      <c r="H91" s="22"/>
      <c r="I91" s="22"/>
      <c r="J91" s="22"/>
      <c r="K91" s="22"/>
      <c r="L91" s="22"/>
      <c r="M91" s="22"/>
      <c r="N91" s="52"/>
    </row>
    <row r="92" spans="7:14" s="15" customFormat="1" x14ac:dyDescent="0.25">
      <c r="G92" s="22"/>
      <c r="H92" s="22"/>
      <c r="I92" s="22"/>
      <c r="J92" s="22"/>
      <c r="K92" s="22"/>
      <c r="L92" s="22"/>
      <c r="M92" s="22"/>
      <c r="N92" s="52"/>
    </row>
    <row r="93" spans="7:14" s="15" customFormat="1" x14ac:dyDescent="0.25">
      <c r="G93" s="22"/>
      <c r="H93" s="22"/>
      <c r="I93" s="25"/>
      <c r="J93" s="25"/>
      <c r="K93" s="25"/>
      <c r="L93" s="25"/>
      <c r="M93" s="22"/>
      <c r="N93" s="52"/>
    </row>
    <row r="94" spans="7:14" s="15" customFormat="1" x14ac:dyDescent="0.25">
      <c r="G94" s="22"/>
      <c r="H94" s="22"/>
      <c r="I94" s="22"/>
      <c r="J94" s="22"/>
      <c r="K94" s="22"/>
      <c r="L94" s="22"/>
      <c r="M94" s="22"/>
      <c r="N94" s="52"/>
    </row>
    <row r="95" spans="7:14" s="15" customFormat="1" x14ac:dyDescent="0.25">
      <c r="G95" s="22"/>
      <c r="H95" s="22"/>
      <c r="I95" s="22"/>
      <c r="J95" s="22"/>
      <c r="K95" s="22"/>
      <c r="L95" s="22"/>
      <c r="M95" s="22"/>
      <c r="N95" s="52"/>
    </row>
    <row r="96" spans="7:14" s="15" customFormat="1" x14ac:dyDescent="0.25">
      <c r="G96" s="22"/>
      <c r="H96" s="22"/>
      <c r="I96" s="22"/>
      <c r="J96" s="22"/>
      <c r="K96" s="22"/>
      <c r="L96" s="22"/>
      <c r="M96" s="22"/>
      <c r="N96" s="52"/>
    </row>
    <row r="97" spans="7:14" s="15" customFormat="1" x14ac:dyDescent="0.25">
      <c r="G97" s="22"/>
      <c r="H97" s="22"/>
      <c r="I97" s="22"/>
      <c r="J97" s="22"/>
      <c r="K97" s="22"/>
      <c r="L97" s="22"/>
      <c r="M97" s="22"/>
      <c r="N97" s="54"/>
    </row>
    <row r="98" spans="7:14" s="15" customFormat="1" x14ac:dyDescent="0.25">
      <c r="G98" s="22"/>
      <c r="H98" s="22"/>
      <c r="I98" s="22"/>
      <c r="J98" s="22"/>
      <c r="K98" s="22"/>
      <c r="L98" s="22"/>
      <c r="M98" s="22"/>
      <c r="N98" s="54"/>
    </row>
    <row r="99" spans="7:14" s="15" customFormat="1" x14ac:dyDescent="0.25">
      <c r="G99" s="22"/>
      <c r="H99" s="22"/>
      <c r="I99" s="22"/>
      <c r="J99" s="22"/>
      <c r="K99" s="22"/>
      <c r="L99" s="22"/>
      <c r="M99" s="22"/>
      <c r="N99" s="54"/>
    </row>
    <row r="100" spans="7:14" s="15" customFormat="1" x14ac:dyDescent="0.25">
      <c r="G100" s="26"/>
      <c r="H100" s="26"/>
      <c r="I100" s="26"/>
      <c r="J100" s="26"/>
      <c r="K100" s="26"/>
      <c r="L100" s="26"/>
      <c r="N100" s="54"/>
    </row>
    <row r="101" spans="7:14" s="15" customFormat="1" x14ac:dyDescent="0.25">
      <c r="G101" s="26"/>
      <c r="H101" s="26"/>
      <c r="I101" s="26"/>
      <c r="J101" s="26"/>
      <c r="K101" s="26"/>
      <c r="L101" s="26"/>
      <c r="N101" s="54"/>
    </row>
    <row r="102" spans="7:14" s="15" customFormat="1" x14ac:dyDescent="0.25">
      <c r="G102" s="26"/>
      <c r="H102" s="26"/>
      <c r="I102" s="26"/>
      <c r="J102" s="26"/>
      <c r="K102" s="26"/>
      <c r="L102" s="26"/>
      <c r="N102" s="54"/>
    </row>
    <row r="103" spans="7:14" s="15" customFormat="1" x14ac:dyDescent="0.25">
      <c r="G103" s="26"/>
      <c r="H103" s="26"/>
      <c r="I103" s="26"/>
      <c r="J103" s="26"/>
      <c r="K103" s="26"/>
      <c r="L103" s="26"/>
      <c r="N103" s="54"/>
    </row>
  </sheetData>
  <dataConsolidate/>
  <mergeCells count="4">
    <mergeCell ref="A3:A8"/>
    <mergeCell ref="A28:N28"/>
    <mergeCell ref="A12:A15"/>
    <mergeCell ref="A1:N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  <pageSetUpPr fitToPage="1"/>
  </sheetPr>
  <dimension ref="A1:N100"/>
  <sheetViews>
    <sheetView view="pageBreakPreview" zoomScale="90" zoomScaleNormal="70" zoomScaleSheetLayoutView="90" workbookViewId="0">
      <selection sqref="A1:N1"/>
    </sheetView>
  </sheetViews>
  <sheetFormatPr defaultColWidth="54.28515625" defaultRowHeight="15" x14ac:dyDescent="0.25"/>
  <cols>
    <col min="1" max="1" width="8.7109375" style="15" customWidth="1"/>
    <col min="2" max="2" width="15.42578125" style="15" bestFit="1" customWidth="1"/>
    <col min="3" max="3" width="6" style="15" bestFit="1" customWidth="1"/>
    <col min="4" max="4" width="28.140625" style="15" bestFit="1" customWidth="1"/>
    <col min="5" max="5" width="18.85546875" style="15" bestFit="1" customWidth="1"/>
    <col min="6" max="6" width="17.28515625" style="15" bestFit="1" customWidth="1"/>
    <col min="7" max="7" width="13.140625" style="26" bestFit="1" customWidth="1"/>
    <col min="8" max="8" width="11.85546875" style="26" bestFit="1" customWidth="1"/>
    <col min="9" max="9" width="26.28515625" style="26" bestFit="1" customWidth="1"/>
    <col min="10" max="10" width="13.5703125" style="26" bestFit="1" customWidth="1"/>
    <col min="11" max="11" width="9.42578125" style="26" bestFit="1" customWidth="1"/>
    <col min="12" max="12" width="13" style="26" bestFit="1" customWidth="1"/>
    <col min="13" max="13" width="27.85546875" style="15" bestFit="1" customWidth="1"/>
    <col min="14" max="14" width="30" style="55" bestFit="1" customWidth="1" collapsed="1"/>
    <col min="15" max="16384" width="54.28515625" style="3"/>
  </cols>
  <sheetData>
    <row r="1" spans="1:14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54" x14ac:dyDescent="0.25">
      <c r="A2" s="57"/>
      <c r="B2" s="2" t="s">
        <v>102</v>
      </c>
      <c r="C2" s="2" t="s">
        <v>12</v>
      </c>
      <c r="D2" s="2" t="s">
        <v>3</v>
      </c>
      <c r="E2" s="2" t="s">
        <v>101</v>
      </c>
      <c r="F2" s="2" t="s">
        <v>5</v>
      </c>
      <c r="G2" s="2" t="s">
        <v>0</v>
      </c>
      <c r="H2" s="2" t="s">
        <v>1</v>
      </c>
      <c r="I2" s="2" t="s">
        <v>14</v>
      </c>
      <c r="J2" s="2" t="s">
        <v>98</v>
      </c>
      <c r="K2" s="2" t="s">
        <v>21</v>
      </c>
      <c r="L2" s="2" t="s">
        <v>22</v>
      </c>
      <c r="M2" s="2" t="s">
        <v>7</v>
      </c>
      <c r="N2" s="2" t="s">
        <v>23</v>
      </c>
    </row>
    <row r="3" spans="1:14" s="32" customFormat="1" ht="16.5" x14ac:dyDescent="0.25">
      <c r="A3" s="139" t="s">
        <v>35</v>
      </c>
      <c r="B3" s="6" t="s">
        <v>26</v>
      </c>
      <c r="C3" s="27">
        <v>1</v>
      </c>
      <c r="D3" s="5" t="s">
        <v>15</v>
      </c>
      <c r="E3" s="6">
        <v>43185</v>
      </c>
      <c r="F3" s="7">
        <v>43189</v>
      </c>
      <c r="G3" s="7">
        <v>43194</v>
      </c>
      <c r="H3" s="7">
        <v>43922</v>
      </c>
      <c r="I3" s="8" t="s">
        <v>30</v>
      </c>
      <c r="J3" s="28">
        <v>728</v>
      </c>
      <c r="K3" s="9" t="s">
        <v>6</v>
      </c>
      <c r="L3" s="29">
        <v>1.2</v>
      </c>
      <c r="M3" s="30">
        <v>197341.35</v>
      </c>
      <c r="N3" s="31">
        <f t="shared" ref="N3:N7" si="0">+M3*1000</f>
        <v>197341350</v>
      </c>
    </row>
    <row r="4" spans="1:14" s="32" customFormat="1" ht="16.5" x14ac:dyDescent="0.25">
      <c r="A4" s="140"/>
      <c r="B4" s="12" t="s">
        <v>27</v>
      </c>
      <c r="C4" s="13">
        <v>2</v>
      </c>
      <c r="D4" s="11" t="s">
        <v>15</v>
      </c>
      <c r="E4" s="12">
        <v>43192</v>
      </c>
      <c r="F4" s="12">
        <v>43196</v>
      </c>
      <c r="G4" s="12">
        <v>43201</v>
      </c>
      <c r="H4" s="12">
        <v>43929</v>
      </c>
      <c r="I4" s="10" t="s">
        <v>31</v>
      </c>
      <c r="J4" s="33">
        <v>728</v>
      </c>
      <c r="K4" s="14" t="s">
        <v>6</v>
      </c>
      <c r="L4" s="10">
        <v>1.2</v>
      </c>
      <c r="M4" s="34">
        <v>214832.848</v>
      </c>
      <c r="N4" s="35">
        <f t="shared" si="0"/>
        <v>214832848</v>
      </c>
    </row>
    <row r="5" spans="1:14" s="32" customFormat="1" ht="16.5" x14ac:dyDescent="0.25">
      <c r="A5" s="140"/>
      <c r="B5" s="78" t="s">
        <v>28</v>
      </c>
      <c r="C5" s="94">
        <v>3</v>
      </c>
      <c r="D5" s="77" t="s">
        <v>15</v>
      </c>
      <c r="E5" s="78">
        <v>43199</v>
      </c>
      <c r="F5" s="79">
        <v>43203</v>
      </c>
      <c r="G5" s="79">
        <v>43208</v>
      </c>
      <c r="H5" s="79">
        <v>43936</v>
      </c>
      <c r="I5" s="82" t="s">
        <v>32</v>
      </c>
      <c r="J5" s="95">
        <v>728</v>
      </c>
      <c r="K5" s="83" t="s">
        <v>6</v>
      </c>
      <c r="L5" s="96">
        <v>1.2</v>
      </c>
      <c r="M5" s="97">
        <v>311782.04399999999</v>
      </c>
      <c r="N5" s="98">
        <f t="shared" si="0"/>
        <v>311782044</v>
      </c>
    </row>
    <row r="6" spans="1:14" s="32" customFormat="1" ht="16.5" x14ac:dyDescent="0.25">
      <c r="A6" s="141"/>
      <c r="B6" s="12" t="s">
        <v>29</v>
      </c>
      <c r="C6" s="13">
        <v>4</v>
      </c>
      <c r="D6" s="11" t="s">
        <v>15</v>
      </c>
      <c r="E6" s="12">
        <v>43206</v>
      </c>
      <c r="F6" s="12">
        <v>43210</v>
      </c>
      <c r="G6" s="12">
        <v>43215</v>
      </c>
      <c r="H6" s="12">
        <v>43943</v>
      </c>
      <c r="I6" s="10" t="s">
        <v>33</v>
      </c>
      <c r="J6" s="33">
        <v>728</v>
      </c>
      <c r="K6" s="14" t="s">
        <v>6</v>
      </c>
      <c r="L6" s="10">
        <v>1.2</v>
      </c>
      <c r="M6" s="34">
        <v>389469.962</v>
      </c>
      <c r="N6" s="35">
        <f t="shared" si="0"/>
        <v>389469962</v>
      </c>
    </row>
    <row r="7" spans="1:14" ht="14.25" customHeigh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56"/>
      <c r="L7" s="84" t="s">
        <v>25</v>
      </c>
      <c r="M7" s="86">
        <f>+M3+M4+M5+M6</f>
        <v>1113426.2039999999</v>
      </c>
      <c r="N7" s="85">
        <f t="shared" si="0"/>
        <v>1113426204</v>
      </c>
    </row>
    <row r="8" spans="1:14" ht="14.25" customHeight="1" x14ac:dyDescent="0.25">
      <c r="A8" s="56"/>
      <c r="B8" s="16"/>
      <c r="C8" s="16"/>
      <c r="D8" s="16"/>
      <c r="E8" s="16"/>
      <c r="F8" s="16"/>
      <c r="G8" s="16"/>
      <c r="H8" s="16"/>
      <c r="I8" s="16"/>
      <c r="J8" s="16"/>
      <c r="K8" s="16"/>
      <c r="L8" s="36"/>
      <c r="M8" s="36"/>
      <c r="N8" s="36"/>
    </row>
    <row r="9" spans="1:14" ht="54" x14ac:dyDescent="0.25">
      <c r="A9" s="57"/>
      <c r="B9" s="2" t="s">
        <v>102</v>
      </c>
      <c r="C9" s="2" t="s">
        <v>12</v>
      </c>
      <c r="D9" s="2" t="s">
        <v>3</v>
      </c>
      <c r="E9" s="2" t="s">
        <v>4</v>
      </c>
      <c r="F9" s="2" t="s">
        <v>5</v>
      </c>
      <c r="G9" s="2" t="s">
        <v>0</v>
      </c>
      <c r="H9" s="2" t="s">
        <v>1</v>
      </c>
      <c r="I9" s="2" t="s">
        <v>14</v>
      </c>
      <c r="J9" s="2" t="s">
        <v>2</v>
      </c>
      <c r="K9" s="2" t="s">
        <v>21</v>
      </c>
      <c r="L9" s="2" t="s">
        <v>22</v>
      </c>
      <c r="M9" s="2" t="s">
        <v>7</v>
      </c>
      <c r="N9" s="2" t="s">
        <v>23</v>
      </c>
    </row>
    <row r="10" spans="1:14" s="32" customFormat="1" ht="16.5" x14ac:dyDescent="0.25">
      <c r="A10" s="139" t="s">
        <v>36</v>
      </c>
      <c r="B10" s="6" t="s">
        <v>37</v>
      </c>
      <c r="C10" s="27">
        <v>1</v>
      </c>
      <c r="D10" s="5" t="s">
        <v>15</v>
      </c>
      <c r="E10" s="6">
        <v>43353</v>
      </c>
      <c r="F10" s="7">
        <v>43357</v>
      </c>
      <c r="G10" s="7">
        <v>43362</v>
      </c>
      <c r="H10" s="7">
        <v>44090</v>
      </c>
      <c r="I10" s="8" t="s">
        <v>44</v>
      </c>
      <c r="J10" s="28">
        <v>728</v>
      </c>
      <c r="K10" s="9" t="s">
        <v>6</v>
      </c>
      <c r="L10" s="29">
        <v>1.2</v>
      </c>
      <c r="M10" s="30">
        <v>190660.454</v>
      </c>
      <c r="N10" s="31">
        <f t="shared" ref="N10:N17" si="1">+M10*1000</f>
        <v>190660454</v>
      </c>
    </row>
    <row r="11" spans="1:14" s="32" customFormat="1" ht="16.5" x14ac:dyDescent="0.25">
      <c r="A11" s="140"/>
      <c r="B11" s="12" t="s">
        <v>38</v>
      </c>
      <c r="C11" s="13">
        <v>2</v>
      </c>
      <c r="D11" s="11" t="s">
        <v>15</v>
      </c>
      <c r="E11" s="12">
        <v>43360</v>
      </c>
      <c r="F11" s="12">
        <v>43364</v>
      </c>
      <c r="G11" s="12">
        <v>43369</v>
      </c>
      <c r="H11" s="12">
        <v>44097</v>
      </c>
      <c r="I11" s="10" t="s">
        <v>45</v>
      </c>
      <c r="J11" s="33">
        <v>728</v>
      </c>
      <c r="K11" s="14" t="s">
        <v>6</v>
      </c>
      <c r="L11" s="10">
        <v>1.2</v>
      </c>
      <c r="M11" s="34">
        <v>193587.511</v>
      </c>
      <c r="N11" s="35">
        <f t="shared" si="1"/>
        <v>193587511</v>
      </c>
    </row>
    <row r="12" spans="1:14" s="32" customFormat="1" ht="16.5" x14ac:dyDescent="0.25">
      <c r="A12" s="140"/>
      <c r="B12" s="6" t="s">
        <v>39</v>
      </c>
      <c r="C12" s="27">
        <v>3</v>
      </c>
      <c r="D12" s="5" t="s">
        <v>15</v>
      </c>
      <c r="E12" s="6">
        <v>43367</v>
      </c>
      <c r="F12" s="7">
        <v>43371</v>
      </c>
      <c r="G12" s="7">
        <v>43376</v>
      </c>
      <c r="H12" s="7">
        <v>44104</v>
      </c>
      <c r="I12" s="8" t="s">
        <v>46</v>
      </c>
      <c r="J12" s="28">
        <v>728</v>
      </c>
      <c r="K12" s="9" t="s">
        <v>6</v>
      </c>
      <c r="L12" s="29">
        <v>1.2</v>
      </c>
      <c r="M12" s="30">
        <v>176683.42199999999</v>
      </c>
      <c r="N12" s="31">
        <f t="shared" si="1"/>
        <v>176683422</v>
      </c>
    </row>
    <row r="13" spans="1:14" s="32" customFormat="1" ht="16.5" x14ac:dyDescent="0.25">
      <c r="A13" s="140"/>
      <c r="B13" s="12" t="s">
        <v>40</v>
      </c>
      <c r="C13" s="13">
        <v>4</v>
      </c>
      <c r="D13" s="11" t="s">
        <v>15</v>
      </c>
      <c r="E13" s="12">
        <v>43374</v>
      </c>
      <c r="F13" s="12">
        <v>43378</v>
      </c>
      <c r="G13" s="12">
        <v>43383</v>
      </c>
      <c r="H13" s="12">
        <v>44111</v>
      </c>
      <c r="I13" s="10" t="s">
        <v>47</v>
      </c>
      <c r="J13" s="33">
        <v>728</v>
      </c>
      <c r="K13" s="14" t="s">
        <v>6</v>
      </c>
      <c r="L13" s="10">
        <v>1.2</v>
      </c>
      <c r="M13" s="34">
        <v>187354.79800000001</v>
      </c>
      <c r="N13" s="35">
        <f t="shared" si="1"/>
        <v>187354798</v>
      </c>
    </row>
    <row r="14" spans="1:14" s="32" customFormat="1" ht="16.5" x14ac:dyDescent="0.25">
      <c r="A14" s="140"/>
      <c r="B14" s="6" t="s">
        <v>41</v>
      </c>
      <c r="C14" s="27">
        <v>5</v>
      </c>
      <c r="D14" s="5" t="s">
        <v>15</v>
      </c>
      <c r="E14" s="6">
        <v>43381</v>
      </c>
      <c r="F14" s="7">
        <v>43385</v>
      </c>
      <c r="G14" s="7">
        <v>43390</v>
      </c>
      <c r="H14" s="7">
        <v>44118</v>
      </c>
      <c r="I14" s="8" t="s">
        <v>48</v>
      </c>
      <c r="J14" s="28">
        <v>728</v>
      </c>
      <c r="K14" s="9" t="s">
        <v>6</v>
      </c>
      <c r="L14" s="29">
        <v>1.2</v>
      </c>
      <c r="M14" s="30">
        <v>185824.78599999999</v>
      </c>
      <c r="N14" s="31">
        <f t="shared" si="1"/>
        <v>185824786</v>
      </c>
    </row>
    <row r="15" spans="1:14" s="32" customFormat="1" ht="16.5" x14ac:dyDescent="0.25">
      <c r="A15" s="140"/>
      <c r="B15" s="99" t="s">
        <v>42</v>
      </c>
      <c r="C15" s="100">
        <v>6</v>
      </c>
      <c r="D15" s="101" t="s">
        <v>15</v>
      </c>
      <c r="E15" s="99">
        <v>43388</v>
      </c>
      <c r="F15" s="99">
        <v>43392</v>
      </c>
      <c r="G15" s="99">
        <v>43397</v>
      </c>
      <c r="H15" s="99">
        <v>44125</v>
      </c>
      <c r="I15" s="102" t="s">
        <v>49</v>
      </c>
      <c r="J15" s="103">
        <v>728</v>
      </c>
      <c r="K15" s="104" t="s">
        <v>6</v>
      </c>
      <c r="L15" s="102">
        <v>1.2</v>
      </c>
      <c r="M15" s="105">
        <v>158065.91099999999</v>
      </c>
      <c r="N15" s="106">
        <f t="shared" si="1"/>
        <v>158065911</v>
      </c>
    </row>
    <row r="16" spans="1:14" s="32" customFormat="1" ht="16.5" x14ac:dyDescent="0.25">
      <c r="A16" s="141"/>
      <c r="B16" s="6" t="s">
        <v>43</v>
      </c>
      <c r="C16" s="27">
        <v>7</v>
      </c>
      <c r="D16" s="5" t="s">
        <v>15</v>
      </c>
      <c r="E16" s="6">
        <v>43395</v>
      </c>
      <c r="F16" s="7">
        <v>43399</v>
      </c>
      <c r="G16" s="7">
        <v>43404</v>
      </c>
      <c r="H16" s="7">
        <v>44132</v>
      </c>
      <c r="I16" s="8" t="s">
        <v>50</v>
      </c>
      <c r="J16" s="28">
        <v>728</v>
      </c>
      <c r="K16" s="9" t="s">
        <v>6</v>
      </c>
      <c r="L16" s="29">
        <v>1.2</v>
      </c>
      <c r="M16" s="30">
        <v>179928.005</v>
      </c>
      <c r="N16" s="31">
        <f t="shared" si="1"/>
        <v>179928005</v>
      </c>
    </row>
    <row r="17" spans="1:14" ht="14.25" customHeigh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56"/>
      <c r="L17" s="84" t="s">
        <v>25</v>
      </c>
      <c r="M17" s="86">
        <f>+M10+M11+M12+M13+M14+M15+M16</f>
        <v>1272104.8870000001</v>
      </c>
      <c r="N17" s="85">
        <f t="shared" si="1"/>
        <v>1272104887</v>
      </c>
    </row>
    <row r="18" spans="1:14" ht="14.25" customHeight="1" x14ac:dyDescent="0.25">
      <c r="A18" s="5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6"/>
      <c r="M18" s="36"/>
      <c r="N18" s="36"/>
    </row>
    <row r="19" spans="1:14" ht="54" x14ac:dyDescent="0.25">
      <c r="A19" s="57"/>
      <c r="B19" s="107" t="s">
        <v>102</v>
      </c>
      <c r="C19" s="107" t="s">
        <v>12</v>
      </c>
      <c r="D19" s="107" t="s">
        <v>3</v>
      </c>
      <c r="E19" s="107" t="s">
        <v>4</v>
      </c>
      <c r="F19" s="107" t="s">
        <v>5</v>
      </c>
      <c r="G19" s="107" t="s">
        <v>0</v>
      </c>
      <c r="H19" s="107" t="s">
        <v>1</v>
      </c>
      <c r="I19" s="107" t="s">
        <v>14</v>
      </c>
      <c r="J19" s="107" t="s">
        <v>2</v>
      </c>
      <c r="K19" s="107" t="s">
        <v>21</v>
      </c>
      <c r="L19" s="107" t="s">
        <v>22</v>
      </c>
      <c r="M19" s="107" t="s">
        <v>7</v>
      </c>
      <c r="N19" s="107" t="s">
        <v>23</v>
      </c>
    </row>
    <row r="20" spans="1:14" s="32" customFormat="1" ht="45" x14ac:dyDescent="0.25">
      <c r="A20" s="108" t="s">
        <v>51</v>
      </c>
      <c r="B20" s="6" t="s">
        <v>52</v>
      </c>
      <c r="C20" s="27">
        <v>1</v>
      </c>
      <c r="D20" s="5" t="s">
        <v>15</v>
      </c>
      <c r="E20" s="6">
        <v>43451</v>
      </c>
      <c r="F20" s="7">
        <v>43455</v>
      </c>
      <c r="G20" s="7">
        <v>43460</v>
      </c>
      <c r="H20" s="7">
        <v>44188</v>
      </c>
      <c r="I20" s="8" t="s">
        <v>53</v>
      </c>
      <c r="J20" s="28">
        <v>728</v>
      </c>
      <c r="K20" s="9" t="s">
        <v>6</v>
      </c>
      <c r="L20" s="29">
        <v>1.2</v>
      </c>
      <c r="M20" s="30">
        <v>100215.651</v>
      </c>
      <c r="N20" s="31">
        <f t="shared" ref="N20:N21" si="2">+M20*1000</f>
        <v>100215651</v>
      </c>
    </row>
    <row r="21" spans="1:14" ht="14.25" customHeight="1" x14ac:dyDescent="0.25">
      <c r="A21" s="56"/>
      <c r="B21" s="36"/>
      <c r="C21" s="36"/>
      <c r="D21" s="36"/>
      <c r="E21" s="36"/>
      <c r="F21" s="36"/>
      <c r="G21" s="36"/>
      <c r="H21" s="36"/>
      <c r="I21" s="36"/>
      <c r="J21" s="36"/>
      <c r="K21" s="56"/>
      <c r="L21" s="84" t="s">
        <v>25</v>
      </c>
      <c r="M21" s="86">
        <f>+M20</f>
        <v>100215.651</v>
      </c>
      <c r="N21" s="85">
        <f t="shared" si="2"/>
        <v>100215651</v>
      </c>
    </row>
    <row r="22" spans="1:14" ht="14.25" customHeight="1" x14ac:dyDescent="0.25">
      <c r="A22" s="5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36"/>
      <c r="M22" s="36"/>
      <c r="N22" s="36"/>
    </row>
    <row r="23" spans="1:14" ht="14.25" customHeight="1" x14ac:dyDescent="0.25">
      <c r="A23" s="5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57"/>
      <c r="M23" s="57"/>
      <c r="N23" s="57"/>
    </row>
    <row r="24" spans="1:14" ht="30" x14ac:dyDescent="0.25">
      <c r="A24" s="17"/>
      <c r="B24" s="45"/>
      <c r="C24" s="46"/>
      <c r="D24" s="46"/>
      <c r="E24" s="46"/>
      <c r="F24" s="47"/>
      <c r="G24" s="48"/>
      <c r="H24" s="49"/>
      <c r="I24" s="49"/>
      <c r="J24" s="49"/>
      <c r="K24" s="88"/>
      <c r="L24" s="84" t="s">
        <v>34</v>
      </c>
      <c r="M24" s="86">
        <f>+M7+M17+M21</f>
        <v>2485746.7420000001</v>
      </c>
      <c r="N24" s="85">
        <f t="shared" ref="N24" si="3">+M24*1000</f>
        <v>2485746742</v>
      </c>
    </row>
    <row r="25" spans="1:14" ht="14.25" customHeight="1" x14ac:dyDescent="0.25">
      <c r="A25" s="50" t="s">
        <v>24</v>
      </c>
      <c r="B25" s="45"/>
      <c r="C25" s="45"/>
      <c r="D25" s="46"/>
      <c r="E25" s="46"/>
      <c r="F25" s="46"/>
      <c r="G25" s="47"/>
      <c r="H25" s="51"/>
      <c r="I25" s="49"/>
      <c r="J25" s="49"/>
      <c r="K25" s="49"/>
      <c r="L25" s="89"/>
      <c r="M25" s="90"/>
      <c r="N25" s="91"/>
    </row>
    <row r="26" spans="1:14" s="19" customFormat="1" ht="16.5" x14ac:dyDescent="0.25">
      <c r="A26" s="15"/>
      <c r="B26" s="15"/>
      <c r="C26" s="15"/>
      <c r="D26" s="15"/>
      <c r="E26" s="15"/>
      <c r="F26" s="15"/>
      <c r="G26" s="20"/>
      <c r="H26" s="20"/>
      <c r="I26" s="20"/>
      <c r="J26" s="20"/>
      <c r="K26" s="20"/>
      <c r="L26" s="20"/>
      <c r="M26" s="21"/>
      <c r="N26" s="52"/>
    </row>
    <row r="27" spans="1:14" s="19" customFormat="1" ht="16.5" x14ac:dyDescent="0.25">
      <c r="A27" s="15"/>
      <c r="B27" s="15"/>
      <c r="C27" s="15"/>
      <c r="D27" s="15"/>
      <c r="E27" s="15"/>
      <c r="F27" s="15"/>
      <c r="G27" s="22"/>
      <c r="H27" s="22"/>
      <c r="I27" s="22"/>
      <c r="J27" s="22"/>
      <c r="K27" s="22"/>
      <c r="L27" s="22"/>
      <c r="M27" s="22"/>
      <c r="N27" s="52"/>
    </row>
    <row r="28" spans="1:14" s="19" customFormat="1" ht="16.5" x14ac:dyDescent="0.25">
      <c r="A28" s="15"/>
      <c r="B28" s="15"/>
      <c r="C28" s="15"/>
      <c r="D28" s="15"/>
      <c r="E28" s="15"/>
      <c r="F28" s="15"/>
      <c r="G28" s="22"/>
      <c r="H28" s="22"/>
      <c r="I28" s="22"/>
      <c r="J28" s="22"/>
      <c r="K28" s="22"/>
      <c r="L28" s="22"/>
      <c r="M28" s="22"/>
      <c r="N28" s="52"/>
    </row>
    <row r="29" spans="1:14" s="19" customFormat="1" ht="16.5" x14ac:dyDescent="0.25">
      <c r="A29" s="15"/>
      <c r="B29" s="15"/>
      <c r="C29" s="15"/>
      <c r="D29" s="15"/>
      <c r="E29" s="15"/>
      <c r="F29" s="15"/>
      <c r="G29" s="20"/>
      <c r="H29" s="23"/>
      <c r="I29" s="23"/>
      <c r="J29" s="23"/>
      <c r="K29" s="23"/>
      <c r="L29" s="23"/>
      <c r="M29" s="21"/>
      <c r="N29" s="53"/>
    </row>
    <row r="30" spans="1:14" s="19" customFormat="1" ht="16.5" x14ac:dyDescent="0.25">
      <c r="A30" s="15"/>
      <c r="B30" s="15"/>
      <c r="C30" s="15"/>
      <c r="D30" s="15"/>
      <c r="E30" s="15"/>
      <c r="F30" s="15"/>
      <c r="G30" s="20"/>
      <c r="H30" s="20"/>
      <c r="I30" s="23"/>
      <c r="J30" s="23"/>
      <c r="K30" s="23"/>
      <c r="L30" s="23"/>
      <c r="M30" s="22"/>
      <c r="N30" s="52"/>
    </row>
    <row r="31" spans="1:14" s="19" customFormat="1" ht="16.5" x14ac:dyDescent="0.25">
      <c r="A31" s="15"/>
      <c r="B31" s="15"/>
      <c r="C31" s="15"/>
      <c r="D31" s="15"/>
      <c r="E31" s="15"/>
      <c r="F31" s="15"/>
      <c r="G31" s="20"/>
      <c r="H31" s="23"/>
      <c r="I31" s="23"/>
      <c r="J31" s="23"/>
      <c r="K31" s="23"/>
      <c r="L31" s="23"/>
      <c r="M31" s="21"/>
      <c r="N31" s="52"/>
    </row>
    <row r="32" spans="1:14" s="19" customFormat="1" ht="16.5" x14ac:dyDescent="0.25">
      <c r="A32" s="15"/>
      <c r="B32" s="15"/>
      <c r="C32" s="15"/>
      <c r="D32" s="15"/>
      <c r="E32" s="15"/>
      <c r="F32" s="15"/>
      <c r="G32" s="22"/>
      <c r="H32" s="22"/>
      <c r="I32" s="22"/>
      <c r="J32" s="22"/>
      <c r="K32" s="22"/>
      <c r="L32" s="22"/>
      <c r="M32" s="22"/>
      <c r="N32" s="52"/>
    </row>
    <row r="33" spans="1:14" s="19" customFormat="1" ht="16.5" x14ac:dyDescent="0.25">
      <c r="A33" s="15"/>
      <c r="B33" s="15"/>
      <c r="C33" s="15"/>
      <c r="D33" s="15"/>
      <c r="E33" s="15"/>
      <c r="F33" s="15"/>
      <c r="G33" s="20"/>
      <c r="H33" s="20"/>
      <c r="I33" s="20"/>
      <c r="J33" s="20"/>
      <c r="K33" s="20"/>
      <c r="L33" s="20"/>
      <c r="M33" s="21"/>
      <c r="N33" s="52"/>
    </row>
    <row r="34" spans="1:14" s="19" customFormat="1" ht="16.5" x14ac:dyDescent="0.25">
      <c r="A34" s="15"/>
      <c r="B34" s="15"/>
      <c r="C34" s="15"/>
      <c r="D34" s="15"/>
      <c r="E34" s="15"/>
      <c r="F34" s="15"/>
      <c r="G34" s="20"/>
      <c r="H34" s="20"/>
      <c r="I34" s="20"/>
      <c r="J34" s="20"/>
      <c r="K34" s="20"/>
      <c r="L34" s="20"/>
      <c r="M34" s="21"/>
      <c r="N34" s="52"/>
    </row>
    <row r="35" spans="1:14" s="19" customFormat="1" ht="16.5" x14ac:dyDescent="0.25">
      <c r="A35" s="15"/>
      <c r="B35" s="15"/>
      <c r="C35" s="15"/>
      <c r="D35" s="15"/>
      <c r="E35" s="15"/>
      <c r="F35" s="15"/>
      <c r="G35" s="20"/>
      <c r="H35" s="20"/>
      <c r="I35" s="20"/>
      <c r="J35" s="20"/>
      <c r="K35" s="20"/>
      <c r="L35" s="20"/>
      <c r="M35" s="21"/>
      <c r="N35" s="52"/>
    </row>
    <row r="36" spans="1:14" s="19" customFormat="1" ht="16.5" x14ac:dyDescent="0.25">
      <c r="A36" s="15"/>
      <c r="B36" s="15"/>
      <c r="C36" s="15"/>
      <c r="D36" s="15"/>
      <c r="E36" s="15"/>
      <c r="F36" s="15"/>
      <c r="G36" s="20"/>
      <c r="H36" s="20"/>
      <c r="I36" s="20"/>
      <c r="J36" s="20"/>
      <c r="K36" s="20"/>
      <c r="L36" s="20"/>
      <c r="M36" s="21"/>
      <c r="N36" s="52"/>
    </row>
    <row r="37" spans="1:14" s="19" customFormat="1" ht="16.5" x14ac:dyDescent="0.25">
      <c r="A37" s="15"/>
      <c r="B37" s="15"/>
      <c r="C37" s="15"/>
      <c r="D37" s="15"/>
      <c r="E37" s="15"/>
      <c r="F37" s="15"/>
      <c r="G37" s="22"/>
      <c r="H37" s="22"/>
      <c r="I37" s="22"/>
      <c r="J37" s="22"/>
      <c r="K37" s="22"/>
      <c r="L37" s="22"/>
      <c r="M37" s="22"/>
      <c r="N37" s="52"/>
    </row>
    <row r="38" spans="1:14" s="19" customFormat="1" ht="16.5" x14ac:dyDescent="0.25">
      <c r="A38" s="15"/>
      <c r="B38" s="15"/>
      <c r="C38" s="15"/>
      <c r="D38" s="15"/>
      <c r="E38" s="15"/>
      <c r="F38" s="15"/>
      <c r="G38" s="20"/>
      <c r="H38" s="23"/>
      <c r="I38" s="23"/>
      <c r="J38" s="23"/>
      <c r="K38" s="23"/>
      <c r="L38" s="23"/>
      <c r="M38" s="21"/>
      <c r="N38" s="52"/>
    </row>
    <row r="39" spans="1:14" s="19" customFormat="1" ht="16.5" x14ac:dyDescent="0.25">
      <c r="A39" s="15"/>
      <c r="B39" s="15"/>
      <c r="C39" s="15"/>
      <c r="D39" s="15"/>
      <c r="E39" s="15"/>
      <c r="F39" s="15"/>
      <c r="G39" s="20"/>
      <c r="H39" s="20"/>
      <c r="I39" s="23"/>
      <c r="J39" s="23"/>
      <c r="K39" s="23"/>
      <c r="L39" s="23"/>
      <c r="M39" s="22"/>
      <c r="N39" s="52"/>
    </row>
    <row r="40" spans="1:14" s="19" customFormat="1" ht="16.5" x14ac:dyDescent="0.25">
      <c r="A40" s="15"/>
      <c r="B40" s="15"/>
      <c r="C40" s="15"/>
      <c r="D40" s="15"/>
      <c r="E40" s="15"/>
      <c r="F40" s="15"/>
      <c r="G40" s="20"/>
      <c r="H40" s="23"/>
      <c r="I40" s="23"/>
      <c r="J40" s="23"/>
      <c r="K40" s="23"/>
      <c r="L40" s="23"/>
      <c r="M40" s="21"/>
      <c r="N40" s="52"/>
    </row>
    <row r="41" spans="1:14" s="19" customFormat="1" ht="16.5" x14ac:dyDescent="0.25">
      <c r="A41" s="15"/>
      <c r="B41" s="15"/>
      <c r="C41" s="15"/>
      <c r="D41" s="15"/>
      <c r="E41" s="15"/>
      <c r="F41" s="15"/>
      <c r="G41" s="22"/>
      <c r="H41" s="22"/>
      <c r="I41" s="22"/>
      <c r="J41" s="22"/>
      <c r="K41" s="22"/>
      <c r="L41" s="22"/>
      <c r="M41" s="22"/>
      <c r="N41" s="52"/>
    </row>
    <row r="42" spans="1:14" s="19" customFormat="1" ht="16.5" x14ac:dyDescent="0.25">
      <c r="A42" s="15"/>
      <c r="B42" s="15"/>
      <c r="C42" s="15"/>
      <c r="D42" s="15"/>
      <c r="E42" s="15"/>
      <c r="F42" s="15"/>
      <c r="G42" s="20"/>
      <c r="H42" s="20"/>
      <c r="I42" s="20"/>
      <c r="J42" s="20"/>
      <c r="K42" s="20"/>
      <c r="L42" s="20"/>
      <c r="M42" s="21"/>
      <c r="N42" s="52"/>
    </row>
    <row r="43" spans="1:14" s="19" customFormat="1" ht="16.5" x14ac:dyDescent="0.25">
      <c r="A43" s="15"/>
      <c r="B43" s="15"/>
      <c r="C43" s="15"/>
      <c r="D43" s="15"/>
      <c r="E43" s="15"/>
      <c r="F43" s="15"/>
      <c r="G43" s="22"/>
      <c r="H43" s="22"/>
      <c r="I43" s="22"/>
      <c r="J43" s="22"/>
      <c r="K43" s="22"/>
      <c r="L43" s="22"/>
      <c r="M43" s="22"/>
      <c r="N43" s="52"/>
    </row>
    <row r="44" spans="1:14" s="19" customFormat="1" ht="16.5" x14ac:dyDescent="0.25">
      <c r="A44" s="15"/>
      <c r="B44" s="15"/>
      <c r="C44" s="15"/>
      <c r="D44" s="15"/>
      <c r="E44" s="15"/>
      <c r="F44" s="15"/>
      <c r="G44" s="22"/>
      <c r="H44" s="22"/>
      <c r="I44" s="22"/>
      <c r="J44" s="22"/>
      <c r="K44" s="22"/>
      <c r="L44" s="22"/>
      <c r="M44" s="22"/>
      <c r="N44" s="52"/>
    </row>
    <row r="45" spans="1:14" s="19" customFormat="1" ht="16.5" x14ac:dyDescent="0.25">
      <c r="A45" s="15"/>
      <c r="B45" s="15"/>
      <c r="C45" s="15"/>
      <c r="D45" s="15"/>
      <c r="E45" s="15"/>
      <c r="F45" s="15"/>
      <c r="G45" s="20"/>
      <c r="H45" s="23"/>
      <c r="I45" s="23"/>
      <c r="J45" s="23"/>
      <c r="K45" s="23"/>
      <c r="L45" s="23"/>
      <c r="M45" s="21"/>
      <c r="N45" s="52"/>
    </row>
    <row r="46" spans="1:14" s="19" customFormat="1" ht="16.5" x14ac:dyDescent="0.25">
      <c r="A46" s="15"/>
      <c r="B46" s="15"/>
      <c r="C46" s="15"/>
      <c r="D46" s="15"/>
      <c r="E46" s="15"/>
      <c r="F46" s="15"/>
      <c r="G46" s="20"/>
      <c r="H46" s="20"/>
      <c r="I46" s="23"/>
      <c r="J46" s="23"/>
      <c r="K46" s="23"/>
      <c r="L46" s="23"/>
      <c r="M46" s="22"/>
      <c r="N46" s="52"/>
    </row>
    <row r="47" spans="1:14" s="19" customFormat="1" ht="16.5" x14ac:dyDescent="0.25">
      <c r="A47" s="15"/>
      <c r="B47" s="15"/>
      <c r="C47" s="15"/>
      <c r="D47" s="15"/>
      <c r="E47" s="15"/>
      <c r="F47" s="15"/>
      <c r="G47" s="20"/>
      <c r="H47" s="23"/>
      <c r="I47" s="23"/>
      <c r="J47" s="23"/>
      <c r="K47" s="23"/>
      <c r="L47" s="23"/>
      <c r="M47" s="21"/>
      <c r="N47" s="52"/>
    </row>
    <row r="48" spans="1:14" s="19" customFormat="1" ht="16.5" x14ac:dyDescent="0.25">
      <c r="A48" s="15"/>
      <c r="B48" s="15"/>
      <c r="C48" s="15"/>
      <c r="D48" s="15"/>
      <c r="E48" s="15"/>
      <c r="F48" s="15"/>
      <c r="G48" s="22"/>
      <c r="H48" s="22"/>
      <c r="I48" s="22"/>
      <c r="J48" s="22"/>
      <c r="K48" s="22"/>
      <c r="L48" s="22"/>
      <c r="M48" s="22"/>
      <c r="N48" s="52"/>
    </row>
    <row r="49" spans="1:14" s="19" customFormat="1" ht="16.5" x14ac:dyDescent="0.25">
      <c r="A49" s="15"/>
      <c r="B49" s="15"/>
      <c r="C49" s="15"/>
      <c r="D49" s="15"/>
      <c r="E49" s="15"/>
      <c r="F49" s="15"/>
      <c r="G49" s="20"/>
      <c r="H49" s="20"/>
      <c r="I49" s="20"/>
      <c r="J49" s="20"/>
      <c r="K49" s="20"/>
      <c r="L49" s="20"/>
      <c r="M49" s="21"/>
      <c r="N49" s="52"/>
    </row>
    <row r="50" spans="1:14" s="19" customFormat="1" ht="16.5" x14ac:dyDescent="0.25">
      <c r="A50" s="15"/>
      <c r="B50" s="15"/>
      <c r="C50" s="15"/>
      <c r="D50" s="15"/>
      <c r="E50" s="24"/>
      <c r="F50" s="24"/>
      <c r="G50" s="22"/>
      <c r="H50" s="22"/>
      <c r="I50" s="22"/>
      <c r="J50" s="22"/>
      <c r="K50" s="22"/>
      <c r="L50" s="22"/>
      <c r="M50" s="22"/>
      <c r="N50" s="52"/>
    </row>
    <row r="51" spans="1:14" s="19" customFormat="1" ht="16.5" x14ac:dyDescent="0.25">
      <c r="A51" s="15"/>
      <c r="B51" s="15"/>
      <c r="C51" s="15"/>
      <c r="D51" s="15"/>
      <c r="E51" s="24"/>
      <c r="F51" s="24"/>
      <c r="G51" s="22"/>
      <c r="H51" s="22"/>
      <c r="I51" s="22"/>
      <c r="J51" s="22"/>
      <c r="K51" s="22"/>
      <c r="L51" s="22"/>
      <c r="M51" s="22"/>
      <c r="N51" s="52"/>
    </row>
    <row r="52" spans="1:14" s="19" customFormat="1" ht="16.5" x14ac:dyDescent="0.25">
      <c r="A52" s="15"/>
      <c r="B52" s="15"/>
      <c r="C52" s="15"/>
      <c r="D52" s="15"/>
      <c r="E52" s="24"/>
      <c r="F52" s="24"/>
      <c r="G52" s="22"/>
      <c r="H52" s="22"/>
      <c r="I52" s="22"/>
      <c r="J52" s="22"/>
      <c r="K52" s="22"/>
      <c r="L52" s="22"/>
      <c r="M52" s="22"/>
      <c r="N52" s="52"/>
    </row>
    <row r="53" spans="1:14" s="19" customFormat="1" ht="16.5" x14ac:dyDescent="0.25">
      <c r="A53" s="15"/>
      <c r="B53" s="15"/>
      <c r="C53" s="15"/>
      <c r="D53" s="15"/>
      <c r="E53" s="15"/>
      <c r="F53" s="15"/>
      <c r="G53" s="22"/>
      <c r="H53" s="22"/>
      <c r="I53" s="22"/>
      <c r="J53" s="22"/>
      <c r="K53" s="22"/>
      <c r="L53" s="22"/>
      <c r="M53" s="22"/>
      <c r="N53" s="52"/>
    </row>
    <row r="54" spans="1:14" s="19" customFormat="1" ht="16.5" x14ac:dyDescent="0.25">
      <c r="A54" s="15"/>
      <c r="B54" s="15"/>
      <c r="C54" s="15"/>
      <c r="D54" s="15"/>
      <c r="E54" s="15"/>
      <c r="F54" s="15"/>
      <c r="G54" s="22"/>
      <c r="H54" s="22"/>
      <c r="I54" s="22"/>
      <c r="J54" s="22"/>
      <c r="K54" s="22"/>
      <c r="L54" s="22"/>
      <c r="M54" s="22"/>
      <c r="N54" s="52"/>
    </row>
    <row r="55" spans="1:14" s="19" customFormat="1" ht="16.5" x14ac:dyDescent="0.25">
      <c r="A55" s="15"/>
      <c r="B55" s="15"/>
      <c r="C55" s="15"/>
      <c r="D55" s="15"/>
      <c r="E55" s="15"/>
      <c r="F55" s="15"/>
      <c r="G55" s="22"/>
      <c r="H55" s="22"/>
      <c r="I55" s="22"/>
      <c r="J55" s="22"/>
      <c r="K55" s="22"/>
      <c r="L55" s="22"/>
      <c r="M55" s="22"/>
      <c r="N55" s="52"/>
    </row>
    <row r="56" spans="1:14" s="19" customFormat="1" ht="16.5" x14ac:dyDescent="0.25">
      <c r="A56" s="15"/>
      <c r="B56" s="15"/>
      <c r="C56" s="15"/>
      <c r="D56" s="15"/>
      <c r="E56" s="15"/>
      <c r="F56" s="15"/>
      <c r="G56" s="22"/>
      <c r="H56" s="22"/>
      <c r="I56" s="22"/>
      <c r="J56" s="22"/>
      <c r="K56" s="22"/>
      <c r="L56" s="22"/>
      <c r="M56" s="22"/>
      <c r="N56" s="52"/>
    </row>
    <row r="57" spans="1:14" s="19" customFormat="1" ht="16.5" x14ac:dyDescent="0.25">
      <c r="A57" s="15"/>
      <c r="B57" s="15"/>
      <c r="C57" s="15"/>
      <c r="D57" s="15"/>
      <c r="E57" s="15"/>
      <c r="F57" s="15"/>
      <c r="G57" s="22"/>
      <c r="H57" s="22"/>
      <c r="I57" s="22"/>
      <c r="J57" s="22"/>
      <c r="K57" s="22"/>
      <c r="L57" s="22"/>
      <c r="M57" s="22"/>
      <c r="N57" s="52"/>
    </row>
    <row r="58" spans="1:14" s="19" customFormat="1" ht="16.5" x14ac:dyDescent="0.25">
      <c r="A58" s="15"/>
      <c r="B58" s="15"/>
      <c r="C58" s="15"/>
      <c r="D58" s="15"/>
      <c r="E58" s="15"/>
      <c r="F58" s="15"/>
      <c r="G58" s="22"/>
      <c r="H58" s="22"/>
      <c r="I58" s="22"/>
      <c r="J58" s="22"/>
      <c r="K58" s="22"/>
      <c r="L58" s="22"/>
      <c r="M58" s="22"/>
      <c r="N58" s="52"/>
    </row>
    <row r="59" spans="1:14" s="19" customFormat="1" ht="16.5" x14ac:dyDescent="0.25">
      <c r="A59" s="15"/>
      <c r="B59" s="15"/>
      <c r="C59" s="15"/>
      <c r="D59" s="15"/>
      <c r="E59" s="15"/>
      <c r="F59" s="15"/>
      <c r="G59" s="22"/>
      <c r="H59" s="22"/>
      <c r="I59" s="22"/>
      <c r="J59" s="22"/>
      <c r="K59" s="22"/>
      <c r="L59" s="22"/>
      <c r="M59" s="22"/>
      <c r="N59" s="52"/>
    </row>
    <row r="60" spans="1:14" s="19" customFormat="1" ht="16.5" x14ac:dyDescent="0.25">
      <c r="A60" s="15"/>
      <c r="B60" s="15"/>
      <c r="C60" s="15"/>
      <c r="D60" s="15"/>
      <c r="E60" s="15"/>
      <c r="F60" s="15"/>
      <c r="G60" s="20"/>
      <c r="H60" s="23"/>
      <c r="I60" s="23"/>
      <c r="J60" s="23"/>
      <c r="K60" s="23"/>
      <c r="L60" s="23"/>
      <c r="M60" s="21"/>
      <c r="N60" s="52"/>
    </row>
    <row r="61" spans="1:14" s="19" customFormat="1" ht="16.5" x14ac:dyDescent="0.25">
      <c r="A61" s="15"/>
      <c r="B61" s="15"/>
      <c r="C61" s="15"/>
      <c r="D61" s="15"/>
      <c r="E61" s="15"/>
      <c r="F61" s="15"/>
      <c r="G61" s="20"/>
      <c r="H61" s="23"/>
      <c r="I61" s="23"/>
      <c r="J61" s="23"/>
      <c r="K61" s="23"/>
      <c r="L61" s="23"/>
      <c r="M61" s="21"/>
      <c r="N61" s="52"/>
    </row>
    <row r="62" spans="1:14" s="19" customFormat="1" ht="16.5" x14ac:dyDescent="0.25">
      <c r="A62" s="15"/>
      <c r="B62" s="15"/>
      <c r="C62" s="15"/>
      <c r="D62" s="15"/>
      <c r="E62" s="15"/>
      <c r="F62" s="15"/>
      <c r="G62" s="20"/>
      <c r="H62" s="23"/>
      <c r="I62" s="23"/>
      <c r="J62" s="23"/>
      <c r="K62" s="23"/>
      <c r="L62" s="23"/>
      <c r="M62" s="21"/>
      <c r="N62" s="52"/>
    </row>
    <row r="63" spans="1:14" s="19" customFormat="1" ht="16.5" x14ac:dyDescent="0.25">
      <c r="A63" s="15"/>
      <c r="B63" s="15"/>
      <c r="C63" s="15"/>
      <c r="D63" s="15"/>
      <c r="E63" s="15"/>
      <c r="F63" s="15"/>
      <c r="G63" s="22"/>
      <c r="H63" s="22"/>
      <c r="I63" s="22"/>
      <c r="J63" s="22"/>
      <c r="K63" s="22"/>
      <c r="L63" s="22"/>
      <c r="M63" s="22"/>
      <c r="N63" s="52"/>
    </row>
    <row r="64" spans="1:14" s="19" customFormat="1" ht="16.5" x14ac:dyDescent="0.25">
      <c r="A64" s="15"/>
      <c r="B64" s="15"/>
      <c r="C64" s="15"/>
      <c r="D64" s="15"/>
      <c r="E64" s="15"/>
      <c r="F64" s="15"/>
      <c r="G64" s="20"/>
      <c r="H64" s="20"/>
      <c r="I64" s="20"/>
      <c r="J64" s="20"/>
      <c r="K64" s="20"/>
      <c r="L64" s="20"/>
      <c r="M64" s="21"/>
      <c r="N64" s="52"/>
    </row>
    <row r="65" spans="1:14" s="19" customFormat="1" ht="16.5" x14ac:dyDescent="0.25">
      <c r="A65" s="15"/>
      <c r="B65" s="15"/>
      <c r="C65" s="15"/>
      <c r="D65" s="15"/>
      <c r="E65" s="15"/>
      <c r="F65" s="15"/>
      <c r="G65" s="22"/>
      <c r="H65" s="22"/>
      <c r="I65" s="22"/>
      <c r="J65" s="22"/>
      <c r="K65" s="22"/>
      <c r="L65" s="22"/>
      <c r="M65" s="22"/>
      <c r="N65" s="52"/>
    </row>
    <row r="66" spans="1:14" s="19" customFormat="1" ht="16.5" x14ac:dyDescent="0.25">
      <c r="A66" s="15"/>
      <c r="B66" s="15"/>
      <c r="C66" s="15"/>
      <c r="D66" s="15"/>
      <c r="E66" s="15"/>
      <c r="F66" s="15"/>
      <c r="G66" s="22"/>
      <c r="H66" s="22"/>
      <c r="I66" s="22"/>
      <c r="J66" s="22"/>
      <c r="K66" s="22"/>
      <c r="L66" s="22"/>
      <c r="M66" s="22"/>
      <c r="N66" s="52"/>
    </row>
    <row r="67" spans="1:14" s="19" customFormat="1" ht="16.5" x14ac:dyDescent="0.25">
      <c r="A67" s="15"/>
      <c r="B67" s="15"/>
      <c r="C67" s="15"/>
      <c r="D67" s="15"/>
      <c r="E67" s="15"/>
      <c r="F67" s="15"/>
      <c r="G67" s="20"/>
      <c r="H67" s="23"/>
      <c r="I67" s="23"/>
      <c r="J67" s="23"/>
      <c r="K67" s="23"/>
      <c r="L67" s="23"/>
      <c r="M67" s="21"/>
      <c r="N67" s="52"/>
    </row>
    <row r="68" spans="1:14" s="19" customFormat="1" ht="16.5" x14ac:dyDescent="0.25">
      <c r="A68" s="15"/>
      <c r="B68" s="15"/>
      <c r="C68" s="15"/>
      <c r="D68" s="15"/>
      <c r="E68" s="15"/>
      <c r="F68" s="15"/>
      <c r="G68" s="20"/>
      <c r="H68" s="20"/>
      <c r="I68" s="23"/>
      <c r="J68" s="23"/>
      <c r="K68" s="23"/>
      <c r="L68" s="23"/>
      <c r="M68" s="22"/>
      <c r="N68" s="52"/>
    </row>
    <row r="69" spans="1:14" s="19" customFormat="1" ht="16.5" x14ac:dyDescent="0.25">
      <c r="A69" s="15"/>
      <c r="B69" s="15"/>
      <c r="C69" s="15"/>
      <c r="D69" s="15"/>
      <c r="E69" s="15"/>
      <c r="F69" s="15"/>
      <c r="G69" s="22"/>
      <c r="H69" s="22"/>
      <c r="I69" s="22"/>
      <c r="J69" s="22"/>
      <c r="K69" s="22"/>
      <c r="L69" s="22"/>
      <c r="M69" s="22"/>
      <c r="N69" s="52"/>
    </row>
    <row r="70" spans="1:14" s="19" customFormat="1" ht="16.5" x14ac:dyDescent="0.25">
      <c r="A70" s="15"/>
      <c r="B70" s="15"/>
      <c r="C70" s="15"/>
      <c r="D70" s="15"/>
      <c r="E70" s="15"/>
      <c r="F70" s="15"/>
      <c r="G70" s="20"/>
      <c r="H70" s="20"/>
      <c r="I70" s="20"/>
      <c r="J70" s="20"/>
      <c r="K70" s="20"/>
      <c r="L70" s="20"/>
      <c r="M70" s="21"/>
      <c r="N70" s="52"/>
    </row>
    <row r="71" spans="1:14" s="15" customFormat="1" x14ac:dyDescent="0.25">
      <c r="G71" s="22"/>
      <c r="H71" s="22"/>
      <c r="I71" s="22"/>
      <c r="J71" s="22"/>
      <c r="K71" s="22"/>
      <c r="L71" s="22"/>
      <c r="M71" s="22"/>
      <c r="N71" s="52"/>
    </row>
    <row r="72" spans="1:14" s="15" customFormat="1" x14ac:dyDescent="0.25">
      <c r="G72" s="22"/>
      <c r="H72" s="22"/>
      <c r="I72" s="22"/>
      <c r="J72" s="22"/>
      <c r="K72" s="22"/>
      <c r="L72" s="22"/>
      <c r="M72" s="22"/>
      <c r="N72" s="52"/>
    </row>
    <row r="73" spans="1:14" s="15" customFormat="1" x14ac:dyDescent="0.25">
      <c r="G73" s="20"/>
      <c r="H73" s="23"/>
      <c r="I73" s="23"/>
      <c r="J73" s="23"/>
      <c r="K73" s="23"/>
      <c r="L73" s="23"/>
      <c r="M73" s="21"/>
      <c r="N73" s="52"/>
    </row>
    <row r="74" spans="1:14" s="15" customFormat="1" x14ac:dyDescent="0.25">
      <c r="G74" s="20"/>
      <c r="H74" s="23"/>
      <c r="I74" s="23"/>
      <c r="J74" s="23"/>
      <c r="K74" s="23"/>
      <c r="L74" s="23"/>
      <c r="M74" s="21"/>
      <c r="N74" s="52"/>
    </row>
    <row r="75" spans="1:14" s="15" customFormat="1" x14ac:dyDescent="0.25">
      <c r="G75" s="20"/>
      <c r="H75" s="20"/>
      <c r="I75" s="23"/>
      <c r="J75" s="23"/>
      <c r="K75" s="23"/>
      <c r="L75" s="23"/>
      <c r="M75" s="22"/>
      <c r="N75" s="52"/>
    </row>
    <row r="76" spans="1:14" s="15" customFormat="1" x14ac:dyDescent="0.25">
      <c r="G76" s="22"/>
      <c r="H76" s="22"/>
      <c r="I76" s="22"/>
      <c r="J76" s="22"/>
      <c r="K76" s="22"/>
      <c r="L76" s="22"/>
      <c r="M76" s="22"/>
      <c r="N76" s="52"/>
    </row>
    <row r="77" spans="1:14" s="15" customFormat="1" x14ac:dyDescent="0.25">
      <c r="G77" s="20"/>
      <c r="H77" s="20"/>
      <c r="I77" s="20"/>
      <c r="J77" s="20"/>
      <c r="K77" s="20"/>
      <c r="L77" s="20"/>
      <c r="M77" s="21"/>
      <c r="N77" s="52"/>
    </row>
    <row r="78" spans="1:14" s="15" customFormat="1" x14ac:dyDescent="0.25">
      <c r="G78" s="22"/>
      <c r="H78" s="22"/>
      <c r="I78" s="22"/>
      <c r="J78" s="22"/>
      <c r="K78" s="22"/>
      <c r="L78" s="22"/>
      <c r="M78" s="22"/>
      <c r="N78" s="52"/>
    </row>
    <row r="79" spans="1:14" s="15" customFormat="1" x14ac:dyDescent="0.25">
      <c r="G79" s="22"/>
      <c r="H79" s="22"/>
      <c r="I79" s="22"/>
      <c r="J79" s="22"/>
      <c r="K79" s="22"/>
      <c r="L79" s="22"/>
      <c r="M79" s="22"/>
      <c r="N79" s="52"/>
    </row>
    <row r="80" spans="1:14" s="15" customFormat="1" x14ac:dyDescent="0.25">
      <c r="G80" s="20"/>
      <c r="H80" s="23"/>
      <c r="I80" s="23"/>
      <c r="J80" s="23"/>
      <c r="K80" s="23"/>
      <c r="L80" s="23"/>
      <c r="M80" s="21"/>
      <c r="N80" s="52"/>
    </row>
    <row r="81" spans="7:14" s="15" customFormat="1" x14ac:dyDescent="0.25">
      <c r="G81" s="20"/>
      <c r="H81" s="23"/>
      <c r="I81" s="23"/>
      <c r="J81" s="23"/>
      <c r="K81" s="23"/>
      <c r="L81" s="23"/>
      <c r="M81" s="21"/>
      <c r="N81" s="52"/>
    </row>
    <row r="82" spans="7:14" s="15" customFormat="1" x14ac:dyDescent="0.25">
      <c r="G82" s="20"/>
      <c r="H82" s="23"/>
      <c r="I82" s="23"/>
      <c r="J82" s="23"/>
      <c r="K82" s="23"/>
      <c r="L82" s="23"/>
      <c r="M82" s="21"/>
      <c r="N82" s="52"/>
    </row>
    <row r="83" spans="7:14" s="15" customFormat="1" x14ac:dyDescent="0.25">
      <c r="G83" s="20"/>
      <c r="H83" s="20"/>
      <c r="I83" s="23"/>
      <c r="J83" s="23"/>
      <c r="K83" s="23"/>
      <c r="L83" s="23"/>
      <c r="M83" s="22"/>
      <c r="N83" s="52"/>
    </row>
    <row r="84" spans="7:14" s="15" customFormat="1" x14ac:dyDescent="0.25">
      <c r="G84" s="22"/>
      <c r="H84" s="22"/>
      <c r="I84" s="22"/>
      <c r="J84" s="22"/>
      <c r="K84" s="22"/>
      <c r="L84" s="22"/>
      <c r="M84" s="22"/>
      <c r="N84" s="52"/>
    </row>
    <row r="85" spans="7:14" s="15" customFormat="1" x14ac:dyDescent="0.25">
      <c r="G85" s="20"/>
      <c r="H85" s="20"/>
      <c r="I85" s="20"/>
      <c r="J85" s="20"/>
      <c r="K85" s="20"/>
      <c r="L85" s="20"/>
      <c r="M85" s="21"/>
      <c r="N85" s="52"/>
    </row>
    <row r="86" spans="7:14" s="15" customFormat="1" x14ac:dyDescent="0.25">
      <c r="G86" s="22"/>
      <c r="H86" s="22"/>
      <c r="I86" s="22"/>
      <c r="J86" s="22"/>
      <c r="K86" s="22"/>
      <c r="L86" s="22"/>
      <c r="M86" s="22"/>
      <c r="N86" s="52"/>
    </row>
    <row r="87" spans="7:14" s="15" customFormat="1" x14ac:dyDescent="0.25">
      <c r="G87" s="22"/>
      <c r="H87" s="22"/>
      <c r="I87" s="22"/>
      <c r="J87" s="22"/>
      <c r="K87" s="22"/>
      <c r="L87" s="22"/>
      <c r="M87" s="22"/>
      <c r="N87" s="52"/>
    </row>
    <row r="88" spans="7:14" s="15" customFormat="1" x14ac:dyDescent="0.25">
      <c r="G88" s="22"/>
      <c r="H88" s="22"/>
      <c r="I88" s="22"/>
      <c r="J88" s="22"/>
      <c r="K88" s="22"/>
      <c r="L88" s="22"/>
      <c r="M88" s="22"/>
      <c r="N88" s="52"/>
    </row>
    <row r="89" spans="7:14" s="15" customFormat="1" x14ac:dyDescent="0.25">
      <c r="G89" s="22"/>
      <c r="H89" s="22"/>
      <c r="I89" s="22"/>
      <c r="J89" s="22"/>
      <c r="K89" s="22"/>
      <c r="L89" s="22"/>
      <c r="M89" s="22"/>
      <c r="N89" s="52"/>
    </row>
    <row r="90" spans="7:14" s="15" customFormat="1" x14ac:dyDescent="0.25">
      <c r="G90" s="22"/>
      <c r="H90" s="22"/>
      <c r="I90" s="25"/>
      <c r="J90" s="25"/>
      <c r="K90" s="25"/>
      <c r="L90" s="25"/>
      <c r="M90" s="22"/>
      <c r="N90" s="52"/>
    </row>
    <row r="91" spans="7:14" s="15" customFormat="1" x14ac:dyDescent="0.25">
      <c r="G91" s="22"/>
      <c r="H91" s="22"/>
      <c r="I91" s="22"/>
      <c r="J91" s="22"/>
      <c r="K91" s="22"/>
      <c r="L91" s="22"/>
      <c r="M91" s="22"/>
      <c r="N91" s="52"/>
    </row>
    <row r="92" spans="7:14" s="15" customFormat="1" x14ac:dyDescent="0.25">
      <c r="G92" s="22"/>
      <c r="H92" s="22"/>
      <c r="I92" s="22"/>
      <c r="J92" s="22"/>
      <c r="K92" s="22"/>
      <c r="L92" s="22"/>
      <c r="M92" s="22"/>
      <c r="N92" s="52"/>
    </row>
    <row r="93" spans="7:14" s="15" customFormat="1" x14ac:dyDescent="0.25">
      <c r="G93" s="22"/>
      <c r="H93" s="22"/>
      <c r="I93" s="22"/>
      <c r="J93" s="22"/>
      <c r="K93" s="22"/>
      <c r="L93" s="22"/>
      <c r="M93" s="22"/>
      <c r="N93" s="52"/>
    </row>
    <row r="94" spans="7:14" s="15" customFormat="1" x14ac:dyDescent="0.25">
      <c r="G94" s="22"/>
      <c r="H94" s="22"/>
      <c r="I94" s="22"/>
      <c r="J94" s="22"/>
      <c r="K94" s="22"/>
      <c r="L94" s="22"/>
      <c r="M94" s="22"/>
      <c r="N94" s="54"/>
    </row>
    <row r="95" spans="7:14" s="15" customFormat="1" x14ac:dyDescent="0.25">
      <c r="G95" s="22"/>
      <c r="H95" s="22"/>
      <c r="I95" s="22"/>
      <c r="J95" s="22"/>
      <c r="K95" s="22"/>
      <c r="L95" s="22"/>
      <c r="M95" s="22"/>
      <c r="N95" s="54"/>
    </row>
    <row r="96" spans="7:14" s="15" customFormat="1" x14ac:dyDescent="0.25">
      <c r="G96" s="22"/>
      <c r="H96" s="22"/>
      <c r="I96" s="22"/>
      <c r="J96" s="22"/>
      <c r="K96" s="22"/>
      <c r="L96" s="22"/>
      <c r="M96" s="22"/>
      <c r="N96" s="54"/>
    </row>
    <row r="97" spans="7:14" s="15" customFormat="1" x14ac:dyDescent="0.25">
      <c r="G97" s="26"/>
      <c r="H97" s="26"/>
      <c r="I97" s="26"/>
      <c r="J97" s="26"/>
      <c r="K97" s="26"/>
      <c r="L97" s="26"/>
      <c r="N97" s="54"/>
    </row>
    <row r="98" spans="7:14" s="15" customFormat="1" x14ac:dyDescent="0.25">
      <c r="G98" s="26"/>
      <c r="H98" s="26"/>
      <c r="I98" s="26"/>
      <c r="J98" s="26"/>
      <c r="K98" s="26"/>
      <c r="L98" s="26"/>
      <c r="N98" s="54"/>
    </row>
    <row r="99" spans="7:14" s="15" customFormat="1" x14ac:dyDescent="0.25">
      <c r="G99" s="26"/>
      <c r="H99" s="26"/>
      <c r="I99" s="26"/>
      <c r="J99" s="26"/>
      <c r="K99" s="26"/>
      <c r="L99" s="26"/>
      <c r="N99" s="54"/>
    </row>
    <row r="100" spans="7:14" s="15" customFormat="1" x14ac:dyDescent="0.25">
      <c r="G100" s="26"/>
      <c r="H100" s="26"/>
      <c r="I100" s="26"/>
      <c r="J100" s="26"/>
      <c r="K100" s="26"/>
      <c r="L100" s="26"/>
      <c r="N100" s="54"/>
    </row>
  </sheetData>
  <dataConsolidate/>
  <mergeCells count="3">
    <mergeCell ref="A3:A6"/>
    <mergeCell ref="A10:A16"/>
    <mergeCell ref="A1:N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0"/>
    <pageSetUpPr fitToPage="1"/>
  </sheetPr>
  <dimension ref="A1:N85"/>
  <sheetViews>
    <sheetView view="pageBreakPreview" zoomScale="90" zoomScaleNormal="70" zoomScaleSheetLayoutView="90" workbookViewId="0">
      <selection sqref="A1:N1"/>
    </sheetView>
  </sheetViews>
  <sheetFormatPr defaultColWidth="54.28515625" defaultRowHeight="15" x14ac:dyDescent="0.25"/>
  <cols>
    <col min="1" max="1" width="7.42578125" style="15" customWidth="1"/>
    <col min="2" max="2" width="15.42578125" style="15" bestFit="1" customWidth="1"/>
    <col min="3" max="3" width="6" style="15" bestFit="1" customWidth="1"/>
    <col min="4" max="4" width="28.140625" style="15" bestFit="1" customWidth="1"/>
    <col min="5" max="5" width="16.28515625" style="15" bestFit="1" customWidth="1"/>
    <col min="6" max="6" width="15" style="15" bestFit="1" customWidth="1"/>
    <col min="7" max="7" width="13.140625" style="26" bestFit="1" customWidth="1"/>
    <col min="8" max="8" width="11.85546875" style="26" bestFit="1" customWidth="1"/>
    <col min="9" max="9" width="25.5703125" style="26" bestFit="1" customWidth="1"/>
    <col min="10" max="10" width="14.7109375" style="26" bestFit="1" customWidth="1"/>
    <col min="11" max="11" width="9.42578125" style="26" bestFit="1" customWidth="1"/>
    <col min="12" max="12" width="13" style="26" bestFit="1" customWidth="1"/>
    <col min="13" max="13" width="35.7109375" style="15" bestFit="1" customWidth="1"/>
    <col min="14" max="14" width="30" style="55" bestFit="1" customWidth="1" collapsed="1"/>
    <col min="15" max="16384" width="54.28515625" style="3"/>
  </cols>
  <sheetData>
    <row r="1" spans="1:14" s="1" customFormat="1" ht="21" x14ac:dyDescent="0.25">
      <c r="A1" s="124" t="s">
        <v>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72" x14ac:dyDescent="0.25">
      <c r="A2" s="16"/>
      <c r="B2" s="2" t="s">
        <v>102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1</v>
      </c>
      <c r="I2" s="2" t="s">
        <v>14</v>
      </c>
      <c r="J2" s="2" t="s">
        <v>98</v>
      </c>
      <c r="K2" s="2" t="s">
        <v>21</v>
      </c>
      <c r="L2" s="2" t="s">
        <v>22</v>
      </c>
      <c r="M2" s="2" t="s">
        <v>7</v>
      </c>
      <c r="N2" s="2" t="s">
        <v>23</v>
      </c>
    </row>
    <row r="3" spans="1:14" s="32" customFormat="1" ht="16.5" x14ac:dyDescent="0.25">
      <c r="A3" s="142" t="s">
        <v>13</v>
      </c>
      <c r="B3" s="6" t="s">
        <v>16</v>
      </c>
      <c r="C3" s="27">
        <v>1</v>
      </c>
      <c r="D3" s="5" t="s">
        <v>15</v>
      </c>
      <c r="E3" s="6">
        <v>43010</v>
      </c>
      <c r="F3" s="7">
        <v>43014</v>
      </c>
      <c r="G3" s="7">
        <v>43019</v>
      </c>
      <c r="H3" s="7">
        <v>43747</v>
      </c>
      <c r="I3" s="8" t="s">
        <v>8</v>
      </c>
      <c r="J3" s="28">
        <v>728</v>
      </c>
      <c r="K3" s="9" t="s">
        <v>6</v>
      </c>
      <c r="L3" s="29">
        <v>1.2</v>
      </c>
      <c r="M3" s="30">
        <v>171854.05499999999</v>
      </c>
      <c r="N3" s="31">
        <f t="shared" ref="N3:N7" si="0">+M3*1000</f>
        <v>171854055</v>
      </c>
    </row>
    <row r="4" spans="1:14" s="32" customFormat="1" ht="16.5" x14ac:dyDescent="0.25">
      <c r="A4" s="143"/>
      <c r="B4" s="12" t="s">
        <v>17</v>
      </c>
      <c r="C4" s="13">
        <v>2</v>
      </c>
      <c r="D4" s="11" t="s">
        <v>15</v>
      </c>
      <c r="E4" s="12">
        <v>43017</v>
      </c>
      <c r="F4" s="12">
        <v>43021</v>
      </c>
      <c r="G4" s="12">
        <v>43026</v>
      </c>
      <c r="H4" s="12">
        <v>43754</v>
      </c>
      <c r="I4" s="10" t="s">
        <v>9</v>
      </c>
      <c r="J4" s="33">
        <v>728</v>
      </c>
      <c r="K4" s="14" t="s">
        <v>6</v>
      </c>
      <c r="L4" s="10">
        <v>1.2</v>
      </c>
      <c r="M4" s="34">
        <v>297892.26699999999</v>
      </c>
      <c r="N4" s="35">
        <f t="shared" si="0"/>
        <v>297892267</v>
      </c>
    </row>
    <row r="5" spans="1:14" s="32" customFormat="1" ht="16.5" x14ac:dyDescent="0.25">
      <c r="A5" s="143"/>
      <c r="B5" s="6" t="s">
        <v>18</v>
      </c>
      <c r="C5" s="27">
        <v>3</v>
      </c>
      <c r="D5" s="5" t="s">
        <v>15</v>
      </c>
      <c r="E5" s="6">
        <v>43024</v>
      </c>
      <c r="F5" s="7">
        <v>43028</v>
      </c>
      <c r="G5" s="7">
        <v>43033</v>
      </c>
      <c r="H5" s="7">
        <v>43761</v>
      </c>
      <c r="I5" s="8" t="s">
        <v>10</v>
      </c>
      <c r="J5" s="28">
        <v>728</v>
      </c>
      <c r="K5" s="9" t="s">
        <v>6</v>
      </c>
      <c r="L5" s="29">
        <v>1.2</v>
      </c>
      <c r="M5" s="30">
        <v>322772.91200000001</v>
      </c>
      <c r="N5" s="31">
        <f t="shared" si="0"/>
        <v>322772912</v>
      </c>
    </row>
    <row r="6" spans="1:14" s="32" customFormat="1" ht="16.5" x14ac:dyDescent="0.25">
      <c r="A6" s="144"/>
      <c r="B6" s="12" t="s">
        <v>19</v>
      </c>
      <c r="C6" s="13">
        <v>4</v>
      </c>
      <c r="D6" s="11" t="s">
        <v>15</v>
      </c>
      <c r="E6" s="12">
        <v>43031</v>
      </c>
      <c r="F6" s="12">
        <v>43035</v>
      </c>
      <c r="G6" s="12">
        <v>43040</v>
      </c>
      <c r="H6" s="12">
        <v>43768</v>
      </c>
      <c r="I6" s="10" t="s">
        <v>11</v>
      </c>
      <c r="J6" s="33">
        <v>728</v>
      </c>
      <c r="K6" s="14" t="s">
        <v>6</v>
      </c>
      <c r="L6" s="102">
        <v>1.2</v>
      </c>
      <c r="M6" s="105">
        <v>526022.38600000006</v>
      </c>
      <c r="N6" s="106">
        <f t="shared" si="0"/>
        <v>526022386.00000006</v>
      </c>
    </row>
    <row r="7" spans="1:14" ht="14.25" customHeigh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56"/>
      <c r="L7" s="84" t="s">
        <v>25</v>
      </c>
      <c r="M7" s="86">
        <f>+M3+M4+M5+M6</f>
        <v>1318541.6200000001</v>
      </c>
      <c r="N7" s="85">
        <f t="shared" si="0"/>
        <v>1318541620</v>
      </c>
    </row>
    <row r="8" spans="1:14" s="44" customFormat="1" x14ac:dyDescent="0.25">
      <c r="A8" s="37"/>
      <c r="B8" s="38"/>
      <c r="C8" s="39"/>
      <c r="D8" s="39"/>
      <c r="E8" s="39"/>
      <c r="F8" s="40"/>
      <c r="G8" s="41"/>
      <c r="H8" s="42"/>
      <c r="I8" s="43"/>
      <c r="J8" s="43"/>
      <c r="K8" s="43"/>
      <c r="L8" s="109"/>
      <c r="M8" s="110"/>
      <c r="N8" s="110"/>
    </row>
    <row r="9" spans="1:14" ht="30" customHeight="1" x14ac:dyDescent="0.25">
      <c r="A9" s="17"/>
      <c r="B9" s="45"/>
      <c r="C9" s="46"/>
      <c r="D9" s="46"/>
      <c r="E9" s="46"/>
      <c r="F9" s="47"/>
      <c r="G9" s="48"/>
      <c r="H9" s="49"/>
      <c r="I9" s="49"/>
      <c r="J9" s="49"/>
      <c r="K9" s="88"/>
      <c r="L9" s="84" t="s">
        <v>34</v>
      </c>
      <c r="M9" s="86">
        <f>+M7</f>
        <v>1318541.6200000001</v>
      </c>
      <c r="N9" s="85">
        <f t="shared" ref="N9" si="1">+M9*1000</f>
        <v>1318541620</v>
      </c>
    </row>
    <row r="10" spans="1:14" ht="14.25" customHeight="1" x14ac:dyDescent="0.25">
      <c r="A10" s="50" t="s">
        <v>24</v>
      </c>
      <c r="B10" s="45"/>
      <c r="C10" s="45"/>
      <c r="D10" s="46"/>
      <c r="E10" s="46"/>
      <c r="F10" s="46"/>
      <c r="G10" s="47"/>
      <c r="H10" s="51"/>
      <c r="I10" s="49"/>
      <c r="J10" s="49"/>
      <c r="K10" s="49"/>
      <c r="L10" s="89"/>
      <c r="M10" s="90"/>
      <c r="N10" s="91"/>
    </row>
    <row r="11" spans="1:14" s="19" customFormat="1" ht="16.5" x14ac:dyDescent="0.25">
      <c r="A11" s="15"/>
      <c r="B11" s="15"/>
      <c r="C11" s="15"/>
      <c r="D11" s="15"/>
      <c r="E11" s="15"/>
      <c r="F11" s="15"/>
      <c r="G11" s="20"/>
      <c r="H11" s="20"/>
      <c r="I11" s="20"/>
      <c r="J11" s="20"/>
      <c r="K11" s="20"/>
      <c r="L11" s="20"/>
      <c r="M11" s="21"/>
      <c r="N11" s="52"/>
    </row>
    <row r="12" spans="1:14" s="19" customFormat="1" ht="16.5" x14ac:dyDescent="0.25">
      <c r="A12" s="15"/>
      <c r="B12" s="15"/>
      <c r="C12" s="15"/>
      <c r="D12" s="15"/>
      <c r="E12" s="15"/>
      <c r="F12" s="15"/>
      <c r="G12" s="22"/>
      <c r="H12" s="22"/>
      <c r="I12" s="22"/>
      <c r="J12" s="22"/>
      <c r="K12" s="22"/>
      <c r="L12" s="22"/>
      <c r="M12" s="22"/>
      <c r="N12" s="52"/>
    </row>
    <row r="13" spans="1:14" s="19" customFormat="1" ht="16.5" x14ac:dyDescent="0.25">
      <c r="A13" s="15"/>
      <c r="B13" s="15"/>
      <c r="C13" s="15"/>
      <c r="D13" s="15"/>
      <c r="E13" s="15"/>
      <c r="F13" s="15"/>
      <c r="G13" s="22"/>
      <c r="H13" s="22"/>
      <c r="I13" s="22"/>
      <c r="J13" s="22"/>
      <c r="K13" s="22"/>
      <c r="L13" s="22"/>
      <c r="M13" s="22"/>
      <c r="N13" s="52"/>
    </row>
    <row r="14" spans="1:14" s="19" customFormat="1" ht="16.5" x14ac:dyDescent="0.25">
      <c r="A14" s="15"/>
      <c r="B14" s="15"/>
      <c r="C14" s="15"/>
      <c r="D14" s="15"/>
      <c r="E14" s="15"/>
      <c r="F14" s="15"/>
      <c r="G14" s="20"/>
      <c r="H14" s="23"/>
      <c r="I14" s="23"/>
      <c r="J14" s="23"/>
      <c r="K14" s="23"/>
      <c r="L14" s="23"/>
      <c r="M14" s="21"/>
      <c r="N14" s="53"/>
    </row>
    <row r="15" spans="1:14" s="19" customFormat="1" ht="16.5" x14ac:dyDescent="0.25">
      <c r="A15" s="15"/>
      <c r="B15" s="15"/>
      <c r="C15" s="15"/>
      <c r="D15" s="15"/>
      <c r="E15" s="15"/>
      <c r="F15" s="15"/>
      <c r="G15" s="20"/>
      <c r="H15" s="20"/>
      <c r="I15" s="23"/>
      <c r="J15" s="23"/>
      <c r="K15" s="23"/>
      <c r="L15" s="23"/>
      <c r="M15" s="22"/>
      <c r="N15" s="52"/>
    </row>
    <row r="16" spans="1:14" s="19" customFormat="1" ht="16.5" x14ac:dyDescent="0.25">
      <c r="A16" s="15"/>
      <c r="B16" s="15"/>
      <c r="C16" s="15"/>
      <c r="D16" s="15"/>
      <c r="E16" s="15"/>
      <c r="F16" s="15"/>
      <c r="G16" s="20"/>
      <c r="H16" s="23"/>
      <c r="I16" s="23"/>
      <c r="J16" s="23"/>
      <c r="K16" s="23"/>
      <c r="L16" s="23"/>
      <c r="M16" s="21"/>
      <c r="N16" s="52"/>
    </row>
    <row r="17" spans="1:14" s="19" customFormat="1" ht="16.5" x14ac:dyDescent="0.25">
      <c r="A17" s="15"/>
      <c r="B17" s="15"/>
      <c r="C17" s="15"/>
      <c r="D17" s="15"/>
      <c r="E17" s="15"/>
      <c r="F17" s="15"/>
      <c r="G17" s="22"/>
      <c r="H17" s="22"/>
      <c r="I17" s="22"/>
      <c r="J17" s="22"/>
      <c r="K17" s="22"/>
      <c r="L17" s="22"/>
      <c r="M17" s="22"/>
      <c r="N17" s="52"/>
    </row>
    <row r="18" spans="1:14" s="19" customFormat="1" ht="16.5" x14ac:dyDescent="0.25">
      <c r="A18" s="15"/>
      <c r="B18" s="3"/>
      <c r="C18" s="15"/>
      <c r="D18" s="15"/>
      <c r="E18" s="15"/>
      <c r="F18" s="15"/>
      <c r="G18" s="20"/>
      <c r="H18" s="20"/>
      <c r="I18" s="20"/>
      <c r="J18" s="20"/>
      <c r="K18" s="20"/>
      <c r="L18" s="20"/>
      <c r="M18" s="21"/>
      <c r="N18" s="52"/>
    </row>
    <row r="19" spans="1:14" s="19" customFormat="1" ht="16.5" x14ac:dyDescent="0.25">
      <c r="A19" s="15"/>
      <c r="B19" s="15"/>
      <c r="C19" s="15"/>
      <c r="D19" s="15"/>
      <c r="E19" s="15"/>
      <c r="F19" s="15"/>
      <c r="G19" s="20"/>
      <c r="H19" s="20"/>
      <c r="I19" s="20"/>
      <c r="J19" s="20"/>
      <c r="K19" s="20"/>
      <c r="L19" s="20"/>
      <c r="M19" s="21"/>
      <c r="N19" s="52"/>
    </row>
    <row r="20" spans="1:14" s="19" customFormat="1" ht="16.5" x14ac:dyDescent="0.25">
      <c r="A20" s="15"/>
      <c r="B20" s="15"/>
      <c r="C20" s="15"/>
      <c r="D20" s="15"/>
      <c r="E20" s="15"/>
      <c r="F20" s="15"/>
      <c r="G20" s="20"/>
      <c r="H20" s="20"/>
      <c r="I20" s="20"/>
      <c r="J20" s="20"/>
      <c r="K20" s="20"/>
      <c r="L20" s="20"/>
      <c r="M20" s="21"/>
      <c r="N20" s="52"/>
    </row>
    <row r="21" spans="1:14" s="19" customFormat="1" ht="16.5" x14ac:dyDescent="0.25">
      <c r="A21" s="15"/>
      <c r="B21" s="15"/>
      <c r="C21" s="15"/>
      <c r="D21" s="15"/>
      <c r="E21" s="15"/>
      <c r="F21" s="15"/>
      <c r="G21" s="20"/>
      <c r="H21" s="20"/>
      <c r="I21" s="20"/>
      <c r="J21" s="20"/>
      <c r="K21" s="20"/>
      <c r="L21" s="20"/>
      <c r="M21" s="21"/>
      <c r="N21" s="52"/>
    </row>
    <row r="22" spans="1:14" s="19" customFormat="1" ht="16.5" x14ac:dyDescent="0.25">
      <c r="A22" s="15"/>
      <c r="B22" s="15"/>
      <c r="C22" s="15"/>
      <c r="D22" s="15"/>
      <c r="E22" s="15"/>
      <c r="F22" s="15"/>
      <c r="G22" s="22"/>
      <c r="H22" s="22"/>
      <c r="I22" s="22"/>
      <c r="J22" s="22"/>
      <c r="K22" s="22"/>
      <c r="L22" s="22"/>
      <c r="M22" s="22"/>
      <c r="N22" s="52"/>
    </row>
    <row r="23" spans="1:14" s="19" customFormat="1" ht="16.5" x14ac:dyDescent="0.25">
      <c r="A23" s="15"/>
      <c r="B23" s="15"/>
      <c r="C23" s="15"/>
      <c r="D23" s="15"/>
      <c r="E23" s="15"/>
      <c r="F23" s="15"/>
      <c r="G23" s="20"/>
      <c r="H23" s="23"/>
      <c r="I23" s="23"/>
      <c r="J23" s="23"/>
      <c r="K23" s="23"/>
      <c r="L23" s="23"/>
      <c r="M23" s="21"/>
      <c r="N23" s="52"/>
    </row>
    <row r="24" spans="1:14" s="19" customFormat="1" ht="16.5" x14ac:dyDescent="0.25">
      <c r="A24" s="15"/>
      <c r="B24" s="15"/>
      <c r="C24" s="15"/>
      <c r="D24" s="15"/>
      <c r="E24" s="15"/>
      <c r="F24" s="15"/>
      <c r="G24" s="20"/>
      <c r="H24" s="20"/>
      <c r="I24" s="23"/>
      <c r="J24" s="23"/>
      <c r="K24" s="23"/>
      <c r="L24" s="23"/>
      <c r="M24" s="22"/>
      <c r="N24" s="52"/>
    </row>
    <row r="25" spans="1:14" s="19" customFormat="1" ht="16.5" x14ac:dyDescent="0.25">
      <c r="A25" s="15"/>
      <c r="B25" s="15"/>
      <c r="C25" s="15"/>
      <c r="D25" s="15"/>
      <c r="E25" s="15"/>
      <c r="F25" s="15"/>
      <c r="G25" s="20"/>
      <c r="H25" s="23"/>
      <c r="I25" s="23"/>
      <c r="J25" s="23"/>
      <c r="K25" s="23"/>
      <c r="L25" s="23"/>
      <c r="M25" s="21"/>
      <c r="N25" s="52"/>
    </row>
    <row r="26" spans="1:14" s="19" customFormat="1" ht="16.5" x14ac:dyDescent="0.25">
      <c r="A26" s="15"/>
      <c r="B26" s="15"/>
      <c r="C26" s="15"/>
      <c r="D26" s="15"/>
      <c r="E26" s="15"/>
      <c r="F26" s="15"/>
      <c r="G26" s="22"/>
      <c r="H26" s="22"/>
      <c r="I26" s="22"/>
      <c r="J26" s="22"/>
      <c r="K26" s="22"/>
      <c r="L26" s="22"/>
      <c r="M26" s="22"/>
      <c r="N26" s="52"/>
    </row>
    <row r="27" spans="1:14" s="19" customFormat="1" ht="16.5" x14ac:dyDescent="0.25">
      <c r="A27" s="15"/>
      <c r="B27" s="15"/>
      <c r="C27" s="15"/>
      <c r="D27" s="15"/>
      <c r="E27" s="15"/>
      <c r="F27" s="15"/>
      <c r="G27" s="20"/>
      <c r="H27" s="20"/>
      <c r="I27" s="20"/>
      <c r="J27" s="20"/>
      <c r="K27" s="20"/>
      <c r="L27" s="20"/>
      <c r="M27" s="21"/>
      <c r="N27" s="52"/>
    </row>
    <row r="28" spans="1:14" s="19" customFormat="1" ht="16.5" x14ac:dyDescent="0.25">
      <c r="A28" s="15"/>
      <c r="B28" s="15"/>
      <c r="C28" s="15"/>
      <c r="D28" s="15"/>
      <c r="E28" s="15"/>
      <c r="F28" s="15"/>
      <c r="G28" s="22"/>
      <c r="H28" s="22"/>
      <c r="I28" s="22"/>
      <c r="J28" s="22"/>
      <c r="K28" s="22"/>
      <c r="L28" s="22"/>
      <c r="M28" s="22"/>
      <c r="N28" s="52"/>
    </row>
    <row r="29" spans="1:14" s="19" customFormat="1" ht="16.5" x14ac:dyDescent="0.25">
      <c r="A29" s="15"/>
      <c r="B29" s="15"/>
      <c r="C29" s="15"/>
      <c r="D29" s="15"/>
      <c r="E29" s="15"/>
      <c r="F29" s="15"/>
      <c r="G29" s="22"/>
      <c r="H29" s="22"/>
      <c r="I29" s="22"/>
      <c r="J29" s="22"/>
      <c r="K29" s="22"/>
      <c r="L29" s="22"/>
      <c r="M29" s="22"/>
      <c r="N29" s="52"/>
    </row>
    <row r="30" spans="1:14" s="19" customFormat="1" ht="16.5" x14ac:dyDescent="0.25">
      <c r="A30" s="15"/>
      <c r="B30" s="15"/>
      <c r="C30" s="15"/>
      <c r="D30" s="15"/>
      <c r="E30" s="15"/>
      <c r="F30" s="15"/>
      <c r="G30" s="20"/>
      <c r="H30" s="23"/>
      <c r="I30" s="23"/>
      <c r="J30" s="23"/>
      <c r="K30" s="23"/>
      <c r="L30" s="23"/>
      <c r="M30" s="21"/>
      <c r="N30" s="52"/>
    </row>
    <row r="31" spans="1:14" s="19" customFormat="1" ht="16.5" x14ac:dyDescent="0.25">
      <c r="A31" s="15"/>
      <c r="B31" s="15"/>
      <c r="C31" s="15"/>
      <c r="D31" s="15"/>
      <c r="E31" s="15"/>
      <c r="F31" s="15"/>
      <c r="G31" s="20"/>
      <c r="H31" s="20"/>
      <c r="I31" s="23"/>
      <c r="J31" s="23"/>
      <c r="K31" s="23"/>
      <c r="L31" s="23"/>
      <c r="M31" s="22"/>
      <c r="N31" s="52"/>
    </row>
    <row r="32" spans="1:14" s="19" customFormat="1" ht="16.5" x14ac:dyDescent="0.25">
      <c r="A32" s="15"/>
      <c r="B32" s="15"/>
      <c r="C32" s="15"/>
      <c r="D32" s="15"/>
      <c r="E32" s="15"/>
      <c r="F32" s="15"/>
      <c r="G32" s="20"/>
      <c r="H32" s="23"/>
      <c r="I32" s="23"/>
      <c r="J32" s="23"/>
      <c r="K32" s="23"/>
      <c r="L32" s="23"/>
      <c r="M32" s="21"/>
      <c r="N32" s="52"/>
    </row>
    <row r="33" spans="1:14" s="19" customFormat="1" ht="16.5" x14ac:dyDescent="0.25">
      <c r="A33" s="15"/>
      <c r="B33" s="15"/>
      <c r="C33" s="15"/>
      <c r="D33" s="15"/>
      <c r="E33" s="15"/>
      <c r="F33" s="15"/>
      <c r="G33" s="22"/>
      <c r="H33" s="22"/>
      <c r="I33" s="22"/>
      <c r="J33" s="22"/>
      <c r="K33" s="22"/>
      <c r="L33" s="22"/>
      <c r="M33" s="22"/>
      <c r="N33" s="52"/>
    </row>
    <row r="34" spans="1:14" s="19" customFormat="1" ht="16.5" x14ac:dyDescent="0.25">
      <c r="A34" s="15"/>
      <c r="B34" s="15"/>
      <c r="C34" s="15"/>
      <c r="D34" s="15"/>
      <c r="E34" s="15"/>
      <c r="F34" s="15"/>
      <c r="G34" s="20"/>
      <c r="H34" s="20"/>
      <c r="I34" s="20"/>
      <c r="J34" s="20"/>
      <c r="K34" s="20"/>
      <c r="L34" s="20"/>
      <c r="M34" s="21"/>
      <c r="N34" s="52"/>
    </row>
    <row r="35" spans="1:14" s="19" customFormat="1" ht="16.5" x14ac:dyDescent="0.25">
      <c r="A35" s="15"/>
      <c r="B35" s="15"/>
      <c r="C35" s="15"/>
      <c r="D35" s="15"/>
      <c r="E35" s="24"/>
      <c r="F35" s="24"/>
      <c r="G35" s="22"/>
      <c r="H35" s="22"/>
      <c r="I35" s="22"/>
      <c r="J35" s="22"/>
      <c r="K35" s="22"/>
      <c r="L35" s="22"/>
      <c r="M35" s="22"/>
      <c r="N35" s="52"/>
    </row>
    <row r="36" spans="1:14" s="19" customFormat="1" ht="16.5" x14ac:dyDescent="0.25">
      <c r="A36" s="15"/>
      <c r="B36" s="15"/>
      <c r="C36" s="15"/>
      <c r="D36" s="15"/>
      <c r="E36" s="24"/>
      <c r="F36" s="24"/>
      <c r="G36" s="22"/>
      <c r="H36" s="22"/>
      <c r="I36" s="22"/>
      <c r="J36" s="22"/>
      <c r="K36" s="22"/>
      <c r="L36" s="22"/>
      <c r="M36" s="22"/>
      <c r="N36" s="52"/>
    </row>
    <row r="37" spans="1:14" s="19" customFormat="1" ht="16.5" x14ac:dyDescent="0.25">
      <c r="A37" s="15"/>
      <c r="B37" s="15"/>
      <c r="C37" s="15"/>
      <c r="D37" s="15"/>
      <c r="E37" s="24"/>
      <c r="F37" s="24"/>
      <c r="G37" s="22"/>
      <c r="H37" s="22"/>
      <c r="I37" s="22"/>
      <c r="J37" s="22"/>
      <c r="K37" s="22"/>
      <c r="L37" s="22"/>
      <c r="M37" s="22"/>
      <c r="N37" s="52"/>
    </row>
    <row r="38" spans="1:14" s="19" customFormat="1" ht="16.5" x14ac:dyDescent="0.25">
      <c r="A38" s="15"/>
      <c r="B38" s="15"/>
      <c r="C38" s="15"/>
      <c r="D38" s="15"/>
      <c r="E38" s="15"/>
      <c r="F38" s="15"/>
      <c r="G38" s="22"/>
      <c r="H38" s="22"/>
      <c r="I38" s="22"/>
      <c r="J38" s="22"/>
      <c r="K38" s="22"/>
      <c r="L38" s="22"/>
      <c r="M38" s="22"/>
      <c r="N38" s="52"/>
    </row>
    <row r="39" spans="1:14" s="19" customFormat="1" ht="16.5" x14ac:dyDescent="0.25">
      <c r="A39" s="15"/>
      <c r="B39" s="15"/>
      <c r="C39" s="15"/>
      <c r="D39" s="15"/>
      <c r="E39" s="15"/>
      <c r="F39" s="15"/>
      <c r="G39" s="22"/>
      <c r="H39" s="22"/>
      <c r="I39" s="22"/>
      <c r="J39" s="22"/>
      <c r="K39" s="22"/>
      <c r="L39" s="22"/>
      <c r="M39" s="22"/>
      <c r="N39" s="52"/>
    </row>
    <row r="40" spans="1:14" s="19" customFormat="1" ht="16.5" x14ac:dyDescent="0.25">
      <c r="A40" s="15"/>
      <c r="B40" s="15"/>
      <c r="C40" s="15"/>
      <c r="D40" s="15"/>
      <c r="E40" s="15"/>
      <c r="F40" s="15"/>
      <c r="G40" s="22"/>
      <c r="H40" s="22"/>
      <c r="I40" s="22"/>
      <c r="J40" s="22"/>
      <c r="K40" s="22"/>
      <c r="L40" s="22"/>
      <c r="M40" s="22"/>
      <c r="N40" s="52"/>
    </row>
    <row r="41" spans="1:14" s="19" customFormat="1" ht="16.5" x14ac:dyDescent="0.25">
      <c r="A41" s="15"/>
      <c r="B41" s="15"/>
      <c r="C41" s="15"/>
      <c r="D41" s="15"/>
      <c r="E41" s="15"/>
      <c r="F41" s="15"/>
      <c r="G41" s="22"/>
      <c r="H41" s="22"/>
      <c r="I41" s="22"/>
      <c r="J41" s="22"/>
      <c r="K41" s="22"/>
      <c r="L41" s="22"/>
      <c r="M41" s="22"/>
      <c r="N41" s="52"/>
    </row>
    <row r="42" spans="1:14" s="19" customFormat="1" ht="16.5" x14ac:dyDescent="0.25">
      <c r="A42" s="15"/>
      <c r="B42" s="15"/>
      <c r="C42" s="15"/>
      <c r="D42" s="15"/>
      <c r="E42" s="15"/>
      <c r="F42" s="15"/>
      <c r="G42" s="22"/>
      <c r="H42" s="22"/>
      <c r="I42" s="22"/>
      <c r="J42" s="22"/>
      <c r="K42" s="22"/>
      <c r="L42" s="22"/>
      <c r="M42" s="22"/>
      <c r="N42" s="52"/>
    </row>
    <row r="43" spans="1:14" s="19" customFormat="1" ht="16.5" x14ac:dyDescent="0.25">
      <c r="A43" s="15"/>
      <c r="B43" s="15"/>
      <c r="C43" s="15"/>
      <c r="D43" s="15"/>
      <c r="E43" s="15"/>
      <c r="F43" s="15"/>
      <c r="G43" s="22"/>
      <c r="H43" s="22"/>
      <c r="I43" s="22"/>
      <c r="J43" s="22"/>
      <c r="K43" s="22"/>
      <c r="L43" s="22"/>
      <c r="M43" s="22"/>
      <c r="N43" s="52"/>
    </row>
    <row r="44" spans="1:14" s="19" customFormat="1" ht="16.5" x14ac:dyDescent="0.25">
      <c r="A44" s="15"/>
      <c r="B44" s="15"/>
      <c r="C44" s="15"/>
      <c r="D44" s="15"/>
      <c r="E44" s="15"/>
      <c r="F44" s="15"/>
      <c r="G44" s="22"/>
      <c r="H44" s="22"/>
      <c r="I44" s="22"/>
      <c r="J44" s="22"/>
      <c r="K44" s="22"/>
      <c r="L44" s="22"/>
      <c r="M44" s="22"/>
      <c r="N44" s="52"/>
    </row>
    <row r="45" spans="1:14" s="19" customFormat="1" ht="16.5" x14ac:dyDescent="0.25">
      <c r="A45" s="15"/>
      <c r="B45" s="15"/>
      <c r="C45" s="15"/>
      <c r="D45" s="15"/>
      <c r="E45" s="15"/>
      <c r="F45" s="15"/>
      <c r="G45" s="20"/>
      <c r="H45" s="23"/>
      <c r="I45" s="23"/>
      <c r="J45" s="23"/>
      <c r="K45" s="23"/>
      <c r="L45" s="23"/>
      <c r="M45" s="21"/>
      <c r="N45" s="52"/>
    </row>
    <row r="46" spans="1:14" s="19" customFormat="1" ht="16.5" x14ac:dyDescent="0.25">
      <c r="A46" s="15"/>
      <c r="B46" s="15"/>
      <c r="C46" s="15"/>
      <c r="D46" s="15"/>
      <c r="E46" s="15"/>
      <c r="F46" s="15"/>
      <c r="G46" s="20"/>
      <c r="H46" s="23"/>
      <c r="I46" s="23"/>
      <c r="J46" s="23"/>
      <c r="K46" s="23"/>
      <c r="L46" s="23"/>
      <c r="M46" s="21"/>
      <c r="N46" s="52"/>
    </row>
    <row r="47" spans="1:14" s="19" customFormat="1" ht="16.5" x14ac:dyDescent="0.25">
      <c r="A47" s="15"/>
      <c r="B47" s="15"/>
      <c r="C47" s="15"/>
      <c r="D47" s="15"/>
      <c r="E47" s="15"/>
      <c r="F47" s="15"/>
      <c r="G47" s="20"/>
      <c r="H47" s="23"/>
      <c r="I47" s="23"/>
      <c r="J47" s="23"/>
      <c r="K47" s="23"/>
      <c r="L47" s="23"/>
      <c r="M47" s="21"/>
      <c r="N47" s="52"/>
    </row>
    <row r="48" spans="1:14" s="19" customFormat="1" ht="16.5" x14ac:dyDescent="0.25">
      <c r="A48" s="15"/>
      <c r="B48" s="15"/>
      <c r="C48" s="15"/>
      <c r="D48" s="15"/>
      <c r="E48" s="15"/>
      <c r="F48" s="15"/>
      <c r="G48" s="22"/>
      <c r="H48" s="22"/>
      <c r="I48" s="22"/>
      <c r="J48" s="22"/>
      <c r="K48" s="22"/>
      <c r="L48" s="22"/>
      <c r="M48" s="22"/>
      <c r="N48" s="52"/>
    </row>
    <row r="49" spans="1:14" s="19" customFormat="1" ht="16.5" x14ac:dyDescent="0.25">
      <c r="A49" s="15"/>
      <c r="B49" s="15"/>
      <c r="C49" s="15"/>
      <c r="D49" s="15"/>
      <c r="E49" s="15"/>
      <c r="F49" s="15"/>
      <c r="G49" s="20"/>
      <c r="H49" s="20"/>
      <c r="I49" s="20"/>
      <c r="J49" s="20"/>
      <c r="K49" s="20"/>
      <c r="L49" s="20"/>
      <c r="M49" s="21"/>
      <c r="N49" s="52"/>
    </row>
    <row r="50" spans="1:14" s="19" customFormat="1" ht="16.5" x14ac:dyDescent="0.25">
      <c r="A50" s="15"/>
      <c r="B50" s="15"/>
      <c r="C50" s="15"/>
      <c r="D50" s="15"/>
      <c r="E50" s="15"/>
      <c r="F50" s="15"/>
      <c r="G50" s="22"/>
      <c r="H50" s="22"/>
      <c r="I50" s="22"/>
      <c r="J50" s="22"/>
      <c r="K50" s="22"/>
      <c r="L50" s="22"/>
      <c r="M50" s="22"/>
      <c r="N50" s="52"/>
    </row>
    <row r="51" spans="1:14" s="19" customFormat="1" ht="16.5" x14ac:dyDescent="0.25">
      <c r="A51" s="15"/>
      <c r="B51" s="15"/>
      <c r="C51" s="15"/>
      <c r="D51" s="15"/>
      <c r="E51" s="15"/>
      <c r="F51" s="15"/>
      <c r="G51" s="22"/>
      <c r="H51" s="22"/>
      <c r="I51" s="22"/>
      <c r="J51" s="22"/>
      <c r="K51" s="22"/>
      <c r="L51" s="22"/>
      <c r="M51" s="22"/>
      <c r="N51" s="52"/>
    </row>
    <row r="52" spans="1:14" s="19" customFormat="1" ht="16.5" x14ac:dyDescent="0.25">
      <c r="A52" s="15"/>
      <c r="B52" s="15"/>
      <c r="C52" s="15"/>
      <c r="D52" s="15"/>
      <c r="E52" s="15"/>
      <c r="F52" s="15"/>
      <c r="G52" s="20"/>
      <c r="H52" s="23"/>
      <c r="I52" s="23"/>
      <c r="J52" s="23"/>
      <c r="K52" s="23"/>
      <c r="L52" s="23"/>
      <c r="M52" s="21"/>
      <c r="N52" s="52"/>
    </row>
    <row r="53" spans="1:14" s="19" customFormat="1" ht="16.5" x14ac:dyDescent="0.25">
      <c r="A53" s="15"/>
      <c r="B53" s="15"/>
      <c r="C53" s="15"/>
      <c r="D53" s="15"/>
      <c r="E53" s="15"/>
      <c r="F53" s="15"/>
      <c r="G53" s="20"/>
      <c r="H53" s="20"/>
      <c r="I53" s="23"/>
      <c r="J53" s="23"/>
      <c r="K53" s="23"/>
      <c r="L53" s="23"/>
      <c r="M53" s="22"/>
      <c r="N53" s="52"/>
    </row>
    <row r="54" spans="1:14" s="19" customFormat="1" ht="16.5" x14ac:dyDescent="0.25">
      <c r="A54" s="15"/>
      <c r="B54" s="15"/>
      <c r="C54" s="15"/>
      <c r="D54" s="15"/>
      <c r="E54" s="15"/>
      <c r="F54" s="15"/>
      <c r="G54" s="22"/>
      <c r="H54" s="22"/>
      <c r="I54" s="22"/>
      <c r="J54" s="22"/>
      <c r="K54" s="22"/>
      <c r="L54" s="22"/>
      <c r="M54" s="22"/>
      <c r="N54" s="52"/>
    </row>
    <row r="55" spans="1:14" s="19" customFormat="1" ht="16.5" x14ac:dyDescent="0.25">
      <c r="A55" s="15"/>
      <c r="B55" s="15"/>
      <c r="C55" s="15"/>
      <c r="D55" s="15"/>
      <c r="E55" s="15"/>
      <c r="F55" s="15"/>
      <c r="G55" s="20"/>
      <c r="H55" s="20"/>
      <c r="I55" s="20"/>
      <c r="J55" s="20"/>
      <c r="K55" s="20"/>
      <c r="L55" s="20"/>
      <c r="M55" s="21"/>
      <c r="N55" s="52"/>
    </row>
    <row r="56" spans="1:14" s="15" customFormat="1" x14ac:dyDescent="0.25">
      <c r="G56" s="22"/>
      <c r="H56" s="22"/>
      <c r="I56" s="22"/>
      <c r="J56" s="22"/>
      <c r="K56" s="22"/>
      <c r="L56" s="22"/>
      <c r="M56" s="22"/>
      <c r="N56" s="52"/>
    </row>
    <row r="57" spans="1:14" s="15" customFormat="1" x14ac:dyDescent="0.25">
      <c r="G57" s="22"/>
      <c r="H57" s="22"/>
      <c r="I57" s="22"/>
      <c r="J57" s="22"/>
      <c r="K57" s="22"/>
      <c r="L57" s="22"/>
      <c r="M57" s="22"/>
      <c r="N57" s="52"/>
    </row>
    <row r="58" spans="1:14" s="15" customFormat="1" x14ac:dyDescent="0.25">
      <c r="G58" s="20"/>
      <c r="H58" s="23"/>
      <c r="I58" s="23"/>
      <c r="J58" s="23"/>
      <c r="K58" s="23"/>
      <c r="L58" s="23"/>
      <c r="M58" s="21"/>
      <c r="N58" s="52"/>
    </row>
    <row r="59" spans="1:14" s="15" customFormat="1" x14ac:dyDescent="0.25">
      <c r="G59" s="20"/>
      <c r="H59" s="23"/>
      <c r="I59" s="23"/>
      <c r="J59" s="23"/>
      <c r="K59" s="23"/>
      <c r="L59" s="23"/>
      <c r="M59" s="21"/>
      <c r="N59" s="52"/>
    </row>
    <row r="60" spans="1:14" s="15" customFormat="1" x14ac:dyDescent="0.25">
      <c r="G60" s="20"/>
      <c r="H60" s="20"/>
      <c r="I60" s="23"/>
      <c r="J60" s="23"/>
      <c r="K60" s="23"/>
      <c r="L60" s="23"/>
      <c r="M60" s="22"/>
      <c r="N60" s="52"/>
    </row>
    <row r="61" spans="1:14" s="15" customFormat="1" x14ac:dyDescent="0.25">
      <c r="G61" s="22"/>
      <c r="H61" s="22"/>
      <c r="I61" s="22"/>
      <c r="J61" s="22"/>
      <c r="K61" s="22"/>
      <c r="L61" s="22"/>
      <c r="M61" s="22"/>
      <c r="N61" s="52"/>
    </row>
    <row r="62" spans="1:14" s="15" customFormat="1" x14ac:dyDescent="0.25">
      <c r="G62" s="20"/>
      <c r="H62" s="20"/>
      <c r="I62" s="20"/>
      <c r="J62" s="20"/>
      <c r="K62" s="20"/>
      <c r="L62" s="20"/>
      <c r="M62" s="21"/>
      <c r="N62" s="52"/>
    </row>
    <row r="63" spans="1:14" s="15" customFormat="1" x14ac:dyDescent="0.25">
      <c r="G63" s="22"/>
      <c r="H63" s="22"/>
      <c r="I63" s="22"/>
      <c r="J63" s="22"/>
      <c r="K63" s="22"/>
      <c r="L63" s="22"/>
      <c r="M63" s="22"/>
      <c r="N63" s="52"/>
    </row>
    <row r="64" spans="1:14" s="15" customFormat="1" x14ac:dyDescent="0.25">
      <c r="G64" s="22"/>
      <c r="H64" s="22"/>
      <c r="I64" s="22"/>
      <c r="J64" s="22"/>
      <c r="K64" s="22"/>
      <c r="L64" s="22"/>
      <c r="M64" s="22"/>
      <c r="N64" s="52"/>
    </row>
    <row r="65" spans="7:14" s="15" customFormat="1" x14ac:dyDescent="0.25">
      <c r="G65" s="20"/>
      <c r="H65" s="23"/>
      <c r="I65" s="23"/>
      <c r="J65" s="23"/>
      <c r="K65" s="23"/>
      <c r="L65" s="23"/>
      <c r="M65" s="21"/>
      <c r="N65" s="52"/>
    </row>
    <row r="66" spans="7:14" s="15" customFormat="1" x14ac:dyDescent="0.25">
      <c r="G66" s="20"/>
      <c r="H66" s="23"/>
      <c r="I66" s="23"/>
      <c r="J66" s="23"/>
      <c r="K66" s="23"/>
      <c r="L66" s="23"/>
      <c r="M66" s="21"/>
      <c r="N66" s="52"/>
    </row>
    <row r="67" spans="7:14" s="15" customFormat="1" x14ac:dyDescent="0.25">
      <c r="G67" s="20"/>
      <c r="H67" s="23"/>
      <c r="I67" s="23"/>
      <c r="J67" s="23"/>
      <c r="K67" s="23"/>
      <c r="L67" s="23"/>
      <c r="M67" s="21"/>
      <c r="N67" s="52"/>
    </row>
    <row r="68" spans="7:14" s="15" customFormat="1" x14ac:dyDescent="0.25">
      <c r="G68" s="20"/>
      <c r="H68" s="20"/>
      <c r="I68" s="23"/>
      <c r="J68" s="23"/>
      <c r="K68" s="23"/>
      <c r="L68" s="23"/>
      <c r="M68" s="22"/>
      <c r="N68" s="52"/>
    </row>
    <row r="69" spans="7:14" s="15" customFormat="1" x14ac:dyDescent="0.25">
      <c r="G69" s="22"/>
      <c r="H69" s="22"/>
      <c r="I69" s="22"/>
      <c r="J69" s="22"/>
      <c r="K69" s="22"/>
      <c r="L69" s="22"/>
      <c r="M69" s="22"/>
      <c r="N69" s="52"/>
    </row>
    <row r="70" spans="7:14" s="15" customFormat="1" x14ac:dyDescent="0.25">
      <c r="G70" s="20"/>
      <c r="H70" s="20"/>
      <c r="I70" s="20"/>
      <c r="J70" s="20"/>
      <c r="K70" s="20"/>
      <c r="L70" s="20"/>
      <c r="M70" s="21"/>
      <c r="N70" s="52"/>
    </row>
    <row r="71" spans="7:14" s="15" customFormat="1" x14ac:dyDescent="0.25">
      <c r="G71" s="22"/>
      <c r="H71" s="22"/>
      <c r="I71" s="22"/>
      <c r="J71" s="22"/>
      <c r="K71" s="22"/>
      <c r="L71" s="22"/>
      <c r="M71" s="22"/>
      <c r="N71" s="52"/>
    </row>
    <row r="72" spans="7:14" s="15" customFormat="1" x14ac:dyDescent="0.25">
      <c r="G72" s="22"/>
      <c r="H72" s="22"/>
      <c r="I72" s="22"/>
      <c r="J72" s="22"/>
      <c r="K72" s="22"/>
      <c r="L72" s="22"/>
      <c r="M72" s="22"/>
      <c r="N72" s="52"/>
    </row>
    <row r="73" spans="7:14" s="15" customFormat="1" x14ac:dyDescent="0.25">
      <c r="G73" s="22"/>
      <c r="H73" s="22"/>
      <c r="I73" s="22"/>
      <c r="J73" s="22"/>
      <c r="K73" s="22"/>
      <c r="L73" s="22"/>
      <c r="M73" s="22"/>
      <c r="N73" s="52"/>
    </row>
    <row r="74" spans="7:14" s="15" customFormat="1" x14ac:dyDescent="0.25">
      <c r="G74" s="22"/>
      <c r="H74" s="22"/>
      <c r="I74" s="22"/>
      <c r="J74" s="22"/>
      <c r="K74" s="22"/>
      <c r="L74" s="22"/>
      <c r="M74" s="22"/>
      <c r="N74" s="52"/>
    </row>
    <row r="75" spans="7:14" s="15" customFormat="1" x14ac:dyDescent="0.25">
      <c r="G75" s="22"/>
      <c r="H75" s="22"/>
      <c r="I75" s="25"/>
      <c r="J75" s="25"/>
      <c r="K75" s="25"/>
      <c r="L75" s="25"/>
      <c r="M75" s="22"/>
      <c r="N75" s="52"/>
    </row>
    <row r="76" spans="7:14" s="15" customFormat="1" x14ac:dyDescent="0.25">
      <c r="G76" s="22"/>
      <c r="H76" s="22"/>
      <c r="I76" s="22"/>
      <c r="J76" s="22"/>
      <c r="K76" s="22"/>
      <c r="L76" s="22"/>
      <c r="M76" s="22"/>
      <c r="N76" s="52"/>
    </row>
    <row r="77" spans="7:14" s="15" customFormat="1" x14ac:dyDescent="0.25">
      <c r="G77" s="22"/>
      <c r="H77" s="22"/>
      <c r="I77" s="22"/>
      <c r="J77" s="22"/>
      <c r="K77" s="22"/>
      <c r="L77" s="22"/>
      <c r="M77" s="22"/>
      <c r="N77" s="52"/>
    </row>
    <row r="78" spans="7:14" s="15" customFormat="1" x14ac:dyDescent="0.25">
      <c r="G78" s="22"/>
      <c r="H78" s="22"/>
      <c r="I78" s="22"/>
      <c r="J78" s="22"/>
      <c r="K78" s="22"/>
      <c r="L78" s="22"/>
      <c r="M78" s="22"/>
      <c r="N78" s="52"/>
    </row>
    <row r="79" spans="7:14" s="15" customFormat="1" x14ac:dyDescent="0.25">
      <c r="G79" s="22"/>
      <c r="H79" s="22"/>
      <c r="I79" s="22"/>
      <c r="J79" s="22"/>
      <c r="K79" s="22"/>
      <c r="L79" s="22"/>
      <c r="M79" s="22"/>
      <c r="N79" s="54"/>
    </row>
    <row r="80" spans="7:14" s="15" customFormat="1" x14ac:dyDescent="0.25">
      <c r="G80" s="22"/>
      <c r="H80" s="22"/>
      <c r="I80" s="22"/>
      <c r="J80" s="22"/>
      <c r="K80" s="22"/>
      <c r="L80" s="22"/>
      <c r="M80" s="22"/>
      <c r="N80" s="54"/>
    </row>
    <row r="81" spans="7:14" s="15" customFormat="1" x14ac:dyDescent="0.25">
      <c r="G81" s="22"/>
      <c r="H81" s="22"/>
      <c r="I81" s="22"/>
      <c r="J81" s="22"/>
      <c r="K81" s="22"/>
      <c r="L81" s="22"/>
      <c r="M81" s="22"/>
      <c r="N81" s="54"/>
    </row>
    <row r="82" spans="7:14" s="15" customFormat="1" x14ac:dyDescent="0.25">
      <c r="G82" s="26"/>
      <c r="H82" s="26"/>
      <c r="I82" s="26"/>
      <c r="J82" s="26"/>
      <c r="K82" s="26"/>
      <c r="L82" s="26"/>
      <c r="N82" s="54"/>
    </row>
    <row r="83" spans="7:14" s="15" customFormat="1" x14ac:dyDescent="0.25">
      <c r="G83" s="26"/>
      <c r="H83" s="26"/>
      <c r="I83" s="26"/>
      <c r="J83" s="26"/>
      <c r="K83" s="26"/>
      <c r="L83" s="26"/>
      <c r="N83" s="54"/>
    </row>
    <row r="84" spans="7:14" s="15" customFormat="1" x14ac:dyDescent="0.25">
      <c r="G84" s="26"/>
      <c r="H84" s="26"/>
      <c r="I84" s="26"/>
      <c r="J84" s="26"/>
      <c r="K84" s="26"/>
      <c r="L84" s="26"/>
      <c r="N84" s="54"/>
    </row>
    <row r="85" spans="7:14" s="15" customFormat="1" x14ac:dyDescent="0.25">
      <c r="G85" s="26"/>
      <c r="H85" s="26"/>
      <c r="I85" s="26"/>
      <c r="J85" s="26"/>
      <c r="K85" s="26"/>
      <c r="L85" s="26"/>
      <c r="N85" s="54"/>
    </row>
  </sheetData>
  <dataConsolidate/>
  <mergeCells count="2">
    <mergeCell ref="A3:A6"/>
    <mergeCell ref="A1:N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9</vt:i4>
      </vt:variant>
    </vt:vector>
  </HeadingPairs>
  <TitlesOfParts>
    <vt:vector size="18" baseType="lpstr">
      <vt:lpstr>2026</vt:lpstr>
      <vt:lpstr>2025</vt:lpstr>
      <vt:lpstr>2024</vt:lpstr>
      <vt:lpstr>2022</vt:lpstr>
      <vt:lpstr>2021</vt:lpstr>
      <vt:lpstr>2020</vt:lpstr>
      <vt:lpstr>2019</vt:lpstr>
      <vt:lpstr>2018</vt:lpstr>
      <vt:lpstr>2017</vt:lpstr>
      <vt:lpstr>'2017'!Yazdırma_Alanı</vt:lpstr>
      <vt:lpstr>'2018'!Yazdırma_Alanı</vt:lpstr>
      <vt:lpstr>'2019'!Yazdırma_Alanı</vt:lpstr>
      <vt:lpstr>'2020'!Yazdırma_Alanı</vt:lpstr>
      <vt:lpstr>'2021'!Yazdırma_Alanı</vt:lpstr>
      <vt:lpstr>'2022'!Yazdırma_Alanı</vt:lpstr>
      <vt:lpstr>'2024'!Yazdırma_Alanı</vt:lpstr>
      <vt:lpstr>'2025'!Yazdırma_Alanı</vt:lpstr>
      <vt:lpstr>'2026'!Yazdırma_Alanı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KAYA</dc:creator>
  <cp:lastModifiedBy>Mert Karakelle</cp:lastModifiedBy>
  <cp:lastPrinted>2017-11-02T09:07:22Z</cp:lastPrinted>
  <dcterms:created xsi:type="dcterms:W3CDTF">2012-10-08T11:43:36Z</dcterms:created>
  <dcterms:modified xsi:type="dcterms:W3CDTF">2026-03-18T07:30:33Z</dcterms:modified>
</cp:coreProperties>
</file>